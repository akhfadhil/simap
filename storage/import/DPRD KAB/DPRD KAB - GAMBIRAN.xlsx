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ko\Downloads\"/>
    </mc:Choice>
  </mc:AlternateContent>
  <xr:revisionPtr revIDLastSave="0" documentId="13_ncr:1_{C238346F-E6C6-4362-AF94-2C0D865D67D5}" xr6:coauthVersionLast="47" xr6:coauthVersionMax="47" xr10:uidLastSave="{00000000-0000-0000-0000-000000000000}"/>
  <bookViews>
    <workbookView xWindow="-110" yWindow="-110" windowWidth="19420" windowHeight="11500" firstSheet="2" activeTab="4" xr2:uid="{00000000-000D-0000-FFFF-FFFF00000000}"/>
  </bookViews>
  <sheets>
    <sheet name="DPRD KAB" sheetId="1" r:id="rId1"/>
    <sheet name="GAMBIRAN" sheetId="2" r:id="rId2"/>
    <sheet name="JAJAG" sheetId="3" r:id="rId3"/>
    <sheet name="PURWODADI" sheetId="4" r:id="rId4"/>
    <sheet name="WRINGINAGUNG" sheetId="5" r:id="rId5"/>
    <sheet name="WRINGINREJO" sheetId="6" r:id="rId6"/>
    <sheet name="YOSOMULY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N2spu8tkBBg+RHPnHnrIyy9wVfA7XVrr9M2EE/wiQAo="/>
    </ext>
  </extLst>
</workbook>
</file>

<file path=xl/calcChain.xml><?xml version="1.0" encoding="utf-8"?>
<calcChain xmlns="http://schemas.openxmlformats.org/spreadsheetml/2006/main">
  <c r="F180" i="5" l="1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E180" i="5"/>
  <c r="F180" i="6"/>
  <c r="G180" i="6"/>
  <c r="H180" i="6"/>
  <c r="I180" i="6"/>
  <c r="J180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X180" i="6"/>
  <c r="E180" i="6"/>
  <c r="AP14" i="7"/>
  <c r="E61" i="2"/>
  <c r="E52" i="2"/>
  <c r="AY15" i="2"/>
  <c r="AY16" i="2"/>
  <c r="AY17" i="2"/>
  <c r="AY18" i="2"/>
  <c r="AY19" i="2"/>
  <c r="AY20" i="2"/>
  <c r="AY22" i="2"/>
  <c r="AY23" i="2"/>
  <c r="AY24" i="2"/>
  <c r="AY25" i="2"/>
  <c r="AY26" i="2"/>
  <c r="AY27" i="2"/>
  <c r="AY31" i="2"/>
  <c r="AY32" i="2"/>
  <c r="AY33" i="2"/>
  <c r="AY34" i="2"/>
  <c r="AY35" i="2"/>
  <c r="AY37" i="2"/>
  <c r="AY38" i="2"/>
  <c r="AY39" i="2"/>
  <c r="AY40" i="2"/>
  <c r="AY42" i="2"/>
  <c r="AY43" i="2"/>
  <c r="AY44" i="2"/>
  <c r="AY45" i="2"/>
  <c r="AY46" i="2"/>
  <c r="AY47" i="2"/>
  <c r="AY48" i="2"/>
  <c r="AY49" i="2"/>
  <c r="AY50" i="2"/>
  <c r="AY51" i="2"/>
  <c r="AY53" i="2"/>
  <c r="AY54" i="2"/>
  <c r="AY55" i="2"/>
  <c r="AY56" i="2"/>
  <c r="AY57" i="2"/>
  <c r="AY58" i="2"/>
  <c r="AY59" i="2"/>
  <c r="AY60" i="2"/>
  <c r="AY62" i="2"/>
  <c r="AY63" i="2"/>
  <c r="AY64" i="2"/>
  <c r="AY65" i="2"/>
  <c r="AY66" i="2"/>
  <c r="AY67" i="2"/>
  <c r="AY68" i="2"/>
  <c r="AY69" i="2"/>
  <c r="AY71" i="2"/>
  <c r="AY72" i="2"/>
  <c r="AY73" i="2"/>
  <c r="AY74" i="2"/>
  <c r="AY75" i="2"/>
  <c r="AY76" i="2"/>
  <c r="AY77" i="2"/>
  <c r="AY78" i="2"/>
  <c r="AY80" i="2"/>
  <c r="AY81" i="2"/>
  <c r="AY82" i="2"/>
  <c r="AY83" i="2"/>
  <c r="AY84" i="2"/>
  <c r="AY85" i="2"/>
  <c r="AY86" i="2"/>
  <c r="AY87" i="2"/>
  <c r="AY89" i="2"/>
  <c r="AY90" i="2"/>
  <c r="AY91" i="2"/>
  <c r="AY92" i="2"/>
  <c r="AY93" i="2"/>
  <c r="AY95" i="2"/>
  <c r="AY96" i="2"/>
  <c r="AY97" i="2"/>
  <c r="AY98" i="2"/>
  <c r="AY100" i="2"/>
  <c r="AY101" i="2"/>
  <c r="AY102" i="2"/>
  <c r="AY103" i="2"/>
  <c r="AY104" i="2"/>
  <c r="AY105" i="2"/>
  <c r="AY106" i="2"/>
  <c r="AY107" i="2"/>
  <c r="AY109" i="2"/>
  <c r="AY110" i="2"/>
  <c r="AY111" i="2"/>
  <c r="AY112" i="2"/>
  <c r="AY113" i="2"/>
  <c r="AY114" i="2"/>
  <c r="AY116" i="2"/>
  <c r="AY117" i="2"/>
  <c r="AY118" i="2"/>
  <c r="AY119" i="2"/>
  <c r="AY120" i="2"/>
  <c r="AY121" i="2"/>
  <c r="AY122" i="2"/>
  <c r="AY123" i="2"/>
  <c r="AY125" i="2"/>
  <c r="AY126" i="2"/>
  <c r="AY127" i="2"/>
  <c r="AY129" i="2"/>
  <c r="AY130" i="2"/>
  <c r="AY131" i="2"/>
  <c r="AY132" i="2"/>
  <c r="AY133" i="2"/>
  <c r="AY134" i="2"/>
  <c r="AY136" i="2"/>
  <c r="AY137" i="2"/>
  <c r="AY138" i="2"/>
  <c r="AY139" i="2"/>
  <c r="AY140" i="2"/>
  <c r="AY141" i="2"/>
  <c r="AY142" i="2"/>
  <c r="AY143" i="2"/>
  <c r="AY145" i="2"/>
  <c r="AY146" i="2"/>
  <c r="AY147" i="2"/>
  <c r="AY148" i="2"/>
  <c r="AY149" i="2"/>
  <c r="AY150" i="2"/>
  <c r="AY151" i="2"/>
  <c r="AY152" i="2"/>
  <c r="AY154" i="2"/>
  <c r="AY155" i="2"/>
  <c r="AY156" i="2"/>
  <c r="AY158" i="2"/>
  <c r="AY159" i="2"/>
  <c r="AY160" i="2"/>
  <c r="AY161" i="2"/>
  <c r="AY162" i="2"/>
  <c r="AY164" i="2"/>
  <c r="AY165" i="2"/>
  <c r="AY166" i="2"/>
  <c r="AY167" i="2"/>
  <c r="AY168" i="2"/>
  <c r="AY169" i="2"/>
  <c r="AY170" i="2"/>
  <c r="AY171" i="2"/>
  <c r="AY173" i="2"/>
  <c r="AY174" i="2"/>
  <c r="AY175" i="2"/>
  <c r="AY176" i="2"/>
  <c r="AY178" i="2"/>
  <c r="AY179" i="2"/>
  <c r="AY181" i="2"/>
  <c r="AY14" i="2"/>
  <c r="BA130" i="3"/>
  <c r="BA14" i="3"/>
  <c r="E182" i="4"/>
  <c r="F180" i="4" l="1"/>
  <c r="G180" i="4"/>
  <c r="H180" i="4"/>
  <c r="I180" i="4"/>
  <c r="J180" i="4"/>
  <c r="K180" i="4"/>
  <c r="L180" i="4"/>
  <c r="M180" i="4"/>
  <c r="N180" i="4"/>
  <c r="O180" i="4"/>
  <c r="O182" i="4" s="1"/>
  <c r="P180" i="4"/>
  <c r="Q180" i="4"/>
  <c r="Q182" i="4" s="1"/>
  <c r="R180" i="4"/>
  <c r="S180" i="4"/>
  <c r="T180" i="4"/>
  <c r="U180" i="4"/>
  <c r="V180" i="4"/>
  <c r="W180" i="4"/>
  <c r="X180" i="4"/>
  <c r="Y180" i="4"/>
  <c r="Z180" i="4"/>
  <c r="AA180" i="4"/>
  <c r="AA182" i="4" s="1"/>
  <c r="AB180" i="4"/>
  <c r="AC180" i="4"/>
  <c r="E180" i="4"/>
  <c r="E61" i="4"/>
  <c r="E52" i="4"/>
  <c r="AC14" i="4"/>
  <c r="AP181" i="7"/>
  <c r="AP179" i="7"/>
  <c r="AP178" i="7"/>
  <c r="AO177" i="7"/>
  <c r="AN177" i="7"/>
  <c r="AM177" i="7"/>
  <c r="AL177" i="7"/>
  <c r="AK177" i="7"/>
  <c r="AJ177" i="7"/>
  <c r="AI177" i="7"/>
  <c r="AH177" i="7"/>
  <c r="AG177" i="7"/>
  <c r="AF177" i="7"/>
  <c r="AE177" i="7"/>
  <c r="AD177" i="7"/>
  <c r="AC177" i="7"/>
  <c r="AB177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AP176" i="7"/>
  <c r="AP175" i="7"/>
  <c r="AP174" i="7"/>
  <c r="AP173" i="7"/>
  <c r="AO172" i="7"/>
  <c r="AN172" i="7"/>
  <c r="AM172" i="7"/>
  <c r="AL172" i="7"/>
  <c r="AK172" i="7"/>
  <c r="AJ172" i="7"/>
  <c r="AI172" i="7"/>
  <c r="AH172" i="7"/>
  <c r="AG172" i="7"/>
  <c r="AF172" i="7"/>
  <c r="AE172" i="7"/>
  <c r="AD172" i="7"/>
  <c r="AC172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AP171" i="7"/>
  <c r="AP170" i="7"/>
  <c r="AP169" i="7"/>
  <c r="AP168" i="7"/>
  <c r="AP167" i="7"/>
  <c r="AP166" i="7"/>
  <c r="AP165" i="7"/>
  <c r="AP164" i="7"/>
  <c r="AO163" i="7"/>
  <c r="AN163" i="7"/>
  <c r="AM163" i="7"/>
  <c r="AL163" i="7"/>
  <c r="AK163" i="7"/>
  <c r="AJ163" i="7"/>
  <c r="AI163" i="7"/>
  <c r="AH163" i="7"/>
  <c r="AG163" i="7"/>
  <c r="AF163" i="7"/>
  <c r="AE163" i="7"/>
  <c r="AD163" i="7"/>
  <c r="AC163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AP162" i="7"/>
  <c r="AP161" i="7"/>
  <c r="AP160" i="7"/>
  <c r="AP159" i="7"/>
  <c r="AP158" i="7"/>
  <c r="AO157" i="7"/>
  <c r="AN157" i="7"/>
  <c r="AM157" i="7"/>
  <c r="AL157" i="7"/>
  <c r="AK157" i="7"/>
  <c r="AJ157" i="7"/>
  <c r="AI157" i="7"/>
  <c r="AH157" i="7"/>
  <c r="AG157" i="7"/>
  <c r="AF157" i="7"/>
  <c r="AE157" i="7"/>
  <c r="AD157" i="7"/>
  <c r="AC157" i="7"/>
  <c r="AB157" i="7"/>
  <c r="AA157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AP156" i="7"/>
  <c r="AP155" i="7"/>
  <c r="AP154" i="7"/>
  <c r="AO153" i="7"/>
  <c r="AN153" i="7"/>
  <c r="AM153" i="7"/>
  <c r="AL153" i="7"/>
  <c r="AK153" i="7"/>
  <c r="AJ153" i="7"/>
  <c r="AI153" i="7"/>
  <c r="AH153" i="7"/>
  <c r="AG153" i="7"/>
  <c r="AF153" i="7"/>
  <c r="AE153" i="7"/>
  <c r="AD153" i="7"/>
  <c r="AC153" i="7"/>
  <c r="AB153" i="7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AP152" i="7"/>
  <c r="AP151" i="7"/>
  <c r="AP150" i="7"/>
  <c r="AP149" i="7"/>
  <c r="AP148" i="7"/>
  <c r="AP147" i="7"/>
  <c r="AP146" i="7"/>
  <c r="AP145" i="7"/>
  <c r="AO144" i="7"/>
  <c r="AN144" i="7"/>
  <c r="AM144" i="7"/>
  <c r="AL144" i="7"/>
  <c r="AK144" i="7"/>
  <c r="AJ144" i="7"/>
  <c r="AI144" i="7"/>
  <c r="AH144" i="7"/>
  <c r="AG144" i="7"/>
  <c r="AF144" i="7"/>
  <c r="AE144" i="7"/>
  <c r="AD144" i="7"/>
  <c r="AC144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AP143" i="7"/>
  <c r="AP142" i="7"/>
  <c r="AP141" i="7"/>
  <c r="AP140" i="7"/>
  <c r="AP139" i="7"/>
  <c r="AP138" i="7"/>
  <c r="E138" i="1" s="1"/>
  <c r="AP137" i="7"/>
  <c r="E137" i="1" s="1"/>
  <c r="AP136" i="7"/>
  <c r="AO135" i="7"/>
  <c r="AN135" i="7"/>
  <c r="AM135" i="7"/>
  <c r="AL135" i="7"/>
  <c r="AK135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AP134" i="7"/>
  <c r="AP133" i="7"/>
  <c r="AP132" i="7"/>
  <c r="AP131" i="7"/>
  <c r="AP130" i="7"/>
  <c r="AP129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AP127" i="7"/>
  <c r="AP126" i="7"/>
  <c r="AP125" i="7"/>
  <c r="AO124" i="7"/>
  <c r="AN124" i="7"/>
  <c r="AM124" i="7"/>
  <c r="AL124" i="7"/>
  <c r="AK124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AP123" i="7"/>
  <c r="AP122" i="7"/>
  <c r="AP121" i="7"/>
  <c r="AP120" i="7"/>
  <c r="AP119" i="7"/>
  <c r="AP118" i="7"/>
  <c r="AP117" i="7"/>
  <c r="AP116" i="7"/>
  <c r="AO115" i="7"/>
  <c r="AN115" i="7"/>
  <c r="AM115" i="7"/>
  <c r="AL115" i="7"/>
  <c r="AK115" i="7"/>
  <c r="AJ115" i="7"/>
  <c r="AI115" i="7"/>
  <c r="AH115" i="7"/>
  <c r="AG115" i="7"/>
  <c r="AF115" i="7"/>
  <c r="AE115" i="7"/>
  <c r="AD115" i="7"/>
  <c r="AC115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AP114" i="7"/>
  <c r="AP113" i="7"/>
  <c r="AP112" i="7"/>
  <c r="AP111" i="7"/>
  <c r="AP110" i="7"/>
  <c r="AP109" i="7"/>
  <c r="AO108" i="7"/>
  <c r="AN108" i="7"/>
  <c r="AM108" i="7"/>
  <c r="AL108" i="7"/>
  <c r="AK108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AP107" i="7"/>
  <c r="AP106" i="7"/>
  <c r="AP105" i="7"/>
  <c r="AP104" i="7"/>
  <c r="AP103" i="7"/>
  <c r="AP102" i="7"/>
  <c r="AP101" i="7"/>
  <c r="AP100" i="7"/>
  <c r="AO99" i="7"/>
  <c r="AN99" i="7"/>
  <c r="AM99" i="7"/>
  <c r="AL99" i="7"/>
  <c r="AK99" i="7"/>
  <c r="AJ99" i="7"/>
  <c r="AI99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L180" i="7" s="1"/>
  <c r="L182" i="7" s="1"/>
  <c r="K99" i="7"/>
  <c r="J99" i="7"/>
  <c r="I99" i="7"/>
  <c r="H99" i="7"/>
  <c r="H180" i="7" s="1"/>
  <c r="H182" i="7" s="1"/>
  <c r="G99" i="7"/>
  <c r="F99" i="7"/>
  <c r="E99" i="7"/>
  <c r="AP98" i="7"/>
  <c r="AP97" i="7"/>
  <c r="AP96" i="7"/>
  <c r="AP95" i="7"/>
  <c r="AO94" i="7"/>
  <c r="AN94" i="7"/>
  <c r="AM94" i="7"/>
  <c r="AL94" i="7"/>
  <c r="AK94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AP93" i="7"/>
  <c r="AP92" i="7"/>
  <c r="AP91" i="7"/>
  <c r="AP90" i="7"/>
  <c r="AP89" i="7"/>
  <c r="AO88" i="7"/>
  <c r="AN88" i="7"/>
  <c r="AM88" i="7"/>
  <c r="AL88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Z180" i="7" s="1"/>
  <c r="Z182" i="7" s="1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AP87" i="7"/>
  <c r="AP86" i="7"/>
  <c r="AP85" i="7"/>
  <c r="AP84" i="7"/>
  <c r="AP83" i="7"/>
  <c r="AP82" i="7"/>
  <c r="AP81" i="7"/>
  <c r="AP80" i="7"/>
  <c r="AO79" i="7"/>
  <c r="AN79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AP78" i="7"/>
  <c r="AP77" i="7"/>
  <c r="AP76" i="7"/>
  <c r="AP75" i="7"/>
  <c r="AP74" i="7"/>
  <c r="AP73" i="7"/>
  <c r="AP72" i="7"/>
  <c r="AP71" i="7"/>
  <c r="AO70" i="7"/>
  <c r="AN70" i="7"/>
  <c r="AM70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AP69" i="7"/>
  <c r="AP68" i="7"/>
  <c r="AP67" i="7"/>
  <c r="AP66" i="7"/>
  <c r="AP65" i="7"/>
  <c r="AP64" i="7"/>
  <c r="AP63" i="7"/>
  <c r="AP62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AP60" i="7"/>
  <c r="AP59" i="7"/>
  <c r="AP58" i="7"/>
  <c r="AP57" i="7"/>
  <c r="AP56" i="7"/>
  <c r="AP55" i="7"/>
  <c r="AP54" i="7"/>
  <c r="AP53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AP51" i="7"/>
  <c r="AP50" i="7"/>
  <c r="AP49" i="7"/>
  <c r="AP48" i="7"/>
  <c r="AP47" i="7"/>
  <c r="AP46" i="7"/>
  <c r="AP45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AP40" i="7"/>
  <c r="AP39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AP35" i="7"/>
  <c r="AP34" i="7"/>
  <c r="AP33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C30" i="7" s="1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AO28" i="7"/>
  <c r="AO30" i="7" s="1"/>
  <c r="AN28" i="7"/>
  <c r="AM28" i="7"/>
  <c r="AL28" i="7"/>
  <c r="AL30" i="7" s="1"/>
  <c r="AK28" i="7"/>
  <c r="AJ28" i="7"/>
  <c r="AI28" i="7"/>
  <c r="AH28" i="7"/>
  <c r="AH30" i="7" s="1"/>
  <c r="AG28" i="7"/>
  <c r="AG30" i="7" s="1"/>
  <c r="AF28" i="7"/>
  <c r="AF30" i="7" s="1"/>
  <c r="AE28" i="7"/>
  <c r="AD28" i="7"/>
  <c r="AD30" i="7" s="1"/>
  <c r="AC28" i="7"/>
  <c r="AB28" i="7"/>
  <c r="AB30" i="7" s="1"/>
  <c r="AA28" i="7"/>
  <c r="AA30" i="7" s="1"/>
  <c r="Z28" i="7"/>
  <c r="Z30" i="7" s="1"/>
  <c r="Y28" i="7"/>
  <c r="X28" i="7"/>
  <c r="W28" i="7"/>
  <c r="W30" i="7" s="1"/>
  <c r="V28" i="7"/>
  <c r="V30" i="7" s="1"/>
  <c r="U28" i="7"/>
  <c r="U30" i="7" s="1"/>
  <c r="T28" i="7"/>
  <c r="T30" i="7" s="1"/>
  <c r="S28" i="7"/>
  <c r="S30" i="7" s="1"/>
  <c r="R28" i="7"/>
  <c r="Q28" i="7"/>
  <c r="P28" i="7"/>
  <c r="P30" i="7" s="1"/>
  <c r="O28" i="7"/>
  <c r="O30" i="7" s="1"/>
  <c r="N28" i="7"/>
  <c r="N30" i="7" s="1"/>
  <c r="M28" i="7"/>
  <c r="M30" i="7" s="1"/>
  <c r="L28" i="7"/>
  <c r="L30" i="7" s="1"/>
  <c r="K28" i="7"/>
  <c r="K30" i="7" s="1"/>
  <c r="J28" i="7"/>
  <c r="I28" i="7"/>
  <c r="H28" i="7"/>
  <c r="H30" i="7" s="1"/>
  <c r="G28" i="7"/>
  <c r="G30" i="7" s="1"/>
  <c r="F28" i="7"/>
  <c r="E28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AP26" i="7"/>
  <c r="AP25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AP23" i="7"/>
  <c r="AP22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AP20" i="7"/>
  <c r="AP19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AP15" i="7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X181" i="6"/>
  <c r="X179" i="6"/>
  <c r="X178" i="6"/>
  <c r="W177" i="6"/>
  <c r="V177" i="6"/>
  <c r="U177" i="6"/>
  <c r="T177" i="6"/>
  <c r="S177" i="6"/>
  <c r="R177" i="6"/>
  <c r="Q177" i="6"/>
  <c r="P177" i="6"/>
  <c r="O177" i="6"/>
  <c r="N177" i="6"/>
  <c r="M177" i="6"/>
  <c r="L177" i="6"/>
  <c r="K177" i="6"/>
  <c r="J177" i="6"/>
  <c r="I177" i="6"/>
  <c r="H177" i="6"/>
  <c r="G177" i="6"/>
  <c r="F177" i="6"/>
  <c r="E177" i="6"/>
  <c r="X176" i="6"/>
  <c r="X175" i="6"/>
  <c r="X174" i="6"/>
  <c r="X173" i="6"/>
  <c r="W172" i="6"/>
  <c r="V172" i="6"/>
  <c r="U172" i="6"/>
  <c r="T172" i="6"/>
  <c r="S172" i="6"/>
  <c r="R172" i="6"/>
  <c r="Q172" i="6"/>
  <c r="P172" i="6"/>
  <c r="O172" i="6"/>
  <c r="N172" i="6"/>
  <c r="M172" i="6"/>
  <c r="L172" i="6"/>
  <c r="K172" i="6"/>
  <c r="J172" i="6"/>
  <c r="I172" i="6"/>
  <c r="X172" i="6" s="1"/>
  <c r="H172" i="6"/>
  <c r="G172" i="6"/>
  <c r="F172" i="6"/>
  <c r="E172" i="6"/>
  <c r="X171" i="6"/>
  <c r="X170" i="6"/>
  <c r="X169" i="6"/>
  <c r="X168" i="6"/>
  <c r="X167" i="6"/>
  <c r="X166" i="6"/>
  <c r="X165" i="6"/>
  <c r="X164" i="6"/>
  <c r="W163" i="6"/>
  <c r="V163" i="6"/>
  <c r="U163" i="6"/>
  <c r="T163" i="6"/>
  <c r="S163" i="6"/>
  <c r="R163" i="6"/>
  <c r="Q163" i="6"/>
  <c r="P163" i="6"/>
  <c r="O163" i="6"/>
  <c r="N163" i="6"/>
  <c r="M163" i="6"/>
  <c r="L163" i="6"/>
  <c r="K163" i="6"/>
  <c r="J163" i="6"/>
  <c r="I163" i="6"/>
  <c r="H163" i="6"/>
  <c r="G163" i="6"/>
  <c r="F163" i="6"/>
  <c r="E163" i="6"/>
  <c r="X162" i="6"/>
  <c r="X161" i="6"/>
  <c r="X160" i="6"/>
  <c r="X159" i="6"/>
  <c r="X158" i="6"/>
  <c r="W157" i="6"/>
  <c r="V157" i="6"/>
  <c r="U157" i="6"/>
  <c r="T157" i="6"/>
  <c r="S157" i="6"/>
  <c r="R157" i="6"/>
  <c r="Q157" i="6"/>
  <c r="P157" i="6"/>
  <c r="O157" i="6"/>
  <c r="N157" i="6"/>
  <c r="M157" i="6"/>
  <c r="L157" i="6"/>
  <c r="K157" i="6"/>
  <c r="J157" i="6"/>
  <c r="I157" i="6"/>
  <c r="H157" i="6"/>
  <c r="G157" i="6"/>
  <c r="F157" i="6"/>
  <c r="E157" i="6"/>
  <c r="X156" i="6"/>
  <c r="E156" i="1" s="1"/>
  <c r="X155" i="6"/>
  <c r="X154" i="6"/>
  <c r="W153" i="6"/>
  <c r="V153" i="6"/>
  <c r="U153" i="6"/>
  <c r="T153" i="6"/>
  <c r="S153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X152" i="6"/>
  <c r="X151" i="6"/>
  <c r="X150" i="6"/>
  <c r="X149" i="6"/>
  <c r="X148" i="6"/>
  <c r="X147" i="6"/>
  <c r="X146" i="6"/>
  <c r="X145" i="6"/>
  <c r="W144" i="6"/>
  <c r="V144" i="6"/>
  <c r="U144" i="6"/>
  <c r="T144" i="6"/>
  <c r="S144" i="6"/>
  <c r="R144" i="6"/>
  <c r="Q144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X143" i="6"/>
  <c r="X142" i="6"/>
  <c r="X141" i="6"/>
  <c r="X140" i="6"/>
  <c r="X139" i="6"/>
  <c r="X138" i="6"/>
  <c r="X137" i="6"/>
  <c r="X136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X134" i="6"/>
  <c r="X133" i="6"/>
  <c r="X132" i="6"/>
  <c r="X131" i="6"/>
  <c r="X130" i="6"/>
  <c r="X129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X127" i="6"/>
  <c r="X126" i="6"/>
  <c r="X125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X123" i="6"/>
  <c r="X122" i="6"/>
  <c r="X121" i="6"/>
  <c r="X120" i="6"/>
  <c r="X119" i="6"/>
  <c r="X118" i="6"/>
  <c r="X117" i="6"/>
  <c r="X116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X115" i="6" s="1"/>
  <c r="X114" i="6"/>
  <c r="X113" i="6"/>
  <c r="X112" i="6"/>
  <c r="X111" i="6"/>
  <c r="X110" i="6"/>
  <c r="X109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X107" i="6"/>
  <c r="X106" i="6"/>
  <c r="X105" i="6"/>
  <c r="X104" i="6"/>
  <c r="E104" i="1" s="1"/>
  <c r="X103" i="6"/>
  <c r="X102" i="6"/>
  <c r="X101" i="6"/>
  <c r="X100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X98" i="6"/>
  <c r="X97" i="6"/>
  <c r="X96" i="6"/>
  <c r="X95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X93" i="6"/>
  <c r="X92" i="6"/>
  <c r="X91" i="6"/>
  <c r="X90" i="6"/>
  <c r="X89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X87" i="6"/>
  <c r="X86" i="6"/>
  <c r="X85" i="6"/>
  <c r="X84" i="6"/>
  <c r="X83" i="6"/>
  <c r="X82" i="6"/>
  <c r="X81" i="6"/>
  <c r="X80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X79" i="6" s="1"/>
  <c r="X78" i="6"/>
  <c r="X77" i="6"/>
  <c r="X76" i="6"/>
  <c r="X75" i="6"/>
  <c r="X74" i="6"/>
  <c r="X73" i="6"/>
  <c r="X72" i="6"/>
  <c r="X71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X69" i="6"/>
  <c r="X68" i="6"/>
  <c r="X67" i="6"/>
  <c r="X66" i="6"/>
  <c r="X65" i="6"/>
  <c r="X64" i="6"/>
  <c r="X63" i="6"/>
  <c r="X62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X60" i="6"/>
  <c r="X59" i="6"/>
  <c r="X58" i="6"/>
  <c r="X57" i="6"/>
  <c r="X56" i="6"/>
  <c r="X55" i="6"/>
  <c r="X54" i="6"/>
  <c r="X53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X51" i="6"/>
  <c r="X50" i="6"/>
  <c r="X49" i="6"/>
  <c r="X48" i="6"/>
  <c r="X47" i="6"/>
  <c r="X46" i="6"/>
  <c r="X45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X40" i="6"/>
  <c r="X39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X35" i="6"/>
  <c r="X34" i="6"/>
  <c r="X33" i="6"/>
  <c r="P30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W28" i="6"/>
  <c r="W30" i="6" s="1"/>
  <c r="V28" i="6"/>
  <c r="V30" i="6" s="1"/>
  <c r="U28" i="6"/>
  <c r="U30" i="6" s="1"/>
  <c r="T28" i="6"/>
  <c r="T30" i="6" s="1"/>
  <c r="S28" i="6"/>
  <c r="S30" i="6" s="1"/>
  <c r="R28" i="6"/>
  <c r="Q28" i="6"/>
  <c r="P28" i="6"/>
  <c r="O28" i="6"/>
  <c r="N28" i="6"/>
  <c r="M28" i="6"/>
  <c r="L28" i="6"/>
  <c r="K28" i="6"/>
  <c r="K30" i="6" s="1"/>
  <c r="J28" i="6"/>
  <c r="J30" i="6" s="1"/>
  <c r="I28" i="6"/>
  <c r="I30" i="6" s="1"/>
  <c r="H28" i="6"/>
  <c r="H30" i="6" s="1"/>
  <c r="G28" i="6"/>
  <c r="G30" i="6" s="1"/>
  <c r="F28" i="6"/>
  <c r="E28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X26" i="6"/>
  <c r="X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X24" i="6" s="1"/>
  <c r="X23" i="6"/>
  <c r="X22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X20" i="6"/>
  <c r="X19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X15" i="6"/>
  <c r="X14" i="6"/>
  <c r="AA182" i="5"/>
  <c r="Z182" i="5"/>
  <c r="Y182" i="5"/>
  <c r="X182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AB181" i="5"/>
  <c r="AB179" i="5"/>
  <c r="AB178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AB176" i="5"/>
  <c r="AB175" i="5"/>
  <c r="AB174" i="5"/>
  <c r="E174" i="1" s="1"/>
  <c r="AB173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AB171" i="5"/>
  <c r="AB170" i="5"/>
  <c r="AB169" i="5"/>
  <c r="AB168" i="5"/>
  <c r="AB167" i="5"/>
  <c r="E167" i="1" s="1"/>
  <c r="AB166" i="5"/>
  <c r="AB165" i="5"/>
  <c r="AB164" i="5"/>
  <c r="AA163" i="5"/>
  <c r="Z163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AB162" i="5"/>
  <c r="AB161" i="5"/>
  <c r="AB160" i="5"/>
  <c r="AB159" i="5"/>
  <c r="AB158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AB156" i="5"/>
  <c r="AB155" i="5"/>
  <c r="AB154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AB152" i="5"/>
  <c r="AB151" i="5"/>
  <c r="AB150" i="5"/>
  <c r="AB149" i="5"/>
  <c r="AB148" i="5"/>
  <c r="AB147" i="5"/>
  <c r="AB146" i="5"/>
  <c r="AB145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AB143" i="5"/>
  <c r="AB142" i="5"/>
  <c r="AB141" i="5"/>
  <c r="AB140" i="5"/>
  <c r="AB139" i="5"/>
  <c r="AB138" i="5"/>
  <c r="AB137" i="5"/>
  <c r="AB136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AB134" i="5"/>
  <c r="AB133" i="5"/>
  <c r="AB132" i="5"/>
  <c r="AB131" i="5"/>
  <c r="AB130" i="5"/>
  <c r="AB129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AB127" i="5"/>
  <c r="AB126" i="5"/>
  <c r="AB125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AB123" i="5"/>
  <c r="AB122" i="5"/>
  <c r="AB121" i="5"/>
  <c r="AB120" i="5"/>
  <c r="AB119" i="5"/>
  <c r="AB118" i="5"/>
  <c r="AB117" i="5"/>
  <c r="AB116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AB114" i="5"/>
  <c r="AB113" i="5"/>
  <c r="AB112" i="5"/>
  <c r="AB111" i="5"/>
  <c r="AB110" i="5"/>
  <c r="AB109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AB107" i="5"/>
  <c r="AB106" i="5"/>
  <c r="AB105" i="5"/>
  <c r="AB104" i="5"/>
  <c r="AB103" i="5"/>
  <c r="AB102" i="5"/>
  <c r="AB101" i="5"/>
  <c r="AB100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AB99" i="5" s="1"/>
  <c r="AB98" i="5"/>
  <c r="AB97" i="5"/>
  <c r="AB96" i="5"/>
  <c r="AB95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AB93" i="5"/>
  <c r="AB92" i="5"/>
  <c r="AB91" i="5"/>
  <c r="AB90" i="5"/>
  <c r="AB89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AB87" i="5"/>
  <c r="AB86" i="5"/>
  <c r="AB85" i="5"/>
  <c r="AB84" i="5"/>
  <c r="AB83" i="5"/>
  <c r="E83" i="1" s="1"/>
  <c r="AB82" i="5"/>
  <c r="E82" i="1" s="1"/>
  <c r="AB81" i="5"/>
  <c r="AB80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AB78" i="5"/>
  <c r="AB77" i="5"/>
  <c r="AB76" i="5"/>
  <c r="AB75" i="5"/>
  <c r="AB74" i="5"/>
  <c r="AB73" i="5"/>
  <c r="AB72" i="5"/>
  <c r="AB71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AB69" i="5"/>
  <c r="AB68" i="5"/>
  <c r="AB67" i="5"/>
  <c r="AB66" i="5"/>
  <c r="AB65" i="5"/>
  <c r="AB64" i="5"/>
  <c r="AB63" i="5"/>
  <c r="AB62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AB60" i="5"/>
  <c r="AB59" i="5"/>
  <c r="AB58" i="5"/>
  <c r="AB57" i="5"/>
  <c r="AB56" i="5"/>
  <c r="AB55" i="5"/>
  <c r="AB54" i="5"/>
  <c r="AB53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AB51" i="5"/>
  <c r="AB50" i="5"/>
  <c r="AB49" i="5"/>
  <c r="AB48" i="5"/>
  <c r="AB47" i="5"/>
  <c r="AB46" i="5"/>
  <c r="AB45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AB40" i="5"/>
  <c r="AB39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AB35" i="5"/>
  <c r="AB34" i="5"/>
  <c r="AB33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AA28" i="5"/>
  <c r="AA30" i="5" s="1"/>
  <c r="Z28" i="5"/>
  <c r="Y28" i="5"/>
  <c r="X28" i="5"/>
  <c r="W28" i="5"/>
  <c r="W30" i="5" s="1"/>
  <c r="V28" i="5"/>
  <c r="U28" i="5"/>
  <c r="U30" i="5" s="1"/>
  <c r="T28" i="5"/>
  <c r="T30" i="5" s="1"/>
  <c r="S28" i="5"/>
  <c r="R28" i="5"/>
  <c r="Q28" i="5"/>
  <c r="Q30" i="5" s="1"/>
  <c r="P28" i="5"/>
  <c r="P30" i="5" s="1"/>
  <c r="O28" i="5"/>
  <c r="N28" i="5"/>
  <c r="M28" i="5"/>
  <c r="L28" i="5"/>
  <c r="K28" i="5"/>
  <c r="K30" i="5" s="1"/>
  <c r="J28" i="5"/>
  <c r="J30" i="5" s="1"/>
  <c r="I28" i="5"/>
  <c r="H28" i="5"/>
  <c r="H30" i="5" s="1"/>
  <c r="G28" i="5"/>
  <c r="G30" i="5" s="1"/>
  <c r="F28" i="5"/>
  <c r="E28" i="5"/>
  <c r="E30" i="5" s="1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AB26" i="5"/>
  <c r="AB25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AB23" i="5"/>
  <c r="AB22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AB20" i="5"/>
  <c r="AB19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AB15" i="5"/>
  <c r="AB14" i="5"/>
  <c r="AB182" i="4"/>
  <c r="Z182" i="4"/>
  <c r="Y182" i="4"/>
  <c r="X182" i="4"/>
  <c r="W182" i="4"/>
  <c r="V182" i="4"/>
  <c r="U182" i="4"/>
  <c r="T182" i="4"/>
  <c r="S182" i="4"/>
  <c r="R182" i="4"/>
  <c r="P182" i="4"/>
  <c r="N182" i="4"/>
  <c r="M182" i="4"/>
  <c r="L182" i="4"/>
  <c r="K182" i="4"/>
  <c r="J182" i="4"/>
  <c r="I182" i="4"/>
  <c r="H182" i="4"/>
  <c r="G182" i="4"/>
  <c r="F182" i="4"/>
  <c r="AC181" i="4"/>
  <c r="AC179" i="4"/>
  <c r="AC178" i="4"/>
  <c r="AB177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AC176" i="4"/>
  <c r="AC175" i="4"/>
  <c r="AC174" i="4"/>
  <c r="AC173" i="4"/>
  <c r="AB172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AC171" i="4"/>
  <c r="AC170" i="4"/>
  <c r="AC169" i="4"/>
  <c r="AC168" i="4"/>
  <c r="AC167" i="4"/>
  <c r="AC166" i="4"/>
  <c r="AC165" i="4"/>
  <c r="AC164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AC162" i="4"/>
  <c r="AC161" i="4"/>
  <c r="AC160" i="4"/>
  <c r="AC159" i="4"/>
  <c r="AC158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AC157" i="4" s="1"/>
  <c r="AC156" i="4"/>
  <c r="AC155" i="4"/>
  <c r="AC154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AC152" i="4"/>
  <c r="AC151" i="4"/>
  <c r="AC150" i="4"/>
  <c r="AC149" i="4"/>
  <c r="AC148" i="4"/>
  <c r="AC147" i="4"/>
  <c r="AC146" i="4"/>
  <c r="AC145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AC143" i="4"/>
  <c r="AC142" i="4"/>
  <c r="AC141" i="4"/>
  <c r="AC140" i="4"/>
  <c r="AC139" i="4"/>
  <c r="AC138" i="4"/>
  <c r="AC137" i="4"/>
  <c r="AC136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AC134" i="4"/>
  <c r="AC133" i="4"/>
  <c r="AC132" i="4"/>
  <c r="AC131" i="4"/>
  <c r="AC130" i="4"/>
  <c r="AC129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AC127" i="4"/>
  <c r="E127" i="1" s="1"/>
  <c r="AC126" i="4"/>
  <c r="AC125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AC123" i="4"/>
  <c r="AC122" i="4"/>
  <c r="AC121" i="4"/>
  <c r="AC120" i="4"/>
  <c r="AC119" i="4"/>
  <c r="AC118" i="4"/>
  <c r="AC117" i="4"/>
  <c r="AC116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AC114" i="4"/>
  <c r="AC113" i="4"/>
  <c r="AC112" i="4"/>
  <c r="AC111" i="4"/>
  <c r="AC110" i="4"/>
  <c r="AC109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AC107" i="4"/>
  <c r="AC106" i="4"/>
  <c r="AC105" i="4"/>
  <c r="AC104" i="4"/>
  <c r="AC103" i="4"/>
  <c r="AC102" i="4"/>
  <c r="AC101" i="4"/>
  <c r="AC100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AC98" i="4"/>
  <c r="AC97" i="4"/>
  <c r="AC96" i="4"/>
  <c r="AC95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AC93" i="4"/>
  <c r="AC92" i="4"/>
  <c r="AC91" i="4"/>
  <c r="AC90" i="4"/>
  <c r="AC89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AC87" i="4"/>
  <c r="AC86" i="4"/>
  <c r="AC85" i="4"/>
  <c r="AC84" i="4"/>
  <c r="AC83" i="4"/>
  <c r="AC82" i="4"/>
  <c r="AC81" i="4"/>
  <c r="AC80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AC78" i="4"/>
  <c r="AC77" i="4"/>
  <c r="AC76" i="4"/>
  <c r="AC75" i="4"/>
  <c r="AC74" i="4"/>
  <c r="AC73" i="4"/>
  <c r="AC72" i="4"/>
  <c r="AC71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AC69" i="4"/>
  <c r="E69" i="1" s="1"/>
  <c r="AC68" i="4"/>
  <c r="AC67" i="4"/>
  <c r="AC66" i="4"/>
  <c r="AC65" i="4"/>
  <c r="AC64" i="4"/>
  <c r="AC63" i="4"/>
  <c r="AC62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AC60" i="4"/>
  <c r="AC59" i="4"/>
  <c r="AC58" i="4"/>
  <c r="AC57" i="4"/>
  <c r="AC56" i="4"/>
  <c r="AC55" i="4"/>
  <c r="AC54" i="4"/>
  <c r="AC53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AC51" i="4"/>
  <c r="AC50" i="4"/>
  <c r="AC49" i="4"/>
  <c r="AC48" i="4"/>
  <c r="AC47" i="4"/>
  <c r="AC46" i="4"/>
  <c r="AC45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AC40" i="4"/>
  <c r="AC39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AC35" i="4"/>
  <c r="AC34" i="4"/>
  <c r="AC33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AB28" i="4"/>
  <c r="AB30" i="4" s="1"/>
  <c r="AA28" i="4"/>
  <c r="AA30" i="4" s="1"/>
  <c r="Z28" i="4"/>
  <c r="Y28" i="4"/>
  <c r="Y30" i="4" s="1"/>
  <c r="X28" i="4"/>
  <c r="X30" i="4" s="1"/>
  <c r="W28" i="4"/>
  <c r="W30" i="4" s="1"/>
  <c r="V28" i="4"/>
  <c r="V30" i="4" s="1"/>
  <c r="U28" i="4"/>
  <c r="U30" i="4" s="1"/>
  <c r="T28" i="4"/>
  <c r="T30" i="4" s="1"/>
  <c r="S28" i="4"/>
  <c r="S30" i="4" s="1"/>
  <c r="R28" i="4"/>
  <c r="R30" i="4" s="1"/>
  <c r="Q28" i="4"/>
  <c r="Q30" i="4" s="1"/>
  <c r="P28" i="4"/>
  <c r="P30" i="4" s="1"/>
  <c r="O28" i="4"/>
  <c r="O30" i="4" s="1"/>
  <c r="N28" i="4"/>
  <c r="M28" i="4"/>
  <c r="M30" i="4" s="1"/>
  <c r="L28" i="4"/>
  <c r="K28" i="4"/>
  <c r="K30" i="4" s="1"/>
  <c r="J28" i="4"/>
  <c r="J30" i="4" s="1"/>
  <c r="I28" i="4"/>
  <c r="I30" i="4" s="1"/>
  <c r="H28" i="4"/>
  <c r="H30" i="4" s="1"/>
  <c r="G28" i="4"/>
  <c r="G30" i="4" s="1"/>
  <c r="F28" i="4"/>
  <c r="F30" i="4" s="1"/>
  <c r="E28" i="4"/>
  <c r="E30" i="4" s="1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AC26" i="4"/>
  <c r="AC25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AC23" i="4"/>
  <c r="AC22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AC20" i="4"/>
  <c r="AC19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AC15" i="4"/>
  <c r="BA181" i="3"/>
  <c r="BA179" i="3"/>
  <c r="BA178" i="3"/>
  <c r="AZ177" i="3"/>
  <c r="AY177" i="3"/>
  <c r="AX177" i="3"/>
  <c r="AW177" i="3"/>
  <c r="AV177" i="3"/>
  <c r="AU177" i="3"/>
  <c r="AT177" i="3"/>
  <c r="AS177" i="3"/>
  <c r="AR177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BA176" i="3"/>
  <c r="BA175" i="3"/>
  <c r="BA174" i="3"/>
  <c r="BA173" i="3"/>
  <c r="AZ172" i="3"/>
  <c r="AY172" i="3"/>
  <c r="AX172" i="3"/>
  <c r="AW172" i="3"/>
  <c r="AV172" i="3"/>
  <c r="AU172" i="3"/>
  <c r="AT172" i="3"/>
  <c r="AS172" i="3"/>
  <c r="AR172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BA171" i="3"/>
  <c r="BA170" i="3"/>
  <c r="BA169" i="3"/>
  <c r="BA168" i="3"/>
  <c r="BA167" i="3"/>
  <c r="BA166" i="3"/>
  <c r="BA165" i="3"/>
  <c r="BA164" i="3"/>
  <c r="AZ163" i="3"/>
  <c r="AY163" i="3"/>
  <c r="AX163" i="3"/>
  <c r="AW163" i="3"/>
  <c r="AV163" i="3"/>
  <c r="AU163" i="3"/>
  <c r="AT163" i="3"/>
  <c r="AS163" i="3"/>
  <c r="AR163" i="3"/>
  <c r="AQ163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BA162" i="3"/>
  <c r="BA161" i="3"/>
  <c r="BA160" i="3"/>
  <c r="E160" i="1" s="1"/>
  <c r="BA159" i="3"/>
  <c r="BA158" i="3"/>
  <c r="AZ157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BA156" i="3"/>
  <c r="BA155" i="3"/>
  <c r="BA154" i="3"/>
  <c r="AZ153" i="3"/>
  <c r="AY153" i="3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BA152" i="3"/>
  <c r="BA151" i="3"/>
  <c r="BA150" i="3"/>
  <c r="BA149" i="3"/>
  <c r="BA148" i="3"/>
  <c r="BA147" i="3"/>
  <c r="BA146" i="3"/>
  <c r="E146" i="1" s="1"/>
  <c r="BA145" i="3"/>
  <c r="AZ144" i="3"/>
  <c r="AY144" i="3"/>
  <c r="AX144" i="3"/>
  <c r="AW144" i="3"/>
  <c r="AV144" i="3"/>
  <c r="AU144" i="3"/>
  <c r="AT144" i="3"/>
  <c r="AS144" i="3"/>
  <c r="AR144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BA143" i="3"/>
  <c r="BA142" i="3"/>
  <c r="BA141" i="3"/>
  <c r="BA140" i="3"/>
  <c r="E140" i="1" s="1"/>
  <c r="BA139" i="3"/>
  <c r="BA138" i="3"/>
  <c r="BA137" i="3"/>
  <c r="BA136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BA134" i="3"/>
  <c r="BA133" i="3"/>
  <c r="BA132" i="3"/>
  <c r="BA131" i="3"/>
  <c r="BA129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BA127" i="3"/>
  <c r="BA126" i="3"/>
  <c r="BA125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BA123" i="3"/>
  <c r="BA122" i="3"/>
  <c r="E122" i="1" s="1"/>
  <c r="BA121" i="3"/>
  <c r="E121" i="1" s="1"/>
  <c r="BA120" i="3"/>
  <c r="BA119" i="3"/>
  <c r="BA118" i="3"/>
  <c r="BA117" i="3"/>
  <c r="BA116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BA114" i="3"/>
  <c r="BA113" i="3"/>
  <c r="BA112" i="3"/>
  <c r="BA111" i="3"/>
  <c r="BA110" i="3"/>
  <c r="BA109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BA107" i="3"/>
  <c r="BA106" i="3"/>
  <c r="BA105" i="3"/>
  <c r="BA104" i="3"/>
  <c r="BA103" i="3"/>
  <c r="BA102" i="3"/>
  <c r="BA101" i="3"/>
  <c r="BA100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BA98" i="3"/>
  <c r="E98" i="1" s="1"/>
  <c r="BA97" i="3"/>
  <c r="BA96" i="3"/>
  <c r="BA95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BA93" i="3"/>
  <c r="E93" i="1" s="1"/>
  <c r="BA92" i="3"/>
  <c r="BA91" i="3"/>
  <c r="BA90" i="3"/>
  <c r="E90" i="1" s="1"/>
  <c r="BA89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BA87" i="3"/>
  <c r="BA86" i="3"/>
  <c r="BA85" i="3"/>
  <c r="BA84" i="3"/>
  <c r="BA83" i="3"/>
  <c r="BA82" i="3"/>
  <c r="BA81" i="3"/>
  <c r="BA80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BA78" i="3"/>
  <c r="BA77" i="3"/>
  <c r="BA76" i="3"/>
  <c r="E76" i="1" s="1"/>
  <c r="BA75" i="3"/>
  <c r="BA74" i="3"/>
  <c r="BA73" i="3"/>
  <c r="BA72" i="3"/>
  <c r="BA71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BA69" i="3"/>
  <c r="BA68" i="3"/>
  <c r="BA67" i="3"/>
  <c r="BA66" i="3"/>
  <c r="BA65" i="3"/>
  <c r="BA64" i="3"/>
  <c r="BA63" i="3"/>
  <c r="E63" i="1" s="1"/>
  <c r="BA62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BA60" i="3"/>
  <c r="BA59" i="3"/>
  <c r="BA58" i="3"/>
  <c r="BA57" i="3"/>
  <c r="BA56" i="3"/>
  <c r="BA55" i="3"/>
  <c r="BA54" i="3"/>
  <c r="BA53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BA51" i="3"/>
  <c r="BA50" i="3"/>
  <c r="BA49" i="3"/>
  <c r="BA48" i="3"/>
  <c r="BA47" i="3"/>
  <c r="BA46" i="3"/>
  <c r="BA45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BA40" i="3"/>
  <c r="BA39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BA35" i="3"/>
  <c r="BA34" i="3"/>
  <c r="BA33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AZ28" i="3"/>
  <c r="AZ30" i="3" s="1"/>
  <c r="AY28" i="3"/>
  <c r="AY30" i="3" s="1"/>
  <c r="AX28" i="3"/>
  <c r="AX30" i="3" s="1"/>
  <c r="AW28" i="3"/>
  <c r="AV28" i="3"/>
  <c r="AV30" i="3" s="1"/>
  <c r="AU28" i="3"/>
  <c r="AU30" i="3" s="1"/>
  <c r="AT28" i="3"/>
  <c r="AT30" i="3" s="1"/>
  <c r="AS28" i="3"/>
  <c r="AS30" i="3" s="1"/>
  <c r="AR28" i="3"/>
  <c r="AR30" i="3" s="1"/>
  <c r="AQ28" i="3"/>
  <c r="AP28" i="3"/>
  <c r="AO28" i="3"/>
  <c r="AO30" i="3" s="1"/>
  <c r="AN28" i="3"/>
  <c r="AN30" i="3" s="1"/>
  <c r="AM28" i="3"/>
  <c r="AM30" i="3" s="1"/>
  <c r="AL28" i="3"/>
  <c r="AK28" i="3"/>
  <c r="AK30" i="3" s="1"/>
  <c r="AJ28" i="3"/>
  <c r="AJ30" i="3" s="1"/>
  <c r="AI28" i="3"/>
  <c r="AI30" i="3" s="1"/>
  <c r="AH28" i="3"/>
  <c r="AH30" i="3" s="1"/>
  <c r="AG28" i="3"/>
  <c r="AG30" i="3" s="1"/>
  <c r="AF28" i="3"/>
  <c r="AF30" i="3" s="1"/>
  <c r="AE28" i="3"/>
  <c r="AE30" i="3" s="1"/>
  <c r="AD28" i="3"/>
  <c r="AC28" i="3"/>
  <c r="AC30" i="3" s="1"/>
  <c r="AB28" i="3"/>
  <c r="AB30" i="3" s="1"/>
  <c r="AA28" i="3"/>
  <c r="AA30" i="3" s="1"/>
  <c r="Z28" i="3"/>
  <c r="Y28" i="3"/>
  <c r="X28" i="3"/>
  <c r="X30" i="3" s="1"/>
  <c r="W28" i="3"/>
  <c r="W30" i="3" s="1"/>
  <c r="V28" i="3"/>
  <c r="V30" i="3" s="1"/>
  <c r="U28" i="3"/>
  <c r="U30" i="3" s="1"/>
  <c r="T28" i="3"/>
  <c r="T30" i="3" s="1"/>
  <c r="S28" i="3"/>
  <c r="S30" i="3" s="1"/>
  <c r="R28" i="3"/>
  <c r="Q28" i="3"/>
  <c r="Q30" i="3" s="1"/>
  <c r="P28" i="3"/>
  <c r="O28" i="3"/>
  <c r="O30" i="3" s="1"/>
  <c r="N28" i="3"/>
  <c r="M28" i="3"/>
  <c r="M30" i="3" s="1"/>
  <c r="L28" i="3"/>
  <c r="L30" i="3" s="1"/>
  <c r="K28" i="3"/>
  <c r="K30" i="3" s="1"/>
  <c r="J28" i="3"/>
  <c r="J30" i="3" s="1"/>
  <c r="I28" i="3"/>
  <c r="I30" i="3" s="1"/>
  <c r="H28" i="3"/>
  <c r="H30" i="3" s="1"/>
  <c r="G28" i="3"/>
  <c r="G30" i="3" s="1"/>
  <c r="F28" i="3"/>
  <c r="E28" i="3"/>
  <c r="E30" i="3" s="1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BA26" i="3"/>
  <c r="BA25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BA23" i="3"/>
  <c r="BA22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BA20" i="3"/>
  <c r="BA19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BA15" i="3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E168" i="1"/>
  <c r="E165" i="1"/>
  <c r="AX163" i="2"/>
  <c r="AW163" i="2"/>
  <c r="AV163" i="2"/>
  <c r="AU163" i="2"/>
  <c r="AT163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AX157" i="2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E131" i="1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E84" i="1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54" i="1"/>
  <c r="AX52" i="2"/>
  <c r="AW52" i="2"/>
  <c r="AV52" i="2"/>
  <c r="AU52" i="2"/>
  <c r="AT52" i="2"/>
  <c r="AT180" i="2" s="1"/>
  <c r="AT182" i="2" s="1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C180" i="2" s="1"/>
  <c r="AC182" i="2" s="1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AX41" i="2"/>
  <c r="AY41" i="2" s="1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AX36" i="2"/>
  <c r="AY36" i="2" s="1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AX29" i="2"/>
  <c r="AY29" i="2" s="1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V30" i="2" s="1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AX28" i="2"/>
  <c r="AY28" i="2" s="1"/>
  <c r="AW28" i="2"/>
  <c r="AW30" i="2" s="1"/>
  <c r="AV28" i="2"/>
  <c r="AV30" i="2" s="1"/>
  <c r="AU28" i="2"/>
  <c r="AU30" i="2" s="1"/>
  <c r="AT28" i="2"/>
  <c r="AS28" i="2"/>
  <c r="AR28" i="2"/>
  <c r="AQ28" i="2"/>
  <c r="AQ30" i="2" s="1"/>
  <c r="AP28" i="2"/>
  <c r="AO28" i="2"/>
  <c r="AN28" i="2"/>
  <c r="AM28" i="2"/>
  <c r="AL28" i="2"/>
  <c r="AL30" i="2" s="1"/>
  <c r="AK28" i="2"/>
  <c r="AK30" i="2" s="1"/>
  <c r="AJ28" i="2"/>
  <c r="AJ30" i="2" s="1"/>
  <c r="AI28" i="2"/>
  <c r="AI30" i="2" s="1"/>
  <c r="AH28" i="2"/>
  <c r="AG28" i="2"/>
  <c r="AG30" i="2" s="1"/>
  <c r="AF28" i="2"/>
  <c r="AE28" i="2"/>
  <c r="AE30" i="2" s="1"/>
  <c r="AD28" i="2"/>
  <c r="AD30" i="2" s="1"/>
  <c r="AC28" i="2"/>
  <c r="AC30" i="2" s="1"/>
  <c r="AB28" i="2"/>
  <c r="AA28" i="2"/>
  <c r="AA30" i="2" s="1"/>
  <c r="Z28" i="2"/>
  <c r="Z30" i="2" s="1"/>
  <c r="Y28" i="2"/>
  <c r="Y30" i="2" s="1"/>
  <c r="X28" i="2"/>
  <c r="X30" i="2" s="1"/>
  <c r="W28" i="2"/>
  <c r="V28" i="2"/>
  <c r="U28" i="2"/>
  <c r="U30" i="2" s="1"/>
  <c r="T28" i="2"/>
  <c r="S28" i="2"/>
  <c r="S30" i="2" s="1"/>
  <c r="R28" i="2"/>
  <c r="Q28" i="2"/>
  <c r="P28" i="2"/>
  <c r="P30" i="2" s="1"/>
  <c r="O28" i="2"/>
  <c r="O30" i="2" s="1"/>
  <c r="N28" i="2"/>
  <c r="M28" i="2"/>
  <c r="L28" i="2"/>
  <c r="K28" i="2"/>
  <c r="J28" i="2"/>
  <c r="I28" i="2"/>
  <c r="I30" i="2" s="1"/>
  <c r="H28" i="2"/>
  <c r="G28" i="2"/>
  <c r="G30" i="2" s="1"/>
  <c r="F28" i="2"/>
  <c r="E28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AX21" i="2"/>
  <c r="AY21" i="2" s="1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E14" i="1"/>
  <c r="E166" i="1"/>
  <c r="E151" i="1"/>
  <c r="E123" i="1"/>
  <c r="E111" i="1"/>
  <c r="E110" i="1"/>
  <c r="E96" i="1"/>
  <c r="E23" i="1"/>
  <c r="AB182" i="5" l="1"/>
  <c r="AB177" i="5"/>
  <c r="AB172" i="5"/>
  <c r="AB163" i="5"/>
  <c r="AB157" i="5"/>
  <c r="E150" i="1"/>
  <c r="AB153" i="5"/>
  <c r="AB144" i="5"/>
  <c r="E132" i="1"/>
  <c r="AB135" i="5"/>
  <c r="AB128" i="5"/>
  <c r="AB124" i="5"/>
  <c r="AB115" i="5"/>
  <c r="AB108" i="5"/>
  <c r="E97" i="1"/>
  <c r="AB94" i="5"/>
  <c r="AB88" i="5"/>
  <c r="AB79" i="5"/>
  <c r="E68" i="1"/>
  <c r="AB70" i="5"/>
  <c r="E66" i="1"/>
  <c r="E55" i="1"/>
  <c r="AB61" i="5"/>
  <c r="AB52" i="5"/>
  <c r="AB41" i="5"/>
  <c r="X30" i="5"/>
  <c r="Y30" i="5"/>
  <c r="Z30" i="5"/>
  <c r="V30" i="5"/>
  <c r="E35" i="1"/>
  <c r="AB36" i="5"/>
  <c r="AB27" i="5"/>
  <c r="O30" i="5"/>
  <c r="AB24" i="5"/>
  <c r="L30" i="5"/>
  <c r="S30" i="5"/>
  <c r="I30" i="5"/>
  <c r="AB29" i="5"/>
  <c r="AB28" i="5"/>
  <c r="N30" i="5"/>
  <c r="AB21" i="5"/>
  <c r="F30" i="5"/>
  <c r="R30" i="5"/>
  <c r="AB16" i="5"/>
  <c r="X182" i="6"/>
  <c r="X177" i="6"/>
  <c r="X163" i="6"/>
  <c r="X157" i="6"/>
  <c r="E152" i="1"/>
  <c r="X153" i="6"/>
  <c r="X144" i="6"/>
  <c r="X135" i="6"/>
  <c r="X128" i="6"/>
  <c r="X124" i="6"/>
  <c r="X108" i="6"/>
  <c r="X99" i="6"/>
  <c r="X94" i="6"/>
  <c r="X88" i="6"/>
  <c r="X70" i="6"/>
  <c r="X61" i="6"/>
  <c r="X52" i="6"/>
  <c r="E50" i="1"/>
  <c r="X41" i="6"/>
  <c r="X36" i="6"/>
  <c r="L30" i="6"/>
  <c r="X27" i="6"/>
  <c r="M30" i="6"/>
  <c r="O30" i="6"/>
  <c r="N30" i="6"/>
  <c r="X29" i="6"/>
  <c r="X28" i="6"/>
  <c r="Q30" i="6"/>
  <c r="F30" i="6"/>
  <c r="R30" i="6"/>
  <c r="X21" i="6"/>
  <c r="X16" i="6"/>
  <c r="AP177" i="7"/>
  <c r="AP172" i="7"/>
  <c r="AP163" i="7"/>
  <c r="AP157" i="7"/>
  <c r="E149" i="1"/>
  <c r="AP153" i="7"/>
  <c r="J180" i="7"/>
  <c r="J182" i="7" s="1"/>
  <c r="K180" i="7"/>
  <c r="K182" i="7" s="1"/>
  <c r="M180" i="7"/>
  <c r="M182" i="7" s="1"/>
  <c r="AP144" i="7"/>
  <c r="V180" i="7"/>
  <c r="V182" i="7" s="1"/>
  <c r="AH180" i="7"/>
  <c r="AH182" i="7" s="1"/>
  <c r="E126" i="1"/>
  <c r="E128" i="1" s="1"/>
  <c r="AP135" i="7"/>
  <c r="AP128" i="7"/>
  <c r="N180" i="7"/>
  <c r="N182" i="7" s="1"/>
  <c r="AE180" i="7"/>
  <c r="AE182" i="7" s="1"/>
  <c r="I180" i="7"/>
  <c r="I182" i="7" s="1"/>
  <c r="O180" i="7"/>
  <c r="O182" i="7" s="1"/>
  <c r="AP124" i="7"/>
  <c r="AP115" i="7"/>
  <c r="G180" i="7"/>
  <c r="G182" i="7" s="1"/>
  <c r="S180" i="7"/>
  <c r="S182" i="7" s="1"/>
  <c r="AM180" i="7"/>
  <c r="AM182" i="7" s="1"/>
  <c r="AN180" i="7"/>
  <c r="AN182" i="7" s="1"/>
  <c r="AL180" i="7"/>
  <c r="AL182" i="7" s="1"/>
  <c r="AO180" i="7"/>
  <c r="AO182" i="7" s="1"/>
  <c r="W180" i="7"/>
  <c r="W182" i="7" s="1"/>
  <c r="Y180" i="7"/>
  <c r="Y182" i="7" s="1"/>
  <c r="U180" i="7"/>
  <c r="U182" i="7" s="1"/>
  <c r="AG180" i="7"/>
  <c r="AG182" i="7" s="1"/>
  <c r="X180" i="7"/>
  <c r="X182" i="7" s="1"/>
  <c r="E107" i="1"/>
  <c r="P180" i="7"/>
  <c r="P182" i="7" s="1"/>
  <c r="E180" i="7"/>
  <c r="E182" i="7" s="1"/>
  <c r="Q180" i="7"/>
  <c r="Q182" i="7" s="1"/>
  <c r="R180" i="7"/>
  <c r="R182" i="7" s="1"/>
  <c r="AP108" i="7"/>
  <c r="AP99" i="7"/>
  <c r="F180" i="7"/>
  <c r="F182" i="7" s="1"/>
  <c r="AI180" i="7"/>
  <c r="AI182" i="7" s="1"/>
  <c r="AJ180" i="7"/>
  <c r="AJ182" i="7" s="1"/>
  <c r="AK180" i="7"/>
  <c r="AK182" i="7" s="1"/>
  <c r="AA180" i="7"/>
  <c r="AA182" i="7" s="1"/>
  <c r="AB180" i="7"/>
  <c r="AB182" i="7" s="1"/>
  <c r="AC180" i="7"/>
  <c r="AC182" i="7" s="1"/>
  <c r="AD180" i="7"/>
  <c r="AD182" i="7" s="1"/>
  <c r="T180" i="7"/>
  <c r="T182" i="7" s="1"/>
  <c r="AF180" i="7"/>
  <c r="AF182" i="7" s="1"/>
  <c r="AP94" i="7"/>
  <c r="AP88" i="7"/>
  <c r="AP79" i="7"/>
  <c r="AP70" i="7"/>
  <c r="E56" i="1"/>
  <c r="AP61" i="7"/>
  <c r="AP52" i="7"/>
  <c r="AN30" i="7"/>
  <c r="AI30" i="7"/>
  <c r="AK30" i="7"/>
  <c r="AM30" i="7"/>
  <c r="AJ30" i="7"/>
  <c r="AP41" i="7"/>
  <c r="Y30" i="7"/>
  <c r="AE30" i="7"/>
  <c r="X30" i="7"/>
  <c r="AP36" i="7"/>
  <c r="Q30" i="7"/>
  <c r="AP27" i="7"/>
  <c r="F30" i="7"/>
  <c r="R30" i="7"/>
  <c r="AP24" i="7"/>
  <c r="AP21" i="7"/>
  <c r="J30" i="7"/>
  <c r="AP28" i="7"/>
  <c r="AP29" i="7"/>
  <c r="E30" i="7"/>
  <c r="I30" i="7"/>
  <c r="AP16" i="7"/>
  <c r="AY177" i="2"/>
  <c r="AY172" i="2"/>
  <c r="Q180" i="2"/>
  <c r="Q182" i="2" s="1"/>
  <c r="AY163" i="2"/>
  <c r="AY157" i="2"/>
  <c r="AL180" i="2"/>
  <c r="AL182" i="2" s="1"/>
  <c r="AY153" i="2"/>
  <c r="AY144" i="2"/>
  <c r="V180" i="2"/>
  <c r="V182" i="2" s="1"/>
  <c r="AY135" i="2"/>
  <c r="AY128" i="2"/>
  <c r="AF180" i="2"/>
  <c r="AF182" i="2" s="1"/>
  <c r="T180" i="2"/>
  <c r="T182" i="2" s="1"/>
  <c r="AY124" i="2"/>
  <c r="AY115" i="2"/>
  <c r="AM180" i="2"/>
  <c r="AM182" i="2" s="1"/>
  <c r="AY108" i="2"/>
  <c r="O180" i="2"/>
  <c r="O182" i="2" s="1"/>
  <c r="AY99" i="2"/>
  <c r="AN180" i="2"/>
  <c r="AN182" i="2" s="1"/>
  <c r="AK180" i="2"/>
  <c r="AK182" i="2" s="1"/>
  <c r="AD180" i="2"/>
  <c r="AD182" i="2" s="1"/>
  <c r="X180" i="2"/>
  <c r="X182" i="2" s="1"/>
  <c r="AB180" i="2"/>
  <c r="AB182" i="2" s="1"/>
  <c r="AA180" i="2"/>
  <c r="AA182" i="2" s="1"/>
  <c r="P180" i="2"/>
  <c r="P182" i="2" s="1"/>
  <c r="G180" i="2"/>
  <c r="G182" i="2" s="1"/>
  <c r="S180" i="2"/>
  <c r="S182" i="2" s="1"/>
  <c r="AY94" i="2"/>
  <c r="N180" i="2"/>
  <c r="N182" i="2" s="1"/>
  <c r="AY88" i="2"/>
  <c r="AU180" i="2"/>
  <c r="AU182" i="2" s="1"/>
  <c r="AI180" i="2"/>
  <c r="AI182" i="2" s="1"/>
  <c r="AS180" i="2"/>
  <c r="AS182" i="2" s="1"/>
  <c r="AO180" i="2"/>
  <c r="AO182" i="2" s="1"/>
  <c r="U180" i="2"/>
  <c r="U182" i="2" s="1"/>
  <c r="AG180" i="2"/>
  <c r="AG182" i="2" s="1"/>
  <c r="Y180" i="2"/>
  <c r="Y182" i="2" s="1"/>
  <c r="Z180" i="2"/>
  <c r="Z182" i="2" s="1"/>
  <c r="J180" i="2"/>
  <c r="J182" i="2" s="1"/>
  <c r="AY79" i="2"/>
  <c r="R180" i="2"/>
  <c r="R182" i="2" s="1"/>
  <c r="I180" i="2"/>
  <c r="I182" i="2" s="1"/>
  <c r="K180" i="2"/>
  <c r="K182" i="2" s="1"/>
  <c r="AY70" i="2"/>
  <c r="E180" i="2"/>
  <c r="E182" i="2" s="1"/>
  <c r="AX180" i="2"/>
  <c r="AX182" i="2" s="1"/>
  <c r="AP180" i="2"/>
  <c r="AP182" i="2" s="1"/>
  <c r="AQ180" i="2"/>
  <c r="AQ182" i="2" s="1"/>
  <c r="AR180" i="2"/>
  <c r="AR182" i="2" s="1"/>
  <c r="AJ180" i="2"/>
  <c r="AJ182" i="2" s="1"/>
  <c r="AV180" i="2"/>
  <c r="AV182" i="2" s="1"/>
  <c r="AW180" i="2"/>
  <c r="AW182" i="2" s="1"/>
  <c r="AY61" i="2"/>
  <c r="AE180" i="2"/>
  <c r="AE182" i="2" s="1"/>
  <c r="AH180" i="2"/>
  <c r="AH182" i="2" s="1"/>
  <c r="W180" i="2"/>
  <c r="W182" i="2" s="1"/>
  <c r="H180" i="2"/>
  <c r="H182" i="2" s="1"/>
  <c r="L180" i="2"/>
  <c r="L182" i="2" s="1"/>
  <c r="M180" i="2"/>
  <c r="M182" i="2" s="1"/>
  <c r="AY52" i="2"/>
  <c r="F180" i="2"/>
  <c r="F182" i="2" s="1"/>
  <c r="AX30" i="2"/>
  <c r="AY30" i="2" s="1"/>
  <c r="AM30" i="2"/>
  <c r="AR30" i="2"/>
  <c r="E22" i="1"/>
  <c r="E24" i="1" s="1"/>
  <c r="AP30" i="2"/>
  <c r="AS30" i="2"/>
  <c r="AT30" i="2"/>
  <c r="AN30" i="2"/>
  <c r="AO30" i="2"/>
  <c r="E33" i="1"/>
  <c r="T30" i="2"/>
  <c r="AF30" i="2"/>
  <c r="AB30" i="2"/>
  <c r="AH30" i="2"/>
  <c r="E19" i="1"/>
  <c r="E15" i="1"/>
  <c r="E16" i="1" s="1"/>
  <c r="K30" i="2"/>
  <c r="M30" i="2"/>
  <c r="N30" i="2"/>
  <c r="L30" i="2"/>
  <c r="R30" i="2"/>
  <c r="E30" i="2"/>
  <c r="Q30" i="2"/>
  <c r="H30" i="2"/>
  <c r="J30" i="2"/>
  <c r="F30" i="2"/>
  <c r="E181" i="1"/>
  <c r="BA177" i="3"/>
  <c r="E175" i="1"/>
  <c r="E171" i="1"/>
  <c r="BA172" i="3"/>
  <c r="BA163" i="3"/>
  <c r="BA157" i="3"/>
  <c r="E139" i="1"/>
  <c r="E147" i="1"/>
  <c r="BA153" i="3"/>
  <c r="E141" i="1"/>
  <c r="E142" i="1"/>
  <c r="BA144" i="3"/>
  <c r="E133" i="1"/>
  <c r="N180" i="3"/>
  <c r="N182" i="3" s="1"/>
  <c r="BA135" i="3"/>
  <c r="AX180" i="3"/>
  <c r="AX182" i="3" s="1"/>
  <c r="AZ180" i="3"/>
  <c r="AZ182" i="3" s="1"/>
  <c r="E134" i="1"/>
  <c r="E130" i="1"/>
  <c r="BA128" i="3"/>
  <c r="E120" i="1"/>
  <c r="AQ180" i="3"/>
  <c r="AQ182" i="3" s="1"/>
  <c r="AB180" i="3"/>
  <c r="AB182" i="3" s="1"/>
  <c r="AC180" i="3"/>
  <c r="AC182" i="3" s="1"/>
  <c r="BA124" i="3"/>
  <c r="Z180" i="3"/>
  <c r="Z182" i="3" s="1"/>
  <c r="AE180" i="3"/>
  <c r="AE182" i="3" s="1"/>
  <c r="F180" i="3"/>
  <c r="F182" i="3" s="1"/>
  <c r="E118" i="1"/>
  <c r="BA115" i="3"/>
  <c r="AN180" i="3"/>
  <c r="AN182" i="3" s="1"/>
  <c r="AU180" i="3"/>
  <c r="AU182" i="3" s="1"/>
  <c r="W180" i="3"/>
  <c r="W182" i="3" s="1"/>
  <c r="BA108" i="3"/>
  <c r="E103" i="1"/>
  <c r="E105" i="1"/>
  <c r="E106" i="1"/>
  <c r="BA99" i="3"/>
  <c r="I180" i="3"/>
  <c r="I182" i="3" s="1"/>
  <c r="K180" i="3"/>
  <c r="K182" i="3" s="1"/>
  <c r="AP180" i="3"/>
  <c r="AP182" i="3" s="1"/>
  <c r="AR180" i="3"/>
  <c r="AR182" i="3" s="1"/>
  <c r="AI180" i="3"/>
  <c r="AI182" i="3" s="1"/>
  <c r="AA180" i="3"/>
  <c r="AA182" i="3" s="1"/>
  <c r="T180" i="3"/>
  <c r="T182" i="3" s="1"/>
  <c r="AF180" i="3"/>
  <c r="AF182" i="3" s="1"/>
  <c r="AG180" i="3"/>
  <c r="AG182" i="3" s="1"/>
  <c r="U180" i="3"/>
  <c r="U182" i="3" s="1"/>
  <c r="O180" i="3"/>
  <c r="O182" i="3" s="1"/>
  <c r="BA94" i="3"/>
  <c r="E91" i="1"/>
  <c r="R180" i="3"/>
  <c r="R182" i="3" s="1"/>
  <c r="E87" i="1"/>
  <c r="E81" i="1"/>
  <c r="BA88" i="3"/>
  <c r="AT180" i="3"/>
  <c r="AT182" i="3" s="1"/>
  <c r="AJ180" i="3"/>
  <c r="AJ182" i="3" s="1"/>
  <c r="V180" i="3"/>
  <c r="V182" i="3" s="1"/>
  <c r="AH180" i="3"/>
  <c r="AH182" i="3" s="1"/>
  <c r="Y180" i="3"/>
  <c r="Y182" i="3" s="1"/>
  <c r="E72" i="1"/>
  <c r="BA79" i="3"/>
  <c r="E65" i="1"/>
  <c r="BA70" i="3"/>
  <c r="J180" i="3"/>
  <c r="J182" i="3" s="1"/>
  <c r="P180" i="3"/>
  <c r="P182" i="3" s="1"/>
  <c r="L180" i="3"/>
  <c r="L182" i="3" s="1"/>
  <c r="M180" i="3"/>
  <c r="M182" i="3" s="1"/>
  <c r="AY180" i="3"/>
  <c r="AY182" i="3" s="1"/>
  <c r="AS180" i="3"/>
  <c r="AS182" i="3" s="1"/>
  <c r="AV180" i="3"/>
  <c r="AV182" i="3" s="1"/>
  <c r="AW180" i="3"/>
  <c r="AW182" i="3" s="1"/>
  <c r="AL180" i="3"/>
  <c r="AL182" i="3" s="1"/>
  <c r="AM180" i="3"/>
  <c r="AM182" i="3" s="1"/>
  <c r="AK180" i="3"/>
  <c r="AK182" i="3" s="1"/>
  <c r="AO180" i="3"/>
  <c r="AO182" i="3" s="1"/>
  <c r="X180" i="3"/>
  <c r="X182" i="3" s="1"/>
  <c r="AD180" i="3"/>
  <c r="AD182" i="3" s="1"/>
  <c r="BA61" i="3"/>
  <c r="Q180" i="3"/>
  <c r="Q182" i="3" s="1"/>
  <c r="E57" i="1"/>
  <c r="E58" i="1"/>
  <c r="G180" i="3"/>
  <c r="G182" i="3" s="1"/>
  <c r="S180" i="3"/>
  <c r="S182" i="3" s="1"/>
  <c r="H180" i="3"/>
  <c r="H182" i="3" s="1"/>
  <c r="BA52" i="3"/>
  <c r="E180" i="3"/>
  <c r="E182" i="3" s="1"/>
  <c r="E51" i="1"/>
  <c r="E49" i="1"/>
  <c r="E45" i="1"/>
  <c r="E46" i="1"/>
  <c r="E26" i="1"/>
  <c r="AW30" i="3"/>
  <c r="AP30" i="3"/>
  <c r="AQ30" i="3"/>
  <c r="AL30" i="3"/>
  <c r="Y30" i="3"/>
  <c r="Z30" i="3"/>
  <c r="AD30" i="3"/>
  <c r="E39" i="1"/>
  <c r="E40" i="1"/>
  <c r="BA41" i="3"/>
  <c r="BA36" i="3"/>
  <c r="BA27" i="3"/>
  <c r="N30" i="3"/>
  <c r="BA24" i="3"/>
  <c r="P30" i="3"/>
  <c r="BA21" i="3"/>
  <c r="BA29" i="3"/>
  <c r="BA28" i="3"/>
  <c r="F30" i="3"/>
  <c r="R30" i="3"/>
  <c r="E20" i="1"/>
  <c r="BA16" i="3"/>
  <c r="AC182" i="4"/>
  <c r="E176" i="1"/>
  <c r="AC177" i="4"/>
  <c r="E169" i="1"/>
  <c r="AC172" i="4"/>
  <c r="E170" i="1"/>
  <c r="E159" i="1"/>
  <c r="E161" i="1"/>
  <c r="AC163" i="4"/>
  <c r="E162" i="1"/>
  <c r="E155" i="1"/>
  <c r="E157" i="1" s="1"/>
  <c r="AC144" i="4"/>
  <c r="E143" i="1"/>
  <c r="E148" i="1"/>
  <c r="AC153" i="4"/>
  <c r="AC135" i="4"/>
  <c r="AC128" i="4"/>
  <c r="E117" i="1"/>
  <c r="E119" i="1"/>
  <c r="AC115" i="4"/>
  <c r="E112" i="1"/>
  <c r="E113" i="1"/>
  <c r="E114" i="1"/>
  <c r="AC124" i="4"/>
  <c r="AC99" i="4"/>
  <c r="E101" i="1"/>
  <c r="AC108" i="4"/>
  <c r="E102" i="1"/>
  <c r="E99" i="1"/>
  <c r="E85" i="1"/>
  <c r="E86" i="1"/>
  <c r="E92" i="1"/>
  <c r="AC94" i="4"/>
  <c r="AC88" i="4"/>
  <c r="E73" i="1"/>
  <c r="E64" i="1"/>
  <c r="E75" i="1"/>
  <c r="E74" i="1"/>
  <c r="E77" i="1"/>
  <c r="AC79" i="4"/>
  <c r="E78" i="1"/>
  <c r="E67" i="1"/>
  <c r="AC70" i="4"/>
  <c r="AC61" i="4"/>
  <c r="AC52" i="4"/>
  <c r="E59" i="1"/>
  <c r="E60" i="1"/>
  <c r="E47" i="1"/>
  <c r="E48" i="1"/>
  <c r="Z30" i="4"/>
  <c r="AC41" i="4"/>
  <c r="AC36" i="4"/>
  <c r="E34" i="1"/>
  <c r="E25" i="1"/>
  <c r="AC27" i="4"/>
  <c r="AC24" i="4"/>
  <c r="L30" i="4"/>
  <c r="AC21" i="4"/>
  <c r="N30" i="4"/>
  <c r="AC30" i="4" s="1"/>
  <c r="AC29" i="4"/>
  <c r="AC16" i="4"/>
  <c r="AP30" i="7"/>
  <c r="BA30" i="3"/>
  <c r="W30" i="2"/>
  <c r="M30" i="5"/>
  <c r="AC28" i="4"/>
  <c r="E30" i="6"/>
  <c r="E153" i="1" l="1"/>
  <c r="AB30" i="5"/>
  <c r="X30" i="6"/>
  <c r="AP182" i="7"/>
  <c r="AP180" i="7"/>
  <c r="E177" i="1"/>
  <c r="AY180" i="2"/>
  <c r="AY182" i="2" s="1"/>
  <c r="E144" i="1"/>
  <c r="E27" i="1"/>
  <c r="E36" i="1"/>
  <c r="E29" i="1"/>
  <c r="E172" i="1"/>
  <c r="E163" i="1"/>
  <c r="E135" i="1"/>
  <c r="E124" i="1"/>
  <c r="E115" i="1"/>
  <c r="E94" i="1"/>
  <c r="E88" i="1"/>
  <c r="E79" i="1"/>
  <c r="E70" i="1"/>
  <c r="BA180" i="3"/>
  <c r="BA182" i="3"/>
  <c r="E52" i="1"/>
  <c r="E61" i="1"/>
  <c r="E41" i="1"/>
  <c r="E21" i="1"/>
  <c r="E108" i="1"/>
  <c r="E28" i="1"/>
  <c r="E30" i="1" l="1"/>
  <c r="E180" i="1"/>
  <c r="E182" i="1" s="1"/>
</calcChain>
</file>

<file path=xl/sharedStrings.xml><?xml version="1.0" encoding="utf-8"?>
<sst xmlns="http://schemas.openxmlformats.org/spreadsheetml/2006/main" count="1938" uniqueCount="213">
  <si>
    <t>Kecamatan</t>
  </si>
  <si>
    <t>GAMBIRAN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</si>
  <si>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</si>
  <si>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</si>
  <si>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</si>
  <si>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</si>
  <si>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</si>
  <si>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</si>
  <si>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</si>
  <si>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</si>
  <si>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</si>
  <si>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</si>
  <si>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</si>
  <si>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</si>
  <si>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</si>
  <si>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</si>
  <si>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</si>
  <si>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</si>
  <si>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</si>
  <si>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</si>
  <si>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</si>
  <si>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</si>
  <si>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</si>
  <si>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</si>
  <si>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</si>
  <si>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</si>
  <si>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</si>
  <si>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</si>
  <si>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</si>
  <si>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</si>
  <si>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</si>
  <si>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</si>
  <si>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</si>
  <si>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</si>
  <si>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</si>
  <si>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</si>
  <si>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</si>
  <si>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</si>
  <si>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</si>
  <si>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</si>
  <si>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KH. MUHAMMAD RIZA AZIZY, M.IEB.</t>
  </si>
  <si>
    <t>INAYANTI KUSUMASARI, S.E.</t>
  </si>
  <si>
    <t>TOPAN HADI SUCIPTO, S.H.</t>
  </si>
  <si>
    <t>HAULA KARIMA AKBAR, S.PD.</t>
  </si>
  <si>
    <t>SUGENG HARYONO</t>
  </si>
  <si>
    <t>MOH. RIYADUS SHOLIHIN, A.MD.</t>
  </si>
  <si>
    <t>JUMLAH SUARA SAH PARTAI POLITIK DAN CALON (A1 + A2)</t>
  </si>
  <si>
    <t>Partai Gerakan Indonesia Raya</t>
  </si>
  <si>
    <t>AGUNG SUBASTIAN</t>
  </si>
  <si>
    <t>ABDUL HAMID</t>
  </si>
  <si>
    <t>NUR ALVI NAZIMAH</t>
  </si>
  <si>
    <t>EMI WIJAYANTI</t>
  </si>
  <si>
    <t>MUHAMAD ALFAN SAIFUDIN</t>
  </si>
  <si>
    <t>BAYU PUTRA PAMUNGKAS</t>
  </si>
  <si>
    <t>Partai Demokrasi Indonesia Perjuangan</t>
  </si>
  <si>
    <t>IR. YAYUK BANAR SRI PANGAYOM</t>
  </si>
  <si>
    <t>DR. ANA ANIATI</t>
  </si>
  <si>
    <t>HADI WIDODO, S.P.</t>
  </si>
  <si>
    <t>ANDIKO PUTRA MAHATTA</t>
  </si>
  <si>
    <t>YUNI APRILIA</t>
  </si>
  <si>
    <t>IKE PREDITA FIKTARYANA</t>
  </si>
  <si>
    <t>Partai Golongan Karya</t>
  </si>
  <si>
    <t>SOFIANDI SUSIADI, A.MD.</t>
  </si>
  <si>
    <t>SUHAERI, S.PD.</t>
  </si>
  <si>
    <t>SITI MAHMUDAH, S.SOS.</t>
  </si>
  <si>
    <t>HENI KOMISATUN</t>
  </si>
  <si>
    <t>KUSYONO</t>
  </si>
  <si>
    <t>SUROSO</t>
  </si>
  <si>
    <t>5.</t>
  </si>
  <si>
    <t>Partai NasDem</t>
  </si>
  <si>
    <t>ABU SUFYAN, S.E., S.T., M.SI., M.ARS.</t>
  </si>
  <si>
    <t>LUKMAN HAKIM</t>
  </si>
  <si>
    <t>DEWI WULANDARI</t>
  </si>
  <si>
    <t>JAENURI</t>
  </si>
  <si>
    <t>TRI DINDA LESTARI</t>
  </si>
  <si>
    <t>AGUS SETIAWAN, A.MD.</t>
  </si>
  <si>
    <t>6.</t>
  </si>
  <si>
    <t>Partai Buruh</t>
  </si>
  <si>
    <t>AHMAD MIKKO SYAHRIAL</t>
  </si>
  <si>
    <t>SITI NURJANNAH</t>
  </si>
  <si>
    <t>RUDI CHRISTIAWAN</t>
  </si>
  <si>
    <t>7.</t>
  </si>
  <si>
    <t>Partai Gelombang Rakyat Indonesia</t>
  </si>
  <si>
    <t>LUTFIYAH</t>
  </si>
  <si>
    <t>NURMANSYAH</t>
  </si>
  <si>
    <t>8.</t>
  </si>
  <si>
    <t>Partai Keadilan Sejahtera</t>
  </si>
  <si>
    <t>ANHARUDIN, S.PD.I.</t>
  </si>
  <si>
    <t>NASUKI SYAMSUL, S.H.</t>
  </si>
  <si>
    <t>LAILATUR ROSYIDAH</t>
  </si>
  <si>
    <t>ALI MANSUR, S.T.</t>
  </si>
  <si>
    <t>ALFIRA ROSALIANA</t>
  </si>
  <si>
    <t>WILDA GUSFIYANTI AZIZ, S.A.</t>
  </si>
  <si>
    <t>9.</t>
  </si>
  <si>
    <t>Partai Kebangkitan Nusantara</t>
  </si>
  <si>
    <t>NANANG HENDIK ROBBY A.S.</t>
  </si>
  <si>
    <t>ANY SUSWATI, S.PD.</t>
  </si>
  <si>
    <t>UNTUNG SUPRIYADI</t>
  </si>
  <si>
    <t>RETNO JUMLIAH</t>
  </si>
  <si>
    <t>10.</t>
  </si>
  <si>
    <t>Partai Hati Nurani Rakyat</t>
  </si>
  <si>
    <t>SRI UTAMI FAKTUNINGSIH</t>
  </si>
  <si>
    <t>MOH. ARBI SAFITRA</t>
  </si>
  <si>
    <t>ANDY WITONO, S.T.</t>
  </si>
  <si>
    <t>H. MUSTOFA HS</t>
  </si>
  <si>
    <t>SURATIN</t>
  </si>
  <si>
    <t>SUYITNO</t>
  </si>
  <si>
    <t>11.</t>
  </si>
  <si>
    <t>Partai Garda Republik Indonesia</t>
  </si>
  <si>
    <t>12.</t>
  </si>
  <si>
    <t>Partai Amanat Nasional</t>
  </si>
  <si>
    <t>HERY WIJATMOKO</t>
  </si>
  <si>
    <t>M. RYAN HAMDANI</t>
  </si>
  <si>
    <t>HESTI DEWANTI PURI, S.PD.</t>
  </si>
  <si>
    <t>ABDITIYA YURI ANDIKA</t>
  </si>
  <si>
    <t>13.</t>
  </si>
  <si>
    <t>Partai Bulan Bintang</t>
  </si>
  <si>
    <t>YUDI WIYANTO</t>
  </si>
  <si>
    <t>DRS. H. AGUS ISKANDAR ZULKARNAIN</t>
  </si>
  <si>
    <t>NORISA RATH WIDYANINGRUM</t>
  </si>
  <si>
    <t>ACHMAD JUNIARTO</t>
  </si>
  <si>
    <t>SUPRIHATIN</t>
  </si>
  <si>
    <t>AGAM FATMALADIKA</t>
  </si>
  <si>
    <t>14.</t>
  </si>
  <si>
    <t>Partai Demokrat</t>
  </si>
  <si>
    <t>EMY WAHYUNI DWI LESTARI</t>
  </si>
  <si>
    <t>HARI PRASETYO, S.PD.</t>
  </si>
  <si>
    <t>NUR KOLILAH</t>
  </si>
  <si>
    <t>WAHAB ROHMATULLAH, S.H.</t>
  </si>
  <si>
    <t>IKE IRIANY MARGARETA</t>
  </si>
  <si>
    <t>SUNARKO</t>
  </si>
  <si>
    <t>15.</t>
  </si>
  <si>
    <t>Partai Solidaritas Indonesia</t>
  </si>
  <si>
    <t>-</t>
  </si>
  <si>
    <t>16.</t>
  </si>
  <si>
    <t>PARTAI PERINDO</t>
  </si>
  <si>
    <t>WILLY HAICKAL AHDA</t>
  </si>
  <si>
    <t>MOHAMAD YUSRION HABIBI</t>
  </si>
  <si>
    <t>DELIA RIZKI SAFITRI</t>
  </si>
  <si>
    <t>17.</t>
  </si>
  <si>
    <t>Partai Persatuan Pembangunan</t>
  </si>
  <si>
    <t>MUHTAR BASYIR, S.E.</t>
  </si>
  <si>
    <t>DRA. HJ. NUNUK SRI RAHAYU, M.M.</t>
  </si>
  <si>
    <t>ABDURROKHIM UMAR</t>
  </si>
  <si>
    <t>SITI ROBANA</t>
  </si>
  <si>
    <t>ROHIMATULLOH FADLILAH, S.PD.I., M.SI.</t>
  </si>
  <si>
    <t>ACHMAD HAFID NURHABIBI</t>
  </si>
  <si>
    <t>18.</t>
  </si>
  <si>
    <t>Partai Ummat</t>
  </si>
  <si>
    <t>MAR’ATUL SYAMSIYAH</t>
  </si>
  <si>
    <t>ARIEFTA PRIBADI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</si>
  <si>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</si>
  <si>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</si>
  <si>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</si>
  <si>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</si>
  <si>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</si>
  <si>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</si>
  <si>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</si>
  <si>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</si>
  <si>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</si>
  <si>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</si>
  <si>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</si>
  <si>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</si>
  <si>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</si>
  <si>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</si>
  <si>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</si>
  <si>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</si>
  <si>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</si>
  <si>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</si>
  <si>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</si>
  <si>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</si>
  <si>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</si>
  <si>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</si>
  <si>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</si>
  <si>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</si>
  <si>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</si>
  <si>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</si>
  <si>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</si>
  <si>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</si>
  <si>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</si>
  <si>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</si>
  <si>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</si>
  <si>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</si>
  <si>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</si>
  <si>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</si>
  <si>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</si>
  <si>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</si>
  <si>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</si>
  <si>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</si>
  <si>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</si>
  <si>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</si>
  <si>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</si>
  <si>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</si>
  <si>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</si>
  <si>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</si>
  <si>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</si>
  <si>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</si>
  <si>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</si>
  <si>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</si>
  <si>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</si>
  <si>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</si>
  <si>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</si>
  <si>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</si>
  <si>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</si>
  <si>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</si>
  <si>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</si>
  <si>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JAJAG</t>
  </si>
  <si>
    <t>TPS 047</t>
  </si>
  <si>
    <t>TPS 048</t>
  </si>
  <si>
    <t>PURWODADI</t>
  </si>
  <si>
    <t>WRINGINAGUNG</t>
  </si>
  <si>
    <t>WRINGINREJO</t>
  </si>
  <si>
    <t>YOSOMULYO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</si>
</sst>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Calibri"/>
      <scheme val="minor"/>
    </font>
    <font>
      <b/>
      <sz val="10"/>
      <color theme="1"/>
      <name val="Bookman Old Style"/>
    </font>
    <font>
      <sz val="10"/>
      <color theme="1"/>
      <name val="Arial"/>
    </font>
    <font>
      <sz val="10"/>
      <color theme="1"/>
      <name val="Bookman Old Style"/>
    </font>
    <font>
      <sz val="10"/>
      <color rgb="FF000000"/>
      <name val="Bookman Old Style"/>
    </font>
    <font>
      <sz val="10"/>
      <name val="Calibri"/>
    </font>
    <font>
      <b/>
      <sz val="10"/>
      <color rgb="FF000000"/>
      <name val="Bookman Old Style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3" fontId="1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3" fontId="2" fillId="0" borderId="0" xfId="0" applyNumberFormat="1" applyFont="1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3" fontId="2" fillId="2" borderId="17" xfId="0" applyNumberFormat="1" applyFont="1" applyFill="1" applyBorder="1"/>
    <xf numFmtId="0" fontId="2" fillId="2" borderId="17" xfId="0" applyFont="1" applyFill="1" applyBorder="1"/>
    <xf numFmtId="0" fontId="1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2" fillId="0" borderId="15" xfId="0" applyFont="1" applyBorder="1"/>
    <xf numFmtId="0" fontId="2" fillId="0" borderId="4" xfId="0" applyFont="1" applyBorder="1"/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3" xfId="0" applyFont="1" applyBorder="1"/>
    <xf numFmtId="0" fontId="3" fillId="0" borderId="1" xfId="0" applyFont="1" applyBorder="1" applyAlignment="1">
      <alignment vertical="center"/>
    </xf>
    <xf numFmtId="0" fontId="7" fillId="0" borderId="1" xfId="0" applyFont="1" applyBorder="1"/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1" fillId="0" borderId="3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center" wrapText="1"/>
    </xf>
    <xf numFmtId="0" fontId="5" fillId="0" borderId="14" xfId="0" applyFont="1" applyBorder="1"/>
    <xf numFmtId="0" fontId="5" fillId="0" borderId="8" xfId="0" applyFont="1" applyBorder="1"/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0" fillId="0" borderId="0" xfId="0"/>
    <xf numFmtId="0" fontId="5" fillId="0" borderId="9" xfId="0" applyFont="1" applyBorder="1"/>
    <xf numFmtId="0" fontId="5" fillId="0" borderId="15" xfId="0" applyFont="1" applyBorder="1"/>
    <xf numFmtId="0" fontId="5" fillId="0" borderId="10" xfId="0" applyFont="1" applyBorder="1"/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5" fillId="0" borderId="12" xfId="0" applyFont="1" applyBorder="1"/>
    <xf numFmtId="0" fontId="5" fillId="0" borderId="13" xfId="0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7" xfId="0" applyFont="1" applyBorder="1"/>
    <xf numFmtId="0" fontId="3" fillId="0" borderId="5" xfId="0" applyFont="1" applyBorder="1" applyAlignment="1">
      <alignment horizontal="left" vertical="center" wrapText="1"/>
    </xf>
    <xf numFmtId="0" fontId="5" fillId="0" borderId="6" xfId="0" applyFont="1" applyBorder="1"/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wrapText="1"/>
    </xf>
  </cellXfs>
  <cellStyles count="1">
    <cellStyle name="Normal" xfId="0" builtinId="0"/>
  </cellStyles>
  <dxfs count="200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5:Z1000"/>
  <sheetViews>
    <sheetView workbookViewId="0"/>
  </sheetViews>
  <sheetFormatPr defaultColWidth="14.3984375" defaultRowHeight="15" customHeight="1" x14ac:dyDescent="0.3"/>
  <cols>
    <col min="1" max="1" width="3.59765625" customWidth="1"/>
    <col min="2" max="2" width="4" customWidth="1"/>
    <col min="3" max="3" width="64.59765625" customWidth="1"/>
    <col min="4" max="4" width="6.59765625" customWidth="1"/>
    <col min="5" max="5" width="18.8984375" customWidth="1"/>
    <col min="6" max="7" width="10.09765625" customWidth="1"/>
    <col min="8" max="16" width="10.09765625" hidden="1" customWidth="1"/>
    <col min="17" max="25" width="8.69921875" hidden="1" customWidth="1"/>
    <col min="26" max="26" width="8.69921875" customWidth="1"/>
  </cols>
  <sheetData>
    <row r="5" spans="1:26" ht="15.75" customHeight="1" x14ac:dyDescent="0.3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3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3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3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3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13" t="s">
        <v>6</v>
      </c>
      <c r="B12" s="55" t="s">
        <v>7</v>
      </c>
      <c r="C12" s="48"/>
      <c r="D12" s="49"/>
      <c r="E12" s="68" t="s">
        <v>8</v>
      </c>
      <c r="F12" s="14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3">
      <c r="A13" s="15" t="s">
        <v>9</v>
      </c>
      <c r="B13" s="61" t="s">
        <v>10</v>
      </c>
      <c r="C13" s="48"/>
      <c r="D13" s="49"/>
      <c r="E13" s="69"/>
      <c r="F13" s="14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3">
      <c r="A14" s="14"/>
      <c r="B14" s="70" t="s">
        <v>11</v>
      </c>
      <c r="C14" s="53"/>
      <c r="D14" s="15" t="s">
        <v>12</v>
      </c>
      <c r="E14" s="16">
        <f>GAMBIRAN!AY14+JAJAG!BA14+PURWODADI!AC14+WRINGINAGUNG!AB14+WRINGINREJO!X14+YOSOMULYO!AP14</f>
        <v>25710</v>
      </c>
      <c r="F14" s="17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3">
      <c r="A15" s="14"/>
      <c r="B15" s="71"/>
      <c r="C15" s="57"/>
      <c r="D15" s="15" t="s">
        <v>13</v>
      </c>
      <c r="E15" s="16">
        <f>GAMBIRAN!AY15+JAJAG!BA15+PURWODADI!AC15+WRINGINAGUNG!AB15+WRINGINREJO!X15+YOSOMULYO!AP15</f>
        <v>26323</v>
      </c>
      <c r="F15" s="14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3">
      <c r="A16" s="17"/>
      <c r="B16" s="69"/>
      <c r="C16" s="59"/>
      <c r="D16" s="13" t="s">
        <v>14</v>
      </c>
      <c r="E16" s="18">
        <f>SUM(E14:E15)</f>
        <v>52033</v>
      </c>
      <c r="F16" s="14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3">
      <c r="A17" s="54"/>
      <c r="B17" s="48"/>
      <c r="C17" s="48"/>
      <c r="D17" s="49"/>
      <c r="E17" s="16"/>
      <c r="F17" s="17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3">
      <c r="A18" s="19" t="s">
        <v>15</v>
      </c>
      <c r="B18" s="61" t="s">
        <v>16</v>
      </c>
      <c r="C18" s="48"/>
      <c r="D18" s="49"/>
      <c r="E18" s="16"/>
      <c r="F18" s="14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3">
      <c r="A19" s="19"/>
      <c r="B19" s="62" t="s">
        <v>17</v>
      </c>
      <c r="C19" s="63" t="s">
        <v>18</v>
      </c>
      <c r="D19" s="15" t="s">
        <v>12</v>
      </c>
      <c r="E19" s="16">
        <f>GAMBIRAN!AY19+JAJAG!BA19+PURWODADI!AC19+WRINGINAGUNG!AB19+WRINGINREJO!X19+YOSOMULYO!AP19</f>
        <v>18990</v>
      </c>
      <c r="F19" s="14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3">
      <c r="A20" s="20"/>
      <c r="B20" s="57"/>
      <c r="C20" s="64"/>
      <c r="D20" s="15" t="s">
        <v>13</v>
      </c>
      <c r="E20" s="16">
        <f>GAMBIRAN!AY20+JAJAG!BA20+PURWODADI!AC20+WRINGINAGUNG!AB20+WRINGINREJO!X20+YOSOMULYO!AP20</f>
        <v>20768</v>
      </c>
      <c r="F20" s="17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21"/>
      <c r="B21" s="59"/>
      <c r="C21" s="65"/>
      <c r="D21" s="13" t="s">
        <v>14</v>
      </c>
      <c r="E21" s="18">
        <f>SUM(E19:E20)</f>
        <v>39758</v>
      </c>
      <c r="F21" s="17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20"/>
      <c r="B22" s="62" t="s">
        <v>19</v>
      </c>
      <c r="C22" s="63" t="s">
        <v>20</v>
      </c>
      <c r="D22" s="15" t="s">
        <v>12</v>
      </c>
      <c r="E22" s="16">
        <f>GAMBIRAN!AY22+JAJAG!BA22+PURWODADI!AC22+WRINGINAGUNG!AB22+WRINGINREJO!X22+YOSOMULYO!AP22</f>
        <v>27</v>
      </c>
      <c r="F22" s="17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20"/>
      <c r="B23" s="57"/>
      <c r="C23" s="64"/>
      <c r="D23" s="15" t="s">
        <v>13</v>
      </c>
      <c r="E23" s="16">
        <f>GAMBIRAN!AY23+JAJAG!BA23+PURWODADI!AC23+WRINGINAGUNG!AB23+WRINGINREJO!X23+YOSOMULYO!AP23</f>
        <v>23</v>
      </c>
      <c r="F23" s="17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21"/>
      <c r="B24" s="59"/>
      <c r="C24" s="65"/>
      <c r="D24" s="13" t="s">
        <v>14</v>
      </c>
      <c r="E24" s="18">
        <f>SUM(E22:E23)</f>
        <v>50</v>
      </c>
      <c r="F24" s="14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20"/>
      <c r="B25" s="62" t="s">
        <v>21</v>
      </c>
      <c r="C25" s="63" t="s">
        <v>22</v>
      </c>
      <c r="D25" s="15" t="s">
        <v>12</v>
      </c>
      <c r="E25" s="16">
        <f>GAMBIRAN!AY25+JAJAG!BA25+PURWODADI!AC25+WRINGINAGUNG!AB25+WRINGINREJO!X25+YOSOMULYO!AP25</f>
        <v>199</v>
      </c>
      <c r="F25" s="17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20"/>
      <c r="B26" s="57"/>
      <c r="C26" s="64"/>
      <c r="D26" s="15" t="s">
        <v>13</v>
      </c>
      <c r="E26" s="16">
        <f>GAMBIRAN!AY26+JAJAG!BA26+PURWODADI!AC26+WRINGINAGUNG!AB26+WRINGINREJO!X26+YOSOMULYO!AP26</f>
        <v>227</v>
      </c>
      <c r="F26" s="14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21"/>
      <c r="B27" s="59"/>
      <c r="C27" s="65"/>
      <c r="D27" s="13" t="s">
        <v>14</v>
      </c>
      <c r="E27" s="18">
        <f>SUM(E25:E26)</f>
        <v>426</v>
      </c>
      <c r="F27" s="17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21"/>
      <c r="B28" s="66" t="s">
        <v>23</v>
      </c>
      <c r="C28" s="67" t="s">
        <v>24</v>
      </c>
      <c r="D28" s="13" t="s">
        <v>12</v>
      </c>
      <c r="E28" s="18">
        <f t="shared" ref="E28:E29" si="0">E19+E22+E25</f>
        <v>19216</v>
      </c>
      <c r="F28" s="14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21"/>
      <c r="B29" s="57"/>
      <c r="C29" s="64"/>
      <c r="D29" s="13" t="s">
        <v>13</v>
      </c>
      <c r="E29" s="18">
        <f t="shared" si="0"/>
        <v>21018</v>
      </c>
      <c r="F29" s="17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21"/>
      <c r="B30" s="59"/>
      <c r="C30" s="65"/>
      <c r="D30" s="13" t="s">
        <v>14</v>
      </c>
      <c r="E30" s="18">
        <f>SUM(E28:E29)</f>
        <v>40234</v>
      </c>
      <c r="F30" s="22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54"/>
      <c r="B31" s="48"/>
      <c r="C31" s="48"/>
      <c r="D31" s="49"/>
      <c r="E31" s="23"/>
      <c r="F31" s="17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24" t="s">
        <v>25</v>
      </c>
      <c r="B32" s="55" t="s">
        <v>26</v>
      </c>
      <c r="C32" s="48"/>
      <c r="D32" s="49"/>
      <c r="E32" s="18"/>
      <c r="F32" s="14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15">
        <v>1</v>
      </c>
      <c r="B33" s="61" t="s">
        <v>27</v>
      </c>
      <c r="C33" s="48"/>
      <c r="D33" s="49"/>
      <c r="E33" s="16">
        <f>GAMBIRAN!AY33+JAJAG!BA33+PURWODADI!AC33+WRINGINAGUNG!AB33+WRINGINREJO!X33+YOSOMULYO!AP33</f>
        <v>53065</v>
      </c>
      <c r="F33" s="14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15">
        <v>2</v>
      </c>
      <c r="B34" s="61" t="s">
        <v>28</v>
      </c>
      <c r="C34" s="48"/>
      <c r="D34" s="49"/>
      <c r="E34" s="16">
        <f>GAMBIRAN!AY34+JAJAG!BA34+PURWODADI!AC34+WRINGINAGUNG!AB34+WRINGINREJO!X34+YOSOMULYO!AP34</f>
        <v>40234</v>
      </c>
      <c r="F34" s="17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15">
        <v>3</v>
      </c>
      <c r="B35" s="61" t="s">
        <v>29</v>
      </c>
      <c r="C35" s="48"/>
      <c r="D35" s="49"/>
      <c r="E35" s="16">
        <f>GAMBIRAN!AY35+JAJAG!BA35+PURWODADI!AC35+WRINGINAGUNG!AB35+WRINGINREJO!X35+YOSOMULYO!AP35</f>
        <v>83</v>
      </c>
      <c r="F35" s="22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15">
        <v>4</v>
      </c>
      <c r="B36" s="61" t="s">
        <v>30</v>
      </c>
      <c r="C36" s="48"/>
      <c r="D36" s="49"/>
      <c r="E36" s="18">
        <f>E33-(E34+E35)</f>
        <v>12748</v>
      </c>
      <c r="F36" s="17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54"/>
      <c r="B37" s="48"/>
      <c r="C37" s="48"/>
      <c r="D37" s="48"/>
      <c r="E37" s="48"/>
      <c r="F37" s="14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25" t="s">
        <v>31</v>
      </c>
      <c r="B38" s="55" t="s">
        <v>32</v>
      </c>
      <c r="C38" s="48"/>
      <c r="D38" s="49"/>
      <c r="E38" s="18"/>
      <c r="F38" s="14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19"/>
      <c r="B39" s="51" t="s">
        <v>33</v>
      </c>
      <c r="C39" s="53"/>
      <c r="D39" s="15" t="s">
        <v>12</v>
      </c>
      <c r="E39" s="16">
        <f>GAMBIRAN!AY39+JAJAG!BA39+PURWODADI!AC39+WRINGINAGUNG!AB39+WRINGINREJO!X39+YOSOMULYO!AP39</f>
        <v>36</v>
      </c>
      <c r="F39" s="14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20"/>
      <c r="B40" s="56"/>
      <c r="C40" s="57"/>
      <c r="D40" s="15" t="s">
        <v>13</v>
      </c>
      <c r="E40" s="16">
        <f>GAMBIRAN!AY40+JAJAG!BA40+PURWODADI!AC40+WRINGINAGUNG!AB40+WRINGINREJO!X40+YOSOMULYO!AP40</f>
        <v>43</v>
      </c>
      <c r="F40" s="14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24"/>
      <c r="B41" s="58"/>
      <c r="C41" s="59"/>
      <c r="D41" s="13" t="s">
        <v>14</v>
      </c>
      <c r="E41" s="18">
        <f>SUM(E39:E40)</f>
        <v>79</v>
      </c>
      <c r="F41" s="14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60"/>
      <c r="B42" s="58"/>
      <c r="C42" s="58"/>
      <c r="D42" s="59"/>
      <c r="E42" s="16"/>
      <c r="F42" s="14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25" t="s">
        <v>34</v>
      </c>
      <c r="B43" s="55" t="s">
        <v>35</v>
      </c>
      <c r="C43" s="48"/>
      <c r="D43" s="49"/>
      <c r="E43" s="18"/>
      <c r="F43" s="14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51" t="s">
        <v>36</v>
      </c>
      <c r="B44" s="52"/>
      <c r="C44" s="52"/>
      <c r="D44" s="53"/>
      <c r="E44" s="16"/>
      <c r="F44" s="14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19" t="s">
        <v>37</v>
      </c>
      <c r="B45" s="26" t="s">
        <v>17</v>
      </c>
      <c r="C45" s="50" t="s">
        <v>38</v>
      </c>
      <c r="D45" s="49"/>
      <c r="E45" s="16">
        <f>GAMBIRAN!AY45+JAJAG!BA45+PURWODADI!AC45+WRINGINAGUNG!AB45+WRINGINREJO!X45+YOSOMULYO!AP45</f>
        <v>832</v>
      </c>
      <c r="F45" s="17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19" t="s">
        <v>39</v>
      </c>
      <c r="B46" s="27">
        <v>1</v>
      </c>
      <c r="C46" s="28" t="s">
        <v>40</v>
      </c>
      <c r="D46" s="29"/>
      <c r="E46" s="16">
        <f>GAMBIRAN!AY46+JAJAG!BA46+PURWODADI!AC46+WRINGINAGUNG!AB46+WRINGINREJO!X46+YOSOMULYO!AP46</f>
        <v>891</v>
      </c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2"/>
      <c r="Q46" s="3"/>
      <c r="R46" s="3"/>
      <c r="S46" s="3"/>
      <c r="T46" s="3"/>
      <c r="U46" s="3"/>
      <c r="V46" s="3"/>
      <c r="W46" s="33"/>
      <c r="X46" s="3"/>
      <c r="Y46" s="3"/>
      <c r="Z46" s="3"/>
    </row>
    <row r="47" spans="1:26" ht="15.75" customHeight="1" x14ac:dyDescent="0.3">
      <c r="A47" s="14"/>
      <c r="B47" s="27">
        <v>2</v>
      </c>
      <c r="C47" s="28" t="s">
        <v>41</v>
      </c>
      <c r="D47" s="29"/>
      <c r="E47" s="16">
        <f>GAMBIRAN!AY47+JAJAG!BA47+PURWODADI!AC47+WRINGINAGUNG!AB47+WRINGINREJO!X47+YOSOMULYO!AP47</f>
        <v>556</v>
      </c>
      <c r="F47" s="14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14"/>
      <c r="B48" s="27">
        <v>3</v>
      </c>
      <c r="C48" s="28" t="s">
        <v>42</v>
      </c>
      <c r="D48" s="29"/>
      <c r="E48" s="16">
        <f>GAMBIRAN!AY48+JAJAG!BA48+PURWODADI!AC48+WRINGINAGUNG!AB48+WRINGINREJO!X48+YOSOMULYO!AP48</f>
        <v>1327</v>
      </c>
      <c r="F48" s="14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14"/>
      <c r="B49" s="27">
        <v>4</v>
      </c>
      <c r="C49" s="28" t="s">
        <v>43</v>
      </c>
      <c r="D49" s="29"/>
      <c r="E49" s="16">
        <f>GAMBIRAN!AY49+JAJAG!BA49+PURWODADI!AC49+WRINGINAGUNG!AB49+WRINGINREJO!X49+YOSOMULYO!AP49</f>
        <v>45</v>
      </c>
      <c r="F49" s="14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14"/>
      <c r="B50" s="27">
        <v>5</v>
      </c>
      <c r="C50" s="28" t="s">
        <v>44</v>
      </c>
      <c r="D50" s="29"/>
      <c r="E50" s="16">
        <f>GAMBIRAN!AY50+JAJAG!BA50+PURWODADI!AC50+WRINGINAGUNG!AB50+WRINGINREJO!X50+YOSOMULYO!AP50</f>
        <v>31</v>
      </c>
      <c r="F50" s="14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14"/>
      <c r="B51" s="27">
        <v>6</v>
      </c>
      <c r="C51" s="28" t="s">
        <v>45</v>
      </c>
      <c r="D51" s="29"/>
      <c r="E51" s="16">
        <f>GAMBIRAN!AY51+JAJAG!BA51+PURWODADI!AC51+WRINGINAGUNG!AB51+WRINGINREJO!X51+YOSOMULYO!AP51</f>
        <v>1594</v>
      </c>
      <c r="F51" s="14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15" t="s">
        <v>15</v>
      </c>
      <c r="B52" s="47" t="s">
        <v>46</v>
      </c>
      <c r="C52" s="48"/>
      <c r="D52" s="49"/>
      <c r="E52" s="34">
        <f>SUM(E45:E51)</f>
        <v>5276</v>
      </c>
      <c r="F52" s="14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35"/>
      <c r="B53" s="36"/>
      <c r="C53" s="36"/>
      <c r="D53" s="36"/>
      <c r="E53" s="36"/>
      <c r="F53" s="14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19" t="s">
        <v>37</v>
      </c>
      <c r="B54" s="26" t="s">
        <v>19</v>
      </c>
      <c r="C54" s="50" t="s">
        <v>47</v>
      </c>
      <c r="D54" s="49"/>
      <c r="E54" s="16">
        <f>GAMBIRAN!AY54+JAJAG!BA54+PURWODADI!AC54+WRINGINAGUNG!AB54+WRINGINREJO!X54+YOSOMULYO!AP54</f>
        <v>1182</v>
      </c>
      <c r="F54" s="14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19" t="s">
        <v>39</v>
      </c>
      <c r="B55" s="27">
        <v>1</v>
      </c>
      <c r="C55" s="28" t="s">
        <v>48</v>
      </c>
      <c r="D55" s="29"/>
      <c r="E55" s="16">
        <f>GAMBIRAN!AY55+JAJAG!BA55+PURWODADI!AC55+WRINGINAGUNG!AB55+WRINGINREJO!X55+YOSOMULYO!AP55</f>
        <v>704</v>
      </c>
      <c r="F55" s="14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14"/>
      <c r="B56" s="27">
        <v>2</v>
      </c>
      <c r="C56" s="28" t="s">
        <v>49</v>
      </c>
      <c r="D56" s="29"/>
      <c r="E56" s="16">
        <f>GAMBIRAN!AY56+JAJAG!BA56+PURWODADI!AC56+WRINGINAGUNG!AB56+WRINGINREJO!X56+YOSOMULYO!AP56</f>
        <v>239</v>
      </c>
      <c r="F56" s="14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14"/>
      <c r="B57" s="27">
        <v>3</v>
      </c>
      <c r="C57" s="28" t="s">
        <v>50</v>
      </c>
      <c r="D57" s="29"/>
      <c r="E57" s="16">
        <f>GAMBIRAN!AY57+JAJAG!BA57+PURWODADI!AC57+WRINGINAGUNG!AB57+WRINGINREJO!X57+YOSOMULYO!AP57</f>
        <v>116</v>
      </c>
      <c r="F57" s="17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14"/>
      <c r="B58" s="27">
        <v>4</v>
      </c>
      <c r="C58" s="28" t="s">
        <v>51</v>
      </c>
      <c r="D58" s="29"/>
      <c r="E58" s="16">
        <f>GAMBIRAN!AY58+JAJAG!BA58+PURWODADI!AC58+WRINGINAGUNG!AB58+WRINGINREJO!X58+YOSOMULYO!AP58</f>
        <v>181</v>
      </c>
      <c r="F58" s="30"/>
      <c r="G58" s="31"/>
      <c r="H58" s="31"/>
      <c r="I58" s="31"/>
      <c r="J58" s="31"/>
      <c r="K58" s="31"/>
      <c r="L58" s="31"/>
      <c r="M58" s="31"/>
      <c r="N58" s="31"/>
      <c r="O58" s="31"/>
      <c r="P58" s="32"/>
      <c r="Q58" s="3"/>
      <c r="R58" s="3"/>
      <c r="S58" s="3"/>
      <c r="T58" s="3"/>
      <c r="U58" s="3"/>
      <c r="V58" s="3"/>
      <c r="W58" s="33"/>
      <c r="X58" s="3"/>
      <c r="Y58" s="3"/>
      <c r="Z58" s="3"/>
    </row>
    <row r="59" spans="1:26" ht="15.75" customHeight="1" x14ac:dyDescent="0.3">
      <c r="A59" s="14"/>
      <c r="B59" s="27">
        <v>5</v>
      </c>
      <c r="C59" s="28" t="s">
        <v>52</v>
      </c>
      <c r="D59" s="29"/>
      <c r="E59" s="16">
        <f>GAMBIRAN!AY59+JAJAG!BA59+PURWODADI!AC59+WRINGINAGUNG!AB59+WRINGINREJO!X59+YOSOMULYO!AP59</f>
        <v>59</v>
      </c>
      <c r="F59" s="14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14"/>
      <c r="B60" s="27">
        <v>6</v>
      </c>
      <c r="C60" s="28" t="s">
        <v>53</v>
      </c>
      <c r="D60" s="29"/>
      <c r="E60" s="16">
        <f>GAMBIRAN!AY60+JAJAG!BA60+PURWODADI!AC60+WRINGINAGUNG!AB60+WRINGINREJO!X60+YOSOMULYO!AP60</f>
        <v>103</v>
      </c>
      <c r="F60" s="14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15" t="s">
        <v>15</v>
      </c>
      <c r="B61" s="47" t="s">
        <v>46</v>
      </c>
      <c r="C61" s="48"/>
      <c r="D61" s="49"/>
      <c r="E61" s="34">
        <f>SUM(E54:E60)</f>
        <v>2584</v>
      </c>
      <c r="F61" s="14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35"/>
      <c r="B62" s="36"/>
      <c r="C62" s="36"/>
      <c r="D62" s="36"/>
      <c r="E62" s="36"/>
      <c r="F62" s="14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19" t="s">
        <v>37</v>
      </c>
      <c r="B63" s="26" t="s">
        <v>21</v>
      </c>
      <c r="C63" s="50" t="s">
        <v>54</v>
      </c>
      <c r="D63" s="49"/>
      <c r="E63" s="16">
        <f>GAMBIRAN!AY63+JAJAG!BA63+PURWODADI!AC63+WRINGINAGUNG!AB63+WRINGINREJO!X63+YOSOMULYO!AP63</f>
        <v>1973</v>
      </c>
      <c r="F63" s="14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19" t="s">
        <v>39</v>
      </c>
      <c r="B64" s="27">
        <v>1</v>
      </c>
      <c r="C64" s="28" t="s">
        <v>55</v>
      </c>
      <c r="D64" s="29"/>
      <c r="E64" s="16">
        <f>GAMBIRAN!AY64+JAJAG!BA64+PURWODADI!AC64+WRINGINAGUNG!AB64+WRINGINREJO!X64+YOSOMULYO!AP64</f>
        <v>6164</v>
      </c>
      <c r="F64" s="14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14"/>
      <c r="B65" s="27">
        <v>2</v>
      </c>
      <c r="C65" s="28" t="s">
        <v>56</v>
      </c>
      <c r="D65" s="29"/>
      <c r="E65" s="16">
        <f>GAMBIRAN!AY65+JAJAG!BA65+PURWODADI!AC65+WRINGINAGUNG!AB65+WRINGINREJO!X65+YOSOMULYO!AP65</f>
        <v>2842</v>
      </c>
      <c r="F65" s="14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14"/>
      <c r="B66" s="27">
        <v>3</v>
      </c>
      <c r="C66" s="28" t="s">
        <v>57</v>
      </c>
      <c r="D66" s="29"/>
      <c r="E66" s="16">
        <f>GAMBIRAN!AY66+JAJAG!BA66+PURWODADI!AC66+WRINGINAGUNG!AB66+WRINGINREJO!X66+YOSOMULYO!AP66</f>
        <v>939</v>
      </c>
      <c r="F66" s="14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14"/>
      <c r="B67" s="27">
        <v>4</v>
      </c>
      <c r="C67" s="28" t="s">
        <v>58</v>
      </c>
      <c r="D67" s="29"/>
      <c r="E67" s="16">
        <f>GAMBIRAN!AY67+JAJAG!BA67+PURWODADI!AC67+WRINGINAGUNG!AB67+WRINGINREJO!X67+YOSOMULYO!AP67</f>
        <v>760</v>
      </c>
      <c r="F67" s="14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14"/>
      <c r="B68" s="27">
        <v>5</v>
      </c>
      <c r="C68" s="28" t="s">
        <v>59</v>
      </c>
      <c r="D68" s="29"/>
      <c r="E68" s="16">
        <f>GAMBIRAN!AY68+JAJAG!BA68+PURWODADI!AC68+WRINGINAGUNG!AB68+WRINGINREJO!X68+YOSOMULYO!AP68</f>
        <v>63</v>
      </c>
      <c r="F68" s="14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14"/>
      <c r="B69" s="27">
        <v>6</v>
      </c>
      <c r="C69" s="28" t="s">
        <v>60</v>
      </c>
      <c r="D69" s="29"/>
      <c r="E69" s="16">
        <f>GAMBIRAN!AY69+JAJAG!BA69+PURWODADI!AC69+WRINGINAGUNG!AB69+WRINGINREJO!X69+YOSOMULYO!AP69</f>
        <v>148</v>
      </c>
      <c r="F69" s="17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15" t="s">
        <v>15</v>
      </c>
      <c r="B70" s="47" t="s">
        <v>46</v>
      </c>
      <c r="C70" s="48"/>
      <c r="D70" s="49"/>
      <c r="E70" s="34">
        <f>SUM(E63:E69)</f>
        <v>12889</v>
      </c>
      <c r="F70" s="30"/>
      <c r="G70" s="31"/>
      <c r="H70" s="31"/>
      <c r="I70" s="31"/>
      <c r="J70" s="31"/>
      <c r="K70" s="31"/>
      <c r="L70" s="31"/>
      <c r="M70" s="31"/>
      <c r="N70" s="31"/>
      <c r="O70" s="31"/>
      <c r="P70" s="32"/>
      <c r="Q70" s="3"/>
      <c r="R70" s="3"/>
      <c r="S70" s="3"/>
      <c r="T70" s="3"/>
      <c r="U70" s="3"/>
      <c r="V70" s="3"/>
      <c r="W70" s="33"/>
      <c r="X70" s="3"/>
      <c r="Y70" s="3"/>
      <c r="Z70" s="3"/>
    </row>
    <row r="71" spans="1:26" ht="15.75" customHeight="1" x14ac:dyDescent="0.3">
      <c r="A71" s="35"/>
      <c r="B71" s="36"/>
      <c r="C71" s="36"/>
      <c r="D71" s="36"/>
      <c r="E71" s="36"/>
      <c r="F71" s="14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19" t="s">
        <v>37</v>
      </c>
      <c r="B72" s="26" t="s">
        <v>23</v>
      </c>
      <c r="C72" s="50" t="s">
        <v>61</v>
      </c>
      <c r="D72" s="49"/>
      <c r="E72" s="16">
        <f>GAMBIRAN!AY72+JAJAG!BA72+PURWODADI!AC72+WRINGINAGUNG!AB72+WRINGINREJO!X72+YOSOMULYO!AP72</f>
        <v>418</v>
      </c>
      <c r="F72" s="14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19" t="s">
        <v>39</v>
      </c>
      <c r="B73" s="27">
        <v>1</v>
      </c>
      <c r="C73" s="28" t="s">
        <v>62</v>
      </c>
      <c r="D73" s="29"/>
      <c r="E73" s="16">
        <f>GAMBIRAN!AY73+JAJAG!BA73+PURWODADI!AC73+WRINGINAGUNG!AB73+WRINGINREJO!X73+YOSOMULYO!AP73</f>
        <v>1134</v>
      </c>
      <c r="F73" s="14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14"/>
      <c r="B74" s="27">
        <v>2</v>
      </c>
      <c r="C74" s="28" t="s">
        <v>63</v>
      </c>
      <c r="D74" s="29"/>
      <c r="E74" s="16">
        <f>GAMBIRAN!AY74+JAJAG!BA74+PURWODADI!AC74+WRINGINAGUNG!AB74+WRINGINREJO!X74+YOSOMULYO!AP74</f>
        <v>69</v>
      </c>
      <c r="F74" s="14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14"/>
      <c r="B75" s="27">
        <v>3</v>
      </c>
      <c r="C75" s="28" t="s">
        <v>64</v>
      </c>
      <c r="D75" s="29"/>
      <c r="E75" s="16">
        <f>GAMBIRAN!AY75+JAJAG!BA75+PURWODADI!AC75+WRINGINAGUNG!AB75+WRINGINREJO!X75+YOSOMULYO!AP75</f>
        <v>57</v>
      </c>
      <c r="F75" s="14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14"/>
      <c r="B76" s="27">
        <v>4</v>
      </c>
      <c r="C76" s="28" t="s">
        <v>65</v>
      </c>
      <c r="D76" s="29"/>
      <c r="E76" s="16">
        <f>GAMBIRAN!AY76+JAJAG!BA76+PURWODADI!AC76+WRINGINAGUNG!AB76+WRINGINREJO!X76+YOSOMULYO!AP76</f>
        <v>41</v>
      </c>
      <c r="F76" s="14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14"/>
      <c r="B77" s="27">
        <v>5</v>
      </c>
      <c r="C77" s="28" t="s">
        <v>66</v>
      </c>
      <c r="D77" s="29"/>
      <c r="E77" s="16">
        <f>GAMBIRAN!AY77+JAJAG!BA77+PURWODADI!AC77+WRINGINAGUNG!AB77+WRINGINREJO!X77+YOSOMULYO!AP77</f>
        <v>214</v>
      </c>
      <c r="F77" s="14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14"/>
      <c r="B78" s="27">
        <v>6</v>
      </c>
      <c r="C78" s="28" t="s">
        <v>67</v>
      </c>
      <c r="D78" s="29"/>
      <c r="E78" s="16">
        <f>GAMBIRAN!AY78+JAJAG!BA78+PURWODADI!AC78+WRINGINAGUNG!AB78+WRINGINREJO!X78+YOSOMULYO!AP78</f>
        <v>32</v>
      </c>
      <c r="F78" s="14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15" t="s">
        <v>15</v>
      </c>
      <c r="B79" s="47" t="s">
        <v>46</v>
      </c>
      <c r="C79" s="48"/>
      <c r="D79" s="49"/>
      <c r="E79" s="34">
        <f>SUM(E72:E78)</f>
        <v>1965</v>
      </c>
      <c r="F79" s="14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35"/>
      <c r="B80" s="36"/>
      <c r="C80" s="36"/>
      <c r="D80" s="36"/>
      <c r="E80" s="36"/>
      <c r="F80" s="14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19" t="s">
        <v>37</v>
      </c>
      <c r="B81" s="26" t="s">
        <v>68</v>
      </c>
      <c r="C81" s="50" t="s">
        <v>69</v>
      </c>
      <c r="D81" s="49"/>
      <c r="E81" s="16">
        <f>GAMBIRAN!AY81+JAJAG!BA81+PURWODADI!AC81+WRINGINAGUNG!AB81+WRINGINREJO!X81+YOSOMULYO!AP81</f>
        <v>200</v>
      </c>
      <c r="F81" s="17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19" t="s">
        <v>39</v>
      </c>
      <c r="B82" s="27">
        <v>1</v>
      </c>
      <c r="C82" s="28" t="s">
        <v>70</v>
      </c>
      <c r="D82" s="29"/>
      <c r="E82" s="16">
        <f>GAMBIRAN!AY82+JAJAG!BA82+PURWODADI!AC82+WRINGINAGUNG!AB82+WRINGINREJO!X82+YOSOMULYO!AP82</f>
        <v>963</v>
      </c>
      <c r="F82" s="30"/>
      <c r="G82" s="31"/>
      <c r="H82" s="31"/>
      <c r="I82" s="31"/>
      <c r="J82" s="31"/>
      <c r="K82" s="31"/>
      <c r="L82" s="31"/>
      <c r="M82" s="31"/>
      <c r="N82" s="31"/>
      <c r="O82" s="31"/>
      <c r="P82" s="32"/>
      <c r="Q82" s="3"/>
      <c r="R82" s="3"/>
      <c r="S82" s="3"/>
      <c r="T82" s="3"/>
      <c r="U82" s="3"/>
      <c r="V82" s="3"/>
      <c r="W82" s="33"/>
      <c r="X82" s="3"/>
      <c r="Y82" s="3"/>
      <c r="Z82" s="3"/>
    </row>
    <row r="83" spans="1:26" ht="15.75" customHeight="1" x14ac:dyDescent="0.3">
      <c r="A83" s="14"/>
      <c r="B83" s="27">
        <v>2</v>
      </c>
      <c r="C83" s="28" t="s">
        <v>71</v>
      </c>
      <c r="D83" s="29"/>
      <c r="E83" s="16">
        <f>GAMBIRAN!AY83+JAJAG!BA83+PURWODADI!AC83+WRINGINAGUNG!AB83+WRINGINREJO!X83+YOSOMULYO!AP83</f>
        <v>35</v>
      </c>
      <c r="F83" s="14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14"/>
      <c r="B84" s="27">
        <v>3</v>
      </c>
      <c r="C84" s="28" t="s">
        <v>72</v>
      </c>
      <c r="D84" s="29"/>
      <c r="E84" s="16">
        <f>GAMBIRAN!AY84+JAJAG!BA84+PURWODADI!AC84+WRINGINAGUNG!AB84+WRINGINREJO!X84+YOSOMULYO!AP84</f>
        <v>21</v>
      </c>
      <c r="F84" s="14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14"/>
      <c r="B85" s="27">
        <v>4</v>
      </c>
      <c r="C85" s="28" t="s">
        <v>73</v>
      </c>
      <c r="D85" s="29"/>
      <c r="E85" s="16">
        <f>GAMBIRAN!AY85+JAJAG!BA85+PURWODADI!AC85+WRINGINAGUNG!AB85+WRINGINREJO!X85+YOSOMULYO!AP85</f>
        <v>59</v>
      </c>
      <c r="F85" s="14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14"/>
      <c r="B86" s="27">
        <v>5</v>
      </c>
      <c r="C86" s="28" t="s">
        <v>74</v>
      </c>
      <c r="D86" s="29"/>
      <c r="E86" s="16">
        <f>GAMBIRAN!AY86+JAJAG!BA86+PURWODADI!AC86+WRINGINAGUNG!AB86+WRINGINREJO!X86+YOSOMULYO!AP86</f>
        <v>450</v>
      </c>
      <c r="F86" s="14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14"/>
      <c r="B87" s="27">
        <v>6</v>
      </c>
      <c r="C87" s="28" t="s">
        <v>75</v>
      </c>
      <c r="D87" s="29"/>
      <c r="E87" s="16">
        <f>GAMBIRAN!AY87+JAJAG!BA87+PURWODADI!AC87+WRINGINAGUNG!AB87+WRINGINREJO!X87+YOSOMULYO!AP87</f>
        <v>125</v>
      </c>
      <c r="F87" s="14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15" t="s">
        <v>15</v>
      </c>
      <c r="B88" s="47" t="s">
        <v>46</v>
      </c>
      <c r="C88" s="48"/>
      <c r="D88" s="49"/>
      <c r="E88" s="34">
        <f>SUM(E81:E87)</f>
        <v>1853</v>
      </c>
      <c r="F88" s="14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35"/>
      <c r="B89" s="36"/>
      <c r="C89" s="36"/>
      <c r="D89" s="36"/>
      <c r="E89" s="36"/>
      <c r="F89" s="14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19" t="s">
        <v>37</v>
      </c>
      <c r="B90" s="26" t="s">
        <v>76</v>
      </c>
      <c r="C90" s="50" t="s">
        <v>77</v>
      </c>
      <c r="D90" s="49"/>
      <c r="E90" s="16">
        <f>GAMBIRAN!AY90+JAJAG!BA90+PURWODADI!AC90+WRINGINAGUNG!AB90+WRINGINREJO!X90+YOSOMULYO!AP90</f>
        <v>192</v>
      </c>
      <c r="F90" s="14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19"/>
      <c r="B91" s="27">
        <v>1</v>
      </c>
      <c r="C91" s="28" t="s">
        <v>78</v>
      </c>
      <c r="D91" s="37"/>
      <c r="E91" s="16">
        <f>GAMBIRAN!AY91+JAJAG!BA91+PURWODADI!AC91+WRINGINAGUNG!AB91+WRINGINREJO!X91+YOSOMULYO!AP91</f>
        <v>28</v>
      </c>
      <c r="F91" s="14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19"/>
      <c r="B92" s="27">
        <v>2</v>
      </c>
      <c r="C92" s="28" t="s">
        <v>79</v>
      </c>
      <c r="D92" s="37"/>
      <c r="E92" s="16">
        <f>GAMBIRAN!AY92+JAJAG!BA92+PURWODADI!AC92+WRINGINAGUNG!AB92+WRINGINREJO!X92+YOSOMULYO!AP92</f>
        <v>31</v>
      </c>
      <c r="F92" s="14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19" t="s">
        <v>39</v>
      </c>
      <c r="B93" s="27">
        <v>3</v>
      </c>
      <c r="C93" s="28" t="s">
        <v>80</v>
      </c>
      <c r="D93" s="37"/>
      <c r="E93" s="16">
        <f>GAMBIRAN!AY93+JAJAG!BA93+PURWODADI!AC93+WRINGINAGUNG!AB93+WRINGINREJO!X93+YOSOMULYO!AP93</f>
        <v>19</v>
      </c>
      <c r="F93" s="17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15" t="s">
        <v>15</v>
      </c>
      <c r="B94" s="47" t="s">
        <v>46</v>
      </c>
      <c r="C94" s="48"/>
      <c r="D94" s="49"/>
      <c r="E94" s="34">
        <f>SUM(E90:E93)</f>
        <v>270</v>
      </c>
      <c r="F94" s="30"/>
      <c r="G94" s="31"/>
      <c r="H94" s="31"/>
      <c r="I94" s="31"/>
      <c r="J94" s="31"/>
      <c r="K94" s="31"/>
      <c r="L94" s="31"/>
      <c r="M94" s="31"/>
      <c r="N94" s="31"/>
      <c r="O94" s="31"/>
      <c r="P94" s="32"/>
      <c r="Q94" s="3"/>
      <c r="R94" s="3"/>
      <c r="S94" s="3"/>
      <c r="T94" s="3"/>
      <c r="U94" s="3"/>
      <c r="V94" s="3"/>
      <c r="W94" s="33"/>
      <c r="X94" s="3"/>
      <c r="Y94" s="3"/>
      <c r="Z94" s="3"/>
    </row>
    <row r="95" spans="1:26" ht="15.75" customHeight="1" x14ac:dyDescent="0.3">
      <c r="A95" s="35"/>
      <c r="B95" s="36"/>
      <c r="C95" s="36"/>
      <c r="D95" s="36"/>
      <c r="E95" s="36"/>
      <c r="F95" s="14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19" t="s">
        <v>37</v>
      </c>
      <c r="B96" s="26" t="s">
        <v>81</v>
      </c>
      <c r="C96" s="50" t="s">
        <v>82</v>
      </c>
      <c r="D96" s="49"/>
      <c r="E96" s="16">
        <f>GAMBIRAN!AY96+JAJAG!BA96+PURWODADI!AC96+WRINGINAGUNG!AB96+WRINGINREJO!X96+YOSOMULYO!AP96</f>
        <v>64</v>
      </c>
      <c r="F96" s="14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19" t="s">
        <v>39</v>
      </c>
      <c r="B97" s="27">
        <v>1</v>
      </c>
      <c r="C97" s="28" t="s">
        <v>83</v>
      </c>
      <c r="D97" s="29"/>
      <c r="E97" s="16">
        <f>GAMBIRAN!AY97+JAJAG!BA97+PURWODADI!AC97+WRINGINAGUNG!AB97+WRINGINREJO!X97+YOSOMULYO!AP97</f>
        <v>34</v>
      </c>
      <c r="F97" s="14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19"/>
      <c r="B98" s="27">
        <v>2</v>
      </c>
      <c r="C98" s="28" t="s">
        <v>84</v>
      </c>
      <c r="D98" s="29"/>
      <c r="E98" s="16">
        <f>GAMBIRAN!AY98+JAJAG!BA98+PURWODADI!AC98+WRINGINAGUNG!AB98+WRINGINREJO!X98+YOSOMULYO!AP98</f>
        <v>6</v>
      </c>
      <c r="F98" s="14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15" t="s">
        <v>15</v>
      </c>
      <c r="B99" s="47" t="s">
        <v>46</v>
      </c>
      <c r="C99" s="48"/>
      <c r="D99" s="49"/>
      <c r="E99" s="34">
        <f>SUM(E96:E98)</f>
        <v>104</v>
      </c>
      <c r="F99" s="14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35"/>
      <c r="B100" s="36"/>
      <c r="C100" s="36"/>
      <c r="D100" s="36"/>
      <c r="E100" s="36"/>
      <c r="F100" s="14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19" t="s">
        <v>37</v>
      </c>
      <c r="B101" s="26" t="s">
        <v>85</v>
      </c>
      <c r="C101" s="50" t="s">
        <v>86</v>
      </c>
      <c r="D101" s="49"/>
      <c r="E101" s="16">
        <f>GAMBIRAN!AY101+JAJAG!BA101+PURWODADI!AC101+WRINGINAGUNG!AB101+WRINGINREJO!X101+YOSOMULYO!AP101</f>
        <v>95</v>
      </c>
      <c r="F101" s="14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19" t="s">
        <v>39</v>
      </c>
      <c r="B102" s="27">
        <v>1</v>
      </c>
      <c r="C102" s="28" t="s">
        <v>87</v>
      </c>
      <c r="D102" s="29"/>
      <c r="E102" s="16">
        <f>GAMBIRAN!AY102+JAJAG!BA102+PURWODADI!AC102+WRINGINAGUNG!AB102+WRINGINREJO!X102+YOSOMULYO!AP102</f>
        <v>218</v>
      </c>
      <c r="F102" s="14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14"/>
      <c r="B103" s="27">
        <v>2</v>
      </c>
      <c r="C103" s="28" t="s">
        <v>88</v>
      </c>
      <c r="D103" s="29"/>
      <c r="E103" s="16">
        <f>GAMBIRAN!AY103+JAJAG!BA103+PURWODADI!AC103+WRINGINAGUNG!AB103+WRINGINREJO!X103+YOSOMULYO!AP103</f>
        <v>16</v>
      </c>
      <c r="F103" s="14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14"/>
      <c r="B104" s="27">
        <v>3</v>
      </c>
      <c r="C104" s="28" t="s">
        <v>89</v>
      </c>
      <c r="D104" s="29"/>
      <c r="E104" s="16">
        <f>GAMBIRAN!AY104+JAJAG!BA104+PURWODADI!AC104+WRINGINAGUNG!AB104+WRINGINREJO!X104+YOSOMULYO!AP104</f>
        <v>43</v>
      </c>
      <c r="F104" s="14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14"/>
      <c r="B105" s="27">
        <v>4</v>
      </c>
      <c r="C105" s="28" t="s">
        <v>90</v>
      </c>
      <c r="D105" s="29"/>
      <c r="E105" s="16">
        <f>GAMBIRAN!AY105+JAJAG!BA105+PURWODADI!AC105+WRINGINAGUNG!AB105+WRINGINREJO!X105+YOSOMULYO!AP105</f>
        <v>20</v>
      </c>
      <c r="F105" s="17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14"/>
      <c r="B106" s="27">
        <v>5</v>
      </c>
      <c r="C106" s="28" t="s">
        <v>91</v>
      </c>
      <c r="D106" s="29"/>
      <c r="E106" s="16">
        <f>GAMBIRAN!AY106+JAJAG!BA106+PURWODADI!AC106+WRINGINAGUNG!AB106+WRINGINREJO!X106+YOSOMULYO!AP106</f>
        <v>21</v>
      </c>
      <c r="F106" s="30"/>
      <c r="G106" s="31"/>
      <c r="H106" s="31"/>
      <c r="I106" s="31"/>
      <c r="J106" s="31"/>
      <c r="K106" s="31"/>
      <c r="L106" s="31"/>
      <c r="M106" s="31"/>
      <c r="N106" s="31"/>
      <c r="O106" s="31"/>
      <c r="P106" s="32"/>
      <c r="Q106" s="3"/>
      <c r="R106" s="3"/>
      <c r="S106" s="3"/>
      <c r="T106" s="3"/>
      <c r="U106" s="3"/>
      <c r="V106" s="3"/>
      <c r="W106" s="33"/>
      <c r="X106" s="3"/>
      <c r="Y106" s="3"/>
      <c r="Z106" s="3"/>
    </row>
    <row r="107" spans="1:26" ht="15.75" customHeight="1" x14ac:dyDescent="0.3">
      <c r="A107" s="14"/>
      <c r="B107" s="27">
        <v>6</v>
      </c>
      <c r="C107" s="28" t="s">
        <v>92</v>
      </c>
      <c r="D107" s="29"/>
      <c r="E107" s="16">
        <f>GAMBIRAN!AY107+JAJAG!BA107+PURWODADI!AC107+WRINGINAGUNG!AB107+WRINGINREJO!X107+YOSOMULYO!AP107</f>
        <v>1</v>
      </c>
      <c r="F107" s="14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15" t="s">
        <v>15</v>
      </c>
      <c r="B108" s="47" t="s">
        <v>46</v>
      </c>
      <c r="C108" s="48"/>
      <c r="D108" s="49"/>
      <c r="E108" s="34">
        <f>SUM(E101:E107)</f>
        <v>414</v>
      </c>
      <c r="F108" s="14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35"/>
      <c r="B109" s="36"/>
      <c r="C109" s="36"/>
      <c r="D109" s="36"/>
      <c r="E109" s="36"/>
      <c r="F109" s="14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19" t="s">
        <v>37</v>
      </c>
      <c r="B110" s="26" t="s">
        <v>93</v>
      </c>
      <c r="C110" s="50" t="s">
        <v>94</v>
      </c>
      <c r="D110" s="49"/>
      <c r="E110" s="16">
        <f>GAMBIRAN!AY110+JAJAG!BA110+PURWODADI!AC110+WRINGINAGUNG!AB110+WRINGINREJO!X110+YOSOMULYO!AP110</f>
        <v>10</v>
      </c>
      <c r="F110" s="14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19"/>
      <c r="B111" s="26">
        <v>1</v>
      </c>
      <c r="C111" s="28" t="s">
        <v>95</v>
      </c>
      <c r="D111" s="37"/>
      <c r="E111" s="16">
        <f>GAMBIRAN!AY111+JAJAG!BA111+PURWODADI!AC111+WRINGINAGUNG!AB111+WRINGINREJO!X111+YOSOMULYO!AP111</f>
        <v>10</v>
      </c>
      <c r="F111" s="14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19"/>
      <c r="B112" s="26">
        <v>2</v>
      </c>
      <c r="C112" s="28" t="s">
        <v>96</v>
      </c>
      <c r="D112" s="37"/>
      <c r="E112" s="16">
        <f>GAMBIRAN!AY112+JAJAG!BA112+PURWODADI!AC112+WRINGINAGUNG!AB112+WRINGINREJO!X112+YOSOMULYO!AP112</f>
        <v>10</v>
      </c>
      <c r="F112" s="17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19"/>
      <c r="B113" s="26">
        <v>3</v>
      </c>
      <c r="C113" s="28" t="s">
        <v>97</v>
      </c>
      <c r="D113" s="37"/>
      <c r="E113" s="16">
        <f>GAMBIRAN!AY113+JAJAG!BA113+PURWODADI!AC113+WRINGINAGUNG!AB113+WRINGINREJO!X113+YOSOMULYO!AP113</f>
        <v>13</v>
      </c>
      <c r="F113" s="17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19" t="s">
        <v>39</v>
      </c>
      <c r="B114" s="27">
        <v>4</v>
      </c>
      <c r="C114" s="28" t="s">
        <v>98</v>
      </c>
      <c r="D114" s="29"/>
      <c r="E114" s="16">
        <f>GAMBIRAN!AY114+JAJAG!BA114+PURWODADI!AC114+WRINGINAGUNG!AB114+WRINGINREJO!X114+YOSOMULYO!AP114</f>
        <v>0</v>
      </c>
      <c r="F114" s="17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15" t="s">
        <v>15</v>
      </c>
      <c r="B115" s="47" t="s">
        <v>46</v>
      </c>
      <c r="C115" s="48"/>
      <c r="D115" s="49"/>
      <c r="E115" s="34">
        <f>SUM(E110:E114)</f>
        <v>43</v>
      </c>
      <c r="F115" s="30"/>
      <c r="G115" s="31"/>
      <c r="H115" s="31"/>
      <c r="I115" s="31"/>
      <c r="J115" s="31"/>
      <c r="K115" s="31"/>
      <c r="L115" s="31"/>
      <c r="M115" s="31"/>
      <c r="N115" s="31"/>
      <c r="O115" s="31"/>
      <c r="P115" s="32"/>
      <c r="Q115" s="3"/>
      <c r="R115" s="3"/>
      <c r="S115" s="3"/>
      <c r="T115" s="3"/>
      <c r="U115" s="3"/>
      <c r="V115" s="3"/>
      <c r="W115" s="33"/>
      <c r="X115" s="3"/>
      <c r="Y115" s="3"/>
      <c r="Z115" s="3"/>
    </row>
    <row r="116" spans="1:26" ht="15.75" customHeight="1" x14ac:dyDescent="0.3">
      <c r="A116" s="35"/>
      <c r="B116" s="36"/>
      <c r="C116" s="36"/>
      <c r="D116" s="36"/>
      <c r="E116" s="36"/>
      <c r="F116" s="14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19" t="s">
        <v>37</v>
      </c>
      <c r="B117" s="26" t="s">
        <v>99</v>
      </c>
      <c r="C117" s="50" t="s">
        <v>100</v>
      </c>
      <c r="D117" s="49"/>
      <c r="E117" s="16">
        <f>GAMBIRAN!AY117+JAJAG!BA117+PURWODADI!AC117+WRINGINAGUNG!AB117+WRINGINREJO!X117+YOSOMULYO!AP117</f>
        <v>16</v>
      </c>
      <c r="F117" s="14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19" t="s">
        <v>39</v>
      </c>
      <c r="B118" s="27">
        <v>1</v>
      </c>
      <c r="C118" s="28" t="s">
        <v>101</v>
      </c>
      <c r="D118" s="29"/>
      <c r="E118" s="16">
        <f>GAMBIRAN!AY118+JAJAG!BA118+PURWODADI!AC118+WRINGINAGUNG!AB118+WRINGINREJO!X118+YOSOMULYO!AP118</f>
        <v>12</v>
      </c>
      <c r="F118" s="14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14"/>
      <c r="B119" s="27">
        <v>2</v>
      </c>
      <c r="C119" s="28" t="s">
        <v>102</v>
      </c>
      <c r="D119" s="29"/>
      <c r="E119" s="16">
        <f>GAMBIRAN!AY119+JAJAG!BA119+PURWODADI!AC119+WRINGINAGUNG!AB119+WRINGINREJO!X119+YOSOMULYO!AP119</f>
        <v>6</v>
      </c>
      <c r="F119" s="14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14"/>
      <c r="B120" s="27">
        <v>3</v>
      </c>
      <c r="C120" s="28" t="s">
        <v>103</v>
      </c>
      <c r="D120" s="29"/>
      <c r="E120" s="16">
        <f>GAMBIRAN!AY120+JAJAG!BA120+PURWODADI!AC120+WRINGINAGUNG!AB120+WRINGINREJO!X120+YOSOMULYO!AP120</f>
        <v>0</v>
      </c>
      <c r="F120" s="14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14"/>
      <c r="B121" s="27">
        <v>4</v>
      </c>
      <c r="C121" s="28" t="s">
        <v>104</v>
      </c>
      <c r="D121" s="29"/>
      <c r="E121" s="16">
        <f>GAMBIRAN!AY121+JAJAG!BA121+PURWODADI!AC121+WRINGINAGUNG!AB121+WRINGINREJO!X121+YOSOMULYO!AP121</f>
        <v>17</v>
      </c>
      <c r="F121" s="14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14"/>
      <c r="B122" s="27">
        <v>5</v>
      </c>
      <c r="C122" s="28" t="s">
        <v>105</v>
      </c>
      <c r="D122" s="29"/>
      <c r="E122" s="16">
        <f>GAMBIRAN!AY122+JAJAG!BA122+PURWODADI!AC122+WRINGINAGUNG!AB122+WRINGINREJO!X122+YOSOMULYO!AP122</f>
        <v>9</v>
      </c>
      <c r="F122" s="14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14"/>
      <c r="B123" s="27">
        <v>6</v>
      </c>
      <c r="C123" s="28" t="s">
        <v>106</v>
      </c>
      <c r="D123" s="29"/>
      <c r="E123" s="16">
        <f>GAMBIRAN!AY123+JAJAG!BA123+PURWODADI!AC123+WRINGINAGUNG!AB123+WRINGINREJO!X123+YOSOMULYO!AP123</f>
        <v>9</v>
      </c>
      <c r="F123" s="14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15" t="s">
        <v>15</v>
      </c>
      <c r="B124" s="47" t="s">
        <v>46</v>
      </c>
      <c r="C124" s="48"/>
      <c r="D124" s="49"/>
      <c r="E124" s="34">
        <f>SUM(E117:E123)</f>
        <v>69</v>
      </c>
      <c r="F124" s="14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35"/>
      <c r="B125" s="36"/>
      <c r="C125" s="36"/>
      <c r="D125" s="36"/>
      <c r="E125" s="36"/>
      <c r="F125" s="14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19" t="s">
        <v>37</v>
      </c>
      <c r="B126" s="26" t="s">
        <v>107</v>
      </c>
      <c r="C126" s="50" t="s">
        <v>108</v>
      </c>
      <c r="D126" s="49"/>
      <c r="E126" s="16">
        <f>GAMBIRAN!AY126+JAJAG!BA126+PURWODADI!AC126+WRINGINAGUNG!AB126+WRINGINREJO!X126+YOSOMULYO!AP126</f>
        <v>38</v>
      </c>
      <c r="F126" s="14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19" t="s">
        <v>39</v>
      </c>
      <c r="B127" s="27"/>
      <c r="C127" s="28"/>
      <c r="D127" s="29"/>
      <c r="E127" s="16">
        <f>GAMBIRAN!AY127+JAJAG!BA127+PURWODADI!AC127+WRINGINAGUNG!AB127+WRINGINREJO!X127+YOSOMULYO!AP127</f>
        <v>0</v>
      </c>
      <c r="F127" s="14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15" t="s">
        <v>15</v>
      </c>
      <c r="B128" s="47" t="s">
        <v>46</v>
      </c>
      <c r="C128" s="48"/>
      <c r="D128" s="49"/>
      <c r="E128" s="34">
        <f>SUM(E126:E127)</f>
        <v>38</v>
      </c>
      <c r="F128" s="14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35"/>
      <c r="B129" s="36"/>
      <c r="C129" s="36"/>
      <c r="D129" s="36"/>
      <c r="E129" s="36"/>
      <c r="F129" s="17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19" t="s">
        <v>37</v>
      </c>
      <c r="B130" s="26" t="s">
        <v>109</v>
      </c>
      <c r="C130" s="50" t="s">
        <v>110</v>
      </c>
      <c r="D130" s="49"/>
      <c r="E130" s="16">
        <f>GAMBIRAN!AY130+JAJAG!BA130+PURWODADI!AC130+WRINGINAGUNG!AB130+WRINGINREJO!X130+YOSOMULYO!AP130</f>
        <v>130</v>
      </c>
      <c r="F130" s="30"/>
      <c r="G130" s="31"/>
      <c r="H130" s="31"/>
      <c r="I130" s="31"/>
      <c r="J130" s="31"/>
      <c r="K130" s="31"/>
      <c r="L130" s="31"/>
      <c r="M130" s="31"/>
      <c r="N130" s="31"/>
      <c r="O130" s="31"/>
      <c r="P130" s="32"/>
      <c r="Q130" s="3"/>
      <c r="R130" s="3"/>
      <c r="S130" s="3"/>
      <c r="T130" s="3"/>
      <c r="U130" s="3"/>
      <c r="V130" s="3"/>
      <c r="W130" s="33"/>
      <c r="X130" s="3"/>
      <c r="Y130" s="3"/>
      <c r="Z130" s="3"/>
    </row>
    <row r="131" spans="1:26" ht="15.75" customHeight="1" x14ac:dyDescent="0.3">
      <c r="A131" s="19" t="s">
        <v>39</v>
      </c>
      <c r="B131" s="27">
        <v>1</v>
      </c>
      <c r="C131" s="28" t="s">
        <v>111</v>
      </c>
      <c r="D131" s="29"/>
      <c r="E131" s="16">
        <f>GAMBIRAN!AY131+JAJAG!BA131+PURWODADI!AC131+WRINGINAGUNG!AB131+WRINGINREJO!X131+YOSOMULYO!AP131</f>
        <v>527</v>
      </c>
      <c r="F131" s="14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14"/>
      <c r="B132" s="27">
        <v>2</v>
      </c>
      <c r="C132" s="28" t="s">
        <v>112</v>
      </c>
      <c r="D132" s="29"/>
      <c r="E132" s="16">
        <f>GAMBIRAN!AY132+JAJAG!BA132+PURWODADI!AC132+WRINGINAGUNG!AB132+WRINGINREJO!X132+YOSOMULYO!AP132</f>
        <v>28</v>
      </c>
      <c r="F132" s="14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14"/>
      <c r="B133" s="27">
        <v>3</v>
      </c>
      <c r="C133" s="28" t="s">
        <v>113</v>
      </c>
      <c r="D133" s="29"/>
      <c r="E133" s="16">
        <f>GAMBIRAN!AY133+JAJAG!BA133+PURWODADI!AC133+WRINGINAGUNG!AB133+WRINGINREJO!X133+YOSOMULYO!AP133</f>
        <v>38</v>
      </c>
      <c r="F133" s="14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14"/>
      <c r="B134" s="27">
        <v>4</v>
      </c>
      <c r="C134" s="28" t="s">
        <v>114</v>
      </c>
      <c r="D134" s="29"/>
      <c r="E134" s="16">
        <f>GAMBIRAN!AY134+JAJAG!BA134+PURWODADI!AC134+WRINGINAGUNG!AB134+WRINGINREJO!X134+YOSOMULYO!AP134</f>
        <v>2</v>
      </c>
      <c r="F134" s="14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15" t="s">
        <v>15</v>
      </c>
      <c r="B135" s="47" t="s">
        <v>46</v>
      </c>
      <c r="C135" s="48"/>
      <c r="D135" s="49"/>
      <c r="E135" s="34">
        <f>SUM(E130:E134)</f>
        <v>725</v>
      </c>
      <c r="F135" s="14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35"/>
      <c r="B136" s="36"/>
      <c r="C136" s="36"/>
      <c r="D136" s="36"/>
      <c r="E136" s="36"/>
      <c r="F136" s="14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19" t="s">
        <v>37</v>
      </c>
      <c r="B137" s="26" t="s">
        <v>115</v>
      </c>
      <c r="C137" s="50" t="s">
        <v>116</v>
      </c>
      <c r="D137" s="49"/>
      <c r="E137" s="16">
        <f>GAMBIRAN!AY137+JAJAG!BA137+PURWODADI!AC137+WRINGINAGUNG!AB137+WRINGINREJO!X137+YOSOMULYO!AP137</f>
        <v>13</v>
      </c>
      <c r="F137" s="14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19" t="s">
        <v>39</v>
      </c>
      <c r="B138" s="27">
        <v>1</v>
      </c>
      <c r="C138" s="28" t="s">
        <v>117</v>
      </c>
      <c r="D138" s="29"/>
      <c r="E138" s="16">
        <f>GAMBIRAN!AY138+JAJAG!BA138+PURWODADI!AC138+WRINGINAGUNG!AB138+WRINGINREJO!X138+YOSOMULYO!AP138</f>
        <v>3</v>
      </c>
      <c r="F138" s="14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14"/>
      <c r="B139" s="27">
        <v>2</v>
      </c>
      <c r="C139" s="28" t="s">
        <v>118</v>
      </c>
      <c r="D139" s="29"/>
      <c r="E139" s="16">
        <f>GAMBIRAN!AY139+JAJAG!BA139+PURWODADI!AC139+WRINGINAGUNG!AB139+WRINGINREJO!X139+YOSOMULYO!AP139</f>
        <v>4</v>
      </c>
      <c r="F139" s="14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14"/>
      <c r="B140" s="27">
        <v>3</v>
      </c>
      <c r="C140" s="28" t="s">
        <v>119</v>
      </c>
      <c r="D140" s="29"/>
      <c r="E140" s="16">
        <f>GAMBIRAN!AY140+JAJAG!BA140+PURWODADI!AC140+WRINGINAGUNG!AB140+WRINGINREJO!X140+YOSOMULYO!AP140</f>
        <v>2</v>
      </c>
      <c r="F140" s="14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14"/>
      <c r="B141" s="27">
        <v>4</v>
      </c>
      <c r="C141" s="28" t="s">
        <v>120</v>
      </c>
      <c r="D141" s="29"/>
      <c r="E141" s="16">
        <f>GAMBIRAN!AY141+JAJAG!BA141+PURWODADI!AC141+WRINGINAGUNG!AB141+WRINGINREJO!X141+YOSOMULYO!AP141</f>
        <v>3</v>
      </c>
      <c r="F141" s="17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14"/>
      <c r="B142" s="27">
        <v>5</v>
      </c>
      <c r="C142" s="28" t="s">
        <v>121</v>
      </c>
      <c r="D142" s="29"/>
      <c r="E142" s="16">
        <f>GAMBIRAN!AY142+JAJAG!BA142+PURWODADI!AC142+WRINGINAGUNG!AB142+WRINGINREJO!X142+YOSOMULYO!AP142</f>
        <v>1</v>
      </c>
      <c r="F142" s="30"/>
      <c r="G142" s="31"/>
      <c r="H142" s="31"/>
      <c r="I142" s="31"/>
      <c r="J142" s="31"/>
      <c r="K142" s="31"/>
      <c r="L142" s="31"/>
      <c r="M142" s="31"/>
      <c r="N142" s="31"/>
      <c r="O142" s="31"/>
      <c r="P142" s="32"/>
      <c r="Q142" s="3"/>
      <c r="R142" s="3"/>
      <c r="S142" s="3"/>
      <c r="T142" s="3"/>
      <c r="U142" s="3"/>
      <c r="V142" s="3"/>
      <c r="W142" s="33"/>
      <c r="X142" s="3"/>
      <c r="Y142" s="3"/>
      <c r="Z142" s="3"/>
    </row>
    <row r="143" spans="1:26" ht="15.75" customHeight="1" x14ac:dyDescent="0.3">
      <c r="A143" s="14"/>
      <c r="B143" s="27">
        <v>6</v>
      </c>
      <c r="C143" s="28" t="s">
        <v>122</v>
      </c>
      <c r="D143" s="29"/>
      <c r="E143" s="16">
        <f>GAMBIRAN!AY143+JAJAG!BA143+PURWODADI!AC143+WRINGINAGUNG!AB143+WRINGINREJO!X143+YOSOMULYO!AP143</f>
        <v>3</v>
      </c>
      <c r="F143" s="14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15" t="s">
        <v>15</v>
      </c>
      <c r="B144" s="47" t="s">
        <v>46</v>
      </c>
      <c r="C144" s="48"/>
      <c r="D144" s="49"/>
      <c r="E144" s="34">
        <f>SUM(E137:E143)</f>
        <v>29</v>
      </c>
      <c r="F144" s="14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35"/>
      <c r="B145" s="36"/>
      <c r="C145" s="36"/>
      <c r="D145" s="36"/>
      <c r="E145" s="36"/>
      <c r="F145" s="14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19" t="s">
        <v>37</v>
      </c>
      <c r="B146" s="26" t="s">
        <v>123</v>
      </c>
      <c r="C146" s="50" t="s">
        <v>124</v>
      </c>
      <c r="D146" s="49"/>
      <c r="E146" s="16">
        <f>GAMBIRAN!AY146+JAJAG!BA146+PURWODADI!AC146+WRINGINAGUNG!AB146+WRINGINREJO!X146+YOSOMULYO!AP146</f>
        <v>862</v>
      </c>
      <c r="F146" s="14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19" t="s">
        <v>39</v>
      </c>
      <c r="B147" s="27">
        <v>1</v>
      </c>
      <c r="C147" s="28" t="s">
        <v>125</v>
      </c>
      <c r="D147" s="29"/>
      <c r="E147" s="16">
        <f>GAMBIRAN!AY147+JAJAG!BA147+PURWODADI!AC147+WRINGINAGUNG!AB147+WRINGINREJO!X147+YOSOMULYO!AP147</f>
        <v>3379</v>
      </c>
      <c r="F147" s="14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14"/>
      <c r="B148" s="27">
        <v>2</v>
      </c>
      <c r="C148" s="28" t="s">
        <v>126</v>
      </c>
      <c r="D148" s="29"/>
      <c r="E148" s="16">
        <f>GAMBIRAN!AY148+JAJAG!BA148+PURWODADI!AC148+WRINGINAGUNG!AB148+WRINGINREJO!X148+YOSOMULYO!AP148</f>
        <v>119</v>
      </c>
      <c r="F148" s="14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14"/>
      <c r="B149" s="27">
        <v>3</v>
      </c>
      <c r="C149" s="28" t="s">
        <v>127</v>
      </c>
      <c r="D149" s="29"/>
      <c r="E149" s="16">
        <f>GAMBIRAN!AY149+JAJAG!BA149+PURWODADI!AC149+WRINGINAGUNG!AB149+WRINGINREJO!X149+YOSOMULYO!AP149</f>
        <v>156</v>
      </c>
      <c r="F149" s="14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14"/>
      <c r="B150" s="27">
        <v>4</v>
      </c>
      <c r="C150" s="28" t="s">
        <v>128</v>
      </c>
      <c r="D150" s="29"/>
      <c r="E150" s="16">
        <f>GAMBIRAN!AY150+JAJAG!BA150+PURWODADI!AC150+WRINGINAGUNG!AB150+WRINGINREJO!X150+YOSOMULYO!AP150</f>
        <v>28</v>
      </c>
      <c r="F150" s="14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14"/>
      <c r="B151" s="27">
        <v>5</v>
      </c>
      <c r="C151" s="28" t="s">
        <v>129</v>
      </c>
      <c r="D151" s="29"/>
      <c r="E151" s="16">
        <f>GAMBIRAN!AY151+JAJAG!BA151+PURWODADI!AC151+WRINGINAGUNG!AB151+WRINGINREJO!X151+YOSOMULYO!AP151</f>
        <v>29</v>
      </c>
      <c r="F151" s="14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14"/>
      <c r="B152" s="27">
        <v>6</v>
      </c>
      <c r="C152" s="28" t="s">
        <v>130</v>
      </c>
      <c r="D152" s="29"/>
      <c r="E152" s="16">
        <f>GAMBIRAN!AY152+JAJAG!BA152+PURWODADI!AC152+WRINGINAGUNG!AB152+WRINGINREJO!X152+YOSOMULYO!AP152</f>
        <v>4530</v>
      </c>
      <c r="F152" s="17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15" t="s">
        <v>15</v>
      </c>
      <c r="B153" s="47" t="s">
        <v>46</v>
      </c>
      <c r="C153" s="48"/>
      <c r="D153" s="49"/>
      <c r="E153" s="34">
        <f>SUM(E146:E152)</f>
        <v>9103</v>
      </c>
      <c r="F153" s="30"/>
      <c r="G153" s="31"/>
      <c r="H153" s="31"/>
      <c r="I153" s="31"/>
      <c r="J153" s="31"/>
      <c r="K153" s="31"/>
      <c r="L153" s="31"/>
      <c r="M153" s="31"/>
      <c r="N153" s="31"/>
      <c r="O153" s="31"/>
      <c r="P153" s="32"/>
      <c r="Q153" s="3"/>
      <c r="R153" s="3"/>
      <c r="S153" s="3"/>
      <c r="T153" s="3"/>
      <c r="U153" s="3"/>
      <c r="V153" s="3"/>
      <c r="W153" s="33"/>
      <c r="X153" s="3"/>
      <c r="Y153" s="3"/>
      <c r="Z153" s="3"/>
    </row>
    <row r="154" spans="1:26" ht="15.75" customHeight="1" x14ac:dyDescent="0.3">
      <c r="A154" s="35"/>
      <c r="B154" s="36"/>
      <c r="C154" s="36"/>
      <c r="D154" s="36"/>
      <c r="E154" s="36"/>
      <c r="F154" s="14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19" t="s">
        <v>37</v>
      </c>
      <c r="B155" s="26" t="s">
        <v>131</v>
      </c>
      <c r="C155" s="50" t="s">
        <v>132</v>
      </c>
      <c r="D155" s="49"/>
      <c r="E155" s="16">
        <f>GAMBIRAN!AY155+JAJAG!BA155+PURWODADI!AC155+WRINGINAGUNG!AB155+WRINGINREJO!X155+YOSOMULYO!AP155</f>
        <v>227</v>
      </c>
      <c r="F155" s="14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19" t="s">
        <v>39</v>
      </c>
      <c r="B156" s="27"/>
      <c r="C156" s="28" t="s">
        <v>133</v>
      </c>
      <c r="D156" s="29"/>
      <c r="E156" s="16">
        <f>GAMBIRAN!AY156+JAJAG!BA156+PURWODADI!AC156+WRINGINAGUNG!AB156+WRINGINREJO!X156+YOSOMULYO!AP156</f>
        <v>0</v>
      </c>
      <c r="F156" s="14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15" t="s">
        <v>15</v>
      </c>
      <c r="B157" s="47" t="s">
        <v>46</v>
      </c>
      <c r="C157" s="48"/>
      <c r="D157" s="49"/>
      <c r="E157" s="34">
        <f>SUM(E155:E156)</f>
        <v>227</v>
      </c>
      <c r="F157" s="14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35"/>
      <c r="B158" s="36"/>
      <c r="C158" s="36"/>
      <c r="D158" s="36"/>
      <c r="E158" s="36"/>
      <c r="F158" s="14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19" t="s">
        <v>37</v>
      </c>
      <c r="B159" s="26" t="s">
        <v>134</v>
      </c>
      <c r="C159" s="50" t="s">
        <v>135</v>
      </c>
      <c r="D159" s="49"/>
      <c r="E159" s="16">
        <f>GAMBIRAN!AY159+JAJAG!BA159+PURWODADI!AC159+WRINGINAGUNG!AB159+WRINGINREJO!X159+YOSOMULYO!AP159</f>
        <v>58</v>
      </c>
      <c r="F159" s="14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19"/>
      <c r="B160" s="27">
        <v>1</v>
      </c>
      <c r="C160" s="28" t="s">
        <v>136</v>
      </c>
      <c r="D160" s="37"/>
      <c r="E160" s="16">
        <f>GAMBIRAN!AY160+JAJAG!BA160+PURWODADI!AC160+WRINGINAGUNG!AB160+WRINGINREJO!X160+YOSOMULYO!AP160</f>
        <v>39</v>
      </c>
      <c r="F160" s="14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19"/>
      <c r="B161" s="27">
        <v>2</v>
      </c>
      <c r="C161" s="28" t="s">
        <v>137</v>
      </c>
      <c r="D161" s="37"/>
      <c r="E161" s="16">
        <f>GAMBIRAN!AY161+JAJAG!BA161+PURWODADI!AC161+WRINGINAGUNG!AB161+WRINGINREJO!X161+YOSOMULYO!AP161</f>
        <v>206</v>
      </c>
      <c r="F161" s="14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19" t="s">
        <v>39</v>
      </c>
      <c r="B162" s="27">
        <v>3</v>
      </c>
      <c r="C162" s="28" t="s">
        <v>138</v>
      </c>
      <c r="D162" s="37"/>
      <c r="E162" s="16">
        <f>GAMBIRAN!AY162+JAJAG!BA162+PURWODADI!AC162+WRINGINAGUNG!AB162+WRINGINREJO!X162+YOSOMULYO!AP162</f>
        <v>13</v>
      </c>
      <c r="F162" s="14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15" t="s">
        <v>15</v>
      </c>
      <c r="B163" s="47" t="s">
        <v>46</v>
      </c>
      <c r="C163" s="48"/>
      <c r="D163" s="49"/>
      <c r="E163" s="34">
        <f>SUM(E159:E162)</f>
        <v>316</v>
      </c>
      <c r="F163" s="14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35"/>
      <c r="B164" s="36"/>
      <c r="C164" s="36"/>
      <c r="D164" s="36"/>
      <c r="E164" s="36"/>
      <c r="F164" s="14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19" t="s">
        <v>37</v>
      </c>
      <c r="B165" s="26" t="s">
        <v>139</v>
      </c>
      <c r="C165" s="50" t="s">
        <v>140</v>
      </c>
      <c r="D165" s="49"/>
      <c r="E165" s="16">
        <f>GAMBIRAN!AY165+JAJAG!BA165+PURWODADI!AC165+WRINGINAGUNG!AB165+WRINGINREJO!X165+YOSOMULYO!AP165</f>
        <v>191</v>
      </c>
      <c r="F165" s="17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19" t="s">
        <v>39</v>
      </c>
      <c r="B166" s="27">
        <v>1</v>
      </c>
      <c r="C166" s="28" t="s">
        <v>141</v>
      </c>
      <c r="D166" s="29"/>
      <c r="E166" s="16">
        <f>GAMBIRAN!AY166+JAJAG!BA166+PURWODADI!AC166+WRINGINAGUNG!AB166+WRINGINREJO!X166+YOSOMULYO!AP166</f>
        <v>979</v>
      </c>
      <c r="F166" s="30"/>
      <c r="G166" s="31"/>
      <c r="H166" s="31"/>
      <c r="I166" s="31"/>
      <c r="J166" s="31"/>
      <c r="K166" s="31"/>
      <c r="L166" s="31"/>
      <c r="M166" s="31"/>
      <c r="N166" s="31"/>
      <c r="O166" s="31"/>
      <c r="P166" s="32"/>
      <c r="Q166" s="3"/>
      <c r="R166" s="3"/>
      <c r="S166" s="3"/>
      <c r="T166" s="3"/>
      <c r="U166" s="3"/>
      <c r="V166" s="3"/>
      <c r="W166" s="33"/>
      <c r="X166" s="3"/>
      <c r="Y166" s="3"/>
      <c r="Z166" s="3"/>
    </row>
    <row r="167" spans="1:26" ht="15.75" customHeight="1" x14ac:dyDescent="0.3">
      <c r="A167" s="14"/>
      <c r="B167" s="27">
        <v>2</v>
      </c>
      <c r="C167" s="28" t="s">
        <v>142</v>
      </c>
      <c r="D167" s="29"/>
      <c r="E167" s="16">
        <f>GAMBIRAN!AY167+JAJAG!BA167+PURWODADI!AC167+WRINGINAGUNG!AB167+WRINGINREJO!X167+YOSOMULYO!AP167</f>
        <v>498</v>
      </c>
      <c r="F167" s="14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14"/>
      <c r="B168" s="27">
        <v>3</v>
      </c>
      <c r="C168" s="28" t="s">
        <v>143</v>
      </c>
      <c r="D168" s="29"/>
      <c r="E168" s="16">
        <f>GAMBIRAN!AY168+JAJAG!BA168+PURWODADI!AC168+WRINGINAGUNG!AB168+WRINGINREJO!X168+YOSOMULYO!AP168</f>
        <v>18</v>
      </c>
      <c r="F168" s="14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14"/>
      <c r="B169" s="27">
        <v>4</v>
      </c>
      <c r="C169" s="28" t="s">
        <v>144</v>
      </c>
      <c r="D169" s="29"/>
      <c r="E169" s="16">
        <f>GAMBIRAN!AY169+JAJAG!BA169+PURWODADI!AC169+WRINGINAGUNG!AB169+WRINGINREJO!X169+YOSOMULYO!AP169</f>
        <v>11</v>
      </c>
      <c r="F169" s="14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14"/>
      <c r="B170" s="27">
        <v>5</v>
      </c>
      <c r="C170" s="28" t="s">
        <v>145</v>
      </c>
      <c r="D170" s="29"/>
      <c r="E170" s="16">
        <f>GAMBIRAN!AY170+JAJAG!BA170+PURWODADI!AC170+WRINGINAGUNG!AB170+WRINGINREJO!X170+YOSOMULYO!AP170</f>
        <v>17</v>
      </c>
      <c r="F170" s="14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14"/>
      <c r="B171" s="27">
        <v>6</v>
      </c>
      <c r="C171" s="28" t="s">
        <v>146</v>
      </c>
      <c r="D171" s="29"/>
      <c r="E171" s="16">
        <f>GAMBIRAN!AY171+JAJAG!BA171+PURWODADI!AC171+WRINGINAGUNG!AB171+WRINGINREJO!X171+YOSOMULYO!AP171</f>
        <v>204</v>
      </c>
      <c r="F171" s="14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15" t="s">
        <v>15</v>
      </c>
      <c r="B172" s="47" t="s">
        <v>46</v>
      </c>
      <c r="C172" s="48"/>
      <c r="D172" s="49"/>
      <c r="E172" s="13">
        <f>SUM(E165:E171)</f>
        <v>1918</v>
      </c>
      <c r="F172" s="14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35"/>
      <c r="B173" s="36"/>
      <c r="C173" s="36"/>
      <c r="D173" s="36"/>
      <c r="E173" s="36"/>
      <c r="F173" s="14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19" t="s">
        <v>37</v>
      </c>
      <c r="B174" s="26" t="s">
        <v>147</v>
      </c>
      <c r="C174" s="50" t="s">
        <v>148</v>
      </c>
      <c r="D174" s="49"/>
      <c r="E174" s="16">
        <f>GAMBIRAN!AY174+JAJAG!BA174+PURWODADI!AC174+WRINGINAGUNG!AB174+WRINGINREJO!X174+YOSOMULYO!AP174</f>
        <v>37</v>
      </c>
      <c r="F174" s="14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19"/>
      <c r="B175" s="27">
        <v>1</v>
      </c>
      <c r="C175" s="28" t="s">
        <v>149</v>
      </c>
      <c r="D175" s="37"/>
      <c r="E175" s="16">
        <f>GAMBIRAN!AY175+JAJAG!BA175+PURWODADI!AC175+WRINGINAGUNG!AB175+WRINGINREJO!X175+YOSOMULYO!AP175</f>
        <v>44</v>
      </c>
      <c r="F175" s="14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19" t="s">
        <v>39</v>
      </c>
      <c r="B176" s="27">
        <v>2</v>
      </c>
      <c r="C176" s="28" t="s">
        <v>150</v>
      </c>
      <c r="D176" s="29"/>
      <c r="E176" s="16">
        <f>GAMBIRAN!AY176+JAJAG!BA176+PURWODADI!AC176+WRINGINAGUNG!AB176+WRINGINREJO!X176+YOSOMULYO!AP176</f>
        <v>53</v>
      </c>
      <c r="F176" s="14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15" t="s">
        <v>15</v>
      </c>
      <c r="B177" s="47" t="s">
        <v>46</v>
      </c>
      <c r="C177" s="48"/>
      <c r="D177" s="49"/>
      <c r="E177" s="34">
        <f>SUM(E174:E176)</f>
        <v>134</v>
      </c>
      <c r="F177" s="17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60"/>
      <c r="B178" s="58"/>
      <c r="C178" s="58"/>
      <c r="D178" s="59"/>
      <c r="E178" s="16"/>
      <c r="F178" s="30"/>
      <c r="G178" s="31"/>
      <c r="H178" s="31"/>
      <c r="I178" s="31"/>
      <c r="J178" s="31"/>
      <c r="K178" s="31"/>
      <c r="L178" s="31"/>
      <c r="M178" s="31"/>
      <c r="N178" s="31"/>
      <c r="O178" s="31"/>
      <c r="P178" s="32"/>
      <c r="Q178" s="3"/>
      <c r="R178" s="3"/>
      <c r="S178" s="3"/>
      <c r="T178" s="3"/>
      <c r="U178" s="3"/>
      <c r="V178" s="3"/>
      <c r="W178" s="33"/>
      <c r="X178" s="3"/>
      <c r="Y178" s="3"/>
      <c r="Z178" s="3"/>
    </row>
    <row r="179" spans="1:26" ht="15.75" customHeight="1" x14ac:dyDescent="0.3">
      <c r="A179" s="25" t="s">
        <v>151</v>
      </c>
      <c r="B179" s="55" t="s">
        <v>152</v>
      </c>
      <c r="C179" s="48"/>
      <c r="D179" s="49"/>
      <c r="E179" s="18"/>
      <c r="F179" s="14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25"/>
      <c r="B180" s="38" t="s">
        <v>153</v>
      </c>
      <c r="C180" s="72" t="s">
        <v>154</v>
      </c>
      <c r="D180" s="49"/>
      <c r="E180" s="16">
        <f>GAMBIRAN!AY180+JAJAG!BA180+PURWODADI!AC180+WRINGINAGUNG!AB180+WRINGINREJO!X180+YOSOMULYO!AP180</f>
        <v>37957</v>
      </c>
      <c r="F180" s="14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21"/>
      <c r="B181" s="38" t="s">
        <v>155</v>
      </c>
      <c r="C181" s="72" t="s">
        <v>156</v>
      </c>
      <c r="D181" s="49"/>
      <c r="E181" s="16">
        <f>GAMBIRAN!AY181+JAJAG!BA181+PURWODADI!AC181+WRINGINAGUNG!AB181+WRINGINREJO!X181+YOSOMULYO!AP181</f>
        <v>2277</v>
      </c>
      <c r="F181" s="14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24"/>
      <c r="B182" s="38" t="s">
        <v>157</v>
      </c>
      <c r="C182" s="72" t="s">
        <v>158</v>
      </c>
      <c r="D182" s="49"/>
      <c r="E182" s="18">
        <f>SUM(E180:E181)</f>
        <v>40234</v>
      </c>
      <c r="F182" s="14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5"/>
      <c r="B183" s="39"/>
      <c r="C183" s="40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5"/>
      <c r="B184" s="39"/>
      <c r="C184" s="40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5"/>
      <c r="B185" s="39"/>
      <c r="C185" s="40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hidden="1" customHeight="1" x14ac:dyDescent="0.3">
      <c r="A186" s="5"/>
      <c r="B186" s="39"/>
      <c r="C186" s="40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hidden="1" customHeight="1" x14ac:dyDescent="0.3">
      <c r="A187" s="5"/>
      <c r="B187" s="39"/>
      <c r="C187" s="40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hidden="1" customHeight="1" x14ac:dyDescent="0.3">
      <c r="A188" s="5"/>
      <c r="B188" s="39"/>
      <c r="C188" s="40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hidden="1" customHeight="1" x14ac:dyDescent="0.3">
      <c r="A189" s="5"/>
      <c r="B189" s="39"/>
      <c r="C189" s="40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hidden="1" customHeight="1" x14ac:dyDescent="0.3">
      <c r="A190" s="5"/>
      <c r="B190" s="39"/>
      <c r="C190" s="40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hidden="1" customHeight="1" x14ac:dyDescent="0.3">
      <c r="A191" s="5"/>
      <c r="B191" s="39"/>
      <c r="C191" s="40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hidden="1" customHeight="1" x14ac:dyDescent="0.3">
      <c r="A192" s="5"/>
      <c r="B192" s="39"/>
      <c r="C192" s="40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hidden="1" customHeight="1" x14ac:dyDescent="0.3">
      <c r="A193" s="5"/>
      <c r="B193" s="39"/>
      <c r="C193" s="40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hidden="1" customHeight="1" x14ac:dyDescent="0.3">
      <c r="A194" s="5"/>
      <c r="B194" s="39"/>
      <c r="C194" s="40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hidden="1" customHeight="1" x14ac:dyDescent="0.3">
      <c r="A195" s="5"/>
      <c r="B195" s="39"/>
      <c r="C195" s="40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hidden="1" customHeight="1" x14ac:dyDescent="0.3">
      <c r="A196" s="5"/>
      <c r="B196" s="39"/>
      <c r="C196" s="40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hidden="1" customHeight="1" x14ac:dyDescent="0.3">
      <c r="A197" s="5"/>
      <c r="B197" s="39"/>
      <c r="C197" s="40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hidden="1" customHeight="1" x14ac:dyDescent="0.3">
      <c r="A198" s="5"/>
      <c r="B198" s="39"/>
      <c r="C198" s="40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hidden="1" customHeight="1" x14ac:dyDescent="0.3">
      <c r="A199" s="5"/>
      <c r="B199" s="39"/>
      <c r="C199" s="40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hidden="1" customHeight="1" x14ac:dyDescent="0.3">
      <c r="A200" s="5"/>
      <c r="B200" s="39"/>
      <c r="C200" s="40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hidden="1" customHeight="1" x14ac:dyDescent="0.3">
      <c r="A201" s="5"/>
      <c r="B201" s="39"/>
      <c r="C201" s="40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hidden="1" customHeight="1" x14ac:dyDescent="0.3">
      <c r="A202" s="5"/>
      <c r="B202" s="39"/>
      <c r="C202" s="40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hidden="1" customHeight="1" x14ac:dyDescent="0.3">
      <c r="A203" s="5"/>
      <c r="B203" s="39"/>
      <c r="C203" s="40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hidden="1" customHeight="1" x14ac:dyDescent="0.3">
      <c r="A204" s="5"/>
      <c r="B204" s="39"/>
      <c r="C204" s="40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hidden="1" customHeight="1" x14ac:dyDescent="0.3">
      <c r="A205" s="5"/>
      <c r="B205" s="39"/>
      <c r="C205" s="40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hidden="1" customHeight="1" x14ac:dyDescent="0.3">
      <c r="A206" s="5"/>
      <c r="B206" s="39"/>
      <c r="C206" s="40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hidden="1" customHeight="1" x14ac:dyDescent="0.3">
      <c r="A207" s="5"/>
      <c r="B207" s="39"/>
      <c r="C207" s="40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hidden="1" customHeight="1" x14ac:dyDescent="0.3">
      <c r="A208" s="5"/>
      <c r="B208" s="39"/>
      <c r="C208" s="40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hidden="1" customHeight="1" x14ac:dyDescent="0.3">
      <c r="A209" s="5"/>
      <c r="B209" s="39"/>
      <c r="C209" s="40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hidden="1" customHeight="1" x14ac:dyDescent="0.3">
      <c r="A210" s="5"/>
      <c r="B210" s="39"/>
      <c r="C210" s="40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hidden="1" customHeight="1" x14ac:dyDescent="0.3">
      <c r="A211" s="5"/>
      <c r="B211" s="39"/>
      <c r="C211" s="40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hidden="1" customHeight="1" x14ac:dyDescent="0.3">
      <c r="A212" s="5"/>
      <c r="B212" s="39"/>
      <c r="C212" s="40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hidden="1" customHeight="1" x14ac:dyDescent="0.3">
      <c r="A213" s="5"/>
      <c r="B213" s="39"/>
      <c r="C213" s="40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hidden="1" customHeight="1" x14ac:dyDescent="0.3">
      <c r="A214" s="5"/>
      <c r="B214" s="39"/>
      <c r="C214" s="40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hidden="1" customHeight="1" x14ac:dyDescent="0.3">
      <c r="A215" s="5"/>
      <c r="B215" s="39"/>
      <c r="C215" s="40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hidden="1" customHeight="1" x14ac:dyDescent="0.3">
      <c r="A216" s="5"/>
      <c r="B216" s="39"/>
      <c r="C216" s="40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hidden="1" customHeight="1" x14ac:dyDescent="0.3">
      <c r="A217" s="5"/>
      <c r="B217" s="39"/>
      <c r="C217" s="40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hidden="1" customHeight="1" x14ac:dyDescent="0.3">
      <c r="A218" s="5"/>
      <c r="B218" s="39"/>
      <c r="C218" s="40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hidden="1" customHeight="1" x14ac:dyDescent="0.3">
      <c r="A219" s="5"/>
      <c r="B219" s="39"/>
      <c r="C219" s="40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hidden="1" customHeight="1" x14ac:dyDescent="0.3">
      <c r="A220" s="5"/>
      <c r="B220" s="39"/>
      <c r="C220" s="40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hidden="1" customHeight="1" x14ac:dyDescent="0.3">
      <c r="A221" s="5"/>
      <c r="B221" s="39"/>
      <c r="C221" s="40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hidden="1" customHeight="1" x14ac:dyDescent="0.3">
      <c r="A222" s="5"/>
      <c r="B222" s="39"/>
      <c r="C222" s="40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hidden="1" customHeight="1" x14ac:dyDescent="0.3">
      <c r="A223" s="5"/>
      <c r="B223" s="39"/>
      <c r="C223" s="40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hidden="1" customHeight="1" x14ac:dyDescent="0.3">
      <c r="A224" s="5"/>
      <c r="B224" s="39"/>
      <c r="C224" s="40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hidden="1" customHeight="1" x14ac:dyDescent="0.3">
      <c r="A225" s="5"/>
      <c r="B225" s="39"/>
      <c r="C225" s="40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hidden="1" customHeight="1" x14ac:dyDescent="0.3">
      <c r="A226" s="5"/>
      <c r="B226" s="39"/>
      <c r="C226" s="40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hidden="1" customHeight="1" x14ac:dyDescent="0.3">
      <c r="A227" s="5"/>
      <c r="B227" s="39"/>
      <c r="C227" s="40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hidden="1" customHeight="1" x14ac:dyDescent="0.3">
      <c r="A228" s="5"/>
      <c r="B228" s="39"/>
      <c r="C228" s="40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hidden="1" customHeight="1" x14ac:dyDescent="0.3">
      <c r="A229" s="5"/>
      <c r="B229" s="39"/>
      <c r="C229" s="40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hidden="1" customHeight="1" x14ac:dyDescent="0.3">
      <c r="A230" s="5"/>
      <c r="B230" s="39"/>
      <c r="C230" s="40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hidden="1" customHeight="1" x14ac:dyDescent="0.3">
      <c r="A231" s="5"/>
      <c r="B231" s="39"/>
      <c r="C231" s="40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hidden="1" customHeight="1" x14ac:dyDescent="0.3">
      <c r="A232" s="5"/>
      <c r="B232" s="39"/>
      <c r="C232" s="40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hidden="1" customHeight="1" x14ac:dyDescent="0.3">
      <c r="A233" s="5"/>
      <c r="B233" s="39"/>
      <c r="C233" s="40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hidden="1" customHeight="1" x14ac:dyDescent="0.3">
      <c r="A234" s="5"/>
      <c r="B234" s="39"/>
      <c r="C234" s="40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hidden="1" customHeight="1" x14ac:dyDescent="0.3">
      <c r="A235" s="5"/>
      <c r="B235" s="39"/>
      <c r="C235" s="40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hidden="1" customHeight="1" x14ac:dyDescent="0.3">
      <c r="A236" s="5"/>
      <c r="B236" s="39"/>
      <c r="C236" s="40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hidden="1" customHeight="1" x14ac:dyDescent="0.3">
      <c r="A237" s="5"/>
      <c r="B237" s="39"/>
      <c r="C237" s="40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hidden="1" customHeight="1" x14ac:dyDescent="0.3">
      <c r="A238" s="5"/>
      <c r="B238" s="39"/>
      <c r="C238" s="40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hidden="1" customHeight="1" x14ac:dyDescent="0.3">
      <c r="A239" s="5"/>
      <c r="B239" s="39"/>
      <c r="C239" s="40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hidden="1" customHeight="1" x14ac:dyDescent="0.3">
      <c r="A240" s="5"/>
      <c r="B240" s="39"/>
      <c r="C240" s="40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hidden="1" customHeight="1" x14ac:dyDescent="0.3">
      <c r="A241" s="5"/>
      <c r="B241" s="39"/>
      <c r="C241" s="40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hidden="1" customHeight="1" x14ac:dyDescent="0.3">
      <c r="A242" s="5"/>
      <c r="B242" s="39"/>
      <c r="C242" s="40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hidden="1" customHeight="1" x14ac:dyDescent="0.3">
      <c r="A243" s="5"/>
      <c r="B243" s="39"/>
      <c r="C243" s="40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hidden="1" customHeight="1" x14ac:dyDescent="0.3">
      <c r="A244" s="5"/>
      <c r="B244" s="39"/>
      <c r="C244" s="40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hidden="1" customHeight="1" x14ac:dyDescent="0.3">
      <c r="A245" s="5"/>
      <c r="B245" s="39"/>
      <c r="C245" s="40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hidden="1" customHeight="1" x14ac:dyDescent="0.3">
      <c r="A246" s="5"/>
      <c r="B246" s="39"/>
      <c r="C246" s="40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hidden="1" customHeight="1" x14ac:dyDescent="0.3">
      <c r="A247" s="5"/>
      <c r="B247" s="39"/>
      <c r="C247" s="40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hidden="1" customHeight="1" x14ac:dyDescent="0.3">
      <c r="A248" s="5"/>
      <c r="B248" s="39"/>
      <c r="C248" s="40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hidden="1" customHeight="1" x14ac:dyDescent="0.3">
      <c r="A249" s="5"/>
      <c r="B249" s="39"/>
      <c r="C249" s="40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hidden="1" customHeight="1" x14ac:dyDescent="0.3">
      <c r="A250" s="5"/>
      <c r="B250" s="39"/>
      <c r="C250" s="40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hidden="1" customHeight="1" x14ac:dyDescent="0.3">
      <c r="A251" s="5"/>
      <c r="B251" s="39"/>
      <c r="C251" s="40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hidden="1" customHeight="1" x14ac:dyDescent="0.3">
      <c r="A252" s="5"/>
      <c r="B252" s="39"/>
      <c r="C252" s="40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hidden="1" customHeight="1" x14ac:dyDescent="0.3">
      <c r="A253" s="5"/>
      <c r="B253" s="39"/>
      <c r="C253" s="40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hidden="1" customHeight="1" x14ac:dyDescent="0.3">
      <c r="A254" s="5"/>
      <c r="B254" s="39"/>
      <c r="C254" s="40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hidden="1" customHeight="1" x14ac:dyDescent="0.3">
      <c r="A255" s="5"/>
      <c r="B255" s="39"/>
      <c r="C255" s="40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hidden="1" customHeight="1" x14ac:dyDescent="0.3">
      <c r="A256" s="5"/>
      <c r="B256" s="39"/>
      <c r="C256" s="40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hidden="1" customHeight="1" x14ac:dyDescent="0.3">
      <c r="A257" s="5"/>
      <c r="B257" s="39"/>
      <c r="C257" s="40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hidden="1" customHeight="1" x14ac:dyDescent="0.3">
      <c r="A258" s="5"/>
      <c r="B258" s="39"/>
      <c r="C258" s="40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hidden="1" customHeight="1" x14ac:dyDescent="0.3">
      <c r="A259" s="5"/>
      <c r="B259" s="39"/>
      <c r="C259" s="40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hidden="1" customHeight="1" x14ac:dyDescent="0.3">
      <c r="A260" s="5"/>
      <c r="B260" s="39"/>
      <c r="C260" s="40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0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hidden="1" customHeight="1" x14ac:dyDescent="0.3">
      <c r="A261" s="5"/>
      <c r="B261" s="39"/>
      <c r="C261" s="40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0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hidden="1" customHeight="1" x14ac:dyDescent="0.3">
      <c r="A262" s="5"/>
      <c r="B262" s="39"/>
      <c r="C262" s="40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hidden="1" customHeight="1" x14ac:dyDescent="0.3">
      <c r="A263" s="5"/>
      <c r="B263" s="39"/>
      <c r="C263" s="40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hidden="1" customHeight="1" x14ac:dyDescent="0.3">
      <c r="A264" s="5"/>
      <c r="B264" s="39"/>
      <c r="C264" s="40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hidden="1" customHeight="1" x14ac:dyDescent="0.3">
      <c r="A265" s="5"/>
      <c r="B265" s="39"/>
      <c r="C265" s="40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hidden="1" customHeight="1" x14ac:dyDescent="0.3">
      <c r="A266" s="5"/>
      <c r="B266" s="39"/>
      <c r="C266" s="40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hidden="1" customHeight="1" x14ac:dyDescent="0.3">
      <c r="A267" s="5"/>
      <c r="B267" s="39"/>
      <c r="C267" s="40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hidden="1" customHeight="1" x14ac:dyDescent="0.3">
      <c r="A268" s="5"/>
      <c r="B268" s="39"/>
      <c r="C268" s="40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hidden="1" customHeight="1" x14ac:dyDescent="0.3">
      <c r="A269" s="5"/>
      <c r="B269" s="39"/>
      <c r="C269" s="40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hidden="1" customHeight="1" x14ac:dyDescent="0.3">
      <c r="A270" s="5"/>
      <c r="B270" s="39"/>
      <c r="C270" s="40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hidden="1" customHeight="1" x14ac:dyDescent="0.3">
      <c r="A271" s="5"/>
      <c r="B271" s="39"/>
      <c r="C271" s="40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hidden="1" customHeight="1" x14ac:dyDescent="0.3">
      <c r="A272" s="5"/>
      <c r="B272" s="39"/>
      <c r="C272" s="40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hidden="1" customHeight="1" x14ac:dyDescent="0.3">
      <c r="A273" s="5"/>
      <c r="B273" s="39"/>
      <c r="C273" s="40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hidden="1" customHeight="1" x14ac:dyDescent="0.3">
      <c r="A274" s="5"/>
      <c r="B274" s="39"/>
      <c r="C274" s="40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hidden="1" customHeight="1" x14ac:dyDescent="0.3">
      <c r="A275" s="5"/>
      <c r="B275" s="39"/>
      <c r="C275" s="40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hidden="1" customHeight="1" x14ac:dyDescent="0.3">
      <c r="A276" s="5"/>
      <c r="B276" s="39"/>
      <c r="C276" s="40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hidden="1" customHeight="1" x14ac:dyDescent="0.3">
      <c r="A277" s="5"/>
      <c r="B277" s="39"/>
      <c r="C277" s="40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hidden="1" customHeight="1" x14ac:dyDescent="0.3">
      <c r="A278" s="5"/>
      <c r="B278" s="39"/>
      <c r="C278" s="40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hidden="1" customHeight="1" x14ac:dyDescent="0.3">
      <c r="A279" s="5"/>
      <c r="B279" s="39"/>
      <c r="C279" s="40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hidden="1" customHeight="1" x14ac:dyDescent="0.3">
      <c r="A280" s="5"/>
      <c r="B280" s="39"/>
      <c r="C280" s="40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hidden="1" customHeight="1" x14ac:dyDescent="0.3">
      <c r="A281" s="5"/>
      <c r="B281" s="39"/>
      <c r="C281" s="40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hidden="1" customHeight="1" x14ac:dyDescent="0.3">
      <c r="A282" s="5"/>
      <c r="B282" s="39"/>
      <c r="C282" s="40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hidden="1" customHeight="1" x14ac:dyDescent="0.3">
      <c r="A283" s="5"/>
      <c r="B283" s="39"/>
      <c r="C283" s="40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hidden="1" customHeight="1" x14ac:dyDescent="0.3">
      <c r="A284" s="5"/>
      <c r="B284" s="39"/>
      <c r="C284" s="40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hidden="1" customHeight="1" x14ac:dyDescent="0.3">
      <c r="A285" s="5"/>
      <c r="B285" s="39"/>
      <c r="C285" s="40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hidden="1" customHeight="1" x14ac:dyDescent="0.3">
      <c r="A286" s="5"/>
      <c r="B286" s="39"/>
      <c r="C286" s="40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hidden="1" customHeight="1" x14ac:dyDescent="0.3">
      <c r="A287" s="5"/>
      <c r="B287" s="39"/>
      <c r="C287" s="40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hidden="1" customHeight="1" x14ac:dyDescent="0.3">
      <c r="A288" s="5"/>
      <c r="B288" s="39"/>
      <c r="C288" s="40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hidden="1" customHeight="1" x14ac:dyDescent="0.3">
      <c r="A289" s="5"/>
      <c r="B289" s="39"/>
      <c r="C289" s="40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hidden="1" customHeight="1" x14ac:dyDescent="0.3">
      <c r="A290" s="5"/>
      <c r="B290" s="39"/>
      <c r="C290" s="40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hidden="1" customHeight="1" x14ac:dyDescent="0.3">
      <c r="A291" s="5"/>
      <c r="B291" s="39"/>
      <c r="C291" s="40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hidden="1" customHeight="1" x14ac:dyDescent="0.3">
      <c r="A292" s="5"/>
      <c r="B292" s="39"/>
      <c r="C292" s="40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hidden="1" customHeight="1" x14ac:dyDescent="0.3">
      <c r="A293" s="5"/>
      <c r="B293" s="39"/>
      <c r="C293" s="40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hidden="1" customHeight="1" x14ac:dyDescent="0.3">
      <c r="A294" s="5"/>
      <c r="B294" s="39"/>
      <c r="C294" s="40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hidden="1" customHeight="1" x14ac:dyDescent="0.3">
      <c r="A295" s="5"/>
      <c r="B295" s="39"/>
      <c r="C295" s="40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hidden="1" customHeight="1" x14ac:dyDescent="0.3">
      <c r="A296" s="5"/>
      <c r="B296" s="39"/>
      <c r="C296" s="40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hidden="1" customHeight="1" x14ac:dyDescent="0.3">
      <c r="A297" s="5"/>
      <c r="B297" s="39"/>
      <c r="C297" s="40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hidden="1" customHeight="1" x14ac:dyDescent="0.3">
      <c r="A298" s="5"/>
      <c r="B298" s="39"/>
      <c r="C298" s="40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hidden="1" customHeight="1" x14ac:dyDescent="0.3">
      <c r="A299" s="5"/>
      <c r="B299" s="39"/>
      <c r="C299" s="40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hidden="1" customHeight="1" x14ac:dyDescent="0.3">
      <c r="A300" s="5"/>
      <c r="B300" s="39"/>
      <c r="C300" s="40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hidden="1" customHeight="1" x14ac:dyDescent="0.3">
      <c r="A301" s="5"/>
      <c r="B301" s="39"/>
      <c r="C301" s="40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hidden="1" customHeight="1" x14ac:dyDescent="0.3">
      <c r="A302" s="5"/>
      <c r="B302" s="39"/>
      <c r="C302" s="40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hidden="1" customHeight="1" x14ac:dyDescent="0.3">
      <c r="A303" s="5"/>
      <c r="B303" s="39"/>
      <c r="C303" s="40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hidden="1" customHeight="1" x14ac:dyDescent="0.3">
      <c r="A304" s="5"/>
      <c r="B304" s="39"/>
      <c r="C304" s="40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hidden="1" customHeight="1" x14ac:dyDescent="0.3">
      <c r="A305" s="5"/>
      <c r="B305" s="39"/>
      <c r="C305" s="40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hidden="1" customHeight="1" x14ac:dyDescent="0.3">
      <c r="A306" s="5"/>
      <c r="B306" s="39"/>
      <c r="C306" s="40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hidden="1" customHeight="1" x14ac:dyDescent="0.3">
      <c r="A307" s="5"/>
      <c r="B307" s="39"/>
      <c r="C307" s="40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hidden="1" customHeight="1" x14ac:dyDescent="0.3">
      <c r="A308" s="5"/>
      <c r="B308" s="39"/>
      <c r="C308" s="40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hidden="1" customHeight="1" x14ac:dyDescent="0.3">
      <c r="A309" s="5"/>
      <c r="B309" s="39"/>
      <c r="C309" s="40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hidden="1" customHeight="1" x14ac:dyDescent="0.3">
      <c r="A310" s="5"/>
      <c r="B310" s="39"/>
      <c r="C310" s="40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hidden="1" customHeight="1" x14ac:dyDescent="0.3">
      <c r="A311" s="5"/>
      <c r="B311" s="39"/>
      <c r="C311" s="40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hidden="1" customHeight="1" x14ac:dyDescent="0.3">
      <c r="A312" s="5"/>
      <c r="B312" s="39"/>
      <c r="C312" s="40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hidden="1" customHeight="1" x14ac:dyDescent="0.3">
      <c r="A313" s="5"/>
      <c r="B313" s="39"/>
      <c r="C313" s="40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hidden="1" customHeight="1" x14ac:dyDescent="0.3">
      <c r="A314" s="5"/>
      <c r="B314" s="39"/>
      <c r="C314" s="40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hidden="1" customHeight="1" x14ac:dyDescent="0.3">
      <c r="A315" s="5"/>
      <c r="B315" s="39"/>
      <c r="C315" s="40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hidden="1" customHeight="1" x14ac:dyDescent="0.3">
      <c r="A316" s="5"/>
      <c r="B316" s="39"/>
      <c r="C316" s="40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hidden="1" customHeight="1" x14ac:dyDescent="0.3">
      <c r="A317" s="5"/>
      <c r="B317" s="39"/>
      <c r="C317" s="40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hidden="1" customHeight="1" x14ac:dyDescent="0.3">
      <c r="A318" s="5"/>
      <c r="B318" s="39"/>
      <c r="C318" s="40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hidden="1" customHeight="1" x14ac:dyDescent="0.3">
      <c r="A319" s="5"/>
      <c r="B319" s="39"/>
      <c r="C319" s="40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hidden="1" customHeight="1" x14ac:dyDescent="0.3">
      <c r="A320" s="5"/>
      <c r="B320" s="39"/>
      <c r="C320" s="40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hidden="1" customHeight="1" x14ac:dyDescent="0.3">
      <c r="A321" s="5"/>
      <c r="B321" s="39"/>
      <c r="C321" s="40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hidden="1" customHeight="1" x14ac:dyDescent="0.3">
      <c r="A322" s="5"/>
      <c r="B322" s="39"/>
      <c r="C322" s="40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hidden="1" customHeight="1" x14ac:dyDescent="0.3">
      <c r="A323" s="5"/>
      <c r="B323" s="39"/>
      <c r="C323" s="40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hidden="1" customHeight="1" x14ac:dyDescent="0.3">
      <c r="A324" s="5"/>
      <c r="B324" s="39"/>
      <c r="C324" s="40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hidden="1" customHeight="1" x14ac:dyDescent="0.3">
      <c r="A325" s="5"/>
      <c r="B325" s="39"/>
      <c r="C325" s="40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hidden="1" customHeight="1" x14ac:dyDescent="0.3">
      <c r="A326" s="5"/>
      <c r="B326" s="39"/>
      <c r="C326" s="40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hidden="1" customHeight="1" x14ac:dyDescent="0.3">
      <c r="A327" s="5"/>
      <c r="B327" s="39"/>
      <c r="C327" s="40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hidden="1" customHeight="1" x14ac:dyDescent="0.3">
      <c r="A328" s="5"/>
      <c r="B328" s="39"/>
      <c r="C328" s="40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hidden="1" customHeight="1" x14ac:dyDescent="0.3">
      <c r="A329" s="5"/>
      <c r="B329" s="39"/>
      <c r="C329" s="40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hidden="1" customHeight="1" x14ac:dyDescent="0.3">
      <c r="A330" s="5"/>
      <c r="B330" s="39"/>
      <c r="C330" s="40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hidden="1" customHeight="1" x14ac:dyDescent="0.3">
      <c r="A331" s="5"/>
      <c r="B331" s="39"/>
      <c r="C331" s="40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hidden="1" customHeight="1" x14ac:dyDescent="0.3">
      <c r="A332" s="5"/>
      <c r="B332" s="39"/>
      <c r="C332" s="40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hidden="1" customHeight="1" x14ac:dyDescent="0.3">
      <c r="A333" s="5"/>
      <c r="B333" s="39"/>
      <c r="C333" s="40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hidden="1" customHeight="1" x14ac:dyDescent="0.3">
      <c r="A334" s="5"/>
      <c r="B334" s="39"/>
      <c r="C334" s="40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hidden="1" customHeight="1" x14ac:dyDescent="0.3">
      <c r="A335" s="5"/>
      <c r="B335" s="39"/>
      <c r="C335" s="40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hidden="1" customHeight="1" x14ac:dyDescent="0.3">
      <c r="A336" s="5"/>
      <c r="B336" s="39"/>
      <c r="C336" s="40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hidden="1" customHeight="1" x14ac:dyDescent="0.3">
      <c r="A337" s="5"/>
      <c r="B337" s="39"/>
      <c r="C337" s="40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hidden="1" customHeight="1" x14ac:dyDescent="0.3">
      <c r="A338" s="5"/>
      <c r="B338" s="39"/>
      <c r="C338" s="40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hidden="1" customHeight="1" x14ac:dyDescent="0.3">
      <c r="A339" s="5"/>
      <c r="B339" s="39"/>
      <c r="C339" s="40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hidden="1" customHeight="1" x14ac:dyDescent="0.3">
      <c r="A340" s="5"/>
      <c r="B340" s="39"/>
      <c r="C340" s="40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hidden="1" customHeight="1" x14ac:dyDescent="0.3">
      <c r="A341" s="5"/>
      <c r="B341" s="39"/>
      <c r="C341" s="40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hidden="1" customHeight="1" x14ac:dyDescent="0.3">
      <c r="A342" s="5"/>
      <c r="B342" s="39"/>
      <c r="C342" s="40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hidden="1" customHeight="1" x14ac:dyDescent="0.3">
      <c r="A343" s="5"/>
      <c r="B343" s="39"/>
      <c r="C343" s="40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hidden="1" customHeight="1" x14ac:dyDescent="0.3">
      <c r="A344" s="5"/>
      <c r="B344" s="39"/>
      <c r="C344" s="40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hidden="1" customHeight="1" x14ac:dyDescent="0.3">
      <c r="A345" s="5"/>
      <c r="B345" s="39"/>
      <c r="C345" s="40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hidden="1" customHeight="1" x14ac:dyDescent="0.3">
      <c r="A346" s="5"/>
      <c r="B346" s="39"/>
      <c r="C346" s="40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hidden="1" customHeight="1" x14ac:dyDescent="0.3">
      <c r="A347" s="5"/>
      <c r="B347" s="39"/>
      <c r="C347" s="40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hidden="1" customHeight="1" x14ac:dyDescent="0.3">
      <c r="A348" s="5"/>
      <c r="B348" s="39"/>
      <c r="C348" s="40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hidden="1" customHeight="1" x14ac:dyDescent="0.3">
      <c r="A349" s="5"/>
      <c r="B349" s="39"/>
      <c r="C349" s="40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hidden="1" customHeight="1" x14ac:dyDescent="0.3">
      <c r="A350" s="5"/>
      <c r="B350" s="39"/>
      <c r="C350" s="40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hidden="1" customHeight="1" x14ac:dyDescent="0.3">
      <c r="A351" s="5"/>
      <c r="B351" s="39"/>
      <c r="C351" s="40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hidden="1" customHeight="1" x14ac:dyDescent="0.3">
      <c r="A352" s="5"/>
      <c r="B352" s="39"/>
      <c r="C352" s="40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hidden="1" customHeight="1" x14ac:dyDescent="0.3">
      <c r="A353" s="5"/>
      <c r="B353" s="39"/>
      <c r="C353" s="40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hidden="1" customHeight="1" x14ac:dyDescent="0.3">
      <c r="A354" s="5"/>
      <c r="B354" s="39"/>
      <c r="C354" s="40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hidden="1" customHeight="1" x14ac:dyDescent="0.3">
      <c r="A355" s="5"/>
      <c r="B355" s="39"/>
      <c r="C355" s="40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hidden="1" customHeight="1" x14ac:dyDescent="0.3">
      <c r="A356" s="5"/>
      <c r="B356" s="39"/>
      <c r="C356" s="40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hidden="1" customHeight="1" x14ac:dyDescent="0.3">
      <c r="A357" s="5"/>
      <c r="B357" s="39"/>
      <c r="C357" s="40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hidden="1" customHeight="1" x14ac:dyDescent="0.3">
      <c r="A358" s="5"/>
      <c r="B358" s="39"/>
      <c r="C358" s="40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hidden="1" customHeight="1" x14ac:dyDescent="0.3">
      <c r="A359" s="5"/>
      <c r="B359" s="39"/>
      <c r="C359" s="40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hidden="1" customHeight="1" x14ac:dyDescent="0.3">
      <c r="A360" s="5"/>
      <c r="B360" s="39"/>
      <c r="C360" s="40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hidden="1" customHeight="1" x14ac:dyDescent="0.3">
      <c r="A361" s="5"/>
      <c r="B361" s="39"/>
      <c r="C361" s="40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hidden="1" customHeight="1" x14ac:dyDescent="0.3">
      <c r="A362" s="5"/>
      <c r="B362" s="39"/>
      <c r="C362" s="40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hidden="1" customHeight="1" x14ac:dyDescent="0.3">
      <c r="A363" s="5"/>
      <c r="B363" s="39"/>
      <c r="C363" s="40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hidden="1" customHeight="1" x14ac:dyDescent="0.3">
      <c r="A364" s="5"/>
      <c r="B364" s="39"/>
      <c r="C364" s="40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hidden="1" customHeight="1" x14ac:dyDescent="0.3">
      <c r="A365" s="5"/>
      <c r="B365" s="39"/>
      <c r="C365" s="40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hidden="1" customHeight="1" x14ac:dyDescent="0.3">
      <c r="A366" s="5"/>
      <c r="B366" s="39"/>
      <c r="C366" s="40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hidden="1" customHeight="1" x14ac:dyDescent="0.3">
      <c r="A367" s="5"/>
      <c r="B367" s="39"/>
      <c r="C367" s="40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hidden="1" customHeight="1" x14ac:dyDescent="0.3">
      <c r="A368" s="5"/>
      <c r="B368" s="39"/>
      <c r="C368" s="40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hidden="1" customHeight="1" x14ac:dyDescent="0.3">
      <c r="A369" s="5"/>
      <c r="B369" s="39"/>
      <c r="C369" s="40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hidden="1" customHeight="1" x14ac:dyDescent="0.3">
      <c r="A370" s="5"/>
      <c r="B370" s="39"/>
      <c r="C370" s="40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hidden="1" customHeight="1" x14ac:dyDescent="0.3">
      <c r="A371" s="5"/>
      <c r="B371" s="39"/>
      <c r="C371" s="40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hidden="1" customHeight="1" x14ac:dyDescent="0.3">
      <c r="A372" s="5"/>
      <c r="B372" s="39"/>
      <c r="C372" s="40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hidden="1" customHeight="1" x14ac:dyDescent="0.3">
      <c r="A373" s="5"/>
      <c r="B373" s="39"/>
      <c r="C373" s="40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hidden="1" customHeight="1" x14ac:dyDescent="0.3">
      <c r="A374" s="5"/>
      <c r="B374" s="39"/>
      <c r="C374" s="40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hidden="1" customHeight="1" x14ac:dyDescent="0.3">
      <c r="A375" s="5"/>
      <c r="B375" s="39"/>
      <c r="C375" s="40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hidden="1" customHeight="1" x14ac:dyDescent="0.3">
      <c r="A376" s="5"/>
      <c r="B376" s="39"/>
      <c r="C376" s="40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hidden="1" customHeight="1" x14ac:dyDescent="0.3">
      <c r="A377" s="5"/>
      <c r="B377" s="39"/>
      <c r="C377" s="40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hidden="1" customHeight="1" x14ac:dyDescent="0.3">
      <c r="A378" s="5"/>
      <c r="B378" s="39"/>
      <c r="C378" s="40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hidden="1" customHeight="1" x14ac:dyDescent="0.3">
      <c r="A379" s="5"/>
      <c r="B379" s="39"/>
      <c r="C379" s="40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hidden="1" customHeight="1" x14ac:dyDescent="0.3">
      <c r="A380" s="5"/>
      <c r="B380" s="39"/>
      <c r="C380" s="40"/>
      <c r="D380" s="5"/>
      <c r="E380" s="5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hidden="1" customHeight="1" x14ac:dyDescent="0.3">
      <c r="A381" s="5"/>
      <c r="B381" s="39"/>
      <c r="C381" s="40"/>
      <c r="D381" s="5"/>
      <c r="E381" s="5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hidden="1" customHeight="1" x14ac:dyDescent="0.3">
      <c r="A382" s="5"/>
      <c r="B382" s="39"/>
      <c r="C382" s="40"/>
      <c r="D382" s="5"/>
      <c r="E382" s="5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/>
    <row r="384" spans="1:26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7">
    <mergeCell ref="B135:D135"/>
    <mergeCell ref="C137:D137"/>
    <mergeCell ref="B144:D144"/>
    <mergeCell ref="C146:D146"/>
    <mergeCell ref="B153:D153"/>
    <mergeCell ref="C155:D155"/>
    <mergeCell ref="B157:D157"/>
    <mergeCell ref="B179:D179"/>
    <mergeCell ref="C180:D180"/>
    <mergeCell ref="C181:D181"/>
    <mergeCell ref="C182:D182"/>
    <mergeCell ref="C159:D159"/>
    <mergeCell ref="B163:D163"/>
    <mergeCell ref="C165:D165"/>
    <mergeCell ref="B172:D172"/>
    <mergeCell ref="C174:D174"/>
    <mergeCell ref="B177:D177"/>
    <mergeCell ref="A178:D178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4:D94"/>
    <mergeCell ref="C96:D96"/>
    <mergeCell ref="B99:D99"/>
    <mergeCell ref="B124:D124"/>
    <mergeCell ref="C126:D126"/>
    <mergeCell ref="B128:D128"/>
    <mergeCell ref="C130:D130"/>
    <mergeCell ref="C101:D101"/>
    <mergeCell ref="B108:D108"/>
    <mergeCell ref="C110:D110"/>
    <mergeCell ref="B115:D115"/>
    <mergeCell ref="C117:D117"/>
  </mergeCells>
  <conditionalFormatting sqref="E30">
    <cfRule type="expression" dxfId="199" priority="4">
      <formula>E30&lt;&gt;#REF!</formula>
    </cfRule>
    <cfRule type="expression" dxfId="198" priority="5">
      <formula>E30&lt;&gt;E34</formula>
    </cfRule>
  </conditionalFormatting>
  <conditionalFormatting sqref="E172">
    <cfRule type="containsBlanks" dxfId="197" priority="1">
      <formula>LEN(TRIM(E172))=0</formula>
    </cfRule>
  </conditionalFormatting>
  <conditionalFormatting sqref="E182">
    <cfRule type="expression" dxfId="196" priority="2">
      <formula>E182&lt;&gt;E30</formula>
    </cfRule>
    <cfRule type="expression" dxfId="195" priority="3">
      <formula>E182&lt;&gt;E34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BA1000"/>
  <sheetViews>
    <sheetView topLeftCell="AF166" workbookViewId="0">
      <selection activeCell="AY181" sqref="AY181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50" width="8.69921875" customWidth="1"/>
    <col min="51" max="51" width="13.296875" customWidth="1"/>
    <col min="52" max="53" width="8.69921875" customWidth="1"/>
  </cols>
  <sheetData>
    <row r="1" spans="1:51" ht="12.75" customHeight="1" x14ac:dyDescent="0.3"/>
    <row r="2" spans="1:51" ht="12.75" customHeight="1" x14ac:dyDescent="0.3">
      <c r="C2" s="8" t="s">
        <v>0</v>
      </c>
      <c r="D2" s="8" t="s">
        <v>1</v>
      </c>
    </row>
    <row r="3" spans="1:51" ht="12.75" customHeight="1" x14ac:dyDescent="0.3">
      <c r="C3" s="8" t="s">
        <v>2</v>
      </c>
      <c r="D3" s="8" t="s">
        <v>3</v>
      </c>
    </row>
    <row r="4" spans="1:51" ht="12.75" customHeight="1" x14ac:dyDescent="0.3">
      <c r="C4" s="8" t="s">
        <v>4</v>
      </c>
      <c r="D4" s="8" t="s">
        <v>5</v>
      </c>
    </row>
    <row r="5" spans="1:51" ht="12.75" customHeight="1" x14ac:dyDescent="0.3">
      <c r="C5" s="8"/>
      <c r="D5" s="8"/>
    </row>
    <row r="6" spans="1:51" ht="12.75" customHeight="1" x14ac:dyDescent="0.3">
      <c r="C6" s="8"/>
      <c r="D6" s="8"/>
    </row>
    <row r="7" spans="1:51" ht="12.75" customHeight="1" x14ac:dyDescent="0.3">
      <c r="C7" s="8"/>
      <c r="D7" s="8"/>
    </row>
    <row r="8" spans="1:51" ht="12.75" customHeight="1" x14ac:dyDescent="0.3">
      <c r="C8" s="8"/>
      <c r="D8" s="8"/>
    </row>
    <row r="9" spans="1:51" ht="12.75" customHeight="1" x14ac:dyDescent="0.3">
      <c r="C9" s="8" t="s">
        <v>159</v>
      </c>
      <c r="D9" s="8" t="s">
        <v>1</v>
      </c>
    </row>
    <row r="10" spans="1:51" ht="12.75" customHeight="1" x14ac:dyDescent="0.3"/>
    <row r="11" spans="1:51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W11" s="1"/>
      <c r="X11" s="1"/>
      <c r="Y11" s="1"/>
      <c r="Z11" s="1"/>
      <c r="AA11" s="1"/>
      <c r="AB11" s="1"/>
      <c r="AC11" s="1"/>
      <c r="AD11" s="1"/>
      <c r="AE11" s="1"/>
      <c r="AF11" s="2"/>
    </row>
    <row r="12" spans="1:51" ht="12.75" customHeight="1" x14ac:dyDescent="0.3">
      <c r="A12" s="13" t="s">
        <v>6</v>
      </c>
      <c r="B12" s="55" t="s">
        <v>7</v>
      </c>
      <c r="C12" s="48"/>
      <c r="D12" s="49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73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74" t="s">
        <v>8</v>
      </c>
    </row>
    <row r="13" spans="1:51" ht="12.75" customHeight="1" x14ac:dyDescent="0.3">
      <c r="A13" s="15" t="s">
        <v>9</v>
      </c>
      <c r="B13" s="61" t="s">
        <v>10</v>
      </c>
      <c r="C13" s="48"/>
      <c r="D13" s="49"/>
      <c r="E13" s="13" t="s">
        <v>160</v>
      </c>
      <c r="F13" s="13" t="s">
        <v>161</v>
      </c>
      <c r="G13" s="13" t="s">
        <v>162</v>
      </c>
      <c r="H13" s="13" t="s">
        <v>163</v>
      </c>
      <c r="I13" s="13" t="s">
        <v>164</v>
      </c>
      <c r="J13" s="13" t="s">
        <v>165</v>
      </c>
      <c r="K13" s="13" t="s">
        <v>166</v>
      </c>
      <c r="L13" s="13" t="s">
        <v>167</v>
      </c>
      <c r="M13" s="13" t="s">
        <v>168</v>
      </c>
      <c r="N13" s="13" t="s">
        <v>169</v>
      </c>
      <c r="O13" s="13" t="s">
        <v>170</v>
      </c>
      <c r="P13" s="13" t="s">
        <v>171</v>
      </c>
      <c r="Q13" s="13" t="s">
        <v>172</v>
      </c>
      <c r="R13" s="13" t="s">
        <v>173</v>
      </c>
      <c r="S13" s="13" t="s">
        <v>174</v>
      </c>
      <c r="T13" s="13" t="s">
        <v>175</v>
      </c>
      <c r="U13" s="13" t="s">
        <v>176</v>
      </c>
      <c r="V13" s="13" t="s">
        <v>177</v>
      </c>
      <c r="W13" s="13" t="s">
        <v>178</v>
      </c>
      <c r="X13" s="13" t="s">
        <v>179</v>
      </c>
      <c r="Y13" s="13" t="s">
        <v>180</v>
      </c>
      <c r="Z13" s="13" t="s">
        <v>181</v>
      </c>
      <c r="AA13" s="13" t="s">
        <v>182</v>
      </c>
      <c r="AB13" s="13" t="s">
        <v>183</v>
      </c>
      <c r="AC13" s="13" t="s">
        <v>184</v>
      </c>
      <c r="AD13" s="13" t="s">
        <v>185</v>
      </c>
      <c r="AE13" s="13" t="s">
        <v>186</v>
      </c>
      <c r="AF13" s="13" t="s">
        <v>187</v>
      </c>
      <c r="AG13" s="13" t="s">
        <v>188</v>
      </c>
      <c r="AH13" s="13" t="s">
        <v>189</v>
      </c>
      <c r="AI13" s="13" t="s">
        <v>190</v>
      </c>
      <c r="AJ13" s="13" t="s">
        <v>191</v>
      </c>
      <c r="AK13" s="13" t="s">
        <v>192</v>
      </c>
      <c r="AL13" s="13" t="s">
        <v>193</v>
      </c>
      <c r="AM13" s="13" t="s">
        <v>194</v>
      </c>
      <c r="AN13" s="13" t="s">
        <v>195</v>
      </c>
      <c r="AO13" s="13" t="s">
        <v>196</v>
      </c>
      <c r="AP13" s="13" t="s">
        <v>197</v>
      </c>
      <c r="AQ13" s="13" t="s">
        <v>198</v>
      </c>
      <c r="AR13" s="13" t="s">
        <v>199</v>
      </c>
      <c r="AS13" s="13" t="s">
        <v>200</v>
      </c>
      <c r="AT13" s="13" t="s">
        <v>201</v>
      </c>
      <c r="AU13" s="13" t="s">
        <v>202</v>
      </c>
      <c r="AV13" s="13" t="s">
        <v>203</v>
      </c>
      <c r="AW13" s="13" t="s">
        <v>204</v>
      </c>
      <c r="AX13" s="13" t="s">
        <v>205</v>
      </c>
      <c r="AY13" s="65"/>
    </row>
    <row r="14" spans="1:51" ht="12.75" customHeight="1" x14ac:dyDescent="0.3">
      <c r="A14" s="14"/>
      <c r="B14" s="70" t="s">
        <v>11</v>
      </c>
      <c r="C14" s="53"/>
      <c r="D14" s="15" t="s">
        <v>12</v>
      </c>
      <c r="E14" s="15">
        <v>123</v>
      </c>
      <c r="F14" s="15">
        <v>140</v>
      </c>
      <c r="G14" s="15">
        <v>122</v>
      </c>
      <c r="H14" s="15">
        <v>121</v>
      </c>
      <c r="I14" s="15">
        <v>142</v>
      </c>
      <c r="J14" s="15">
        <v>124</v>
      </c>
      <c r="K14" s="15">
        <v>123</v>
      </c>
      <c r="L14" s="15">
        <v>132</v>
      </c>
      <c r="M14" s="15">
        <v>104</v>
      </c>
      <c r="N14" s="15">
        <v>142</v>
      </c>
      <c r="O14" s="15">
        <v>149</v>
      </c>
      <c r="P14" s="15">
        <v>134</v>
      </c>
      <c r="Q14" s="15">
        <v>113</v>
      </c>
      <c r="R14" s="15">
        <v>101</v>
      </c>
      <c r="S14" s="15">
        <v>103</v>
      </c>
      <c r="T14" s="15">
        <v>128</v>
      </c>
      <c r="U14" s="15">
        <v>135</v>
      </c>
      <c r="V14" s="15">
        <v>137</v>
      </c>
      <c r="W14" s="15">
        <v>145</v>
      </c>
      <c r="X14" s="15">
        <v>137</v>
      </c>
      <c r="Y14" s="15">
        <v>131</v>
      </c>
      <c r="Z14" s="15">
        <v>133</v>
      </c>
      <c r="AA14" s="15">
        <v>122</v>
      </c>
      <c r="AB14" s="15">
        <v>121</v>
      </c>
      <c r="AC14" s="15">
        <v>132</v>
      </c>
      <c r="AD14" s="15">
        <v>131</v>
      </c>
      <c r="AE14" s="15">
        <v>113</v>
      </c>
      <c r="AF14" s="15">
        <v>95</v>
      </c>
      <c r="AG14" s="15">
        <v>141</v>
      </c>
      <c r="AH14" s="15">
        <v>80</v>
      </c>
      <c r="AI14" s="15">
        <v>134</v>
      </c>
      <c r="AJ14" s="15">
        <v>134</v>
      </c>
      <c r="AK14" s="15">
        <v>148</v>
      </c>
      <c r="AL14" s="15">
        <v>149</v>
      </c>
      <c r="AM14" s="15">
        <v>137</v>
      </c>
      <c r="AN14" s="15">
        <v>139</v>
      </c>
      <c r="AO14" s="15">
        <v>144</v>
      </c>
      <c r="AP14" s="15">
        <v>130</v>
      </c>
      <c r="AQ14" s="15">
        <v>148</v>
      </c>
      <c r="AR14" s="15">
        <v>132</v>
      </c>
      <c r="AS14" s="15">
        <v>145</v>
      </c>
      <c r="AT14" s="15">
        <v>134</v>
      </c>
      <c r="AU14" s="15">
        <v>145</v>
      </c>
      <c r="AV14" s="15">
        <v>136</v>
      </c>
      <c r="AW14" s="15">
        <v>131</v>
      </c>
      <c r="AX14" s="15">
        <v>154</v>
      </c>
      <c r="AY14" s="13">
        <f>SUM(E14:AX14)</f>
        <v>5994</v>
      </c>
    </row>
    <row r="15" spans="1:51" ht="12.75" customHeight="1" x14ac:dyDescent="0.3">
      <c r="A15" s="14"/>
      <c r="B15" s="71"/>
      <c r="C15" s="57"/>
      <c r="D15" s="15" t="s">
        <v>13</v>
      </c>
      <c r="E15" s="15">
        <v>112</v>
      </c>
      <c r="F15" s="15">
        <v>126</v>
      </c>
      <c r="G15" s="15">
        <v>132</v>
      </c>
      <c r="H15" s="15">
        <v>134</v>
      </c>
      <c r="I15" s="15">
        <v>139</v>
      </c>
      <c r="J15" s="15">
        <v>142</v>
      </c>
      <c r="K15" s="15">
        <v>109</v>
      </c>
      <c r="L15" s="15">
        <v>126</v>
      </c>
      <c r="M15" s="15">
        <v>130</v>
      </c>
      <c r="N15" s="15">
        <v>153</v>
      </c>
      <c r="O15" s="15">
        <v>140</v>
      </c>
      <c r="P15" s="15">
        <v>127</v>
      </c>
      <c r="Q15" s="15">
        <v>109</v>
      </c>
      <c r="R15" s="15">
        <v>121</v>
      </c>
      <c r="S15" s="15">
        <v>117</v>
      </c>
      <c r="T15" s="15">
        <v>151</v>
      </c>
      <c r="U15" s="15">
        <v>149</v>
      </c>
      <c r="V15" s="15">
        <v>137</v>
      </c>
      <c r="W15" s="15">
        <v>143</v>
      </c>
      <c r="X15" s="15">
        <v>140</v>
      </c>
      <c r="Y15" s="15">
        <v>145</v>
      </c>
      <c r="Z15" s="15">
        <v>135</v>
      </c>
      <c r="AA15" s="15">
        <v>120</v>
      </c>
      <c r="AB15" s="15">
        <v>102</v>
      </c>
      <c r="AC15" s="15">
        <v>145</v>
      </c>
      <c r="AD15" s="15">
        <v>133</v>
      </c>
      <c r="AE15" s="15">
        <v>116</v>
      </c>
      <c r="AF15" s="15">
        <v>109</v>
      </c>
      <c r="AG15" s="15">
        <v>130</v>
      </c>
      <c r="AH15" s="15">
        <v>71</v>
      </c>
      <c r="AI15" s="15">
        <v>134</v>
      </c>
      <c r="AJ15" s="15">
        <v>143</v>
      </c>
      <c r="AK15" s="15">
        <v>142</v>
      </c>
      <c r="AL15" s="15">
        <v>144</v>
      </c>
      <c r="AM15" s="15">
        <v>148</v>
      </c>
      <c r="AN15" s="15">
        <v>136</v>
      </c>
      <c r="AO15" s="15">
        <v>146</v>
      </c>
      <c r="AP15" s="15">
        <v>143</v>
      </c>
      <c r="AQ15" s="15">
        <v>136</v>
      </c>
      <c r="AR15" s="15">
        <v>127</v>
      </c>
      <c r="AS15" s="15">
        <v>140</v>
      </c>
      <c r="AT15" s="15">
        <v>126</v>
      </c>
      <c r="AU15" s="15">
        <v>135</v>
      </c>
      <c r="AV15" s="15">
        <v>136</v>
      </c>
      <c r="AW15" s="15">
        <v>139</v>
      </c>
      <c r="AX15" s="15">
        <v>124</v>
      </c>
      <c r="AY15" s="13">
        <f t="shared" ref="AY15:AY78" si="0">SUM(E15:AX15)</f>
        <v>6042</v>
      </c>
    </row>
    <row r="16" spans="1:51" ht="12.75" customHeight="1" x14ac:dyDescent="0.3">
      <c r="A16" s="17"/>
      <c r="B16" s="69"/>
      <c r="C16" s="59"/>
      <c r="D16" s="13" t="s">
        <v>14</v>
      </c>
      <c r="E16" s="13">
        <f t="shared" ref="E16:AX16" si="1">SUM(E14:E15)</f>
        <v>235</v>
      </c>
      <c r="F16" s="13">
        <f t="shared" si="1"/>
        <v>266</v>
      </c>
      <c r="G16" s="13">
        <f t="shared" si="1"/>
        <v>254</v>
      </c>
      <c r="H16" s="13">
        <f t="shared" si="1"/>
        <v>255</v>
      </c>
      <c r="I16" s="13">
        <f t="shared" si="1"/>
        <v>281</v>
      </c>
      <c r="J16" s="13">
        <f t="shared" si="1"/>
        <v>266</v>
      </c>
      <c r="K16" s="13">
        <f t="shared" si="1"/>
        <v>232</v>
      </c>
      <c r="L16" s="13">
        <f t="shared" si="1"/>
        <v>258</v>
      </c>
      <c r="M16" s="13">
        <f t="shared" si="1"/>
        <v>234</v>
      </c>
      <c r="N16" s="13">
        <f t="shared" si="1"/>
        <v>295</v>
      </c>
      <c r="O16" s="13">
        <f t="shared" si="1"/>
        <v>289</v>
      </c>
      <c r="P16" s="13">
        <f t="shared" si="1"/>
        <v>261</v>
      </c>
      <c r="Q16" s="13">
        <f t="shared" si="1"/>
        <v>222</v>
      </c>
      <c r="R16" s="13">
        <f t="shared" si="1"/>
        <v>222</v>
      </c>
      <c r="S16" s="13">
        <f t="shared" si="1"/>
        <v>220</v>
      </c>
      <c r="T16" s="13">
        <f t="shared" si="1"/>
        <v>279</v>
      </c>
      <c r="U16" s="13">
        <f t="shared" si="1"/>
        <v>284</v>
      </c>
      <c r="V16" s="13">
        <f t="shared" si="1"/>
        <v>274</v>
      </c>
      <c r="W16" s="13">
        <f t="shared" si="1"/>
        <v>288</v>
      </c>
      <c r="X16" s="13">
        <f t="shared" si="1"/>
        <v>277</v>
      </c>
      <c r="Y16" s="13">
        <f t="shared" si="1"/>
        <v>276</v>
      </c>
      <c r="Z16" s="13">
        <f t="shared" si="1"/>
        <v>268</v>
      </c>
      <c r="AA16" s="13">
        <f t="shared" si="1"/>
        <v>242</v>
      </c>
      <c r="AB16" s="13">
        <f t="shared" si="1"/>
        <v>223</v>
      </c>
      <c r="AC16" s="13">
        <f t="shared" si="1"/>
        <v>277</v>
      </c>
      <c r="AD16" s="13">
        <f t="shared" si="1"/>
        <v>264</v>
      </c>
      <c r="AE16" s="13">
        <f t="shared" si="1"/>
        <v>229</v>
      </c>
      <c r="AF16" s="13">
        <f t="shared" si="1"/>
        <v>204</v>
      </c>
      <c r="AG16" s="13">
        <f t="shared" si="1"/>
        <v>271</v>
      </c>
      <c r="AH16" s="13">
        <f t="shared" si="1"/>
        <v>151</v>
      </c>
      <c r="AI16" s="13">
        <f t="shared" si="1"/>
        <v>268</v>
      </c>
      <c r="AJ16" s="13">
        <f t="shared" si="1"/>
        <v>277</v>
      </c>
      <c r="AK16" s="13">
        <f t="shared" si="1"/>
        <v>290</v>
      </c>
      <c r="AL16" s="13">
        <f t="shared" si="1"/>
        <v>293</v>
      </c>
      <c r="AM16" s="13">
        <f t="shared" si="1"/>
        <v>285</v>
      </c>
      <c r="AN16" s="13">
        <f t="shared" si="1"/>
        <v>275</v>
      </c>
      <c r="AO16" s="13">
        <f t="shared" si="1"/>
        <v>290</v>
      </c>
      <c r="AP16" s="13">
        <f t="shared" si="1"/>
        <v>273</v>
      </c>
      <c r="AQ16" s="13">
        <f t="shared" si="1"/>
        <v>284</v>
      </c>
      <c r="AR16" s="13">
        <f t="shared" si="1"/>
        <v>259</v>
      </c>
      <c r="AS16" s="13">
        <f t="shared" si="1"/>
        <v>285</v>
      </c>
      <c r="AT16" s="13">
        <f t="shared" si="1"/>
        <v>260</v>
      </c>
      <c r="AU16" s="13">
        <f t="shared" si="1"/>
        <v>280</v>
      </c>
      <c r="AV16" s="13">
        <f t="shared" si="1"/>
        <v>272</v>
      </c>
      <c r="AW16" s="13">
        <f t="shared" si="1"/>
        <v>270</v>
      </c>
      <c r="AX16" s="13">
        <f t="shared" si="1"/>
        <v>278</v>
      </c>
      <c r="AY16" s="13">
        <f t="shared" si="0"/>
        <v>12036</v>
      </c>
    </row>
    <row r="17" spans="1:51" ht="12.75" customHeight="1" x14ac:dyDescent="0.3">
      <c r="A17" s="54"/>
      <c r="B17" s="48"/>
      <c r="C17" s="48"/>
      <c r="D17" s="49"/>
      <c r="E17" s="15"/>
      <c r="F17" s="15"/>
      <c r="G17" s="15"/>
      <c r="H17" s="15"/>
      <c r="I17" s="15"/>
      <c r="J17" s="15"/>
      <c r="K17" s="15"/>
      <c r="L17" s="15"/>
      <c r="M17" s="15"/>
      <c r="N17" s="42"/>
      <c r="O17" s="42"/>
      <c r="P17" s="42"/>
      <c r="Q17" s="42"/>
      <c r="R17" s="42"/>
      <c r="S17" s="42"/>
      <c r="T17" s="42"/>
      <c r="U17" s="42"/>
      <c r="V17" s="42"/>
      <c r="W17" s="15"/>
      <c r="X17" s="15"/>
      <c r="Y17" s="15"/>
      <c r="Z17" s="15"/>
      <c r="AA17" s="15"/>
      <c r="AB17" s="15"/>
      <c r="AC17" s="15"/>
      <c r="AD17" s="15"/>
      <c r="AE17" s="15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13">
        <f t="shared" si="0"/>
        <v>0</v>
      </c>
    </row>
    <row r="18" spans="1:51" ht="12.75" customHeight="1" x14ac:dyDescent="0.3">
      <c r="A18" s="19" t="s">
        <v>15</v>
      </c>
      <c r="B18" s="61" t="s">
        <v>16</v>
      </c>
      <c r="C18" s="48"/>
      <c r="D18" s="49"/>
      <c r="E18" s="15"/>
      <c r="F18" s="15"/>
      <c r="G18" s="15"/>
      <c r="H18" s="15"/>
      <c r="I18" s="15"/>
      <c r="J18" s="15"/>
      <c r="K18" s="15"/>
      <c r="L18" s="15"/>
      <c r="M18" s="15"/>
      <c r="N18" s="42"/>
      <c r="O18" s="42"/>
      <c r="P18" s="42"/>
      <c r="Q18" s="42"/>
      <c r="R18" s="42"/>
      <c r="S18" s="42"/>
      <c r="T18" s="42"/>
      <c r="U18" s="42"/>
      <c r="V18" s="42"/>
      <c r="W18" s="15"/>
      <c r="X18" s="15"/>
      <c r="Y18" s="15"/>
      <c r="Z18" s="15"/>
      <c r="AA18" s="15"/>
      <c r="AB18" s="15"/>
      <c r="AC18" s="15"/>
      <c r="AD18" s="15"/>
      <c r="AE18" s="15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13">
        <f t="shared" si="0"/>
        <v>0</v>
      </c>
    </row>
    <row r="19" spans="1:51" ht="12.75" customHeight="1" x14ac:dyDescent="0.3">
      <c r="A19" s="19"/>
      <c r="B19" s="62" t="s">
        <v>17</v>
      </c>
      <c r="C19" s="63" t="s">
        <v>18</v>
      </c>
      <c r="D19" s="15" t="s">
        <v>12</v>
      </c>
      <c r="E19" s="15">
        <v>85</v>
      </c>
      <c r="F19" s="15">
        <v>106</v>
      </c>
      <c r="G19" s="15">
        <v>76</v>
      </c>
      <c r="H19" s="15">
        <v>77</v>
      </c>
      <c r="I19" s="15">
        <v>96</v>
      </c>
      <c r="J19" s="15">
        <v>88</v>
      </c>
      <c r="K19" s="15">
        <v>88</v>
      </c>
      <c r="L19" s="15">
        <v>94</v>
      </c>
      <c r="M19" s="15">
        <v>65</v>
      </c>
      <c r="N19" s="15">
        <v>103</v>
      </c>
      <c r="O19" s="15">
        <v>94</v>
      </c>
      <c r="P19" s="15">
        <v>99</v>
      </c>
      <c r="Q19" s="15">
        <v>82</v>
      </c>
      <c r="R19" s="15">
        <v>71</v>
      </c>
      <c r="S19" s="15">
        <v>83</v>
      </c>
      <c r="T19" s="15">
        <v>91</v>
      </c>
      <c r="U19" s="15">
        <v>102</v>
      </c>
      <c r="V19" s="15">
        <v>102</v>
      </c>
      <c r="W19" s="15">
        <v>96</v>
      </c>
      <c r="X19" s="15">
        <v>116</v>
      </c>
      <c r="Y19" s="15">
        <v>95</v>
      </c>
      <c r="Z19" s="15">
        <v>100</v>
      </c>
      <c r="AA19" s="15">
        <v>90</v>
      </c>
      <c r="AB19" s="15">
        <v>90</v>
      </c>
      <c r="AC19" s="15">
        <v>85</v>
      </c>
      <c r="AD19" s="15">
        <v>94</v>
      </c>
      <c r="AE19" s="15">
        <v>89</v>
      </c>
      <c r="AF19" s="15">
        <v>68</v>
      </c>
      <c r="AG19" s="15">
        <v>114</v>
      </c>
      <c r="AH19" s="15">
        <v>63</v>
      </c>
      <c r="AI19" s="15">
        <v>98</v>
      </c>
      <c r="AJ19" s="15">
        <v>101</v>
      </c>
      <c r="AK19" s="15">
        <v>106</v>
      </c>
      <c r="AL19" s="15">
        <v>111</v>
      </c>
      <c r="AM19" s="15">
        <v>117</v>
      </c>
      <c r="AN19" s="15">
        <v>99</v>
      </c>
      <c r="AO19" s="15">
        <v>107</v>
      </c>
      <c r="AP19" s="15">
        <v>94</v>
      </c>
      <c r="AQ19" s="15">
        <v>103</v>
      </c>
      <c r="AR19" s="15">
        <v>91</v>
      </c>
      <c r="AS19" s="15">
        <v>103</v>
      </c>
      <c r="AT19" s="15">
        <v>106</v>
      </c>
      <c r="AU19" s="15">
        <v>118</v>
      </c>
      <c r="AV19" s="15">
        <v>97</v>
      </c>
      <c r="AW19" s="15">
        <v>85</v>
      </c>
      <c r="AX19" s="15">
        <v>98</v>
      </c>
      <c r="AY19" s="13">
        <f t="shared" si="0"/>
        <v>4336</v>
      </c>
    </row>
    <row r="20" spans="1:51" ht="12.75" customHeight="1" x14ac:dyDescent="0.3">
      <c r="A20" s="20"/>
      <c r="B20" s="57"/>
      <c r="C20" s="64"/>
      <c r="D20" s="15" t="s">
        <v>13</v>
      </c>
      <c r="E20" s="15">
        <v>95</v>
      </c>
      <c r="F20" s="15">
        <v>98</v>
      </c>
      <c r="G20" s="15">
        <v>95</v>
      </c>
      <c r="H20" s="15">
        <v>91</v>
      </c>
      <c r="I20" s="15">
        <v>110</v>
      </c>
      <c r="J20" s="15">
        <v>108</v>
      </c>
      <c r="K20" s="15">
        <v>79</v>
      </c>
      <c r="L20" s="15">
        <v>100</v>
      </c>
      <c r="M20" s="15">
        <v>101</v>
      </c>
      <c r="N20" s="15">
        <v>112</v>
      </c>
      <c r="O20" s="15">
        <v>90</v>
      </c>
      <c r="P20" s="15">
        <v>108</v>
      </c>
      <c r="Q20" s="15">
        <v>93</v>
      </c>
      <c r="R20" s="15">
        <v>82</v>
      </c>
      <c r="S20" s="15">
        <v>96</v>
      </c>
      <c r="T20" s="15">
        <v>107</v>
      </c>
      <c r="U20" s="15">
        <v>122</v>
      </c>
      <c r="V20" s="15">
        <v>118</v>
      </c>
      <c r="W20" s="15">
        <v>104</v>
      </c>
      <c r="X20" s="15">
        <v>115</v>
      </c>
      <c r="Y20" s="15">
        <v>120</v>
      </c>
      <c r="Z20" s="15">
        <v>104</v>
      </c>
      <c r="AA20" s="15">
        <v>103</v>
      </c>
      <c r="AB20" s="15">
        <v>89</v>
      </c>
      <c r="AC20" s="15">
        <v>110</v>
      </c>
      <c r="AD20" s="15">
        <v>109</v>
      </c>
      <c r="AE20" s="15">
        <v>99</v>
      </c>
      <c r="AF20" s="15">
        <v>92</v>
      </c>
      <c r="AG20" s="15">
        <v>109</v>
      </c>
      <c r="AH20" s="15">
        <v>59</v>
      </c>
      <c r="AI20" s="15">
        <v>104</v>
      </c>
      <c r="AJ20" s="15">
        <v>105</v>
      </c>
      <c r="AK20" s="15">
        <v>118</v>
      </c>
      <c r="AL20" s="15">
        <v>126</v>
      </c>
      <c r="AM20" s="15">
        <v>129</v>
      </c>
      <c r="AN20" s="15">
        <v>103</v>
      </c>
      <c r="AO20" s="15">
        <v>122</v>
      </c>
      <c r="AP20" s="15">
        <v>110</v>
      </c>
      <c r="AQ20" s="15">
        <v>93</v>
      </c>
      <c r="AR20" s="15">
        <v>103</v>
      </c>
      <c r="AS20" s="15">
        <v>107</v>
      </c>
      <c r="AT20" s="15">
        <v>103</v>
      </c>
      <c r="AU20" s="15">
        <v>112</v>
      </c>
      <c r="AV20" s="15">
        <v>105</v>
      </c>
      <c r="AW20" s="15">
        <v>98</v>
      </c>
      <c r="AX20" s="15">
        <v>102</v>
      </c>
      <c r="AY20" s="13">
        <f t="shared" si="0"/>
        <v>4758</v>
      </c>
    </row>
    <row r="21" spans="1:51" ht="12.75" customHeight="1" x14ac:dyDescent="0.3">
      <c r="A21" s="21"/>
      <c r="B21" s="59"/>
      <c r="C21" s="65"/>
      <c r="D21" s="13" t="s">
        <v>14</v>
      </c>
      <c r="E21" s="13">
        <f t="shared" ref="E21:AX21" si="2">SUM(E19:E20)</f>
        <v>180</v>
      </c>
      <c r="F21" s="13">
        <f t="shared" si="2"/>
        <v>204</v>
      </c>
      <c r="G21" s="13">
        <f t="shared" si="2"/>
        <v>171</v>
      </c>
      <c r="H21" s="13">
        <f t="shared" si="2"/>
        <v>168</v>
      </c>
      <c r="I21" s="13">
        <f t="shared" si="2"/>
        <v>206</v>
      </c>
      <c r="J21" s="13">
        <f t="shared" si="2"/>
        <v>196</v>
      </c>
      <c r="K21" s="13">
        <f t="shared" si="2"/>
        <v>167</v>
      </c>
      <c r="L21" s="13">
        <f t="shared" si="2"/>
        <v>194</v>
      </c>
      <c r="M21" s="13">
        <f t="shared" si="2"/>
        <v>166</v>
      </c>
      <c r="N21" s="13">
        <f t="shared" si="2"/>
        <v>215</v>
      </c>
      <c r="O21" s="13">
        <f t="shared" si="2"/>
        <v>184</v>
      </c>
      <c r="P21" s="13">
        <f t="shared" si="2"/>
        <v>207</v>
      </c>
      <c r="Q21" s="13">
        <f t="shared" si="2"/>
        <v>175</v>
      </c>
      <c r="R21" s="13">
        <f t="shared" si="2"/>
        <v>153</v>
      </c>
      <c r="S21" s="13">
        <f t="shared" si="2"/>
        <v>179</v>
      </c>
      <c r="T21" s="13">
        <f t="shared" si="2"/>
        <v>198</v>
      </c>
      <c r="U21" s="13">
        <f t="shared" si="2"/>
        <v>224</v>
      </c>
      <c r="V21" s="13">
        <f t="shared" si="2"/>
        <v>220</v>
      </c>
      <c r="W21" s="13">
        <f t="shared" si="2"/>
        <v>200</v>
      </c>
      <c r="X21" s="13">
        <f t="shared" si="2"/>
        <v>231</v>
      </c>
      <c r="Y21" s="13">
        <f t="shared" si="2"/>
        <v>215</v>
      </c>
      <c r="Z21" s="13">
        <f t="shared" si="2"/>
        <v>204</v>
      </c>
      <c r="AA21" s="13">
        <f t="shared" si="2"/>
        <v>193</v>
      </c>
      <c r="AB21" s="13">
        <f t="shared" si="2"/>
        <v>179</v>
      </c>
      <c r="AC21" s="13">
        <f t="shared" si="2"/>
        <v>195</v>
      </c>
      <c r="AD21" s="13">
        <f t="shared" si="2"/>
        <v>203</v>
      </c>
      <c r="AE21" s="13">
        <f t="shared" si="2"/>
        <v>188</v>
      </c>
      <c r="AF21" s="13">
        <f t="shared" si="2"/>
        <v>160</v>
      </c>
      <c r="AG21" s="13">
        <f t="shared" si="2"/>
        <v>223</v>
      </c>
      <c r="AH21" s="13">
        <f t="shared" si="2"/>
        <v>122</v>
      </c>
      <c r="AI21" s="13">
        <f t="shared" si="2"/>
        <v>202</v>
      </c>
      <c r="AJ21" s="13">
        <f t="shared" si="2"/>
        <v>206</v>
      </c>
      <c r="AK21" s="13">
        <f t="shared" si="2"/>
        <v>224</v>
      </c>
      <c r="AL21" s="13">
        <f t="shared" si="2"/>
        <v>237</v>
      </c>
      <c r="AM21" s="13">
        <f t="shared" si="2"/>
        <v>246</v>
      </c>
      <c r="AN21" s="13">
        <f t="shared" si="2"/>
        <v>202</v>
      </c>
      <c r="AO21" s="13">
        <f t="shared" si="2"/>
        <v>229</v>
      </c>
      <c r="AP21" s="13">
        <f t="shared" si="2"/>
        <v>204</v>
      </c>
      <c r="AQ21" s="13">
        <f t="shared" si="2"/>
        <v>196</v>
      </c>
      <c r="AR21" s="13">
        <f t="shared" si="2"/>
        <v>194</v>
      </c>
      <c r="AS21" s="13">
        <f t="shared" si="2"/>
        <v>210</v>
      </c>
      <c r="AT21" s="13">
        <f t="shared" si="2"/>
        <v>209</v>
      </c>
      <c r="AU21" s="13">
        <f t="shared" si="2"/>
        <v>230</v>
      </c>
      <c r="AV21" s="13">
        <f t="shared" si="2"/>
        <v>202</v>
      </c>
      <c r="AW21" s="13">
        <f t="shared" si="2"/>
        <v>183</v>
      </c>
      <c r="AX21" s="13">
        <f t="shared" si="2"/>
        <v>200</v>
      </c>
      <c r="AY21" s="13">
        <f t="shared" si="0"/>
        <v>9094</v>
      </c>
    </row>
    <row r="22" spans="1:51" ht="12.75" customHeight="1" x14ac:dyDescent="0.3">
      <c r="A22" s="20"/>
      <c r="B22" s="62" t="s">
        <v>19</v>
      </c>
      <c r="C22" s="63" t="s">
        <v>20</v>
      </c>
      <c r="D22" s="15" t="s">
        <v>12</v>
      </c>
      <c r="E22" s="15">
        <v>0</v>
      </c>
      <c r="F22" s="15">
        <v>1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3</v>
      </c>
      <c r="P22" s="15">
        <v>1</v>
      </c>
      <c r="Q22" s="15">
        <v>1</v>
      </c>
      <c r="R22" s="15">
        <v>0</v>
      </c>
      <c r="S22" s="15">
        <v>0</v>
      </c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>
        <v>0</v>
      </c>
      <c r="AJ22" s="15">
        <v>2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1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/>
      <c r="AY22" s="13">
        <f t="shared" si="0"/>
        <v>9</v>
      </c>
    </row>
    <row r="23" spans="1:51" ht="12.75" customHeight="1" x14ac:dyDescent="0.3">
      <c r="A23" s="20"/>
      <c r="B23" s="57"/>
      <c r="C23" s="64"/>
      <c r="D23" s="15" t="s">
        <v>13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5</v>
      </c>
      <c r="P23" s="15">
        <v>2</v>
      </c>
      <c r="Q23" s="15">
        <v>1</v>
      </c>
      <c r="R23" s="15">
        <v>0</v>
      </c>
      <c r="S23" s="15">
        <v>0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>
        <v>0</v>
      </c>
      <c r="AJ23" s="15">
        <v>1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/>
      <c r="AY23" s="13">
        <f t="shared" si="0"/>
        <v>9</v>
      </c>
    </row>
    <row r="24" spans="1:51" ht="12.75" customHeight="1" x14ac:dyDescent="0.3">
      <c r="A24" s="21"/>
      <c r="B24" s="59"/>
      <c r="C24" s="65"/>
      <c r="D24" s="13" t="s">
        <v>14</v>
      </c>
      <c r="E24" s="13">
        <f t="shared" ref="E24:AX24" si="3">SUM(E22:E23)</f>
        <v>0</v>
      </c>
      <c r="F24" s="13">
        <f t="shared" si="3"/>
        <v>1</v>
      </c>
      <c r="G24" s="13">
        <f t="shared" si="3"/>
        <v>0</v>
      </c>
      <c r="H24" s="13">
        <f t="shared" si="3"/>
        <v>0</v>
      </c>
      <c r="I24" s="13">
        <f t="shared" si="3"/>
        <v>0</v>
      </c>
      <c r="J24" s="13">
        <f t="shared" si="3"/>
        <v>0</v>
      </c>
      <c r="K24" s="13">
        <f t="shared" si="3"/>
        <v>0</v>
      </c>
      <c r="L24" s="13">
        <f t="shared" si="3"/>
        <v>0</v>
      </c>
      <c r="M24" s="13">
        <f t="shared" si="3"/>
        <v>0</v>
      </c>
      <c r="N24" s="13">
        <f t="shared" si="3"/>
        <v>0</v>
      </c>
      <c r="O24" s="13">
        <f t="shared" si="3"/>
        <v>8</v>
      </c>
      <c r="P24" s="13">
        <f t="shared" si="3"/>
        <v>3</v>
      </c>
      <c r="Q24" s="13">
        <f t="shared" si="3"/>
        <v>2</v>
      </c>
      <c r="R24" s="13">
        <f t="shared" si="3"/>
        <v>0</v>
      </c>
      <c r="S24" s="13">
        <f t="shared" si="3"/>
        <v>0</v>
      </c>
      <c r="T24" s="13">
        <f t="shared" si="3"/>
        <v>0</v>
      </c>
      <c r="U24" s="13">
        <f t="shared" si="3"/>
        <v>0</v>
      </c>
      <c r="V24" s="13">
        <f t="shared" si="3"/>
        <v>0</v>
      </c>
      <c r="W24" s="13">
        <f t="shared" si="3"/>
        <v>0</v>
      </c>
      <c r="X24" s="13">
        <f t="shared" si="3"/>
        <v>0</v>
      </c>
      <c r="Y24" s="13">
        <f t="shared" si="3"/>
        <v>0</v>
      </c>
      <c r="Z24" s="13">
        <f t="shared" si="3"/>
        <v>0</v>
      </c>
      <c r="AA24" s="13">
        <f t="shared" si="3"/>
        <v>0</v>
      </c>
      <c r="AB24" s="13">
        <f t="shared" si="3"/>
        <v>0</v>
      </c>
      <c r="AC24" s="13">
        <f t="shared" si="3"/>
        <v>0</v>
      </c>
      <c r="AD24" s="13">
        <f t="shared" si="3"/>
        <v>0</v>
      </c>
      <c r="AE24" s="13">
        <f t="shared" si="3"/>
        <v>0</v>
      </c>
      <c r="AF24" s="13">
        <f t="shared" si="3"/>
        <v>0</v>
      </c>
      <c r="AG24" s="13">
        <f t="shared" si="3"/>
        <v>0</v>
      </c>
      <c r="AH24" s="13">
        <f t="shared" si="3"/>
        <v>0</v>
      </c>
      <c r="AI24" s="13">
        <f t="shared" si="3"/>
        <v>0</v>
      </c>
      <c r="AJ24" s="13">
        <f t="shared" si="3"/>
        <v>3</v>
      </c>
      <c r="AK24" s="13">
        <f t="shared" si="3"/>
        <v>0</v>
      </c>
      <c r="AL24" s="13">
        <f t="shared" si="3"/>
        <v>0</v>
      </c>
      <c r="AM24" s="13">
        <f t="shared" si="3"/>
        <v>0</v>
      </c>
      <c r="AN24" s="13">
        <f t="shared" si="3"/>
        <v>0</v>
      </c>
      <c r="AO24" s="13">
        <f t="shared" si="3"/>
        <v>0</v>
      </c>
      <c r="AP24" s="13">
        <f t="shared" si="3"/>
        <v>0</v>
      </c>
      <c r="AQ24" s="13">
        <f t="shared" si="3"/>
        <v>0</v>
      </c>
      <c r="AR24" s="13">
        <f t="shared" si="3"/>
        <v>1</v>
      </c>
      <c r="AS24" s="13">
        <f t="shared" si="3"/>
        <v>0</v>
      </c>
      <c r="AT24" s="13">
        <f t="shared" si="3"/>
        <v>0</v>
      </c>
      <c r="AU24" s="13">
        <f t="shared" si="3"/>
        <v>0</v>
      </c>
      <c r="AV24" s="13">
        <f t="shared" si="3"/>
        <v>0</v>
      </c>
      <c r="AW24" s="13">
        <f t="shared" si="3"/>
        <v>0</v>
      </c>
      <c r="AX24" s="13">
        <f t="shared" si="3"/>
        <v>0</v>
      </c>
      <c r="AY24" s="13">
        <f t="shared" si="0"/>
        <v>18</v>
      </c>
    </row>
    <row r="25" spans="1:51" ht="12.75" customHeight="1" x14ac:dyDescent="0.3">
      <c r="A25" s="20"/>
      <c r="B25" s="62" t="s">
        <v>21</v>
      </c>
      <c r="C25" s="63" t="s">
        <v>22</v>
      </c>
      <c r="D25" s="15" t="s">
        <v>12</v>
      </c>
      <c r="E25" s="15">
        <v>1</v>
      </c>
      <c r="F25" s="15">
        <v>0</v>
      </c>
      <c r="G25" s="15">
        <v>0</v>
      </c>
      <c r="H25" s="15">
        <v>1</v>
      </c>
      <c r="I25" s="15">
        <v>1</v>
      </c>
      <c r="J25" s="15">
        <v>1</v>
      </c>
      <c r="K25" s="15">
        <v>0</v>
      </c>
      <c r="L25" s="15">
        <v>0</v>
      </c>
      <c r="M25" s="15">
        <v>0</v>
      </c>
      <c r="N25" s="15">
        <v>2</v>
      </c>
      <c r="O25" s="15">
        <v>0</v>
      </c>
      <c r="P25" s="15">
        <v>0</v>
      </c>
      <c r="Q25" s="15">
        <v>2</v>
      </c>
      <c r="R25" s="15">
        <v>0</v>
      </c>
      <c r="S25" s="15">
        <v>0</v>
      </c>
      <c r="T25" s="15">
        <v>1</v>
      </c>
      <c r="U25" s="15">
        <v>0</v>
      </c>
      <c r="V25" s="15">
        <v>0</v>
      </c>
      <c r="W25" s="15">
        <v>2</v>
      </c>
      <c r="X25" s="15">
        <v>0</v>
      </c>
      <c r="Y25" s="15">
        <v>0</v>
      </c>
      <c r="Z25" s="15">
        <v>0</v>
      </c>
      <c r="AA25" s="15">
        <v>0</v>
      </c>
      <c r="AB25" s="15">
        <v>1</v>
      </c>
      <c r="AC25" s="15">
        <v>1</v>
      </c>
      <c r="AD25" s="15">
        <v>0</v>
      </c>
      <c r="AE25" s="15">
        <v>1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4</v>
      </c>
      <c r="AN25" s="15">
        <v>4</v>
      </c>
      <c r="AO25" s="15">
        <v>0</v>
      </c>
      <c r="AP25" s="15">
        <v>0</v>
      </c>
      <c r="AQ25" s="15">
        <v>0</v>
      </c>
      <c r="AR25" s="15">
        <v>1</v>
      </c>
      <c r="AS25" s="15">
        <v>0</v>
      </c>
      <c r="AT25" s="15">
        <v>1</v>
      </c>
      <c r="AU25" s="15">
        <v>0</v>
      </c>
      <c r="AV25" s="15">
        <v>1</v>
      </c>
      <c r="AW25" s="15">
        <v>4</v>
      </c>
      <c r="AX25" s="15"/>
      <c r="AY25" s="13">
        <f t="shared" si="0"/>
        <v>29</v>
      </c>
    </row>
    <row r="26" spans="1:51" ht="12.75" customHeight="1" x14ac:dyDescent="0.3">
      <c r="A26" s="20"/>
      <c r="B26" s="57"/>
      <c r="C26" s="64"/>
      <c r="D26" s="15" t="s">
        <v>13</v>
      </c>
      <c r="E26" s="15">
        <v>1</v>
      </c>
      <c r="F26" s="15">
        <v>0</v>
      </c>
      <c r="G26" s="15">
        <v>0</v>
      </c>
      <c r="H26" s="15">
        <v>0</v>
      </c>
      <c r="I26" s="15">
        <v>1</v>
      </c>
      <c r="J26" s="15">
        <v>2</v>
      </c>
      <c r="K26" s="15">
        <v>0</v>
      </c>
      <c r="L26" s="15">
        <v>0</v>
      </c>
      <c r="M26" s="15">
        <v>0</v>
      </c>
      <c r="N26" s="15">
        <v>1</v>
      </c>
      <c r="O26" s="15">
        <v>0</v>
      </c>
      <c r="P26" s="15">
        <v>0</v>
      </c>
      <c r="Q26" s="15">
        <v>1</v>
      </c>
      <c r="R26" s="15">
        <v>0</v>
      </c>
      <c r="S26" s="15">
        <v>0</v>
      </c>
      <c r="T26" s="15">
        <v>2</v>
      </c>
      <c r="U26" s="15">
        <v>0</v>
      </c>
      <c r="V26" s="15">
        <v>0</v>
      </c>
      <c r="W26" s="15">
        <v>5</v>
      </c>
      <c r="X26" s="15">
        <v>0</v>
      </c>
      <c r="Y26" s="15">
        <v>0</v>
      </c>
      <c r="Z26" s="15">
        <v>0</v>
      </c>
      <c r="AA26" s="15">
        <v>0</v>
      </c>
      <c r="AB26" s="15">
        <v>2</v>
      </c>
      <c r="AC26" s="15">
        <v>3</v>
      </c>
      <c r="AD26" s="15">
        <v>0</v>
      </c>
      <c r="AE26" s="15">
        <v>2</v>
      </c>
      <c r="AF26" s="15">
        <v>1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5</v>
      </c>
      <c r="AN26" s="15">
        <v>4</v>
      </c>
      <c r="AO26" s="15">
        <v>0</v>
      </c>
      <c r="AP26" s="15">
        <v>0</v>
      </c>
      <c r="AQ26" s="15">
        <v>0</v>
      </c>
      <c r="AR26" s="15">
        <v>2</v>
      </c>
      <c r="AS26" s="15">
        <v>0</v>
      </c>
      <c r="AT26" s="15">
        <v>0</v>
      </c>
      <c r="AU26" s="15">
        <v>0</v>
      </c>
      <c r="AV26" s="15">
        <v>2</v>
      </c>
      <c r="AW26" s="15">
        <v>4</v>
      </c>
      <c r="AX26" s="15"/>
      <c r="AY26" s="13">
        <f t="shared" si="0"/>
        <v>38</v>
      </c>
    </row>
    <row r="27" spans="1:51" ht="12.75" customHeight="1" x14ac:dyDescent="0.3">
      <c r="A27" s="21"/>
      <c r="B27" s="59"/>
      <c r="C27" s="65"/>
      <c r="D27" s="13" t="s">
        <v>14</v>
      </c>
      <c r="E27" s="13">
        <f t="shared" ref="E27:AX27" si="4">SUM(E25:E26)</f>
        <v>2</v>
      </c>
      <c r="F27" s="13">
        <f t="shared" si="4"/>
        <v>0</v>
      </c>
      <c r="G27" s="13">
        <f t="shared" si="4"/>
        <v>0</v>
      </c>
      <c r="H27" s="13">
        <f t="shared" si="4"/>
        <v>1</v>
      </c>
      <c r="I27" s="13">
        <f t="shared" si="4"/>
        <v>2</v>
      </c>
      <c r="J27" s="13">
        <f t="shared" si="4"/>
        <v>3</v>
      </c>
      <c r="K27" s="13">
        <f t="shared" si="4"/>
        <v>0</v>
      </c>
      <c r="L27" s="13">
        <f t="shared" si="4"/>
        <v>0</v>
      </c>
      <c r="M27" s="13">
        <f t="shared" si="4"/>
        <v>0</v>
      </c>
      <c r="N27" s="13">
        <f t="shared" si="4"/>
        <v>3</v>
      </c>
      <c r="O27" s="13">
        <f t="shared" si="4"/>
        <v>0</v>
      </c>
      <c r="P27" s="13">
        <f t="shared" si="4"/>
        <v>0</v>
      </c>
      <c r="Q27" s="13">
        <f t="shared" si="4"/>
        <v>3</v>
      </c>
      <c r="R27" s="13">
        <f t="shared" si="4"/>
        <v>0</v>
      </c>
      <c r="S27" s="13">
        <f t="shared" si="4"/>
        <v>0</v>
      </c>
      <c r="T27" s="13">
        <f t="shared" si="4"/>
        <v>3</v>
      </c>
      <c r="U27" s="13">
        <f t="shared" si="4"/>
        <v>0</v>
      </c>
      <c r="V27" s="13">
        <f t="shared" si="4"/>
        <v>0</v>
      </c>
      <c r="W27" s="13">
        <f t="shared" si="4"/>
        <v>7</v>
      </c>
      <c r="X27" s="13">
        <f t="shared" si="4"/>
        <v>0</v>
      </c>
      <c r="Y27" s="13">
        <f t="shared" si="4"/>
        <v>0</v>
      </c>
      <c r="Z27" s="13">
        <f t="shared" si="4"/>
        <v>0</v>
      </c>
      <c r="AA27" s="13">
        <f t="shared" si="4"/>
        <v>0</v>
      </c>
      <c r="AB27" s="13">
        <f t="shared" si="4"/>
        <v>3</v>
      </c>
      <c r="AC27" s="13">
        <f t="shared" si="4"/>
        <v>4</v>
      </c>
      <c r="AD27" s="13">
        <f t="shared" si="4"/>
        <v>0</v>
      </c>
      <c r="AE27" s="13">
        <f t="shared" si="4"/>
        <v>3</v>
      </c>
      <c r="AF27" s="13">
        <f t="shared" si="4"/>
        <v>1</v>
      </c>
      <c r="AG27" s="13">
        <f t="shared" si="4"/>
        <v>0</v>
      </c>
      <c r="AH27" s="13">
        <f t="shared" si="4"/>
        <v>0</v>
      </c>
      <c r="AI27" s="13">
        <f t="shared" si="4"/>
        <v>0</v>
      </c>
      <c r="AJ27" s="13">
        <f t="shared" si="4"/>
        <v>0</v>
      </c>
      <c r="AK27" s="13">
        <f t="shared" si="4"/>
        <v>0</v>
      </c>
      <c r="AL27" s="13">
        <f t="shared" si="4"/>
        <v>0</v>
      </c>
      <c r="AM27" s="13">
        <f t="shared" si="4"/>
        <v>9</v>
      </c>
      <c r="AN27" s="13">
        <f t="shared" si="4"/>
        <v>8</v>
      </c>
      <c r="AO27" s="13">
        <f t="shared" si="4"/>
        <v>0</v>
      </c>
      <c r="AP27" s="13">
        <f t="shared" si="4"/>
        <v>0</v>
      </c>
      <c r="AQ27" s="13">
        <f t="shared" si="4"/>
        <v>0</v>
      </c>
      <c r="AR27" s="13">
        <f t="shared" si="4"/>
        <v>3</v>
      </c>
      <c r="AS27" s="13">
        <f t="shared" si="4"/>
        <v>0</v>
      </c>
      <c r="AT27" s="13">
        <f t="shared" si="4"/>
        <v>1</v>
      </c>
      <c r="AU27" s="13">
        <f t="shared" si="4"/>
        <v>0</v>
      </c>
      <c r="AV27" s="13">
        <f t="shared" si="4"/>
        <v>3</v>
      </c>
      <c r="AW27" s="13">
        <f t="shared" si="4"/>
        <v>8</v>
      </c>
      <c r="AX27" s="13">
        <f t="shared" si="4"/>
        <v>0</v>
      </c>
      <c r="AY27" s="13">
        <f t="shared" si="0"/>
        <v>67</v>
      </c>
    </row>
    <row r="28" spans="1:51" ht="12.75" customHeight="1" x14ac:dyDescent="0.3">
      <c r="A28" s="21"/>
      <c r="B28" s="66" t="s">
        <v>23</v>
      </c>
      <c r="C28" s="67" t="s">
        <v>24</v>
      </c>
      <c r="D28" s="13" t="s">
        <v>12</v>
      </c>
      <c r="E28" s="13">
        <f t="shared" ref="E28:AX28" si="5">SUM(E19,E22,E25)</f>
        <v>86</v>
      </c>
      <c r="F28" s="13">
        <f t="shared" si="5"/>
        <v>107</v>
      </c>
      <c r="G28" s="13">
        <f t="shared" si="5"/>
        <v>76</v>
      </c>
      <c r="H28" s="13">
        <f t="shared" si="5"/>
        <v>78</v>
      </c>
      <c r="I28" s="13">
        <f t="shared" si="5"/>
        <v>97</v>
      </c>
      <c r="J28" s="13">
        <f t="shared" si="5"/>
        <v>89</v>
      </c>
      <c r="K28" s="13">
        <f t="shared" si="5"/>
        <v>88</v>
      </c>
      <c r="L28" s="13">
        <f t="shared" si="5"/>
        <v>94</v>
      </c>
      <c r="M28" s="13">
        <f t="shared" si="5"/>
        <v>65</v>
      </c>
      <c r="N28" s="13">
        <f t="shared" si="5"/>
        <v>105</v>
      </c>
      <c r="O28" s="13">
        <f t="shared" si="5"/>
        <v>97</v>
      </c>
      <c r="P28" s="13">
        <f t="shared" si="5"/>
        <v>100</v>
      </c>
      <c r="Q28" s="13">
        <f t="shared" si="5"/>
        <v>85</v>
      </c>
      <c r="R28" s="13">
        <f t="shared" si="5"/>
        <v>71</v>
      </c>
      <c r="S28" s="13">
        <f t="shared" si="5"/>
        <v>83</v>
      </c>
      <c r="T28" s="13">
        <f t="shared" si="5"/>
        <v>92</v>
      </c>
      <c r="U28" s="13">
        <f t="shared" si="5"/>
        <v>102</v>
      </c>
      <c r="V28" s="13">
        <f t="shared" si="5"/>
        <v>102</v>
      </c>
      <c r="W28" s="13">
        <f t="shared" si="5"/>
        <v>98</v>
      </c>
      <c r="X28" s="13">
        <f t="shared" si="5"/>
        <v>116</v>
      </c>
      <c r="Y28" s="13">
        <f t="shared" si="5"/>
        <v>95</v>
      </c>
      <c r="Z28" s="13">
        <f t="shared" si="5"/>
        <v>100</v>
      </c>
      <c r="AA28" s="13">
        <f t="shared" si="5"/>
        <v>90</v>
      </c>
      <c r="AB28" s="13">
        <f t="shared" si="5"/>
        <v>91</v>
      </c>
      <c r="AC28" s="13">
        <f t="shared" si="5"/>
        <v>86</v>
      </c>
      <c r="AD28" s="13">
        <f t="shared" si="5"/>
        <v>94</v>
      </c>
      <c r="AE28" s="13">
        <f t="shared" si="5"/>
        <v>90</v>
      </c>
      <c r="AF28" s="13">
        <f t="shared" si="5"/>
        <v>68</v>
      </c>
      <c r="AG28" s="13">
        <f t="shared" si="5"/>
        <v>114</v>
      </c>
      <c r="AH28" s="13">
        <f t="shared" si="5"/>
        <v>63</v>
      </c>
      <c r="AI28" s="13">
        <f t="shared" si="5"/>
        <v>98</v>
      </c>
      <c r="AJ28" s="13">
        <f t="shared" si="5"/>
        <v>103</v>
      </c>
      <c r="AK28" s="13">
        <f t="shared" si="5"/>
        <v>106</v>
      </c>
      <c r="AL28" s="13">
        <f t="shared" si="5"/>
        <v>111</v>
      </c>
      <c r="AM28" s="13">
        <f t="shared" si="5"/>
        <v>121</v>
      </c>
      <c r="AN28" s="13">
        <f t="shared" si="5"/>
        <v>103</v>
      </c>
      <c r="AO28" s="13">
        <f t="shared" si="5"/>
        <v>107</v>
      </c>
      <c r="AP28" s="13">
        <f t="shared" si="5"/>
        <v>94</v>
      </c>
      <c r="AQ28" s="13">
        <f t="shared" si="5"/>
        <v>103</v>
      </c>
      <c r="AR28" s="13">
        <f t="shared" si="5"/>
        <v>93</v>
      </c>
      <c r="AS28" s="13">
        <f t="shared" si="5"/>
        <v>103</v>
      </c>
      <c r="AT28" s="13">
        <f t="shared" si="5"/>
        <v>107</v>
      </c>
      <c r="AU28" s="13">
        <f t="shared" si="5"/>
        <v>118</v>
      </c>
      <c r="AV28" s="13">
        <f t="shared" si="5"/>
        <v>98</v>
      </c>
      <c r="AW28" s="13">
        <f t="shared" si="5"/>
        <v>89</v>
      </c>
      <c r="AX28" s="13">
        <f t="shared" si="5"/>
        <v>98</v>
      </c>
      <c r="AY28" s="13">
        <f t="shared" si="0"/>
        <v>4374</v>
      </c>
    </row>
    <row r="29" spans="1:51" ht="12.75" customHeight="1" x14ac:dyDescent="0.3">
      <c r="A29" s="21"/>
      <c r="B29" s="57"/>
      <c r="C29" s="64"/>
      <c r="D29" s="13" t="s">
        <v>13</v>
      </c>
      <c r="E29" s="13">
        <f t="shared" ref="E29:AX29" si="6">SUM(E20,E23,E26)</f>
        <v>96</v>
      </c>
      <c r="F29" s="13">
        <f t="shared" si="6"/>
        <v>98</v>
      </c>
      <c r="G29" s="13">
        <f t="shared" si="6"/>
        <v>95</v>
      </c>
      <c r="H29" s="13">
        <f t="shared" si="6"/>
        <v>91</v>
      </c>
      <c r="I29" s="13">
        <f t="shared" si="6"/>
        <v>111</v>
      </c>
      <c r="J29" s="13">
        <f t="shared" si="6"/>
        <v>110</v>
      </c>
      <c r="K29" s="13">
        <f t="shared" si="6"/>
        <v>79</v>
      </c>
      <c r="L29" s="13">
        <f t="shared" si="6"/>
        <v>100</v>
      </c>
      <c r="M29" s="13">
        <f t="shared" si="6"/>
        <v>101</v>
      </c>
      <c r="N29" s="13">
        <f t="shared" si="6"/>
        <v>113</v>
      </c>
      <c r="O29" s="13">
        <f t="shared" si="6"/>
        <v>95</v>
      </c>
      <c r="P29" s="13">
        <f t="shared" si="6"/>
        <v>110</v>
      </c>
      <c r="Q29" s="13">
        <f t="shared" si="6"/>
        <v>95</v>
      </c>
      <c r="R29" s="13">
        <f t="shared" si="6"/>
        <v>82</v>
      </c>
      <c r="S29" s="13">
        <f t="shared" si="6"/>
        <v>96</v>
      </c>
      <c r="T29" s="13">
        <f t="shared" si="6"/>
        <v>109</v>
      </c>
      <c r="U29" s="13">
        <f t="shared" si="6"/>
        <v>122</v>
      </c>
      <c r="V29" s="13">
        <f t="shared" si="6"/>
        <v>118</v>
      </c>
      <c r="W29" s="13">
        <f t="shared" si="6"/>
        <v>109</v>
      </c>
      <c r="X29" s="13">
        <f t="shared" si="6"/>
        <v>115</v>
      </c>
      <c r="Y29" s="13">
        <f t="shared" si="6"/>
        <v>120</v>
      </c>
      <c r="Z29" s="13">
        <f t="shared" si="6"/>
        <v>104</v>
      </c>
      <c r="AA29" s="13">
        <f t="shared" si="6"/>
        <v>103</v>
      </c>
      <c r="AB29" s="13">
        <f t="shared" si="6"/>
        <v>91</v>
      </c>
      <c r="AC29" s="13">
        <f t="shared" si="6"/>
        <v>113</v>
      </c>
      <c r="AD29" s="13">
        <f t="shared" si="6"/>
        <v>109</v>
      </c>
      <c r="AE29" s="13">
        <f t="shared" si="6"/>
        <v>101</v>
      </c>
      <c r="AF29" s="13">
        <f t="shared" si="6"/>
        <v>93</v>
      </c>
      <c r="AG29" s="13">
        <f t="shared" si="6"/>
        <v>109</v>
      </c>
      <c r="AH29" s="13">
        <f t="shared" si="6"/>
        <v>59</v>
      </c>
      <c r="AI29" s="13">
        <f t="shared" si="6"/>
        <v>104</v>
      </c>
      <c r="AJ29" s="13">
        <f t="shared" si="6"/>
        <v>106</v>
      </c>
      <c r="AK29" s="13">
        <f t="shared" si="6"/>
        <v>118</v>
      </c>
      <c r="AL29" s="13">
        <f t="shared" si="6"/>
        <v>126</v>
      </c>
      <c r="AM29" s="13">
        <f t="shared" si="6"/>
        <v>134</v>
      </c>
      <c r="AN29" s="13">
        <f t="shared" si="6"/>
        <v>107</v>
      </c>
      <c r="AO29" s="13">
        <f t="shared" si="6"/>
        <v>122</v>
      </c>
      <c r="AP29" s="13">
        <f t="shared" si="6"/>
        <v>110</v>
      </c>
      <c r="AQ29" s="13">
        <f t="shared" si="6"/>
        <v>93</v>
      </c>
      <c r="AR29" s="13">
        <f t="shared" si="6"/>
        <v>105</v>
      </c>
      <c r="AS29" s="13">
        <f t="shared" si="6"/>
        <v>107</v>
      </c>
      <c r="AT29" s="13">
        <f t="shared" si="6"/>
        <v>103</v>
      </c>
      <c r="AU29" s="13">
        <f t="shared" si="6"/>
        <v>112</v>
      </c>
      <c r="AV29" s="13">
        <f t="shared" si="6"/>
        <v>107</v>
      </c>
      <c r="AW29" s="13">
        <f t="shared" si="6"/>
        <v>102</v>
      </c>
      <c r="AX29" s="13">
        <f t="shared" si="6"/>
        <v>102</v>
      </c>
      <c r="AY29" s="13">
        <f t="shared" si="0"/>
        <v>4805</v>
      </c>
    </row>
    <row r="30" spans="1:51" ht="12.75" customHeight="1" x14ac:dyDescent="0.3">
      <c r="A30" s="21"/>
      <c r="B30" s="59"/>
      <c r="C30" s="65"/>
      <c r="D30" s="13" t="s">
        <v>14</v>
      </c>
      <c r="E30" s="13">
        <f t="shared" ref="E30:AX30" si="7">SUM(E28:E29)</f>
        <v>182</v>
      </c>
      <c r="F30" s="13">
        <f t="shared" si="7"/>
        <v>205</v>
      </c>
      <c r="G30" s="13">
        <f t="shared" si="7"/>
        <v>171</v>
      </c>
      <c r="H30" s="13">
        <f t="shared" si="7"/>
        <v>169</v>
      </c>
      <c r="I30" s="13">
        <f t="shared" si="7"/>
        <v>208</v>
      </c>
      <c r="J30" s="13">
        <f t="shared" si="7"/>
        <v>199</v>
      </c>
      <c r="K30" s="13">
        <f t="shared" si="7"/>
        <v>167</v>
      </c>
      <c r="L30" s="13">
        <f t="shared" si="7"/>
        <v>194</v>
      </c>
      <c r="M30" s="13">
        <f t="shared" si="7"/>
        <v>166</v>
      </c>
      <c r="N30" s="13">
        <f t="shared" si="7"/>
        <v>218</v>
      </c>
      <c r="O30" s="13">
        <f t="shared" si="7"/>
        <v>192</v>
      </c>
      <c r="P30" s="13">
        <f t="shared" si="7"/>
        <v>210</v>
      </c>
      <c r="Q30" s="13">
        <f t="shared" si="7"/>
        <v>180</v>
      </c>
      <c r="R30" s="13">
        <f t="shared" si="7"/>
        <v>153</v>
      </c>
      <c r="S30" s="13">
        <f t="shared" si="7"/>
        <v>179</v>
      </c>
      <c r="T30" s="13">
        <f t="shared" si="7"/>
        <v>201</v>
      </c>
      <c r="U30" s="13">
        <f t="shared" si="7"/>
        <v>224</v>
      </c>
      <c r="V30" s="13">
        <f t="shared" si="7"/>
        <v>220</v>
      </c>
      <c r="W30" s="13">
        <f t="shared" si="7"/>
        <v>207</v>
      </c>
      <c r="X30" s="13">
        <f t="shared" si="7"/>
        <v>231</v>
      </c>
      <c r="Y30" s="13">
        <f t="shared" si="7"/>
        <v>215</v>
      </c>
      <c r="Z30" s="13">
        <f t="shared" si="7"/>
        <v>204</v>
      </c>
      <c r="AA30" s="13">
        <f t="shared" si="7"/>
        <v>193</v>
      </c>
      <c r="AB30" s="13">
        <f t="shared" si="7"/>
        <v>182</v>
      </c>
      <c r="AC30" s="13">
        <f t="shared" si="7"/>
        <v>199</v>
      </c>
      <c r="AD30" s="13">
        <f t="shared" si="7"/>
        <v>203</v>
      </c>
      <c r="AE30" s="13">
        <f t="shared" si="7"/>
        <v>191</v>
      </c>
      <c r="AF30" s="13">
        <f t="shared" si="7"/>
        <v>161</v>
      </c>
      <c r="AG30" s="13">
        <f t="shared" si="7"/>
        <v>223</v>
      </c>
      <c r="AH30" s="13">
        <f t="shared" si="7"/>
        <v>122</v>
      </c>
      <c r="AI30" s="13">
        <f t="shared" si="7"/>
        <v>202</v>
      </c>
      <c r="AJ30" s="13">
        <f t="shared" si="7"/>
        <v>209</v>
      </c>
      <c r="AK30" s="13">
        <f t="shared" si="7"/>
        <v>224</v>
      </c>
      <c r="AL30" s="13">
        <f t="shared" si="7"/>
        <v>237</v>
      </c>
      <c r="AM30" s="13">
        <f t="shared" si="7"/>
        <v>255</v>
      </c>
      <c r="AN30" s="13">
        <f t="shared" si="7"/>
        <v>210</v>
      </c>
      <c r="AO30" s="13">
        <f t="shared" si="7"/>
        <v>229</v>
      </c>
      <c r="AP30" s="13">
        <f t="shared" si="7"/>
        <v>204</v>
      </c>
      <c r="AQ30" s="13">
        <f t="shared" si="7"/>
        <v>196</v>
      </c>
      <c r="AR30" s="13">
        <f t="shared" si="7"/>
        <v>198</v>
      </c>
      <c r="AS30" s="13">
        <f t="shared" si="7"/>
        <v>210</v>
      </c>
      <c r="AT30" s="13">
        <f t="shared" si="7"/>
        <v>210</v>
      </c>
      <c r="AU30" s="13">
        <f t="shared" si="7"/>
        <v>230</v>
      </c>
      <c r="AV30" s="13">
        <f t="shared" si="7"/>
        <v>205</v>
      </c>
      <c r="AW30" s="13">
        <f t="shared" si="7"/>
        <v>191</v>
      </c>
      <c r="AX30" s="13">
        <f t="shared" si="7"/>
        <v>200</v>
      </c>
      <c r="AY30" s="13">
        <f t="shared" si="0"/>
        <v>9179</v>
      </c>
    </row>
    <row r="31" spans="1:51" ht="12.75" customHeight="1" x14ac:dyDescent="0.3">
      <c r="A31" s="54"/>
      <c r="B31" s="48"/>
      <c r="C31" s="48"/>
      <c r="D31" s="49"/>
      <c r="E31" s="15"/>
      <c r="F31" s="15"/>
      <c r="G31" s="15"/>
      <c r="H31" s="15"/>
      <c r="I31" s="15"/>
      <c r="J31" s="15"/>
      <c r="K31" s="15"/>
      <c r="L31" s="15"/>
      <c r="M31" s="15"/>
      <c r="N31" s="42"/>
      <c r="O31" s="42"/>
      <c r="P31" s="42"/>
      <c r="Q31" s="42"/>
      <c r="R31" s="42"/>
      <c r="S31" s="42"/>
      <c r="T31" s="42"/>
      <c r="U31" s="42"/>
      <c r="V31" s="42"/>
      <c r="W31" s="15"/>
      <c r="X31" s="15"/>
      <c r="Y31" s="15"/>
      <c r="Z31" s="15"/>
      <c r="AA31" s="15"/>
      <c r="AB31" s="15"/>
      <c r="AC31" s="15"/>
      <c r="AD31" s="15"/>
      <c r="AE31" s="15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13">
        <f t="shared" si="0"/>
        <v>0</v>
      </c>
    </row>
    <row r="32" spans="1:51" ht="12.75" customHeight="1" x14ac:dyDescent="0.3">
      <c r="A32" s="24" t="s">
        <v>25</v>
      </c>
      <c r="B32" s="55" t="s">
        <v>26</v>
      </c>
      <c r="C32" s="48"/>
      <c r="D32" s="49"/>
      <c r="E32" s="13"/>
      <c r="F32" s="13"/>
      <c r="G32" s="13"/>
      <c r="H32" s="13"/>
      <c r="I32" s="13"/>
      <c r="J32" s="13"/>
      <c r="K32" s="13"/>
      <c r="L32" s="13"/>
      <c r="M32" s="13"/>
      <c r="N32" s="44"/>
      <c r="O32" s="44"/>
      <c r="P32" s="44"/>
      <c r="Q32" s="44"/>
      <c r="R32" s="44"/>
      <c r="S32" s="44"/>
      <c r="T32" s="44"/>
      <c r="U32" s="44"/>
      <c r="V32" s="44"/>
      <c r="W32" s="13"/>
      <c r="X32" s="13"/>
      <c r="Y32" s="13"/>
      <c r="Z32" s="13"/>
      <c r="AA32" s="13"/>
      <c r="AB32" s="13"/>
      <c r="AC32" s="13"/>
      <c r="AD32" s="13"/>
      <c r="AE32" s="13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13">
        <f t="shared" si="0"/>
        <v>0</v>
      </c>
    </row>
    <row r="33" spans="1:51" ht="12.75" customHeight="1" x14ac:dyDescent="0.3">
      <c r="A33" s="15">
        <v>1</v>
      </c>
      <c r="B33" s="61" t="s">
        <v>27</v>
      </c>
      <c r="C33" s="48"/>
      <c r="D33" s="49"/>
      <c r="E33" s="15">
        <v>240</v>
      </c>
      <c r="F33" s="15">
        <v>272</v>
      </c>
      <c r="G33" s="15">
        <v>260</v>
      </c>
      <c r="H33" s="15">
        <v>260</v>
      </c>
      <c r="I33" s="15">
        <v>287</v>
      </c>
      <c r="J33" s="15">
        <v>271</v>
      </c>
      <c r="K33" s="15">
        <v>237</v>
      </c>
      <c r="L33" s="15">
        <v>265</v>
      </c>
      <c r="M33" s="15">
        <v>239</v>
      </c>
      <c r="N33" s="15">
        <v>301</v>
      </c>
      <c r="O33" s="15">
        <v>295</v>
      </c>
      <c r="P33" s="15">
        <v>266</v>
      </c>
      <c r="Q33" s="15">
        <v>227</v>
      </c>
      <c r="R33" s="15">
        <v>226</v>
      </c>
      <c r="S33" s="15">
        <v>224</v>
      </c>
      <c r="T33" s="15">
        <v>285</v>
      </c>
      <c r="U33" s="15">
        <v>290</v>
      </c>
      <c r="V33" s="15">
        <v>280</v>
      </c>
      <c r="W33" s="15">
        <v>294</v>
      </c>
      <c r="X33" s="15">
        <v>283</v>
      </c>
      <c r="Y33" s="15">
        <v>282</v>
      </c>
      <c r="Z33" s="15">
        <v>274</v>
      </c>
      <c r="AA33" s="15">
        <v>247</v>
      </c>
      <c r="AB33" s="15">
        <v>230</v>
      </c>
      <c r="AC33" s="15">
        <v>283</v>
      </c>
      <c r="AD33" s="15">
        <v>270</v>
      </c>
      <c r="AE33" s="15">
        <v>234</v>
      </c>
      <c r="AF33" s="15">
        <v>210</v>
      </c>
      <c r="AG33" s="15">
        <v>277</v>
      </c>
      <c r="AH33" s="15">
        <v>154</v>
      </c>
      <c r="AI33" s="15">
        <v>274</v>
      </c>
      <c r="AJ33" s="15">
        <v>284</v>
      </c>
      <c r="AK33" s="15">
        <v>296</v>
      </c>
      <c r="AL33" s="15">
        <v>299</v>
      </c>
      <c r="AM33" s="15">
        <v>291</v>
      </c>
      <c r="AN33" s="15">
        <v>281</v>
      </c>
      <c r="AO33" s="15">
        <v>296</v>
      </c>
      <c r="AP33" s="15">
        <v>279</v>
      </c>
      <c r="AQ33" s="15">
        <v>290</v>
      </c>
      <c r="AR33" s="15">
        <v>274</v>
      </c>
      <c r="AS33" s="15">
        <v>290</v>
      </c>
      <c r="AT33" s="15">
        <v>266</v>
      </c>
      <c r="AU33" s="15">
        <v>298</v>
      </c>
      <c r="AV33" s="15">
        <v>268</v>
      </c>
      <c r="AW33" s="15">
        <v>275</v>
      </c>
      <c r="AX33" s="15">
        <v>283</v>
      </c>
      <c r="AY33" s="13">
        <f t="shared" si="0"/>
        <v>12307</v>
      </c>
    </row>
    <row r="34" spans="1:51" ht="12.75" customHeight="1" x14ac:dyDescent="0.3">
      <c r="A34" s="15">
        <v>2</v>
      </c>
      <c r="B34" s="61" t="s">
        <v>28</v>
      </c>
      <c r="C34" s="48"/>
      <c r="D34" s="49"/>
      <c r="E34" s="13">
        <v>182</v>
      </c>
      <c r="F34" s="13">
        <v>205</v>
      </c>
      <c r="G34" s="13">
        <v>171</v>
      </c>
      <c r="H34" s="13">
        <v>169</v>
      </c>
      <c r="I34" s="13">
        <v>208</v>
      </c>
      <c r="J34" s="13">
        <v>199</v>
      </c>
      <c r="K34" s="13">
        <v>167</v>
      </c>
      <c r="L34" s="13">
        <v>194</v>
      </c>
      <c r="M34" s="13">
        <v>166</v>
      </c>
      <c r="N34" s="13">
        <v>218</v>
      </c>
      <c r="O34" s="13">
        <v>192</v>
      </c>
      <c r="P34" s="13">
        <v>210</v>
      </c>
      <c r="Q34" s="13">
        <v>180</v>
      </c>
      <c r="R34" s="13">
        <v>153</v>
      </c>
      <c r="S34" s="13">
        <v>179</v>
      </c>
      <c r="T34" s="13">
        <v>201</v>
      </c>
      <c r="U34" s="13">
        <v>224</v>
      </c>
      <c r="V34" s="13">
        <v>220</v>
      </c>
      <c r="W34" s="13">
        <v>207</v>
      </c>
      <c r="X34" s="13">
        <v>231</v>
      </c>
      <c r="Y34" s="13">
        <v>215</v>
      </c>
      <c r="Z34" s="13">
        <v>204</v>
      </c>
      <c r="AA34" s="13">
        <v>193</v>
      </c>
      <c r="AB34" s="13">
        <v>182</v>
      </c>
      <c r="AC34" s="13">
        <v>199</v>
      </c>
      <c r="AD34" s="13">
        <v>203</v>
      </c>
      <c r="AE34" s="13">
        <v>191</v>
      </c>
      <c r="AF34" s="13">
        <v>161</v>
      </c>
      <c r="AG34" s="13">
        <v>223</v>
      </c>
      <c r="AH34" s="13">
        <v>122</v>
      </c>
      <c r="AI34" s="13">
        <v>202</v>
      </c>
      <c r="AJ34" s="13">
        <v>209</v>
      </c>
      <c r="AK34" s="13">
        <v>224</v>
      </c>
      <c r="AL34" s="13">
        <v>237</v>
      </c>
      <c r="AM34" s="13">
        <v>255</v>
      </c>
      <c r="AN34" s="13">
        <v>210</v>
      </c>
      <c r="AO34" s="13">
        <v>229</v>
      </c>
      <c r="AP34" s="13">
        <v>204</v>
      </c>
      <c r="AQ34" s="13">
        <v>196</v>
      </c>
      <c r="AR34" s="13">
        <v>198</v>
      </c>
      <c r="AS34" s="13">
        <v>210</v>
      </c>
      <c r="AT34" s="13">
        <v>210</v>
      </c>
      <c r="AU34" s="13">
        <v>230</v>
      </c>
      <c r="AV34" s="13">
        <v>205</v>
      </c>
      <c r="AW34" s="13">
        <v>191</v>
      </c>
      <c r="AX34" s="13">
        <v>200</v>
      </c>
      <c r="AY34" s="13">
        <f t="shared" si="0"/>
        <v>9179</v>
      </c>
    </row>
    <row r="35" spans="1:51" ht="12.75" customHeight="1" x14ac:dyDescent="0.3">
      <c r="A35" s="15">
        <v>3</v>
      </c>
      <c r="B35" s="61" t="s">
        <v>29</v>
      </c>
      <c r="C35" s="48"/>
      <c r="D35" s="49"/>
      <c r="E35" s="15">
        <v>2</v>
      </c>
      <c r="F35" s="15">
        <v>0</v>
      </c>
      <c r="G35" s="15">
        <v>3</v>
      </c>
      <c r="H35" s="15">
        <v>0</v>
      </c>
      <c r="I35" s="15">
        <v>0</v>
      </c>
      <c r="J35" s="15">
        <v>0</v>
      </c>
      <c r="K35" s="15">
        <v>2</v>
      </c>
      <c r="L35" s="15">
        <v>12</v>
      </c>
      <c r="M35" s="15">
        <v>3</v>
      </c>
      <c r="N35" s="15">
        <v>1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1</v>
      </c>
      <c r="U35" s="15">
        <v>0</v>
      </c>
      <c r="V35" s="15">
        <v>0</v>
      </c>
      <c r="W35" s="15">
        <v>1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1</v>
      </c>
      <c r="AG35" s="15">
        <v>0</v>
      </c>
      <c r="AH35" s="15">
        <v>0</v>
      </c>
      <c r="AI35" s="15">
        <v>1</v>
      </c>
      <c r="AJ35" s="15">
        <v>1</v>
      </c>
      <c r="AK35" s="15">
        <v>0</v>
      </c>
      <c r="AL35" s="15">
        <v>1</v>
      </c>
      <c r="AM35" s="15">
        <v>0</v>
      </c>
      <c r="AN35" s="15">
        <v>0</v>
      </c>
      <c r="AO35" s="15">
        <v>0</v>
      </c>
      <c r="AP35" s="15">
        <v>0</v>
      </c>
      <c r="AQ35" s="15">
        <v>1</v>
      </c>
      <c r="AR35" s="15">
        <v>0</v>
      </c>
      <c r="AS35" s="15">
        <v>0</v>
      </c>
      <c r="AT35" s="15">
        <v>0</v>
      </c>
      <c r="AU35" s="15">
        <v>1</v>
      </c>
      <c r="AV35" s="15">
        <v>0</v>
      </c>
      <c r="AW35" s="15">
        <v>0</v>
      </c>
      <c r="AX35" s="15">
        <v>0</v>
      </c>
      <c r="AY35" s="13">
        <f t="shared" si="0"/>
        <v>31</v>
      </c>
    </row>
    <row r="36" spans="1:51" ht="12.75" customHeight="1" x14ac:dyDescent="0.3">
      <c r="A36" s="15">
        <v>4</v>
      </c>
      <c r="B36" s="61" t="s">
        <v>30</v>
      </c>
      <c r="C36" s="48"/>
      <c r="D36" s="49"/>
      <c r="E36" s="13">
        <f t="shared" ref="E36:AX36" si="8">E33-(E34+E35)</f>
        <v>56</v>
      </c>
      <c r="F36" s="13">
        <f t="shared" si="8"/>
        <v>67</v>
      </c>
      <c r="G36" s="13">
        <f t="shared" si="8"/>
        <v>86</v>
      </c>
      <c r="H36" s="13">
        <f t="shared" si="8"/>
        <v>91</v>
      </c>
      <c r="I36" s="13">
        <f t="shared" si="8"/>
        <v>79</v>
      </c>
      <c r="J36" s="13">
        <f t="shared" si="8"/>
        <v>72</v>
      </c>
      <c r="K36" s="13">
        <f t="shared" si="8"/>
        <v>68</v>
      </c>
      <c r="L36" s="13">
        <f t="shared" si="8"/>
        <v>59</v>
      </c>
      <c r="M36" s="13">
        <f t="shared" si="8"/>
        <v>70</v>
      </c>
      <c r="N36" s="13">
        <f t="shared" si="8"/>
        <v>82</v>
      </c>
      <c r="O36" s="13">
        <f t="shared" si="8"/>
        <v>103</v>
      </c>
      <c r="P36" s="13">
        <f t="shared" si="8"/>
        <v>56</v>
      </c>
      <c r="Q36" s="13">
        <f t="shared" si="8"/>
        <v>47</v>
      </c>
      <c r="R36" s="13">
        <f t="shared" si="8"/>
        <v>73</v>
      </c>
      <c r="S36" s="13">
        <f t="shared" si="8"/>
        <v>45</v>
      </c>
      <c r="T36" s="13">
        <f t="shared" si="8"/>
        <v>83</v>
      </c>
      <c r="U36" s="13">
        <f t="shared" si="8"/>
        <v>66</v>
      </c>
      <c r="V36" s="13">
        <f t="shared" si="8"/>
        <v>60</v>
      </c>
      <c r="W36" s="13">
        <f t="shared" si="8"/>
        <v>86</v>
      </c>
      <c r="X36" s="13">
        <f t="shared" si="8"/>
        <v>52</v>
      </c>
      <c r="Y36" s="13">
        <f t="shared" si="8"/>
        <v>67</v>
      </c>
      <c r="Z36" s="13">
        <f t="shared" si="8"/>
        <v>70</v>
      </c>
      <c r="AA36" s="13">
        <f t="shared" si="8"/>
        <v>54</v>
      </c>
      <c r="AB36" s="13">
        <f t="shared" si="8"/>
        <v>48</v>
      </c>
      <c r="AC36" s="13">
        <f t="shared" si="8"/>
        <v>84</v>
      </c>
      <c r="AD36" s="13">
        <f t="shared" si="8"/>
        <v>67</v>
      </c>
      <c r="AE36" s="13">
        <f t="shared" si="8"/>
        <v>43</v>
      </c>
      <c r="AF36" s="13">
        <f t="shared" si="8"/>
        <v>48</v>
      </c>
      <c r="AG36" s="13">
        <f t="shared" si="8"/>
        <v>54</v>
      </c>
      <c r="AH36" s="13">
        <f t="shared" si="8"/>
        <v>32</v>
      </c>
      <c r="AI36" s="13">
        <f t="shared" si="8"/>
        <v>71</v>
      </c>
      <c r="AJ36" s="13">
        <f t="shared" si="8"/>
        <v>74</v>
      </c>
      <c r="AK36" s="13">
        <f t="shared" si="8"/>
        <v>72</v>
      </c>
      <c r="AL36" s="13">
        <f t="shared" si="8"/>
        <v>61</v>
      </c>
      <c r="AM36" s="13">
        <f t="shared" si="8"/>
        <v>36</v>
      </c>
      <c r="AN36" s="13">
        <f t="shared" si="8"/>
        <v>71</v>
      </c>
      <c r="AO36" s="13">
        <f t="shared" si="8"/>
        <v>67</v>
      </c>
      <c r="AP36" s="13">
        <f t="shared" si="8"/>
        <v>75</v>
      </c>
      <c r="AQ36" s="13">
        <f t="shared" si="8"/>
        <v>93</v>
      </c>
      <c r="AR36" s="13">
        <f t="shared" si="8"/>
        <v>76</v>
      </c>
      <c r="AS36" s="13">
        <f t="shared" si="8"/>
        <v>80</v>
      </c>
      <c r="AT36" s="13">
        <f t="shared" si="8"/>
        <v>56</v>
      </c>
      <c r="AU36" s="13">
        <f t="shared" si="8"/>
        <v>67</v>
      </c>
      <c r="AV36" s="13">
        <f t="shared" si="8"/>
        <v>63</v>
      </c>
      <c r="AW36" s="13">
        <f t="shared" si="8"/>
        <v>84</v>
      </c>
      <c r="AX36" s="13">
        <f t="shared" si="8"/>
        <v>83</v>
      </c>
      <c r="AY36" s="13">
        <f t="shared" si="0"/>
        <v>3097</v>
      </c>
    </row>
    <row r="37" spans="1:51" ht="12.75" customHeight="1" x14ac:dyDescent="0.3">
      <c r="A37" s="54"/>
      <c r="B37" s="48"/>
      <c r="C37" s="48"/>
      <c r="D37" s="48"/>
      <c r="E37" s="54"/>
      <c r="F37" s="48"/>
      <c r="G37" s="48"/>
      <c r="H37" s="48"/>
      <c r="I37" s="49"/>
      <c r="J37" s="15"/>
      <c r="K37" s="15"/>
      <c r="L37" s="15"/>
      <c r="M37" s="15"/>
      <c r="N37" s="42"/>
      <c r="O37" s="45"/>
      <c r="P37" s="45"/>
      <c r="Q37" s="45"/>
      <c r="R37" s="45"/>
      <c r="S37" s="45"/>
      <c r="T37" s="45"/>
      <c r="U37" s="45"/>
      <c r="V37" s="45"/>
      <c r="W37" s="54"/>
      <c r="X37" s="48"/>
      <c r="Y37" s="48"/>
      <c r="Z37" s="48"/>
      <c r="AA37" s="49"/>
      <c r="AB37" s="15"/>
      <c r="AC37" s="15"/>
      <c r="AD37" s="15"/>
      <c r="AE37" s="15"/>
      <c r="AF37" s="42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13">
        <f t="shared" si="0"/>
        <v>0</v>
      </c>
    </row>
    <row r="38" spans="1:51" ht="12.75" customHeight="1" x14ac:dyDescent="0.3">
      <c r="A38" s="25" t="s">
        <v>31</v>
      </c>
      <c r="B38" s="55" t="s">
        <v>32</v>
      </c>
      <c r="C38" s="48"/>
      <c r="D38" s="49"/>
      <c r="E38" s="13"/>
      <c r="F38" s="13"/>
      <c r="G38" s="13"/>
      <c r="H38" s="13"/>
      <c r="I38" s="13"/>
      <c r="J38" s="13"/>
      <c r="K38" s="13"/>
      <c r="L38" s="13"/>
      <c r="M38" s="13"/>
      <c r="N38" s="44"/>
      <c r="O38" s="44"/>
      <c r="P38" s="44"/>
      <c r="Q38" s="44"/>
      <c r="R38" s="44"/>
      <c r="S38" s="44"/>
      <c r="T38" s="44"/>
      <c r="U38" s="44"/>
      <c r="V38" s="44"/>
      <c r="W38" s="13"/>
      <c r="X38" s="13"/>
      <c r="Y38" s="13"/>
      <c r="Z38" s="13"/>
      <c r="AA38" s="13"/>
      <c r="AB38" s="13"/>
      <c r="AC38" s="13"/>
      <c r="AD38" s="13"/>
      <c r="AE38" s="13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13">
        <f t="shared" si="0"/>
        <v>0</v>
      </c>
    </row>
    <row r="39" spans="1:51" ht="12.75" customHeight="1" x14ac:dyDescent="0.3">
      <c r="A39" s="19"/>
      <c r="B39" s="51" t="s">
        <v>33</v>
      </c>
      <c r="C39" s="53"/>
      <c r="D39" s="15" t="s">
        <v>12</v>
      </c>
      <c r="E39" s="15">
        <v>0</v>
      </c>
      <c r="F39" s="15">
        <v>0</v>
      </c>
      <c r="G39" s="15">
        <v>1</v>
      </c>
      <c r="H39" s="15">
        <v>0</v>
      </c>
      <c r="I39" s="15">
        <v>0</v>
      </c>
      <c r="J39" s="15">
        <v>0</v>
      </c>
      <c r="K39" s="15">
        <v>1</v>
      </c>
      <c r="L39" s="15">
        <v>0</v>
      </c>
      <c r="M39" s="15">
        <v>0</v>
      </c>
      <c r="N39" s="15">
        <v>0</v>
      </c>
      <c r="O39" s="15">
        <v>0</v>
      </c>
      <c r="P39" s="15">
        <v>1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1</v>
      </c>
      <c r="AB39" s="15">
        <v>0</v>
      </c>
      <c r="AC39" s="15">
        <v>1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3">
        <f t="shared" si="0"/>
        <v>5</v>
      </c>
    </row>
    <row r="40" spans="1:51" ht="12.75" customHeight="1" x14ac:dyDescent="0.3">
      <c r="A40" s="20"/>
      <c r="B40" s="56"/>
      <c r="C40" s="57"/>
      <c r="D40" s="15" t="s">
        <v>13</v>
      </c>
      <c r="E40" s="15">
        <v>0</v>
      </c>
      <c r="F40" s="15">
        <v>0</v>
      </c>
      <c r="G40" s="15">
        <v>0</v>
      </c>
      <c r="H40" s="15">
        <v>1</v>
      </c>
      <c r="I40" s="15">
        <v>0</v>
      </c>
      <c r="J40" s="15">
        <v>1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1</v>
      </c>
      <c r="AD40" s="15">
        <v>0</v>
      </c>
      <c r="AE40" s="15">
        <v>0</v>
      </c>
      <c r="AF40" s="15">
        <v>1</v>
      </c>
      <c r="AG40" s="15">
        <v>0</v>
      </c>
      <c r="AH40" s="15">
        <v>0</v>
      </c>
      <c r="AI40" s="15">
        <v>0</v>
      </c>
      <c r="AJ40" s="15">
        <v>0</v>
      </c>
      <c r="AK40" s="15">
        <v>1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3">
        <f t="shared" si="0"/>
        <v>5</v>
      </c>
    </row>
    <row r="41" spans="1:51" ht="12.75" customHeight="1" x14ac:dyDescent="0.3">
      <c r="A41" s="24"/>
      <c r="B41" s="58"/>
      <c r="C41" s="59"/>
      <c r="D41" s="13" t="s">
        <v>14</v>
      </c>
      <c r="E41" s="13">
        <f t="shared" ref="E41:AX41" si="9">SUM(E39:E40)</f>
        <v>0</v>
      </c>
      <c r="F41" s="13">
        <f t="shared" si="9"/>
        <v>0</v>
      </c>
      <c r="G41" s="13">
        <f t="shared" si="9"/>
        <v>1</v>
      </c>
      <c r="H41" s="13">
        <f t="shared" si="9"/>
        <v>1</v>
      </c>
      <c r="I41" s="13">
        <f t="shared" si="9"/>
        <v>0</v>
      </c>
      <c r="J41" s="13">
        <f t="shared" si="9"/>
        <v>1</v>
      </c>
      <c r="K41" s="13">
        <f t="shared" si="9"/>
        <v>1</v>
      </c>
      <c r="L41" s="13">
        <f t="shared" si="9"/>
        <v>0</v>
      </c>
      <c r="M41" s="13">
        <f t="shared" si="9"/>
        <v>0</v>
      </c>
      <c r="N41" s="13">
        <f t="shared" si="9"/>
        <v>0</v>
      </c>
      <c r="O41" s="13">
        <f t="shared" si="9"/>
        <v>0</v>
      </c>
      <c r="P41" s="13">
        <f t="shared" si="9"/>
        <v>1</v>
      </c>
      <c r="Q41" s="13">
        <f t="shared" si="9"/>
        <v>0</v>
      </c>
      <c r="R41" s="13">
        <f t="shared" si="9"/>
        <v>0</v>
      </c>
      <c r="S41" s="13">
        <f t="shared" si="9"/>
        <v>0</v>
      </c>
      <c r="T41" s="13">
        <f t="shared" si="9"/>
        <v>0</v>
      </c>
      <c r="U41" s="13">
        <f t="shared" si="9"/>
        <v>0</v>
      </c>
      <c r="V41" s="13">
        <f t="shared" si="9"/>
        <v>0</v>
      </c>
      <c r="W41" s="13">
        <f t="shared" si="9"/>
        <v>0</v>
      </c>
      <c r="X41" s="13">
        <f t="shared" si="9"/>
        <v>0</v>
      </c>
      <c r="Y41" s="13">
        <f t="shared" si="9"/>
        <v>0</v>
      </c>
      <c r="Z41" s="13">
        <f t="shared" si="9"/>
        <v>0</v>
      </c>
      <c r="AA41" s="13">
        <f t="shared" si="9"/>
        <v>1</v>
      </c>
      <c r="AB41" s="13">
        <f t="shared" si="9"/>
        <v>0</v>
      </c>
      <c r="AC41" s="13">
        <f t="shared" si="9"/>
        <v>2</v>
      </c>
      <c r="AD41" s="13">
        <f t="shared" si="9"/>
        <v>0</v>
      </c>
      <c r="AE41" s="13">
        <f t="shared" si="9"/>
        <v>0</v>
      </c>
      <c r="AF41" s="13">
        <f t="shared" si="9"/>
        <v>1</v>
      </c>
      <c r="AG41" s="13">
        <f t="shared" si="9"/>
        <v>0</v>
      </c>
      <c r="AH41" s="13">
        <f t="shared" si="9"/>
        <v>0</v>
      </c>
      <c r="AI41" s="13">
        <f t="shared" si="9"/>
        <v>0</v>
      </c>
      <c r="AJ41" s="13">
        <f t="shared" si="9"/>
        <v>0</v>
      </c>
      <c r="AK41" s="13">
        <f t="shared" si="9"/>
        <v>1</v>
      </c>
      <c r="AL41" s="13">
        <f t="shared" si="9"/>
        <v>0</v>
      </c>
      <c r="AM41" s="13">
        <f t="shared" si="9"/>
        <v>0</v>
      </c>
      <c r="AN41" s="13">
        <f t="shared" si="9"/>
        <v>0</v>
      </c>
      <c r="AO41" s="13">
        <f t="shared" si="9"/>
        <v>0</v>
      </c>
      <c r="AP41" s="13">
        <f t="shared" si="9"/>
        <v>0</v>
      </c>
      <c r="AQ41" s="13">
        <f t="shared" si="9"/>
        <v>0</v>
      </c>
      <c r="AR41" s="13">
        <f t="shared" si="9"/>
        <v>0</v>
      </c>
      <c r="AS41" s="13">
        <f t="shared" si="9"/>
        <v>0</v>
      </c>
      <c r="AT41" s="13">
        <f t="shared" si="9"/>
        <v>0</v>
      </c>
      <c r="AU41" s="13">
        <f t="shared" si="9"/>
        <v>0</v>
      </c>
      <c r="AV41" s="13">
        <f t="shared" si="9"/>
        <v>0</v>
      </c>
      <c r="AW41" s="13">
        <f t="shared" si="9"/>
        <v>0</v>
      </c>
      <c r="AX41" s="13">
        <f t="shared" si="9"/>
        <v>0</v>
      </c>
      <c r="AY41" s="13">
        <f t="shared" si="0"/>
        <v>10</v>
      </c>
    </row>
    <row r="42" spans="1:51" ht="12.75" customHeight="1" x14ac:dyDescent="0.3">
      <c r="A42" s="60"/>
      <c r="B42" s="58"/>
      <c r="C42" s="58"/>
      <c r="D42" s="59"/>
      <c r="E42" s="54"/>
      <c r="F42" s="48"/>
      <c r="G42" s="48"/>
      <c r="H42" s="48"/>
      <c r="I42" s="49"/>
      <c r="J42" s="15"/>
      <c r="K42" s="15"/>
      <c r="L42" s="15"/>
      <c r="M42" s="15"/>
      <c r="N42" s="42"/>
      <c r="O42" s="15"/>
      <c r="P42" s="42"/>
      <c r="Q42" s="15"/>
      <c r="R42" s="42"/>
      <c r="S42" s="15"/>
      <c r="T42" s="42"/>
      <c r="U42" s="15"/>
      <c r="V42" s="42"/>
      <c r="W42" s="54"/>
      <c r="X42" s="48"/>
      <c r="Y42" s="48"/>
      <c r="Z42" s="48"/>
      <c r="AA42" s="49"/>
      <c r="AB42" s="15"/>
      <c r="AC42" s="15"/>
      <c r="AD42" s="15"/>
      <c r="AE42" s="15"/>
      <c r="AF42" s="42"/>
      <c r="AG42" s="15"/>
      <c r="AH42" s="42"/>
      <c r="AI42" s="15"/>
      <c r="AJ42" s="42"/>
      <c r="AK42" s="15"/>
      <c r="AL42" s="42"/>
      <c r="AM42" s="15"/>
      <c r="AN42" s="42"/>
      <c r="AO42" s="15"/>
      <c r="AP42" s="42"/>
      <c r="AQ42" s="15"/>
      <c r="AR42" s="42"/>
      <c r="AS42" s="15"/>
      <c r="AT42" s="42"/>
      <c r="AU42" s="15"/>
      <c r="AV42" s="42"/>
      <c r="AW42" s="15"/>
      <c r="AX42" s="42"/>
      <c r="AY42" s="13">
        <f t="shared" si="0"/>
        <v>0</v>
      </c>
    </row>
    <row r="43" spans="1:51" ht="12.75" customHeight="1" x14ac:dyDescent="0.3">
      <c r="A43" s="25" t="s">
        <v>34</v>
      </c>
      <c r="B43" s="55" t="s">
        <v>35</v>
      </c>
      <c r="C43" s="48"/>
      <c r="D43" s="49"/>
      <c r="E43" s="18"/>
      <c r="F43" s="13"/>
      <c r="G43" s="13"/>
      <c r="H43" s="13"/>
      <c r="I43" s="13"/>
      <c r="J43" s="13"/>
      <c r="K43" s="13"/>
      <c r="L43" s="13"/>
      <c r="M43" s="13"/>
      <c r="N43" s="44"/>
      <c r="O43" s="13"/>
      <c r="P43" s="44"/>
      <c r="Q43" s="13"/>
      <c r="R43" s="44"/>
      <c r="S43" s="13"/>
      <c r="T43" s="44"/>
      <c r="U43" s="13"/>
      <c r="V43" s="44"/>
      <c r="W43" s="18"/>
      <c r="X43" s="13"/>
      <c r="Y43" s="13"/>
      <c r="Z43" s="13"/>
      <c r="AA43" s="13"/>
      <c r="AB43" s="13"/>
      <c r="AC43" s="13"/>
      <c r="AD43" s="13"/>
      <c r="AE43" s="13"/>
      <c r="AF43" s="44"/>
      <c r="AG43" s="13"/>
      <c r="AH43" s="44"/>
      <c r="AI43" s="13"/>
      <c r="AJ43" s="44"/>
      <c r="AK43" s="13"/>
      <c r="AL43" s="44"/>
      <c r="AM43" s="13"/>
      <c r="AN43" s="44"/>
      <c r="AO43" s="13"/>
      <c r="AP43" s="44"/>
      <c r="AQ43" s="13"/>
      <c r="AR43" s="44"/>
      <c r="AS43" s="13"/>
      <c r="AT43" s="44"/>
      <c r="AU43" s="13"/>
      <c r="AV43" s="44"/>
      <c r="AW43" s="13"/>
      <c r="AX43" s="44"/>
      <c r="AY43" s="13">
        <f t="shared" si="0"/>
        <v>0</v>
      </c>
    </row>
    <row r="44" spans="1:51" ht="12.75" customHeight="1" x14ac:dyDescent="0.3">
      <c r="A44" s="51" t="s">
        <v>36</v>
      </c>
      <c r="B44" s="52"/>
      <c r="C44" s="52"/>
      <c r="D44" s="53"/>
      <c r="E44" s="16"/>
      <c r="F44" s="15"/>
      <c r="G44" s="15"/>
      <c r="H44" s="15"/>
      <c r="I44" s="15"/>
      <c r="J44" s="15"/>
      <c r="K44" s="15"/>
      <c r="L44" s="15"/>
      <c r="M44" s="15"/>
      <c r="N44" s="42"/>
      <c r="O44" s="15"/>
      <c r="P44" s="42"/>
      <c r="Q44" s="15"/>
      <c r="R44" s="42"/>
      <c r="S44" s="15"/>
      <c r="T44" s="42"/>
      <c r="U44" s="15"/>
      <c r="V44" s="42"/>
      <c r="W44" s="16"/>
      <c r="X44" s="15"/>
      <c r="Y44" s="15"/>
      <c r="Z44" s="15"/>
      <c r="AA44" s="15"/>
      <c r="AB44" s="15"/>
      <c r="AC44" s="15"/>
      <c r="AD44" s="15"/>
      <c r="AE44" s="15"/>
      <c r="AF44" s="42"/>
      <c r="AG44" s="15"/>
      <c r="AH44" s="42"/>
      <c r="AI44" s="15"/>
      <c r="AJ44" s="42"/>
      <c r="AK44" s="15"/>
      <c r="AL44" s="42"/>
      <c r="AM44" s="15"/>
      <c r="AN44" s="42"/>
      <c r="AO44" s="15"/>
      <c r="AP44" s="42"/>
      <c r="AQ44" s="15"/>
      <c r="AR44" s="42"/>
      <c r="AS44" s="15"/>
      <c r="AT44" s="42"/>
      <c r="AU44" s="15"/>
      <c r="AV44" s="42"/>
      <c r="AW44" s="15"/>
      <c r="AX44" s="42"/>
      <c r="AY44" s="13">
        <f t="shared" si="0"/>
        <v>0</v>
      </c>
    </row>
    <row r="45" spans="1:51" ht="12.75" customHeight="1" x14ac:dyDescent="0.3">
      <c r="A45" s="19" t="s">
        <v>37</v>
      </c>
      <c r="B45" s="26" t="s">
        <v>17</v>
      </c>
      <c r="C45" s="50" t="s">
        <v>38</v>
      </c>
      <c r="D45" s="49"/>
      <c r="E45" s="15">
        <v>6</v>
      </c>
      <c r="F45" s="15">
        <v>3</v>
      </c>
      <c r="G45" s="15">
        <v>3</v>
      </c>
      <c r="H45" s="15">
        <v>1</v>
      </c>
      <c r="I45" s="15">
        <v>7</v>
      </c>
      <c r="J45" s="15">
        <v>2</v>
      </c>
      <c r="K45" s="15">
        <v>4</v>
      </c>
      <c r="L45" s="15">
        <v>2</v>
      </c>
      <c r="M45" s="15">
        <v>6</v>
      </c>
      <c r="N45" s="15">
        <v>7</v>
      </c>
      <c r="O45" s="15">
        <v>4</v>
      </c>
      <c r="P45" s="15">
        <v>0</v>
      </c>
      <c r="Q45" s="15">
        <v>2</v>
      </c>
      <c r="R45" s="15">
        <v>0</v>
      </c>
      <c r="S45" s="15">
        <v>2</v>
      </c>
      <c r="T45" s="15">
        <v>2</v>
      </c>
      <c r="U45" s="15">
        <v>6</v>
      </c>
      <c r="V45" s="15">
        <v>4</v>
      </c>
      <c r="W45" s="15">
        <v>2</v>
      </c>
      <c r="X45" s="15">
        <v>5</v>
      </c>
      <c r="Y45" s="15">
        <v>6</v>
      </c>
      <c r="Z45" s="15">
        <v>4</v>
      </c>
      <c r="AA45" s="15">
        <v>0</v>
      </c>
      <c r="AB45" s="15">
        <v>3</v>
      </c>
      <c r="AC45" s="15">
        <v>7</v>
      </c>
      <c r="AD45" s="15">
        <v>0</v>
      </c>
      <c r="AE45" s="15">
        <v>4</v>
      </c>
      <c r="AF45" s="15">
        <v>4</v>
      </c>
      <c r="AG45" s="15">
        <v>5</v>
      </c>
      <c r="AH45" s="15">
        <v>1</v>
      </c>
      <c r="AI45" s="15">
        <v>0</v>
      </c>
      <c r="AJ45" s="15">
        <v>8</v>
      </c>
      <c r="AK45" s="15">
        <v>13</v>
      </c>
      <c r="AL45" s="15">
        <v>8</v>
      </c>
      <c r="AM45" s="15">
        <v>11</v>
      </c>
      <c r="AN45" s="15">
        <v>12</v>
      </c>
      <c r="AO45" s="15">
        <v>5</v>
      </c>
      <c r="AP45" s="15">
        <v>6</v>
      </c>
      <c r="AQ45" s="15">
        <v>12</v>
      </c>
      <c r="AR45" s="15">
        <v>3</v>
      </c>
      <c r="AS45" s="15">
        <v>9</v>
      </c>
      <c r="AT45" s="15">
        <v>10</v>
      </c>
      <c r="AU45" s="15">
        <v>8</v>
      </c>
      <c r="AV45" s="15">
        <v>5</v>
      </c>
      <c r="AW45" s="15">
        <v>5</v>
      </c>
      <c r="AX45" s="15">
        <v>2</v>
      </c>
      <c r="AY45" s="13">
        <f t="shared" si="0"/>
        <v>219</v>
      </c>
    </row>
    <row r="46" spans="1:51" ht="12.75" customHeight="1" x14ac:dyDescent="0.3">
      <c r="A46" s="19" t="s">
        <v>39</v>
      </c>
      <c r="B46" s="27">
        <v>1</v>
      </c>
      <c r="C46" s="28" t="s">
        <v>40</v>
      </c>
      <c r="D46" s="29"/>
      <c r="E46" s="15">
        <v>1</v>
      </c>
      <c r="F46" s="15">
        <v>2</v>
      </c>
      <c r="G46" s="15">
        <v>3</v>
      </c>
      <c r="H46" s="15">
        <v>0</v>
      </c>
      <c r="I46" s="15">
        <v>2</v>
      </c>
      <c r="J46" s="15">
        <v>7</v>
      </c>
      <c r="K46" s="15">
        <v>1</v>
      </c>
      <c r="L46" s="15">
        <v>2</v>
      </c>
      <c r="M46" s="15">
        <v>2</v>
      </c>
      <c r="N46" s="15">
        <v>2</v>
      </c>
      <c r="O46" s="15">
        <v>3</v>
      </c>
      <c r="P46" s="15">
        <v>1</v>
      </c>
      <c r="Q46" s="15">
        <v>2</v>
      </c>
      <c r="R46" s="15">
        <v>3</v>
      </c>
      <c r="S46" s="15">
        <v>4</v>
      </c>
      <c r="T46" s="15">
        <v>2</v>
      </c>
      <c r="U46" s="15">
        <v>4</v>
      </c>
      <c r="V46" s="15">
        <v>6</v>
      </c>
      <c r="W46" s="15">
        <v>4</v>
      </c>
      <c r="X46" s="15">
        <v>13</v>
      </c>
      <c r="Y46" s="15">
        <v>2</v>
      </c>
      <c r="Z46" s="15">
        <v>11</v>
      </c>
      <c r="AA46" s="15">
        <v>0</v>
      </c>
      <c r="AB46" s="15">
        <v>1</v>
      </c>
      <c r="AC46" s="15">
        <v>3</v>
      </c>
      <c r="AD46" s="15">
        <v>0</v>
      </c>
      <c r="AE46" s="15">
        <v>2</v>
      </c>
      <c r="AF46" s="15">
        <v>5</v>
      </c>
      <c r="AG46" s="15">
        <v>4</v>
      </c>
      <c r="AH46" s="15">
        <v>1</v>
      </c>
      <c r="AI46" s="15">
        <v>0</v>
      </c>
      <c r="AJ46" s="15">
        <v>13</v>
      </c>
      <c r="AK46" s="15">
        <v>45</v>
      </c>
      <c r="AL46" s="15">
        <v>12</v>
      </c>
      <c r="AM46" s="15">
        <v>12</v>
      </c>
      <c r="AN46" s="15">
        <v>2</v>
      </c>
      <c r="AO46" s="15">
        <v>5</v>
      </c>
      <c r="AP46" s="15">
        <v>3</v>
      </c>
      <c r="AQ46" s="15">
        <v>3</v>
      </c>
      <c r="AR46" s="15">
        <v>10</v>
      </c>
      <c r="AS46" s="15">
        <v>5</v>
      </c>
      <c r="AT46" s="15">
        <v>7</v>
      </c>
      <c r="AU46" s="15">
        <v>9</v>
      </c>
      <c r="AV46" s="15">
        <v>0</v>
      </c>
      <c r="AW46" s="15">
        <v>4</v>
      </c>
      <c r="AX46" s="15">
        <v>3</v>
      </c>
      <c r="AY46" s="13">
        <f t="shared" si="0"/>
        <v>226</v>
      </c>
    </row>
    <row r="47" spans="1:51" ht="12.75" customHeight="1" x14ac:dyDescent="0.3">
      <c r="A47" s="14"/>
      <c r="B47" s="27">
        <v>2</v>
      </c>
      <c r="C47" s="28" t="s">
        <v>41</v>
      </c>
      <c r="D47" s="29"/>
      <c r="E47" s="15">
        <v>2</v>
      </c>
      <c r="F47" s="15">
        <v>1</v>
      </c>
      <c r="G47" s="15">
        <v>0</v>
      </c>
      <c r="H47" s="15">
        <v>0</v>
      </c>
      <c r="I47" s="15">
        <v>0</v>
      </c>
      <c r="J47" s="15">
        <v>2</v>
      </c>
      <c r="K47" s="15">
        <v>0</v>
      </c>
      <c r="L47" s="15">
        <v>1</v>
      </c>
      <c r="M47" s="15">
        <v>0</v>
      </c>
      <c r="N47" s="15">
        <v>1</v>
      </c>
      <c r="O47" s="15">
        <v>1</v>
      </c>
      <c r="P47" s="15">
        <v>3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1</v>
      </c>
      <c r="W47" s="15">
        <v>0</v>
      </c>
      <c r="X47" s="15">
        <v>0</v>
      </c>
      <c r="Y47" s="15">
        <v>1</v>
      </c>
      <c r="Z47" s="15">
        <v>1</v>
      </c>
      <c r="AA47" s="15">
        <v>1</v>
      </c>
      <c r="AB47" s="15">
        <v>0</v>
      </c>
      <c r="AC47" s="15">
        <v>1</v>
      </c>
      <c r="AD47" s="15">
        <v>0</v>
      </c>
      <c r="AE47" s="15">
        <v>0</v>
      </c>
      <c r="AF47" s="15">
        <v>2</v>
      </c>
      <c r="AG47" s="15">
        <v>1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3</v>
      </c>
      <c r="AN47" s="15">
        <v>0</v>
      </c>
      <c r="AO47" s="15">
        <v>1</v>
      </c>
      <c r="AP47" s="15">
        <v>0</v>
      </c>
      <c r="AQ47" s="15">
        <v>0</v>
      </c>
      <c r="AR47" s="15">
        <v>1</v>
      </c>
      <c r="AS47" s="15">
        <v>0</v>
      </c>
      <c r="AT47" s="15">
        <v>1</v>
      </c>
      <c r="AU47" s="15">
        <v>3</v>
      </c>
      <c r="AV47" s="15">
        <v>1</v>
      </c>
      <c r="AW47" s="15">
        <v>0</v>
      </c>
      <c r="AX47" s="15">
        <v>3</v>
      </c>
      <c r="AY47" s="13">
        <f t="shared" si="0"/>
        <v>32</v>
      </c>
    </row>
    <row r="48" spans="1:51" ht="12.75" customHeight="1" x14ac:dyDescent="0.3">
      <c r="A48" s="14"/>
      <c r="B48" s="27">
        <v>3</v>
      </c>
      <c r="C48" s="28" t="s">
        <v>42</v>
      </c>
      <c r="D48" s="29"/>
      <c r="E48" s="15">
        <v>12</v>
      </c>
      <c r="F48" s="15">
        <v>8</v>
      </c>
      <c r="G48" s="15">
        <v>0</v>
      </c>
      <c r="H48" s="15">
        <v>2</v>
      </c>
      <c r="I48" s="15">
        <v>3</v>
      </c>
      <c r="J48" s="15">
        <v>0</v>
      </c>
      <c r="K48" s="15">
        <v>0</v>
      </c>
      <c r="L48" s="15">
        <v>2</v>
      </c>
      <c r="M48" s="15">
        <v>1</v>
      </c>
      <c r="N48" s="15">
        <v>9</v>
      </c>
      <c r="O48" s="15">
        <v>7</v>
      </c>
      <c r="P48" s="15">
        <v>8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1</v>
      </c>
      <c r="Y48" s="15">
        <v>0</v>
      </c>
      <c r="Z48" s="15">
        <v>1</v>
      </c>
      <c r="AA48" s="15">
        <v>0</v>
      </c>
      <c r="AB48" s="15">
        <v>4</v>
      </c>
      <c r="AC48" s="15">
        <v>10</v>
      </c>
      <c r="AD48" s="15">
        <v>1</v>
      </c>
      <c r="AE48" s="15">
        <v>3</v>
      </c>
      <c r="AF48" s="15">
        <v>5</v>
      </c>
      <c r="AG48" s="15">
        <v>25</v>
      </c>
      <c r="AH48" s="15">
        <v>1</v>
      </c>
      <c r="AI48" s="15">
        <v>0</v>
      </c>
      <c r="AJ48" s="15">
        <v>19</v>
      </c>
      <c r="AK48" s="15">
        <v>8</v>
      </c>
      <c r="AL48" s="15">
        <v>23</v>
      </c>
      <c r="AM48" s="15">
        <v>4</v>
      </c>
      <c r="AN48" s="15">
        <v>3</v>
      </c>
      <c r="AO48" s="15">
        <v>25</v>
      </c>
      <c r="AP48" s="15">
        <v>25</v>
      </c>
      <c r="AQ48" s="15">
        <v>24</v>
      </c>
      <c r="AR48" s="15">
        <v>1</v>
      </c>
      <c r="AS48" s="15">
        <v>4</v>
      </c>
      <c r="AT48" s="15">
        <v>5</v>
      </c>
      <c r="AU48" s="15">
        <v>39</v>
      </c>
      <c r="AV48" s="15">
        <v>50</v>
      </c>
      <c r="AW48" s="15">
        <v>11</v>
      </c>
      <c r="AX48" s="15">
        <v>12</v>
      </c>
      <c r="AY48" s="13">
        <f t="shared" si="0"/>
        <v>356</v>
      </c>
    </row>
    <row r="49" spans="1:51" ht="12.75" customHeight="1" x14ac:dyDescent="0.3">
      <c r="A49" s="14"/>
      <c r="B49" s="27">
        <v>4</v>
      </c>
      <c r="C49" s="28" t="s">
        <v>43</v>
      </c>
      <c r="D49" s="29"/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3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1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1</v>
      </c>
      <c r="AT49" s="15">
        <v>1</v>
      </c>
      <c r="AU49" s="15">
        <v>0</v>
      </c>
      <c r="AV49" s="15">
        <v>0</v>
      </c>
      <c r="AW49" s="15">
        <v>0</v>
      </c>
      <c r="AX49" s="15">
        <v>1</v>
      </c>
      <c r="AY49" s="13">
        <f t="shared" si="0"/>
        <v>7</v>
      </c>
    </row>
    <row r="50" spans="1:51" ht="12.75" customHeight="1" x14ac:dyDescent="0.3">
      <c r="A50" s="14"/>
      <c r="B50" s="27">
        <v>5</v>
      </c>
      <c r="C50" s="28" t="s">
        <v>44</v>
      </c>
      <c r="D50" s="29"/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1</v>
      </c>
      <c r="L50" s="15">
        <v>0</v>
      </c>
      <c r="M50" s="15">
        <v>1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2</v>
      </c>
      <c r="Y50" s="15">
        <v>0</v>
      </c>
      <c r="Z50" s="15">
        <v>0</v>
      </c>
      <c r="AA50" s="15">
        <v>0</v>
      </c>
      <c r="AB50" s="15">
        <v>0</v>
      </c>
      <c r="AC50" s="15">
        <v>1</v>
      </c>
      <c r="AD50" s="15">
        <v>0</v>
      </c>
      <c r="AE50" s="15">
        <v>1</v>
      </c>
      <c r="AF50" s="15">
        <v>0</v>
      </c>
      <c r="AG50" s="15">
        <v>2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1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3">
        <f t="shared" si="0"/>
        <v>9</v>
      </c>
    </row>
    <row r="51" spans="1:51" ht="12.75" customHeight="1" x14ac:dyDescent="0.3">
      <c r="A51" s="14"/>
      <c r="B51" s="27">
        <v>6</v>
      </c>
      <c r="C51" s="28" t="s">
        <v>45</v>
      </c>
      <c r="D51" s="29"/>
      <c r="E51" s="15">
        <v>8</v>
      </c>
      <c r="F51" s="15">
        <v>1</v>
      </c>
      <c r="G51" s="15">
        <v>0</v>
      </c>
      <c r="H51" s="15">
        <v>0</v>
      </c>
      <c r="I51" s="15">
        <v>3</v>
      </c>
      <c r="J51" s="15">
        <v>0</v>
      </c>
      <c r="K51" s="15">
        <v>0</v>
      </c>
      <c r="L51" s="15">
        <v>0</v>
      </c>
      <c r="M51" s="15">
        <v>3</v>
      </c>
      <c r="N51" s="15">
        <v>16</v>
      </c>
      <c r="O51" s="15">
        <v>1</v>
      </c>
      <c r="P51" s="15">
        <v>5</v>
      </c>
      <c r="Q51" s="15">
        <v>5</v>
      </c>
      <c r="R51" s="15">
        <v>3</v>
      </c>
      <c r="S51" s="15">
        <v>0</v>
      </c>
      <c r="T51" s="15">
        <v>9</v>
      </c>
      <c r="U51" s="15">
        <v>0</v>
      </c>
      <c r="V51" s="15">
        <v>1</v>
      </c>
      <c r="W51" s="15">
        <v>3</v>
      </c>
      <c r="X51" s="15">
        <v>0</v>
      </c>
      <c r="Y51" s="15">
        <v>14</v>
      </c>
      <c r="Z51" s="15">
        <v>3</v>
      </c>
      <c r="AA51" s="15">
        <v>3</v>
      </c>
      <c r="AB51" s="15">
        <v>1</v>
      </c>
      <c r="AC51" s="15">
        <v>7</v>
      </c>
      <c r="AD51" s="15">
        <v>12</v>
      </c>
      <c r="AE51" s="15">
        <v>19</v>
      </c>
      <c r="AF51" s="15">
        <v>14</v>
      </c>
      <c r="AG51" s="15">
        <v>57</v>
      </c>
      <c r="AH51" s="15">
        <v>0</v>
      </c>
      <c r="AI51" s="15">
        <v>0</v>
      </c>
      <c r="AJ51" s="15">
        <v>3</v>
      </c>
      <c r="AK51" s="15">
        <v>7</v>
      </c>
      <c r="AL51" s="15">
        <v>9</v>
      </c>
      <c r="AM51" s="15">
        <v>5</v>
      </c>
      <c r="AN51" s="15">
        <v>20</v>
      </c>
      <c r="AO51" s="15">
        <v>11</v>
      </c>
      <c r="AP51" s="15">
        <v>3</v>
      </c>
      <c r="AQ51" s="15">
        <v>25</v>
      </c>
      <c r="AR51" s="15">
        <v>15</v>
      </c>
      <c r="AS51" s="15">
        <v>54</v>
      </c>
      <c r="AT51" s="15">
        <v>43</v>
      </c>
      <c r="AU51" s="15">
        <v>12</v>
      </c>
      <c r="AV51" s="15">
        <v>2</v>
      </c>
      <c r="AW51" s="15">
        <v>1</v>
      </c>
      <c r="AX51" s="15">
        <v>5</v>
      </c>
      <c r="AY51" s="13">
        <f t="shared" si="0"/>
        <v>403</v>
      </c>
    </row>
    <row r="52" spans="1:51" ht="12.75" customHeight="1" x14ac:dyDescent="0.3">
      <c r="A52" s="15" t="s">
        <v>15</v>
      </c>
      <c r="B52" s="47" t="s">
        <v>46</v>
      </c>
      <c r="C52" s="48"/>
      <c r="D52" s="49"/>
      <c r="E52" s="34">
        <f>SUM(E45:E51)</f>
        <v>29</v>
      </c>
      <c r="F52" s="34">
        <f t="shared" ref="E52:AX52" si="10">SUM(F45:F51)</f>
        <v>15</v>
      </c>
      <c r="G52" s="34">
        <f t="shared" si="10"/>
        <v>6</v>
      </c>
      <c r="H52" s="34">
        <f t="shared" si="10"/>
        <v>3</v>
      </c>
      <c r="I52" s="34">
        <f t="shared" si="10"/>
        <v>15</v>
      </c>
      <c r="J52" s="34">
        <f t="shared" si="10"/>
        <v>11</v>
      </c>
      <c r="K52" s="34">
        <f t="shared" si="10"/>
        <v>6</v>
      </c>
      <c r="L52" s="34">
        <f t="shared" si="10"/>
        <v>7</v>
      </c>
      <c r="M52" s="34">
        <f t="shared" si="10"/>
        <v>13</v>
      </c>
      <c r="N52" s="34">
        <f t="shared" si="10"/>
        <v>35</v>
      </c>
      <c r="O52" s="34">
        <f t="shared" si="10"/>
        <v>16</v>
      </c>
      <c r="P52" s="34">
        <f t="shared" si="10"/>
        <v>20</v>
      </c>
      <c r="Q52" s="34">
        <f t="shared" si="10"/>
        <v>9</v>
      </c>
      <c r="R52" s="34">
        <f t="shared" si="10"/>
        <v>6</v>
      </c>
      <c r="S52" s="34">
        <f t="shared" si="10"/>
        <v>6</v>
      </c>
      <c r="T52" s="34">
        <f t="shared" si="10"/>
        <v>13</v>
      </c>
      <c r="U52" s="34">
        <f t="shared" si="10"/>
        <v>10</v>
      </c>
      <c r="V52" s="34">
        <f t="shared" si="10"/>
        <v>12</v>
      </c>
      <c r="W52" s="34">
        <f t="shared" si="10"/>
        <v>9</v>
      </c>
      <c r="X52" s="34">
        <f t="shared" si="10"/>
        <v>21</v>
      </c>
      <c r="Y52" s="34">
        <f t="shared" si="10"/>
        <v>23</v>
      </c>
      <c r="Z52" s="34">
        <f t="shared" si="10"/>
        <v>20</v>
      </c>
      <c r="AA52" s="34">
        <f t="shared" si="10"/>
        <v>4</v>
      </c>
      <c r="AB52" s="34">
        <f t="shared" si="10"/>
        <v>9</v>
      </c>
      <c r="AC52" s="34">
        <f t="shared" si="10"/>
        <v>29</v>
      </c>
      <c r="AD52" s="34">
        <f t="shared" si="10"/>
        <v>13</v>
      </c>
      <c r="AE52" s="34">
        <f t="shared" si="10"/>
        <v>30</v>
      </c>
      <c r="AF52" s="34">
        <f t="shared" si="10"/>
        <v>30</v>
      </c>
      <c r="AG52" s="34">
        <f t="shared" si="10"/>
        <v>94</v>
      </c>
      <c r="AH52" s="34">
        <f t="shared" si="10"/>
        <v>3</v>
      </c>
      <c r="AI52" s="34">
        <f t="shared" si="10"/>
        <v>0</v>
      </c>
      <c r="AJ52" s="34">
        <f t="shared" si="10"/>
        <v>43</v>
      </c>
      <c r="AK52" s="34">
        <f t="shared" si="10"/>
        <v>73</v>
      </c>
      <c r="AL52" s="34">
        <f t="shared" si="10"/>
        <v>52</v>
      </c>
      <c r="AM52" s="34">
        <f t="shared" si="10"/>
        <v>35</v>
      </c>
      <c r="AN52" s="34">
        <f t="shared" si="10"/>
        <v>37</v>
      </c>
      <c r="AO52" s="34">
        <f t="shared" si="10"/>
        <v>47</v>
      </c>
      <c r="AP52" s="34">
        <f t="shared" si="10"/>
        <v>37</v>
      </c>
      <c r="AQ52" s="34">
        <f t="shared" si="10"/>
        <v>65</v>
      </c>
      <c r="AR52" s="34">
        <f t="shared" si="10"/>
        <v>30</v>
      </c>
      <c r="AS52" s="34">
        <f t="shared" si="10"/>
        <v>73</v>
      </c>
      <c r="AT52" s="34">
        <f t="shared" si="10"/>
        <v>67</v>
      </c>
      <c r="AU52" s="34">
        <f t="shared" si="10"/>
        <v>71</v>
      </c>
      <c r="AV52" s="34">
        <f t="shared" si="10"/>
        <v>58</v>
      </c>
      <c r="AW52" s="34">
        <f t="shared" si="10"/>
        <v>21</v>
      </c>
      <c r="AX52" s="34">
        <f t="shared" si="10"/>
        <v>26</v>
      </c>
      <c r="AY52" s="13">
        <f t="shared" si="0"/>
        <v>1252</v>
      </c>
    </row>
    <row r="53" spans="1:51" ht="12.75" customHeight="1" x14ac:dyDescent="0.3">
      <c r="A53" s="35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13">
        <f t="shared" si="0"/>
        <v>0</v>
      </c>
    </row>
    <row r="54" spans="1:51" ht="12.75" customHeight="1" x14ac:dyDescent="0.3">
      <c r="A54" s="19" t="s">
        <v>37</v>
      </c>
      <c r="B54" s="26" t="s">
        <v>19</v>
      </c>
      <c r="C54" s="50" t="s">
        <v>47</v>
      </c>
      <c r="D54" s="49"/>
      <c r="E54" s="15">
        <v>6</v>
      </c>
      <c r="F54" s="15">
        <v>2</v>
      </c>
      <c r="G54" s="15">
        <v>7</v>
      </c>
      <c r="H54" s="15">
        <v>11</v>
      </c>
      <c r="I54" s="15">
        <v>4</v>
      </c>
      <c r="J54" s="15">
        <v>3</v>
      </c>
      <c r="K54" s="15">
        <v>3</v>
      </c>
      <c r="L54" s="15">
        <v>12</v>
      </c>
      <c r="M54" s="15">
        <v>3</v>
      </c>
      <c r="N54" s="15">
        <v>5</v>
      </c>
      <c r="O54" s="15">
        <v>10</v>
      </c>
      <c r="P54" s="15">
        <v>2</v>
      </c>
      <c r="Q54" s="15">
        <v>4</v>
      </c>
      <c r="R54" s="15">
        <v>3</v>
      </c>
      <c r="S54" s="15">
        <v>6</v>
      </c>
      <c r="T54" s="15">
        <v>10</v>
      </c>
      <c r="U54" s="15">
        <v>10</v>
      </c>
      <c r="V54" s="15">
        <v>16</v>
      </c>
      <c r="W54" s="15">
        <v>4</v>
      </c>
      <c r="X54" s="15">
        <v>5</v>
      </c>
      <c r="Y54" s="15">
        <v>5</v>
      </c>
      <c r="Z54" s="15">
        <v>5</v>
      </c>
      <c r="AA54" s="15">
        <v>5</v>
      </c>
      <c r="AB54" s="15">
        <v>6</v>
      </c>
      <c r="AC54" s="15">
        <v>2</v>
      </c>
      <c r="AD54" s="15">
        <v>5</v>
      </c>
      <c r="AE54" s="15">
        <v>7</v>
      </c>
      <c r="AF54" s="15">
        <v>4</v>
      </c>
      <c r="AG54" s="15">
        <v>4</v>
      </c>
      <c r="AH54" s="15">
        <v>7</v>
      </c>
      <c r="AI54" s="15">
        <v>2</v>
      </c>
      <c r="AJ54" s="15">
        <v>9</v>
      </c>
      <c r="AK54" s="15">
        <v>9</v>
      </c>
      <c r="AL54" s="15">
        <v>10</v>
      </c>
      <c r="AM54" s="15">
        <v>6</v>
      </c>
      <c r="AN54" s="15">
        <v>6</v>
      </c>
      <c r="AO54" s="15">
        <v>1</v>
      </c>
      <c r="AP54" s="15">
        <v>3</v>
      </c>
      <c r="AQ54" s="15">
        <v>2</v>
      </c>
      <c r="AR54" s="15">
        <v>5</v>
      </c>
      <c r="AS54" s="15">
        <v>5</v>
      </c>
      <c r="AT54" s="15">
        <v>6</v>
      </c>
      <c r="AU54" s="15">
        <v>7</v>
      </c>
      <c r="AV54" s="15">
        <v>9</v>
      </c>
      <c r="AW54" s="15">
        <v>7</v>
      </c>
      <c r="AX54" s="15">
        <v>1</v>
      </c>
      <c r="AY54" s="13">
        <f t="shared" si="0"/>
        <v>264</v>
      </c>
    </row>
    <row r="55" spans="1:51" ht="15" customHeight="1" x14ac:dyDescent="0.3">
      <c r="A55" s="19" t="s">
        <v>39</v>
      </c>
      <c r="B55" s="27">
        <v>1</v>
      </c>
      <c r="C55" s="28" t="s">
        <v>48</v>
      </c>
      <c r="D55" s="29"/>
      <c r="E55" s="15">
        <v>1</v>
      </c>
      <c r="F55" s="15">
        <v>0</v>
      </c>
      <c r="G55" s="15">
        <v>2</v>
      </c>
      <c r="H55" s="15">
        <v>1</v>
      </c>
      <c r="I55" s="15">
        <v>3</v>
      </c>
      <c r="J55" s="15">
        <v>1</v>
      </c>
      <c r="K55" s="15">
        <v>2</v>
      </c>
      <c r="L55" s="15">
        <v>1</v>
      </c>
      <c r="M55" s="15">
        <v>2</v>
      </c>
      <c r="N55" s="15">
        <v>1</v>
      </c>
      <c r="O55" s="15">
        <v>1</v>
      </c>
      <c r="P55" s="15">
        <v>1</v>
      </c>
      <c r="Q55" s="15">
        <v>1</v>
      </c>
      <c r="R55" s="15">
        <v>0</v>
      </c>
      <c r="S55" s="15">
        <v>1</v>
      </c>
      <c r="T55" s="15">
        <v>0</v>
      </c>
      <c r="U55" s="15">
        <v>0</v>
      </c>
      <c r="V55" s="15">
        <v>4</v>
      </c>
      <c r="W55" s="15">
        <v>0</v>
      </c>
      <c r="X55" s="15">
        <v>4</v>
      </c>
      <c r="Y55" s="15">
        <v>1</v>
      </c>
      <c r="Z55" s="15">
        <v>2</v>
      </c>
      <c r="AA55" s="15">
        <v>0</v>
      </c>
      <c r="AB55" s="15">
        <v>1</v>
      </c>
      <c r="AC55" s="15">
        <v>2</v>
      </c>
      <c r="AD55" s="15">
        <v>1</v>
      </c>
      <c r="AE55" s="15">
        <v>3</v>
      </c>
      <c r="AF55" s="15">
        <v>0</v>
      </c>
      <c r="AG55" s="15">
        <v>6</v>
      </c>
      <c r="AH55" s="15">
        <v>0</v>
      </c>
      <c r="AI55" s="15">
        <v>0</v>
      </c>
      <c r="AJ55" s="15">
        <v>1</v>
      </c>
      <c r="AK55" s="15">
        <v>3</v>
      </c>
      <c r="AL55" s="15">
        <v>4</v>
      </c>
      <c r="AM55" s="15">
        <v>6</v>
      </c>
      <c r="AN55" s="15">
        <v>6</v>
      </c>
      <c r="AO55" s="15">
        <v>1</v>
      </c>
      <c r="AP55" s="15">
        <v>1</v>
      </c>
      <c r="AQ55" s="15">
        <v>1</v>
      </c>
      <c r="AR55" s="15">
        <v>1</v>
      </c>
      <c r="AS55" s="15">
        <v>2</v>
      </c>
      <c r="AT55" s="15">
        <v>4</v>
      </c>
      <c r="AU55" s="15">
        <v>3</v>
      </c>
      <c r="AV55" s="15">
        <v>2</v>
      </c>
      <c r="AW55" s="15">
        <v>2</v>
      </c>
      <c r="AX55" s="15">
        <v>0</v>
      </c>
      <c r="AY55" s="13">
        <f t="shared" si="0"/>
        <v>79</v>
      </c>
    </row>
    <row r="56" spans="1:51" ht="12.75" customHeight="1" x14ac:dyDescent="0.3">
      <c r="A56" s="14"/>
      <c r="B56" s="27">
        <v>2</v>
      </c>
      <c r="C56" s="28" t="s">
        <v>49</v>
      </c>
      <c r="D56" s="29"/>
      <c r="E56" s="15">
        <v>1</v>
      </c>
      <c r="F56" s="15">
        <v>1</v>
      </c>
      <c r="G56" s="15">
        <v>2</v>
      </c>
      <c r="H56" s="15">
        <v>1</v>
      </c>
      <c r="I56" s="15">
        <v>0</v>
      </c>
      <c r="J56" s="15">
        <v>1</v>
      </c>
      <c r="K56" s="15">
        <v>1</v>
      </c>
      <c r="L56" s="15">
        <v>0</v>
      </c>
      <c r="M56" s="15">
        <v>0</v>
      </c>
      <c r="N56" s="15">
        <v>0</v>
      </c>
      <c r="O56" s="15">
        <v>0</v>
      </c>
      <c r="P56" s="15">
        <v>2</v>
      </c>
      <c r="Q56" s="15">
        <v>2</v>
      </c>
      <c r="R56" s="15">
        <v>0</v>
      </c>
      <c r="S56" s="15">
        <v>0</v>
      </c>
      <c r="T56" s="15">
        <v>1</v>
      </c>
      <c r="U56" s="15">
        <v>1</v>
      </c>
      <c r="V56" s="15">
        <v>1</v>
      </c>
      <c r="W56" s="15">
        <v>0</v>
      </c>
      <c r="X56" s="15">
        <v>1</v>
      </c>
      <c r="Y56" s="15">
        <v>0</v>
      </c>
      <c r="Z56" s="15">
        <v>1</v>
      </c>
      <c r="AA56" s="15">
        <v>1</v>
      </c>
      <c r="AB56" s="15">
        <v>4</v>
      </c>
      <c r="AC56" s="15">
        <v>1</v>
      </c>
      <c r="AD56" s="15">
        <v>1</v>
      </c>
      <c r="AE56" s="15">
        <v>1</v>
      </c>
      <c r="AF56" s="15">
        <v>1</v>
      </c>
      <c r="AG56" s="15">
        <v>1</v>
      </c>
      <c r="AH56" s="15">
        <v>1</v>
      </c>
      <c r="AI56" s="15">
        <v>0</v>
      </c>
      <c r="AJ56" s="15">
        <v>1</v>
      </c>
      <c r="AK56" s="15">
        <v>1</v>
      </c>
      <c r="AL56" s="15">
        <v>1</v>
      </c>
      <c r="AM56" s="15">
        <v>5</v>
      </c>
      <c r="AN56" s="15">
        <v>0</v>
      </c>
      <c r="AO56" s="15">
        <v>0</v>
      </c>
      <c r="AP56" s="15">
        <v>2</v>
      </c>
      <c r="AQ56" s="15">
        <v>0</v>
      </c>
      <c r="AR56" s="15">
        <v>0</v>
      </c>
      <c r="AS56" s="15">
        <v>3</v>
      </c>
      <c r="AT56" s="15">
        <v>2</v>
      </c>
      <c r="AU56" s="15">
        <v>1</v>
      </c>
      <c r="AV56" s="15">
        <v>3</v>
      </c>
      <c r="AW56" s="15">
        <v>2</v>
      </c>
      <c r="AX56" s="15">
        <v>2</v>
      </c>
      <c r="AY56" s="13">
        <f t="shared" si="0"/>
        <v>50</v>
      </c>
    </row>
    <row r="57" spans="1:51" ht="12.75" customHeight="1" x14ac:dyDescent="0.3">
      <c r="A57" s="14"/>
      <c r="B57" s="27">
        <v>3</v>
      </c>
      <c r="C57" s="28" t="s">
        <v>50</v>
      </c>
      <c r="D57" s="29"/>
      <c r="E57" s="15">
        <v>1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1</v>
      </c>
      <c r="L57" s="15">
        <v>0</v>
      </c>
      <c r="M57" s="15">
        <v>0</v>
      </c>
      <c r="N57" s="15">
        <v>0</v>
      </c>
      <c r="O57" s="15">
        <v>1</v>
      </c>
      <c r="P57" s="15">
        <v>0</v>
      </c>
      <c r="Q57" s="15">
        <v>0</v>
      </c>
      <c r="R57" s="15">
        <v>0</v>
      </c>
      <c r="S57" s="15">
        <v>1</v>
      </c>
      <c r="T57" s="15">
        <v>0</v>
      </c>
      <c r="U57" s="15">
        <v>0</v>
      </c>
      <c r="V57" s="15">
        <v>1</v>
      </c>
      <c r="W57" s="15">
        <v>1</v>
      </c>
      <c r="X57" s="15">
        <v>0</v>
      </c>
      <c r="Y57" s="15">
        <v>0</v>
      </c>
      <c r="Z57" s="15">
        <v>1</v>
      </c>
      <c r="AA57" s="15">
        <v>0</v>
      </c>
      <c r="AB57" s="15">
        <v>2</v>
      </c>
      <c r="AC57" s="15">
        <v>1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1</v>
      </c>
      <c r="AJ57" s="15">
        <v>0</v>
      </c>
      <c r="AK57" s="15">
        <v>0</v>
      </c>
      <c r="AL57" s="15">
        <v>0</v>
      </c>
      <c r="AM57" s="15">
        <v>1</v>
      </c>
      <c r="AN57" s="15">
        <v>0</v>
      </c>
      <c r="AO57" s="15">
        <v>0</v>
      </c>
      <c r="AP57" s="15">
        <v>1</v>
      </c>
      <c r="AQ57" s="15">
        <v>1</v>
      </c>
      <c r="AR57" s="15">
        <v>0</v>
      </c>
      <c r="AS57" s="15">
        <v>1</v>
      </c>
      <c r="AT57" s="15">
        <v>1</v>
      </c>
      <c r="AU57" s="15">
        <v>0</v>
      </c>
      <c r="AV57" s="15">
        <v>1</v>
      </c>
      <c r="AW57" s="15">
        <v>1</v>
      </c>
      <c r="AX57" s="15">
        <v>1</v>
      </c>
      <c r="AY57" s="13">
        <f t="shared" si="0"/>
        <v>19</v>
      </c>
    </row>
    <row r="58" spans="1:51" ht="12.75" customHeight="1" x14ac:dyDescent="0.3">
      <c r="A58" s="14"/>
      <c r="B58" s="27">
        <v>4</v>
      </c>
      <c r="C58" s="28" t="s">
        <v>51</v>
      </c>
      <c r="D58" s="29"/>
      <c r="E58" s="15">
        <v>2</v>
      </c>
      <c r="F58" s="15">
        <v>1</v>
      </c>
      <c r="G58" s="15">
        <v>0</v>
      </c>
      <c r="H58" s="15">
        <v>1</v>
      </c>
      <c r="I58" s="15">
        <v>2</v>
      </c>
      <c r="J58" s="15">
        <v>1</v>
      </c>
      <c r="K58" s="15">
        <v>0</v>
      </c>
      <c r="L58" s="15">
        <v>0</v>
      </c>
      <c r="M58" s="15">
        <v>0</v>
      </c>
      <c r="N58" s="15">
        <v>0</v>
      </c>
      <c r="O58" s="15">
        <v>3</v>
      </c>
      <c r="P58" s="15">
        <v>0</v>
      </c>
      <c r="Q58" s="15">
        <v>1</v>
      </c>
      <c r="R58" s="15">
        <v>0</v>
      </c>
      <c r="S58" s="15">
        <v>2</v>
      </c>
      <c r="T58" s="15">
        <v>2</v>
      </c>
      <c r="U58" s="15">
        <v>1</v>
      </c>
      <c r="V58" s="15">
        <v>0</v>
      </c>
      <c r="W58" s="15">
        <v>1</v>
      </c>
      <c r="X58" s="15">
        <v>1</v>
      </c>
      <c r="Y58" s="15">
        <v>3</v>
      </c>
      <c r="Z58" s="15">
        <v>3</v>
      </c>
      <c r="AA58" s="15">
        <v>0</v>
      </c>
      <c r="AB58" s="15">
        <v>1</v>
      </c>
      <c r="AC58" s="15">
        <v>1</v>
      </c>
      <c r="AD58" s="15">
        <v>3</v>
      </c>
      <c r="AE58" s="15">
        <v>1</v>
      </c>
      <c r="AF58" s="15">
        <v>4</v>
      </c>
      <c r="AG58" s="15">
        <v>4</v>
      </c>
      <c r="AH58" s="15">
        <v>1</v>
      </c>
      <c r="AI58" s="15">
        <v>0</v>
      </c>
      <c r="AJ58" s="15">
        <v>5</v>
      </c>
      <c r="AK58" s="15">
        <v>3</v>
      </c>
      <c r="AL58" s="15">
        <v>0</v>
      </c>
      <c r="AM58" s="15">
        <v>2</v>
      </c>
      <c r="AN58" s="15">
        <v>3</v>
      </c>
      <c r="AO58" s="15">
        <v>0</v>
      </c>
      <c r="AP58" s="15">
        <v>2</v>
      </c>
      <c r="AQ58" s="15">
        <v>3</v>
      </c>
      <c r="AR58" s="15">
        <v>4</v>
      </c>
      <c r="AS58" s="15">
        <v>1</v>
      </c>
      <c r="AT58" s="15">
        <v>1</v>
      </c>
      <c r="AU58" s="15">
        <v>0</v>
      </c>
      <c r="AV58" s="15">
        <v>3</v>
      </c>
      <c r="AW58" s="15">
        <v>3</v>
      </c>
      <c r="AX58" s="15">
        <v>7</v>
      </c>
      <c r="AY58" s="13">
        <f t="shared" si="0"/>
        <v>76</v>
      </c>
    </row>
    <row r="59" spans="1:51" ht="12.75" customHeight="1" x14ac:dyDescent="0.3">
      <c r="A59" s="14"/>
      <c r="B59" s="27">
        <v>5</v>
      </c>
      <c r="C59" s="28" t="s">
        <v>52</v>
      </c>
      <c r="D59" s="29"/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1</v>
      </c>
      <c r="K59" s="15">
        <v>1</v>
      </c>
      <c r="L59" s="15">
        <v>0</v>
      </c>
      <c r="M59" s="15">
        <v>0</v>
      </c>
      <c r="N59" s="15">
        <v>0</v>
      </c>
      <c r="O59" s="15">
        <v>1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1</v>
      </c>
      <c r="AA59" s="15">
        <v>0</v>
      </c>
      <c r="AB59" s="15">
        <v>1</v>
      </c>
      <c r="AC59" s="15">
        <v>1</v>
      </c>
      <c r="AD59" s="15">
        <v>0</v>
      </c>
      <c r="AE59" s="15">
        <v>1</v>
      </c>
      <c r="AF59" s="15">
        <v>0</v>
      </c>
      <c r="AG59" s="15">
        <v>1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3">
        <f t="shared" si="0"/>
        <v>8</v>
      </c>
    </row>
    <row r="60" spans="1:51" ht="12.75" customHeight="1" x14ac:dyDescent="0.3">
      <c r="A60" s="14"/>
      <c r="B60" s="27">
        <v>6</v>
      </c>
      <c r="C60" s="28" t="s">
        <v>53</v>
      </c>
      <c r="D60" s="29"/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1</v>
      </c>
      <c r="P60" s="15">
        <v>0</v>
      </c>
      <c r="Q60" s="15">
        <v>0</v>
      </c>
      <c r="R60" s="15">
        <v>1</v>
      </c>
      <c r="S60" s="15">
        <v>1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1</v>
      </c>
      <c r="AH60" s="15">
        <v>0</v>
      </c>
      <c r="AI60" s="15">
        <v>0</v>
      </c>
      <c r="AJ60" s="15">
        <v>0</v>
      </c>
      <c r="AK60" s="15">
        <v>2</v>
      </c>
      <c r="AL60" s="15">
        <v>1</v>
      </c>
      <c r="AM60" s="15">
        <v>1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3">
        <f t="shared" si="0"/>
        <v>8</v>
      </c>
    </row>
    <row r="61" spans="1:51" ht="12.75" customHeight="1" x14ac:dyDescent="0.3">
      <c r="A61" s="15" t="s">
        <v>15</v>
      </c>
      <c r="B61" s="47" t="s">
        <v>46</v>
      </c>
      <c r="C61" s="48"/>
      <c r="D61" s="49"/>
      <c r="E61" s="34">
        <f>SUM(E54:E60)</f>
        <v>11</v>
      </c>
      <c r="F61" s="34">
        <f t="shared" ref="E61:AX61" si="11">SUM(F54:F60)</f>
        <v>4</v>
      </c>
      <c r="G61" s="34">
        <f t="shared" si="11"/>
        <v>11</v>
      </c>
      <c r="H61" s="34">
        <f t="shared" si="11"/>
        <v>14</v>
      </c>
      <c r="I61" s="34">
        <f t="shared" si="11"/>
        <v>9</v>
      </c>
      <c r="J61" s="34">
        <f t="shared" si="11"/>
        <v>7</v>
      </c>
      <c r="K61" s="34">
        <f t="shared" si="11"/>
        <v>8</v>
      </c>
      <c r="L61" s="34">
        <f t="shared" si="11"/>
        <v>13</v>
      </c>
      <c r="M61" s="34">
        <f t="shared" si="11"/>
        <v>5</v>
      </c>
      <c r="N61" s="34">
        <f t="shared" si="11"/>
        <v>6</v>
      </c>
      <c r="O61" s="34">
        <f t="shared" si="11"/>
        <v>17</v>
      </c>
      <c r="P61" s="34">
        <f t="shared" si="11"/>
        <v>5</v>
      </c>
      <c r="Q61" s="34">
        <f t="shared" si="11"/>
        <v>8</v>
      </c>
      <c r="R61" s="34">
        <f t="shared" si="11"/>
        <v>4</v>
      </c>
      <c r="S61" s="34">
        <f t="shared" si="11"/>
        <v>11</v>
      </c>
      <c r="T61" s="34">
        <f t="shared" si="11"/>
        <v>13</v>
      </c>
      <c r="U61" s="34">
        <f t="shared" si="11"/>
        <v>12</v>
      </c>
      <c r="V61" s="34">
        <f t="shared" si="11"/>
        <v>22</v>
      </c>
      <c r="W61" s="34">
        <f t="shared" si="11"/>
        <v>6</v>
      </c>
      <c r="X61" s="34">
        <f t="shared" si="11"/>
        <v>11</v>
      </c>
      <c r="Y61" s="34">
        <f t="shared" si="11"/>
        <v>9</v>
      </c>
      <c r="Z61" s="34">
        <f t="shared" si="11"/>
        <v>13</v>
      </c>
      <c r="AA61" s="34">
        <f t="shared" si="11"/>
        <v>6</v>
      </c>
      <c r="AB61" s="34">
        <f t="shared" si="11"/>
        <v>15</v>
      </c>
      <c r="AC61" s="34">
        <f t="shared" si="11"/>
        <v>8</v>
      </c>
      <c r="AD61" s="34">
        <f t="shared" si="11"/>
        <v>10</v>
      </c>
      <c r="AE61" s="34">
        <f t="shared" si="11"/>
        <v>13</v>
      </c>
      <c r="AF61" s="34">
        <f t="shared" si="11"/>
        <v>9</v>
      </c>
      <c r="AG61" s="34">
        <f t="shared" si="11"/>
        <v>17</v>
      </c>
      <c r="AH61" s="34">
        <f t="shared" si="11"/>
        <v>9</v>
      </c>
      <c r="AI61" s="34">
        <f t="shared" si="11"/>
        <v>3</v>
      </c>
      <c r="AJ61" s="34">
        <f t="shared" si="11"/>
        <v>16</v>
      </c>
      <c r="AK61" s="34">
        <f t="shared" si="11"/>
        <v>18</v>
      </c>
      <c r="AL61" s="34">
        <f t="shared" si="11"/>
        <v>16</v>
      </c>
      <c r="AM61" s="34">
        <f t="shared" si="11"/>
        <v>21</v>
      </c>
      <c r="AN61" s="34">
        <f t="shared" si="11"/>
        <v>15</v>
      </c>
      <c r="AO61" s="34">
        <f t="shared" si="11"/>
        <v>2</v>
      </c>
      <c r="AP61" s="34">
        <f t="shared" si="11"/>
        <v>9</v>
      </c>
      <c r="AQ61" s="34">
        <f t="shared" si="11"/>
        <v>7</v>
      </c>
      <c r="AR61" s="34">
        <f t="shared" si="11"/>
        <v>10</v>
      </c>
      <c r="AS61" s="34">
        <f t="shared" si="11"/>
        <v>12</v>
      </c>
      <c r="AT61" s="34">
        <f t="shared" si="11"/>
        <v>14</v>
      </c>
      <c r="AU61" s="34">
        <f t="shared" si="11"/>
        <v>11</v>
      </c>
      <c r="AV61" s="34">
        <f t="shared" si="11"/>
        <v>18</v>
      </c>
      <c r="AW61" s="34">
        <f t="shared" si="11"/>
        <v>15</v>
      </c>
      <c r="AX61" s="34">
        <f t="shared" si="11"/>
        <v>11</v>
      </c>
      <c r="AY61" s="13">
        <f t="shared" si="0"/>
        <v>504</v>
      </c>
    </row>
    <row r="62" spans="1:51" ht="12.75" customHeight="1" x14ac:dyDescent="0.3">
      <c r="A62" s="35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13">
        <f t="shared" si="0"/>
        <v>0</v>
      </c>
    </row>
    <row r="63" spans="1:51" ht="12.75" customHeight="1" x14ac:dyDescent="0.3">
      <c r="A63" s="19" t="s">
        <v>37</v>
      </c>
      <c r="B63" s="26" t="s">
        <v>21</v>
      </c>
      <c r="C63" s="50" t="s">
        <v>54</v>
      </c>
      <c r="D63" s="49"/>
      <c r="E63" s="15">
        <v>5</v>
      </c>
      <c r="F63" s="15">
        <v>8</v>
      </c>
      <c r="G63" s="15">
        <v>4</v>
      </c>
      <c r="H63" s="15">
        <v>9</v>
      </c>
      <c r="I63" s="15">
        <v>10</v>
      </c>
      <c r="J63" s="15">
        <v>4</v>
      </c>
      <c r="K63" s="15">
        <v>4</v>
      </c>
      <c r="L63" s="15">
        <v>15</v>
      </c>
      <c r="M63" s="15">
        <v>5</v>
      </c>
      <c r="N63" s="15">
        <v>6</v>
      </c>
      <c r="O63" s="15">
        <v>4</v>
      </c>
      <c r="P63" s="15">
        <v>4</v>
      </c>
      <c r="Q63" s="15">
        <v>2</v>
      </c>
      <c r="R63" s="15">
        <v>2</v>
      </c>
      <c r="S63" s="15">
        <v>4</v>
      </c>
      <c r="T63" s="15">
        <v>4</v>
      </c>
      <c r="U63" s="15">
        <v>7</v>
      </c>
      <c r="V63" s="15">
        <v>15</v>
      </c>
      <c r="W63" s="15">
        <v>8</v>
      </c>
      <c r="X63" s="15">
        <v>7</v>
      </c>
      <c r="Y63" s="15">
        <v>12</v>
      </c>
      <c r="Z63" s="15">
        <v>4</v>
      </c>
      <c r="AA63" s="15">
        <v>7</v>
      </c>
      <c r="AB63" s="15">
        <v>5</v>
      </c>
      <c r="AC63" s="15">
        <v>13</v>
      </c>
      <c r="AD63" s="15">
        <v>8</v>
      </c>
      <c r="AE63" s="15">
        <v>5</v>
      </c>
      <c r="AF63" s="15">
        <v>2</v>
      </c>
      <c r="AG63" s="15">
        <v>2</v>
      </c>
      <c r="AH63" s="15">
        <v>4</v>
      </c>
      <c r="AI63" s="15">
        <v>2</v>
      </c>
      <c r="AJ63" s="15">
        <v>17</v>
      </c>
      <c r="AK63" s="15">
        <v>7</v>
      </c>
      <c r="AL63" s="15">
        <v>11</v>
      </c>
      <c r="AM63" s="15">
        <v>6</v>
      </c>
      <c r="AN63" s="15">
        <v>14</v>
      </c>
      <c r="AO63" s="15">
        <v>6</v>
      </c>
      <c r="AP63" s="15">
        <v>10</v>
      </c>
      <c r="AQ63" s="15">
        <v>4</v>
      </c>
      <c r="AR63" s="15">
        <v>2</v>
      </c>
      <c r="AS63" s="15">
        <v>0</v>
      </c>
      <c r="AT63" s="15">
        <v>3</v>
      </c>
      <c r="AU63" s="15">
        <v>7</v>
      </c>
      <c r="AV63" s="15">
        <v>9</v>
      </c>
      <c r="AW63" s="15">
        <v>10</v>
      </c>
      <c r="AX63" s="15">
        <v>5</v>
      </c>
      <c r="AY63" s="13">
        <f t="shared" si="0"/>
        <v>302</v>
      </c>
    </row>
    <row r="64" spans="1:51" ht="12.75" customHeight="1" x14ac:dyDescent="0.3">
      <c r="A64" s="19" t="s">
        <v>39</v>
      </c>
      <c r="B64" s="27">
        <v>1</v>
      </c>
      <c r="C64" s="28" t="s">
        <v>55</v>
      </c>
      <c r="D64" s="29"/>
      <c r="E64" s="15">
        <v>3</v>
      </c>
      <c r="F64" s="15">
        <v>32</v>
      </c>
      <c r="G64" s="15">
        <v>7</v>
      </c>
      <c r="H64" s="15">
        <v>2</v>
      </c>
      <c r="I64" s="15">
        <v>7</v>
      </c>
      <c r="J64" s="15">
        <v>1</v>
      </c>
      <c r="K64" s="15">
        <v>3</v>
      </c>
      <c r="L64" s="15">
        <v>4</v>
      </c>
      <c r="M64" s="15">
        <v>2</v>
      </c>
      <c r="N64" s="15">
        <v>9</v>
      </c>
      <c r="O64" s="15">
        <v>6</v>
      </c>
      <c r="P64" s="15">
        <v>18</v>
      </c>
      <c r="Q64" s="15">
        <v>0</v>
      </c>
      <c r="R64" s="15">
        <v>1</v>
      </c>
      <c r="S64" s="15">
        <v>1</v>
      </c>
      <c r="T64" s="15">
        <v>2</v>
      </c>
      <c r="U64" s="15">
        <v>3</v>
      </c>
      <c r="V64" s="15">
        <v>4</v>
      </c>
      <c r="W64" s="15">
        <v>8</v>
      </c>
      <c r="X64" s="15">
        <v>13</v>
      </c>
      <c r="Y64" s="15">
        <v>15</v>
      </c>
      <c r="Z64" s="15">
        <v>0</v>
      </c>
      <c r="AA64" s="15">
        <v>2</v>
      </c>
      <c r="AB64" s="15">
        <v>1</v>
      </c>
      <c r="AC64" s="15">
        <v>2</v>
      </c>
      <c r="AD64" s="15">
        <v>1</v>
      </c>
      <c r="AE64" s="15">
        <v>0</v>
      </c>
      <c r="AF64" s="15">
        <v>0</v>
      </c>
      <c r="AG64" s="15">
        <v>0</v>
      </c>
      <c r="AH64" s="15">
        <v>1</v>
      </c>
      <c r="AI64" s="15">
        <v>1</v>
      </c>
      <c r="AJ64" s="15">
        <v>5</v>
      </c>
      <c r="AK64" s="15">
        <v>1</v>
      </c>
      <c r="AL64" s="15">
        <v>5</v>
      </c>
      <c r="AM64" s="15">
        <v>0</v>
      </c>
      <c r="AN64" s="15">
        <v>6</v>
      </c>
      <c r="AO64" s="15">
        <v>0</v>
      </c>
      <c r="AP64" s="15">
        <v>5</v>
      </c>
      <c r="AQ64" s="15">
        <v>8</v>
      </c>
      <c r="AR64" s="15">
        <v>2</v>
      </c>
      <c r="AS64" s="15">
        <v>1</v>
      </c>
      <c r="AT64" s="15">
        <v>2</v>
      </c>
      <c r="AU64" s="15">
        <v>8</v>
      </c>
      <c r="AV64" s="15">
        <v>4</v>
      </c>
      <c r="AW64" s="15">
        <v>2</v>
      </c>
      <c r="AX64" s="15">
        <v>3</v>
      </c>
      <c r="AY64" s="13">
        <f t="shared" si="0"/>
        <v>201</v>
      </c>
    </row>
    <row r="65" spans="1:51" ht="12.75" customHeight="1" x14ac:dyDescent="0.3">
      <c r="A65" s="14"/>
      <c r="B65" s="27">
        <v>2</v>
      </c>
      <c r="C65" s="28" t="s">
        <v>56</v>
      </c>
      <c r="D65" s="29"/>
      <c r="E65" s="15">
        <v>43</v>
      </c>
      <c r="F65" s="15">
        <v>17</v>
      </c>
      <c r="G65" s="15">
        <v>4</v>
      </c>
      <c r="H65" s="15">
        <v>8</v>
      </c>
      <c r="I65" s="15">
        <v>10</v>
      </c>
      <c r="J65" s="15">
        <v>2</v>
      </c>
      <c r="K65" s="15">
        <v>10</v>
      </c>
      <c r="L65" s="15">
        <v>10</v>
      </c>
      <c r="M65" s="15">
        <v>5</v>
      </c>
      <c r="N65" s="15">
        <v>5</v>
      </c>
      <c r="O65" s="15">
        <v>5</v>
      </c>
      <c r="P65" s="15">
        <v>13</v>
      </c>
      <c r="Q65" s="15">
        <v>8</v>
      </c>
      <c r="R65" s="15">
        <v>14</v>
      </c>
      <c r="S65" s="15">
        <v>76</v>
      </c>
      <c r="T65" s="15">
        <v>22</v>
      </c>
      <c r="U65" s="15">
        <v>36</v>
      </c>
      <c r="V65" s="15">
        <v>100</v>
      </c>
      <c r="W65" s="15">
        <v>19</v>
      </c>
      <c r="X65" s="15">
        <v>27</v>
      </c>
      <c r="Y65" s="15">
        <v>52</v>
      </c>
      <c r="Z65" s="15">
        <v>73</v>
      </c>
      <c r="AA65" s="15">
        <v>24</v>
      </c>
      <c r="AB65" s="15">
        <v>70</v>
      </c>
      <c r="AC65" s="15">
        <v>17</v>
      </c>
      <c r="AD65" s="15">
        <v>19</v>
      </c>
      <c r="AE65" s="15">
        <v>14</v>
      </c>
      <c r="AF65" s="15">
        <v>6</v>
      </c>
      <c r="AG65" s="15">
        <v>5</v>
      </c>
      <c r="AH65" s="15">
        <v>2</v>
      </c>
      <c r="AI65" s="15">
        <v>0</v>
      </c>
      <c r="AJ65" s="15">
        <v>4</v>
      </c>
      <c r="AK65" s="15">
        <v>6</v>
      </c>
      <c r="AL65" s="15">
        <v>20</v>
      </c>
      <c r="AM65" s="15">
        <v>60</v>
      </c>
      <c r="AN65" s="15">
        <v>59</v>
      </c>
      <c r="AO65" s="15">
        <v>3</v>
      </c>
      <c r="AP65" s="15">
        <v>9</v>
      </c>
      <c r="AQ65" s="15">
        <v>4</v>
      </c>
      <c r="AR65" s="15">
        <v>7</v>
      </c>
      <c r="AS65" s="15">
        <v>2</v>
      </c>
      <c r="AT65" s="15">
        <v>0</v>
      </c>
      <c r="AU65" s="15">
        <v>0</v>
      </c>
      <c r="AV65" s="15">
        <v>5</v>
      </c>
      <c r="AW65" s="15">
        <v>7</v>
      </c>
      <c r="AX65" s="15">
        <v>5</v>
      </c>
      <c r="AY65" s="13">
        <f t="shared" si="0"/>
        <v>907</v>
      </c>
    </row>
    <row r="66" spans="1:51" ht="12.75" customHeight="1" x14ac:dyDescent="0.3">
      <c r="A66" s="14"/>
      <c r="B66" s="27">
        <v>3</v>
      </c>
      <c r="C66" s="28" t="s">
        <v>57</v>
      </c>
      <c r="D66" s="29"/>
      <c r="E66" s="15">
        <v>3</v>
      </c>
      <c r="F66" s="15">
        <v>0</v>
      </c>
      <c r="G66" s="15">
        <v>1</v>
      </c>
      <c r="H66" s="15">
        <v>0</v>
      </c>
      <c r="I66" s="15">
        <v>1</v>
      </c>
      <c r="J66" s="15">
        <v>1</v>
      </c>
      <c r="K66" s="15">
        <v>0</v>
      </c>
      <c r="L66" s="15">
        <v>1</v>
      </c>
      <c r="M66" s="15">
        <v>2</v>
      </c>
      <c r="N66" s="15">
        <v>0</v>
      </c>
      <c r="O66" s="15">
        <v>2</v>
      </c>
      <c r="P66" s="15">
        <v>2</v>
      </c>
      <c r="Q66" s="15">
        <v>0</v>
      </c>
      <c r="R66" s="15">
        <v>0</v>
      </c>
      <c r="S66" s="15">
        <v>2</v>
      </c>
      <c r="T66" s="15">
        <v>0</v>
      </c>
      <c r="U66" s="15">
        <v>2</v>
      </c>
      <c r="V66" s="15">
        <v>0</v>
      </c>
      <c r="W66" s="15">
        <v>17</v>
      </c>
      <c r="X66" s="15">
        <v>35</v>
      </c>
      <c r="Y66" s="15">
        <v>15</v>
      </c>
      <c r="Z66" s="15">
        <v>1</v>
      </c>
      <c r="AA66" s="15">
        <v>2</v>
      </c>
      <c r="AB66" s="15">
        <v>2</v>
      </c>
      <c r="AC66" s="15">
        <v>22</v>
      </c>
      <c r="AD66" s="15">
        <v>9</v>
      </c>
      <c r="AE66" s="15">
        <v>5</v>
      </c>
      <c r="AF66" s="15">
        <v>13</v>
      </c>
      <c r="AG66" s="15">
        <v>1</v>
      </c>
      <c r="AH66" s="15">
        <v>0</v>
      </c>
      <c r="AI66" s="15">
        <v>1</v>
      </c>
      <c r="AJ66" s="15">
        <v>2</v>
      </c>
      <c r="AK66" s="15">
        <v>1</v>
      </c>
      <c r="AL66" s="15">
        <v>2</v>
      </c>
      <c r="AM66" s="15">
        <v>2</v>
      </c>
      <c r="AN66" s="15">
        <v>1</v>
      </c>
      <c r="AO66" s="15">
        <v>1</v>
      </c>
      <c r="AP66" s="15">
        <v>3</v>
      </c>
      <c r="AQ66" s="15">
        <v>2</v>
      </c>
      <c r="AR66" s="15">
        <v>1</v>
      </c>
      <c r="AS66" s="15">
        <v>0</v>
      </c>
      <c r="AT66" s="15">
        <v>1</v>
      </c>
      <c r="AU66" s="15">
        <v>1</v>
      </c>
      <c r="AV66" s="15">
        <v>2</v>
      </c>
      <c r="AW66" s="15">
        <v>0</v>
      </c>
      <c r="AX66" s="15">
        <v>0</v>
      </c>
      <c r="AY66" s="13">
        <f t="shared" si="0"/>
        <v>159</v>
      </c>
    </row>
    <row r="67" spans="1:51" ht="15" customHeight="1" x14ac:dyDescent="0.3">
      <c r="A67" s="14"/>
      <c r="B67" s="27">
        <v>4</v>
      </c>
      <c r="C67" s="28" t="s">
        <v>58</v>
      </c>
      <c r="D67" s="29"/>
      <c r="E67" s="15">
        <v>0</v>
      </c>
      <c r="F67" s="15">
        <v>0</v>
      </c>
      <c r="G67" s="15">
        <v>1</v>
      </c>
      <c r="H67" s="15">
        <v>1</v>
      </c>
      <c r="I67" s="15">
        <v>2</v>
      </c>
      <c r="J67" s="15">
        <v>0</v>
      </c>
      <c r="K67" s="15">
        <v>1</v>
      </c>
      <c r="L67" s="15">
        <v>0</v>
      </c>
      <c r="M67" s="15">
        <v>3</v>
      </c>
      <c r="N67" s="15">
        <v>3</v>
      </c>
      <c r="O67" s="15">
        <v>1</v>
      </c>
      <c r="P67" s="15">
        <v>9</v>
      </c>
      <c r="Q67" s="15">
        <v>0</v>
      </c>
      <c r="R67" s="15">
        <v>0</v>
      </c>
      <c r="S67" s="15">
        <v>2</v>
      </c>
      <c r="T67" s="15">
        <v>2</v>
      </c>
      <c r="U67" s="15">
        <v>2</v>
      </c>
      <c r="V67" s="15">
        <v>0</v>
      </c>
      <c r="W67" s="15">
        <v>4</v>
      </c>
      <c r="X67" s="15">
        <v>1</v>
      </c>
      <c r="Y67" s="15">
        <v>2</v>
      </c>
      <c r="Z67" s="15">
        <v>3</v>
      </c>
      <c r="AA67" s="15">
        <v>20</v>
      </c>
      <c r="AB67" s="15">
        <v>23</v>
      </c>
      <c r="AC67" s="15">
        <v>31</v>
      </c>
      <c r="AD67" s="15">
        <v>14</v>
      </c>
      <c r="AE67" s="15">
        <v>0</v>
      </c>
      <c r="AF67" s="15">
        <v>1</v>
      </c>
      <c r="AG67" s="15">
        <v>1</v>
      </c>
      <c r="AH67" s="15">
        <v>1</v>
      </c>
      <c r="AI67" s="15">
        <v>2</v>
      </c>
      <c r="AJ67" s="15">
        <v>22</v>
      </c>
      <c r="AK67" s="15">
        <v>9</v>
      </c>
      <c r="AL67" s="15">
        <v>16</v>
      </c>
      <c r="AM67" s="15">
        <v>31</v>
      </c>
      <c r="AN67" s="15">
        <v>5</v>
      </c>
      <c r="AO67" s="15">
        <v>8</v>
      </c>
      <c r="AP67" s="15">
        <v>33</v>
      </c>
      <c r="AQ67" s="15">
        <v>0</v>
      </c>
      <c r="AR67" s="15">
        <v>4</v>
      </c>
      <c r="AS67" s="15">
        <v>5</v>
      </c>
      <c r="AT67" s="15">
        <v>0</v>
      </c>
      <c r="AU67" s="15">
        <v>0</v>
      </c>
      <c r="AV67" s="15">
        <v>15</v>
      </c>
      <c r="AW67" s="15">
        <v>33</v>
      </c>
      <c r="AX67" s="15">
        <v>29</v>
      </c>
      <c r="AY67" s="13">
        <f t="shared" si="0"/>
        <v>340</v>
      </c>
    </row>
    <row r="68" spans="1:51" ht="12.75" customHeight="1" x14ac:dyDescent="0.3">
      <c r="A68" s="14"/>
      <c r="B68" s="27">
        <v>5</v>
      </c>
      <c r="C68" s="28" t="s">
        <v>59</v>
      </c>
      <c r="D68" s="29"/>
      <c r="E68" s="15">
        <v>1</v>
      </c>
      <c r="F68" s="15">
        <v>1</v>
      </c>
      <c r="G68" s="15">
        <v>0</v>
      </c>
      <c r="H68" s="15">
        <v>1</v>
      </c>
      <c r="I68" s="15">
        <v>3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1</v>
      </c>
      <c r="U68" s="15">
        <v>1</v>
      </c>
      <c r="V68" s="15">
        <v>2</v>
      </c>
      <c r="W68" s="15">
        <v>0</v>
      </c>
      <c r="X68" s="15">
        <v>0</v>
      </c>
      <c r="Y68" s="15">
        <v>0</v>
      </c>
      <c r="Z68" s="15">
        <v>0</v>
      </c>
      <c r="AA68" s="15">
        <v>1</v>
      </c>
      <c r="AB68" s="15">
        <v>2</v>
      </c>
      <c r="AC68" s="15">
        <v>1</v>
      </c>
      <c r="AD68" s="15">
        <v>0</v>
      </c>
      <c r="AE68" s="15">
        <v>1</v>
      </c>
      <c r="AF68" s="15">
        <v>2</v>
      </c>
      <c r="AG68" s="15">
        <v>0</v>
      </c>
      <c r="AH68" s="15">
        <v>1</v>
      </c>
      <c r="AI68" s="15">
        <v>0</v>
      </c>
      <c r="AJ68" s="15">
        <v>0</v>
      </c>
      <c r="AK68" s="15">
        <v>1</v>
      </c>
      <c r="AL68" s="15">
        <v>0</v>
      </c>
      <c r="AM68" s="15">
        <v>0</v>
      </c>
      <c r="AN68" s="15">
        <v>0</v>
      </c>
      <c r="AO68" s="15">
        <v>1</v>
      </c>
      <c r="AP68" s="15">
        <v>0</v>
      </c>
      <c r="AQ68" s="15">
        <v>0</v>
      </c>
      <c r="AR68" s="15">
        <v>0</v>
      </c>
      <c r="AS68" s="15">
        <v>1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3">
        <f t="shared" si="0"/>
        <v>21</v>
      </c>
    </row>
    <row r="69" spans="1:51" ht="12.75" customHeight="1" x14ac:dyDescent="0.3">
      <c r="A69" s="14"/>
      <c r="B69" s="27">
        <v>6</v>
      </c>
      <c r="C69" s="28" t="s">
        <v>60</v>
      </c>
      <c r="D69" s="29"/>
      <c r="E69" s="15">
        <v>0</v>
      </c>
      <c r="F69" s="15">
        <v>0</v>
      </c>
      <c r="G69" s="15">
        <v>0</v>
      </c>
      <c r="H69" s="15">
        <v>1</v>
      </c>
      <c r="I69" s="15">
        <v>0</v>
      </c>
      <c r="J69" s="15">
        <v>0</v>
      </c>
      <c r="K69" s="15">
        <v>0</v>
      </c>
      <c r="L69" s="15">
        <v>2</v>
      </c>
      <c r="M69" s="15">
        <v>1</v>
      </c>
      <c r="N69" s="15">
        <v>0</v>
      </c>
      <c r="O69" s="15">
        <v>2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1</v>
      </c>
      <c r="AC69" s="15">
        <v>0</v>
      </c>
      <c r="AD69" s="15">
        <v>0</v>
      </c>
      <c r="AE69" s="15">
        <v>0</v>
      </c>
      <c r="AF69" s="15">
        <v>0</v>
      </c>
      <c r="AG69" s="15">
        <v>1</v>
      </c>
      <c r="AH69" s="15">
        <v>0</v>
      </c>
      <c r="AI69" s="15">
        <v>0</v>
      </c>
      <c r="AJ69" s="15">
        <v>1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1</v>
      </c>
      <c r="AR69" s="15">
        <v>0</v>
      </c>
      <c r="AS69" s="15">
        <v>0</v>
      </c>
      <c r="AT69" s="15">
        <v>0</v>
      </c>
      <c r="AU69" s="15">
        <v>0</v>
      </c>
      <c r="AV69" s="15">
        <v>1</v>
      </c>
      <c r="AW69" s="15">
        <v>0</v>
      </c>
      <c r="AX69" s="15">
        <v>0</v>
      </c>
      <c r="AY69" s="13">
        <f t="shared" si="0"/>
        <v>11</v>
      </c>
    </row>
    <row r="70" spans="1:51" ht="12.75" customHeight="1" x14ac:dyDescent="0.3">
      <c r="A70" s="15" t="s">
        <v>15</v>
      </c>
      <c r="B70" s="47" t="s">
        <v>46</v>
      </c>
      <c r="C70" s="48"/>
      <c r="D70" s="49"/>
      <c r="E70" s="34">
        <f t="shared" ref="E70:AX70" si="12">SUM(E63:E69)</f>
        <v>55</v>
      </c>
      <c r="F70" s="34">
        <f t="shared" si="12"/>
        <v>58</v>
      </c>
      <c r="G70" s="34">
        <f t="shared" si="12"/>
        <v>17</v>
      </c>
      <c r="H70" s="34">
        <f t="shared" si="12"/>
        <v>22</v>
      </c>
      <c r="I70" s="34">
        <f t="shared" si="12"/>
        <v>33</v>
      </c>
      <c r="J70" s="34">
        <f t="shared" si="12"/>
        <v>8</v>
      </c>
      <c r="K70" s="34">
        <f t="shared" si="12"/>
        <v>18</v>
      </c>
      <c r="L70" s="34">
        <f t="shared" si="12"/>
        <v>32</v>
      </c>
      <c r="M70" s="34">
        <f t="shared" si="12"/>
        <v>18</v>
      </c>
      <c r="N70" s="34">
        <f t="shared" si="12"/>
        <v>23</v>
      </c>
      <c r="O70" s="34">
        <f t="shared" si="12"/>
        <v>20</v>
      </c>
      <c r="P70" s="34">
        <f t="shared" si="12"/>
        <v>46</v>
      </c>
      <c r="Q70" s="34">
        <f t="shared" si="12"/>
        <v>10</v>
      </c>
      <c r="R70" s="34">
        <f t="shared" si="12"/>
        <v>17</v>
      </c>
      <c r="S70" s="34">
        <f t="shared" si="12"/>
        <v>85</v>
      </c>
      <c r="T70" s="34">
        <f t="shared" si="12"/>
        <v>31</v>
      </c>
      <c r="U70" s="34">
        <f t="shared" si="12"/>
        <v>51</v>
      </c>
      <c r="V70" s="34">
        <f t="shared" si="12"/>
        <v>121</v>
      </c>
      <c r="W70" s="34">
        <f t="shared" si="12"/>
        <v>56</v>
      </c>
      <c r="X70" s="34">
        <f t="shared" si="12"/>
        <v>83</v>
      </c>
      <c r="Y70" s="34">
        <f t="shared" si="12"/>
        <v>96</v>
      </c>
      <c r="Z70" s="34">
        <f t="shared" si="12"/>
        <v>81</v>
      </c>
      <c r="AA70" s="34">
        <f t="shared" si="12"/>
        <v>56</v>
      </c>
      <c r="AB70" s="34">
        <f t="shared" si="12"/>
        <v>104</v>
      </c>
      <c r="AC70" s="34">
        <f t="shared" si="12"/>
        <v>86</v>
      </c>
      <c r="AD70" s="34">
        <f t="shared" si="12"/>
        <v>51</v>
      </c>
      <c r="AE70" s="34">
        <f t="shared" si="12"/>
        <v>25</v>
      </c>
      <c r="AF70" s="34">
        <f t="shared" si="12"/>
        <v>24</v>
      </c>
      <c r="AG70" s="34">
        <f t="shared" si="12"/>
        <v>10</v>
      </c>
      <c r="AH70" s="34">
        <f t="shared" si="12"/>
        <v>9</v>
      </c>
      <c r="AI70" s="34">
        <f t="shared" si="12"/>
        <v>6</v>
      </c>
      <c r="AJ70" s="34">
        <f t="shared" si="12"/>
        <v>51</v>
      </c>
      <c r="AK70" s="34">
        <f t="shared" si="12"/>
        <v>25</v>
      </c>
      <c r="AL70" s="34">
        <f t="shared" si="12"/>
        <v>54</v>
      </c>
      <c r="AM70" s="34">
        <f t="shared" si="12"/>
        <v>99</v>
      </c>
      <c r="AN70" s="34">
        <f t="shared" si="12"/>
        <v>85</v>
      </c>
      <c r="AO70" s="34">
        <f t="shared" si="12"/>
        <v>19</v>
      </c>
      <c r="AP70" s="34">
        <f t="shared" si="12"/>
        <v>60</v>
      </c>
      <c r="AQ70" s="34">
        <f t="shared" si="12"/>
        <v>19</v>
      </c>
      <c r="AR70" s="34">
        <f t="shared" si="12"/>
        <v>16</v>
      </c>
      <c r="AS70" s="34">
        <f t="shared" si="12"/>
        <v>9</v>
      </c>
      <c r="AT70" s="34">
        <f t="shared" si="12"/>
        <v>6</v>
      </c>
      <c r="AU70" s="34">
        <f t="shared" si="12"/>
        <v>16</v>
      </c>
      <c r="AV70" s="34">
        <f t="shared" si="12"/>
        <v>36</v>
      </c>
      <c r="AW70" s="34">
        <f t="shared" si="12"/>
        <v>52</v>
      </c>
      <c r="AX70" s="34">
        <f t="shared" si="12"/>
        <v>42</v>
      </c>
      <c r="AY70" s="13">
        <f t="shared" si="0"/>
        <v>1941</v>
      </c>
    </row>
    <row r="71" spans="1:51" ht="12.75" customHeight="1" x14ac:dyDescent="0.3">
      <c r="A71" s="35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13">
        <f t="shared" si="0"/>
        <v>0</v>
      </c>
    </row>
    <row r="72" spans="1:51" ht="12.75" customHeight="1" x14ac:dyDescent="0.3">
      <c r="A72" s="19" t="s">
        <v>37</v>
      </c>
      <c r="B72" s="26" t="s">
        <v>23</v>
      </c>
      <c r="C72" s="50" t="s">
        <v>61</v>
      </c>
      <c r="D72" s="49"/>
      <c r="E72" s="15">
        <v>2</v>
      </c>
      <c r="F72" s="15">
        <v>0</v>
      </c>
      <c r="G72" s="15">
        <v>4</v>
      </c>
      <c r="H72" s="15">
        <v>4</v>
      </c>
      <c r="I72" s="15">
        <v>2</v>
      </c>
      <c r="J72" s="15">
        <v>0</v>
      </c>
      <c r="K72" s="15">
        <v>1</v>
      </c>
      <c r="L72" s="15">
        <v>0</v>
      </c>
      <c r="M72" s="15">
        <v>0</v>
      </c>
      <c r="N72" s="15">
        <v>2</v>
      </c>
      <c r="O72" s="15">
        <v>0</v>
      </c>
      <c r="P72" s="15">
        <v>3</v>
      </c>
      <c r="Q72" s="15">
        <v>1</v>
      </c>
      <c r="R72" s="15">
        <v>0</v>
      </c>
      <c r="S72" s="15">
        <v>0</v>
      </c>
      <c r="T72" s="15">
        <v>0</v>
      </c>
      <c r="U72" s="15">
        <v>1</v>
      </c>
      <c r="V72" s="15">
        <v>0</v>
      </c>
      <c r="W72" s="15">
        <v>2</v>
      </c>
      <c r="X72" s="15">
        <v>1</v>
      </c>
      <c r="Y72" s="15">
        <v>2</v>
      </c>
      <c r="Z72" s="15">
        <v>2</v>
      </c>
      <c r="AA72" s="15">
        <v>0</v>
      </c>
      <c r="AB72" s="15">
        <v>3</v>
      </c>
      <c r="AC72" s="15">
        <v>4</v>
      </c>
      <c r="AD72" s="15">
        <v>0</v>
      </c>
      <c r="AE72" s="15">
        <v>6</v>
      </c>
      <c r="AF72" s="15">
        <v>0</v>
      </c>
      <c r="AG72" s="15">
        <v>2</v>
      </c>
      <c r="AH72" s="15">
        <v>1</v>
      </c>
      <c r="AI72" s="15">
        <v>1</v>
      </c>
      <c r="AJ72" s="15">
        <v>2</v>
      </c>
      <c r="AK72" s="15">
        <v>2</v>
      </c>
      <c r="AL72" s="15">
        <v>3</v>
      </c>
      <c r="AM72" s="15">
        <v>2</v>
      </c>
      <c r="AN72" s="15">
        <v>1</v>
      </c>
      <c r="AO72" s="15">
        <v>0</v>
      </c>
      <c r="AP72" s="15">
        <v>0</v>
      </c>
      <c r="AQ72" s="15">
        <v>1</v>
      </c>
      <c r="AR72" s="15">
        <v>3</v>
      </c>
      <c r="AS72" s="15">
        <v>0</v>
      </c>
      <c r="AT72" s="15">
        <v>0</v>
      </c>
      <c r="AU72" s="15">
        <v>5</v>
      </c>
      <c r="AV72" s="15">
        <v>6</v>
      </c>
      <c r="AW72" s="15">
        <v>5</v>
      </c>
      <c r="AX72" s="15">
        <v>0</v>
      </c>
      <c r="AY72" s="13">
        <f t="shared" si="0"/>
        <v>74</v>
      </c>
    </row>
    <row r="73" spans="1:51" ht="12.75" customHeight="1" x14ac:dyDescent="0.3">
      <c r="A73" s="19" t="s">
        <v>39</v>
      </c>
      <c r="B73" s="27">
        <v>1</v>
      </c>
      <c r="C73" s="28" t="s">
        <v>62</v>
      </c>
      <c r="D73" s="29"/>
      <c r="E73" s="15">
        <v>0</v>
      </c>
      <c r="F73" s="15">
        <v>3</v>
      </c>
      <c r="G73" s="15">
        <v>12</v>
      </c>
      <c r="H73" s="15">
        <v>2</v>
      </c>
      <c r="I73" s="15">
        <v>5</v>
      </c>
      <c r="J73" s="15">
        <v>2</v>
      </c>
      <c r="K73" s="15">
        <v>1</v>
      </c>
      <c r="L73" s="15">
        <v>1</v>
      </c>
      <c r="M73" s="15">
        <v>3</v>
      </c>
      <c r="N73" s="15">
        <v>1</v>
      </c>
      <c r="O73" s="15">
        <v>1</v>
      </c>
      <c r="P73" s="15">
        <v>5</v>
      </c>
      <c r="Q73" s="15">
        <v>1</v>
      </c>
      <c r="R73" s="15">
        <v>1</v>
      </c>
      <c r="S73" s="15">
        <v>0</v>
      </c>
      <c r="T73" s="15">
        <v>1</v>
      </c>
      <c r="U73" s="15">
        <v>1</v>
      </c>
      <c r="V73" s="15">
        <v>0</v>
      </c>
      <c r="W73" s="15">
        <v>3</v>
      </c>
      <c r="X73" s="15">
        <v>0</v>
      </c>
      <c r="Y73" s="15">
        <v>1</v>
      </c>
      <c r="Z73" s="15">
        <v>0</v>
      </c>
      <c r="AA73" s="15">
        <v>1</v>
      </c>
      <c r="AB73" s="15">
        <v>0</v>
      </c>
      <c r="AC73" s="15">
        <v>1</v>
      </c>
      <c r="AD73" s="15">
        <v>6</v>
      </c>
      <c r="AE73" s="15">
        <v>6</v>
      </c>
      <c r="AF73" s="15">
        <v>1</v>
      </c>
      <c r="AG73" s="15">
        <v>1</v>
      </c>
      <c r="AH73" s="15">
        <v>1</v>
      </c>
      <c r="AI73" s="15">
        <v>2</v>
      </c>
      <c r="AJ73" s="15">
        <v>13</v>
      </c>
      <c r="AK73" s="15">
        <v>5</v>
      </c>
      <c r="AL73" s="15">
        <v>11</v>
      </c>
      <c r="AM73" s="15">
        <v>8</v>
      </c>
      <c r="AN73" s="15">
        <v>5</v>
      </c>
      <c r="AO73" s="15">
        <v>0</v>
      </c>
      <c r="AP73" s="15">
        <v>1</v>
      </c>
      <c r="AQ73" s="15">
        <v>0</v>
      </c>
      <c r="AR73" s="15">
        <v>1</v>
      </c>
      <c r="AS73" s="15">
        <v>1</v>
      </c>
      <c r="AT73" s="15">
        <v>11</v>
      </c>
      <c r="AU73" s="15">
        <v>2</v>
      </c>
      <c r="AV73" s="15">
        <v>35</v>
      </c>
      <c r="AW73" s="15">
        <v>17</v>
      </c>
      <c r="AX73" s="15">
        <v>8</v>
      </c>
      <c r="AY73" s="13">
        <f t="shared" si="0"/>
        <v>181</v>
      </c>
    </row>
    <row r="74" spans="1:51" ht="12.75" customHeight="1" x14ac:dyDescent="0.3">
      <c r="A74" s="14"/>
      <c r="B74" s="27">
        <v>2</v>
      </c>
      <c r="C74" s="28" t="s">
        <v>63</v>
      </c>
      <c r="D74" s="29"/>
      <c r="E74" s="15">
        <v>0</v>
      </c>
      <c r="F74" s="15">
        <v>1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1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2</v>
      </c>
      <c r="Y74" s="15">
        <v>0</v>
      </c>
      <c r="Z74" s="15">
        <v>0</v>
      </c>
      <c r="AA74" s="15">
        <v>0</v>
      </c>
      <c r="AB74" s="15">
        <v>0</v>
      </c>
      <c r="AC74" s="15">
        <v>2</v>
      </c>
      <c r="AD74" s="15">
        <v>2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1</v>
      </c>
      <c r="AK74" s="15">
        <v>0</v>
      </c>
      <c r="AL74" s="15">
        <v>0</v>
      </c>
      <c r="AM74" s="15">
        <v>3</v>
      </c>
      <c r="AN74" s="15">
        <v>0</v>
      </c>
      <c r="AO74" s="15">
        <v>1</v>
      </c>
      <c r="AP74" s="15">
        <v>0</v>
      </c>
      <c r="AQ74" s="15">
        <v>0</v>
      </c>
      <c r="AR74" s="15">
        <v>1</v>
      </c>
      <c r="AS74" s="15">
        <v>0</v>
      </c>
      <c r="AT74" s="15">
        <v>2</v>
      </c>
      <c r="AU74" s="15">
        <v>0</v>
      </c>
      <c r="AV74" s="15">
        <v>1</v>
      </c>
      <c r="AW74" s="15">
        <v>0</v>
      </c>
      <c r="AX74" s="15">
        <v>0</v>
      </c>
      <c r="AY74" s="13">
        <f t="shared" si="0"/>
        <v>17</v>
      </c>
    </row>
    <row r="75" spans="1:51" ht="12.75" customHeight="1" x14ac:dyDescent="0.3">
      <c r="A75" s="14"/>
      <c r="B75" s="27">
        <v>3</v>
      </c>
      <c r="C75" s="28" t="s">
        <v>64</v>
      </c>
      <c r="D75" s="29"/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3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1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1</v>
      </c>
      <c r="AM75" s="15">
        <v>2</v>
      </c>
      <c r="AN75" s="15">
        <v>0</v>
      </c>
      <c r="AO75" s="15">
        <v>0</v>
      </c>
      <c r="AP75" s="15">
        <v>2</v>
      </c>
      <c r="AQ75" s="15">
        <v>0</v>
      </c>
      <c r="AR75" s="15">
        <v>0</v>
      </c>
      <c r="AS75" s="15">
        <v>0</v>
      </c>
      <c r="AT75" s="15">
        <v>1</v>
      </c>
      <c r="AU75" s="15">
        <v>0</v>
      </c>
      <c r="AV75" s="15">
        <v>1</v>
      </c>
      <c r="AW75" s="15">
        <v>1</v>
      </c>
      <c r="AX75" s="15">
        <v>0</v>
      </c>
      <c r="AY75" s="13">
        <f t="shared" si="0"/>
        <v>12</v>
      </c>
    </row>
    <row r="76" spans="1:51" ht="12.75" customHeight="1" x14ac:dyDescent="0.3">
      <c r="A76" s="14"/>
      <c r="B76" s="27">
        <v>4</v>
      </c>
      <c r="C76" s="28" t="s">
        <v>65</v>
      </c>
      <c r="D76" s="29"/>
      <c r="E76" s="15">
        <v>0</v>
      </c>
      <c r="F76" s="15">
        <v>0</v>
      </c>
      <c r="G76" s="15">
        <v>1</v>
      </c>
      <c r="H76" s="15">
        <v>0</v>
      </c>
      <c r="I76" s="15">
        <v>1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1</v>
      </c>
      <c r="Y76" s="15">
        <v>2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1</v>
      </c>
      <c r="AN76" s="15">
        <v>1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1</v>
      </c>
      <c r="AV76" s="15">
        <v>0</v>
      </c>
      <c r="AW76" s="15">
        <v>0</v>
      </c>
      <c r="AX76" s="15">
        <v>0</v>
      </c>
      <c r="AY76" s="13">
        <f t="shared" si="0"/>
        <v>8</v>
      </c>
    </row>
    <row r="77" spans="1:51" ht="12.75" customHeight="1" x14ac:dyDescent="0.3">
      <c r="A77" s="14"/>
      <c r="B77" s="27">
        <v>5</v>
      </c>
      <c r="C77" s="28" t="s">
        <v>66</v>
      </c>
      <c r="D77" s="29"/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4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1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3">
        <f t="shared" si="0"/>
        <v>5</v>
      </c>
    </row>
    <row r="78" spans="1:51" ht="12.75" customHeight="1" x14ac:dyDescent="0.3">
      <c r="A78" s="14"/>
      <c r="B78" s="27">
        <v>6</v>
      </c>
      <c r="C78" s="28" t="s">
        <v>67</v>
      </c>
      <c r="D78" s="29"/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1</v>
      </c>
      <c r="X78" s="15">
        <v>2</v>
      </c>
      <c r="Y78" s="15">
        <v>0</v>
      </c>
      <c r="Z78" s="15">
        <v>12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2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3">
        <f t="shared" si="0"/>
        <v>17</v>
      </c>
    </row>
    <row r="79" spans="1:51" ht="15" customHeight="1" x14ac:dyDescent="0.3">
      <c r="A79" s="15" t="s">
        <v>15</v>
      </c>
      <c r="B79" s="47" t="s">
        <v>46</v>
      </c>
      <c r="C79" s="48"/>
      <c r="D79" s="49"/>
      <c r="E79" s="34">
        <f t="shared" ref="E79:AX79" si="13">SUM(E72:E78)</f>
        <v>2</v>
      </c>
      <c r="F79" s="34">
        <f t="shared" si="13"/>
        <v>4</v>
      </c>
      <c r="G79" s="34">
        <f t="shared" si="13"/>
        <v>17</v>
      </c>
      <c r="H79" s="34">
        <f t="shared" si="13"/>
        <v>6</v>
      </c>
      <c r="I79" s="34">
        <f t="shared" si="13"/>
        <v>8</v>
      </c>
      <c r="J79" s="34">
        <f t="shared" si="13"/>
        <v>2</v>
      </c>
      <c r="K79" s="34">
        <f t="shared" si="13"/>
        <v>2</v>
      </c>
      <c r="L79" s="34">
        <f t="shared" si="13"/>
        <v>1</v>
      </c>
      <c r="M79" s="34">
        <f t="shared" si="13"/>
        <v>8</v>
      </c>
      <c r="N79" s="34">
        <f t="shared" si="13"/>
        <v>3</v>
      </c>
      <c r="O79" s="34">
        <f t="shared" si="13"/>
        <v>1</v>
      </c>
      <c r="P79" s="34">
        <f t="shared" si="13"/>
        <v>8</v>
      </c>
      <c r="Q79" s="34">
        <f t="shared" si="13"/>
        <v>5</v>
      </c>
      <c r="R79" s="34">
        <f t="shared" si="13"/>
        <v>1</v>
      </c>
      <c r="S79" s="34">
        <f t="shared" si="13"/>
        <v>0</v>
      </c>
      <c r="T79" s="34">
        <f t="shared" si="13"/>
        <v>1</v>
      </c>
      <c r="U79" s="34">
        <f t="shared" si="13"/>
        <v>2</v>
      </c>
      <c r="V79" s="34">
        <f t="shared" si="13"/>
        <v>0</v>
      </c>
      <c r="W79" s="34">
        <f t="shared" si="13"/>
        <v>6</v>
      </c>
      <c r="X79" s="34">
        <f t="shared" si="13"/>
        <v>6</v>
      </c>
      <c r="Y79" s="34">
        <f t="shared" si="13"/>
        <v>5</v>
      </c>
      <c r="Z79" s="34">
        <f t="shared" si="13"/>
        <v>14</v>
      </c>
      <c r="AA79" s="34">
        <f t="shared" si="13"/>
        <v>2</v>
      </c>
      <c r="AB79" s="34">
        <f t="shared" si="13"/>
        <v>3</v>
      </c>
      <c r="AC79" s="34">
        <f t="shared" si="13"/>
        <v>7</v>
      </c>
      <c r="AD79" s="34">
        <f t="shared" si="13"/>
        <v>8</v>
      </c>
      <c r="AE79" s="34">
        <f t="shared" si="13"/>
        <v>12</v>
      </c>
      <c r="AF79" s="34">
        <f t="shared" si="13"/>
        <v>2</v>
      </c>
      <c r="AG79" s="34">
        <f t="shared" si="13"/>
        <v>3</v>
      </c>
      <c r="AH79" s="34">
        <f t="shared" si="13"/>
        <v>2</v>
      </c>
      <c r="AI79" s="34">
        <f t="shared" si="13"/>
        <v>3</v>
      </c>
      <c r="AJ79" s="34">
        <f t="shared" si="13"/>
        <v>16</v>
      </c>
      <c r="AK79" s="34">
        <f t="shared" si="13"/>
        <v>7</v>
      </c>
      <c r="AL79" s="34">
        <f t="shared" si="13"/>
        <v>15</v>
      </c>
      <c r="AM79" s="34">
        <f t="shared" si="13"/>
        <v>16</v>
      </c>
      <c r="AN79" s="34">
        <f t="shared" si="13"/>
        <v>7</v>
      </c>
      <c r="AO79" s="34">
        <f t="shared" si="13"/>
        <v>1</v>
      </c>
      <c r="AP79" s="34">
        <f t="shared" si="13"/>
        <v>3</v>
      </c>
      <c r="AQ79" s="34">
        <f t="shared" si="13"/>
        <v>1</v>
      </c>
      <c r="AR79" s="34">
        <f t="shared" si="13"/>
        <v>7</v>
      </c>
      <c r="AS79" s="34">
        <f t="shared" si="13"/>
        <v>1</v>
      </c>
      <c r="AT79" s="34">
        <f t="shared" si="13"/>
        <v>14</v>
      </c>
      <c r="AU79" s="34">
        <f t="shared" si="13"/>
        <v>8</v>
      </c>
      <c r="AV79" s="34">
        <f t="shared" si="13"/>
        <v>43</v>
      </c>
      <c r="AW79" s="34">
        <f t="shared" si="13"/>
        <v>23</v>
      </c>
      <c r="AX79" s="34">
        <f t="shared" si="13"/>
        <v>8</v>
      </c>
      <c r="AY79" s="13">
        <f t="shared" ref="AY79:AY142" si="14">SUM(E79:AX79)</f>
        <v>314</v>
      </c>
    </row>
    <row r="80" spans="1:51" ht="12.75" customHeight="1" x14ac:dyDescent="0.3">
      <c r="A80" s="35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13">
        <f t="shared" si="14"/>
        <v>0</v>
      </c>
    </row>
    <row r="81" spans="1:51" ht="12.75" customHeight="1" x14ac:dyDescent="0.3">
      <c r="A81" s="19" t="s">
        <v>37</v>
      </c>
      <c r="B81" s="26" t="s">
        <v>68</v>
      </c>
      <c r="C81" s="50" t="s">
        <v>69</v>
      </c>
      <c r="D81" s="49"/>
      <c r="E81" s="15">
        <v>1</v>
      </c>
      <c r="F81" s="15">
        <v>0</v>
      </c>
      <c r="G81" s="15">
        <v>0</v>
      </c>
      <c r="H81" s="15">
        <v>0</v>
      </c>
      <c r="I81" s="15">
        <v>1</v>
      </c>
      <c r="J81" s="15">
        <v>0</v>
      </c>
      <c r="K81" s="15">
        <v>0</v>
      </c>
      <c r="L81" s="15">
        <v>0</v>
      </c>
      <c r="M81" s="15">
        <v>2</v>
      </c>
      <c r="N81" s="15">
        <v>0</v>
      </c>
      <c r="O81" s="15">
        <v>0</v>
      </c>
      <c r="P81" s="15">
        <v>0</v>
      </c>
      <c r="Q81" s="15">
        <v>1</v>
      </c>
      <c r="R81" s="15">
        <v>0</v>
      </c>
      <c r="S81" s="15">
        <v>0</v>
      </c>
      <c r="T81" s="15">
        <v>1</v>
      </c>
      <c r="U81" s="15">
        <v>0</v>
      </c>
      <c r="V81" s="15">
        <v>2</v>
      </c>
      <c r="W81" s="15">
        <v>1</v>
      </c>
      <c r="X81" s="15">
        <v>0</v>
      </c>
      <c r="Y81" s="15">
        <v>0</v>
      </c>
      <c r="Z81" s="15">
        <v>1</v>
      </c>
      <c r="AA81" s="15">
        <v>0</v>
      </c>
      <c r="AB81" s="15">
        <v>0</v>
      </c>
      <c r="AC81" s="15">
        <v>1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1</v>
      </c>
      <c r="AK81" s="15">
        <v>0</v>
      </c>
      <c r="AL81" s="15">
        <v>1</v>
      </c>
      <c r="AM81" s="15">
        <v>0</v>
      </c>
      <c r="AN81" s="15">
        <v>2</v>
      </c>
      <c r="AO81" s="15">
        <v>9</v>
      </c>
      <c r="AP81" s="15">
        <v>7</v>
      </c>
      <c r="AQ81" s="15">
        <v>8</v>
      </c>
      <c r="AR81" s="15">
        <v>5</v>
      </c>
      <c r="AS81" s="15">
        <v>17</v>
      </c>
      <c r="AT81" s="15">
        <v>9</v>
      </c>
      <c r="AU81" s="15">
        <v>8</v>
      </c>
      <c r="AV81" s="15">
        <v>0</v>
      </c>
      <c r="AW81" s="15">
        <v>0</v>
      </c>
      <c r="AX81" s="15"/>
      <c r="AY81" s="13">
        <f t="shared" si="14"/>
        <v>78</v>
      </c>
    </row>
    <row r="82" spans="1:51" ht="12.75" customHeight="1" x14ac:dyDescent="0.3">
      <c r="A82" s="19" t="s">
        <v>39</v>
      </c>
      <c r="B82" s="27">
        <v>1</v>
      </c>
      <c r="C82" s="28" t="s">
        <v>70</v>
      </c>
      <c r="D82" s="29"/>
      <c r="E82" s="15">
        <v>2</v>
      </c>
      <c r="F82" s="15">
        <v>2</v>
      </c>
      <c r="G82" s="15">
        <v>3</v>
      </c>
      <c r="H82" s="15">
        <v>4</v>
      </c>
      <c r="I82" s="15">
        <v>0</v>
      </c>
      <c r="J82" s="15">
        <v>6</v>
      </c>
      <c r="K82" s="15">
        <v>0</v>
      </c>
      <c r="L82" s="15">
        <v>0</v>
      </c>
      <c r="M82" s="15">
        <v>0</v>
      </c>
      <c r="N82" s="15">
        <v>2</v>
      </c>
      <c r="O82" s="15">
        <v>0</v>
      </c>
      <c r="P82" s="15">
        <v>0</v>
      </c>
      <c r="Q82" s="15">
        <v>12</v>
      </c>
      <c r="R82" s="15">
        <v>5</v>
      </c>
      <c r="S82" s="15">
        <v>0</v>
      </c>
      <c r="T82" s="15">
        <v>9</v>
      </c>
      <c r="U82" s="15">
        <v>0</v>
      </c>
      <c r="V82" s="15">
        <v>0</v>
      </c>
      <c r="W82" s="15">
        <v>1</v>
      </c>
      <c r="X82" s="15">
        <v>0</v>
      </c>
      <c r="Y82" s="15">
        <v>4</v>
      </c>
      <c r="Z82" s="15">
        <v>2</v>
      </c>
      <c r="AA82" s="15">
        <v>0</v>
      </c>
      <c r="AB82" s="15">
        <v>3</v>
      </c>
      <c r="AC82" s="15">
        <v>1</v>
      </c>
      <c r="AD82" s="15">
        <v>0</v>
      </c>
      <c r="AE82" s="15">
        <v>1</v>
      </c>
      <c r="AF82" s="15">
        <v>7</v>
      </c>
      <c r="AG82" s="15">
        <v>1</v>
      </c>
      <c r="AH82" s="15">
        <v>0</v>
      </c>
      <c r="AI82" s="15">
        <v>1</v>
      </c>
      <c r="AJ82" s="15">
        <v>2</v>
      </c>
      <c r="AK82" s="15">
        <v>0</v>
      </c>
      <c r="AL82" s="15">
        <v>0</v>
      </c>
      <c r="AM82" s="15">
        <v>0</v>
      </c>
      <c r="AN82" s="15">
        <v>2</v>
      </c>
      <c r="AO82" s="15">
        <v>61</v>
      </c>
      <c r="AP82" s="15">
        <v>51</v>
      </c>
      <c r="AQ82" s="15">
        <v>33</v>
      </c>
      <c r="AR82" s="15">
        <v>43</v>
      </c>
      <c r="AS82" s="15">
        <v>58</v>
      </c>
      <c r="AT82" s="15">
        <v>51</v>
      </c>
      <c r="AU82" s="15">
        <v>70</v>
      </c>
      <c r="AV82" s="15">
        <v>0</v>
      </c>
      <c r="AW82" s="15">
        <v>1</v>
      </c>
      <c r="AX82" s="15">
        <v>3</v>
      </c>
      <c r="AY82" s="13">
        <f t="shared" si="14"/>
        <v>441</v>
      </c>
    </row>
    <row r="83" spans="1:51" ht="12.75" customHeight="1" x14ac:dyDescent="0.3">
      <c r="A83" s="14"/>
      <c r="B83" s="27">
        <v>2</v>
      </c>
      <c r="C83" s="28" t="s">
        <v>71</v>
      </c>
      <c r="D83" s="29"/>
      <c r="E83" s="15">
        <v>0</v>
      </c>
      <c r="F83" s="15">
        <v>0</v>
      </c>
      <c r="G83" s="15">
        <v>1</v>
      </c>
      <c r="H83" s="15">
        <v>1</v>
      </c>
      <c r="I83" s="15">
        <v>0</v>
      </c>
      <c r="J83" s="15">
        <v>0</v>
      </c>
      <c r="K83" s="15">
        <v>0</v>
      </c>
      <c r="L83" s="15">
        <v>1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1</v>
      </c>
      <c r="AC83" s="15">
        <v>1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1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1</v>
      </c>
      <c r="AS83" s="15">
        <v>2</v>
      </c>
      <c r="AT83" s="15">
        <v>1</v>
      </c>
      <c r="AU83" s="15">
        <v>0</v>
      </c>
      <c r="AV83" s="15">
        <v>0</v>
      </c>
      <c r="AW83" s="15">
        <v>0</v>
      </c>
      <c r="AX83" s="15"/>
      <c r="AY83" s="13">
        <f t="shared" si="14"/>
        <v>10</v>
      </c>
    </row>
    <row r="84" spans="1:51" ht="12.75" customHeight="1" x14ac:dyDescent="0.3">
      <c r="A84" s="14"/>
      <c r="B84" s="27">
        <v>3</v>
      </c>
      <c r="C84" s="28" t="s">
        <v>72</v>
      </c>
      <c r="D84" s="29"/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1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1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1</v>
      </c>
      <c r="AP84" s="15">
        <v>1</v>
      </c>
      <c r="AQ84" s="15">
        <v>1</v>
      </c>
      <c r="AR84" s="15">
        <v>0</v>
      </c>
      <c r="AS84" s="15">
        <v>0</v>
      </c>
      <c r="AT84" s="15">
        <v>0</v>
      </c>
      <c r="AU84" s="15">
        <v>1</v>
      </c>
      <c r="AV84" s="15">
        <v>0</v>
      </c>
      <c r="AW84" s="15">
        <v>0</v>
      </c>
      <c r="AX84" s="15"/>
      <c r="AY84" s="13">
        <f t="shared" si="14"/>
        <v>6</v>
      </c>
    </row>
    <row r="85" spans="1:51" ht="12.75" customHeight="1" x14ac:dyDescent="0.3">
      <c r="A85" s="14"/>
      <c r="B85" s="27">
        <v>4</v>
      </c>
      <c r="C85" s="28" t="s">
        <v>73</v>
      </c>
      <c r="D85" s="29"/>
      <c r="E85" s="15">
        <v>3</v>
      </c>
      <c r="F85" s="15">
        <v>2</v>
      </c>
      <c r="G85" s="15">
        <v>0</v>
      </c>
      <c r="H85" s="15">
        <v>0</v>
      </c>
      <c r="I85" s="15">
        <v>1</v>
      </c>
      <c r="J85" s="15">
        <v>0</v>
      </c>
      <c r="K85" s="15">
        <v>2</v>
      </c>
      <c r="L85" s="15">
        <v>0</v>
      </c>
      <c r="M85" s="15">
        <v>1</v>
      </c>
      <c r="N85" s="15">
        <v>0</v>
      </c>
      <c r="O85" s="15">
        <v>0</v>
      </c>
      <c r="P85" s="15">
        <v>8</v>
      </c>
      <c r="Q85" s="15">
        <v>0</v>
      </c>
      <c r="R85" s="15">
        <v>0</v>
      </c>
      <c r="S85" s="15">
        <v>0</v>
      </c>
      <c r="T85" s="15">
        <v>1</v>
      </c>
      <c r="U85" s="15">
        <v>3</v>
      </c>
      <c r="V85" s="15">
        <v>0</v>
      </c>
      <c r="W85" s="15">
        <v>0</v>
      </c>
      <c r="X85" s="15">
        <v>0</v>
      </c>
      <c r="Y85" s="15">
        <v>2</v>
      </c>
      <c r="Z85" s="15">
        <v>0</v>
      </c>
      <c r="AA85" s="15">
        <v>0</v>
      </c>
      <c r="AB85" s="15">
        <v>2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10</v>
      </c>
      <c r="AK85" s="15">
        <v>5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1</v>
      </c>
      <c r="AU85" s="15">
        <v>0</v>
      </c>
      <c r="AV85" s="15">
        <v>0</v>
      </c>
      <c r="AW85" s="15">
        <v>0</v>
      </c>
      <c r="AX85" s="15"/>
      <c r="AY85" s="13">
        <f t="shared" si="14"/>
        <v>41</v>
      </c>
    </row>
    <row r="86" spans="1:51" ht="12.75" customHeight="1" x14ac:dyDescent="0.3">
      <c r="A86" s="14"/>
      <c r="B86" s="27">
        <v>5</v>
      </c>
      <c r="C86" s="28" t="s">
        <v>74</v>
      </c>
      <c r="D86" s="29"/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1</v>
      </c>
      <c r="M86" s="15">
        <v>0</v>
      </c>
      <c r="N86" s="15">
        <v>0</v>
      </c>
      <c r="O86" s="15">
        <v>0</v>
      </c>
      <c r="P86" s="15">
        <v>0</v>
      </c>
      <c r="Q86" s="15">
        <v>2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1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15"/>
      <c r="AY86" s="13">
        <f t="shared" si="14"/>
        <v>4</v>
      </c>
    </row>
    <row r="87" spans="1:51" ht="12.75" customHeight="1" x14ac:dyDescent="0.3">
      <c r="A87" s="14"/>
      <c r="B87" s="27">
        <v>6</v>
      </c>
      <c r="C87" s="28" t="s">
        <v>75</v>
      </c>
      <c r="D87" s="29"/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1</v>
      </c>
      <c r="AB87" s="15">
        <v>0</v>
      </c>
      <c r="AC87" s="15">
        <v>0</v>
      </c>
      <c r="AD87" s="15">
        <v>1</v>
      </c>
      <c r="AE87" s="15">
        <v>1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/>
      <c r="AY87" s="13">
        <f t="shared" si="14"/>
        <v>3</v>
      </c>
    </row>
    <row r="88" spans="1:51" ht="12.75" customHeight="1" x14ac:dyDescent="0.3">
      <c r="A88" s="15" t="s">
        <v>15</v>
      </c>
      <c r="B88" s="47" t="s">
        <v>46</v>
      </c>
      <c r="C88" s="48"/>
      <c r="D88" s="49"/>
      <c r="E88" s="34">
        <f t="shared" ref="E88:AX88" si="15">SUM(E81:E87)</f>
        <v>6</v>
      </c>
      <c r="F88" s="34">
        <f t="shared" si="15"/>
        <v>4</v>
      </c>
      <c r="G88" s="34">
        <f t="shared" si="15"/>
        <v>4</v>
      </c>
      <c r="H88" s="34">
        <f t="shared" si="15"/>
        <v>5</v>
      </c>
      <c r="I88" s="34">
        <f t="shared" si="15"/>
        <v>2</v>
      </c>
      <c r="J88" s="34">
        <f t="shared" si="15"/>
        <v>6</v>
      </c>
      <c r="K88" s="34">
        <f t="shared" si="15"/>
        <v>2</v>
      </c>
      <c r="L88" s="34">
        <f t="shared" si="15"/>
        <v>3</v>
      </c>
      <c r="M88" s="34">
        <f t="shared" si="15"/>
        <v>3</v>
      </c>
      <c r="N88" s="34">
        <f t="shared" si="15"/>
        <v>2</v>
      </c>
      <c r="O88" s="34">
        <f t="shared" si="15"/>
        <v>0</v>
      </c>
      <c r="P88" s="34">
        <f t="shared" si="15"/>
        <v>8</v>
      </c>
      <c r="Q88" s="34">
        <f t="shared" si="15"/>
        <v>15</v>
      </c>
      <c r="R88" s="34">
        <f t="shared" si="15"/>
        <v>5</v>
      </c>
      <c r="S88" s="34">
        <f t="shared" si="15"/>
        <v>0</v>
      </c>
      <c r="T88" s="34">
        <f t="shared" si="15"/>
        <v>11</v>
      </c>
      <c r="U88" s="34">
        <f t="shared" si="15"/>
        <v>3</v>
      </c>
      <c r="V88" s="34">
        <f t="shared" si="15"/>
        <v>3</v>
      </c>
      <c r="W88" s="34">
        <f t="shared" si="15"/>
        <v>2</v>
      </c>
      <c r="X88" s="34">
        <f t="shared" si="15"/>
        <v>0</v>
      </c>
      <c r="Y88" s="34">
        <f t="shared" si="15"/>
        <v>6</v>
      </c>
      <c r="Z88" s="34">
        <f t="shared" si="15"/>
        <v>3</v>
      </c>
      <c r="AA88" s="34">
        <f t="shared" si="15"/>
        <v>1</v>
      </c>
      <c r="AB88" s="34">
        <f t="shared" si="15"/>
        <v>6</v>
      </c>
      <c r="AC88" s="34">
        <f t="shared" si="15"/>
        <v>3</v>
      </c>
      <c r="AD88" s="34">
        <f t="shared" si="15"/>
        <v>1</v>
      </c>
      <c r="AE88" s="34">
        <f t="shared" si="15"/>
        <v>2</v>
      </c>
      <c r="AF88" s="34">
        <f t="shared" si="15"/>
        <v>8</v>
      </c>
      <c r="AG88" s="34">
        <f t="shared" si="15"/>
        <v>1</v>
      </c>
      <c r="AH88" s="34">
        <f t="shared" si="15"/>
        <v>0</v>
      </c>
      <c r="AI88" s="34">
        <f t="shared" si="15"/>
        <v>2</v>
      </c>
      <c r="AJ88" s="34">
        <f t="shared" si="15"/>
        <v>13</v>
      </c>
      <c r="AK88" s="34">
        <f t="shared" si="15"/>
        <v>5</v>
      </c>
      <c r="AL88" s="34">
        <f t="shared" si="15"/>
        <v>1</v>
      </c>
      <c r="AM88" s="34">
        <f t="shared" si="15"/>
        <v>0</v>
      </c>
      <c r="AN88" s="34">
        <f t="shared" si="15"/>
        <v>4</v>
      </c>
      <c r="AO88" s="34">
        <f t="shared" si="15"/>
        <v>71</v>
      </c>
      <c r="AP88" s="34">
        <f t="shared" si="15"/>
        <v>59</v>
      </c>
      <c r="AQ88" s="34">
        <f t="shared" si="15"/>
        <v>42</v>
      </c>
      <c r="AR88" s="34">
        <f t="shared" si="15"/>
        <v>49</v>
      </c>
      <c r="AS88" s="34">
        <f t="shared" si="15"/>
        <v>77</v>
      </c>
      <c r="AT88" s="34">
        <f t="shared" si="15"/>
        <v>62</v>
      </c>
      <c r="AU88" s="34">
        <f t="shared" si="15"/>
        <v>79</v>
      </c>
      <c r="AV88" s="34">
        <f t="shared" si="15"/>
        <v>0</v>
      </c>
      <c r="AW88" s="34">
        <f t="shared" si="15"/>
        <v>1</v>
      </c>
      <c r="AX88" s="34">
        <f t="shared" si="15"/>
        <v>3</v>
      </c>
      <c r="AY88" s="13">
        <f t="shared" si="14"/>
        <v>583</v>
      </c>
    </row>
    <row r="89" spans="1:51" ht="12.75" customHeight="1" x14ac:dyDescent="0.3">
      <c r="A89" s="35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13">
        <f t="shared" si="14"/>
        <v>0</v>
      </c>
    </row>
    <row r="90" spans="1:51" ht="12.75" customHeight="1" x14ac:dyDescent="0.3">
      <c r="A90" s="19" t="s">
        <v>37</v>
      </c>
      <c r="B90" s="26" t="s">
        <v>76</v>
      </c>
      <c r="C90" s="50" t="s">
        <v>77</v>
      </c>
      <c r="D90" s="49"/>
      <c r="E90" s="15">
        <v>0</v>
      </c>
      <c r="F90" s="15">
        <v>2</v>
      </c>
      <c r="G90" s="15">
        <v>0</v>
      </c>
      <c r="H90" s="15">
        <v>0</v>
      </c>
      <c r="I90" s="15">
        <v>0</v>
      </c>
      <c r="J90" s="15">
        <v>0</v>
      </c>
      <c r="K90" s="15">
        <v>4</v>
      </c>
      <c r="L90" s="15">
        <v>0</v>
      </c>
      <c r="M90" s="15">
        <v>1</v>
      </c>
      <c r="N90" s="15">
        <v>2</v>
      </c>
      <c r="O90" s="15">
        <v>2</v>
      </c>
      <c r="P90" s="15">
        <v>0</v>
      </c>
      <c r="Q90" s="15">
        <v>0</v>
      </c>
      <c r="R90" s="15">
        <v>0</v>
      </c>
      <c r="S90" s="15">
        <v>0</v>
      </c>
      <c r="T90" s="15">
        <v>2</v>
      </c>
      <c r="U90" s="15">
        <v>0</v>
      </c>
      <c r="V90" s="15">
        <v>0</v>
      </c>
      <c r="W90" s="15">
        <v>0</v>
      </c>
      <c r="X90" s="15">
        <v>1</v>
      </c>
      <c r="Y90" s="15">
        <v>0</v>
      </c>
      <c r="Z90" s="15">
        <v>0</v>
      </c>
      <c r="AA90" s="15">
        <v>0</v>
      </c>
      <c r="AB90" s="15">
        <v>2</v>
      </c>
      <c r="AC90" s="15">
        <v>0</v>
      </c>
      <c r="AD90" s="15">
        <v>2</v>
      </c>
      <c r="AE90" s="15">
        <v>1</v>
      </c>
      <c r="AF90" s="15">
        <v>0</v>
      </c>
      <c r="AG90" s="15">
        <v>2</v>
      </c>
      <c r="AH90" s="15">
        <v>0</v>
      </c>
      <c r="AI90" s="15">
        <v>0</v>
      </c>
      <c r="AJ90" s="15">
        <v>1</v>
      </c>
      <c r="AK90" s="15">
        <v>0</v>
      </c>
      <c r="AL90" s="15">
        <v>2</v>
      </c>
      <c r="AM90" s="15">
        <v>1</v>
      </c>
      <c r="AN90" s="15">
        <v>1</v>
      </c>
      <c r="AO90" s="15">
        <v>2</v>
      </c>
      <c r="AP90" s="15">
        <v>0</v>
      </c>
      <c r="AQ90" s="15">
        <v>2</v>
      </c>
      <c r="AR90" s="15">
        <v>0</v>
      </c>
      <c r="AS90" s="15">
        <v>0</v>
      </c>
      <c r="AT90" s="15">
        <v>2</v>
      </c>
      <c r="AU90" s="15">
        <v>0</v>
      </c>
      <c r="AV90" s="15">
        <v>3</v>
      </c>
      <c r="AW90" s="15">
        <v>0</v>
      </c>
      <c r="AX90" s="15"/>
      <c r="AY90" s="13">
        <f t="shared" si="14"/>
        <v>35</v>
      </c>
    </row>
    <row r="91" spans="1:51" ht="15" customHeight="1" x14ac:dyDescent="0.3">
      <c r="A91" s="19"/>
      <c r="B91" s="27">
        <v>1</v>
      </c>
      <c r="C91" s="28" t="s">
        <v>78</v>
      </c>
      <c r="D91" s="37"/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1</v>
      </c>
      <c r="K91" s="15">
        <v>0</v>
      </c>
      <c r="L91" s="15">
        <v>1</v>
      </c>
      <c r="M91" s="15">
        <v>0</v>
      </c>
      <c r="N91" s="15">
        <v>0</v>
      </c>
      <c r="O91" s="15">
        <v>1</v>
      </c>
      <c r="P91" s="15">
        <v>0</v>
      </c>
      <c r="Q91" s="15">
        <v>1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1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1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1</v>
      </c>
      <c r="AO91" s="15">
        <v>0</v>
      </c>
      <c r="AP91" s="15">
        <v>0</v>
      </c>
      <c r="AQ91" s="15">
        <v>0</v>
      </c>
      <c r="AR91" s="15">
        <v>1</v>
      </c>
      <c r="AS91" s="15">
        <v>0</v>
      </c>
      <c r="AT91" s="15">
        <v>0</v>
      </c>
      <c r="AU91" s="15">
        <v>1</v>
      </c>
      <c r="AV91" s="15">
        <v>0</v>
      </c>
      <c r="AW91" s="15">
        <v>0</v>
      </c>
      <c r="AX91" s="15"/>
      <c r="AY91" s="13">
        <f t="shared" si="14"/>
        <v>9</v>
      </c>
    </row>
    <row r="92" spans="1:51" ht="12.75" customHeight="1" x14ac:dyDescent="0.3">
      <c r="A92" s="19"/>
      <c r="B92" s="27">
        <v>2</v>
      </c>
      <c r="C92" s="28" t="s">
        <v>79</v>
      </c>
      <c r="D92" s="37"/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1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1</v>
      </c>
      <c r="AC92" s="15">
        <v>0</v>
      </c>
      <c r="AD92" s="15">
        <v>1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5</v>
      </c>
      <c r="AO92" s="15">
        <v>0</v>
      </c>
      <c r="AP92" s="15">
        <v>0</v>
      </c>
      <c r="AQ92" s="15">
        <v>0</v>
      </c>
      <c r="AR92" s="15">
        <v>1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/>
      <c r="AY92" s="13">
        <f t="shared" si="14"/>
        <v>9</v>
      </c>
    </row>
    <row r="93" spans="1:51" ht="12.75" customHeight="1" x14ac:dyDescent="0.3">
      <c r="A93" s="19" t="s">
        <v>39</v>
      </c>
      <c r="B93" s="27">
        <v>3</v>
      </c>
      <c r="C93" s="28" t="s">
        <v>80</v>
      </c>
      <c r="D93" s="37"/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1</v>
      </c>
      <c r="AX93" s="15"/>
      <c r="AY93" s="13">
        <f t="shared" si="14"/>
        <v>1</v>
      </c>
    </row>
    <row r="94" spans="1:51" ht="12.75" customHeight="1" x14ac:dyDescent="0.3">
      <c r="A94" s="15" t="s">
        <v>15</v>
      </c>
      <c r="B94" s="47" t="s">
        <v>46</v>
      </c>
      <c r="C94" s="48"/>
      <c r="D94" s="49"/>
      <c r="E94" s="34">
        <f t="shared" ref="E94:AX94" si="16">SUM(E90:E93)</f>
        <v>0</v>
      </c>
      <c r="F94" s="34">
        <f t="shared" si="16"/>
        <v>2</v>
      </c>
      <c r="G94" s="34">
        <f t="shared" si="16"/>
        <v>0</v>
      </c>
      <c r="H94" s="34">
        <f t="shared" si="16"/>
        <v>0</v>
      </c>
      <c r="I94" s="34">
        <f t="shared" si="16"/>
        <v>0</v>
      </c>
      <c r="J94" s="34">
        <f t="shared" si="16"/>
        <v>1</v>
      </c>
      <c r="K94" s="34">
        <f t="shared" si="16"/>
        <v>4</v>
      </c>
      <c r="L94" s="34">
        <f t="shared" si="16"/>
        <v>1</v>
      </c>
      <c r="M94" s="34">
        <f t="shared" si="16"/>
        <v>1</v>
      </c>
      <c r="N94" s="34">
        <f t="shared" si="16"/>
        <v>2</v>
      </c>
      <c r="O94" s="34">
        <f t="shared" si="16"/>
        <v>4</v>
      </c>
      <c r="P94" s="34">
        <f t="shared" si="16"/>
        <v>0</v>
      </c>
      <c r="Q94" s="34">
        <f t="shared" si="16"/>
        <v>1</v>
      </c>
      <c r="R94" s="34">
        <f t="shared" si="16"/>
        <v>0</v>
      </c>
      <c r="S94" s="34">
        <f t="shared" si="16"/>
        <v>0</v>
      </c>
      <c r="T94" s="34">
        <f t="shared" si="16"/>
        <v>2</v>
      </c>
      <c r="U94" s="34">
        <f t="shared" si="16"/>
        <v>0</v>
      </c>
      <c r="V94" s="34">
        <f t="shared" si="16"/>
        <v>0</v>
      </c>
      <c r="W94" s="34">
        <f t="shared" si="16"/>
        <v>0</v>
      </c>
      <c r="X94" s="34">
        <f t="shared" si="16"/>
        <v>2</v>
      </c>
      <c r="Y94" s="34">
        <f t="shared" si="16"/>
        <v>0</v>
      </c>
      <c r="Z94" s="34">
        <f t="shared" si="16"/>
        <v>0</v>
      </c>
      <c r="AA94" s="34">
        <f t="shared" si="16"/>
        <v>0</v>
      </c>
      <c r="AB94" s="34">
        <f t="shared" si="16"/>
        <v>3</v>
      </c>
      <c r="AC94" s="34">
        <f t="shared" si="16"/>
        <v>0</v>
      </c>
      <c r="AD94" s="34">
        <f t="shared" si="16"/>
        <v>3</v>
      </c>
      <c r="AE94" s="34">
        <f t="shared" si="16"/>
        <v>1</v>
      </c>
      <c r="AF94" s="34">
        <f t="shared" si="16"/>
        <v>0</v>
      </c>
      <c r="AG94" s="34">
        <f t="shared" si="16"/>
        <v>2</v>
      </c>
      <c r="AH94" s="34">
        <f t="shared" si="16"/>
        <v>1</v>
      </c>
      <c r="AI94" s="34">
        <f t="shared" si="16"/>
        <v>0</v>
      </c>
      <c r="AJ94" s="34">
        <f t="shared" si="16"/>
        <v>1</v>
      </c>
      <c r="AK94" s="34">
        <f t="shared" si="16"/>
        <v>0</v>
      </c>
      <c r="AL94" s="34">
        <f t="shared" si="16"/>
        <v>2</v>
      </c>
      <c r="AM94" s="34">
        <f t="shared" si="16"/>
        <v>1</v>
      </c>
      <c r="AN94" s="34">
        <f t="shared" si="16"/>
        <v>7</v>
      </c>
      <c r="AO94" s="34">
        <f t="shared" si="16"/>
        <v>2</v>
      </c>
      <c r="AP94" s="34">
        <f t="shared" si="16"/>
        <v>0</v>
      </c>
      <c r="AQ94" s="34">
        <f t="shared" si="16"/>
        <v>2</v>
      </c>
      <c r="AR94" s="34">
        <f t="shared" si="16"/>
        <v>2</v>
      </c>
      <c r="AS94" s="34">
        <f t="shared" si="16"/>
        <v>0</v>
      </c>
      <c r="AT94" s="34">
        <f t="shared" si="16"/>
        <v>2</v>
      </c>
      <c r="AU94" s="34">
        <f t="shared" si="16"/>
        <v>1</v>
      </c>
      <c r="AV94" s="34">
        <f t="shared" si="16"/>
        <v>3</v>
      </c>
      <c r="AW94" s="34">
        <f t="shared" si="16"/>
        <v>1</v>
      </c>
      <c r="AX94" s="34">
        <f t="shared" si="16"/>
        <v>0</v>
      </c>
      <c r="AY94" s="13">
        <f t="shared" si="14"/>
        <v>54</v>
      </c>
    </row>
    <row r="95" spans="1:51" ht="12.75" customHeight="1" x14ac:dyDescent="0.3">
      <c r="A95" s="35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13">
        <f t="shared" si="14"/>
        <v>0</v>
      </c>
    </row>
    <row r="96" spans="1:51" ht="12.75" customHeight="1" x14ac:dyDescent="0.3">
      <c r="A96" s="19" t="s">
        <v>37</v>
      </c>
      <c r="B96" s="26" t="s">
        <v>81</v>
      </c>
      <c r="C96" s="50" t="s">
        <v>82</v>
      </c>
      <c r="D96" s="49"/>
      <c r="E96" s="15">
        <v>1</v>
      </c>
      <c r="F96" s="15">
        <v>0</v>
      </c>
      <c r="G96" s="15">
        <v>1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1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1</v>
      </c>
      <c r="U96" s="15">
        <v>0</v>
      </c>
      <c r="V96" s="15">
        <v>0</v>
      </c>
      <c r="W96" s="15">
        <v>0</v>
      </c>
      <c r="X96" s="15">
        <v>1</v>
      </c>
      <c r="Y96" s="15">
        <v>0</v>
      </c>
      <c r="Z96" s="15">
        <v>1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1</v>
      </c>
      <c r="AI96" s="15">
        <v>0</v>
      </c>
      <c r="AJ96" s="15">
        <v>0</v>
      </c>
      <c r="AK96" s="15">
        <v>0</v>
      </c>
      <c r="AL96" s="15">
        <v>1</v>
      </c>
      <c r="AM96" s="15">
        <v>0</v>
      </c>
      <c r="AN96" s="15">
        <v>1</v>
      </c>
      <c r="AO96" s="15">
        <v>2</v>
      </c>
      <c r="AP96" s="15">
        <v>0</v>
      </c>
      <c r="AQ96" s="15">
        <v>3</v>
      </c>
      <c r="AR96" s="15">
        <v>0</v>
      </c>
      <c r="AS96" s="15">
        <v>2</v>
      </c>
      <c r="AT96" s="15">
        <v>0</v>
      </c>
      <c r="AU96" s="15">
        <v>0</v>
      </c>
      <c r="AV96" s="15">
        <v>0</v>
      </c>
      <c r="AW96" s="15">
        <v>0</v>
      </c>
      <c r="AX96" s="15"/>
      <c r="AY96" s="13">
        <f t="shared" si="14"/>
        <v>16</v>
      </c>
    </row>
    <row r="97" spans="1:51" ht="12.75" customHeight="1" x14ac:dyDescent="0.3">
      <c r="A97" s="19" t="s">
        <v>39</v>
      </c>
      <c r="B97" s="27">
        <v>1</v>
      </c>
      <c r="C97" s="28" t="s">
        <v>83</v>
      </c>
      <c r="D97" s="29"/>
      <c r="E97" s="15">
        <v>0</v>
      </c>
      <c r="F97" s="15">
        <v>0</v>
      </c>
      <c r="G97" s="15">
        <v>1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1</v>
      </c>
      <c r="R97" s="15">
        <v>0</v>
      </c>
      <c r="S97" s="15">
        <v>0</v>
      </c>
      <c r="T97" s="15">
        <v>0</v>
      </c>
      <c r="U97" s="15">
        <v>0</v>
      </c>
      <c r="V97" s="15">
        <v>1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1</v>
      </c>
      <c r="AL97" s="15">
        <v>2</v>
      </c>
      <c r="AM97" s="15">
        <v>0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5">
        <v>0</v>
      </c>
      <c r="AX97" s="15"/>
      <c r="AY97" s="13">
        <f t="shared" si="14"/>
        <v>6</v>
      </c>
    </row>
    <row r="98" spans="1:51" ht="12.75" customHeight="1" x14ac:dyDescent="0.3">
      <c r="A98" s="19"/>
      <c r="B98" s="27">
        <v>2</v>
      </c>
      <c r="C98" s="28" t="s">
        <v>84</v>
      </c>
      <c r="D98" s="29"/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1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1</v>
      </c>
      <c r="AO98" s="15">
        <v>0</v>
      </c>
      <c r="AP98" s="15">
        <v>0</v>
      </c>
      <c r="AQ98" s="15">
        <v>0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5">
        <v>0</v>
      </c>
      <c r="AX98" s="15"/>
      <c r="AY98" s="13">
        <f t="shared" si="14"/>
        <v>2</v>
      </c>
    </row>
    <row r="99" spans="1:51" ht="12.75" customHeight="1" x14ac:dyDescent="0.3">
      <c r="A99" s="15" t="s">
        <v>15</v>
      </c>
      <c r="B99" s="47" t="s">
        <v>46</v>
      </c>
      <c r="C99" s="48"/>
      <c r="D99" s="49"/>
      <c r="E99" s="34">
        <f t="shared" ref="E99:AX99" si="17">SUM(E96:E98)</f>
        <v>1</v>
      </c>
      <c r="F99" s="34">
        <f t="shared" si="17"/>
        <v>0</v>
      </c>
      <c r="G99" s="34">
        <f t="shared" si="17"/>
        <v>2</v>
      </c>
      <c r="H99" s="34">
        <f t="shared" si="17"/>
        <v>0</v>
      </c>
      <c r="I99" s="34">
        <f t="shared" si="17"/>
        <v>0</v>
      </c>
      <c r="J99" s="34">
        <f t="shared" si="17"/>
        <v>0</v>
      </c>
      <c r="K99" s="34">
        <f t="shared" si="17"/>
        <v>0</v>
      </c>
      <c r="L99" s="34">
        <f t="shared" si="17"/>
        <v>0</v>
      </c>
      <c r="M99" s="34">
        <f t="shared" si="17"/>
        <v>0</v>
      </c>
      <c r="N99" s="34">
        <f t="shared" si="17"/>
        <v>1</v>
      </c>
      <c r="O99" s="34">
        <f t="shared" si="17"/>
        <v>0</v>
      </c>
      <c r="P99" s="34">
        <f t="shared" si="17"/>
        <v>0</v>
      </c>
      <c r="Q99" s="34">
        <f t="shared" si="17"/>
        <v>1</v>
      </c>
      <c r="R99" s="34">
        <f t="shared" si="17"/>
        <v>0</v>
      </c>
      <c r="S99" s="34">
        <f t="shared" si="17"/>
        <v>0</v>
      </c>
      <c r="T99" s="34">
        <f t="shared" si="17"/>
        <v>2</v>
      </c>
      <c r="U99" s="34">
        <f t="shared" si="17"/>
        <v>0</v>
      </c>
      <c r="V99" s="34">
        <f t="shared" si="17"/>
        <v>1</v>
      </c>
      <c r="W99" s="34">
        <f t="shared" si="17"/>
        <v>0</v>
      </c>
      <c r="X99" s="34">
        <f t="shared" si="17"/>
        <v>1</v>
      </c>
      <c r="Y99" s="34">
        <f t="shared" si="17"/>
        <v>0</v>
      </c>
      <c r="Z99" s="34">
        <f t="shared" si="17"/>
        <v>1</v>
      </c>
      <c r="AA99" s="34">
        <f t="shared" si="17"/>
        <v>0</v>
      </c>
      <c r="AB99" s="34">
        <f t="shared" si="17"/>
        <v>0</v>
      </c>
      <c r="AC99" s="34">
        <f t="shared" si="17"/>
        <v>0</v>
      </c>
      <c r="AD99" s="34">
        <f t="shared" si="17"/>
        <v>0</v>
      </c>
      <c r="AE99" s="34">
        <f t="shared" si="17"/>
        <v>0</v>
      </c>
      <c r="AF99" s="34">
        <f t="shared" si="17"/>
        <v>0</v>
      </c>
      <c r="AG99" s="34">
        <f t="shared" si="17"/>
        <v>0</v>
      </c>
      <c r="AH99" s="34">
        <f t="shared" si="17"/>
        <v>1</v>
      </c>
      <c r="AI99" s="34">
        <f t="shared" si="17"/>
        <v>0</v>
      </c>
      <c r="AJ99" s="34">
        <f t="shared" si="17"/>
        <v>0</v>
      </c>
      <c r="AK99" s="34">
        <f t="shared" si="17"/>
        <v>1</v>
      </c>
      <c r="AL99" s="34">
        <f t="shared" si="17"/>
        <v>3</v>
      </c>
      <c r="AM99" s="34">
        <f t="shared" si="17"/>
        <v>0</v>
      </c>
      <c r="AN99" s="34">
        <f t="shared" si="17"/>
        <v>2</v>
      </c>
      <c r="AO99" s="34">
        <f t="shared" si="17"/>
        <v>2</v>
      </c>
      <c r="AP99" s="34">
        <f t="shared" si="17"/>
        <v>0</v>
      </c>
      <c r="AQ99" s="34">
        <f t="shared" si="17"/>
        <v>3</v>
      </c>
      <c r="AR99" s="34">
        <f t="shared" si="17"/>
        <v>0</v>
      </c>
      <c r="AS99" s="34">
        <f t="shared" si="17"/>
        <v>2</v>
      </c>
      <c r="AT99" s="34">
        <f t="shared" si="17"/>
        <v>0</v>
      </c>
      <c r="AU99" s="34">
        <f t="shared" si="17"/>
        <v>0</v>
      </c>
      <c r="AV99" s="34">
        <f t="shared" si="17"/>
        <v>0</v>
      </c>
      <c r="AW99" s="34">
        <f t="shared" si="17"/>
        <v>0</v>
      </c>
      <c r="AX99" s="34">
        <f t="shared" si="17"/>
        <v>0</v>
      </c>
      <c r="AY99" s="13">
        <f t="shared" si="14"/>
        <v>24</v>
      </c>
    </row>
    <row r="100" spans="1:51" ht="12.75" customHeight="1" x14ac:dyDescent="0.3">
      <c r="A100" s="35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13">
        <f t="shared" si="14"/>
        <v>0</v>
      </c>
    </row>
    <row r="101" spans="1:51" ht="12.75" customHeight="1" x14ac:dyDescent="0.3">
      <c r="A101" s="19" t="s">
        <v>37</v>
      </c>
      <c r="B101" s="26" t="s">
        <v>85</v>
      </c>
      <c r="C101" s="50" t="s">
        <v>86</v>
      </c>
      <c r="D101" s="49"/>
      <c r="E101" s="15">
        <v>1</v>
      </c>
      <c r="F101" s="15">
        <v>1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1</v>
      </c>
      <c r="R101" s="15">
        <v>2</v>
      </c>
      <c r="S101" s="15">
        <v>1</v>
      </c>
      <c r="T101" s="15">
        <v>0</v>
      </c>
      <c r="U101" s="15">
        <v>1</v>
      </c>
      <c r="V101" s="15">
        <v>0</v>
      </c>
      <c r="W101" s="15">
        <v>0</v>
      </c>
      <c r="X101" s="15">
        <v>1</v>
      </c>
      <c r="Y101" s="15">
        <v>2</v>
      </c>
      <c r="Z101" s="15">
        <v>1</v>
      </c>
      <c r="AA101" s="15">
        <v>0</v>
      </c>
      <c r="AB101" s="15">
        <v>2</v>
      </c>
      <c r="AC101" s="15">
        <v>0</v>
      </c>
      <c r="AD101" s="15">
        <v>0</v>
      </c>
      <c r="AE101" s="15">
        <v>1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1</v>
      </c>
      <c r="AL101" s="15">
        <v>1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/>
      <c r="AY101" s="13">
        <f t="shared" si="14"/>
        <v>16</v>
      </c>
    </row>
    <row r="102" spans="1:51" ht="12.75" customHeight="1" x14ac:dyDescent="0.3">
      <c r="A102" s="19" t="s">
        <v>39</v>
      </c>
      <c r="B102" s="27">
        <v>1</v>
      </c>
      <c r="C102" s="28" t="s">
        <v>87</v>
      </c>
      <c r="D102" s="29"/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4</v>
      </c>
      <c r="K102" s="15">
        <v>0</v>
      </c>
      <c r="L102" s="15">
        <v>0</v>
      </c>
      <c r="M102" s="15">
        <v>2</v>
      </c>
      <c r="N102" s="15">
        <v>1</v>
      </c>
      <c r="O102" s="15">
        <v>0</v>
      </c>
      <c r="P102" s="15">
        <v>0</v>
      </c>
      <c r="Q102" s="15">
        <v>2</v>
      </c>
      <c r="R102" s="15">
        <v>1</v>
      </c>
      <c r="S102" s="15">
        <v>3</v>
      </c>
      <c r="T102" s="15">
        <v>1</v>
      </c>
      <c r="U102" s="15">
        <v>0</v>
      </c>
      <c r="V102" s="15">
        <v>1</v>
      </c>
      <c r="W102" s="15">
        <v>5</v>
      </c>
      <c r="X102" s="15">
        <v>0</v>
      </c>
      <c r="Y102" s="15">
        <v>3</v>
      </c>
      <c r="Z102" s="15">
        <v>0</v>
      </c>
      <c r="AA102" s="15">
        <v>1</v>
      </c>
      <c r="AB102" s="15">
        <v>0</v>
      </c>
      <c r="AC102" s="15">
        <v>3</v>
      </c>
      <c r="AD102" s="15">
        <v>0</v>
      </c>
      <c r="AE102" s="15">
        <v>1</v>
      </c>
      <c r="AF102" s="15">
        <v>0</v>
      </c>
      <c r="AG102" s="15">
        <v>1</v>
      </c>
      <c r="AH102" s="15">
        <v>0</v>
      </c>
      <c r="AI102" s="15">
        <v>0</v>
      </c>
      <c r="AJ102" s="15">
        <v>0</v>
      </c>
      <c r="AK102" s="15">
        <v>3</v>
      </c>
      <c r="AL102" s="15">
        <v>1</v>
      </c>
      <c r="AM102" s="15">
        <v>0</v>
      </c>
      <c r="AN102" s="15">
        <v>0</v>
      </c>
      <c r="AO102" s="15">
        <v>1</v>
      </c>
      <c r="AP102" s="15">
        <v>0</v>
      </c>
      <c r="AQ102" s="15">
        <v>0</v>
      </c>
      <c r="AR102" s="15">
        <v>3</v>
      </c>
      <c r="AS102" s="15">
        <v>2</v>
      </c>
      <c r="AT102" s="15">
        <v>0</v>
      </c>
      <c r="AU102" s="15">
        <v>3</v>
      </c>
      <c r="AV102" s="15">
        <v>0</v>
      </c>
      <c r="AW102" s="15">
        <v>1</v>
      </c>
      <c r="AX102" s="15"/>
      <c r="AY102" s="13">
        <f t="shared" si="14"/>
        <v>43</v>
      </c>
    </row>
    <row r="103" spans="1:51" ht="15" customHeight="1" x14ac:dyDescent="0.3">
      <c r="A103" s="14"/>
      <c r="B103" s="27">
        <v>2</v>
      </c>
      <c r="C103" s="28" t="s">
        <v>88</v>
      </c>
      <c r="D103" s="29"/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1</v>
      </c>
      <c r="O103" s="15">
        <v>0</v>
      </c>
      <c r="P103" s="15">
        <v>0</v>
      </c>
      <c r="Q103" s="15">
        <v>0</v>
      </c>
      <c r="R103" s="15">
        <v>1</v>
      </c>
      <c r="S103" s="15">
        <v>2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1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/>
      <c r="AY103" s="13">
        <f t="shared" si="14"/>
        <v>5</v>
      </c>
    </row>
    <row r="104" spans="1:51" ht="12.75" customHeight="1" x14ac:dyDescent="0.3">
      <c r="A104" s="14"/>
      <c r="B104" s="27">
        <v>3</v>
      </c>
      <c r="C104" s="28" t="s">
        <v>89</v>
      </c>
      <c r="D104" s="29"/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1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1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/>
      <c r="AY104" s="13">
        <f t="shared" si="14"/>
        <v>2</v>
      </c>
    </row>
    <row r="105" spans="1:51" ht="12.75" customHeight="1" x14ac:dyDescent="0.3">
      <c r="A105" s="14"/>
      <c r="B105" s="27">
        <v>4</v>
      </c>
      <c r="C105" s="28" t="s">
        <v>90</v>
      </c>
      <c r="D105" s="29"/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2</v>
      </c>
      <c r="X105" s="15">
        <v>0</v>
      </c>
      <c r="Y105" s="15">
        <v>0</v>
      </c>
      <c r="Z105" s="15">
        <v>1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</v>
      </c>
      <c r="AW105" s="15">
        <v>0</v>
      </c>
      <c r="AX105" s="15"/>
      <c r="AY105" s="13">
        <f t="shared" si="14"/>
        <v>3</v>
      </c>
    </row>
    <row r="106" spans="1:51" ht="12.75" customHeight="1" x14ac:dyDescent="0.3">
      <c r="A106" s="14"/>
      <c r="B106" s="27">
        <v>5</v>
      </c>
      <c r="C106" s="28" t="s">
        <v>91</v>
      </c>
      <c r="D106" s="29"/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1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1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/>
      <c r="AY106" s="13">
        <f t="shared" si="14"/>
        <v>2</v>
      </c>
    </row>
    <row r="107" spans="1:51" ht="12.75" customHeight="1" x14ac:dyDescent="0.3">
      <c r="A107" s="14"/>
      <c r="B107" s="27">
        <v>6</v>
      </c>
      <c r="C107" s="28" t="s">
        <v>92</v>
      </c>
      <c r="D107" s="29"/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/>
      <c r="AY107" s="13">
        <f t="shared" si="14"/>
        <v>0</v>
      </c>
    </row>
    <row r="108" spans="1:51" ht="12.75" customHeight="1" x14ac:dyDescent="0.3">
      <c r="A108" s="15" t="s">
        <v>15</v>
      </c>
      <c r="B108" s="47" t="s">
        <v>46</v>
      </c>
      <c r="C108" s="48"/>
      <c r="D108" s="49"/>
      <c r="E108" s="34">
        <f t="shared" ref="E108:AX108" si="18">SUM(E101:E107)</f>
        <v>1</v>
      </c>
      <c r="F108" s="34">
        <f t="shared" si="18"/>
        <v>1</v>
      </c>
      <c r="G108" s="34">
        <f t="shared" si="18"/>
        <v>0</v>
      </c>
      <c r="H108" s="34">
        <f t="shared" si="18"/>
        <v>0</v>
      </c>
      <c r="I108" s="34">
        <f t="shared" si="18"/>
        <v>0</v>
      </c>
      <c r="J108" s="34">
        <f t="shared" si="18"/>
        <v>4</v>
      </c>
      <c r="K108" s="34">
        <f t="shared" si="18"/>
        <v>0</v>
      </c>
      <c r="L108" s="34">
        <f t="shared" si="18"/>
        <v>1</v>
      </c>
      <c r="M108" s="34">
        <f t="shared" si="18"/>
        <v>2</v>
      </c>
      <c r="N108" s="34">
        <f t="shared" si="18"/>
        <v>2</v>
      </c>
      <c r="O108" s="34">
        <f t="shared" si="18"/>
        <v>0</v>
      </c>
      <c r="P108" s="34">
        <f t="shared" si="18"/>
        <v>0</v>
      </c>
      <c r="Q108" s="34">
        <f t="shared" si="18"/>
        <v>3</v>
      </c>
      <c r="R108" s="34">
        <f t="shared" si="18"/>
        <v>4</v>
      </c>
      <c r="S108" s="34">
        <f t="shared" si="18"/>
        <v>6</v>
      </c>
      <c r="T108" s="34">
        <f t="shared" si="18"/>
        <v>1</v>
      </c>
      <c r="U108" s="34">
        <f t="shared" si="18"/>
        <v>1</v>
      </c>
      <c r="V108" s="34">
        <f t="shared" si="18"/>
        <v>1</v>
      </c>
      <c r="W108" s="34">
        <f t="shared" si="18"/>
        <v>7</v>
      </c>
      <c r="X108" s="34">
        <f t="shared" si="18"/>
        <v>1</v>
      </c>
      <c r="Y108" s="34">
        <f t="shared" si="18"/>
        <v>6</v>
      </c>
      <c r="Z108" s="34">
        <f t="shared" si="18"/>
        <v>3</v>
      </c>
      <c r="AA108" s="34">
        <f t="shared" si="18"/>
        <v>1</v>
      </c>
      <c r="AB108" s="34">
        <f t="shared" si="18"/>
        <v>2</v>
      </c>
      <c r="AC108" s="34">
        <f t="shared" si="18"/>
        <v>3</v>
      </c>
      <c r="AD108" s="34">
        <f t="shared" si="18"/>
        <v>0</v>
      </c>
      <c r="AE108" s="34">
        <f t="shared" si="18"/>
        <v>2</v>
      </c>
      <c r="AF108" s="34">
        <f t="shared" si="18"/>
        <v>1</v>
      </c>
      <c r="AG108" s="34">
        <f t="shared" si="18"/>
        <v>1</v>
      </c>
      <c r="AH108" s="34">
        <f t="shared" si="18"/>
        <v>0</v>
      </c>
      <c r="AI108" s="34">
        <f t="shared" si="18"/>
        <v>0</v>
      </c>
      <c r="AJ108" s="34">
        <f t="shared" si="18"/>
        <v>0</v>
      </c>
      <c r="AK108" s="34">
        <f t="shared" si="18"/>
        <v>4</v>
      </c>
      <c r="AL108" s="34">
        <f t="shared" si="18"/>
        <v>2</v>
      </c>
      <c r="AM108" s="34">
        <f t="shared" si="18"/>
        <v>0</v>
      </c>
      <c r="AN108" s="34">
        <f t="shared" si="18"/>
        <v>0</v>
      </c>
      <c r="AO108" s="34">
        <f t="shared" si="18"/>
        <v>1</v>
      </c>
      <c r="AP108" s="34">
        <f t="shared" si="18"/>
        <v>1</v>
      </c>
      <c r="AQ108" s="34">
        <f t="shared" si="18"/>
        <v>0</v>
      </c>
      <c r="AR108" s="34">
        <f t="shared" si="18"/>
        <v>3</v>
      </c>
      <c r="AS108" s="34">
        <f t="shared" si="18"/>
        <v>2</v>
      </c>
      <c r="AT108" s="34">
        <f t="shared" si="18"/>
        <v>0</v>
      </c>
      <c r="AU108" s="34">
        <f t="shared" si="18"/>
        <v>3</v>
      </c>
      <c r="AV108" s="34">
        <f t="shared" si="18"/>
        <v>0</v>
      </c>
      <c r="AW108" s="34">
        <f t="shared" si="18"/>
        <v>1</v>
      </c>
      <c r="AX108" s="34">
        <f t="shared" si="18"/>
        <v>0</v>
      </c>
      <c r="AY108" s="13">
        <f t="shared" si="14"/>
        <v>71</v>
      </c>
    </row>
    <row r="109" spans="1:51" ht="12.75" customHeight="1" x14ac:dyDescent="0.3">
      <c r="A109" s="35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13">
        <f t="shared" si="14"/>
        <v>0</v>
      </c>
    </row>
    <row r="110" spans="1:51" ht="12.75" customHeight="1" x14ac:dyDescent="0.3">
      <c r="A110" s="19" t="s">
        <v>37</v>
      </c>
      <c r="B110" s="26" t="s">
        <v>93</v>
      </c>
      <c r="C110" s="50" t="s">
        <v>94</v>
      </c>
      <c r="D110" s="49"/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1</v>
      </c>
      <c r="K110" s="15">
        <v>0</v>
      </c>
      <c r="L110" s="15">
        <v>1</v>
      </c>
      <c r="M110" s="15">
        <v>1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1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1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/>
      <c r="AY110" s="13">
        <f t="shared" si="14"/>
        <v>5</v>
      </c>
    </row>
    <row r="111" spans="1:51" ht="12.75" customHeight="1" x14ac:dyDescent="0.3">
      <c r="A111" s="19"/>
      <c r="B111" s="26">
        <v>1</v>
      </c>
      <c r="C111" s="28" t="s">
        <v>95</v>
      </c>
      <c r="D111" s="37"/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1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/>
      <c r="AY111" s="13">
        <f t="shared" si="14"/>
        <v>1</v>
      </c>
    </row>
    <row r="112" spans="1:51" ht="12.75" customHeight="1" x14ac:dyDescent="0.3">
      <c r="A112" s="19"/>
      <c r="B112" s="26">
        <v>2</v>
      </c>
      <c r="C112" s="28" t="s">
        <v>96</v>
      </c>
      <c r="D112" s="37"/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1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1</v>
      </c>
      <c r="AQ112" s="15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1</v>
      </c>
      <c r="AW112" s="15">
        <v>0</v>
      </c>
      <c r="AX112" s="15"/>
      <c r="AY112" s="13">
        <f t="shared" si="14"/>
        <v>3</v>
      </c>
    </row>
    <row r="113" spans="1:53" ht="12.75" customHeight="1" x14ac:dyDescent="0.3">
      <c r="A113" s="19"/>
      <c r="B113" s="26">
        <v>3</v>
      </c>
      <c r="C113" s="28" t="s">
        <v>97</v>
      </c>
      <c r="D113" s="37"/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1</v>
      </c>
      <c r="K113" s="15">
        <v>0</v>
      </c>
      <c r="L113" s="15">
        <v>3</v>
      </c>
      <c r="M113" s="15">
        <v>5</v>
      </c>
      <c r="N113" s="15">
        <v>1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>
        <v>1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/>
      <c r="AY113" s="13">
        <f t="shared" si="14"/>
        <v>11</v>
      </c>
    </row>
    <row r="114" spans="1:53" ht="12.75" customHeight="1" x14ac:dyDescent="0.3">
      <c r="A114" s="19" t="s">
        <v>39</v>
      </c>
      <c r="B114" s="27">
        <v>4</v>
      </c>
      <c r="C114" s="28" t="s">
        <v>98</v>
      </c>
      <c r="D114" s="29"/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/>
      <c r="AY114" s="13">
        <f t="shared" si="14"/>
        <v>0</v>
      </c>
    </row>
    <row r="115" spans="1:53" ht="12.75" customHeight="1" x14ac:dyDescent="0.3">
      <c r="A115" s="15" t="s">
        <v>15</v>
      </c>
      <c r="B115" s="47" t="s">
        <v>46</v>
      </c>
      <c r="C115" s="48"/>
      <c r="D115" s="49"/>
      <c r="E115" s="34">
        <f t="shared" ref="E115:AX115" si="19">SUM(E110:E114)</f>
        <v>0</v>
      </c>
      <c r="F115" s="34">
        <f t="shared" si="19"/>
        <v>0</v>
      </c>
      <c r="G115" s="34">
        <f t="shared" si="19"/>
        <v>0</v>
      </c>
      <c r="H115" s="34">
        <f t="shared" si="19"/>
        <v>0</v>
      </c>
      <c r="I115" s="34">
        <f t="shared" si="19"/>
        <v>0</v>
      </c>
      <c r="J115" s="34">
        <f t="shared" si="19"/>
        <v>2</v>
      </c>
      <c r="K115" s="34">
        <f t="shared" si="19"/>
        <v>0</v>
      </c>
      <c r="L115" s="34">
        <f t="shared" si="19"/>
        <v>4</v>
      </c>
      <c r="M115" s="34">
        <f t="shared" si="19"/>
        <v>6</v>
      </c>
      <c r="N115" s="34">
        <f t="shared" si="19"/>
        <v>1</v>
      </c>
      <c r="O115" s="34">
        <f t="shared" si="19"/>
        <v>0</v>
      </c>
      <c r="P115" s="34">
        <f t="shared" si="19"/>
        <v>0</v>
      </c>
      <c r="Q115" s="34">
        <f t="shared" si="19"/>
        <v>0</v>
      </c>
      <c r="R115" s="34">
        <f t="shared" si="19"/>
        <v>0</v>
      </c>
      <c r="S115" s="34">
        <f t="shared" si="19"/>
        <v>0</v>
      </c>
      <c r="T115" s="34">
        <f t="shared" si="19"/>
        <v>0</v>
      </c>
      <c r="U115" s="34">
        <f t="shared" si="19"/>
        <v>0</v>
      </c>
      <c r="V115" s="34">
        <f t="shared" si="19"/>
        <v>1</v>
      </c>
      <c r="W115" s="34">
        <f t="shared" si="19"/>
        <v>0</v>
      </c>
      <c r="X115" s="34">
        <f t="shared" si="19"/>
        <v>0</v>
      </c>
      <c r="Y115" s="34">
        <f t="shared" si="19"/>
        <v>0</v>
      </c>
      <c r="Z115" s="34">
        <f t="shared" si="19"/>
        <v>0</v>
      </c>
      <c r="AA115" s="34">
        <f t="shared" si="19"/>
        <v>1</v>
      </c>
      <c r="AB115" s="34">
        <f t="shared" si="19"/>
        <v>0</v>
      </c>
      <c r="AC115" s="34">
        <f t="shared" si="19"/>
        <v>0</v>
      </c>
      <c r="AD115" s="34">
        <f t="shared" si="19"/>
        <v>0</v>
      </c>
      <c r="AE115" s="34">
        <f t="shared" si="19"/>
        <v>0</v>
      </c>
      <c r="AF115" s="34">
        <f t="shared" si="19"/>
        <v>0</v>
      </c>
      <c r="AG115" s="34">
        <f t="shared" si="19"/>
        <v>2</v>
      </c>
      <c r="AH115" s="34">
        <f t="shared" si="19"/>
        <v>0</v>
      </c>
      <c r="AI115" s="34">
        <f t="shared" si="19"/>
        <v>0</v>
      </c>
      <c r="AJ115" s="34">
        <f t="shared" si="19"/>
        <v>0</v>
      </c>
      <c r="AK115" s="34">
        <f t="shared" si="19"/>
        <v>0</v>
      </c>
      <c r="AL115" s="34">
        <f t="shared" si="19"/>
        <v>1</v>
      </c>
      <c r="AM115" s="34">
        <f t="shared" si="19"/>
        <v>0</v>
      </c>
      <c r="AN115" s="34">
        <f t="shared" si="19"/>
        <v>0</v>
      </c>
      <c r="AO115" s="34">
        <f t="shared" si="19"/>
        <v>0</v>
      </c>
      <c r="AP115" s="34">
        <f t="shared" si="19"/>
        <v>1</v>
      </c>
      <c r="AQ115" s="34">
        <f t="shared" si="19"/>
        <v>0</v>
      </c>
      <c r="AR115" s="34">
        <f t="shared" si="19"/>
        <v>0</v>
      </c>
      <c r="AS115" s="34">
        <f t="shared" si="19"/>
        <v>0</v>
      </c>
      <c r="AT115" s="34">
        <f t="shared" si="19"/>
        <v>0</v>
      </c>
      <c r="AU115" s="34">
        <f t="shared" si="19"/>
        <v>0</v>
      </c>
      <c r="AV115" s="34">
        <f t="shared" si="19"/>
        <v>1</v>
      </c>
      <c r="AW115" s="34">
        <f t="shared" si="19"/>
        <v>0</v>
      </c>
      <c r="AX115" s="34">
        <f t="shared" si="19"/>
        <v>0</v>
      </c>
      <c r="AY115" s="13">
        <f t="shared" si="14"/>
        <v>20</v>
      </c>
    </row>
    <row r="116" spans="1:53" ht="12.75" customHeight="1" x14ac:dyDescent="0.3">
      <c r="A116" s="35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13">
        <f t="shared" si="14"/>
        <v>0</v>
      </c>
    </row>
    <row r="117" spans="1:53" ht="12.75" customHeight="1" x14ac:dyDescent="0.3">
      <c r="A117" s="19" t="s">
        <v>37</v>
      </c>
      <c r="B117" s="26" t="s">
        <v>99</v>
      </c>
      <c r="C117" s="50" t="s">
        <v>100</v>
      </c>
      <c r="D117" s="49"/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1</v>
      </c>
      <c r="N117" s="15">
        <v>0</v>
      </c>
      <c r="O117" s="15">
        <v>0</v>
      </c>
      <c r="P117" s="15">
        <v>0</v>
      </c>
      <c r="Q117" s="15">
        <v>1</v>
      </c>
      <c r="R117" s="15">
        <v>1</v>
      </c>
      <c r="S117" s="15">
        <v>0</v>
      </c>
      <c r="T117" s="15">
        <v>0</v>
      </c>
      <c r="U117" s="15">
        <v>0</v>
      </c>
      <c r="V117" s="15">
        <v>1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1</v>
      </c>
      <c r="AH117" s="15">
        <v>0</v>
      </c>
      <c r="AI117" s="15">
        <v>0</v>
      </c>
      <c r="AJ117" s="15">
        <v>0</v>
      </c>
      <c r="AK117" s="15">
        <v>0</v>
      </c>
      <c r="AL117" s="15">
        <v>0</v>
      </c>
      <c r="AM117" s="15">
        <v>1</v>
      </c>
      <c r="AN117" s="15">
        <v>0</v>
      </c>
      <c r="AO117" s="15">
        <v>0</v>
      </c>
      <c r="AP117" s="15">
        <v>0</v>
      </c>
      <c r="AQ117" s="15">
        <v>0</v>
      </c>
      <c r="AR117" s="15">
        <v>1</v>
      </c>
      <c r="AS117" s="15">
        <v>0</v>
      </c>
      <c r="AT117" s="15">
        <v>0</v>
      </c>
      <c r="AU117" s="15">
        <v>0</v>
      </c>
      <c r="AV117" s="15">
        <v>0</v>
      </c>
      <c r="AW117" s="15">
        <v>0</v>
      </c>
      <c r="AX117" s="15"/>
      <c r="AY117" s="13">
        <f t="shared" si="14"/>
        <v>7</v>
      </c>
      <c r="AZ117" s="5"/>
      <c r="BA117" s="5"/>
    </row>
    <row r="118" spans="1:53" ht="12.75" customHeight="1" x14ac:dyDescent="0.3">
      <c r="A118" s="19" t="s">
        <v>39</v>
      </c>
      <c r="B118" s="27">
        <v>1</v>
      </c>
      <c r="C118" s="28" t="s">
        <v>101</v>
      </c>
      <c r="D118" s="29"/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1</v>
      </c>
      <c r="Z118" s="15">
        <v>0</v>
      </c>
      <c r="AA118" s="15">
        <v>0</v>
      </c>
      <c r="AB118" s="15">
        <v>0</v>
      </c>
      <c r="AC118" s="15">
        <v>0</v>
      </c>
      <c r="AD118" s="15">
        <v>1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/>
      <c r="AY118" s="13">
        <f t="shared" si="14"/>
        <v>2</v>
      </c>
      <c r="AZ118" s="5"/>
      <c r="BA118" s="5"/>
    </row>
    <row r="119" spans="1:53" ht="12.75" customHeight="1" x14ac:dyDescent="0.3">
      <c r="A119" s="14"/>
      <c r="B119" s="27">
        <v>2</v>
      </c>
      <c r="C119" s="28" t="s">
        <v>102</v>
      </c>
      <c r="D119" s="29"/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1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1</v>
      </c>
      <c r="AU119" s="15">
        <v>0</v>
      </c>
      <c r="AV119" s="15">
        <v>0</v>
      </c>
      <c r="AW119" s="15">
        <v>0</v>
      </c>
      <c r="AX119" s="15"/>
      <c r="AY119" s="13">
        <f t="shared" si="14"/>
        <v>2</v>
      </c>
      <c r="AZ119" s="5"/>
      <c r="BA119" s="5"/>
    </row>
    <row r="120" spans="1:53" ht="12.75" customHeight="1" x14ac:dyDescent="0.3">
      <c r="A120" s="14"/>
      <c r="B120" s="27">
        <v>3</v>
      </c>
      <c r="C120" s="28" t="s">
        <v>103</v>
      </c>
      <c r="D120" s="29"/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/>
      <c r="AY120" s="13">
        <f t="shared" si="14"/>
        <v>0</v>
      </c>
      <c r="AZ120" s="5"/>
      <c r="BA120" s="5"/>
    </row>
    <row r="121" spans="1:53" ht="12.75" customHeight="1" x14ac:dyDescent="0.3">
      <c r="A121" s="14"/>
      <c r="B121" s="27">
        <v>4</v>
      </c>
      <c r="C121" s="28" t="s">
        <v>104</v>
      </c>
      <c r="D121" s="29"/>
      <c r="E121" s="15">
        <v>0</v>
      </c>
      <c r="F121" s="15">
        <v>0</v>
      </c>
      <c r="G121" s="15">
        <v>0</v>
      </c>
      <c r="H121" s="15">
        <v>1</v>
      </c>
      <c r="I121" s="15">
        <v>1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1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/>
      <c r="AY121" s="13">
        <f t="shared" si="14"/>
        <v>3</v>
      </c>
      <c r="AZ121" s="5"/>
      <c r="BA121" s="5"/>
    </row>
    <row r="122" spans="1:53" ht="12.75" customHeight="1" x14ac:dyDescent="0.3">
      <c r="A122" s="14"/>
      <c r="B122" s="27">
        <v>5</v>
      </c>
      <c r="C122" s="28" t="s">
        <v>105</v>
      </c>
      <c r="D122" s="29"/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1</v>
      </c>
      <c r="AU122" s="15">
        <v>0</v>
      </c>
      <c r="AV122" s="15">
        <v>0</v>
      </c>
      <c r="AW122" s="15">
        <v>0</v>
      </c>
      <c r="AX122" s="15"/>
      <c r="AY122" s="13">
        <f t="shared" si="14"/>
        <v>1</v>
      </c>
      <c r="AZ122" s="5"/>
      <c r="BA122" s="5"/>
    </row>
    <row r="123" spans="1:53" ht="12.75" customHeight="1" x14ac:dyDescent="0.3">
      <c r="A123" s="14"/>
      <c r="B123" s="27">
        <v>6</v>
      </c>
      <c r="C123" s="28" t="s">
        <v>106</v>
      </c>
      <c r="D123" s="29"/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/>
      <c r="AY123" s="13">
        <f t="shared" si="14"/>
        <v>0</v>
      </c>
      <c r="AZ123" s="5"/>
      <c r="BA123" s="5"/>
    </row>
    <row r="124" spans="1:53" ht="12.75" customHeight="1" x14ac:dyDescent="0.3">
      <c r="A124" s="15" t="s">
        <v>15</v>
      </c>
      <c r="B124" s="47" t="s">
        <v>46</v>
      </c>
      <c r="C124" s="48"/>
      <c r="D124" s="49"/>
      <c r="E124" s="34">
        <f t="shared" ref="E124:AX124" si="20">SUM(E117:E123)</f>
        <v>0</v>
      </c>
      <c r="F124" s="34">
        <f t="shared" si="20"/>
        <v>0</v>
      </c>
      <c r="G124" s="34">
        <f t="shared" si="20"/>
        <v>0</v>
      </c>
      <c r="H124" s="34">
        <f t="shared" si="20"/>
        <v>1</v>
      </c>
      <c r="I124" s="34">
        <f t="shared" si="20"/>
        <v>1</v>
      </c>
      <c r="J124" s="34">
        <f t="shared" si="20"/>
        <v>0</v>
      </c>
      <c r="K124" s="34">
        <f t="shared" si="20"/>
        <v>0</v>
      </c>
      <c r="L124" s="34">
        <f t="shared" si="20"/>
        <v>0</v>
      </c>
      <c r="M124" s="34">
        <f t="shared" si="20"/>
        <v>1</v>
      </c>
      <c r="N124" s="34">
        <f t="shared" si="20"/>
        <v>0</v>
      </c>
      <c r="O124" s="34">
        <f t="shared" si="20"/>
        <v>0</v>
      </c>
      <c r="P124" s="34">
        <f t="shared" si="20"/>
        <v>0</v>
      </c>
      <c r="Q124" s="34">
        <f t="shared" si="20"/>
        <v>1</v>
      </c>
      <c r="R124" s="34">
        <f t="shared" si="20"/>
        <v>1</v>
      </c>
      <c r="S124" s="34">
        <f t="shared" si="20"/>
        <v>0</v>
      </c>
      <c r="T124" s="34">
        <f t="shared" si="20"/>
        <v>1</v>
      </c>
      <c r="U124" s="34">
        <f t="shared" si="20"/>
        <v>0</v>
      </c>
      <c r="V124" s="34">
        <f t="shared" si="20"/>
        <v>1</v>
      </c>
      <c r="W124" s="34">
        <f t="shared" si="20"/>
        <v>0</v>
      </c>
      <c r="X124" s="34">
        <f t="shared" si="20"/>
        <v>0</v>
      </c>
      <c r="Y124" s="34">
        <f t="shared" si="20"/>
        <v>1</v>
      </c>
      <c r="Z124" s="34">
        <f t="shared" si="20"/>
        <v>0</v>
      </c>
      <c r="AA124" s="34">
        <f t="shared" si="20"/>
        <v>0</v>
      </c>
      <c r="AB124" s="34">
        <f t="shared" si="20"/>
        <v>0</v>
      </c>
      <c r="AC124" s="34">
        <f t="shared" si="20"/>
        <v>0</v>
      </c>
      <c r="AD124" s="34">
        <f t="shared" si="20"/>
        <v>1</v>
      </c>
      <c r="AE124" s="34">
        <f t="shared" si="20"/>
        <v>1</v>
      </c>
      <c r="AF124" s="34">
        <f t="shared" si="20"/>
        <v>0</v>
      </c>
      <c r="AG124" s="34">
        <f t="shared" si="20"/>
        <v>1</v>
      </c>
      <c r="AH124" s="34">
        <f t="shared" si="20"/>
        <v>0</v>
      </c>
      <c r="AI124" s="34">
        <f t="shared" si="20"/>
        <v>0</v>
      </c>
      <c r="AJ124" s="34">
        <f t="shared" si="20"/>
        <v>0</v>
      </c>
      <c r="AK124" s="34">
        <f t="shared" si="20"/>
        <v>0</v>
      </c>
      <c r="AL124" s="34">
        <f t="shared" si="20"/>
        <v>0</v>
      </c>
      <c r="AM124" s="34">
        <f t="shared" si="20"/>
        <v>1</v>
      </c>
      <c r="AN124" s="34">
        <f t="shared" si="20"/>
        <v>0</v>
      </c>
      <c r="AO124" s="34">
        <f t="shared" si="20"/>
        <v>0</v>
      </c>
      <c r="AP124" s="34">
        <f t="shared" si="20"/>
        <v>0</v>
      </c>
      <c r="AQ124" s="34">
        <f t="shared" si="20"/>
        <v>0</v>
      </c>
      <c r="AR124" s="34">
        <f t="shared" si="20"/>
        <v>1</v>
      </c>
      <c r="AS124" s="34">
        <f t="shared" si="20"/>
        <v>0</v>
      </c>
      <c r="AT124" s="34">
        <f t="shared" si="20"/>
        <v>2</v>
      </c>
      <c r="AU124" s="34">
        <f t="shared" si="20"/>
        <v>0</v>
      </c>
      <c r="AV124" s="34">
        <f t="shared" si="20"/>
        <v>0</v>
      </c>
      <c r="AW124" s="34">
        <f t="shared" si="20"/>
        <v>0</v>
      </c>
      <c r="AX124" s="34">
        <f t="shared" si="20"/>
        <v>0</v>
      </c>
      <c r="AY124" s="13">
        <f t="shared" si="14"/>
        <v>15</v>
      </c>
      <c r="AZ124" s="5"/>
      <c r="BA124" s="5"/>
    </row>
    <row r="125" spans="1:53" ht="12.75" customHeight="1" x14ac:dyDescent="0.3">
      <c r="A125" s="35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13">
        <f t="shared" si="14"/>
        <v>0</v>
      </c>
      <c r="AZ125" s="5"/>
      <c r="BA125" s="5"/>
    </row>
    <row r="126" spans="1:53" ht="12.75" customHeight="1" x14ac:dyDescent="0.3">
      <c r="A126" s="19" t="s">
        <v>37</v>
      </c>
      <c r="B126" s="26" t="s">
        <v>107</v>
      </c>
      <c r="C126" s="50" t="s">
        <v>108</v>
      </c>
      <c r="D126" s="49"/>
      <c r="E126" s="15">
        <v>0</v>
      </c>
      <c r="F126" s="15">
        <v>0</v>
      </c>
      <c r="G126" s="15">
        <v>1</v>
      </c>
      <c r="H126" s="15">
        <v>0</v>
      </c>
      <c r="I126" s="15">
        <v>0</v>
      </c>
      <c r="J126" s="15">
        <v>0</v>
      </c>
      <c r="K126" s="15">
        <v>0</v>
      </c>
      <c r="L126" s="15">
        <v>1</v>
      </c>
      <c r="M126" s="15">
        <v>0</v>
      </c>
      <c r="N126" s="15">
        <v>0</v>
      </c>
      <c r="O126" s="15">
        <v>1</v>
      </c>
      <c r="P126" s="15">
        <v>0</v>
      </c>
      <c r="Q126" s="15">
        <v>0</v>
      </c>
      <c r="R126" s="15">
        <v>0</v>
      </c>
      <c r="S126" s="15">
        <v>0</v>
      </c>
      <c r="T126" s="15">
        <v>1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1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1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1</v>
      </c>
      <c r="AS126" s="15">
        <v>0</v>
      </c>
      <c r="AT126" s="15">
        <v>0</v>
      </c>
      <c r="AU126" s="15">
        <v>0</v>
      </c>
      <c r="AV126" s="15">
        <v>0</v>
      </c>
      <c r="AW126" s="15">
        <v>0</v>
      </c>
      <c r="AX126" s="15"/>
      <c r="AY126" s="13">
        <f t="shared" si="14"/>
        <v>7</v>
      </c>
      <c r="AZ126" s="5"/>
      <c r="BA126" s="5"/>
    </row>
    <row r="127" spans="1:53" ht="15" customHeight="1" x14ac:dyDescent="0.3">
      <c r="A127" s="19" t="s">
        <v>39</v>
      </c>
      <c r="B127" s="27"/>
      <c r="C127" s="28"/>
      <c r="D127" s="29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3">
        <f t="shared" si="14"/>
        <v>0</v>
      </c>
      <c r="AZ127" s="5"/>
      <c r="BA127" s="5"/>
    </row>
    <row r="128" spans="1:53" ht="12.75" customHeight="1" x14ac:dyDescent="0.3">
      <c r="A128" s="15" t="s">
        <v>15</v>
      </c>
      <c r="B128" s="47" t="s">
        <v>46</v>
      </c>
      <c r="C128" s="48"/>
      <c r="D128" s="49"/>
      <c r="E128" s="34">
        <f t="shared" ref="E128:AX128" si="21">SUM(E126:E127)</f>
        <v>0</v>
      </c>
      <c r="F128" s="34">
        <f t="shared" si="21"/>
        <v>0</v>
      </c>
      <c r="G128" s="34">
        <f t="shared" si="21"/>
        <v>1</v>
      </c>
      <c r="H128" s="34">
        <f t="shared" si="21"/>
        <v>0</v>
      </c>
      <c r="I128" s="34">
        <f t="shared" si="21"/>
        <v>0</v>
      </c>
      <c r="J128" s="34">
        <f t="shared" si="21"/>
        <v>0</v>
      </c>
      <c r="K128" s="34">
        <f t="shared" si="21"/>
        <v>0</v>
      </c>
      <c r="L128" s="34">
        <f t="shared" si="21"/>
        <v>1</v>
      </c>
      <c r="M128" s="34">
        <f t="shared" si="21"/>
        <v>0</v>
      </c>
      <c r="N128" s="34">
        <f t="shared" si="21"/>
        <v>0</v>
      </c>
      <c r="O128" s="34">
        <f t="shared" si="21"/>
        <v>1</v>
      </c>
      <c r="P128" s="34">
        <f t="shared" si="21"/>
        <v>0</v>
      </c>
      <c r="Q128" s="34">
        <f t="shared" si="21"/>
        <v>0</v>
      </c>
      <c r="R128" s="34">
        <f t="shared" si="21"/>
        <v>0</v>
      </c>
      <c r="S128" s="34">
        <f t="shared" si="21"/>
        <v>0</v>
      </c>
      <c r="T128" s="34">
        <f t="shared" si="21"/>
        <v>1</v>
      </c>
      <c r="U128" s="34">
        <f t="shared" si="21"/>
        <v>0</v>
      </c>
      <c r="V128" s="34">
        <f t="shared" si="21"/>
        <v>0</v>
      </c>
      <c r="W128" s="34">
        <f t="shared" si="21"/>
        <v>0</v>
      </c>
      <c r="X128" s="34">
        <f t="shared" si="21"/>
        <v>0</v>
      </c>
      <c r="Y128" s="34">
        <f t="shared" si="21"/>
        <v>0</v>
      </c>
      <c r="Z128" s="34">
        <f t="shared" si="21"/>
        <v>1</v>
      </c>
      <c r="AA128" s="34">
        <f t="shared" si="21"/>
        <v>0</v>
      </c>
      <c r="AB128" s="34">
        <f t="shared" si="21"/>
        <v>0</v>
      </c>
      <c r="AC128" s="34">
        <f t="shared" si="21"/>
        <v>0</v>
      </c>
      <c r="AD128" s="34">
        <f t="shared" si="21"/>
        <v>0</v>
      </c>
      <c r="AE128" s="34">
        <f t="shared" si="21"/>
        <v>0</v>
      </c>
      <c r="AF128" s="34">
        <f t="shared" si="21"/>
        <v>1</v>
      </c>
      <c r="AG128" s="34">
        <f t="shared" si="21"/>
        <v>0</v>
      </c>
      <c r="AH128" s="34">
        <f t="shared" si="21"/>
        <v>0</v>
      </c>
      <c r="AI128" s="34">
        <f t="shared" si="21"/>
        <v>0</v>
      </c>
      <c r="AJ128" s="34">
        <f t="shared" si="21"/>
        <v>0</v>
      </c>
      <c r="AK128" s="34">
        <f t="shared" si="21"/>
        <v>0</v>
      </c>
      <c r="AL128" s="34">
        <f t="shared" si="21"/>
        <v>0</v>
      </c>
      <c r="AM128" s="34">
        <f t="shared" si="21"/>
        <v>0</v>
      </c>
      <c r="AN128" s="34">
        <f t="shared" si="21"/>
        <v>0</v>
      </c>
      <c r="AO128" s="34">
        <f t="shared" si="21"/>
        <v>0</v>
      </c>
      <c r="AP128" s="34">
        <f t="shared" si="21"/>
        <v>0</v>
      </c>
      <c r="AQ128" s="34">
        <f t="shared" si="21"/>
        <v>0</v>
      </c>
      <c r="AR128" s="34">
        <f t="shared" si="21"/>
        <v>1</v>
      </c>
      <c r="AS128" s="34">
        <f t="shared" si="21"/>
        <v>0</v>
      </c>
      <c r="AT128" s="34">
        <f t="shared" si="21"/>
        <v>0</v>
      </c>
      <c r="AU128" s="34">
        <f t="shared" si="21"/>
        <v>0</v>
      </c>
      <c r="AV128" s="34">
        <f t="shared" si="21"/>
        <v>0</v>
      </c>
      <c r="AW128" s="34">
        <f t="shared" si="21"/>
        <v>0</v>
      </c>
      <c r="AX128" s="34">
        <f t="shared" si="21"/>
        <v>0</v>
      </c>
      <c r="AY128" s="13">
        <f t="shared" si="14"/>
        <v>7</v>
      </c>
      <c r="AZ128" s="5"/>
      <c r="BA128" s="5"/>
    </row>
    <row r="129" spans="1:53" ht="12.75" customHeight="1" x14ac:dyDescent="0.3">
      <c r="A129" s="35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13">
        <f t="shared" si="14"/>
        <v>0</v>
      </c>
      <c r="AZ129" s="5"/>
      <c r="BA129" s="5"/>
    </row>
    <row r="130" spans="1:53" ht="12.75" customHeight="1" x14ac:dyDescent="0.3">
      <c r="A130" s="19" t="s">
        <v>37</v>
      </c>
      <c r="B130" s="26" t="s">
        <v>109</v>
      </c>
      <c r="C130" s="50" t="s">
        <v>110</v>
      </c>
      <c r="D130" s="49"/>
      <c r="E130" s="15">
        <v>0</v>
      </c>
      <c r="F130" s="15">
        <v>0</v>
      </c>
      <c r="G130" s="15">
        <v>6</v>
      </c>
      <c r="H130" s="15">
        <v>13</v>
      </c>
      <c r="I130" s="15">
        <v>4</v>
      </c>
      <c r="J130" s="15">
        <v>1</v>
      </c>
      <c r="K130" s="15">
        <v>1</v>
      </c>
      <c r="L130" s="15">
        <v>0</v>
      </c>
      <c r="M130" s="15">
        <v>3</v>
      </c>
      <c r="N130" s="15">
        <v>3</v>
      </c>
      <c r="O130" s="15">
        <v>1</v>
      </c>
      <c r="P130" s="15">
        <v>2</v>
      </c>
      <c r="Q130" s="15">
        <v>2</v>
      </c>
      <c r="R130" s="15">
        <v>3</v>
      </c>
      <c r="S130" s="15">
        <v>0</v>
      </c>
      <c r="T130" s="15">
        <v>5</v>
      </c>
      <c r="U130" s="15">
        <v>5</v>
      </c>
      <c r="V130" s="15">
        <v>0</v>
      </c>
      <c r="W130" s="15">
        <v>2</v>
      </c>
      <c r="X130" s="15">
        <v>1</v>
      </c>
      <c r="Y130" s="15">
        <v>1</v>
      </c>
      <c r="Z130" s="15">
        <v>0</v>
      </c>
      <c r="AA130" s="15">
        <v>1</v>
      </c>
      <c r="AB130" s="15">
        <v>0</v>
      </c>
      <c r="AC130" s="15">
        <v>0</v>
      </c>
      <c r="AD130" s="15">
        <v>1</v>
      </c>
      <c r="AE130" s="15">
        <v>0</v>
      </c>
      <c r="AF130" s="15">
        <v>0</v>
      </c>
      <c r="AG130" s="15">
        <v>0</v>
      </c>
      <c r="AH130" s="15">
        <v>1</v>
      </c>
      <c r="AI130" s="15">
        <v>1</v>
      </c>
      <c r="AJ130" s="15">
        <v>0</v>
      </c>
      <c r="AK130" s="15">
        <v>0</v>
      </c>
      <c r="AL130" s="15">
        <v>2</v>
      </c>
      <c r="AM130" s="15">
        <v>2</v>
      </c>
      <c r="AN130" s="15">
        <v>0</v>
      </c>
      <c r="AO130" s="15">
        <v>0</v>
      </c>
      <c r="AP130" s="15">
        <v>0</v>
      </c>
      <c r="AQ130" s="15">
        <v>2</v>
      </c>
      <c r="AR130" s="15">
        <v>0</v>
      </c>
      <c r="AS130" s="15">
        <v>0</v>
      </c>
      <c r="AT130" s="15">
        <v>2</v>
      </c>
      <c r="AU130" s="15">
        <v>0</v>
      </c>
      <c r="AV130" s="15">
        <v>0</v>
      </c>
      <c r="AW130" s="15">
        <v>0</v>
      </c>
      <c r="AX130" s="15"/>
      <c r="AY130" s="13">
        <f t="shared" si="14"/>
        <v>65</v>
      </c>
      <c r="AZ130" s="1"/>
      <c r="BA130" s="1"/>
    </row>
    <row r="131" spans="1:53" ht="12.75" customHeight="1" x14ac:dyDescent="0.3">
      <c r="A131" s="19" t="s">
        <v>39</v>
      </c>
      <c r="B131" s="27">
        <v>1</v>
      </c>
      <c r="C131" s="28" t="s">
        <v>111</v>
      </c>
      <c r="D131" s="29"/>
      <c r="E131" s="15">
        <v>1</v>
      </c>
      <c r="F131" s="15">
        <v>1</v>
      </c>
      <c r="G131" s="15">
        <v>65</v>
      </c>
      <c r="H131" s="15">
        <v>35</v>
      </c>
      <c r="I131" s="15">
        <v>27</v>
      </c>
      <c r="J131" s="15">
        <v>22</v>
      </c>
      <c r="K131" s="15">
        <v>5</v>
      </c>
      <c r="L131" s="15">
        <v>9</v>
      </c>
      <c r="M131" s="15">
        <v>2</v>
      </c>
      <c r="N131" s="15">
        <v>22</v>
      </c>
      <c r="O131" s="15">
        <v>7</v>
      </c>
      <c r="P131" s="15">
        <v>18</v>
      </c>
      <c r="Q131" s="15">
        <v>30</v>
      </c>
      <c r="R131" s="15">
        <v>14</v>
      </c>
      <c r="S131" s="15">
        <v>2</v>
      </c>
      <c r="T131" s="15">
        <v>10</v>
      </c>
      <c r="U131" s="15">
        <v>31</v>
      </c>
      <c r="V131" s="15">
        <v>1</v>
      </c>
      <c r="W131" s="15">
        <v>10</v>
      </c>
      <c r="X131" s="15">
        <v>2</v>
      </c>
      <c r="Y131" s="15">
        <v>2</v>
      </c>
      <c r="Z131" s="15">
        <v>0</v>
      </c>
      <c r="AA131" s="15">
        <v>1</v>
      </c>
      <c r="AB131" s="15">
        <v>0</v>
      </c>
      <c r="AC131" s="15">
        <v>1</v>
      </c>
      <c r="AD131" s="15">
        <v>0</v>
      </c>
      <c r="AE131" s="15">
        <v>0</v>
      </c>
      <c r="AF131" s="15">
        <v>0</v>
      </c>
      <c r="AG131" s="15">
        <v>0</v>
      </c>
      <c r="AH131" s="15">
        <v>1</v>
      </c>
      <c r="AI131" s="15">
        <v>0</v>
      </c>
      <c r="AJ131" s="15">
        <v>1</v>
      </c>
      <c r="AK131" s="15">
        <v>1</v>
      </c>
      <c r="AL131" s="15">
        <v>1</v>
      </c>
      <c r="AM131" s="15">
        <v>0</v>
      </c>
      <c r="AN131" s="15">
        <v>4</v>
      </c>
      <c r="AO131" s="15">
        <v>2</v>
      </c>
      <c r="AP131" s="15">
        <v>0</v>
      </c>
      <c r="AQ131" s="15">
        <v>1</v>
      </c>
      <c r="AR131" s="15">
        <v>0</v>
      </c>
      <c r="AS131" s="15">
        <v>0</v>
      </c>
      <c r="AT131" s="15">
        <v>1</v>
      </c>
      <c r="AU131" s="15">
        <v>1</v>
      </c>
      <c r="AV131" s="15">
        <v>0</v>
      </c>
      <c r="AW131" s="15">
        <v>0</v>
      </c>
      <c r="AX131" s="15"/>
      <c r="AY131" s="13">
        <f t="shared" si="14"/>
        <v>331</v>
      </c>
      <c r="AZ131" s="31"/>
      <c r="BA131" s="31"/>
    </row>
    <row r="132" spans="1:53" ht="12.75" customHeight="1" x14ac:dyDescent="0.3">
      <c r="A132" s="14"/>
      <c r="B132" s="27">
        <v>2</v>
      </c>
      <c r="C132" s="28" t="s">
        <v>112</v>
      </c>
      <c r="D132" s="29"/>
      <c r="E132" s="15">
        <v>0</v>
      </c>
      <c r="F132" s="15">
        <v>0</v>
      </c>
      <c r="G132" s="15">
        <v>1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1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2</v>
      </c>
      <c r="AN132" s="15">
        <v>1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/>
      <c r="AY132" s="13">
        <f t="shared" si="14"/>
        <v>5</v>
      </c>
      <c r="AZ132" s="5"/>
      <c r="BA132" s="5"/>
    </row>
    <row r="133" spans="1:53" ht="12.75" customHeight="1" x14ac:dyDescent="0.3">
      <c r="A133" s="14"/>
      <c r="B133" s="27">
        <v>3</v>
      </c>
      <c r="C133" s="28" t="s">
        <v>113</v>
      </c>
      <c r="D133" s="29"/>
      <c r="E133" s="15">
        <v>0</v>
      </c>
      <c r="F133" s="15">
        <v>0</v>
      </c>
      <c r="G133" s="15">
        <v>1</v>
      </c>
      <c r="H133" s="15">
        <v>1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1</v>
      </c>
      <c r="AK133" s="15">
        <v>0</v>
      </c>
      <c r="AL133" s="15">
        <v>0</v>
      </c>
      <c r="AM133" s="15">
        <v>0</v>
      </c>
      <c r="AN133" s="15">
        <v>1</v>
      </c>
      <c r="AO133" s="15">
        <v>1</v>
      </c>
      <c r="AP133" s="15">
        <v>0</v>
      </c>
      <c r="AQ133" s="15">
        <v>0</v>
      </c>
      <c r="AR133" s="15">
        <v>0</v>
      </c>
      <c r="AS133" s="15">
        <v>0</v>
      </c>
      <c r="AT133" s="15">
        <v>0</v>
      </c>
      <c r="AU133" s="15">
        <v>0</v>
      </c>
      <c r="AV133" s="15">
        <v>0</v>
      </c>
      <c r="AW133" s="15">
        <v>1</v>
      </c>
      <c r="AX133" s="15"/>
      <c r="AY133" s="13">
        <f t="shared" si="14"/>
        <v>6</v>
      </c>
      <c r="AZ133" s="5"/>
      <c r="BA133" s="5"/>
    </row>
    <row r="134" spans="1:53" ht="12.75" customHeight="1" x14ac:dyDescent="0.3">
      <c r="A134" s="14"/>
      <c r="B134" s="27">
        <v>4</v>
      </c>
      <c r="C134" s="28" t="s">
        <v>114</v>
      </c>
      <c r="D134" s="29"/>
      <c r="E134" s="15">
        <v>0</v>
      </c>
      <c r="F134" s="15">
        <v>0</v>
      </c>
      <c r="G134" s="15">
        <v>1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5">
        <v>0</v>
      </c>
      <c r="AX134" s="15"/>
      <c r="AY134" s="13">
        <f t="shared" si="14"/>
        <v>1</v>
      </c>
      <c r="AZ134" s="5"/>
      <c r="BA134" s="5"/>
    </row>
    <row r="135" spans="1:53" ht="12.75" customHeight="1" x14ac:dyDescent="0.3">
      <c r="A135" s="15" t="s">
        <v>15</v>
      </c>
      <c r="B135" s="47" t="s">
        <v>46</v>
      </c>
      <c r="C135" s="48"/>
      <c r="D135" s="49"/>
      <c r="E135" s="34">
        <f t="shared" ref="E135:AX135" si="22">SUM(E130:E134)</f>
        <v>1</v>
      </c>
      <c r="F135" s="34">
        <f t="shared" si="22"/>
        <v>1</v>
      </c>
      <c r="G135" s="34">
        <f t="shared" si="22"/>
        <v>74</v>
      </c>
      <c r="H135" s="34">
        <f t="shared" si="22"/>
        <v>49</v>
      </c>
      <c r="I135" s="34">
        <f t="shared" si="22"/>
        <v>31</v>
      </c>
      <c r="J135" s="34">
        <f t="shared" si="22"/>
        <v>23</v>
      </c>
      <c r="K135" s="34">
        <f t="shared" si="22"/>
        <v>6</v>
      </c>
      <c r="L135" s="34">
        <f t="shared" si="22"/>
        <v>9</v>
      </c>
      <c r="M135" s="34">
        <f t="shared" si="22"/>
        <v>5</v>
      </c>
      <c r="N135" s="34">
        <f t="shared" si="22"/>
        <v>25</v>
      </c>
      <c r="O135" s="34">
        <f t="shared" si="22"/>
        <v>8</v>
      </c>
      <c r="P135" s="34">
        <f t="shared" si="22"/>
        <v>20</v>
      </c>
      <c r="Q135" s="34">
        <f t="shared" si="22"/>
        <v>32</v>
      </c>
      <c r="R135" s="34">
        <f t="shared" si="22"/>
        <v>17</v>
      </c>
      <c r="S135" s="34">
        <f t="shared" si="22"/>
        <v>2</v>
      </c>
      <c r="T135" s="34">
        <f t="shared" si="22"/>
        <v>15</v>
      </c>
      <c r="U135" s="34">
        <f t="shared" si="22"/>
        <v>36</v>
      </c>
      <c r="V135" s="34">
        <f t="shared" si="22"/>
        <v>1</v>
      </c>
      <c r="W135" s="34">
        <f t="shared" si="22"/>
        <v>12</v>
      </c>
      <c r="X135" s="34">
        <f t="shared" si="22"/>
        <v>3</v>
      </c>
      <c r="Y135" s="34">
        <f t="shared" si="22"/>
        <v>3</v>
      </c>
      <c r="Z135" s="34">
        <f t="shared" si="22"/>
        <v>1</v>
      </c>
      <c r="AA135" s="34">
        <f t="shared" si="22"/>
        <v>2</v>
      </c>
      <c r="AB135" s="34">
        <f t="shared" si="22"/>
        <v>0</v>
      </c>
      <c r="AC135" s="34">
        <f t="shared" si="22"/>
        <v>1</v>
      </c>
      <c r="AD135" s="34">
        <f t="shared" si="22"/>
        <v>1</v>
      </c>
      <c r="AE135" s="34">
        <f t="shared" si="22"/>
        <v>0</v>
      </c>
      <c r="AF135" s="34">
        <f t="shared" si="22"/>
        <v>0</v>
      </c>
      <c r="AG135" s="34">
        <f t="shared" si="22"/>
        <v>0</v>
      </c>
      <c r="AH135" s="34">
        <f t="shared" si="22"/>
        <v>2</v>
      </c>
      <c r="AI135" s="34">
        <f t="shared" si="22"/>
        <v>1</v>
      </c>
      <c r="AJ135" s="34">
        <f t="shared" si="22"/>
        <v>2</v>
      </c>
      <c r="AK135" s="34">
        <f t="shared" si="22"/>
        <v>1</v>
      </c>
      <c r="AL135" s="34">
        <f t="shared" si="22"/>
        <v>3</v>
      </c>
      <c r="AM135" s="34">
        <f t="shared" si="22"/>
        <v>4</v>
      </c>
      <c r="AN135" s="34">
        <f t="shared" si="22"/>
        <v>6</v>
      </c>
      <c r="AO135" s="34">
        <f t="shared" si="22"/>
        <v>3</v>
      </c>
      <c r="AP135" s="34">
        <f t="shared" si="22"/>
        <v>0</v>
      </c>
      <c r="AQ135" s="34">
        <f t="shared" si="22"/>
        <v>3</v>
      </c>
      <c r="AR135" s="34">
        <f t="shared" si="22"/>
        <v>0</v>
      </c>
      <c r="AS135" s="34">
        <f t="shared" si="22"/>
        <v>0</v>
      </c>
      <c r="AT135" s="34">
        <f t="shared" si="22"/>
        <v>3</v>
      </c>
      <c r="AU135" s="34">
        <f t="shared" si="22"/>
        <v>1</v>
      </c>
      <c r="AV135" s="34">
        <f t="shared" si="22"/>
        <v>0</v>
      </c>
      <c r="AW135" s="34">
        <f t="shared" si="22"/>
        <v>1</v>
      </c>
      <c r="AX135" s="34">
        <f t="shared" si="22"/>
        <v>0</v>
      </c>
      <c r="AY135" s="13">
        <f t="shared" si="14"/>
        <v>408</v>
      </c>
      <c r="AZ135" s="5"/>
      <c r="BA135" s="5"/>
    </row>
    <row r="136" spans="1:53" ht="12.75" customHeight="1" x14ac:dyDescent="0.3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13">
        <f t="shared" si="14"/>
        <v>0</v>
      </c>
      <c r="AZ136" s="5"/>
      <c r="BA136" s="5"/>
    </row>
    <row r="137" spans="1:53" ht="12.75" customHeight="1" x14ac:dyDescent="0.3">
      <c r="A137" s="19" t="s">
        <v>37</v>
      </c>
      <c r="B137" s="26" t="s">
        <v>115</v>
      </c>
      <c r="C137" s="50" t="s">
        <v>116</v>
      </c>
      <c r="D137" s="49"/>
      <c r="E137" s="15">
        <v>0</v>
      </c>
      <c r="F137" s="15">
        <v>0</v>
      </c>
      <c r="G137" s="15">
        <v>0</v>
      </c>
      <c r="H137" s="15">
        <v>0</v>
      </c>
      <c r="I137" s="15">
        <v>1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5">
        <v>0</v>
      </c>
      <c r="AQ137" s="15">
        <v>1</v>
      </c>
      <c r="AR137" s="15">
        <v>1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/>
      <c r="AY137" s="13">
        <f t="shared" si="14"/>
        <v>3</v>
      </c>
      <c r="AZ137" s="5"/>
      <c r="BA137" s="5"/>
    </row>
    <row r="138" spans="1:53" ht="12.75" customHeight="1" x14ac:dyDescent="0.3">
      <c r="A138" s="19" t="s">
        <v>39</v>
      </c>
      <c r="B138" s="27">
        <v>1</v>
      </c>
      <c r="C138" s="28" t="s">
        <v>117</v>
      </c>
      <c r="D138" s="29"/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1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/>
      <c r="AY138" s="13">
        <f t="shared" si="14"/>
        <v>1</v>
      </c>
      <c r="AZ138" s="5"/>
      <c r="BA138" s="5"/>
    </row>
    <row r="139" spans="1:53" ht="15" customHeight="1" x14ac:dyDescent="0.3">
      <c r="A139" s="14"/>
      <c r="B139" s="27">
        <v>2</v>
      </c>
      <c r="C139" s="28" t="s">
        <v>118</v>
      </c>
      <c r="D139" s="29"/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1</v>
      </c>
      <c r="AK139" s="15">
        <v>0</v>
      </c>
      <c r="AL139" s="15">
        <v>0</v>
      </c>
      <c r="AM139" s="15"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0</v>
      </c>
      <c r="AW139" s="15">
        <v>0</v>
      </c>
      <c r="AX139" s="15"/>
      <c r="AY139" s="13">
        <f t="shared" si="14"/>
        <v>1</v>
      </c>
      <c r="AZ139" s="5"/>
      <c r="BA139" s="5"/>
    </row>
    <row r="140" spans="1:53" ht="12.75" customHeight="1" x14ac:dyDescent="0.3">
      <c r="A140" s="14"/>
      <c r="B140" s="27">
        <v>3</v>
      </c>
      <c r="C140" s="28" t="s">
        <v>119</v>
      </c>
      <c r="D140" s="29"/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</v>
      </c>
      <c r="AQ140" s="15">
        <v>0</v>
      </c>
      <c r="AR140" s="15">
        <v>0</v>
      </c>
      <c r="AS140" s="15">
        <v>0</v>
      </c>
      <c r="AT140" s="15">
        <v>0</v>
      </c>
      <c r="AU140" s="15">
        <v>0</v>
      </c>
      <c r="AV140" s="15">
        <v>0</v>
      </c>
      <c r="AW140" s="15">
        <v>0</v>
      </c>
      <c r="AX140" s="15"/>
      <c r="AY140" s="13">
        <f t="shared" si="14"/>
        <v>0</v>
      </c>
      <c r="AZ140" s="5"/>
      <c r="BA140" s="5"/>
    </row>
    <row r="141" spans="1:53" ht="12.75" customHeight="1" x14ac:dyDescent="0.3">
      <c r="A141" s="14"/>
      <c r="B141" s="27">
        <v>4</v>
      </c>
      <c r="C141" s="28" t="s">
        <v>120</v>
      </c>
      <c r="D141" s="29"/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1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>
        <v>0</v>
      </c>
      <c r="AX141" s="15"/>
      <c r="AY141" s="13">
        <f t="shared" si="14"/>
        <v>1</v>
      </c>
      <c r="AZ141" s="1"/>
      <c r="BA141" s="1"/>
    </row>
    <row r="142" spans="1:53" ht="12.75" customHeight="1" x14ac:dyDescent="0.3">
      <c r="A142" s="14"/>
      <c r="B142" s="27">
        <v>5</v>
      </c>
      <c r="C142" s="28" t="s">
        <v>121</v>
      </c>
      <c r="D142" s="29"/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0</v>
      </c>
      <c r="AR142" s="15">
        <v>0</v>
      </c>
      <c r="AS142" s="15">
        <v>0</v>
      </c>
      <c r="AT142" s="15">
        <v>0</v>
      </c>
      <c r="AU142" s="15">
        <v>0</v>
      </c>
      <c r="AV142" s="15">
        <v>0</v>
      </c>
      <c r="AW142" s="15">
        <v>0</v>
      </c>
      <c r="AX142" s="15"/>
      <c r="AY142" s="13">
        <f t="shared" si="14"/>
        <v>0</v>
      </c>
      <c r="AZ142" s="31"/>
      <c r="BA142" s="31"/>
    </row>
    <row r="143" spans="1:53" ht="12.75" customHeight="1" x14ac:dyDescent="0.3">
      <c r="A143" s="14"/>
      <c r="B143" s="27">
        <v>6</v>
      </c>
      <c r="C143" s="28" t="s">
        <v>122</v>
      </c>
      <c r="D143" s="29"/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/>
      <c r="AY143" s="13">
        <f t="shared" ref="AY143:AY182" si="23">SUM(E143:AX143)</f>
        <v>0</v>
      </c>
      <c r="AZ143" s="5"/>
      <c r="BA143" s="5"/>
    </row>
    <row r="144" spans="1:53" ht="12.75" customHeight="1" x14ac:dyDescent="0.3">
      <c r="A144" s="15" t="s">
        <v>15</v>
      </c>
      <c r="B144" s="47" t="s">
        <v>46</v>
      </c>
      <c r="C144" s="48"/>
      <c r="D144" s="49"/>
      <c r="E144" s="34">
        <f t="shared" ref="E144:AX144" si="24">SUM(E137:E143)</f>
        <v>0</v>
      </c>
      <c r="F144" s="34">
        <f t="shared" si="24"/>
        <v>0</v>
      </c>
      <c r="G144" s="34">
        <f t="shared" si="24"/>
        <v>0</v>
      </c>
      <c r="H144" s="34">
        <f t="shared" si="24"/>
        <v>0</v>
      </c>
      <c r="I144" s="34">
        <f t="shared" si="24"/>
        <v>1</v>
      </c>
      <c r="J144" s="34">
        <f t="shared" si="24"/>
        <v>0</v>
      </c>
      <c r="K144" s="34">
        <f t="shared" si="24"/>
        <v>0</v>
      </c>
      <c r="L144" s="34">
        <f t="shared" si="24"/>
        <v>0</v>
      </c>
      <c r="M144" s="34">
        <f t="shared" si="24"/>
        <v>0</v>
      </c>
      <c r="N144" s="34">
        <f t="shared" si="24"/>
        <v>1</v>
      </c>
      <c r="O144" s="34">
        <f t="shared" si="24"/>
        <v>0</v>
      </c>
      <c r="P144" s="34">
        <f t="shared" si="24"/>
        <v>0</v>
      </c>
      <c r="Q144" s="34">
        <f t="shared" si="24"/>
        <v>0</v>
      </c>
      <c r="R144" s="34">
        <f t="shared" si="24"/>
        <v>0</v>
      </c>
      <c r="S144" s="34">
        <f t="shared" si="24"/>
        <v>0</v>
      </c>
      <c r="T144" s="34">
        <f t="shared" si="24"/>
        <v>0</v>
      </c>
      <c r="U144" s="34">
        <f t="shared" si="24"/>
        <v>0</v>
      </c>
      <c r="V144" s="34">
        <f t="shared" si="24"/>
        <v>0</v>
      </c>
      <c r="W144" s="34">
        <f t="shared" si="24"/>
        <v>0</v>
      </c>
      <c r="X144" s="34">
        <f t="shared" si="24"/>
        <v>0</v>
      </c>
      <c r="Y144" s="34">
        <f t="shared" si="24"/>
        <v>0</v>
      </c>
      <c r="Z144" s="34">
        <f t="shared" si="24"/>
        <v>0</v>
      </c>
      <c r="AA144" s="34">
        <f t="shared" si="24"/>
        <v>0</v>
      </c>
      <c r="AB144" s="34">
        <f t="shared" si="24"/>
        <v>0</v>
      </c>
      <c r="AC144" s="34">
        <f t="shared" si="24"/>
        <v>0</v>
      </c>
      <c r="AD144" s="34">
        <f t="shared" si="24"/>
        <v>0</v>
      </c>
      <c r="AE144" s="34">
        <f t="shared" si="24"/>
        <v>0</v>
      </c>
      <c r="AF144" s="34">
        <f t="shared" si="24"/>
        <v>0</v>
      </c>
      <c r="AG144" s="34">
        <f t="shared" si="24"/>
        <v>0</v>
      </c>
      <c r="AH144" s="34">
        <f t="shared" si="24"/>
        <v>0</v>
      </c>
      <c r="AI144" s="34">
        <f t="shared" si="24"/>
        <v>0</v>
      </c>
      <c r="AJ144" s="34">
        <f t="shared" si="24"/>
        <v>2</v>
      </c>
      <c r="AK144" s="34">
        <f t="shared" si="24"/>
        <v>0</v>
      </c>
      <c r="AL144" s="34">
        <f t="shared" si="24"/>
        <v>0</v>
      </c>
      <c r="AM144" s="34">
        <f t="shared" si="24"/>
        <v>0</v>
      </c>
      <c r="AN144" s="34">
        <f t="shared" si="24"/>
        <v>0</v>
      </c>
      <c r="AO144" s="34">
        <f t="shared" si="24"/>
        <v>0</v>
      </c>
      <c r="AP144" s="34">
        <f t="shared" si="24"/>
        <v>0</v>
      </c>
      <c r="AQ144" s="34">
        <f t="shared" si="24"/>
        <v>1</v>
      </c>
      <c r="AR144" s="34">
        <f t="shared" si="24"/>
        <v>1</v>
      </c>
      <c r="AS144" s="34">
        <f t="shared" si="24"/>
        <v>0</v>
      </c>
      <c r="AT144" s="34">
        <f t="shared" si="24"/>
        <v>0</v>
      </c>
      <c r="AU144" s="34">
        <f t="shared" si="24"/>
        <v>0</v>
      </c>
      <c r="AV144" s="34">
        <f t="shared" si="24"/>
        <v>0</v>
      </c>
      <c r="AW144" s="34">
        <f t="shared" si="24"/>
        <v>0</v>
      </c>
      <c r="AX144" s="34">
        <f t="shared" si="24"/>
        <v>0</v>
      </c>
      <c r="AY144" s="13">
        <f t="shared" si="23"/>
        <v>6</v>
      </c>
      <c r="AZ144" s="5"/>
      <c r="BA144" s="5"/>
    </row>
    <row r="145" spans="1:53" ht="12.75" customHeight="1" x14ac:dyDescent="0.3">
      <c r="A145" s="35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13">
        <f t="shared" si="23"/>
        <v>0</v>
      </c>
      <c r="AZ145" s="5"/>
      <c r="BA145" s="5"/>
    </row>
    <row r="146" spans="1:53" ht="12.75" customHeight="1" x14ac:dyDescent="0.3">
      <c r="A146" s="19" t="s">
        <v>37</v>
      </c>
      <c r="B146" s="26" t="s">
        <v>123</v>
      </c>
      <c r="C146" s="50" t="s">
        <v>124</v>
      </c>
      <c r="D146" s="49"/>
      <c r="E146" s="15">
        <v>3</v>
      </c>
      <c r="F146" s="15">
        <v>6</v>
      </c>
      <c r="G146" s="15">
        <v>3</v>
      </c>
      <c r="H146" s="15">
        <v>10</v>
      </c>
      <c r="I146" s="15">
        <v>14</v>
      </c>
      <c r="J146" s="15">
        <v>13</v>
      </c>
      <c r="K146" s="15">
        <v>11</v>
      </c>
      <c r="L146" s="15">
        <v>13</v>
      </c>
      <c r="M146" s="15">
        <v>12</v>
      </c>
      <c r="N146" s="15">
        <v>13</v>
      </c>
      <c r="O146" s="15">
        <v>11</v>
      </c>
      <c r="P146" s="15">
        <v>5</v>
      </c>
      <c r="Q146" s="15">
        <v>5</v>
      </c>
      <c r="R146" s="15">
        <v>6</v>
      </c>
      <c r="S146" s="15">
        <v>5</v>
      </c>
      <c r="T146" s="15">
        <v>14</v>
      </c>
      <c r="U146" s="15">
        <v>12</v>
      </c>
      <c r="V146" s="15">
        <v>3</v>
      </c>
      <c r="W146" s="15">
        <v>7</v>
      </c>
      <c r="X146" s="15">
        <v>2</v>
      </c>
      <c r="Y146" s="15">
        <v>9</v>
      </c>
      <c r="Z146" s="15">
        <v>4</v>
      </c>
      <c r="AA146" s="15">
        <v>3</v>
      </c>
      <c r="AB146" s="15">
        <v>3</v>
      </c>
      <c r="AC146" s="15">
        <v>8</v>
      </c>
      <c r="AD146" s="15">
        <v>4</v>
      </c>
      <c r="AE146" s="15">
        <v>14</v>
      </c>
      <c r="AF146" s="15">
        <v>8</v>
      </c>
      <c r="AG146" s="15">
        <v>11</v>
      </c>
      <c r="AH146" s="15">
        <v>17</v>
      </c>
      <c r="AI146" s="15">
        <v>4</v>
      </c>
      <c r="AJ146" s="15">
        <v>5</v>
      </c>
      <c r="AK146" s="15">
        <v>3</v>
      </c>
      <c r="AL146" s="15">
        <v>8</v>
      </c>
      <c r="AM146" s="15">
        <v>6</v>
      </c>
      <c r="AN146" s="15">
        <v>3</v>
      </c>
      <c r="AO146" s="15">
        <v>10</v>
      </c>
      <c r="AP146" s="15">
        <v>3</v>
      </c>
      <c r="AQ146" s="15">
        <v>3</v>
      </c>
      <c r="AR146" s="15">
        <v>8</v>
      </c>
      <c r="AS146" s="15">
        <v>4</v>
      </c>
      <c r="AT146" s="15">
        <v>4</v>
      </c>
      <c r="AU146" s="15">
        <v>6</v>
      </c>
      <c r="AV146" s="15">
        <v>4</v>
      </c>
      <c r="AW146" s="15">
        <v>5</v>
      </c>
      <c r="AX146" s="15">
        <v>4</v>
      </c>
      <c r="AY146" s="13">
        <f t="shared" si="23"/>
        <v>329</v>
      </c>
      <c r="AZ146" s="5"/>
      <c r="BA146" s="5"/>
    </row>
    <row r="147" spans="1:53" ht="12.75" customHeight="1" x14ac:dyDescent="0.3">
      <c r="A147" s="19" t="s">
        <v>39</v>
      </c>
      <c r="B147" s="27">
        <v>1</v>
      </c>
      <c r="C147" s="28" t="s">
        <v>125</v>
      </c>
      <c r="D147" s="29"/>
      <c r="E147" s="15">
        <v>15</v>
      </c>
      <c r="F147" s="15">
        <v>56</v>
      </c>
      <c r="G147" s="15">
        <v>10</v>
      </c>
      <c r="H147" s="15">
        <v>30</v>
      </c>
      <c r="I147" s="15">
        <v>64</v>
      </c>
      <c r="J147" s="15">
        <v>79</v>
      </c>
      <c r="K147" s="15">
        <v>22</v>
      </c>
      <c r="L147" s="15">
        <v>60</v>
      </c>
      <c r="M147" s="15">
        <v>53</v>
      </c>
      <c r="N147" s="15">
        <v>40</v>
      </c>
      <c r="O147" s="15">
        <v>40</v>
      </c>
      <c r="P147" s="15">
        <v>73</v>
      </c>
      <c r="Q147" s="15">
        <v>43</v>
      </c>
      <c r="R147" s="15">
        <v>66</v>
      </c>
      <c r="S147" s="15">
        <v>30</v>
      </c>
      <c r="T147" s="15">
        <v>49</v>
      </c>
      <c r="U147" s="15">
        <v>72</v>
      </c>
      <c r="V147" s="15">
        <v>24</v>
      </c>
      <c r="W147" s="15">
        <v>69</v>
      </c>
      <c r="X147" s="15">
        <v>81</v>
      </c>
      <c r="Y147" s="15">
        <v>38</v>
      </c>
      <c r="Z147" s="15">
        <v>33</v>
      </c>
      <c r="AA147" s="15">
        <v>6</v>
      </c>
      <c r="AB147" s="15">
        <v>5</v>
      </c>
      <c r="AC147" s="15">
        <v>21</v>
      </c>
      <c r="AD147" s="15">
        <v>47</v>
      </c>
      <c r="AE147" s="15">
        <v>72</v>
      </c>
      <c r="AF147" s="15">
        <v>58</v>
      </c>
      <c r="AG147" s="15">
        <v>69</v>
      </c>
      <c r="AH147" s="15">
        <v>59</v>
      </c>
      <c r="AI147" s="15">
        <v>0</v>
      </c>
      <c r="AJ147" s="15">
        <v>30</v>
      </c>
      <c r="AK147" s="15">
        <v>67</v>
      </c>
      <c r="AL147" s="15">
        <v>51</v>
      </c>
      <c r="AM147" s="15">
        <v>14</v>
      </c>
      <c r="AN147" s="15">
        <v>13</v>
      </c>
      <c r="AO147" s="15">
        <v>50</v>
      </c>
      <c r="AP147" s="15">
        <v>15</v>
      </c>
      <c r="AQ147" s="15">
        <v>38</v>
      </c>
      <c r="AR147" s="15">
        <v>44</v>
      </c>
      <c r="AS147" s="15">
        <v>8</v>
      </c>
      <c r="AT147" s="15">
        <v>7</v>
      </c>
      <c r="AU147" s="15">
        <v>21</v>
      </c>
      <c r="AV147" s="15">
        <v>20</v>
      </c>
      <c r="AW147" s="15">
        <v>48</v>
      </c>
      <c r="AX147" s="15">
        <v>82</v>
      </c>
      <c r="AY147" s="13">
        <f t="shared" si="23"/>
        <v>1892</v>
      </c>
      <c r="AZ147" s="5"/>
      <c r="BA147" s="5"/>
    </row>
    <row r="148" spans="1:53" ht="12.75" customHeight="1" x14ac:dyDescent="0.3">
      <c r="A148" s="14"/>
      <c r="B148" s="27">
        <v>2</v>
      </c>
      <c r="C148" s="28" t="s">
        <v>126</v>
      </c>
      <c r="D148" s="29"/>
      <c r="E148" s="15">
        <v>0</v>
      </c>
      <c r="F148" s="15">
        <v>0</v>
      </c>
      <c r="G148" s="15">
        <v>2</v>
      </c>
      <c r="H148" s="15">
        <v>1</v>
      </c>
      <c r="I148" s="15">
        <v>1</v>
      </c>
      <c r="J148" s="15">
        <v>2</v>
      </c>
      <c r="K148" s="15">
        <v>2</v>
      </c>
      <c r="L148" s="15">
        <v>2</v>
      </c>
      <c r="M148" s="15">
        <v>0</v>
      </c>
      <c r="N148" s="15">
        <v>0</v>
      </c>
      <c r="O148" s="15">
        <v>2</v>
      </c>
      <c r="P148" s="15">
        <v>0</v>
      </c>
      <c r="Q148" s="15">
        <v>1</v>
      </c>
      <c r="R148" s="15">
        <v>0</v>
      </c>
      <c r="S148" s="15">
        <v>0</v>
      </c>
      <c r="T148" s="15">
        <v>0</v>
      </c>
      <c r="U148" s="15">
        <v>2</v>
      </c>
      <c r="V148" s="15">
        <v>0</v>
      </c>
      <c r="W148" s="15">
        <v>1</v>
      </c>
      <c r="X148" s="15">
        <v>0</v>
      </c>
      <c r="Y148" s="15">
        <v>0</v>
      </c>
      <c r="Z148" s="15">
        <v>1</v>
      </c>
      <c r="AA148" s="15">
        <v>0</v>
      </c>
      <c r="AB148" s="15">
        <v>1</v>
      </c>
      <c r="AC148" s="15">
        <v>0</v>
      </c>
      <c r="AD148" s="15">
        <v>0</v>
      </c>
      <c r="AE148" s="15">
        <v>0</v>
      </c>
      <c r="AF148" s="15">
        <v>0</v>
      </c>
      <c r="AG148" s="15">
        <v>1</v>
      </c>
      <c r="AH148" s="15">
        <v>1</v>
      </c>
      <c r="AI148" s="15">
        <v>0</v>
      </c>
      <c r="AJ148" s="15">
        <v>0</v>
      </c>
      <c r="AK148" s="15">
        <v>1</v>
      </c>
      <c r="AL148" s="15">
        <v>0</v>
      </c>
      <c r="AM148" s="15">
        <v>0</v>
      </c>
      <c r="AN148" s="15">
        <v>1</v>
      </c>
      <c r="AO148" s="15">
        <v>3</v>
      </c>
      <c r="AP148" s="15">
        <v>1</v>
      </c>
      <c r="AQ148" s="15">
        <v>0</v>
      </c>
      <c r="AR148" s="15">
        <v>0</v>
      </c>
      <c r="AS148" s="15">
        <v>0</v>
      </c>
      <c r="AT148" s="15">
        <v>0</v>
      </c>
      <c r="AU148" s="15">
        <v>1</v>
      </c>
      <c r="AV148" s="15">
        <v>2</v>
      </c>
      <c r="AW148" s="15">
        <v>1</v>
      </c>
      <c r="AX148" s="15">
        <v>2</v>
      </c>
      <c r="AY148" s="13">
        <f t="shared" si="23"/>
        <v>32</v>
      </c>
      <c r="AZ148" s="5"/>
      <c r="BA148" s="5"/>
    </row>
    <row r="149" spans="1:53" ht="12.75" customHeight="1" x14ac:dyDescent="0.3">
      <c r="A149" s="14"/>
      <c r="B149" s="27">
        <v>3</v>
      </c>
      <c r="C149" s="28" t="s">
        <v>127</v>
      </c>
      <c r="D149" s="29"/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1</v>
      </c>
      <c r="P149" s="15">
        <v>0</v>
      </c>
      <c r="Q149" s="15">
        <v>1</v>
      </c>
      <c r="R149" s="15">
        <v>1</v>
      </c>
      <c r="S149" s="15">
        <v>0</v>
      </c>
      <c r="T149" s="15">
        <v>1</v>
      </c>
      <c r="U149" s="15">
        <v>0</v>
      </c>
      <c r="V149" s="15">
        <v>1</v>
      </c>
      <c r="W149" s="15">
        <v>0</v>
      </c>
      <c r="X149" s="15">
        <v>1</v>
      </c>
      <c r="Y149" s="15">
        <v>2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1</v>
      </c>
      <c r="AH149" s="15">
        <v>0</v>
      </c>
      <c r="AI149" s="15">
        <v>1</v>
      </c>
      <c r="AJ149" s="15">
        <v>0</v>
      </c>
      <c r="AK149" s="15">
        <v>1</v>
      </c>
      <c r="AL149" s="15">
        <v>1</v>
      </c>
      <c r="AM149" s="15">
        <v>2</v>
      </c>
      <c r="AN149" s="15">
        <v>0</v>
      </c>
      <c r="AO149" s="15">
        <v>1</v>
      </c>
      <c r="AP149" s="15">
        <v>0</v>
      </c>
      <c r="AQ149" s="15">
        <v>0</v>
      </c>
      <c r="AR149" s="15">
        <v>0</v>
      </c>
      <c r="AS149" s="15">
        <v>0</v>
      </c>
      <c r="AT149" s="15">
        <v>0</v>
      </c>
      <c r="AU149" s="15">
        <v>0</v>
      </c>
      <c r="AV149" s="15">
        <v>1</v>
      </c>
      <c r="AW149" s="15">
        <v>0</v>
      </c>
      <c r="AX149" s="15">
        <v>0</v>
      </c>
      <c r="AY149" s="13">
        <f t="shared" si="23"/>
        <v>16</v>
      </c>
      <c r="AZ149" s="5"/>
      <c r="BA149" s="5"/>
    </row>
    <row r="150" spans="1:53" ht="12.75" customHeight="1" x14ac:dyDescent="0.3">
      <c r="A150" s="14"/>
      <c r="B150" s="27">
        <v>4</v>
      </c>
      <c r="C150" s="28" t="s">
        <v>128</v>
      </c>
      <c r="D150" s="29"/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1</v>
      </c>
      <c r="T150" s="15">
        <v>1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2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</v>
      </c>
      <c r="AY150" s="13">
        <f t="shared" si="23"/>
        <v>5</v>
      </c>
      <c r="AZ150" s="5"/>
      <c r="BA150" s="5"/>
    </row>
    <row r="151" spans="1:53" ht="12.75" customHeight="1" x14ac:dyDescent="0.3">
      <c r="A151" s="14"/>
      <c r="B151" s="27">
        <v>5</v>
      </c>
      <c r="C151" s="28" t="s">
        <v>129</v>
      </c>
      <c r="D151" s="29"/>
      <c r="E151" s="15">
        <v>0</v>
      </c>
      <c r="F151" s="15">
        <v>0</v>
      </c>
      <c r="G151" s="15">
        <v>0</v>
      </c>
      <c r="H151" s="15">
        <v>1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1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1</v>
      </c>
      <c r="U151" s="15">
        <v>0</v>
      </c>
      <c r="V151" s="15">
        <v>0</v>
      </c>
      <c r="W151" s="15">
        <v>1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1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>
        <v>1</v>
      </c>
      <c r="AM151" s="15">
        <v>1</v>
      </c>
      <c r="AN151" s="15">
        <v>1</v>
      </c>
      <c r="AO151" s="15">
        <v>0</v>
      </c>
      <c r="AP151" s="15">
        <v>0</v>
      </c>
      <c r="AQ151" s="15">
        <v>0</v>
      </c>
      <c r="AR151" s="15">
        <v>0</v>
      </c>
      <c r="AS151" s="15">
        <v>0</v>
      </c>
      <c r="AT151" s="15">
        <v>0</v>
      </c>
      <c r="AU151" s="15">
        <v>0</v>
      </c>
      <c r="AV151" s="15">
        <v>0</v>
      </c>
      <c r="AW151" s="15">
        <v>0</v>
      </c>
      <c r="AX151" s="15">
        <v>0</v>
      </c>
      <c r="AY151" s="13">
        <f t="shared" si="23"/>
        <v>8</v>
      </c>
      <c r="AZ151" s="1"/>
      <c r="BA151" s="1"/>
    </row>
    <row r="152" spans="1:53" ht="12.75" customHeight="1" x14ac:dyDescent="0.3">
      <c r="A152" s="14"/>
      <c r="B152" s="27">
        <v>6</v>
      </c>
      <c r="C152" s="28" t="s">
        <v>130</v>
      </c>
      <c r="D152" s="29"/>
      <c r="E152" s="15">
        <v>1</v>
      </c>
      <c r="F152" s="15">
        <v>0</v>
      </c>
      <c r="G152" s="15">
        <v>0</v>
      </c>
      <c r="H152" s="15">
        <v>5</v>
      </c>
      <c r="I152" s="15">
        <v>5</v>
      </c>
      <c r="J152" s="15">
        <v>24</v>
      </c>
      <c r="K152" s="15">
        <v>62</v>
      </c>
      <c r="L152" s="15">
        <v>27</v>
      </c>
      <c r="M152" s="15">
        <v>13</v>
      </c>
      <c r="N152" s="15">
        <v>54</v>
      </c>
      <c r="O152" s="15">
        <v>47</v>
      </c>
      <c r="P152" s="15">
        <v>10</v>
      </c>
      <c r="Q152" s="15">
        <v>31</v>
      </c>
      <c r="R152" s="15">
        <v>12</v>
      </c>
      <c r="S152" s="15">
        <v>4</v>
      </c>
      <c r="T152" s="15">
        <v>7</v>
      </c>
      <c r="U152" s="15">
        <v>0</v>
      </c>
      <c r="V152" s="15">
        <v>0</v>
      </c>
      <c r="W152" s="15">
        <v>2</v>
      </c>
      <c r="X152" s="15">
        <v>4</v>
      </c>
      <c r="Y152" s="15">
        <v>2</v>
      </c>
      <c r="Z152" s="15">
        <v>1</v>
      </c>
      <c r="AA152" s="15">
        <v>71</v>
      </c>
      <c r="AB152" s="15">
        <v>10</v>
      </c>
      <c r="AC152" s="15">
        <v>15</v>
      </c>
      <c r="AD152" s="15">
        <v>46</v>
      </c>
      <c r="AE152" s="15">
        <v>5</v>
      </c>
      <c r="AF152" s="15">
        <v>1</v>
      </c>
      <c r="AG152" s="15">
        <v>2</v>
      </c>
      <c r="AH152" s="15">
        <v>10</v>
      </c>
      <c r="AI152" s="15">
        <v>173</v>
      </c>
      <c r="AJ152" s="15">
        <v>17</v>
      </c>
      <c r="AK152" s="15">
        <v>0</v>
      </c>
      <c r="AL152" s="15">
        <v>2</v>
      </c>
      <c r="AM152" s="15">
        <v>3</v>
      </c>
      <c r="AN152" s="15">
        <v>0</v>
      </c>
      <c r="AO152" s="15">
        <v>1</v>
      </c>
      <c r="AP152" s="15">
        <v>0</v>
      </c>
      <c r="AQ152" s="15">
        <v>4</v>
      </c>
      <c r="AR152" s="15">
        <v>6</v>
      </c>
      <c r="AS152" s="15">
        <v>8</v>
      </c>
      <c r="AT152" s="15">
        <v>4</v>
      </c>
      <c r="AU152" s="15">
        <v>1</v>
      </c>
      <c r="AV152" s="15">
        <v>0</v>
      </c>
      <c r="AW152" s="15">
        <v>1</v>
      </c>
      <c r="AX152" s="15">
        <v>0</v>
      </c>
      <c r="AY152" s="13">
        <f t="shared" si="23"/>
        <v>691</v>
      </c>
      <c r="AZ152" s="31"/>
      <c r="BA152" s="31"/>
    </row>
    <row r="153" spans="1:53" ht="12.75" customHeight="1" x14ac:dyDescent="0.3">
      <c r="A153" s="15" t="s">
        <v>15</v>
      </c>
      <c r="B153" s="47" t="s">
        <v>46</v>
      </c>
      <c r="C153" s="48"/>
      <c r="D153" s="49"/>
      <c r="E153" s="34">
        <f t="shared" ref="E153:AX153" si="25">SUM(E146:E152)</f>
        <v>19</v>
      </c>
      <c r="F153" s="34">
        <f t="shared" si="25"/>
        <v>62</v>
      </c>
      <c r="G153" s="34">
        <f t="shared" si="25"/>
        <v>15</v>
      </c>
      <c r="H153" s="34">
        <f t="shared" si="25"/>
        <v>47</v>
      </c>
      <c r="I153" s="34">
        <f t="shared" si="25"/>
        <v>84</v>
      </c>
      <c r="J153" s="34">
        <f t="shared" si="25"/>
        <v>118</v>
      </c>
      <c r="K153" s="34">
        <f t="shared" si="25"/>
        <v>97</v>
      </c>
      <c r="L153" s="34">
        <f t="shared" si="25"/>
        <v>102</v>
      </c>
      <c r="M153" s="34">
        <f t="shared" si="25"/>
        <v>78</v>
      </c>
      <c r="N153" s="34">
        <f t="shared" si="25"/>
        <v>108</v>
      </c>
      <c r="O153" s="34">
        <f t="shared" si="25"/>
        <v>101</v>
      </c>
      <c r="P153" s="34">
        <f t="shared" si="25"/>
        <v>88</v>
      </c>
      <c r="Q153" s="34">
        <f t="shared" si="25"/>
        <v>81</v>
      </c>
      <c r="R153" s="34">
        <f t="shared" si="25"/>
        <v>85</v>
      </c>
      <c r="S153" s="34">
        <f t="shared" si="25"/>
        <v>40</v>
      </c>
      <c r="T153" s="34">
        <f t="shared" si="25"/>
        <v>73</v>
      </c>
      <c r="U153" s="34">
        <f t="shared" si="25"/>
        <v>86</v>
      </c>
      <c r="V153" s="34">
        <f t="shared" si="25"/>
        <v>28</v>
      </c>
      <c r="W153" s="34">
        <f t="shared" si="25"/>
        <v>80</v>
      </c>
      <c r="X153" s="34">
        <f t="shared" si="25"/>
        <v>88</v>
      </c>
      <c r="Y153" s="34">
        <f t="shared" si="25"/>
        <v>51</v>
      </c>
      <c r="Z153" s="34">
        <f t="shared" si="25"/>
        <v>39</v>
      </c>
      <c r="AA153" s="34">
        <f t="shared" si="25"/>
        <v>80</v>
      </c>
      <c r="AB153" s="34">
        <f t="shared" si="25"/>
        <v>19</v>
      </c>
      <c r="AC153" s="34">
        <f t="shared" si="25"/>
        <v>44</v>
      </c>
      <c r="AD153" s="34">
        <f t="shared" si="25"/>
        <v>97</v>
      </c>
      <c r="AE153" s="34">
        <f t="shared" si="25"/>
        <v>92</v>
      </c>
      <c r="AF153" s="34">
        <f t="shared" si="25"/>
        <v>68</v>
      </c>
      <c r="AG153" s="34">
        <f t="shared" si="25"/>
        <v>84</v>
      </c>
      <c r="AH153" s="34">
        <f t="shared" si="25"/>
        <v>87</v>
      </c>
      <c r="AI153" s="34">
        <f t="shared" si="25"/>
        <v>178</v>
      </c>
      <c r="AJ153" s="34">
        <f t="shared" si="25"/>
        <v>52</v>
      </c>
      <c r="AK153" s="34">
        <f t="shared" si="25"/>
        <v>72</v>
      </c>
      <c r="AL153" s="34">
        <f t="shared" si="25"/>
        <v>63</v>
      </c>
      <c r="AM153" s="34">
        <f t="shared" si="25"/>
        <v>28</v>
      </c>
      <c r="AN153" s="34">
        <f t="shared" si="25"/>
        <v>18</v>
      </c>
      <c r="AO153" s="34">
        <f t="shared" si="25"/>
        <v>65</v>
      </c>
      <c r="AP153" s="34">
        <f t="shared" si="25"/>
        <v>19</v>
      </c>
      <c r="AQ153" s="34">
        <f t="shared" si="25"/>
        <v>45</v>
      </c>
      <c r="AR153" s="34">
        <f t="shared" si="25"/>
        <v>58</v>
      </c>
      <c r="AS153" s="34">
        <f t="shared" si="25"/>
        <v>20</v>
      </c>
      <c r="AT153" s="34">
        <f t="shared" si="25"/>
        <v>15</v>
      </c>
      <c r="AU153" s="34">
        <f t="shared" si="25"/>
        <v>29</v>
      </c>
      <c r="AV153" s="34">
        <f t="shared" si="25"/>
        <v>27</v>
      </c>
      <c r="AW153" s="34">
        <f t="shared" si="25"/>
        <v>55</v>
      </c>
      <c r="AX153" s="34">
        <f t="shared" si="25"/>
        <v>88</v>
      </c>
      <c r="AY153" s="13">
        <f t="shared" si="23"/>
        <v>2973</v>
      </c>
      <c r="AZ153" s="5"/>
      <c r="BA153" s="5"/>
    </row>
    <row r="154" spans="1:53" ht="12.75" customHeight="1" x14ac:dyDescent="0.3">
      <c r="A154" s="35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13">
        <f t="shared" si="23"/>
        <v>0</v>
      </c>
      <c r="AZ154" s="5"/>
      <c r="BA154" s="5"/>
    </row>
    <row r="155" spans="1:53" ht="12.75" customHeight="1" x14ac:dyDescent="0.3">
      <c r="A155" s="19" t="s">
        <v>37</v>
      </c>
      <c r="B155" s="26" t="s">
        <v>131</v>
      </c>
      <c r="C155" s="50" t="s">
        <v>132</v>
      </c>
      <c r="D155" s="49"/>
      <c r="E155" s="15">
        <v>2</v>
      </c>
      <c r="F155" s="15">
        <v>1</v>
      </c>
      <c r="G155" s="15">
        <v>2</v>
      </c>
      <c r="H155" s="15">
        <v>1</v>
      </c>
      <c r="I155" s="15">
        <v>0</v>
      </c>
      <c r="J155" s="15">
        <v>0</v>
      </c>
      <c r="K155" s="15">
        <v>3</v>
      </c>
      <c r="L155" s="15">
        <v>0</v>
      </c>
      <c r="M155" s="15">
        <v>1</v>
      </c>
      <c r="N155" s="15">
        <v>1</v>
      </c>
      <c r="O155" s="15">
        <v>1</v>
      </c>
      <c r="P155" s="15">
        <v>2</v>
      </c>
      <c r="Q155" s="15">
        <v>2</v>
      </c>
      <c r="R155" s="15">
        <v>3</v>
      </c>
      <c r="S155" s="15">
        <v>2</v>
      </c>
      <c r="T155" s="15">
        <v>4</v>
      </c>
      <c r="U155" s="15">
        <v>0</v>
      </c>
      <c r="V155" s="15">
        <v>2</v>
      </c>
      <c r="W155" s="15">
        <v>1</v>
      </c>
      <c r="X155" s="15">
        <v>0</v>
      </c>
      <c r="Y155" s="15">
        <v>0</v>
      </c>
      <c r="Z155" s="15">
        <v>2</v>
      </c>
      <c r="AA155" s="15">
        <v>0</v>
      </c>
      <c r="AB155" s="15">
        <v>0</v>
      </c>
      <c r="AC155" s="15">
        <v>1</v>
      </c>
      <c r="AD155" s="15">
        <v>1</v>
      </c>
      <c r="AE155" s="15">
        <v>0</v>
      </c>
      <c r="AF155" s="15">
        <v>0</v>
      </c>
      <c r="AG155" s="15">
        <v>0</v>
      </c>
      <c r="AH155" s="15">
        <v>0</v>
      </c>
      <c r="AI155" s="15">
        <v>1</v>
      </c>
      <c r="AJ155" s="15">
        <v>1</v>
      </c>
      <c r="AK155" s="15">
        <v>1</v>
      </c>
      <c r="AL155" s="15">
        <v>2</v>
      </c>
      <c r="AM155" s="15">
        <v>2</v>
      </c>
      <c r="AN155" s="15">
        <v>0</v>
      </c>
      <c r="AO155" s="15">
        <v>0</v>
      </c>
      <c r="AP155" s="15">
        <v>3</v>
      </c>
      <c r="AQ155" s="15">
        <v>0</v>
      </c>
      <c r="AR155" s="15">
        <v>0</v>
      </c>
      <c r="AS155" s="15">
        <v>1</v>
      </c>
      <c r="AT155" s="15">
        <v>1</v>
      </c>
      <c r="AU155" s="15">
        <v>3</v>
      </c>
      <c r="AV155" s="15">
        <v>0</v>
      </c>
      <c r="AW155" s="15">
        <v>1</v>
      </c>
      <c r="AX155" s="15"/>
      <c r="AY155" s="13">
        <f t="shared" si="23"/>
        <v>48</v>
      </c>
      <c r="AZ155" s="5"/>
      <c r="BA155" s="5"/>
    </row>
    <row r="156" spans="1:53" ht="12.75" customHeight="1" x14ac:dyDescent="0.3">
      <c r="A156" s="19" t="s">
        <v>39</v>
      </c>
      <c r="B156" s="27"/>
      <c r="C156" s="28" t="s">
        <v>133</v>
      </c>
      <c r="D156" s="29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3">
        <f t="shared" si="23"/>
        <v>0</v>
      </c>
      <c r="AZ156" s="5"/>
      <c r="BA156" s="5"/>
    </row>
    <row r="157" spans="1:53" ht="12.75" customHeight="1" x14ac:dyDescent="0.3">
      <c r="A157" s="15" t="s">
        <v>15</v>
      </c>
      <c r="B157" s="47" t="s">
        <v>46</v>
      </c>
      <c r="C157" s="48"/>
      <c r="D157" s="49"/>
      <c r="E157" s="34">
        <f t="shared" ref="E157:AX157" si="26">SUM(E155:E156)</f>
        <v>2</v>
      </c>
      <c r="F157" s="34">
        <f t="shared" si="26"/>
        <v>1</v>
      </c>
      <c r="G157" s="34">
        <f t="shared" si="26"/>
        <v>2</v>
      </c>
      <c r="H157" s="34">
        <f t="shared" si="26"/>
        <v>1</v>
      </c>
      <c r="I157" s="34">
        <f t="shared" si="26"/>
        <v>0</v>
      </c>
      <c r="J157" s="34">
        <f t="shared" si="26"/>
        <v>0</v>
      </c>
      <c r="K157" s="34">
        <f t="shared" si="26"/>
        <v>3</v>
      </c>
      <c r="L157" s="34">
        <f t="shared" si="26"/>
        <v>0</v>
      </c>
      <c r="M157" s="34">
        <f t="shared" si="26"/>
        <v>1</v>
      </c>
      <c r="N157" s="34">
        <f t="shared" si="26"/>
        <v>1</v>
      </c>
      <c r="O157" s="34">
        <f t="shared" si="26"/>
        <v>1</v>
      </c>
      <c r="P157" s="34">
        <f t="shared" si="26"/>
        <v>2</v>
      </c>
      <c r="Q157" s="34">
        <f t="shared" si="26"/>
        <v>2</v>
      </c>
      <c r="R157" s="34">
        <f t="shared" si="26"/>
        <v>3</v>
      </c>
      <c r="S157" s="34">
        <f t="shared" si="26"/>
        <v>2</v>
      </c>
      <c r="T157" s="34">
        <f t="shared" si="26"/>
        <v>4</v>
      </c>
      <c r="U157" s="34">
        <f t="shared" si="26"/>
        <v>0</v>
      </c>
      <c r="V157" s="34">
        <f t="shared" si="26"/>
        <v>2</v>
      </c>
      <c r="W157" s="34">
        <f t="shared" si="26"/>
        <v>1</v>
      </c>
      <c r="X157" s="34">
        <f t="shared" si="26"/>
        <v>0</v>
      </c>
      <c r="Y157" s="34">
        <f t="shared" si="26"/>
        <v>0</v>
      </c>
      <c r="Z157" s="34">
        <f t="shared" si="26"/>
        <v>2</v>
      </c>
      <c r="AA157" s="34">
        <f t="shared" si="26"/>
        <v>0</v>
      </c>
      <c r="AB157" s="34">
        <f t="shared" si="26"/>
        <v>0</v>
      </c>
      <c r="AC157" s="34">
        <f t="shared" si="26"/>
        <v>1</v>
      </c>
      <c r="AD157" s="34">
        <f t="shared" si="26"/>
        <v>1</v>
      </c>
      <c r="AE157" s="34">
        <f t="shared" si="26"/>
        <v>0</v>
      </c>
      <c r="AF157" s="34">
        <f t="shared" si="26"/>
        <v>0</v>
      </c>
      <c r="AG157" s="34">
        <f t="shared" si="26"/>
        <v>0</v>
      </c>
      <c r="AH157" s="34">
        <f t="shared" si="26"/>
        <v>0</v>
      </c>
      <c r="AI157" s="34">
        <f t="shared" si="26"/>
        <v>1</v>
      </c>
      <c r="AJ157" s="34">
        <f t="shared" si="26"/>
        <v>1</v>
      </c>
      <c r="AK157" s="34">
        <f t="shared" si="26"/>
        <v>1</v>
      </c>
      <c r="AL157" s="34">
        <f t="shared" si="26"/>
        <v>2</v>
      </c>
      <c r="AM157" s="34">
        <f t="shared" si="26"/>
        <v>2</v>
      </c>
      <c r="AN157" s="34">
        <f t="shared" si="26"/>
        <v>0</v>
      </c>
      <c r="AO157" s="34">
        <f t="shared" si="26"/>
        <v>0</v>
      </c>
      <c r="AP157" s="34">
        <f t="shared" si="26"/>
        <v>3</v>
      </c>
      <c r="AQ157" s="34">
        <f t="shared" si="26"/>
        <v>0</v>
      </c>
      <c r="AR157" s="34">
        <f t="shared" si="26"/>
        <v>0</v>
      </c>
      <c r="AS157" s="34">
        <f t="shared" si="26"/>
        <v>1</v>
      </c>
      <c r="AT157" s="34">
        <f t="shared" si="26"/>
        <v>1</v>
      </c>
      <c r="AU157" s="34">
        <f t="shared" si="26"/>
        <v>3</v>
      </c>
      <c r="AV157" s="34">
        <f t="shared" si="26"/>
        <v>0</v>
      </c>
      <c r="AW157" s="34">
        <f t="shared" si="26"/>
        <v>1</v>
      </c>
      <c r="AX157" s="34">
        <f t="shared" si="26"/>
        <v>0</v>
      </c>
      <c r="AY157" s="13">
        <f t="shared" si="23"/>
        <v>48</v>
      </c>
      <c r="AZ157" s="5"/>
      <c r="BA157" s="5"/>
    </row>
    <row r="158" spans="1:53" ht="12.75" customHeight="1" x14ac:dyDescent="0.3">
      <c r="A158" s="35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13">
        <f t="shared" si="23"/>
        <v>0</v>
      </c>
      <c r="AZ158" s="5"/>
      <c r="BA158" s="5"/>
    </row>
    <row r="159" spans="1:53" ht="12.75" customHeight="1" x14ac:dyDescent="0.3">
      <c r="A159" s="19" t="s">
        <v>37</v>
      </c>
      <c r="B159" s="26" t="s">
        <v>134</v>
      </c>
      <c r="C159" s="50" t="s">
        <v>135</v>
      </c>
      <c r="D159" s="49"/>
      <c r="E159" s="15">
        <v>1</v>
      </c>
      <c r="F159" s="15">
        <v>0</v>
      </c>
      <c r="G159" s="15">
        <v>1</v>
      </c>
      <c r="H159" s="15">
        <v>0</v>
      </c>
      <c r="I159" s="15">
        <v>2</v>
      </c>
      <c r="J159" s="15">
        <v>0</v>
      </c>
      <c r="K159" s="15">
        <v>0</v>
      </c>
      <c r="L159" s="15">
        <v>1</v>
      </c>
      <c r="M159" s="15">
        <v>0</v>
      </c>
      <c r="N159" s="15">
        <v>1</v>
      </c>
      <c r="O159" s="15">
        <v>0</v>
      </c>
      <c r="P159" s="15">
        <v>1</v>
      </c>
      <c r="Q159" s="15">
        <v>0</v>
      </c>
      <c r="R159" s="15">
        <v>0</v>
      </c>
      <c r="S159" s="15">
        <v>0</v>
      </c>
      <c r="T159" s="15">
        <v>2</v>
      </c>
      <c r="U159" s="15">
        <v>0</v>
      </c>
      <c r="V159" s="15">
        <v>1</v>
      </c>
      <c r="W159" s="15">
        <v>0</v>
      </c>
      <c r="X159" s="15">
        <v>0</v>
      </c>
      <c r="Y159" s="15">
        <v>0</v>
      </c>
      <c r="Z159" s="15">
        <v>1</v>
      </c>
      <c r="AA159" s="15">
        <v>0</v>
      </c>
      <c r="AB159" s="15">
        <v>0</v>
      </c>
      <c r="AC159" s="15">
        <v>1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>
        <v>1</v>
      </c>
      <c r="AM159" s="15">
        <v>0</v>
      </c>
      <c r="AN159" s="15">
        <v>1</v>
      </c>
      <c r="AO159" s="15">
        <v>0</v>
      </c>
      <c r="AP159" s="15">
        <v>0</v>
      </c>
      <c r="AQ159" s="15">
        <v>0</v>
      </c>
      <c r="AR159" s="15">
        <v>0</v>
      </c>
      <c r="AS159" s="15">
        <v>0</v>
      </c>
      <c r="AT159" s="15">
        <v>0</v>
      </c>
      <c r="AU159" s="15">
        <v>0</v>
      </c>
      <c r="AV159" s="15">
        <v>0</v>
      </c>
      <c r="AW159" s="15">
        <v>0</v>
      </c>
      <c r="AX159" s="15"/>
      <c r="AY159" s="13">
        <f t="shared" si="23"/>
        <v>14</v>
      </c>
      <c r="AZ159" s="5"/>
      <c r="BA159" s="5"/>
    </row>
    <row r="160" spans="1:53" ht="12.75" customHeight="1" x14ac:dyDescent="0.3">
      <c r="A160" s="19"/>
      <c r="B160" s="27">
        <v>1</v>
      </c>
      <c r="C160" s="28" t="s">
        <v>136</v>
      </c>
      <c r="D160" s="37"/>
      <c r="E160" s="15">
        <v>1</v>
      </c>
      <c r="F160" s="15">
        <v>0</v>
      </c>
      <c r="G160" s="15">
        <v>1</v>
      </c>
      <c r="H160" s="15">
        <v>1</v>
      </c>
      <c r="I160" s="15">
        <v>2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2</v>
      </c>
      <c r="P160" s="15">
        <v>0</v>
      </c>
      <c r="Q160" s="15">
        <v>0</v>
      </c>
      <c r="R160" s="15">
        <v>0</v>
      </c>
      <c r="S160" s="15">
        <v>1</v>
      </c>
      <c r="T160" s="15">
        <v>0</v>
      </c>
      <c r="U160" s="15">
        <v>2</v>
      </c>
      <c r="V160" s="15">
        <v>1</v>
      </c>
      <c r="W160" s="15">
        <v>0</v>
      </c>
      <c r="X160" s="15">
        <v>0</v>
      </c>
      <c r="Y160" s="15">
        <v>0</v>
      </c>
      <c r="Z160" s="15">
        <v>0</v>
      </c>
      <c r="AA160" s="15">
        <v>1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>
        <v>1</v>
      </c>
      <c r="AM160" s="15">
        <v>0</v>
      </c>
      <c r="AN160" s="15">
        <v>0</v>
      </c>
      <c r="AO160" s="15">
        <v>0</v>
      </c>
      <c r="AP160" s="15">
        <v>0</v>
      </c>
      <c r="AQ160" s="15">
        <v>0</v>
      </c>
      <c r="AR160" s="15">
        <v>1</v>
      </c>
      <c r="AS160" s="15">
        <v>0</v>
      </c>
      <c r="AT160" s="15">
        <v>0</v>
      </c>
      <c r="AU160" s="15">
        <v>0</v>
      </c>
      <c r="AV160" s="15">
        <v>0</v>
      </c>
      <c r="AW160" s="15">
        <v>0</v>
      </c>
      <c r="AX160" s="15"/>
      <c r="AY160" s="13">
        <f t="shared" si="23"/>
        <v>14</v>
      </c>
      <c r="AZ160" s="5"/>
      <c r="BA160" s="5"/>
    </row>
    <row r="161" spans="1:53" ht="12.75" customHeight="1" x14ac:dyDescent="0.3">
      <c r="A161" s="19"/>
      <c r="B161" s="27">
        <v>2</v>
      </c>
      <c r="C161" s="28" t="s">
        <v>137</v>
      </c>
      <c r="D161" s="37"/>
      <c r="E161" s="15">
        <v>0</v>
      </c>
      <c r="F161" s="15">
        <v>0</v>
      </c>
      <c r="G161" s="15">
        <v>0</v>
      </c>
      <c r="H161" s="15">
        <v>0</v>
      </c>
      <c r="I161" s="15">
        <v>1</v>
      </c>
      <c r="J161" s="15">
        <v>0</v>
      </c>
      <c r="K161" s="15">
        <v>0</v>
      </c>
      <c r="L161" s="15">
        <v>1</v>
      </c>
      <c r="M161" s="15">
        <v>0</v>
      </c>
      <c r="N161" s="15">
        <v>0</v>
      </c>
      <c r="O161" s="15">
        <v>2</v>
      </c>
      <c r="P161" s="15">
        <v>0</v>
      </c>
      <c r="Q161" s="15">
        <v>0</v>
      </c>
      <c r="R161" s="15">
        <v>0</v>
      </c>
      <c r="S161" s="15">
        <v>2</v>
      </c>
      <c r="T161" s="15">
        <v>8</v>
      </c>
      <c r="U161" s="15">
        <v>6</v>
      </c>
      <c r="V161" s="15">
        <v>1</v>
      </c>
      <c r="W161" s="15">
        <v>2</v>
      </c>
      <c r="X161" s="15">
        <v>0</v>
      </c>
      <c r="Y161" s="15">
        <v>0</v>
      </c>
      <c r="Z161" s="15">
        <v>4</v>
      </c>
      <c r="AA161" s="15">
        <v>0</v>
      </c>
      <c r="AB161" s="15">
        <v>5</v>
      </c>
      <c r="AC161" s="15">
        <v>5</v>
      </c>
      <c r="AD161" s="15">
        <v>1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>
        <v>1</v>
      </c>
      <c r="AM161" s="15">
        <v>0</v>
      </c>
      <c r="AN161" s="15">
        <v>0</v>
      </c>
      <c r="AO161" s="15">
        <v>0</v>
      </c>
      <c r="AP161" s="15">
        <v>3</v>
      </c>
      <c r="AQ161" s="15">
        <v>0</v>
      </c>
      <c r="AR161" s="15">
        <v>1</v>
      </c>
      <c r="AS161" s="15">
        <v>0</v>
      </c>
      <c r="AT161" s="15">
        <v>0</v>
      </c>
      <c r="AU161" s="15">
        <v>0</v>
      </c>
      <c r="AV161" s="15">
        <v>2</v>
      </c>
      <c r="AW161" s="15">
        <v>1</v>
      </c>
      <c r="AX161" s="15"/>
      <c r="AY161" s="13">
        <f t="shared" si="23"/>
        <v>46</v>
      </c>
      <c r="AZ161" s="5"/>
      <c r="BA161" s="5"/>
    </row>
    <row r="162" spans="1:53" ht="12.75" customHeight="1" x14ac:dyDescent="0.3">
      <c r="A162" s="19" t="s">
        <v>39</v>
      </c>
      <c r="B162" s="27">
        <v>3</v>
      </c>
      <c r="C162" s="28" t="s">
        <v>138</v>
      </c>
      <c r="D162" s="37"/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1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1</v>
      </c>
      <c r="W162" s="15">
        <v>1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1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0</v>
      </c>
      <c r="AQ162" s="15">
        <v>0</v>
      </c>
      <c r="AR162" s="15">
        <v>0</v>
      </c>
      <c r="AS162" s="15">
        <v>0</v>
      </c>
      <c r="AT162" s="15">
        <v>0</v>
      </c>
      <c r="AU162" s="15">
        <v>0</v>
      </c>
      <c r="AV162" s="15">
        <v>0</v>
      </c>
      <c r="AW162" s="15">
        <v>0</v>
      </c>
      <c r="AX162" s="15"/>
      <c r="AY162" s="13">
        <f t="shared" si="23"/>
        <v>4</v>
      </c>
      <c r="AZ162" s="5"/>
      <c r="BA162" s="5"/>
    </row>
    <row r="163" spans="1:53" ht="15" customHeight="1" x14ac:dyDescent="0.3">
      <c r="A163" s="15" t="s">
        <v>15</v>
      </c>
      <c r="B163" s="47" t="s">
        <v>46</v>
      </c>
      <c r="C163" s="48"/>
      <c r="D163" s="49"/>
      <c r="E163" s="34">
        <f t="shared" ref="E163:AX163" si="27">SUM(E159:E162)</f>
        <v>2</v>
      </c>
      <c r="F163" s="34">
        <f t="shared" si="27"/>
        <v>0</v>
      </c>
      <c r="G163" s="34">
        <f t="shared" si="27"/>
        <v>2</v>
      </c>
      <c r="H163" s="34">
        <f t="shared" si="27"/>
        <v>1</v>
      </c>
      <c r="I163" s="34">
        <f t="shared" si="27"/>
        <v>5</v>
      </c>
      <c r="J163" s="34">
        <f t="shared" si="27"/>
        <v>0</v>
      </c>
      <c r="K163" s="34">
        <f t="shared" si="27"/>
        <v>0</v>
      </c>
      <c r="L163" s="34">
        <f t="shared" si="27"/>
        <v>2</v>
      </c>
      <c r="M163" s="34">
        <f t="shared" si="27"/>
        <v>0</v>
      </c>
      <c r="N163" s="34">
        <f t="shared" si="27"/>
        <v>1</v>
      </c>
      <c r="O163" s="34">
        <f t="shared" si="27"/>
        <v>5</v>
      </c>
      <c r="P163" s="34">
        <f t="shared" si="27"/>
        <v>1</v>
      </c>
      <c r="Q163" s="34">
        <f t="shared" si="27"/>
        <v>0</v>
      </c>
      <c r="R163" s="34">
        <f t="shared" si="27"/>
        <v>0</v>
      </c>
      <c r="S163" s="34">
        <f t="shared" si="27"/>
        <v>3</v>
      </c>
      <c r="T163" s="34">
        <f t="shared" si="27"/>
        <v>10</v>
      </c>
      <c r="U163" s="34">
        <f t="shared" si="27"/>
        <v>8</v>
      </c>
      <c r="V163" s="34">
        <f t="shared" si="27"/>
        <v>4</v>
      </c>
      <c r="W163" s="34">
        <f t="shared" si="27"/>
        <v>3</v>
      </c>
      <c r="X163" s="34">
        <f t="shared" si="27"/>
        <v>0</v>
      </c>
      <c r="Y163" s="34">
        <f t="shared" si="27"/>
        <v>0</v>
      </c>
      <c r="Z163" s="34">
        <f t="shared" si="27"/>
        <v>5</v>
      </c>
      <c r="AA163" s="34">
        <f t="shared" si="27"/>
        <v>1</v>
      </c>
      <c r="AB163" s="34">
        <f t="shared" si="27"/>
        <v>5</v>
      </c>
      <c r="AC163" s="34">
        <f t="shared" si="27"/>
        <v>6</v>
      </c>
      <c r="AD163" s="34">
        <f t="shared" si="27"/>
        <v>1</v>
      </c>
      <c r="AE163" s="34">
        <f t="shared" si="27"/>
        <v>0</v>
      </c>
      <c r="AF163" s="34">
        <f t="shared" si="27"/>
        <v>1</v>
      </c>
      <c r="AG163" s="34">
        <f t="shared" si="27"/>
        <v>0</v>
      </c>
      <c r="AH163" s="34">
        <f t="shared" si="27"/>
        <v>0</v>
      </c>
      <c r="AI163" s="34">
        <f t="shared" si="27"/>
        <v>0</v>
      </c>
      <c r="AJ163" s="34">
        <f t="shared" si="27"/>
        <v>0</v>
      </c>
      <c r="AK163" s="34">
        <f t="shared" si="27"/>
        <v>0</v>
      </c>
      <c r="AL163" s="34">
        <f t="shared" si="27"/>
        <v>3</v>
      </c>
      <c r="AM163" s="34">
        <f t="shared" si="27"/>
        <v>0</v>
      </c>
      <c r="AN163" s="34">
        <f t="shared" si="27"/>
        <v>1</v>
      </c>
      <c r="AO163" s="34">
        <f t="shared" si="27"/>
        <v>0</v>
      </c>
      <c r="AP163" s="34">
        <f t="shared" si="27"/>
        <v>3</v>
      </c>
      <c r="AQ163" s="34">
        <f t="shared" si="27"/>
        <v>0</v>
      </c>
      <c r="AR163" s="34">
        <f t="shared" si="27"/>
        <v>2</v>
      </c>
      <c r="AS163" s="34">
        <f t="shared" si="27"/>
        <v>0</v>
      </c>
      <c r="AT163" s="34">
        <f t="shared" si="27"/>
        <v>0</v>
      </c>
      <c r="AU163" s="34">
        <f t="shared" si="27"/>
        <v>0</v>
      </c>
      <c r="AV163" s="34">
        <f t="shared" si="27"/>
        <v>2</v>
      </c>
      <c r="AW163" s="34">
        <f t="shared" si="27"/>
        <v>1</v>
      </c>
      <c r="AX163" s="34">
        <f t="shared" si="27"/>
        <v>0</v>
      </c>
      <c r="AY163" s="13">
        <f t="shared" si="23"/>
        <v>78</v>
      </c>
      <c r="AZ163" s="5"/>
      <c r="BA163" s="5"/>
    </row>
    <row r="164" spans="1:53" ht="12.75" customHeight="1" x14ac:dyDescent="0.3">
      <c r="A164" s="35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13">
        <f t="shared" si="23"/>
        <v>0</v>
      </c>
      <c r="AZ164" s="5"/>
      <c r="BA164" s="5"/>
    </row>
    <row r="165" spans="1:53" ht="12.75" customHeight="1" x14ac:dyDescent="0.3">
      <c r="A165" s="19" t="s">
        <v>37</v>
      </c>
      <c r="B165" s="26" t="s">
        <v>139</v>
      </c>
      <c r="C165" s="50" t="s">
        <v>140</v>
      </c>
      <c r="D165" s="49"/>
      <c r="E165" s="15">
        <v>2</v>
      </c>
      <c r="F165" s="15">
        <v>3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2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2</v>
      </c>
      <c r="X165" s="15">
        <v>2</v>
      </c>
      <c r="Y165" s="15">
        <v>1</v>
      </c>
      <c r="Z165" s="15">
        <v>0</v>
      </c>
      <c r="AA165" s="15">
        <v>3</v>
      </c>
      <c r="AB165" s="15">
        <v>0</v>
      </c>
      <c r="AC165" s="15">
        <v>0</v>
      </c>
      <c r="AD165" s="15">
        <v>1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2</v>
      </c>
      <c r="AL165" s="15">
        <v>1</v>
      </c>
      <c r="AM165" s="15">
        <v>4</v>
      </c>
      <c r="AN165" s="15">
        <v>1</v>
      </c>
      <c r="AO165" s="15">
        <v>0</v>
      </c>
      <c r="AP165" s="15">
        <v>0</v>
      </c>
      <c r="AQ165" s="15">
        <v>0</v>
      </c>
      <c r="AR165" s="15">
        <v>1</v>
      </c>
      <c r="AS165" s="15">
        <v>1</v>
      </c>
      <c r="AT165" s="15">
        <v>3</v>
      </c>
      <c r="AU165" s="15">
        <v>0</v>
      </c>
      <c r="AV165" s="15">
        <v>0</v>
      </c>
      <c r="AW165" s="15">
        <v>3</v>
      </c>
      <c r="AX165" s="15">
        <v>1</v>
      </c>
      <c r="AY165" s="13">
        <f t="shared" si="23"/>
        <v>33</v>
      </c>
      <c r="AZ165" s="1"/>
      <c r="BA165" s="1"/>
    </row>
    <row r="166" spans="1:53" ht="12.75" customHeight="1" x14ac:dyDescent="0.3">
      <c r="A166" s="19" t="s">
        <v>39</v>
      </c>
      <c r="B166" s="27">
        <v>1</v>
      </c>
      <c r="C166" s="28" t="s">
        <v>141</v>
      </c>
      <c r="D166" s="29"/>
      <c r="E166" s="15">
        <v>31</v>
      </c>
      <c r="F166" s="15">
        <v>45</v>
      </c>
      <c r="G166" s="15">
        <v>0</v>
      </c>
      <c r="H166" s="15">
        <v>0</v>
      </c>
      <c r="I166" s="15">
        <v>1</v>
      </c>
      <c r="J166" s="15">
        <v>0</v>
      </c>
      <c r="K166" s="15">
        <v>0</v>
      </c>
      <c r="L166" s="15">
        <v>2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8</v>
      </c>
      <c r="X166" s="15">
        <v>2</v>
      </c>
      <c r="Y166" s="15">
        <v>0</v>
      </c>
      <c r="Z166" s="15">
        <v>5</v>
      </c>
      <c r="AA166" s="15">
        <v>2</v>
      </c>
      <c r="AB166" s="15">
        <v>0</v>
      </c>
      <c r="AC166" s="15">
        <v>2</v>
      </c>
      <c r="AD166" s="15">
        <v>3</v>
      </c>
      <c r="AE166" s="15">
        <v>6</v>
      </c>
      <c r="AF166" s="15">
        <v>3</v>
      </c>
      <c r="AG166" s="15">
        <v>0</v>
      </c>
      <c r="AH166" s="15">
        <v>0</v>
      </c>
      <c r="AI166" s="15">
        <v>1</v>
      </c>
      <c r="AJ166" s="15">
        <v>0</v>
      </c>
      <c r="AK166" s="15">
        <v>2</v>
      </c>
      <c r="AL166" s="15">
        <v>2</v>
      </c>
      <c r="AM166" s="15">
        <v>0</v>
      </c>
      <c r="AN166" s="15">
        <v>4</v>
      </c>
      <c r="AO166" s="15">
        <v>0</v>
      </c>
      <c r="AP166" s="15">
        <v>0</v>
      </c>
      <c r="AQ166" s="15">
        <v>0</v>
      </c>
      <c r="AR166" s="15">
        <v>2</v>
      </c>
      <c r="AS166" s="15">
        <v>1</v>
      </c>
      <c r="AT166" s="15">
        <v>4</v>
      </c>
      <c r="AU166" s="15">
        <v>0</v>
      </c>
      <c r="AV166" s="15">
        <v>0</v>
      </c>
      <c r="AW166" s="15">
        <v>5</v>
      </c>
      <c r="AX166" s="15">
        <v>11</v>
      </c>
      <c r="AY166" s="13">
        <f t="shared" si="23"/>
        <v>142</v>
      </c>
      <c r="AZ166" s="31"/>
      <c r="BA166" s="31"/>
    </row>
    <row r="167" spans="1:53" ht="12.75" customHeight="1" x14ac:dyDescent="0.3">
      <c r="A167" s="14"/>
      <c r="B167" s="27">
        <v>2</v>
      </c>
      <c r="C167" s="28" t="s">
        <v>142</v>
      </c>
      <c r="D167" s="29"/>
      <c r="E167" s="15">
        <v>0</v>
      </c>
      <c r="F167" s="15">
        <v>0</v>
      </c>
      <c r="G167" s="15">
        <v>0</v>
      </c>
      <c r="H167" s="15">
        <v>3</v>
      </c>
      <c r="I167" s="15">
        <v>7</v>
      </c>
      <c r="J167" s="15">
        <v>7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1</v>
      </c>
      <c r="Z167" s="15">
        <v>5</v>
      </c>
      <c r="AA167" s="15">
        <v>20</v>
      </c>
      <c r="AB167" s="15">
        <v>2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5</v>
      </c>
      <c r="AJ167" s="15">
        <v>0</v>
      </c>
      <c r="AK167" s="15">
        <v>0</v>
      </c>
      <c r="AL167" s="15">
        <v>1</v>
      </c>
      <c r="AM167" s="15">
        <v>9</v>
      </c>
      <c r="AN167" s="15">
        <v>5</v>
      </c>
      <c r="AO167" s="15">
        <v>0</v>
      </c>
      <c r="AP167" s="15">
        <v>0</v>
      </c>
      <c r="AQ167" s="15">
        <v>1</v>
      </c>
      <c r="AR167" s="15">
        <v>0</v>
      </c>
      <c r="AS167" s="15">
        <v>1</v>
      </c>
      <c r="AT167" s="15">
        <v>0</v>
      </c>
      <c r="AU167" s="15">
        <v>2</v>
      </c>
      <c r="AV167" s="15">
        <v>6</v>
      </c>
      <c r="AW167" s="15">
        <v>3</v>
      </c>
      <c r="AX167" s="15">
        <v>0</v>
      </c>
      <c r="AY167" s="13">
        <f t="shared" si="23"/>
        <v>78</v>
      </c>
      <c r="AZ167" s="5"/>
      <c r="BA167" s="5"/>
    </row>
    <row r="168" spans="1:53" ht="12.75" customHeight="1" x14ac:dyDescent="0.3">
      <c r="A168" s="14"/>
      <c r="B168" s="27">
        <v>3</v>
      </c>
      <c r="C168" s="28" t="s">
        <v>143</v>
      </c>
      <c r="D168" s="29"/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1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1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1</v>
      </c>
      <c r="AN168" s="15">
        <v>0</v>
      </c>
      <c r="AO168" s="15">
        <v>0</v>
      </c>
      <c r="AP168" s="15">
        <v>0</v>
      </c>
      <c r="AQ168" s="15">
        <v>1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0</v>
      </c>
      <c r="AX168" s="15">
        <v>1</v>
      </c>
      <c r="AY168" s="13">
        <f t="shared" si="23"/>
        <v>5</v>
      </c>
      <c r="AZ168" s="5"/>
      <c r="BA168" s="5"/>
    </row>
    <row r="169" spans="1:53" ht="12.75" customHeight="1" x14ac:dyDescent="0.3">
      <c r="A169" s="14"/>
      <c r="B169" s="27">
        <v>4</v>
      </c>
      <c r="C169" s="28" t="s">
        <v>144</v>
      </c>
      <c r="D169" s="29"/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1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1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0</v>
      </c>
      <c r="AO169" s="15">
        <v>0</v>
      </c>
      <c r="AP169" s="15">
        <v>0</v>
      </c>
      <c r="AQ169" s="15">
        <v>0</v>
      </c>
      <c r="AR169" s="15">
        <v>0</v>
      </c>
      <c r="AS169" s="15">
        <v>0</v>
      </c>
      <c r="AT169" s="15">
        <v>0</v>
      </c>
      <c r="AU169" s="15">
        <v>0</v>
      </c>
      <c r="AV169" s="15">
        <v>0</v>
      </c>
      <c r="AW169" s="15">
        <v>0</v>
      </c>
      <c r="AX169" s="15">
        <v>0</v>
      </c>
      <c r="AY169" s="13">
        <f t="shared" si="23"/>
        <v>2</v>
      </c>
      <c r="AZ169" s="5"/>
      <c r="BA169" s="5"/>
    </row>
    <row r="170" spans="1:53" ht="12.75" customHeight="1" x14ac:dyDescent="0.3">
      <c r="A170" s="14"/>
      <c r="B170" s="27">
        <v>5</v>
      </c>
      <c r="C170" s="28" t="s">
        <v>145</v>
      </c>
      <c r="D170" s="29"/>
      <c r="E170" s="15">
        <v>1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0</v>
      </c>
      <c r="AQ170" s="15">
        <v>0</v>
      </c>
      <c r="AR170" s="15">
        <v>0</v>
      </c>
      <c r="AS170" s="15">
        <v>0</v>
      </c>
      <c r="AT170" s="15">
        <v>1</v>
      </c>
      <c r="AU170" s="15">
        <v>0</v>
      </c>
      <c r="AV170" s="15">
        <v>0</v>
      </c>
      <c r="AW170" s="15">
        <v>0</v>
      </c>
      <c r="AX170" s="15">
        <v>0</v>
      </c>
      <c r="AY170" s="13">
        <f t="shared" si="23"/>
        <v>2</v>
      </c>
      <c r="AZ170" s="5"/>
      <c r="BA170" s="5"/>
    </row>
    <row r="171" spans="1:53" ht="12.75" customHeight="1" x14ac:dyDescent="0.3">
      <c r="A171" s="14"/>
      <c r="B171" s="27">
        <v>6</v>
      </c>
      <c r="C171" s="28" t="s">
        <v>146</v>
      </c>
      <c r="D171" s="29"/>
      <c r="E171" s="15">
        <v>6</v>
      </c>
      <c r="F171" s="15">
        <v>0</v>
      </c>
      <c r="G171" s="15">
        <v>0</v>
      </c>
      <c r="H171" s="15">
        <v>2</v>
      </c>
      <c r="I171" s="15">
        <v>0</v>
      </c>
      <c r="J171" s="15">
        <v>1</v>
      </c>
      <c r="K171" s="15">
        <v>2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2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1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1</v>
      </c>
      <c r="AM171" s="15">
        <v>19</v>
      </c>
      <c r="AN171" s="15">
        <v>3</v>
      </c>
      <c r="AO171" s="15">
        <v>0</v>
      </c>
      <c r="AP171" s="15">
        <v>0</v>
      </c>
      <c r="AQ171" s="15">
        <v>0</v>
      </c>
      <c r="AR171" s="15">
        <v>1</v>
      </c>
      <c r="AS171" s="15">
        <v>0</v>
      </c>
      <c r="AT171" s="15">
        <v>1</v>
      </c>
      <c r="AU171" s="15">
        <v>0</v>
      </c>
      <c r="AV171" s="15">
        <v>0</v>
      </c>
      <c r="AW171" s="15">
        <v>0</v>
      </c>
      <c r="AX171" s="15">
        <v>0</v>
      </c>
      <c r="AY171" s="13">
        <f t="shared" si="23"/>
        <v>39</v>
      </c>
      <c r="AZ171" s="5"/>
      <c r="BA171" s="5"/>
    </row>
    <row r="172" spans="1:53" ht="12.75" customHeight="1" x14ac:dyDescent="0.3">
      <c r="A172" s="15" t="s">
        <v>15</v>
      </c>
      <c r="B172" s="47" t="s">
        <v>46</v>
      </c>
      <c r="C172" s="48"/>
      <c r="D172" s="49"/>
      <c r="E172" s="13">
        <f t="shared" ref="E172:AX172" si="28">SUM(E165:E171)</f>
        <v>40</v>
      </c>
      <c r="F172" s="13">
        <f t="shared" si="28"/>
        <v>48</v>
      </c>
      <c r="G172" s="13">
        <f t="shared" si="28"/>
        <v>0</v>
      </c>
      <c r="H172" s="13">
        <f t="shared" si="28"/>
        <v>5</v>
      </c>
      <c r="I172" s="13">
        <f t="shared" si="28"/>
        <v>8</v>
      </c>
      <c r="J172" s="13">
        <f t="shared" si="28"/>
        <v>9</v>
      </c>
      <c r="K172" s="13">
        <f t="shared" si="28"/>
        <v>2</v>
      </c>
      <c r="L172" s="13">
        <f t="shared" si="28"/>
        <v>4</v>
      </c>
      <c r="M172" s="13">
        <f t="shared" si="28"/>
        <v>0</v>
      </c>
      <c r="N172" s="13">
        <f t="shared" si="28"/>
        <v>0</v>
      </c>
      <c r="O172" s="13">
        <f t="shared" si="28"/>
        <v>0</v>
      </c>
      <c r="P172" s="13">
        <f t="shared" si="28"/>
        <v>1</v>
      </c>
      <c r="Q172" s="13">
        <f t="shared" si="28"/>
        <v>0</v>
      </c>
      <c r="R172" s="13">
        <f t="shared" si="28"/>
        <v>0</v>
      </c>
      <c r="S172" s="13">
        <f t="shared" si="28"/>
        <v>3</v>
      </c>
      <c r="T172" s="13">
        <f t="shared" si="28"/>
        <v>0</v>
      </c>
      <c r="U172" s="13">
        <f t="shared" si="28"/>
        <v>0</v>
      </c>
      <c r="V172" s="13">
        <f t="shared" si="28"/>
        <v>0</v>
      </c>
      <c r="W172" s="13">
        <f t="shared" si="28"/>
        <v>10</v>
      </c>
      <c r="X172" s="13">
        <f t="shared" si="28"/>
        <v>4</v>
      </c>
      <c r="Y172" s="13">
        <f t="shared" si="28"/>
        <v>2</v>
      </c>
      <c r="Z172" s="13">
        <f t="shared" si="28"/>
        <v>10</v>
      </c>
      <c r="AA172" s="13">
        <f t="shared" si="28"/>
        <v>25</v>
      </c>
      <c r="AB172" s="13">
        <f t="shared" si="28"/>
        <v>3</v>
      </c>
      <c r="AC172" s="13">
        <f t="shared" si="28"/>
        <v>2</v>
      </c>
      <c r="AD172" s="13">
        <f t="shared" si="28"/>
        <v>4</v>
      </c>
      <c r="AE172" s="13">
        <f t="shared" si="28"/>
        <v>7</v>
      </c>
      <c r="AF172" s="13">
        <f t="shared" si="28"/>
        <v>3</v>
      </c>
      <c r="AG172" s="13">
        <f t="shared" si="28"/>
        <v>0</v>
      </c>
      <c r="AH172" s="13">
        <f t="shared" si="28"/>
        <v>0</v>
      </c>
      <c r="AI172" s="13">
        <f t="shared" si="28"/>
        <v>6</v>
      </c>
      <c r="AJ172" s="13">
        <f t="shared" si="28"/>
        <v>0</v>
      </c>
      <c r="AK172" s="13">
        <f t="shared" si="28"/>
        <v>4</v>
      </c>
      <c r="AL172" s="13">
        <f t="shared" si="28"/>
        <v>5</v>
      </c>
      <c r="AM172" s="13">
        <f t="shared" si="28"/>
        <v>33</v>
      </c>
      <c r="AN172" s="13">
        <f t="shared" si="28"/>
        <v>13</v>
      </c>
      <c r="AO172" s="13">
        <f t="shared" si="28"/>
        <v>0</v>
      </c>
      <c r="AP172" s="13">
        <f t="shared" si="28"/>
        <v>0</v>
      </c>
      <c r="AQ172" s="13">
        <f t="shared" si="28"/>
        <v>2</v>
      </c>
      <c r="AR172" s="13">
        <f t="shared" si="28"/>
        <v>4</v>
      </c>
      <c r="AS172" s="13">
        <f t="shared" si="28"/>
        <v>3</v>
      </c>
      <c r="AT172" s="13">
        <f t="shared" si="28"/>
        <v>9</v>
      </c>
      <c r="AU172" s="13">
        <f t="shared" si="28"/>
        <v>2</v>
      </c>
      <c r="AV172" s="13">
        <f t="shared" si="28"/>
        <v>6</v>
      </c>
      <c r="AW172" s="13">
        <f t="shared" si="28"/>
        <v>11</v>
      </c>
      <c r="AX172" s="13">
        <f t="shared" si="28"/>
        <v>13</v>
      </c>
      <c r="AY172" s="13">
        <f t="shared" si="23"/>
        <v>301</v>
      </c>
      <c r="AZ172" s="5"/>
      <c r="BA172" s="5"/>
    </row>
    <row r="173" spans="1:53" ht="12.75" customHeight="1" x14ac:dyDescent="0.3">
      <c r="A173" s="35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13">
        <f t="shared" si="23"/>
        <v>0</v>
      </c>
      <c r="AZ173" s="5"/>
      <c r="BA173" s="5"/>
    </row>
    <row r="174" spans="1:53" ht="12.75" customHeight="1" x14ac:dyDescent="0.3">
      <c r="A174" s="19" t="s">
        <v>37</v>
      </c>
      <c r="B174" s="26" t="s">
        <v>147</v>
      </c>
      <c r="C174" s="50" t="s">
        <v>148</v>
      </c>
      <c r="D174" s="49"/>
      <c r="E174" s="15">
        <v>1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2</v>
      </c>
      <c r="S174" s="15">
        <v>2</v>
      </c>
      <c r="T174" s="15">
        <v>0</v>
      </c>
      <c r="U174" s="15">
        <v>0</v>
      </c>
      <c r="V174" s="15">
        <v>0</v>
      </c>
      <c r="W174" s="15">
        <v>1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0</v>
      </c>
      <c r="AV174" s="15">
        <v>2</v>
      </c>
      <c r="AW174" s="15">
        <v>0</v>
      </c>
      <c r="AX174" s="15">
        <v>1</v>
      </c>
      <c r="AY174" s="13">
        <f t="shared" si="23"/>
        <v>9</v>
      </c>
      <c r="AZ174" s="5"/>
      <c r="BA174" s="5"/>
    </row>
    <row r="175" spans="1:53" ht="15" customHeight="1" x14ac:dyDescent="0.3">
      <c r="A175" s="19"/>
      <c r="B175" s="27">
        <v>1</v>
      </c>
      <c r="C175" s="28" t="s">
        <v>149</v>
      </c>
      <c r="D175" s="37"/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2</v>
      </c>
      <c r="M175" s="15">
        <v>0</v>
      </c>
      <c r="N175" s="15">
        <v>0</v>
      </c>
      <c r="O175" s="15">
        <v>0</v>
      </c>
      <c r="P175" s="15">
        <v>0</v>
      </c>
      <c r="Q175" s="15">
        <v>1</v>
      </c>
      <c r="R175" s="15">
        <v>1</v>
      </c>
      <c r="S175" s="15">
        <v>1</v>
      </c>
      <c r="T175" s="15">
        <v>0</v>
      </c>
      <c r="U175" s="15">
        <v>0</v>
      </c>
      <c r="V175" s="15">
        <v>0</v>
      </c>
      <c r="W175" s="15">
        <v>2</v>
      </c>
      <c r="X175" s="15">
        <v>1</v>
      </c>
      <c r="Y175" s="15">
        <v>1</v>
      </c>
      <c r="Z175" s="15">
        <v>0</v>
      </c>
      <c r="AA175" s="15">
        <v>1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5">
        <v>0</v>
      </c>
      <c r="AP175" s="15">
        <v>0</v>
      </c>
      <c r="AQ175" s="15">
        <v>0</v>
      </c>
      <c r="AR175" s="15">
        <v>0</v>
      </c>
      <c r="AS175" s="15">
        <v>1</v>
      </c>
      <c r="AT175" s="15">
        <v>0</v>
      </c>
      <c r="AU175" s="15">
        <v>0</v>
      </c>
      <c r="AV175" s="15">
        <v>0</v>
      </c>
      <c r="AW175" s="15">
        <v>0</v>
      </c>
      <c r="AX175" s="15"/>
      <c r="AY175" s="13">
        <f t="shared" si="23"/>
        <v>11</v>
      </c>
      <c r="AZ175" s="5"/>
      <c r="BA175" s="5"/>
    </row>
    <row r="176" spans="1:53" ht="12.75" customHeight="1" x14ac:dyDescent="0.3">
      <c r="A176" s="19" t="s">
        <v>39</v>
      </c>
      <c r="B176" s="27">
        <v>2</v>
      </c>
      <c r="C176" s="28" t="s">
        <v>150</v>
      </c>
      <c r="D176" s="29"/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3</v>
      </c>
      <c r="T176" s="15">
        <v>0</v>
      </c>
      <c r="U176" s="15">
        <v>0</v>
      </c>
      <c r="V176" s="15">
        <v>0</v>
      </c>
      <c r="W176" s="15">
        <v>0</v>
      </c>
      <c r="X176" s="15">
        <v>2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1</v>
      </c>
      <c r="AK176" s="15">
        <v>0</v>
      </c>
      <c r="AL176" s="15">
        <v>0</v>
      </c>
      <c r="AM176" s="15">
        <v>1</v>
      </c>
      <c r="AN176" s="15">
        <v>0</v>
      </c>
      <c r="AO176" s="15">
        <v>0</v>
      </c>
      <c r="AP176" s="15">
        <v>0</v>
      </c>
      <c r="AQ176" s="15">
        <v>0</v>
      </c>
      <c r="AR176" s="15">
        <v>0</v>
      </c>
      <c r="AS176" s="15">
        <v>0</v>
      </c>
      <c r="AT176" s="15">
        <v>0</v>
      </c>
      <c r="AU176" s="15">
        <v>0</v>
      </c>
      <c r="AV176" s="15">
        <v>0</v>
      </c>
      <c r="AW176" s="15">
        <v>0</v>
      </c>
      <c r="AX176" s="15"/>
      <c r="AY176" s="13">
        <f t="shared" si="23"/>
        <v>7</v>
      </c>
      <c r="AZ176" s="1"/>
      <c r="BA176" s="1"/>
    </row>
    <row r="177" spans="1:53" ht="12.75" customHeight="1" x14ac:dyDescent="0.3">
      <c r="A177" s="15" t="s">
        <v>15</v>
      </c>
      <c r="B177" s="47" t="s">
        <v>46</v>
      </c>
      <c r="C177" s="48"/>
      <c r="D177" s="49"/>
      <c r="E177" s="34">
        <f t="shared" ref="E177:AX177" si="29">SUM(E174:E176)</f>
        <v>1</v>
      </c>
      <c r="F177" s="34">
        <f t="shared" si="29"/>
        <v>0</v>
      </c>
      <c r="G177" s="34">
        <f t="shared" si="29"/>
        <v>0</v>
      </c>
      <c r="H177" s="34">
        <f t="shared" si="29"/>
        <v>0</v>
      </c>
      <c r="I177" s="34">
        <f t="shared" si="29"/>
        <v>0</v>
      </c>
      <c r="J177" s="34">
        <f t="shared" si="29"/>
        <v>0</v>
      </c>
      <c r="K177" s="34">
        <f t="shared" si="29"/>
        <v>0</v>
      </c>
      <c r="L177" s="34">
        <f t="shared" si="29"/>
        <v>2</v>
      </c>
      <c r="M177" s="34">
        <f t="shared" si="29"/>
        <v>0</v>
      </c>
      <c r="N177" s="34">
        <f t="shared" si="29"/>
        <v>0</v>
      </c>
      <c r="O177" s="34">
        <f t="shared" si="29"/>
        <v>0</v>
      </c>
      <c r="P177" s="34">
        <f t="shared" si="29"/>
        <v>0</v>
      </c>
      <c r="Q177" s="34">
        <f t="shared" si="29"/>
        <v>1</v>
      </c>
      <c r="R177" s="34">
        <f t="shared" si="29"/>
        <v>3</v>
      </c>
      <c r="S177" s="34">
        <f t="shared" si="29"/>
        <v>6</v>
      </c>
      <c r="T177" s="34">
        <f t="shared" si="29"/>
        <v>0</v>
      </c>
      <c r="U177" s="34">
        <f t="shared" si="29"/>
        <v>0</v>
      </c>
      <c r="V177" s="34">
        <f t="shared" si="29"/>
        <v>0</v>
      </c>
      <c r="W177" s="34">
        <f t="shared" si="29"/>
        <v>3</v>
      </c>
      <c r="X177" s="34">
        <f t="shared" si="29"/>
        <v>3</v>
      </c>
      <c r="Y177" s="34">
        <f t="shared" si="29"/>
        <v>1</v>
      </c>
      <c r="Z177" s="34">
        <f t="shared" si="29"/>
        <v>0</v>
      </c>
      <c r="AA177" s="34">
        <f t="shared" si="29"/>
        <v>1</v>
      </c>
      <c r="AB177" s="34">
        <f t="shared" si="29"/>
        <v>0</v>
      </c>
      <c r="AC177" s="34">
        <f t="shared" si="29"/>
        <v>0</v>
      </c>
      <c r="AD177" s="34">
        <f t="shared" si="29"/>
        <v>0</v>
      </c>
      <c r="AE177" s="34">
        <f t="shared" si="29"/>
        <v>0</v>
      </c>
      <c r="AF177" s="34">
        <f t="shared" si="29"/>
        <v>0</v>
      </c>
      <c r="AG177" s="34">
        <f t="shared" si="29"/>
        <v>0</v>
      </c>
      <c r="AH177" s="34">
        <f t="shared" si="29"/>
        <v>0</v>
      </c>
      <c r="AI177" s="34">
        <f t="shared" si="29"/>
        <v>0</v>
      </c>
      <c r="AJ177" s="34">
        <f t="shared" si="29"/>
        <v>1</v>
      </c>
      <c r="AK177" s="34">
        <f t="shared" si="29"/>
        <v>0</v>
      </c>
      <c r="AL177" s="34">
        <f t="shared" si="29"/>
        <v>0</v>
      </c>
      <c r="AM177" s="34">
        <f t="shared" si="29"/>
        <v>1</v>
      </c>
      <c r="AN177" s="34">
        <f t="shared" si="29"/>
        <v>0</v>
      </c>
      <c r="AO177" s="34">
        <f t="shared" si="29"/>
        <v>0</v>
      </c>
      <c r="AP177" s="34">
        <f t="shared" si="29"/>
        <v>0</v>
      </c>
      <c r="AQ177" s="34">
        <f t="shared" si="29"/>
        <v>0</v>
      </c>
      <c r="AR177" s="34">
        <f t="shared" si="29"/>
        <v>0</v>
      </c>
      <c r="AS177" s="34">
        <f t="shared" si="29"/>
        <v>1</v>
      </c>
      <c r="AT177" s="34">
        <f t="shared" si="29"/>
        <v>0</v>
      </c>
      <c r="AU177" s="34">
        <f t="shared" si="29"/>
        <v>0</v>
      </c>
      <c r="AV177" s="34">
        <f t="shared" si="29"/>
        <v>2</v>
      </c>
      <c r="AW177" s="34">
        <f t="shared" si="29"/>
        <v>0</v>
      </c>
      <c r="AX177" s="34">
        <f t="shared" si="29"/>
        <v>1</v>
      </c>
      <c r="AY177" s="13">
        <f t="shared" si="23"/>
        <v>27</v>
      </c>
    </row>
    <row r="178" spans="1:53" ht="12.75" customHeight="1" x14ac:dyDescent="0.3">
      <c r="A178" s="60"/>
      <c r="B178" s="58"/>
      <c r="C178" s="58"/>
      <c r="D178" s="5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3">
        <f t="shared" si="23"/>
        <v>0</v>
      </c>
      <c r="AZ178" s="5"/>
      <c r="BA178" s="5"/>
    </row>
    <row r="179" spans="1:53" ht="12.75" customHeight="1" x14ac:dyDescent="0.3">
      <c r="A179" s="25" t="s">
        <v>151</v>
      </c>
      <c r="B179" s="55" t="s">
        <v>152</v>
      </c>
      <c r="C179" s="48"/>
      <c r="D179" s="49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3">
        <f t="shared" si="23"/>
        <v>0</v>
      </c>
      <c r="AZ179" s="5"/>
      <c r="BA179" s="5"/>
    </row>
    <row r="180" spans="1:53" ht="12.75" customHeight="1" x14ac:dyDescent="0.3">
      <c r="A180" s="25"/>
      <c r="B180" s="38" t="s">
        <v>153</v>
      </c>
      <c r="C180" s="72" t="s">
        <v>154</v>
      </c>
      <c r="D180" s="49"/>
      <c r="E180" s="15">
        <f>E52+E61+E70+E79+E88+E94+E99+E108+E115+E124+E128+E135+E144+E153+E157+E163+E172+E177</f>
        <v>170</v>
      </c>
      <c r="F180" s="15">
        <f t="shared" ref="F180:AY180" si="30">F52+F61+F70+F79+F88+F94+F99+F108+F115+F124+F128+F135+F144+F153+F157+F163+F172+F177</f>
        <v>200</v>
      </c>
      <c r="G180" s="15">
        <f t="shared" si="30"/>
        <v>151</v>
      </c>
      <c r="H180" s="15">
        <f t="shared" si="30"/>
        <v>154</v>
      </c>
      <c r="I180" s="15">
        <f t="shared" si="30"/>
        <v>197</v>
      </c>
      <c r="J180" s="15">
        <f t="shared" si="30"/>
        <v>191</v>
      </c>
      <c r="K180" s="15">
        <f t="shared" si="30"/>
        <v>148</v>
      </c>
      <c r="L180" s="15">
        <f t="shared" si="30"/>
        <v>182</v>
      </c>
      <c r="M180" s="15">
        <f t="shared" si="30"/>
        <v>141</v>
      </c>
      <c r="N180" s="15">
        <f t="shared" si="30"/>
        <v>211</v>
      </c>
      <c r="O180" s="15">
        <f t="shared" si="30"/>
        <v>174</v>
      </c>
      <c r="P180" s="15">
        <f t="shared" si="30"/>
        <v>199</v>
      </c>
      <c r="Q180" s="15">
        <f t="shared" si="30"/>
        <v>169</v>
      </c>
      <c r="R180" s="15">
        <f t="shared" si="30"/>
        <v>146</v>
      </c>
      <c r="S180" s="15">
        <f t="shared" si="30"/>
        <v>164</v>
      </c>
      <c r="T180" s="15">
        <f t="shared" si="30"/>
        <v>178</v>
      </c>
      <c r="U180" s="15">
        <f t="shared" si="30"/>
        <v>209</v>
      </c>
      <c r="V180" s="15">
        <f t="shared" si="30"/>
        <v>197</v>
      </c>
      <c r="W180" s="15">
        <f t="shared" si="30"/>
        <v>195</v>
      </c>
      <c r="X180" s="15">
        <f t="shared" si="30"/>
        <v>223</v>
      </c>
      <c r="Y180" s="15">
        <f t="shared" si="30"/>
        <v>203</v>
      </c>
      <c r="Z180" s="15">
        <f t="shared" si="30"/>
        <v>193</v>
      </c>
      <c r="AA180" s="15">
        <f t="shared" si="30"/>
        <v>180</v>
      </c>
      <c r="AB180" s="15">
        <f t="shared" si="30"/>
        <v>169</v>
      </c>
      <c r="AC180" s="15">
        <f t="shared" si="30"/>
        <v>190</v>
      </c>
      <c r="AD180" s="15">
        <f t="shared" si="30"/>
        <v>191</v>
      </c>
      <c r="AE180" s="15">
        <f t="shared" si="30"/>
        <v>185</v>
      </c>
      <c r="AF180" s="15">
        <f t="shared" si="30"/>
        <v>147</v>
      </c>
      <c r="AG180" s="15">
        <f t="shared" si="30"/>
        <v>215</v>
      </c>
      <c r="AH180" s="15">
        <f t="shared" si="30"/>
        <v>114</v>
      </c>
      <c r="AI180" s="15">
        <f t="shared" si="30"/>
        <v>200</v>
      </c>
      <c r="AJ180" s="15">
        <f t="shared" si="30"/>
        <v>198</v>
      </c>
      <c r="AK180" s="15">
        <f t="shared" si="30"/>
        <v>211</v>
      </c>
      <c r="AL180" s="15">
        <f t="shared" si="30"/>
        <v>222</v>
      </c>
      <c r="AM180" s="15">
        <f t="shared" si="30"/>
        <v>241</v>
      </c>
      <c r="AN180" s="15">
        <f t="shared" si="30"/>
        <v>195</v>
      </c>
      <c r="AO180" s="15">
        <f t="shared" si="30"/>
        <v>213</v>
      </c>
      <c r="AP180" s="15">
        <f t="shared" si="30"/>
        <v>195</v>
      </c>
      <c r="AQ180" s="15">
        <f t="shared" si="30"/>
        <v>190</v>
      </c>
      <c r="AR180" s="15">
        <f t="shared" si="30"/>
        <v>184</v>
      </c>
      <c r="AS180" s="15">
        <f t="shared" si="30"/>
        <v>201</v>
      </c>
      <c r="AT180" s="15">
        <f t="shared" si="30"/>
        <v>195</v>
      </c>
      <c r="AU180" s="15">
        <f t="shared" si="30"/>
        <v>224</v>
      </c>
      <c r="AV180" s="15">
        <f t="shared" si="30"/>
        <v>196</v>
      </c>
      <c r="AW180" s="15">
        <f t="shared" si="30"/>
        <v>183</v>
      </c>
      <c r="AX180" s="15">
        <f t="shared" si="30"/>
        <v>192</v>
      </c>
      <c r="AY180" s="15">
        <f t="shared" si="30"/>
        <v>8626</v>
      </c>
      <c r="AZ180" s="5"/>
      <c r="BA180" s="5"/>
    </row>
    <row r="181" spans="1:53" ht="12.75" customHeight="1" x14ac:dyDescent="0.3">
      <c r="A181" s="21"/>
      <c r="B181" s="38" t="s">
        <v>155</v>
      </c>
      <c r="C181" s="72" t="s">
        <v>156</v>
      </c>
      <c r="D181" s="49"/>
      <c r="E181" s="15">
        <v>12</v>
      </c>
      <c r="F181" s="15">
        <v>5</v>
      </c>
      <c r="G181" s="15">
        <v>20</v>
      </c>
      <c r="H181" s="15">
        <v>15</v>
      </c>
      <c r="I181" s="15">
        <v>11</v>
      </c>
      <c r="J181" s="15">
        <v>8</v>
      </c>
      <c r="K181" s="15">
        <v>19</v>
      </c>
      <c r="L181" s="15">
        <v>12</v>
      </c>
      <c r="M181" s="15">
        <v>25</v>
      </c>
      <c r="N181" s="15">
        <v>7</v>
      </c>
      <c r="O181" s="15">
        <v>18</v>
      </c>
      <c r="P181" s="15">
        <v>11</v>
      </c>
      <c r="Q181" s="15">
        <v>11</v>
      </c>
      <c r="R181" s="15">
        <v>7</v>
      </c>
      <c r="S181" s="15">
        <v>15</v>
      </c>
      <c r="T181" s="15">
        <v>23</v>
      </c>
      <c r="U181" s="15">
        <v>15</v>
      </c>
      <c r="V181" s="15">
        <v>23</v>
      </c>
      <c r="W181" s="15">
        <v>12</v>
      </c>
      <c r="X181" s="15">
        <v>8</v>
      </c>
      <c r="Y181" s="15">
        <v>12</v>
      </c>
      <c r="Z181" s="15">
        <v>11</v>
      </c>
      <c r="AA181" s="15">
        <v>13</v>
      </c>
      <c r="AB181" s="15">
        <v>13</v>
      </c>
      <c r="AC181" s="15">
        <v>9</v>
      </c>
      <c r="AD181" s="15">
        <v>12</v>
      </c>
      <c r="AE181" s="15">
        <v>6</v>
      </c>
      <c r="AF181" s="15">
        <v>14</v>
      </c>
      <c r="AG181" s="15">
        <v>8</v>
      </c>
      <c r="AH181" s="15">
        <v>8</v>
      </c>
      <c r="AI181" s="15">
        <v>2</v>
      </c>
      <c r="AJ181" s="15">
        <v>11</v>
      </c>
      <c r="AK181" s="15">
        <v>13</v>
      </c>
      <c r="AL181" s="15">
        <v>15</v>
      </c>
      <c r="AM181" s="15">
        <v>14</v>
      </c>
      <c r="AN181" s="15">
        <v>15</v>
      </c>
      <c r="AO181" s="15">
        <v>16</v>
      </c>
      <c r="AP181" s="15">
        <v>9</v>
      </c>
      <c r="AQ181" s="15">
        <v>6</v>
      </c>
      <c r="AR181" s="15">
        <v>14</v>
      </c>
      <c r="AS181" s="15">
        <v>9</v>
      </c>
      <c r="AT181" s="15">
        <v>15</v>
      </c>
      <c r="AU181" s="15">
        <v>6</v>
      </c>
      <c r="AV181" s="15">
        <v>9</v>
      </c>
      <c r="AW181" s="15">
        <v>8</v>
      </c>
      <c r="AX181" s="15">
        <v>8</v>
      </c>
      <c r="AY181" s="13">
        <f t="shared" si="23"/>
        <v>553</v>
      </c>
      <c r="AZ181" s="5"/>
      <c r="BA181" s="5"/>
    </row>
    <row r="182" spans="1:53" ht="12.75" customHeight="1" x14ac:dyDescent="0.3">
      <c r="A182" s="24"/>
      <c r="B182" s="38" t="s">
        <v>157</v>
      </c>
      <c r="C182" s="72" t="s">
        <v>158</v>
      </c>
      <c r="D182" s="49"/>
      <c r="E182" s="18">
        <f>SUM(E180:E181)</f>
        <v>182</v>
      </c>
      <c r="F182" s="18">
        <f t="shared" ref="F182:AY182" si="31">SUM(F180:F181)</f>
        <v>205</v>
      </c>
      <c r="G182" s="18">
        <f t="shared" si="31"/>
        <v>171</v>
      </c>
      <c r="H182" s="18">
        <f t="shared" si="31"/>
        <v>169</v>
      </c>
      <c r="I182" s="18">
        <f t="shared" si="31"/>
        <v>208</v>
      </c>
      <c r="J182" s="18">
        <f t="shared" si="31"/>
        <v>199</v>
      </c>
      <c r="K182" s="18">
        <f t="shared" si="31"/>
        <v>167</v>
      </c>
      <c r="L182" s="18">
        <f t="shared" si="31"/>
        <v>194</v>
      </c>
      <c r="M182" s="18">
        <f t="shared" si="31"/>
        <v>166</v>
      </c>
      <c r="N182" s="18">
        <f t="shared" si="31"/>
        <v>218</v>
      </c>
      <c r="O182" s="18">
        <f t="shared" si="31"/>
        <v>192</v>
      </c>
      <c r="P182" s="18">
        <f t="shared" si="31"/>
        <v>210</v>
      </c>
      <c r="Q182" s="18">
        <f t="shared" si="31"/>
        <v>180</v>
      </c>
      <c r="R182" s="18">
        <f t="shared" si="31"/>
        <v>153</v>
      </c>
      <c r="S182" s="18">
        <f t="shared" si="31"/>
        <v>179</v>
      </c>
      <c r="T182" s="18">
        <f t="shared" si="31"/>
        <v>201</v>
      </c>
      <c r="U182" s="18">
        <f t="shared" si="31"/>
        <v>224</v>
      </c>
      <c r="V182" s="18">
        <f t="shared" si="31"/>
        <v>220</v>
      </c>
      <c r="W182" s="18">
        <f t="shared" si="31"/>
        <v>207</v>
      </c>
      <c r="X182" s="18">
        <f t="shared" si="31"/>
        <v>231</v>
      </c>
      <c r="Y182" s="18">
        <f t="shared" si="31"/>
        <v>215</v>
      </c>
      <c r="Z182" s="18">
        <f t="shared" si="31"/>
        <v>204</v>
      </c>
      <c r="AA182" s="18">
        <f t="shared" si="31"/>
        <v>193</v>
      </c>
      <c r="AB182" s="18">
        <f t="shared" si="31"/>
        <v>182</v>
      </c>
      <c r="AC182" s="18">
        <f t="shared" si="31"/>
        <v>199</v>
      </c>
      <c r="AD182" s="18">
        <f t="shared" si="31"/>
        <v>203</v>
      </c>
      <c r="AE182" s="18">
        <f t="shared" si="31"/>
        <v>191</v>
      </c>
      <c r="AF182" s="18">
        <f t="shared" si="31"/>
        <v>161</v>
      </c>
      <c r="AG182" s="18">
        <f t="shared" si="31"/>
        <v>223</v>
      </c>
      <c r="AH182" s="18">
        <f t="shared" si="31"/>
        <v>122</v>
      </c>
      <c r="AI182" s="18">
        <f t="shared" si="31"/>
        <v>202</v>
      </c>
      <c r="AJ182" s="18">
        <f t="shared" si="31"/>
        <v>209</v>
      </c>
      <c r="AK182" s="18">
        <f t="shared" si="31"/>
        <v>224</v>
      </c>
      <c r="AL182" s="18">
        <f t="shared" si="31"/>
        <v>237</v>
      </c>
      <c r="AM182" s="18">
        <f t="shared" si="31"/>
        <v>255</v>
      </c>
      <c r="AN182" s="18">
        <f t="shared" si="31"/>
        <v>210</v>
      </c>
      <c r="AO182" s="18">
        <f t="shared" si="31"/>
        <v>229</v>
      </c>
      <c r="AP182" s="18">
        <f t="shared" si="31"/>
        <v>204</v>
      </c>
      <c r="AQ182" s="18">
        <f t="shared" si="31"/>
        <v>196</v>
      </c>
      <c r="AR182" s="18">
        <f t="shared" si="31"/>
        <v>198</v>
      </c>
      <c r="AS182" s="18">
        <f t="shared" si="31"/>
        <v>210</v>
      </c>
      <c r="AT182" s="18">
        <f t="shared" si="31"/>
        <v>210</v>
      </c>
      <c r="AU182" s="18">
        <f t="shared" si="31"/>
        <v>230</v>
      </c>
      <c r="AV182" s="18">
        <f t="shared" si="31"/>
        <v>205</v>
      </c>
      <c r="AW182" s="18">
        <f t="shared" si="31"/>
        <v>191</v>
      </c>
      <c r="AX182" s="18">
        <f t="shared" si="31"/>
        <v>200</v>
      </c>
      <c r="AY182" s="18">
        <f t="shared" si="31"/>
        <v>9179</v>
      </c>
      <c r="AZ182" s="5"/>
      <c r="BA182" s="5"/>
    </row>
    <row r="183" spans="1:53" ht="12.75" customHeight="1" x14ac:dyDescent="0.3"/>
    <row r="184" spans="1:53" ht="12.75" customHeight="1" x14ac:dyDescent="0.3"/>
    <row r="185" spans="1:53" ht="12.75" customHeight="1" x14ac:dyDescent="0.3"/>
    <row r="186" spans="1:53" ht="12.75" customHeight="1" x14ac:dyDescent="0.3"/>
    <row r="187" spans="1:53" ht="12.75" customHeight="1" x14ac:dyDescent="0.3"/>
    <row r="188" spans="1:53" ht="12.75" customHeight="1" x14ac:dyDescent="0.3"/>
    <row r="189" spans="1:53" ht="12.75" customHeight="1" x14ac:dyDescent="0.3"/>
    <row r="190" spans="1:53" ht="12.75" customHeight="1" x14ac:dyDescent="0.3"/>
    <row r="191" spans="1:53" ht="12.75" customHeight="1" x14ac:dyDescent="0.3"/>
    <row r="192" spans="1:53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72">
    <mergeCell ref="B108:D108"/>
    <mergeCell ref="C110:D110"/>
    <mergeCell ref="B115:D115"/>
    <mergeCell ref="C117:D117"/>
    <mergeCell ref="B124:D124"/>
    <mergeCell ref="C126:D126"/>
    <mergeCell ref="B128:D128"/>
    <mergeCell ref="C130:D130"/>
    <mergeCell ref="B135:D135"/>
    <mergeCell ref="C137:D137"/>
    <mergeCell ref="B144:D144"/>
    <mergeCell ref="C146:D146"/>
    <mergeCell ref="B153:D153"/>
    <mergeCell ref="C155:D155"/>
    <mergeCell ref="A178:D178"/>
    <mergeCell ref="B179:D179"/>
    <mergeCell ref="C180:D180"/>
    <mergeCell ref="C181:D181"/>
    <mergeCell ref="C182:D182"/>
    <mergeCell ref="B157:D157"/>
    <mergeCell ref="C159:D159"/>
    <mergeCell ref="B163:D163"/>
    <mergeCell ref="C165:D165"/>
    <mergeCell ref="B172:D172"/>
    <mergeCell ref="C174:D174"/>
    <mergeCell ref="B177:D177"/>
    <mergeCell ref="B12:D12"/>
    <mergeCell ref="W12:AX12"/>
    <mergeCell ref="AY12:A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W37:AA37"/>
    <mergeCell ref="B38:D38"/>
    <mergeCell ref="B39:C41"/>
    <mergeCell ref="A42:D42"/>
    <mergeCell ref="E42:I42"/>
    <mergeCell ref="W42:AA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2:D52"/>
    <mergeCell ref="C54:D54"/>
    <mergeCell ref="B61:D61"/>
    <mergeCell ref="C63:D63"/>
    <mergeCell ref="B70:D70"/>
    <mergeCell ref="B94:D94"/>
    <mergeCell ref="C96:D96"/>
    <mergeCell ref="B99:D99"/>
    <mergeCell ref="C101:D101"/>
    <mergeCell ref="C72:D72"/>
    <mergeCell ref="B79:D79"/>
    <mergeCell ref="C81:D81"/>
    <mergeCell ref="B88:D88"/>
    <mergeCell ref="C90:D90"/>
  </mergeCells>
  <conditionalFormatting sqref="E34:T34">
    <cfRule type="expression" dxfId="194" priority="2">
      <formula>E34&lt;&gt;E64</formula>
    </cfRule>
  </conditionalFormatting>
  <conditionalFormatting sqref="E14:AX15">
    <cfRule type="containsBlanks" dxfId="193" priority="3">
      <formula>LEN(TRIM(E14))=0</formula>
    </cfRule>
  </conditionalFormatting>
  <conditionalFormatting sqref="E19:AX20">
    <cfRule type="containsBlanks" dxfId="192" priority="4">
      <formula>LEN(TRIM(E19))=0</formula>
    </cfRule>
  </conditionalFormatting>
  <conditionalFormatting sqref="E22:AX23 E25:AX26 E33:AX33 E35:AX35 E39:AX40">
    <cfRule type="containsBlanks" dxfId="191" priority="5">
      <formula>LEN(TRIM(E22))=0</formula>
    </cfRule>
  </conditionalFormatting>
  <conditionalFormatting sqref="E30:AX30">
    <cfRule type="expression" dxfId="190" priority="6">
      <formula>E30&lt;&gt;E47</formula>
    </cfRule>
    <cfRule type="expression" dxfId="189" priority="7">
      <formula>E30&lt;&gt;E34</formula>
    </cfRule>
  </conditionalFormatting>
  <conditionalFormatting sqref="E34:AX34">
    <cfRule type="expression" dxfId="188" priority="8">
      <formula>E30&lt;&gt;E34</formula>
    </cfRule>
    <cfRule type="expression" dxfId="187" priority="9">
      <formula>E30=E34</formula>
    </cfRule>
    <cfRule type="expression" dxfId="186" priority="10">
      <formula>E34&lt;&gt;E30</formula>
    </cfRule>
  </conditionalFormatting>
  <conditionalFormatting sqref="E45:AX51">
    <cfRule type="containsBlanks" dxfId="185" priority="14">
      <formula>LEN(TRIM(E45))=0</formula>
    </cfRule>
  </conditionalFormatting>
  <conditionalFormatting sqref="E54:AX60">
    <cfRule type="containsBlanks" dxfId="184" priority="15">
      <formula>LEN(TRIM(E54))=0</formula>
    </cfRule>
  </conditionalFormatting>
  <conditionalFormatting sqref="E63:AX69">
    <cfRule type="containsBlanks" dxfId="183" priority="16">
      <formula>LEN(TRIM(E63))=0</formula>
    </cfRule>
  </conditionalFormatting>
  <conditionalFormatting sqref="E72:AX78">
    <cfRule type="containsBlanks" dxfId="182" priority="17">
      <formula>LEN(TRIM(E72))=0</formula>
    </cfRule>
  </conditionalFormatting>
  <conditionalFormatting sqref="E81:AX87">
    <cfRule type="containsBlanks" dxfId="181" priority="18">
      <formula>LEN(TRIM(E81))=0</formula>
    </cfRule>
  </conditionalFormatting>
  <conditionalFormatting sqref="E90:AX93">
    <cfRule type="containsBlanks" dxfId="180" priority="19">
      <formula>LEN(TRIM(E90))=0</formula>
    </cfRule>
  </conditionalFormatting>
  <conditionalFormatting sqref="E96:AX98">
    <cfRule type="containsBlanks" dxfId="179" priority="20">
      <formula>LEN(TRIM(E96))=0</formula>
    </cfRule>
  </conditionalFormatting>
  <conditionalFormatting sqref="E101:AX107">
    <cfRule type="containsBlanks" dxfId="178" priority="21">
      <formula>LEN(TRIM(E101))=0</formula>
    </cfRule>
  </conditionalFormatting>
  <conditionalFormatting sqref="E110:AX114">
    <cfRule type="containsBlanks" dxfId="177" priority="22">
      <formula>LEN(TRIM(E110))=0</formula>
    </cfRule>
  </conditionalFormatting>
  <conditionalFormatting sqref="E117:AX123">
    <cfRule type="containsBlanks" dxfId="176" priority="23">
      <formula>LEN(TRIM(E117))=0</formula>
    </cfRule>
  </conditionalFormatting>
  <conditionalFormatting sqref="E126:AX127">
    <cfRule type="containsBlanks" dxfId="175" priority="24">
      <formula>LEN(TRIM(E126))=0</formula>
    </cfRule>
  </conditionalFormatting>
  <conditionalFormatting sqref="E130:AX134">
    <cfRule type="containsBlanks" dxfId="174" priority="25">
      <formula>LEN(TRIM(E130))=0</formula>
    </cfRule>
  </conditionalFormatting>
  <conditionalFormatting sqref="E137:AX143">
    <cfRule type="containsBlanks" dxfId="173" priority="26">
      <formula>LEN(TRIM(E137))=0</formula>
    </cfRule>
  </conditionalFormatting>
  <conditionalFormatting sqref="E146:AX152">
    <cfRule type="containsBlanks" dxfId="172" priority="27">
      <formula>LEN(TRIM(E146))=0</formula>
    </cfRule>
  </conditionalFormatting>
  <conditionalFormatting sqref="E155:AX156">
    <cfRule type="containsBlanks" dxfId="171" priority="28">
      <formula>LEN(TRIM(E155))=0</formula>
    </cfRule>
  </conditionalFormatting>
  <conditionalFormatting sqref="E159:AX162">
    <cfRule type="containsBlanks" dxfId="170" priority="29">
      <formula>LEN(TRIM(E159))=0</formula>
    </cfRule>
  </conditionalFormatting>
  <conditionalFormatting sqref="E165:AX172">
    <cfRule type="containsBlanks" dxfId="169" priority="30">
      <formula>LEN(TRIM(E165))=0</formula>
    </cfRule>
  </conditionalFormatting>
  <conditionalFormatting sqref="E174:AX176">
    <cfRule type="containsBlanks" dxfId="168" priority="31">
      <formula>LEN(TRIM(E174))=0</formula>
    </cfRule>
  </conditionalFormatting>
  <conditionalFormatting sqref="E181:AX181">
    <cfRule type="containsBlanks" dxfId="167" priority="32">
      <formula>LEN(TRIM(E181))=0</formula>
    </cfRule>
  </conditionalFormatting>
  <conditionalFormatting sqref="E182:AY182">
    <cfRule type="expression" dxfId="166" priority="33">
      <formula>E182&lt;&gt;E30</formula>
    </cfRule>
    <cfRule type="expression" dxfId="165" priority="34">
      <formula>E182&lt;&gt;E34</formula>
    </cfRule>
  </conditionalFormatting>
  <conditionalFormatting sqref="U34:V34">
    <cfRule type="expression" dxfId="164" priority="11">
      <formula>U34&lt;&gt;U47</formula>
    </cfRule>
  </conditionalFormatting>
  <conditionalFormatting sqref="W34:AL34">
    <cfRule type="expression" dxfId="163" priority="12">
      <formula>W34&lt;&gt;W64</formula>
    </cfRule>
  </conditionalFormatting>
  <conditionalFormatting sqref="AM34:AX34">
    <cfRule type="expression" dxfId="162" priority="13">
      <formula>AM34&lt;&gt;AM47</formula>
    </cfRule>
  </conditionalFormatting>
  <conditionalFormatting sqref="E180:AY180">
    <cfRule type="containsBlanks" dxfId="3" priority="1">
      <formula>LEN(TRIM(E180))=0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C1000"/>
  <sheetViews>
    <sheetView topLeftCell="A166" workbookViewId="0">
      <selection activeCell="E180" sqref="E180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52" width="8.69921875" customWidth="1"/>
    <col min="53" max="53" width="13.296875" customWidth="1"/>
    <col min="54" max="55" width="8.69921875" customWidth="1"/>
  </cols>
  <sheetData>
    <row r="1" spans="1:53" ht="12.75" customHeight="1" x14ac:dyDescent="0.3"/>
    <row r="2" spans="1:53" ht="12.75" customHeight="1" x14ac:dyDescent="0.3">
      <c r="C2" s="8" t="s">
        <v>0</v>
      </c>
      <c r="D2" s="8" t="s">
        <v>1</v>
      </c>
    </row>
    <row r="3" spans="1:53" ht="12.75" customHeight="1" x14ac:dyDescent="0.3">
      <c r="C3" s="8" t="s">
        <v>2</v>
      </c>
      <c r="D3" s="8" t="s">
        <v>3</v>
      </c>
    </row>
    <row r="4" spans="1:53" ht="12.75" customHeight="1" x14ac:dyDescent="0.3">
      <c r="C4" s="8" t="s">
        <v>4</v>
      </c>
      <c r="D4" s="8" t="s">
        <v>5</v>
      </c>
    </row>
    <row r="5" spans="1:53" ht="12.75" customHeight="1" x14ac:dyDescent="0.3">
      <c r="C5" s="8"/>
      <c r="D5" s="8"/>
    </row>
    <row r="6" spans="1:53" ht="12.75" customHeight="1" x14ac:dyDescent="0.3">
      <c r="C6" s="8"/>
      <c r="D6" s="8"/>
    </row>
    <row r="7" spans="1:53" ht="12.75" customHeight="1" x14ac:dyDescent="0.3">
      <c r="C7" s="8"/>
      <c r="D7" s="8"/>
    </row>
    <row r="8" spans="1:53" ht="12.75" customHeight="1" x14ac:dyDescent="0.3">
      <c r="C8" s="8"/>
      <c r="D8" s="8"/>
    </row>
    <row r="9" spans="1:53" ht="12.75" customHeight="1" x14ac:dyDescent="0.3">
      <c r="C9" s="8" t="s">
        <v>159</v>
      </c>
      <c r="D9" s="8" t="s">
        <v>206</v>
      </c>
    </row>
    <row r="10" spans="1:53" ht="12.75" customHeight="1" x14ac:dyDescent="0.3"/>
    <row r="11" spans="1:53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53" ht="12.75" customHeight="1" x14ac:dyDescent="0.3">
      <c r="A12" s="13" t="s">
        <v>6</v>
      </c>
      <c r="B12" s="55" t="s">
        <v>7</v>
      </c>
      <c r="C12" s="48"/>
      <c r="D12" s="49"/>
      <c r="E12" s="73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74" t="s">
        <v>8</v>
      </c>
    </row>
    <row r="13" spans="1:53" ht="12.75" customHeight="1" x14ac:dyDescent="0.3">
      <c r="A13" s="15" t="s">
        <v>9</v>
      </c>
      <c r="B13" s="61" t="s">
        <v>10</v>
      </c>
      <c r="C13" s="48"/>
      <c r="D13" s="49"/>
      <c r="E13" s="13" t="s">
        <v>160</v>
      </c>
      <c r="F13" s="13" t="s">
        <v>161</v>
      </c>
      <c r="G13" s="13" t="s">
        <v>162</v>
      </c>
      <c r="H13" s="13" t="s">
        <v>163</v>
      </c>
      <c r="I13" s="13" t="s">
        <v>164</v>
      </c>
      <c r="J13" s="13" t="s">
        <v>165</v>
      </c>
      <c r="K13" s="13" t="s">
        <v>166</v>
      </c>
      <c r="L13" s="13" t="s">
        <v>167</v>
      </c>
      <c r="M13" s="13" t="s">
        <v>168</v>
      </c>
      <c r="N13" s="13" t="s">
        <v>169</v>
      </c>
      <c r="O13" s="13" t="s">
        <v>170</v>
      </c>
      <c r="P13" s="13" t="s">
        <v>171</v>
      </c>
      <c r="Q13" s="13" t="s">
        <v>172</v>
      </c>
      <c r="R13" s="13" t="s">
        <v>173</v>
      </c>
      <c r="S13" s="13" t="s">
        <v>174</v>
      </c>
      <c r="T13" s="13" t="s">
        <v>175</v>
      </c>
      <c r="U13" s="13" t="s">
        <v>176</v>
      </c>
      <c r="V13" s="13" t="s">
        <v>177</v>
      </c>
      <c r="W13" s="13" t="s">
        <v>178</v>
      </c>
      <c r="X13" s="13" t="s">
        <v>179</v>
      </c>
      <c r="Y13" s="13" t="s">
        <v>180</v>
      </c>
      <c r="Z13" s="13" t="s">
        <v>181</v>
      </c>
      <c r="AA13" s="13" t="s">
        <v>182</v>
      </c>
      <c r="AB13" s="13" t="s">
        <v>183</v>
      </c>
      <c r="AC13" s="13" t="s">
        <v>184</v>
      </c>
      <c r="AD13" s="13" t="s">
        <v>185</v>
      </c>
      <c r="AE13" s="13" t="s">
        <v>186</v>
      </c>
      <c r="AF13" s="13" t="s">
        <v>187</v>
      </c>
      <c r="AG13" s="13" t="s">
        <v>188</v>
      </c>
      <c r="AH13" s="13" t="s">
        <v>189</v>
      </c>
      <c r="AI13" s="13" t="s">
        <v>190</v>
      </c>
      <c r="AJ13" s="13" t="s">
        <v>191</v>
      </c>
      <c r="AK13" s="13" t="s">
        <v>192</v>
      </c>
      <c r="AL13" s="13" t="s">
        <v>193</v>
      </c>
      <c r="AM13" s="13" t="s">
        <v>194</v>
      </c>
      <c r="AN13" s="13" t="s">
        <v>195</v>
      </c>
      <c r="AO13" s="13" t="s">
        <v>196</v>
      </c>
      <c r="AP13" s="13" t="s">
        <v>197</v>
      </c>
      <c r="AQ13" s="13" t="s">
        <v>198</v>
      </c>
      <c r="AR13" s="13" t="s">
        <v>199</v>
      </c>
      <c r="AS13" s="13" t="s">
        <v>200</v>
      </c>
      <c r="AT13" s="13" t="s">
        <v>201</v>
      </c>
      <c r="AU13" s="13" t="s">
        <v>202</v>
      </c>
      <c r="AV13" s="13" t="s">
        <v>203</v>
      </c>
      <c r="AW13" s="13" t="s">
        <v>204</v>
      </c>
      <c r="AX13" s="13" t="s">
        <v>205</v>
      </c>
      <c r="AY13" s="13" t="s">
        <v>207</v>
      </c>
      <c r="AZ13" s="13" t="s">
        <v>208</v>
      </c>
      <c r="BA13" s="65"/>
    </row>
    <row r="14" spans="1:53" ht="12.75" customHeight="1" x14ac:dyDescent="0.3">
      <c r="A14" s="14"/>
      <c r="B14" s="70" t="s">
        <v>11</v>
      </c>
      <c r="C14" s="53"/>
      <c r="D14" s="15" t="s">
        <v>12</v>
      </c>
      <c r="E14" s="15">
        <v>136</v>
      </c>
      <c r="F14" s="15">
        <v>136</v>
      </c>
      <c r="G14" s="15">
        <v>104</v>
      </c>
      <c r="H14" s="15">
        <v>123</v>
      </c>
      <c r="I14" s="15">
        <v>142</v>
      </c>
      <c r="J14" s="15">
        <v>128</v>
      </c>
      <c r="K14" s="15">
        <v>118</v>
      </c>
      <c r="L14" s="15">
        <v>116</v>
      </c>
      <c r="M14" s="15">
        <v>106</v>
      </c>
      <c r="N14" s="15">
        <v>127</v>
      </c>
      <c r="O14" s="15">
        <v>131</v>
      </c>
      <c r="P14" s="15">
        <v>111</v>
      </c>
      <c r="Q14" s="15">
        <v>96</v>
      </c>
      <c r="R14" s="15">
        <v>146</v>
      </c>
      <c r="S14" s="15">
        <v>136</v>
      </c>
      <c r="T14" s="15">
        <v>148</v>
      </c>
      <c r="U14" s="15">
        <v>99</v>
      </c>
      <c r="V14" s="15">
        <v>145</v>
      </c>
      <c r="W14" s="15">
        <v>152</v>
      </c>
      <c r="X14" s="15">
        <v>139</v>
      </c>
      <c r="Y14" s="15">
        <v>143</v>
      </c>
      <c r="Z14" s="15">
        <v>77</v>
      </c>
      <c r="AA14" s="15">
        <v>149</v>
      </c>
      <c r="AB14" s="15">
        <v>131</v>
      </c>
      <c r="AC14" s="15">
        <v>128</v>
      </c>
      <c r="AD14" s="15">
        <v>129</v>
      </c>
      <c r="AE14" s="15">
        <v>117</v>
      </c>
      <c r="AF14" s="15">
        <v>141</v>
      </c>
      <c r="AG14" s="15">
        <v>136</v>
      </c>
      <c r="AH14" s="15">
        <v>146</v>
      </c>
      <c r="AI14" s="15">
        <v>70</v>
      </c>
      <c r="AJ14" s="15">
        <v>141</v>
      </c>
      <c r="AK14" s="15">
        <v>134</v>
      </c>
      <c r="AL14" s="15">
        <v>142</v>
      </c>
      <c r="AM14" s="15">
        <v>125</v>
      </c>
      <c r="AN14" s="15">
        <v>132</v>
      </c>
      <c r="AO14" s="15">
        <v>133</v>
      </c>
      <c r="AP14" s="15">
        <v>141</v>
      </c>
      <c r="AQ14" s="15">
        <v>125</v>
      </c>
      <c r="AR14" s="15">
        <v>129</v>
      </c>
      <c r="AS14" s="15">
        <v>114</v>
      </c>
      <c r="AT14" s="15">
        <v>131</v>
      </c>
      <c r="AU14" s="15">
        <v>138</v>
      </c>
      <c r="AV14" s="15">
        <v>134</v>
      </c>
      <c r="AW14" s="15">
        <v>143</v>
      </c>
      <c r="AX14" s="15">
        <v>121</v>
      </c>
      <c r="AY14" s="15">
        <v>111</v>
      </c>
      <c r="AZ14" s="15">
        <v>88</v>
      </c>
      <c r="BA14" s="13">
        <f>SUM(E14:AZ14)</f>
        <v>6088</v>
      </c>
    </row>
    <row r="15" spans="1:53" ht="12.75" customHeight="1" x14ac:dyDescent="0.3">
      <c r="A15" s="14"/>
      <c r="B15" s="71"/>
      <c r="C15" s="57"/>
      <c r="D15" s="15" t="s">
        <v>13</v>
      </c>
      <c r="E15" s="15">
        <v>155</v>
      </c>
      <c r="F15" s="15">
        <v>158</v>
      </c>
      <c r="G15" s="15">
        <v>104</v>
      </c>
      <c r="H15" s="15">
        <v>155</v>
      </c>
      <c r="I15" s="15">
        <v>146</v>
      </c>
      <c r="J15" s="15">
        <v>149</v>
      </c>
      <c r="K15" s="15">
        <v>126</v>
      </c>
      <c r="L15" s="15">
        <v>128</v>
      </c>
      <c r="M15" s="15">
        <v>119</v>
      </c>
      <c r="N15" s="15">
        <v>134</v>
      </c>
      <c r="O15" s="15">
        <v>131</v>
      </c>
      <c r="P15" s="15">
        <v>123</v>
      </c>
      <c r="Q15" s="15">
        <v>114</v>
      </c>
      <c r="R15" s="15">
        <v>141</v>
      </c>
      <c r="S15" s="15">
        <v>158</v>
      </c>
      <c r="T15" s="15">
        <v>149</v>
      </c>
      <c r="U15" s="15">
        <v>113</v>
      </c>
      <c r="V15" s="15">
        <v>145</v>
      </c>
      <c r="W15" s="15">
        <v>147</v>
      </c>
      <c r="X15" s="15">
        <v>140</v>
      </c>
      <c r="Y15" s="15">
        <v>132</v>
      </c>
      <c r="Z15" s="15">
        <v>79</v>
      </c>
      <c r="AA15" s="15">
        <v>144</v>
      </c>
      <c r="AB15" s="15">
        <v>129</v>
      </c>
      <c r="AC15" s="15">
        <v>142</v>
      </c>
      <c r="AD15" s="15">
        <v>159</v>
      </c>
      <c r="AE15" s="15">
        <v>128</v>
      </c>
      <c r="AF15" s="15">
        <v>137</v>
      </c>
      <c r="AG15" s="15">
        <v>133</v>
      </c>
      <c r="AH15" s="15">
        <v>136</v>
      </c>
      <c r="AI15" s="15">
        <v>76</v>
      </c>
      <c r="AJ15" s="15">
        <v>143</v>
      </c>
      <c r="AK15" s="15">
        <v>135</v>
      </c>
      <c r="AL15" s="15">
        <v>145</v>
      </c>
      <c r="AM15" s="15">
        <v>117</v>
      </c>
      <c r="AN15" s="15">
        <v>141</v>
      </c>
      <c r="AO15" s="15">
        <v>140</v>
      </c>
      <c r="AP15" s="15">
        <v>152</v>
      </c>
      <c r="AQ15" s="15">
        <v>108</v>
      </c>
      <c r="AR15" s="15">
        <v>125</v>
      </c>
      <c r="AS15" s="15">
        <v>116</v>
      </c>
      <c r="AT15" s="15">
        <v>159</v>
      </c>
      <c r="AU15" s="15">
        <v>134</v>
      </c>
      <c r="AV15" s="15">
        <v>149</v>
      </c>
      <c r="AW15" s="15">
        <v>154</v>
      </c>
      <c r="AX15" s="15">
        <v>117</v>
      </c>
      <c r="AY15" s="15">
        <v>123</v>
      </c>
      <c r="AZ15" s="15">
        <v>99</v>
      </c>
      <c r="BA15" s="13">
        <f t="shared" ref="BA15:BA16" si="0">SUM(E15:AZ15)</f>
        <v>6387</v>
      </c>
    </row>
    <row r="16" spans="1:53" ht="12.75" customHeight="1" x14ac:dyDescent="0.3">
      <c r="A16" s="17"/>
      <c r="B16" s="69"/>
      <c r="C16" s="59"/>
      <c r="D16" s="13" t="s">
        <v>14</v>
      </c>
      <c r="E16" s="13">
        <f t="shared" ref="E16:AZ16" si="1">SUM(E14:E15)</f>
        <v>291</v>
      </c>
      <c r="F16" s="13">
        <f t="shared" si="1"/>
        <v>294</v>
      </c>
      <c r="G16" s="13">
        <f t="shared" si="1"/>
        <v>208</v>
      </c>
      <c r="H16" s="13">
        <f t="shared" si="1"/>
        <v>278</v>
      </c>
      <c r="I16" s="13">
        <f t="shared" si="1"/>
        <v>288</v>
      </c>
      <c r="J16" s="13">
        <f t="shared" si="1"/>
        <v>277</v>
      </c>
      <c r="K16" s="13">
        <f t="shared" si="1"/>
        <v>244</v>
      </c>
      <c r="L16" s="13">
        <f t="shared" si="1"/>
        <v>244</v>
      </c>
      <c r="M16" s="13">
        <f t="shared" si="1"/>
        <v>225</v>
      </c>
      <c r="N16" s="13">
        <f t="shared" si="1"/>
        <v>261</v>
      </c>
      <c r="O16" s="13">
        <f t="shared" si="1"/>
        <v>262</v>
      </c>
      <c r="P16" s="13">
        <f t="shared" si="1"/>
        <v>234</v>
      </c>
      <c r="Q16" s="13">
        <f t="shared" si="1"/>
        <v>210</v>
      </c>
      <c r="R16" s="13">
        <f t="shared" si="1"/>
        <v>287</v>
      </c>
      <c r="S16" s="13">
        <f t="shared" si="1"/>
        <v>294</v>
      </c>
      <c r="T16" s="13">
        <f t="shared" si="1"/>
        <v>297</v>
      </c>
      <c r="U16" s="13">
        <f t="shared" si="1"/>
        <v>212</v>
      </c>
      <c r="V16" s="13">
        <f t="shared" si="1"/>
        <v>290</v>
      </c>
      <c r="W16" s="13">
        <f t="shared" si="1"/>
        <v>299</v>
      </c>
      <c r="X16" s="13">
        <f t="shared" si="1"/>
        <v>279</v>
      </c>
      <c r="Y16" s="13">
        <f t="shared" si="1"/>
        <v>275</v>
      </c>
      <c r="Z16" s="13">
        <f t="shared" si="1"/>
        <v>156</v>
      </c>
      <c r="AA16" s="13">
        <f t="shared" si="1"/>
        <v>293</v>
      </c>
      <c r="AB16" s="13">
        <f t="shared" si="1"/>
        <v>260</v>
      </c>
      <c r="AC16" s="13">
        <f t="shared" si="1"/>
        <v>270</v>
      </c>
      <c r="AD16" s="13">
        <f t="shared" si="1"/>
        <v>288</v>
      </c>
      <c r="AE16" s="13">
        <f t="shared" si="1"/>
        <v>245</v>
      </c>
      <c r="AF16" s="13">
        <f t="shared" si="1"/>
        <v>278</v>
      </c>
      <c r="AG16" s="13">
        <f t="shared" si="1"/>
        <v>269</v>
      </c>
      <c r="AH16" s="13">
        <f t="shared" si="1"/>
        <v>282</v>
      </c>
      <c r="AI16" s="13">
        <f t="shared" si="1"/>
        <v>146</v>
      </c>
      <c r="AJ16" s="13">
        <f t="shared" si="1"/>
        <v>284</v>
      </c>
      <c r="AK16" s="13">
        <f t="shared" si="1"/>
        <v>269</v>
      </c>
      <c r="AL16" s="13">
        <f t="shared" si="1"/>
        <v>287</v>
      </c>
      <c r="AM16" s="13">
        <f t="shared" si="1"/>
        <v>242</v>
      </c>
      <c r="AN16" s="13">
        <f t="shared" si="1"/>
        <v>273</v>
      </c>
      <c r="AO16" s="13">
        <f t="shared" si="1"/>
        <v>273</v>
      </c>
      <c r="AP16" s="13">
        <f t="shared" si="1"/>
        <v>293</v>
      </c>
      <c r="AQ16" s="13">
        <f t="shared" si="1"/>
        <v>233</v>
      </c>
      <c r="AR16" s="13">
        <f t="shared" si="1"/>
        <v>254</v>
      </c>
      <c r="AS16" s="13">
        <f t="shared" si="1"/>
        <v>230</v>
      </c>
      <c r="AT16" s="13">
        <f t="shared" si="1"/>
        <v>290</v>
      </c>
      <c r="AU16" s="13">
        <f t="shared" si="1"/>
        <v>272</v>
      </c>
      <c r="AV16" s="13">
        <f t="shared" si="1"/>
        <v>283</v>
      </c>
      <c r="AW16" s="13">
        <f t="shared" si="1"/>
        <v>297</v>
      </c>
      <c r="AX16" s="13">
        <f t="shared" si="1"/>
        <v>238</v>
      </c>
      <c r="AY16" s="13">
        <f t="shared" si="1"/>
        <v>234</v>
      </c>
      <c r="AZ16" s="13">
        <f t="shared" si="1"/>
        <v>187</v>
      </c>
      <c r="BA16" s="13">
        <f t="shared" si="0"/>
        <v>12475</v>
      </c>
    </row>
    <row r="17" spans="1:53" ht="12.75" customHeight="1" x14ac:dyDescent="0.3">
      <c r="A17" s="54"/>
      <c r="B17" s="48"/>
      <c r="C17" s="48"/>
      <c r="D17" s="49"/>
      <c r="E17" s="15"/>
      <c r="F17" s="15"/>
      <c r="G17" s="15"/>
      <c r="H17" s="15"/>
      <c r="I17" s="15"/>
      <c r="J17" s="15"/>
      <c r="K17" s="15"/>
      <c r="L17" s="15"/>
      <c r="M17" s="15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3"/>
    </row>
    <row r="18" spans="1:53" ht="12.75" customHeight="1" x14ac:dyDescent="0.3">
      <c r="A18" s="19" t="s">
        <v>15</v>
      </c>
      <c r="B18" s="61" t="s">
        <v>16</v>
      </c>
      <c r="C18" s="48"/>
      <c r="D18" s="49"/>
      <c r="E18" s="15"/>
      <c r="F18" s="15"/>
      <c r="G18" s="15"/>
      <c r="H18" s="15"/>
      <c r="I18" s="15"/>
      <c r="J18" s="15"/>
      <c r="K18" s="15"/>
      <c r="L18" s="15"/>
      <c r="M18" s="15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3"/>
    </row>
    <row r="19" spans="1:53" ht="12.75" customHeight="1" x14ac:dyDescent="0.3">
      <c r="A19" s="19"/>
      <c r="B19" s="62" t="s">
        <v>17</v>
      </c>
      <c r="C19" s="63" t="s">
        <v>18</v>
      </c>
      <c r="D19" s="15" t="s">
        <v>12</v>
      </c>
      <c r="E19" s="15">
        <v>98</v>
      </c>
      <c r="F19" s="15">
        <v>109</v>
      </c>
      <c r="G19" s="15">
        <v>87</v>
      </c>
      <c r="H19" s="15">
        <v>90</v>
      </c>
      <c r="I19" s="15">
        <v>105</v>
      </c>
      <c r="J19" s="15">
        <v>101</v>
      </c>
      <c r="K19" s="15">
        <v>86</v>
      </c>
      <c r="L19" s="15">
        <v>89</v>
      </c>
      <c r="M19" s="15">
        <v>76</v>
      </c>
      <c r="N19" s="15">
        <v>85</v>
      </c>
      <c r="O19" s="15">
        <v>98</v>
      </c>
      <c r="P19" s="15">
        <v>89</v>
      </c>
      <c r="Q19" s="15">
        <v>79</v>
      </c>
      <c r="R19" s="15">
        <v>115</v>
      </c>
      <c r="S19" s="15">
        <v>106</v>
      </c>
      <c r="T19" s="15">
        <v>113</v>
      </c>
      <c r="U19" s="15">
        <v>73</v>
      </c>
      <c r="V19" s="15">
        <v>97</v>
      </c>
      <c r="W19" s="15">
        <v>109</v>
      </c>
      <c r="X19" s="15">
        <v>106</v>
      </c>
      <c r="Y19" s="15">
        <v>103</v>
      </c>
      <c r="Z19" s="15">
        <v>58</v>
      </c>
      <c r="AA19" s="15">
        <v>110</v>
      </c>
      <c r="AB19" s="15">
        <v>98</v>
      </c>
      <c r="AC19" s="15">
        <v>92</v>
      </c>
      <c r="AD19" s="15">
        <v>88</v>
      </c>
      <c r="AE19" s="15">
        <v>97</v>
      </c>
      <c r="AF19" s="15">
        <v>109</v>
      </c>
      <c r="AG19" s="15">
        <v>103</v>
      </c>
      <c r="AH19" s="15">
        <v>100</v>
      </c>
      <c r="AI19" s="15">
        <v>43</v>
      </c>
      <c r="AJ19" s="15">
        <v>104</v>
      </c>
      <c r="AK19" s="15">
        <v>93</v>
      </c>
      <c r="AL19" s="15">
        <v>93</v>
      </c>
      <c r="AM19" s="15">
        <v>88</v>
      </c>
      <c r="AN19" s="15">
        <v>103</v>
      </c>
      <c r="AO19" s="15">
        <v>92</v>
      </c>
      <c r="AP19" s="15">
        <v>99</v>
      </c>
      <c r="AQ19" s="15">
        <v>81</v>
      </c>
      <c r="AR19" s="15">
        <v>93</v>
      </c>
      <c r="AS19" s="15">
        <v>79</v>
      </c>
      <c r="AT19" s="15">
        <v>104</v>
      </c>
      <c r="AU19" s="15">
        <v>104</v>
      </c>
      <c r="AV19" s="15">
        <v>107</v>
      </c>
      <c r="AW19" s="15">
        <v>107</v>
      </c>
      <c r="AX19" s="15">
        <v>99</v>
      </c>
      <c r="AY19" s="15">
        <v>77</v>
      </c>
      <c r="AZ19" s="15">
        <v>67</v>
      </c>
      <c r="BA19" s="13">
        <f t="shared" ref="BA19:BA30" si="2">SUM(E19:AZ19)</f>
        <v>4502</v>
      </c>
    </row>
    <row r="20" spans="1:53" ht="12.75" customHeight="1" x14ac:dyDescent="0.3">
      <c r="A20" s="20"/>
      <c r="B20" s="57"/>
      <c r="C20" s="64"/>
      <c r="D20" s="15" t="s">
        <v>13</v>
      </c>
      <c r="E20" s="15">
        <v>115</v>
      </c>
      <c r="F20" s="15">
        <v>122</v>
      </c>
      <c r="G20" s="15">
        <v>86</v>
      </c>
      <c r="H20" s="15">
        <v>120</v>
      </c>
      <c r="I20" s="15">
        <v>115</v>
      </c>
      <c r="J20" s="15">
        <v>118</v>
      </c>
      <c r="K20" s="15">
        <v>107</v>
      </c>
      <c r="L20" s="15">
        <v>98</v>
      </c>
      <c r="M20" s="15">
        <v>92</v>
      </c>
      <c r="N20" s="15">
        <v>104</v>
      </c>
      <c r="O20" s="15">
        <v>100</v>
      </c>
      <c r="P20" s="15">
        <v>97</v>
      </c>
      <c r="Q20" s="15">
        <v>94</v>
      </c>
      <c r="R20" s="15">
        <v>108</v>
      </c>
      <c r="S20" s="15">
        <v>113</v>
      </c>
      <c r="T20" s="15">
        <v>119</v>
      </c>
      <c r="U20" s="15">
        <v>87</v>
      </c>
      <c r="V20" s="15">
        <v>108</v>
      </c>
      <c r="W20" s="15">
        <v>119</v>
      </c>
      <c r="X20" s="15">
        <v>127</v>
      </c>
      <c r="Y20" s="15">
        <v>109</v>
      </c>
      <c r="Z20" s="15">
        <v>68</v>
      </c>
      <c r="AA20" s="15">
        <v>113</v>
      </c>
      <c r="AB20" s="15">
        <v>105</v>
      </c>
      <c r="AC20" s="15">
        <v>104</v>
      </c>
      <c r="AD20" s="15">
        <v>119</v>
      </c>
      <c r="AE20" s="15">
        <v>103</v>
      </c>
      <c r="AF20" s="15">
        <v>109</v>
      </c>
      <c r="AG20" s="15">
        <v>95</v>
      </c>
      <c r="AH20" s="15">
        <v>102</v>
      </c>
      <c r="AI20" s="15">
        <v>57</v>
      </c>
      <c r="AJ20" s="15">
        <v>115</v>
      </c>
      <c r="AK20" s="15">
        <v>105</v>
      </c>
      <c r="AL20" s="15">
        <v>103</v>
      </c>
      <c r="AM20" s="15">
        <v>99</v>
      </c>
      <c r="AN20" s="15">
        <v>96</v>
      </c>
      <c r="AO20" s="15">
        <v>98</v>
      </c>
      <c r="AP20" s="15">
        <v>111</v>
      </c>
      <c r="AQ20" s="15">
        <v>82</v>
      </c>
      <c r="AR20" s="15">
        <v>97</v>
      </c>
      <c r="AS20" s="15">
        <v>92</v>
      </c>
      <c r="AT20" s="15">
        <v>139</v>
      </c>
      <c r="AU20" s="15">
        <v>96</v>
      </c>
      <c r="AV20" s="15">
        <v>123</v>
      </c>
      <c r="AW20" s="15">
        <v>105</v>
      </c>
      <c r="AX20" s="15">
        <v>93</v>
      </c>
      <c r="AY20" s="15">
        <v>96</v>
      </c>
      <c r="AZ20" s="15">
        <v>77</v>
      </c>
      <c r="BA20" s="13">
        <f t="shared" si="2"/>
        <v>4960</v>
      </c>
    </row>
    <row r="21" spans="1:53" ht="12.75" customHeight="1" x14ac:dyDescent="0.3">
      <c r="A21" s="21"/>
      <c r="B21" s="59"/>
      <c r="C21" s="65"/>
      <c r="D21" s="13" t="s">
        <v>14</v>
      </c>
      <c r="E21" s="13">
        <f t="shared" ref="E21:AZ21" si="3">SUM(E19:E20)</f>
        <v>213</v>
      </c>
      <c r="F21" s="13">
        <f t="shared" si="3"/>
        <v>231</v>
      </c>
      <c r="G21" s="13">
        <f t="shared" si="3"/>
        <v>173</v>
      </c>
      <c r="H21" s="13">
        <f t="shared" si="3"/>
        <v>210</v>
      </c>
      <c r="I21" s="13">
        <f t="shared" si="3"/>
        <v>220</v>
      </c>
      <c r="J21" s="13">
        <f t="shared" si="3"/>
        <v>219</v>
      </c>
      <c r="K21" s="13">
        <f t="shared" si="3"/>
        <v>193</v>
      </c>
      <c r="L21" s="13">
        <f t="shared" si="3"/>
        <v>187</v>
      </c>
      <c r="M21" s="13">
        <f t="shared" si="3"/>
        <v>168</v>
      </c>
      <c r="N21" s="13">
        <f t="shared" si="3"/>
        <v>189</v>
      </c>
      <c r="O21" s="13">
        <f t="shared" si="3"/>
        <v>198</v>
      </c>
      <c r="P21" s="13">
        <f t="shared" si="3"/>
        <v>186</v>
      </c>
      <c r="Q21" s="13">
        <f t="shared" si="3"/>
        <v>173</v>
      </c>
      <c r="R21" s="13">
        <f t="shared" si="3"/>
        <v>223</v>
      </c>
      <c r="S21" s="13">
        <f t="shared" si="3"/>
        <v>219</v>
      </c>
      <c r="T21" s="13">
        <f t="shared" si="3"/>
        <v>232</v>
      </c>
      <c r="U21" s="13">
        <f t="shared" si="3"/>
        <v>160</v>
      </c>
      <c r="V21" s="13">
        <f t="shared" si="3"/>
        <v>205</v>
      </c>
      <c r="W21" s="13">
        <f t="shared" si="3"/>
        <v>228</v>
      </c>
      <c r="X21" s="13">
        <f t="shared" si="3"/>
        <v>233</v>
      </c>
      <c r="Y21" s="13">
        <f t="shared" si="3"/>
        <v>212</v>
      </c>
      <c r="Z21" s="13">
        <f t="shared" si="3"/>
        <v>126</v>
      </c>
      <c r="AA21" s="13">
        <f t="shared" si="3"/>
        <v>223</v>
      </c>
      <c r="AB21" s="13">
        <f t="shared" si="3"/>
        <v>203</v>
      </c>
      <c r="AC21" s="13">
        <f t="shared" si="3"/>
        <v>196</v>
      </c>
      <c r="AD21" s="13">
        <f t="shared" si="3"/>
        <v>207</v>
      </c>
      <c r="AE21" s="13">
        <f t="shared" si="3"/>
        <v>200</v>
      </c>
      <c r="AF21" s="13">
        <f t="shared" si="3"/>
        <v>218</v>
      </c>
      <c r="AG21" s="13">
        <f t="shared" si="3"/>
        <v>198</v>
      </c>
      <c r="AH21" s="13">
        <f t="shared" si="3"/>
        <v>202</v>
      </c>
      <c r="AI21" s="13">
        <f t="shared" si="3"/>
        <v>100</v>
      </c>
      <c r="AJ21" s="13">
        <f t="shared" si="3"/>
        <v>219</v>
      </c>
      <c r="AK21" s="13">
        <f t="shared" si="3"/>
        <v>198</v>
      </c>
      <c r="AL21" s="13">
        <f t="shared" si="3"/>
        <v>196</v>
      </c>
      <c r="AM21" s="13">
        <f t="shared" si="3"/>
        <v>187</v>
      </c>
      <c r="AN21" s="13">
        <f t="shared" si="3"/>
        <v>199</v>
      </c>
      <c r="AO21" s="13">
        <f t="shared" si="3"/>
        <v>190</v>
      </c>
      <c r="AP21" s="13">
        <f t="shared" si="3"/>
        <v>210</v>
      </c>
      <c r="AQ21" s="13">
        <f t="shared" si="3"/>
        <v>163</v>
      </c>
      <c r="AR21" s="13">
        <f t="shared" si="3"/>
        <v>190</v>
      </c>
      <c r="AS21" s="13">
        <f t="shared" si="3"/>
        <v>171</v>
      </c>
      <c r="AT21" s="13">
        <f t="shared" si="3"/>
        <v>243</v>
      </c>
      <c r="AU21" s="13">
        <f t="shared" si="3"/>
        <v>200</v>
      </c>
      <c r="AV21" s="13">
        <f t="shared" si="3"/>
        <v>230</v>
      </c>
      <c r="AW21" s="13">
        <f t="shared" si="3"/>
        <v>212</v>
      </c>
      <c r="AX21" s="13">
        <f t="shared" si="3"/>
        <v>192</v>
      </c>
      <c r="AY21" s="13">
        <f t="shared" si="3"/>
        <v>173</v>
      </c>
      <c r="AZ21" s="13">
        <f t="shared" si="3"/>
        <v>144</v>
      </c>
      <c r="BA21" s="13">
        <f t="shared" si="2"/>
        <v>9462</v>
      </c>
    </row>
    <row r="22" spans="1:53" ht="12.75" customHeight="1" x14ac:dyDescent="0.3">
      <c r="A22" s="20"/>
      <c r="B22" s="62" t="s">
        <v>19</v>
      </c>
      <c r="C22" s="63" t="s">
        <v>20</v>
      </c>
      <c r="D22" s="15" t="s">
        <v>12</v>
      </c>
      <c r="E22" s="15">
        <v>0</v>
      </c>
      <c r="F22" s="15">
        <v>7</v>
      </c>
      <c r="G22" s="15">
        <v>3</v>
      </c>
      <c r="H22" s="15">
        <v>0</v>
      </c>
      <c r="I22" s="15">
        <v>0</v>
      </c>
      <c r="J22" s="15">
        <v>0</v>
      </c>
      <c r="K22" s="15">
        <v>1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1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1</v>
      </c>
      <c r="AF22" s="15">
        <v>0</v>
      </c>
      <c r="AG22" s="15">
        <v>0</v>
      </c>
      <c r="AH22" s="15">
        <v>0</v>
      </c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>
        <v>0</v>
      </c>
      <c r="AY22" s="15">
        <v>0</v>
      </c>
      <c r="AZ22" s="15">
        <v>1</v>
      </c>
      <c r="BA22" s="13">
        <f t="shared" si="2"/>
        <v>14</v>
      </c>
    </row>
    <row r="23" spans="1:53" ht="12.75" customHeight="1" x14ac:dyDescent="0.3">
      <c r="A23" s="20"/>
      <c r="B23" s="57"/>
      <c r="C23" s="64"/>
      <c r="D23" s="15" t="s">
        <v>13</v>
      </c>
      <c r="E23" s="15">
        <v>0</v>
      </c>
      <c r="F23" s="15">
        <v>7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1</v>
      </c>
      <c r="AF23" s="15">
        <v>0</v>
      </c>
      <c r="AG23" s="15">
        <v>0</v>
      </c>
      <c r="AH23" s="15">
        <v>0</v>
      </c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>
        <v>0</v>
      </c>
      <c r="AY23" s="15">
        <v>0</v>
      </c>
      <c r="AZ23" s="15">
        <v>0</v>
      </c>
      <c r="BA23" s="13">
        <f t="shared" si="2"/>
        <v>9</v>
      </c>
    </row>
    <row r="24" spans="1:53" ht="12.75" customHeight="1" x14ac:dyDescent="0.3">
      <c r="A24" s="21"/>
      <c r="B24" s="59"/>
      <c r="C24" s="65"/>
      <c r="D24" s="13" t="s">
        <v>14</v>
      </c>
      <c r="E24" s="13">
        <f t="shared" ref="E24:AZ24" si="4">SUM(E22:E23)</f>
        <v>0</v>
      </c>
      <c r="F24" s="13">
        <f t="shared" si="4"/>
        <v>14</v>
      </c>
      <c r="G24" s="13">
        <f t="shared" si="4"/>
        <v>4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1</v>
      </c>
      <c r="L24" s="13">
        <f t="shared" si="4"/>
        <v>0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1</v>
      </c>
      <c r="S24" s="13">
        <f t="shared" si="4"/>
        <v>0</v>
      </c>
      <c r="T24" s="13">
        <f t="shared" si="4"/>
        <v>0</v>
      </c>
      <c r="U24" s="13">
        <f t="shared" si="4"/>
        <v>0</v>
      </c>
      <c r="V24" s="13">
        <f t="shared" si="4"/>
        <v>0</v>
      </c>
      <c r="W24" s="13">
        <f t="shared" si="4"/>
        <v>0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4"/>
        <v>0</v>
      </c>
      <c r="AC24" s="13">
        <f t="shared" si="4"/>
        <v>0</v>
      </c>
      <c r="AD24" s="13">
        <f t="shared" si="4"/>
        <v>0</v>
      </c>
      <c r="AE24" s="13">
        <f t="shared" si="4"/>
        <v>2</v>
      </c>
      <c r="AF24" s="13">
        <f t="shared" si="4"/>
        <v>0</v>
      </c>
      <c r="AG24" s="13">
        <f t="shared" si="4"/>
        <v>0</v>
      </c>
      <c r="AH24" s="13">
        <f t="shared" si="4"/>
        <v>0</v>
      </c>
      <c r="AI24" s="13">
        <f t="shared" si="4"/>
        <v>0</v>
      </c>
      <c r="AJ24" s="13">
        <f t="shared" si="4"/>
        <v>0</v>
      </c>
      <c r="AK24" s="13">
        <f t="shared" si="4"/>
        <v>0</v>
      </c>
      <c r="AL24" s="13">
        <f t="shared" si="4"/>
        <v>0</v>
      </c>
      <c r="AM24" s="13">
        <f t="shared" si="4"/>
        <v>0</v>
      </c>
      <c r="AN24" s="13">
        <f t="shared" si="4"/>
        <v>0</v>
      </c>
      <c r="AO24" s="13">
        <f t="shared" si="4"/>
        <v>0</v>
      </c>
      <c r="AP24" s="13">
        <f t="shared" si="4"/>
        <v>0</v>
      </c>
      <c r="AQ24" s="13">
        <f t="shared" si="4"/>
        <v>0</v>
      </c>
      <c r="AR24" s="13">
        <f t="shared" si="4"/>
        <v>0</v>
      </c>
      <c r="AS24" s="13">
        <f t="shared" si="4"/>
        <v>0</v>
      </c>
      <c r="AT24" s="13">
        <f t="shared" si="4"/>
        <v>0</v>
      </c>
      <c r="AU24" s="13">
        <f t="shared" si="4"/>
        <v>0</v>
      </c>
      <c r="AV24" s="13">
        <f t="shared" si="4"/>
        <v>0</v>
      </c>
      <c r="AW24" s="13">
        <f t="shared" si="4"/>
        <v>0</v>
      </c>
      <c r="AX24" s="13">
        <f t="shared" si="4"/>
        <v>0</v>
      </c>
      <c r="AY24" s="13">
        <f t="shared" si="4"/>
        <v>0</v>
      </c>
      <c r="AZ24" s="13">
        <f t="shared" si="4"/>
        <v>1</v>
      </c>
      <c r="BA24" s="13">
        <f t="shared" si="2"/>
        <v>23</v>
      </c>
    </row>
    <row r="25" spans="1:53" ht="12.75" customHeight="1" x14ac:dyDescent="0.3">
      <c r="A25" s="20"/>
      <c r="B25" s="62" t="s">
        <v>21</v>
      </c>
      <c r="C25" s="63" t="s">
        <v>22</v>
      </c>
      <c r="D25" s="15" t="s">
        <v>12</v>
      </c>
      <c r="E25" s="15">
        <v>0</v>
      </c>
      <c r="F25" s="15">
        <v>1</v>
      </c>
      <c r="G25" s="15">
        <v>0</v>
      </c>
      <c r="H25" s="15">
        <v>0</v>
      </c>
      <c r="I25" s="15">
        <v>1</v>
      </c>
      <c r="J25" s="15">
        <v>4</v>
      </c>
      <c r="K25" s="15">
        <v>1</v>
      </c>
      <c r="L25" s="15">
        <v>3</v>
      </c>
      <c r="M25" s="15">
        <v>1</v>
      </c>
      <c r="N25" s="15">
        <v>0</v>
      </c>
      <c r="O25" s="15">
        <v>10</v>
      </c>
      <c r="P25" s="15">
        <v>0</v>
      </c>
      <c r="Q25" s="15">
        <v>2</v>
      </c>
      <c r="R25" s="15">
        <v>6</v>
      </c>
      <c r="S25" s="15">
        <v>2</v>
      </c>
      <c r="T25" s="15">
        <v>1</v>
      </c>
      <c r="U25" s="15">
        <v>0</v>
      </c>
      <c r="V25" s="15">
        <v>3</v>
      </c>
      <c r="W25" s="15">
        <v>1</v>
      </c>
      <c r="X25" s="15">
        <v>0</v>
      </c>
      <c r="Y25" s="15">
        <v>0</v>
      </c>
      <c r="Z25" s="15">
        <v>0</v>
      </c>
      <c r="AA25" s="15">
        <v>1</v>
      </c>
      <c r="AB25" s="15">
        <v>0</v>
      </c>
      <c r="AC25" s="15">
        <v>4</v>
      </c>
      <c r="AD25" s="15">
        <v>4</v>
      </c>
      <c r="AE25" s="15">
        <v>0</v>
      </c>
      <c r="AF25" s="15">
        <v>1</v>
      </c>
      <c r="AG25" s="15">
        <v>4</v>
      </c>
      <c r="AH25" s="15">
        <v>0</v>
      </c>
      <c r="AI25" s="15">
        <v>0</v>
      </c>
      <c r="AJ25" s="15">
        <v>0</v>
      </c>
      <c r="AK25" s="15">
        <v>1</v>
      </c>
      <c r="AL25" s="15">
        <v>0</v>
      </c>
      <c r="AM25" s="15">
        <v>0</v>
      </c>
      <c r="AN25" s="15">
        <v>0</v>
      </c>
      <c r="AO25" s="15">
        <v>3</v>
      </c>
      <c r="AP25" s="15">
        <v>1</v>
      </c>
      <c r="AQ25" s="15">
        <v>1</v>
      </c>
      <c r="AR25" s="15">
        <v>2</v>
      </c>
      <c r="AS25" s="15">
        <v>1</v>
      </c>
      <c r="AT25" s="15">
        <v>4</v>
      </c>
      <c r="AU25" s="15">
        <v>0</v>
      </c>
      <c r="AV25" s="15">
        <v>3</v>
      </c>
      <c r="AW25" s="15">
        <v>0</v>
      </c>
      <c r="AX25" s="15">
        <v>0</v>
      </c>
      <c r="AY25" s="15">
        <v>0</v>
      </c>
      <c r="AZ25" s="15">
        <v>0</v>
      </c>
      <c r="BA25" s="13">
        <f t="shared" si="2"/>
        <v>66</v>
      </c>
    </row>
    <row r="26" spans="1:53" ht="12.75" customHeight="1" x14ac:dyDescent="0.3">
      <c r="A26" s="20"/>
      <c r="B26" s="57"/>
      <c r="C26" s="64"/>
      <c r="D26" s="15" t="s">
        <v>13</v>
      </c>
      <c r="E26" s="15">
        <v>1</v>
      </c>
      <c r="F26" s="15">
        <v>0</v>
      </c>
      <c r="G26" s="15">
        <v>0</v>
      </c>
      <c r="H26" s="15">
        <v>0</v>
      </c>
      <c r="I26" s="15">
        <v>2</v>
      </c>
      <c r="J26" s="15">
        <v>3</v>
      </c>
      <c r="K26" s="15">
        <v>1</v>
      </c>
      <c r="L26" s="15">
        <v>2</v>
      </c>
      <c r="M26" s="15">
        <v>2</v>
      </c>
      <c r="N26" s="15">
        <v>2</v>
      </c>
      <c r="O26" s="15">
        <v>6</v>
      </c>
      <c r="P26" s="15">
        <v>0</v>
      </c>
      <c r="Q26" s="15">
        <v>0</v>
      </c>
      <c r="R26" s="15">
        <v>3</v>
      </c>
      <c r="S26" s="15">
        <v>1</v>
      </c>
      <c r="T26" s="15">
        <v>0</v>
      </c>
      <c r="U26" s="15">
        <v>0</v>
      </c>
      <c r="V26" s="15">
        <v>1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6</v>
      </c>
      <c r="AD26" s="15">
        <v>4</v>
      </c>
      <c r="AE26" s="15">
        <v>0</v>
      </c>
      <c r="AF26" s="15">
        <v>1</v>
      </c>
      <c r="AG26" s="15">
        <v>2</v>
      </c>
      <c r="AH26" s="15">
        <v>1</v>
      </c>
      <c r="AI26" s="15">
        <v>1</v>
      </c>
      <c r="AJ26" s="15">
        <v>0</v>
      </c>
      <c r="AK26" s="15">
        <v>1</v>
      </c>
      <c r="AL26" s="15">
        <v>0</v>
      </c>
      <c r="AM26" s="15">
        <v>1</v>
      </c>
      <c r="AN26" s="15">
        <v>0</v>
      </c>
      <c r="AO26" s="15">
        <v>3</v>
      </c>
      <c r="AP26" s="15">
        <v>3</v>
      </c>
      <c r="AQ26" s="15">
        <v>2</v>
      </c>
      <c r="AR26" s="15">
        <v>2</v>
      </c>
      <c r="AS26" s="15">
        <v>6</v>
      </c>
      <c r="AT26" s="15">
        <v>3</v>
      </c>
      <c r="AU26" s="15">
        <v>0</v>
      </c>
      <c r="AV26" s="15">
        <v>4</v>
      </c>
      <c r="AW26" s="15">
        <v>2</v>
      </c>
      <c r="AX26" s="15">
        <v>2</v>
      </c>
      <c r="AY26" s="15">
        <v>3</v>
      </c>
      <c r="AZ26" s="15">
        <v>0</v>
      </c>
      <c r="BA26" s="13">
        <f t="shared" si="2"/>
        <v>71</v>
      </c>
    </row>
    <row r="27" spans="1:53" ht="12.75" customHeight="1" x14ac:dyDescent="0.3">
      <c r="A27" s="21"/>
      <c r="B27" s="59"/>
      <c r="C27" s="65"/>
      <c r="D27" s="13" t="s">
        <v>14</v>
      </c>
      <c r="E27" s="13">
        <f t="shared" ref="E27:AZ27" si="5">SUM(E25:E26)</f>
        <v>1</v>
      </c>
      <c r="F27" s="13">
        <f t="shared" si="5"/>
        <v>1</v>
      </c>
      <c r="G27" s="13">
        <f t="shared" si="5"/>
        <v>0</v>
      </c>
      <c r="H27" s="13">
        <f t="shared" si="5"/>
        <v>0</v>
      </c>
      <c r="I27" s="13">
        <f t="shared" si="5"/>
        <v>3</v>
      </c>
      <c r="J27" s="13">
        <f t="shared" si="5"/>
        <v>7</v>
      </c>
      <c r="K27" s="13">
        <f t="shared" si="5"/>
        <v>2</v>
      </c>
      <c r="L27" s="13">
        <f t="shared" si="5"/>
        <v>5</v>
      </c>
      <c r="M27" s="13">
        <f t="shared" si="5"/>
        <v>3</v>
      </c>
      <c r="N27" s="13">
        <f t="shared" si="5"/>
        <v>2</v>
      </c>
      <c r="O27" s="13">
        <f t="shared" si="5"/>
        <v>16</v>
      </c>
      <c r="P27" s="13">
        <f t="shared" si="5"/>
        <v>0</v>
      </c>
      <c r="Q27" s="13">
        <f t="shared" si="5"/>
        <v>2</v>
      </c>
      <c r="R27" s="13">
        <f t="shared" si="5"/>
        <v>9</v>
      </c>
      <c r="S27" s="13">
        <f t="shared" si="5"/>
        <v>3</v>
      </c>
      <c r="T27" s="13">
        <f t="shared" si="5"/>
        <v>1</v>
      </c>
      <c r="U27" s="13">
        <f t="shared" si="5"/>
        <v>0</v>
      </c>
      <c r="V27" s="13">
        <f t="shared" si="5"/>
        <v>4</v>
      </c>
      <c r="W27" s="13">
        <f t="shared" si="5"/>
        <v>1</v>
      </c>
      <c r="X27" s="13">
        <f t="shared" si="5"/>
        <v>0</v>
      </c>
      <c r="Y27" s="13">
        <f t="shared" si="5"/>
        <v>0</v>
      </c>
      <c r="Z27" s="13">
        <f t="shared" si="5"/>
        <v>0</v>
      </c>
      <c r="AA27" s="13">
        <f t="shared" si="5"/>
        <v>1</v>
      </c>
      <c r="AB27" s="13">
        <f t="shared" si="5"/>
        <v>0</v>
      </c>
      <c r="AC27" s="13">
        <f t="shared" si="5"/>
        <v>10</v>
      </c>
      <c r="AD27" s="13">
        <f t="shared" si="5"/>
        <v>8</v>
      </c>
      <c r="AE27" s="13">
        <f t="shared" si="5"/>
        <v>0</v>
      </c>
      <c r="AF27" s="13">
        <f t="shared" si="5"/>
        <v>2</v>
      </c>
      <c r="AG27" s="13">
        <f t="shared" si="5"/>
        <v>6</v>
      </c>
      <c r="AH27" s="13">
        <f t="shared" si="5"/>
        <v>1</v>
      </c>
      <c r="AI27" s="13">
        <f t="shared" si="5"/>
        <v>1</v>
      </c>
      <c r="AJ27" s="13">
        <f t="shared" si="5"/>
        <v>0</v>
      </c>
      <c r="AK27" s="13">
        <f t="shared" si="5"/>
        <v>2</v>
      </c>
      <c r="AL27" s="13">
        <f t="shared" si="5"/>
        <v>0</v>
      </c>
      <c r="AM27" s="13">
        <f t="shared" si="5"/>
        <v>1</v>
      </c>
      <c r="AN27" s="13">
        <f t="shared" si="5"/>
        <v>0</v>
      </c>
      <c r="AO27" s="13">
        <f t="shared" si="5"/>
        <v>6</v>
      </c>
      <c r="AP27" s="13">
        <f t="shared" si="5"/>
        <v>4</v>
      </c>
      <c r="AQ27" s="13">
        <f t="shared" si="5"/>
        <v>3</v>
      </c>
      <c r="AR27" s="13">
        <f t="shared" si="5"/>
        <v>4</v>
      </c>
      <c r="AS27" s="13">
        <f t="shared" si="5"/>
        <v>7</v>
      </c>
      <c r="AT27" s="13">
        <f t="shared" si="5"/>
        <v>7</v>
      </c>
      <c r="AU27" s="13">
        <f t="shared" si="5"/>
        <v>0</v>
      </c>
      <c r="AV27" s="13">
        <f t="shared" si="5"/>
        <v>7</v>
      </c>
      <c r="AW27" s="13">
        <f t="shared" si="5"/>
        <v>2</v>
      </c>
      <c r="AX27" s="13">
        <f t="shared" si="5"/>
        <v>2</v>
      </c>
      <c r="AY27" s="13">
        <f t="shared" si="5"/>
        <v>3</v>
      </c>
      <c r="AZ27" s="13">
        <f t="shared" si="5"/>
        <v>0</v>
      </c>
      <c r="BA27" s="13">
        <f t="shared" si="2"/>
        <v>137</v>
      </c>
    </row>
    <row r="28" spans="1:53" ht="12.75" customHeight="1" x14ac:dyDescent="0.3">
      <c r="A28" s="21"/>
      <c r="B28" s="66" t="s">
        <v>23</v>
      </c>
      <c r="C28" s="67" t="s">
        <v>24</v>
      </c>
      <c r="D28" s="13" t="s">
        <v>12</v>
      </c>
      <c r="E28" s="13">
        <f t="shared" ref="E28:AZ28" si="6">SUM(E19,E22,E25)</f>
        <v>98</v>
      </c>
      <c r="F28" s="13">
        <f t="shared" si="6"/>
        <v>117</v>
      </c>
      <c r="G28" s="13">
        <f t="shared" si="6"/>
        <v>90</v>
      </c>
      <c r="H28" s="13">
        <f t="shared" si="6"/>
        <v>90</v>
      </c>
      <c r="I28" s="13">
        <f t="shared" si="6"/>
        <v>106</v>
      </c>
      <c r="J28" s="13">
        <f t="shared" si="6"/>
        <v>105</v>
      </c>
      <c r="K28" s="13">
        <f t="shared" si="6"/>
        <v>88</v>
      </c>
      <c r="L28" s="13">
        <f t="shared" si="6"/>
        <v>92</v>
      </c>
      <c r="M28" s="13">
        <f t="shared" si="6"/>
        <v>77</v>
      </c>
      <c r="N28" s="13">
        <f t="shared" si="6"/>
        <v>85</v>
      </c>
      <c r="O28" s="13">
        <f t="shared" si="6"/>
        <v>108</v>
      </c>
      <c r="P28" s="13">
        <f t="shared" si="6"/>
        <v>89</v>
      </c>
      <c r="Q28" s="13">
        <f t="shared" si="6"/>
        <v>81</v>
      </c>
      <c r="R28" s="13">
        <f t="shared" si="6"/>
        <v>122</v>
      </c>
      <c r="S28" s="13">
        <f t="shared" si="6"/>
        <v>108</v>
      </c>
      <c r="T28" s="13">
        <f t="shared" si="6"/>
        <v>114</v>
      </c>
      <c r="U28" s="13">
        <f t="shared" si="6"/>
        <v>73</v>
      </c>
      <c r="V28" s="13">
        <f t="shared" si="6"/>
        <v>100</v>
      </c>
      <c r="W28" s="13">
        <f t="shared" si="6"/>
        <v>110</v>
      </c>
      <c r="X28" s="13">
        <f t="shared" si="6"/>
        <v>106</v>
      </c>
      <c r="Y28" s="13">
        <f t="shared" si="6"/>
        <v>103</v>
      </c>
      <c r="Z28" s="13">
        <f t="shared" si="6"/>
        <v>58</v>
      </c>
      <c r="AA28" s="13">
        <f t="shared" si="6"/>
        <v>111</v>
      </c>
      <c r="AB28" s="13">
        <f t="shared" si="6"/>
        <v>98</v>
      </c>
      <c r="AC28" s="13">
        <f t="shared" si="6"/>
        <v>96</v>
      </c>
      <c r="AD28" s="13">
        <f t="shared" si="6"/>
        <v>92</v>
      </c>
      <c r="AE28" s="13">
        <f t="shared" si="6"/>
        <v>98</v>
      </c>
      <c r="AF28" s="13">
        <f t="shared" si="6"/>
        <v>110</v>
      </c>
      <c r="AG28" s="13">
        <f t="shared" si="6"/>
        <v>107</v>
      </c>
      <c r="AH28" s="13">
        <f t="shared" si="6"/>
        <v>100</v>
      </c>
      <c r="AI28" s="13">
        <f t="shared" si="6"/>
        <v>43</v>
      </c>
      <c r="AJ28" s="13">
        <f t="shared" si="6"/>
        <v>104</v>
      </c>
      <c r="AK28" s="13">
        <f t="shared" si="6"/>
        <v>94</v>
      </c>
      <c r="AL28" s="13">
        <f t="shared" si="6"/>
        <v>93</v>
      </c>
      <c r="AM28" s="13">
        <f t="shared" si="6"/>
        <v>88</v>
      </c>
      <c r="AN28" s="13">
        <f t="shared" si="6"/>
        <v>103</v>
      </c>
      <c r="AO28" s="13">
        <f t="shared" si="6"/>
        <v>95</v>
      </c>
      <c r="AP28" s="13">
        <f t="shared" si="6"/>
        <v>100</v>
      </c>
      <c r="AQ28" s="13">
        <f t="shared" si="6"/>
        <v>82</v>
      </c>
      <c r="AR28" s="13">
        <f t="shared" si="6"/>
        <v>95</v>
      </c>
      <c r="AS28" s="13">
        <f t="shared" si="6"/>
        <v>80</v>
      </c>
      <c r="AT28" s="13">
        <f t="shared" si="6"/>
        <v>108</v>
      </c>
      <c r="AU28" s="13">
        <f t="shared" si="6"/>
        <v>104</v>
      </c>
      <c r="AV28" s="13">
        <f t="shared" si="6"/>
        <v>110</v>
      </c>
      <c r="AW28" s="13">
        <f t="shared" si="6"/>
        <v>107</v>
      </c>
      <c r="AX28" s="13">
        <f t="shared" si="6"/>
        <v>99</v>
      </c>
      <c r="AY28" s="13">
        <f t="shared" si="6"/>
        <v>77</v>
      </c>
      <c r="AZ28" s="13">
        <f t="shared" si="6"/>
        <v>68</v>
      </c>
      <c r="BA28" s="13">
        <f t="shared" si="2"/>
        <v>4582</v>
      </c>
    </row>
    <row r="29" spans="1:53" ht="12.75" customHeight="1" x14ac:dyDescent="0.3">
      <c r="A29" s="21"/>
      <c r="B29" s="57"/>
      <c r="C29" s="64"/>
      <c r="D29" s="13" t="s">
        <v>13</v>
      </c>
      <c r="E29" s="13">
        <f t="shared" ref="E29:AZ29" si="7">SUM(E20,E23,E26)</f>
        <v>116</v>
      </c>
      <c r="F29" s="13">
        <f t="shared" si="7"/>
        <v>129</v>
      </c>
      <c r="G29" s="13">
        <f t="shared" si="7"/>
        <v>87</v>
      </c>
      <c r="H29" s="13">
        <f t="shared" si="7"/>
        <v>120</v>
      </c>
      <c r="I29" s="13">
        <f t="shared" si="7"/>
        <v>117</v>
      </c>
      <c r="J29" s="13">
        <f t="shared" si="7"/>
        <v>121</v>
      </c>
      <c r="K29" s="13">
        <f t="shared" si="7"/>
        <v>108</v>
      </c>
      <c r="L29" s="13">
        <f t="shared" si="7"/>
        <v>100</v>
      </c>
      <c r="M29" s="13">
        <f t="shared" si="7"/>
        <v>94</v>
      </c>
      <c r="N29" s="13">
        <f t="shared" si="7"/>
        <v>106</v>
      </c>
      <c r="O29" s="13">
        <f t="shared" si="7"/>
        <v>106</v>
      </c>
      <c r="P29" s="13">
        <f t="shared" si="7"/>
        <v>97</v>
      </c>
      <c r="Q29" s="13">
        <f t="shared" si="7"/>
        <v>94</v>
      </c>
      <c r="R29" s="13">
        <f t="shared" si="7"/>
        <v>111</v>
      </c>
      <c r="S29" s="13">
        <f t="shared" si="7"/>
        <v>114</v>
      </c>
      <c r="T29" s="13">
        <f t="shared" si="7"/>
        <v>119</v>
      </c>
      <c r="U29" s="13">
        <f t="shared" si="7"/>
        <v>87</v>
      </c>
      <c r="V29" s="13">
        <f t="shared" si="7"/>
        <v>109</v>
      </c>
      <c r="W29" s="13">
        <f t="shared" si="7"/>
        <v>119</v>
      </c>
      <c r="X29" s="13">
        <f t="shared" si="7"/>
        <v>127</v>
      </c>
      <c r="Y29" s="13">
        <f t="shared" si="7"/>
        <v>109</v>
      </c>
      <c r="Z29" s="13">
        <f t="shared" si="7"/>
        <v>68</v>
      </c>
      <c r="AA29" s="13">
        <f t="shared" si="7"/>
        <v>113</v>
      </c>
      <c r="AB29" s="13">
        <f t="shared" si="7"/>
        <v>105</v>
      </c>
      <c r="AC29" s="13">
        <f t="shared" si="7"/>
        <v>110</v>
      </c>
      <c r="AD29" s="13">
        <f t="shared" si="7"/>
        <v>123</v>
      </c>
      <c r="AE29" s="13">
        <f t="shared" si="7"/>
        <v>104</v>
      </c>
      <c r="AF29" s="13">
        <f t="shared" si="7"/>
        <v>110</v>
      </c>
      <c r="AG29" s="13">
        <f t="shared" si="7"/>
        <v>97</v>
      </c>
      <c r="AH29" s="13">
        <f t="shared" si="7"/>
        <v>103</v>
      </c>
      <c r="AI29" s="13">
        <f t="shared" si="7"/>
        <v>58</v>
      </c>
      <c r="AJ29" s="13">
        <f t="shared" si="7"/>
        <v>115</v>
      </c>
      <c r="AK29" s="13">
        <f t="shared" si="7"/>
        <v>106</v>
      </c>
      <c r="AL29" s="13">
        <f t="shared" si="7"/>
        <v>103</v>
      </c>
      <c r="AM29" s="13">
        <f t="shared" si="7"/>
        <v>100</v>
      </c>
      <c r="AN29" s="13">
        <f t="shared" si="7"/>
        <v>96</v>
      </c>
      <c r="AO29" s="13">
        <f t="shared" si="7"/>
        <v>101</v>
      </c>
      <c r="AP29" s="13">
        <f t="shared" si="7"/>
        <v>114</v>
      </c>
      <c r="AQ29" s="13">
        <f t="shared" si="7"/>
        <v>84</v>
      </c>
      <c r="AR29" s="13">
        <f t="shared" si="7"/>
        <v>99</v>
      </c>
      <c r="AS29" s="13">
        <f t="shared" si="7"/>
        <v>98</v>
      </c>
      <c r="AT29" s="13">
        <f t="shared" si="7"/>
        <v>142</v>
      </c>
      <c r="AU29" s="13">
        <f t="shared" si="7"/>
        <v>96</v>
      </c>
      <c r="AV29" s="13">
        <f t="shared" si="7"/>
        <v>127</v>
      </c>
      <c r="AW29" s="13">
        <f t="shared" si="7"/>
        <v>107</v>
      </c>
      <c r="AX29" s="13">
        <f t="shared" si="7"/>
        <v>95</v>
      </c>
      <c r="AY29" s="13">
        <f t="shared" si="7"/>
        <v>99</v>
      </c>
      <c r="AZ29" s="13">
        <f t="shared" si="7"/>
        <v>77</v>
      </c>
      <c r="BA29" s="13">
        <f t="shared" si="2"/>
        <v>5040</v>
      </c>
    </row>
    <row r="30" spans="1:53" ht="12.75" customHeight="1" x14ac:dyDescent="0.3">
      <c r="A30" s="21"/>
      <c r="B30" s="59"/>
      <c r="C30" s="65"/>
      <c r="D30" s="13" t="s">
        <v>14</v>
      </c>
      <c r="E30" s="13">
        <f t="shared" ref="E30:AZ30" si="8">SUM(E28:E29)</f>
        <v>214</v>
      </c>
      <c r="F30" s="13">
        <f t="shared" si="8"/>
        <v>246</v>
      </c>
      <c r="G30" s="13">
        <f t="shared" si="8"/>
        <v>177</v>
      </c>
      <c r="H30" s="13">
        <f t="shared" si="8"/>
        <v>210</v>
      </c>
      <c r="I30" s="13">
        <f t="shared" si="8"/>
        <v>223</v>
      </c>
      <c r="J30" s="13">
        <f t="shared" si="8"/>
        <v>226</v>
      </c>
      <c r="K30" s="13">
        <f t="shared" si="8"/>
        <v>196</v>
      </c>
      <c r="L30" s="13">
        <f t="shared" si="8"/>
        <v>192</v>
      </c>
      <c r="M30" s="13">
        <f t="shared" si="8"/>
        <v>171</v>
      </c>
      <c r="N30" s="13">
        <f t="shared" si="8"/>
        <v>191</v>
      </c>
      <c r="O30" s="13">
        <f t="shared" si="8"/>
        <v>214</v>
      </c>
      <c r="P30" s="13">
        <f t="shared" si="8"/>
        <v>186</v>
      </c>
      <c r="Q30" s="13">
        <f t="shared" si="8"/>
        <v>175</v>
      </c>
      <c r="R30" s="13">
        <f t="shared" si="8"/>
        <v>233</v>
      </c>
      <c r="S30" s="13">
        <f t="shared" si="8"/>
        <v>222</v>
      </c>
      <c r="T30" s="13">
        <f t="shared" si="8"/>
        <v>233</v>
      </c>
      <c r="U30" s="13">
        <f t="shared" si="8"/>
        <v>160</v>
      </c>
      <c r="V30" s="13">
        <f t="shared" si="8"/>
        <v>209</v>
      </c>
      <c r="W30" s="13">
        <f t="shared" si="8"/>
        <v>229</v>
      </c>
      <c r="X30" s="13">
        <f t="shared" si="8"/>
        <v>233</v>
      </c>
      <c r="Y30" s="13">
        <f t="shared" si="8"/>
        <v>212</v>
      </c>
      <c r="Z30" s="13">
        <f t="shared" si="8"/>
        <v>126</v>
      </c>
      <c r="AA30" s="13">
        <f t="shared" si="8"/>
        <v>224</v>
      </c>
      <c r="AB30" s="13">
        <f t="shared" si="8"/>
        <v>203</v>
      </c>
      <c r="AC30" s="13">
        <f t="shared" si="8"/>
        <v>206</v>
      </c>
      <c r="AD30" s="13">
        <f t="shared" si="8"/>
        <v>215</v>
      </c>
      <c r="AE30" s="13">
        <f t="shared" si="8"/>
        <v>202</v>
      </c>
      <c r="AF30" s="13">
        <f t="shared" si="8"/>
        <v>220</v>
      </c>
      <c r="AG30" s="13">
        <f t="shared" si="8"/>
        <v>204</v>
      </c>
      <c r="AH30" s="13">
        <f t="shared" si="8"/>
        <v>203</v>
      </c>
      <c r="AI30" s="13">
        <f t="shared" si="8"/>
        <v>101</v>
      </c>
      <c r="AJ30" s="13">
        <f t="shared" si="8"/>
        <v>219</v>
      </c>
      <c r="AK30" s="13">
        <f t="shared" si="8"/>
        <v>200</v>
      </c>
      <c r="AL30" s="13">
        <f t="shared" si="8"/>
        <v>196</v>
      </c>
      <c r="AM30" s="13">
        <f t="shared" si="8"/>
        <v>188</v>
      </c>
      <c r="AN30" s="13">
        <f t="shared" si="8"/>
        <v>199</v>
      </c>
      <c r="AO30" s="13">
        <f t="shared" si="8"/>
        <v>196</v>
      </c>
      <c r="AP30" s="13">
        <f t="shared" si="8"/>
        <v>214</v>
      </c>
      <c r="AQ30" s="13">
        <f t="shared" si="8"/>
        <v>166</v>
      </c>
      <c r="AR30" s="13">
        <f t="shared" si="8"/>
        <v>194</v>
      </c>
      <c r="AS30" s="13">
        <f t="shared" si="8"/>
        <v>178</v>
      </c>
      <c r="AT30" s="13">
        <f t="shared" si="8"/>
        <v>250</v>
      </c>
      <c r="AU30" s="13">
        <f t="shared" si="8"/>
        <v>200</v>
      </c>
      <c r="AV30" s="13">
        <f t="shared" si="8"/>
        <v>237</v>
      </c>
      <c r="AW30" s="13">
        <f t="shared" si="8"/>
        <v>214</v>
      </c>
      <c r="AX30" s="13">
        <f t="shared" si="8"/>
        <v>194</v>
      </c>
      <c r="AY30" s="13">
        <f t="shared" si="8"/>
        <v>176</v>
      </c>
      <c r="AZ30" s="13">
        <f t="shared" si="8"/>
        <v>145</v>
      </c>
      <c r="BA30" s="13">
        <f t="shared" si="2"/>
        <v>9622</v>
      </c>
    </row>
    <row r="31" spans="1:53" ht="12.75" customHeight="1" x14ac:dyDescent="0.3">
      <c r="A31" s="54"/>
      <c r="B31" s="48"/>
      <c r="C31" s="48"/>
      <c r="D31" s="49"/>
      <c r="E31" s="15"/>
      <c r="F31" s="15"/>
      <c r="G31" s="15"/>
      <c r="H31" s="15"/>
      <c r="I31" s="15"/>
      <c r="J31" s="15"/>
      <c r="K31" s="15"/>
      <c r="L31" s="15"/>
      <c r="M31" s="15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3"/>
    </row>
    <row r="32" spans="1:53" ht="12.75" customHeight="1" x14ac:dyDescent="0.3">
      <c r="A32" s="24" t="s">
        <v>25</v>
      </c>
      <c r="B32" s="55" t="s">
        <v>26</v>
      </c>
      <c r="C32" s="48"/>
      <c r="D32" s="49"/>
      <c r="E32" s="13"/>
      <c r="F32" s="13"/>
      <c r="G32" s="13"/>
      <c r="H32" s="13"/>
      <c r="I32" s="13"/>
      <c r="J32" s="13"/>
      <c r="K32" s="13"/>
      <c r="L32" s="13"/>
      <c r="M32" s="13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3"/>
    </row>
    <row r="33" spans="1:53" ht="12.75" customHeight="1" x14ac:dyDescent="0.3">
      <c r="A33" s="15">
        <v>1</v>
      </c>
      <c r="B33" s="61" t="s">
        <v>27</v>
      </c>
      <c r="C33" s="48"/>
      <c r="D33" s="49"/>
      <c r="E33" s="15">
        <v>297</v>
      </c>
      <c r="F33" s="15">
        <v>300</v>
      </c>
      <c r="G33" s="15">
        <v>213</v>
      </c>
      <c r="H33" s="15">
        <v>254</v>
      </c>
      <c r="I33" s="15">
        <v>254</v>
      </c>
      <c r="J33" s="15">
        <v>281</v>
      </c>
      <c r="K33" s="15">
        <v>249</v>
      </c>
      <c r="L33" s="15">
        <v>249</v>
      </c>
      <c r="M33" s="15">
        <v>231</v>
      </c>
      <c r="N33" s="15">
        <v>267</v>
      </c>
      <c r="O33" s="15">
        <v>268</v>
      </c>
      <c r="P33" s="15">
        <v>237</v>
      </c>
      <c r="Q33" s="15">
        <v>215</v>
      </c>
      <c r="R33" s="15">
        <v>293</v>
      </c>
      <c r="S33" s="15">
        <v>300</v>
      </c>
      <c r="T33" s="15">
        <v>303</v>
      </c>
      <c r="U33" s="15">
        <v>217</v>
      </c>
      <c r="V33" s="15">
        <v>296</v>
      </c>
      <c r="W33" s="15">
        <v>306</v>
      </c>
      <c r="X33" s="15">
        <v>285</v>
      </c>
      <c r="Y33" s="15">
        <v>281</v>
      </c>
      <c r="Z33" s="15">
        <v>161</v>
      </c>
      <c r="AA33" s="15">
        <v>299</v>
      </c>
      <c r="AB33" s="15">
        <v>266</v>
      </c>
      <c r="AC33" s="15">
        <v>276</v>
      </c>
      <c r="AD33" s="15">
        <v>294</v>
      </c>
      <c r="AE33" s="15">
        <v>248</v>
      </c>
      <c r="AF33" s="15">
        <v>250</v>
      </c>
      <c r="AG33" s="15">
        <v>275</v>
      </c>
      <c r="AH33" s="15">
        <v>288</v>
      </c>
      <c r="AI33" s="15">
        <v>149</v>
      </c>
      <c r="AJ33" s="15">
        <v>289</v>
      </c>
      <c r="AK33" s="15">
        <v>234</v>
      </c>
      <c r="AL33" s="15">
        <v>293</v>
      </c>
      <c r="AM33" s="15">
        <v>247</v>
      </c>
      <c r="AN33" s="15">
        <v>278</v>
      </c>
      <c r="AO33" s="15">
        <v>279</v>
      </c>
      <c r="AP33" s="15">
        <v>299</v>
      </c>
      <c r="AQ33" s="15">
        <v>238</v>
      </c>
      <c r="AR33" s="15">
        <v>260</v>
      </c>
      <c r="AS33" s="15">
        <v>235</v>
      </c>
      <c r="AT33" s="15">
        <v>297</v>
      </c>
      <c r="AU33" s="15">
        <v>278</v>
      </c>
      <c r="AV33" s="15">
        <v>289</v>
      </c>
      <c r="AW33" s="15">
        <v>293</v>
      </c>
      <c r="AX33" s="15">
        <v>243</v>
      </c>
      <c r="AY33" s="15">
        <v>239</v>
      </c>
      <c r="AZ33" s="15">
        <v>191</v>
      </c>
      <c r="BA33" s="13">
        <f t="shared" ref="BA33:BA36" si="9">SUM(E33:AZ33)</f>
        <v>12584</v>
      </c>
    </row>
    <row r="34" spans="1:53" ht="12.75" customHeight="1" x14ac:dyDescent="0.3">
      <c r="A34" s="15">
        <v>2</v>
      </c>
      <c r="B34" s="61" t="s">
        <v>28</v>
      </c>
      <c r="C34" s="48"/>
      <c r="D34" s="49"/>
      <c r="E34" s="13">
        <v>214</v>
      </c>
      <c r="F34" s="13">
        <v>246</v>
      </c>
      <c r="G34" s="13">
        <v>177</v>
      </c>
      <c r="H34" s="13">
        <v>210</v>
      </c>
      <c r="I34" s="13">
        <v>223</v>
      </c>
      <c r="J34" s="13">
        <v>226</v>
      </c>
      <c r="K34" s="13">
        <v>196</v>
      </c>
      <c r="L34" s="13">
        <v>192</v>
      </c>
      <c r="M34" s="13">
        <v>171</v>
      </c>
      <c r="N34" s="13">
        <v>191</v>
      </c>
      <c r="O34" s="13">
        <v>214</v>
      </c>
      <c r="P34" s="13">
        <v>186</v>
      </c>
      <c r="Q34" s="13">
        <v>175</v>
      </c>
      <c r="R34" s="13">
        <v>233</v>
      </c>
      <c r="S34" s="13">
        <v>222</v>
      </c>
      <c r="T34" s="13">
        <v>233</v>
      </c>
      <c r="U34" s="13">
        <v>160</v>
      </c>
      <c r="V34" s="13">
        <v>209</v>
      </c>
      <c r="W34" s="13">
        <v>229</v>
      </c>
      <c r="X34" s="13">
        <v>233</v>
      </c>
      <c r="Y34" s="13">
        <v>212</v>
      </c>
      <c r="Z34" s="13">
        <v>126</v>
      </c>
      <c r="AA34" s="13">
        <v>224</v>
      </c>
      <c r="AB34" s="13">
        <v>203</v>
      </c>
      <c r="AC34" s="13">
        <v>206</v>
      </c>
      <c r="AD34" s="13">
        <v>215</v>
      </c>
      <c r="AE34" s="13">
        <v>202</v>
      </c>
      <c r="AF34" s="13">
        <v>220</v>
      </c>
      <c r="AG34" s="13">
        <v>204</v>
      </c>
      <c r="AH34" s="13">
        <v>203</v>
      </c>
      <c r="AI34" s="13">
        <v>101</v>
      </c>
      <c r="AJ34" s="13">
        <v>219</v>
      </c>
      <c r="AK34" s="13">
        <v>200</v>
      </c>
      <c r="AL34" s="13">
        <v>196</v>
      </c>
      <c r="AM34" s="13">
        <v>188</v>
      </c>
      <c r="AN34" s="13">
        <v>199</v>
      </c>
      <c r="AO34" s="13">
        <v>196</v>
      </c>
      <c r="AP34" s="13">
        <v>214</v>
      </c>
      <c r="AQ34" s="13">
        <v>166</v>
      </c>
      <c r="AR34" s="13">
        <v>194</v>
      </c>
      <c r="AS34" s="13">
        <v>178</v>
      </c>
      <c r="AT34" s="13">
        <v>250</v>
      </c>
      <c r="AU34" s="13">
        <v>200</v>
      </c>
      <c r="AV34" s="13">
        <v>237</v>
      </c>
      <c r="AW34" s="13">
        <v>214</v>
      </c>
      <c r="AX34" s="13">
        <v>194</v>
      </c>
      <c r="AY34" s="13">
        <v>176</v>
      </c>
      <c r="AZ34" s="13">
        <v>145</v>
      </c>
      <c r="BA34" s="13">
        <f t="shared" si="9"/>
        <v>9622</v>
      </c>
    </row>
    <row r="35" spans="1:53" ht="12.75" customHeight="1" x14ac:dyDescent="0.3">
      <c r="A35" s="15">
        <v>3</v>
      </c>
      <c r="B35" s="61" t="s">
        <v>29</v>
      </c>
      <c r="C35" s="48"/>
      <c r="D35" s="49"/>
      <c r="E35" s="15">
        <v>0</v>
      </c>
      <c r="F35" s="15">
        <v>0</v>
      </c>
      <c r="G35" s="15">
        <v>1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1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1</v>
      </c>
      <c r="W35" s="15">
        <v>2</v>
      </c>
      <c r="X35" s="15">
        <v>0</v>
      </c>
      <c r="Y35" s="15">
        <v>0</v>
      </c>
      <c r="Z35" s="15">
        <v>0</v>
      </c>
      <c r="AA35" s="15">
        <v>0</v>
      </c>
      <c r="AB35" s="15">
        <v>2</v>
      </c>
      <c r="AC35" s="15">
        <v>1</v>
      </c>
      <c r="AD35" s="15">
        <v>0</v>
      </c>
      <c r="AE35" s="15">
        <v>0</v>
      </c>
      <c r="AF35" s="15">
        <v>0</v>
      </c>
      <c r="AG35" s="15">
        <v>1</v>
      </c>
      <c r="AH35" s="15">
        <v>0</v>
      </c>
      <c r="AI35" s="15">
        <v>0</v>
      </c>
      <c r="AJ35" s="15">
        <v>0</v>
      </c>
      <c r="AK35" s="15">
        <v>0</v>
      </c>
      <c r="AL35" s="15">
        <v>2</v>
      </c>
      <c r="AM35" s="15">
        <v>0</v>
      </c>
      <c r="AN35" s="15">
        <v>0</v>
      </c>
      <c r="AO35" s="15">
        <v>0</v>
      </c>
      <c r="AP35" s="15">
        <v>1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/>
      <c r="AY35" s="15"/>
      <c r="AZ35" s="15"/>
      <c r="BA35" s="13">
        <f t="shared" si="9"/>
        <v>12</v>
      </c>
    </row>
    <row r="36" spans="1:53" ht="12.75" customHeight="1" x14ac:dyDescent="0.3">
      <c r="A36" s="15">
        <v>4</v>
      </c>
      <c r="B36" s="61" t="s">
        <v>30</v>
      </c>
      <c r="C36" s="48"/>
      <c r="D36" s="49"/>
      <c r="E36" s="13">
        <f t="shared" ref="E36:AZ36" si="10">E33-(E34+E35)</f>
        <v>83</v>
      </c>
      <c r="F36" s="13">
        <f t="shared" si="10"/>
        <v>54</v>
      </c>
      <c r="G36" s="13">
        <f t="shared" si="10"/>
        <v>35</v>
      </c>
      <c r="H36" s="13">
        <f t="shared" si="10"/>
        <v>44</v>
      </c>
      <c r="I36" s="13">
        <f t="shared" si="10"/>
        <v>31</v>
      </c>
      <c r="J36" s="13">
        <f t="shared" si="10"/>
        <v>55</v>
      </c>
      <c r="K36" s="13">
        <f t="shared" si="10"/>
        <v>53</v>
      </c>
      <c r="L36" s="13">
        <f t="shared" si="10"/>
        <v>57</v>
      </c>
      <c r="M36" s="13">
        <f t="shared" si="10"/>
        <v>59</v>
      </c>
      <c r="N36" s="13">
        <f t="shared" si="10"/>
        <v>76</v>
      </c>
      <c r="O36" s="13">
        <f t="shared" si="10"/>
        <v>54</v>
      </c>
      <c r="P36" s="13">
        <f t="shared" si="10"/>
        <v>51</v>
      </c>
      <c r="Q36" s="13">
        <f t="shared" si="10"/>
        <v>40</v>
      </c>
      <c r="R36" s="13">
        <f t="shared" si="10"/>
        <v>60</v>
      </c>
      <c r="S36" s="13">
        <f t="shared" si="10"/>
        <v>78</v>
      </c>
      <c r="T36" s="13">
        <f t="shared" si="10"/>
        <v>70</v>
      </c>
      <c r="U36" s="13">
        <f t="shared" si="10"/>
        <v>57</v>
      </c>
      <c r="V36" s="13">
        <f t="shared" si="10"/>
        <v>86</v>
      </c>
      <c r="W36" s="13">
        <f t="shared" si="10"/>
        <v>75</v>
      </c>
      <c r="X36" s="13">
        <f t="shared" si="10"/>
        <v>52</v>
      </c>
      <c r="Y36" s="13">
        <f t="shared" si="10"/>
        <v>69</v>
      </c>
      <c r="Z36" s="13">
        <f t="shared" si="10"/>
        <v>35</v>
      </c>
      <c r="AA36" s="13">
        <f t="shared" si="10"/>
        <v>75</v>
      </c>
      <c r="AB36" s="13">
        <f t="shared" si="10"/>
        <v>61</v>
      </c>
      <c r="AC36" s="13">
        <f t="shared" si="10"/>
        <v>69</v>
      </c>
      <c r="AD36" s="13">
        <f t="shared" si="10"/>
        <v>79</v>
      </c>
      <c r="AE36" s="13">
        <f t="shared" si="10"/>
        <v>46</v>
      </c>
      <c r="AF36" s="13">
        <f t="shared" si="10"/>
        <v>30</v>
      </c>
      <c r="AG36" s="13">
        <f t="shared" si="10"/>
        <v>70</v>
      </c>
      <c r="AH36" s="13">
        <f t="shared" si="10"/>
        <v>85</v>
      </c>
      <c r="AI36" s="13">
        <f t="shared" si="10"/>
        <v>48</v>
      </c>
      <c r="AJ36" s="13">
        <f t="shared" si="10"/>
        <v>70</v>
      </c>
      <c r="AK36" s="13">
        <f t="shared" si="10"/>
        <v>34</v>
      </c>
      <c r="AL36" s="13">
        <f t="shared" si="10"/>
        <v>95</v>
      </c>
      <c r="AM36" s="13">
        <f t="shared" si="10"/>
        <v>59</v>
      </c>
      <c r="AN36" s="13">
        <f t="shared" si="10"/>
        <v>79</v>
      </c>
      <c r="AO36" s="13">
        <f t="shared" si="10"/>
        <v>83</v>
      </c>
      <c r="AP36" s="13">
        <f t="shared" si="10"/>
        <v>84</v>
      </c>
      <c r="AQ36" s="13">
        <f t="shared" si="10"/>
        <v>72</v>
      </c>
      <c r="AR36" s="13">
        <f t="shared" si="10"/>
        <v>66</v>
      </c>
      <c r="AS36" s="13">
        <f t="shared" si="10"/>
        <v>57</v>
      </c>
      <c r="AT36" s="13">
        <f t="shared" si="10"/>
        <v>47</v>
      </c>
      <c r="AU36" s="13">
        <f t="shared" si="10"/>
        <v>78</v>
      </c>
      <c r="AV36" s="13">
        <f t="shared" si="10"/>
        <v>52</v>
      </c>
      <c r="AW36" s="13">
        <f t="shared" si="10"/>
        <v>79</v>
      </c>
      <c r="AX36" s="13">
        <f t="shared" si="10"/>
        <v>49</v>
      </c>
      <c r="AY36" s="13">
        <f t="shared" si="10"/>
        <v>63</v>
      </c>
      <c r="AZ36" s="13">
        <f t="shared" si="10"/>
        <v>46</v>
      </c>
      <c r="BA36" s="13">
        <f t="shared" si="9"/>
        <v>2950</v>
      </c>
    </row>
    <row r="37" spans="1:53" ht="12.75" customHeight="1" x14ac:dyDescent="0.3">
      <c r="A37" s="54"/>
      <c r="B37" s="48"/>
      <c r="C37" s="48"/>
      <c r="D37" s="48"/>
      <c r="E37" s="54"/>
      <c r="F37" s="48"/>
      <c r="G37" s="48"/>
      <c r="H37" s="48"/>
      <c r="I37" s="49"/>
      <c r="J37" s="15"/>
      <c r="K37" s="15"/>
      <c r="L37" s="15"/>
      <c r="M37" s="15"/>
      <c r="N37" s="42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3"/>
    </row>
    <row r="38" spans="1:53" ht="12.75" customHeight="1" x14ac:dyDescent="0.3">
      <c r="A38" s="25" t="s">
        <v>31</v>
      </c>
      <c r="B38" s="55" t="s">
        <v>32</v>
      </c>
      <c r="C38" s="48"/>
      <c r="D38" s="49"/>
      <c r="E38" s="13"/>
      <c r="F38" s="13"/>
      <c r="G38" s="13"/>
      <c r="H38" s="13"/>
      <c r="I38" s="13"/>
      <c r="J38" s="13"/>
      <c r="K38" s="13"/>
      <c r="L38" s="13"/>
      <c r="M38" s="13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3"/>
    </row>
    <row r="39" spans="1:53" ht="12.75" customHeight="1" x14ac:dyDescent="0.3">
      <c r="A39" s="19"/>
      <c r="B39" s="51" t="s">
        <v>33</v>
      </c>
      <c r="C39" s="53"/>
      <c r="D39" s="15" t="s">
        <v>12</v>
      </c>
      <c r="E39" s="15">
        <v>0</v>
      </c>
      <c r="F39" s="15">
        <v>0</v>
      </c>
      <c r="G39" s="15">
        <v>0</v>
      </c>
      <c r="H39" s="15">
        <v>0</v>
      </c>
      <c r="I39" s="15">
        <v>1</v>
      </c>
      <c r="J39" s="15">
        <v>1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1</v>
      </c>
      <c r="Q39" s="15">
        <v>0</v>
      </c>
      <c r="R39" s="15">
        <v>0</v>
      </c>
      <c r="S39" s="15">
        <v>0</v>
      </c>
      <c r="T39" s="15">
        <v>0</v>
      </c>
      <c r="U39" s="15">
        <v>1</v>
      </c>
      <c r="V39" s="15">
        <v>0</v>
      </c>
      <c r="W39" s="15">
        <v>0</v>
      </c>
      <c r="X39" s="15">
        <v>2</v>
      </c>
      <c r="Y39" s="15">
        <v>0</v>
      </c>
      <c r="Z39" s="15">
        <v>1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1</v>
      </c>
      <c r="AQ39" s="15">
        <v>0</v>
      </c>
      <c r="AR39" s="15">
        <v>1</v>
      </c>
      <c r="AS39" s="15">
        <v>1</v>
      </c>
      <c r="AT39" s="15">
        <v>0</v>
      </c>
      <c r="AU39" s="15">
        <v>0</v>
      </c>
      <c r="AV39" s="15">
        <v>0</v>
      </c>
      <c r="AW39" s="15">
        <v>0</v>
      </c>
      <c r="AX39" s="15"/>
      <c r="AY39" s="15"/>
      <c r="AZ39" s="15"/>
      <c r="BA39" s="13">
        <f t="shared" ref="BA39:BA41" si="11">SUM(E39:AZ39)</f>
        <v>10</v>
      </c>
    </row>
    <row r="40" spans="1:53" ht="12.75" customHeight="1" x14ac:dyDescent="0.3">
      <c r="A40" s="20"/>
      <c r="B40" s="56"/>
      <c r="C40" s="57"/>
      <c r="D40" s="15" t="s">
        <v>13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1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1</v>
      </c>
      <c r="S40" s="15">
        <v>0</v>
      </c>
      <c r="T40" s="15">
        <v>0</v>
      </c>
      <c r="U40" s="15">
        <v>1</v>
      </c>
      <c r="V40" s="15">
        <v>0</v>
      </c>
      <c r="W40" s="15">
        <v>0</v>
      </c>
      <c r="X40" s="15">
        <v>1</v>
      </c>
      <c r="Y40" s="15">
        <v>0</v>
      </c>
      <c r="Z40" s="15">
        <v>3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2</v>
      </c>
      <c r="AP40" s="15">
        <v>1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/>
      <c r="AY40" s="15"/>
      <c r="AZ40" s="15">
        <v>1</v>
      </c>
      <c r="BA40" s="13">
        <f t="shared" si="11"/>
        <v>11</v>
      </c>
    </row>
    <row r="41" spans="1:53" ht="12.75" customHeight="1" x14ac:dyDescent="0.3">
      <c r="A41" s="24"/>
      <c r="B41" s="58"/>
      <c r="C41" s="59"/>
      <c r="D41" s="13" t="s">
        <v>14</v>
      </c>
      <c r="E41" s="13">
        <f t="shared" ref="E41:AZ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1</v>
      </c>
      <c r="J41" s="13">
        <f t="shared" si="12"/>
        <v>1</v>
      </c>
      <c r="K41" s="13">
        <f t="shared" si="12"/>
        <v>1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0</v>
      </c>
      <c r="P41" s="13">
        <f t="shared" si="12"/>
        <v>1</v>
      </c>
      <c r="Q41" s="13">
        <f t="shared" si="12"/>
        <v>0</v>
      </c>
      <c r="R41" s="13">
        <f t="shared" si="12"/>
        <v>1</v>
      </c>
      <c r="S41" s="13">
        <f t="shared" si="12"/>
        <v>0</v>
      </c>
      <c r="T41" s="13">
        <f t="shared" si="12"/>
        <v>0</v>
      </c>
      <c r="U41" s="13">
        <f t="shared" si="12"/>
        <v>2</v>
      </c>
      <c r="V41" s="13">
        <f t="shared" si="12"/>
        <v>0</v>
      </c>
      <c r="W41" s="13">
        <f t="shared" si="12"/>
        <v>0</v>
      </c>
      <c r="X41" s="13">
        <f t="shared" si="12"/>
        <v>3</v>
      </c>
      <c r="Y41" s="13">
        <f t="shared" si="12"/>
        <v>0</v>
      </c>
      <c r="Z41" s="13">
        <f t="shared" si="12"/>
        <v>4</v>
      </c>
      <c r="AA41" s="13">
        <f t="shared" si="12"/>
        <v>0</v>
      </c>
      <c r="AB41" s="13">
        <f t="shared" si="12"/>
        <v>0</v>
      </c>
      <c r="AC41" s="13">
        <f t="shared" si="12"/>
        <v>0</v>
      </c>
      <c r="AD41" s="13">
        <f t="shared" si="12"/>
        <v>0</v>
      </c>
      <c r="AE41" s="13">
        <f t="shared" si="12"/>
        <v>0</v>
      </c>
      <c r="AF41" s="13">
        <f t="shared" si="12"/>
        <v>0</v>
      </c>
      <c r="AG41" s="13">
        <f t="shared" si="12"/>
        <v>0</v>
      </c>
      <c r="AH41" s="13">
        <f t="shared" si="12"/>
        <v>0</v>
      </c>
      <c r="AI41" s="13">
        <f t="shared" si="12"/>
        <v>0</v>
      </c>
      <c r="AJ41" s="13">
        <f t="shared" si="12"/>
        <v>0</v>
      </c>
      <c r="AK41" s="13">
        <f t="shared" si="12"/>
        <v>0</v>
      </c>
      <c r="AL41" s="13">
        <f t="shared" si="12"/>
        <v>0</v>
      </c>
      <c r="AM41" s="13">
        <f t="shared" si="12"/>
        <v>0</v>
      </c>
      <c r="AN41" s="13">
        <f t="shared" si="12"/>
        <v>0</v>
      </c>
      <c r="AO41" s="13">
        <f t="shared" si="12"/>
        <v>2</v>
      </c>
      <c r="AP41" s="13">
        <f t="shared" si="12"/>
        <v>2</v>
      </c>
      <c r="AQ41" s="13">
        <f t="shared" si="12"/>
        <v>0</v>
      </c>
      <c r="AR41" s="13">
        <f t="shared" si="12"/>
        <v>1</v>
      </c>
      <c r="AS41" s="13">
        <f t="shared" si="12"/>
        <v>1</v>
      </c>
      <c r="AT41" s="13">
        <f t="shared" si="12"/>
        <v>0</v>
      </c>
      <c r="AU41" s="13">
        <f t="shared" si="12"/>
        <v>0</v>
      </c>
      <c r="AV41" s="13">
        <f t="shared" si="12"/>
        <v>0</v>
      </c>
      <c r="AW41" s="13">
        <f t="shared" si="12"/>
        <v>0</v>
      </c>
      <c r="AX41" s="13">
        <f t="shared" si="12"/>
        <v>0</v>
      </c>
      <c r="AY41" s="13">
        <f t="shared" si="12"/>
        <v>0</v>
      </c>
      <c r="AZ41" s="13">
        <f t="shared" si="12"/>
        <v>1</v>
      </c>
      <c r="BA41" s="13">
        <f t="shared" si="11"/>
        <v>21</v>
      </c>
    </row>
    <row r="42" spans="1:53" ht="12.75" customHeight="1" x14ac:dyDescent="0.3">
      <c r="A42" s="60"/>
      <c r="B42" s="58"/>
      <c r="C42" s="58"/>
      <c r="D42" s="59"/>
      <c r="E42" s="54"/>
      <c r="F42" s="48"/>
      <c r="G42" s="48"/>
      <c r="H42" s="48"/>
      <c r="I42" s="49"/>
      <c r="J42" s="15"/>
      <c r="K42" s="15"/>
      <c r="L42" s="15"/>
      <c r="M42" s="15"/>
      <c r="N42" s="42"/>
      <c r="O42" s="15"/>
      <c r="P42" s="42"/>
      <c r="Q42" s="15"/>
      <c r="R42" s="42"/>
      <c r="S42" s="15"/>
      <c r="T42" s="42"/>
      <c r="U42" s="15"/>
      <c r="V42" s="42"/>
      <c r="W42" s="15"/>
      <c r="X42" s="42"/>
      <c r="Y42" s="15"/>
      <c r="Z42" s="42"/>
      <c r="AA42" s="15"/>
      <c r="AB42" s="42"/>
      <c r="AC42" s="15"/>
      <c r="AD42" s="42"/>
      <c r="AE42" s="15"/>
      <c r="AF42" s="42"/>
      <c r="AG42" s="15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/>
      <c r="BA42" s="13"/>
    </row>
    <row r="43" spans="1:53" ht="12.75" customHeight="1" x14ac:dyDescent="0.3">
      <c r="A43" s="25" t="s">
        <v>34</v>
      </c>
      <c r="B43" s="55" t="s">
        <v>35</v>
      </c>
      <c r="C43" s="48"/>
      <c r="D43" s="49"/>
      <c r="E43" s="18"/>
      <c r="F43" s="13"/>
      <c r="G43" s="13"/>
      <c r="H43" s="13"/>
      <c r="I43" s="13"/>
      <c r="J43" s="13"/>
      <c r="K43" s="13"/>
      <c r="L43" s="13"/>
      <c r="M43" s="13"/>
      <c r="N43" s="44"/>
      <c r="O43" s="13"/>
      <c r="P43" s="44"/>
      <c r="Q43" s="13"/>
      <c r="R43" s="44"/>
      <c r="S43" s="13"/>
      <c r="T43" s="44"/>
      <c r="U43" s="13"/>
      <c r="V43" s="44"/>
      <c r="W43" s="13"/>
      <c r="X43" s="44"/>
      <c r="Y43" s="13"/>
      <c r="Z43" s="44"/>
      <c r="AA43" s="13"/>
      <c r="AB43" s="44"/>
      <c r="AC43" s="13"/>
      <c r="AD43" s="44"/>
      <c r="AE43" s="13"/>
      <c r="AF43" s="44"/>
      <c r="AG43" s="13"/>
      <c r="AH43" s="13"/>
      <c r="AI43" s="44"/>
      <c r="AJ43" s="13"/>
      <c r="AK43" s="44"/>
      <c r="AL43" s="13"/>
      <c r="AM43" s="44"/>
      <c r="AN43" s="13"/>
      <c r="AO43" s="44"/>
      <c r="AP43" s="13"/>
      <c r="AQ43" s="44"/>
      <c r="AR43" s="13"/>
      <c r="AS43" s="44"/>
      <c r="AT43" s="13"/>
      <c r="AU43" s="44"/>
      <c r="AV43" s="13"/>
      <c r="AW43" s="44"/>
      <c r="AX43" s="13"/>
      <c r="AY43" s="44"/>
      <c r="AZ43" s="13"/>
      <c r="BA43" s="13"/>
    </row>
    <row r="44" spans="1:53" ht="12.75" customHeight="1" x14ac:dyDescent="0.3">
      <c r="A44" s="51" t="s">
        <v>36</v>
      </c>
      <c r="B44" s="52"/>
      <c r="C44" s="52"/>
      <c r="D44" s="53"/>
      <c r="E44" s="16"/>
      <c r="F44" s="15"/>
      <c r="G44" s="15"/>
      <c r="H44" s="15"/>
      <c r="I44" s="15"/>
      <c r="J44" s="15"/>
      <c r="K44" s="15"/>
      <c r="L44" s="15"/>
      <c r="M44" s="15"/>
      <c r="N44" s="42"/>
      <c r="O44" s="15"/>
      <c r="P44" s="42"/>
      <c r="Q44" s="15"/>
      <c r="R44" s="42"/>
      <c r="S44" s="15"/>
      <c r="T44" s="42"/>
      <c r="U44" s="15"/>
      <c r="V44" s="42"/>
      <c r="W44" s="15"/>
      <c r="X44" s="42"/>
      <c r="Y44" s="15"/>
      <c r="Z44" s="42"/>
      <c r="AA44" s="15"/>
      <c r="AB44" s="42"/>
      <c r="AC44" s="15"/>
      <c r="AD44" s="42"/>
      <c r="AE44" s="15"/>
      <c r="AF44" s="42"/>
      <c r="AG44" s="15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/>
      <c r="BA44" s="13"/>
    </row>
    <row r="45" spans="1:53" ht="12.75" customHeight="1" x14ac:dyDescent="0.3">
      <c r="A45" s="19" t="s">
        <v>37</v>
      </c>
      <c r="B45" s="26" t="s">
        <v>17</v>
      </c>
      <c r="C45" s="50" t="s">
        <v>38</v>
      </c>
      <c r="D45" s="49"/>
      <c r="E45" s="15">
        <v>0</v>
      </c>
      <c r="F45" s="15">
        <v>3</v>
      </c>
      <c r="G45" s="15">
        <v>1</v>
      </c>
      <c r="H45" s="15">
        <v>1</v>
      </c>
      <c r="I45" s="15">
        <v>5</v>
      </c>
      <c r="J45" s="15">
        <v>0</v>
      </c>
      <c r="K45" s="15">
        <v>1</v>
      </c>
      <c r="L45" s="15">
        <v>5</v>
      </c>
      <c r="M45" s="15">
        <v>3</v>
      </c>
      <c r="N45" s="15">
        <v>5</v>
      </c>
      <c r="O45" s="15">
        <v>1</v>
      </c>
      <c r="P45" s="15">
        <v>1</v>
      </c>
      <c r="Q45" s="15">
        <v>2</v>
      </c>
      <c r="R45" s="15">
        <v>5</v>
      </c>
      <c r="S45" s="15">
        <v>2</v>
      </c>
      <c r="T45" s="15">
        <v>4</v>
      </c>
      <c r="U45" s="15">
        <v>1</v>
      </c>
      <c r="V45" s="15">
        <v>6</v>
      </c>
      <c r="W45" s="15">
        <v>7</v>
      </c>
      <c r="X45" s="15">
        <v>3</v>
      </c>
      <c r="Y45" s="15">
        <v>3</v>
      </c>
      <c r="Z45" s="15">
        <v>6</v>
      </c>
      <c r="AA45" s="15">
        <v>1</v>
      </c>
      <c r="AB45" s="15">
        <v>2</v>
      </c>
      <c r="AC45" s="15">
        <v>4</v>
      </c>
      <c r="AD45" s="15">
        <v>6</v>
      </c>
      <c r="AE45" s="15">
        <v>2</v>
      </c>
      <c r="AF45" s="15">
        <v>1</v>
      </c>
      <c r="AG45" s="15">
        <v>5</v>
      </c>
      <c r="AH45" s="15">
        <v>8</v>
      </c>
      <c r="AI45" s="15">
        <v>0</v>
      </c>
      <c r="AJ45" s="15">
        <v>4</v>
      </c>
      <c r="AK45" s="15">
        <v>3</v>
      </c>
      <c r="AL45" s="15">
        <v>1</v>
      </c>
      <c r="AM45" s="15">
        <v>1</v>
      </c>
      <c r="AN45" s="15">
        <v>4</v>
      </c>
      <c r="AO45" s="15">
        <v>4</v>
      </c>
      <c r="AP45" s="15">
        <v>5</v>
      </c>
      <c r="AQ45" s="15">
        <v>3</v>
      </c>
      <c r="AR45" s="15">
        <v>2</v>
      </c>
      <c r="AS45" s="15">
        <v>4</v>
      </c>
      <c r="AT45" s="15">
        <v>4</v>
      </c>
      <c r="AU45" s="15">
        <v>2</v>
      </c>
      <c r="AV45" s="15">
        <v>1</v>
      </c>
      <c r="AW45" s="15">
        <v>5</v>
      </c>
      <c r="AX45" s="15">
        <v>2</v>
      </c>
      <c r="AY45" s="15">
        <v>2</v>
      </c>
      <c r="AZ45" s="15">
        <v>2</v>
      </c>
      <c r="BA45" s="13">
        <f t="shared" ref="BA45:BA182" si="13">SUM(E45:AZ45)</f>
        <v>143</v>
      </c>
    </row>
    <row r="46" spans="1:53" ht="12.75" customHeight="1" x14ac:dyDescent="0.3">
      <c r="A46" s="19" t="s">
        <v>39</v>
      </c>
      <c r="B46" s="27">
        <v>1</v>
      </c>
      <c r="C46" s="28" t="s">
        <v>40</v>
      </c>
      <c r="D46" s="29"/>
      <c r="E46" s="15">
        <v>2</v>
      </c>
      <c r="F46" s="15">
        <v>12</v>
      </c>
      <c r="G46" s="15">
        <v>4</v>
      </c>
      <c r="H46" s="15">
        <v>1</v>
      </c>
      <c r="I46" s="15">
        <v>2</v>
      </c>
      <c r="J46" s="15">
        <v>6</v>
      </c>
      <c r="K46" s="15">
        <v>4</v>
      </c>
      <c r="L46" s="15">
        <v>13</v>
      </c>
      <c r="M46" s="15">
        <v>1</v>
      </c>
      <c r="N46" s="15">
        <v>2</v>
      </c>
      <c r="O46" s="15">
        <v>1</v>
      </c>
      <c r="P46" s="15">
        <v>1</v>
      </c>
      <c r="Q46" s="15">
        <v>3</v>
      </c>
      <c r="R46" s="15">
        <v>2</v>
      </c>
      <c r="S46" s="15">
        <v>3</v>
      </c>
      <c r="T46" s="15">
        <v>8</v>
      </c>
      <c r="U46" s="15">
        <v>1</v>
      </c>
      <c r="V46" s="15">
        <v>5</v>
      </c>
      <c r="W46" s="15">
        <v>4</v>
      </c>
      <c r="X46" s="15">
        <v>3</v>
      </c>
      <c r="Y46" s="15">
        <v>4</v>
      </c>
      <c r="Z46" s="15">
        <v>0</v>
      </c>
      <c r="AA46" s="15">
        <v>4</v>
      </c>
      <c r="AB46" s="15">
        <v>1</v>
      </c>
      <c r="AC46" s="15">
        <v>2</v>
      </c>
      <c r="AD46" s="15">
        <v>7</v>
      </c>
      <c r="AE46" s="15">
        <v>1</v>
      </c>
      <c r="AF46" s="15">
        <v>4</v>
      </c>
      <c r="AG46" s="15">
        <v>4</v>
      </c>
      <c r="AH46" s="15">
        <v>3</v>
      </c>
      <c r="AI46" s="15">
        <v>3</v>
      </c>
      <c r="AJ46" s="15">
        <v>5</v>
      </c>
      <c r="AK46" s="15">
        <v>2</v>
      </c>
      <c r="AL46" s="15">
        <v>0</v>
      </c>
      <c r="AM46" s="15">
        <v>1</v>
      </c>
      <c r="AN46" s="15">
        <v>3</v>
      </c>
      <c r="AO46" s="15">
        <v>2</v>
      </c>
      <c r="AP46" s="15">
        <v>7</v>
      </c>
      <c r="AQ46" s="15">
        <v>2</v>
      </c>
      <c r="AR46" s="15">
        <v>1</v>
      </c>
      <c r="AS46" s="15">
        <v>4</v>
      </c>
      <c r="AT46" s="15">
        <v>3</v>
      </c>
      <c r="AU46" s="15">
        <v>1</v>
      </c>
      <c r="AV46" s="15">
        <v>1</v>
      </c>
      <c r="AW46" s="15">
        <v>6</v>
      </c>
      <c r="AX46" s="15">
        <v>3</v>
      </c>
      <c r="AY46" s="15">
        <v>0</v>
      </c>
      <c r="AZ46" s="15">
        <v>0</v>
      </c>
      <c r="BA46" s="13">
        <f t="shared" si="13"/>
        <v>152</v>
      </c>
    </row>
    <row r="47" spans="1:53" ht="12.75" customHeight="1" x14ac:dyDescent="0.3">
      <c r="A47" s="14"/>
      <c r="B47" s="27">
        <v>2</v>
      </c>
      <c r="C47" s="28" t="s">
        <v>41</v>
      </c>
      <c r="D47" s="29"/>
      <c r="E47" s="15">
        <v>0</v>
      </c>
      <c r="F47" s="15">
        <v>2</v>
      </c>
      <c r="G47" s="15">
        <v>0</v>
      </c>
      <c r="H47" s="15">
        <v>0</v>
      </c>
      <c r="I47" s="15">
        <v>9</v>
      </c>
      <c r="J47" s="15">
        <v>1</v>
      </c>
      <c r="K47" s="15">
        <v>0</v>
      </c>
      <c r="L47" s="15">
        <v>2</v>
      </c>
      <c r="M47" s="15">
        <v>2</v>
      </c>
      <c r="N47" s="15">
        <v>3</v>
      </c>
      <c r="O47" s="15">
        <v>0</v>
      </c>
      <c r="P47" s="15">
        <v>1</v>
      </c>
      <c r="Q47" s="15">
        <v>2</v>
      </c>
      <c r="R47" s="15">
        <v>6</v>
      </c>
      <c r="S47" s="15">
        <v>8</v>
      </c>
      <c r="T47" s="15">
        <v>5</v>
      </c>
      <c r="U47" s="15">
        <v>2</v>
      </c>
      <c r="V47" s="15">
        <v>0</v>
      </c>
      <c r="W47" s="15">
        <v>0</v>
      </c>
      <c r="X47" s="15">
        <v>0</v>
      </c>
      <c r="Y47" s="15">
        <v>1</v>
      </c>
      <c r="Z47" s="15">
        <v>2</v>
      </c>
      <c r="AA47" s="15">
        <v>2</v>
      </c>
      <c r="AB47" s="15">
        <v>1</v>
      </c>
      <c r="AC47" s="15">
        <v>1</v>
      </c>
      <c r="AD47" s="15">
        <v>1</v>
      </c>
      <c r="AE47" s="15">
        <v>3</v>
      </c>
      <c r="AF47" s="15">
        <v>0</v>
      </c>
      <c r="AG47" s="15">
        <v>4</v>
      </c>
      <c r="AH47" s="15">
        <v>7</v>
      </c>
      <c r="AI47" s="15">
        <v>0</v>
      </c>
      <c r="AJ47" s="15">
        <v>12</v>
      </c>
      <c r="AK47" s="15">
        <v>1</v>
      </c>
      <c r="AL47" s="15">
        <v>0</v>
      </c>
      <c r="AM47" s="15">
        <v>1</v>
      </c>
      <c r="AN47" s="15">
        <v>2</v>
      </c>
      <c r="AO47" s="15">
        <v>0</v>
      </c>
      <c r="AP47" s="15">
        <v>2</v>
      </c>
      <c r="AQ47" s="15">
        <v>0</v>
      </c>
      <c r="AR47" s="15">
        <v>0</v>
      </c>
      <c r="AS47" s="15">
        <v>0</v>
      </c>
      <c r="AT47" s="15">
        <v>0</v>
      </c>
      <c r="AU47" s="15">
        <v>1</v>
      </c>
      <c r="AV47" s="15">
        <v>0</v>
      </c>
      <c r="AW47" s="15">
        <v>2</v>
      </c>
      <c r="AX47" s="15">
        <v>0</v>
      </c>
      <c r="AY47" s="15">
        <v>0</v>
      </c>
      <c r="AZ47" s="15">
        <v>0</v>
      </c>
      <c r="BA47" s="13">
        <f t="shared" si="13"/>
        <v>86</v>
      </c>
    </row>
    <row r="48" spans="1:53" ht="12.75" customHeight="1" x14ac:dyDescent="0.3">
      <c r="A48" s="14"/>
      <c r="B48" s="27">
        <v>3</v>
      </c>
      <c r="C48" s="28" t="s">
        <v>42</v>
      </c>
      <c r="D48" s="29"/>
      <c r="E48" s="15">
        <v>1</v>
      </c>
      <c r="F48" s="15">
        <v>4</v>
      </c>
      <c r="G48" s="15">
        <v>0</v>
      </c>
      <c r="H48" s="15">
        <v>1</v>
      </c>
      <c r="I48" s="15">
        <v>1</v>
      </c>
      <c r="J48" s="15">
        <v>5</v>
      </c>
      <c r="K48" s="15">
        <v>2</v>
      </c>
      <c r="L48" s="15">
        <v>5</v>
      </c>
      <c r="M48" s="15">
        <v>0</v>
      </c>
      <c r="N48" s="15">
        <v>1</v>
      </c>
      <c r="O48" s="15">
        <v>1</v>
      </c>
      <c r="P48" s="15">
        <v>0</v>
      </c>
      <c r="Q48" s="15">
        <v>0</v>
      </c>
      <c r="R48" s="15">
        <v>55</v>
      </c>
      <c r="S48" s="15">
        <v>37</v>
      </c>
      <c r="T48" s="15">
        <v>1</v>
      </c>
      <c r="U48" s="15">
        <v>0</v>
      </c>
      <c r="V48" s="15">
        <v>4</v>
      </c>
      <c r="W48" s="15">
        <v>2</v>
      </c>
      <c r="X48" s="15">
        <v>0</v>
      </c>
      <c r="Y48" s="15">
        <v>3</v>
      </c>
      <c r="Z48" s="15">
        <v>0</v>
      </c>
      <c r="AA48" s="15">
        <v>0</v>
      </c>
      <c r="AB48" s="15">
        <v>3</v>
      </c>
      <c r="AC48" s="15">
        <v>0</v>
      </c>
      <c r="AD48" s="15">
        <v>4</v>
      </c>
      <c r="AE48" s="15">
        <v>0</v>
      </c>
      <c r="AF48" s="15">
        <v>0</v>
      </c>
      <c r="AG48" s="15">
        <v>8</v>
      </c>
      <c r="AH48" s="15">
        <v>3</v>
      </c>
      <c r="AI48" s="15">
        <v>2</v>
      </c>
      <c r="AJ48" s="15">
        <v>0</v>
      </c>
      <c r="AK48" s="15">
        <v>1</v>
      </c>
      <c r="AL48" s="15">
        <v>1</v>
      </c>
      <c r="AM48" s="15">
        <v>3</v>
      </c>
      <c r="AN48" s="15">
        <v>0</v>
      </c>
      <c r="AO48" s="15">
        <v>1</v>
      </c>
      <c r="AP48" s="15">
        <v>3</v>
      </c>
      <c r="AQ48" s="15">
        <v>2</v>
      </c>
      <c r="AR48" s="15">
        <v>0</v>
      </c>
      <c r="AS48" s="15">
        <v>2</v>
      </c>
      <c r="AT48" s="15">
        <v>1</v>
      </c>
      <c r="AU48" s="15">
        <v>1</v>
      </c>
      <c r="AV48" s="15">
        <v>0</v>
      </c>
      <c r="AW48" s="15">
        <v>3</v>
      </c>
      <c r="AX48" s="15">
        <v>2</v>
      </c>
      <c r="AY48" s="15">
        <v>4</v>
      </c>
      <c r="AZ48" s="15">
        <v>2</v>
      </c>
      <c r="BA48" s="13">
        <f t="shared" si="13"/>
        <v>169</v>
      </c>
    </row>
    <row r="49" spans="1:53" ht="12.75" customHeight="1" x14ac:dyDescent="0.3">
      <c r="A49" s="14"/>
      <c r="B49" s="27">
        <v>4</v>
      </c>
      <c r="C49" s="28" t="s">
        <v>43</v>
      </c>
      <c r="D49" s="29"/>
      <c r="E49" s="15">
        <v>3</v>
      </c>
      <c r="F49" s="15">
        <v>1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2</v>
      </c>
      <c r="M49" s="15">
        <v>0</v>
      </c>
      <c r="N49" s="15">
        <v>1</v>
      </c>
      <c r="O49" s="15">
        <v>0</v>
      </c>
      <c r="P49" s="15">
        <v>0</v>
      </c>
      <c r="Q49" s="15">
        <v>1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1</v>
      </c>
      <c r="AD49" s="15">
        <v>0</v>
      </c>
      <c r="AE49" s="15">
        <v>0</v>
      </c>
      <c r="AF49" s="15">
        <v>0</v>
      </c>
      <c r="AG49" s="15">
        <v>1</v>
      </c>
      <c r="AH49" s="15">
        <v>0</v>
      </c>
      <c r="AI49" s="15">
        <v>0</v>
      </c>
      <c r="AJ49" s="15">
        <v>0</v>
      </c>
      <c r="AK49" s="15">
        <v>0</v>
      </c>
      <c r="AL49" s="15">
        <v>1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1</v>
      </c>
      <c r="AW49" s="15">
        <v>0</v>
      </c>
      <c r="AX49" s="15">
        <v>0</v>
      </c>
      <c r="AY49" s="15">
        <v>0</v>
      </c>
      <c r="AZ49" s="15">
        <v>0</v>
      </c>
      <c r="BA49" s="13">
        <f t="shared" si="13"/>
        <v>12</v>
      </c>
    </row>
    <row r="50" spans="1:53" ht="12.75" customHeight="1" x14ac:dyDescent="0.3">
      <c r="A50" s="14"/>
      <c r="B50" s="27">
        <v>5</v>
      </c>
      <c r="C50" s="28" t="s">
        <v>44</v>
      </c>
      <c r="D50" s="29"/>
      <c r="E50" s="15">
        <v>2</v>
      </c>
      <c r="F50" s="15">
        <v>5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1</v>
      </c>
      <c r="U50" s="15">
        <v>0</v>
      </c>
      <c r="V50" s="15">
        <v>2</v>
      </c>
      <c r="W50" s="15">
        <v>0</v>
      </c>
      <c r="X50" s="15">
        <v>1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3">
        <f t="shared" si="13"/>
        <v>11</v>
      </c>
    </row>
    <row r="51" spans="1:53" ht="12.75" customHeight="1" x14ac:dyDescent="0.3">
      <c r="A51" s="14"/>
      <c r="B51" s="27">
        <v>6</v>
      </c>
      <c r="C51" s="28" t="s">
        <v>45</v>
      </c>
      <c r="D51" s="29"/>
      <c r="E51" s="15">
        <v>2</v>
      </c>
      <c r="F51" s="15">
        <v>0</v>
      </c>
      <c r="G51" s="15">
        <v>5</v>
      </c>
      <c r="H51" s="15">
        <v>5</v>
      </c>
      <c r="I51" s="15">
        <v>1</v>
      </c>
      <c r="J51" s="15">
        <v>4</v>
      </c>
      <c r="K51" s="15">
        <v>0</v>
      </c>
      <c r="L51" s="15">
        <v>6</v>
      </c>
      <c r="M51" s="15">
        <v>2</v>
      </c>
      <c r="N51" s="15">
        <v>3</v>
      </c>
      <c r="O51" s="15">
        <v>1</v>
      </c>
      <c r="P51" s="15">
        <v>0</v>
      </c>
      <c r="Q51" s="15">
        <v>2</v>
      </c>
      <c r="R51" s="15">
        <v>7</v>
      </c>
      <c r="S51" s="15">
        <v>5</v>
      </c>
      <c r="T51" s="15">
        <v>2</v>
      </c>
      <c r="U51" s="15">
        <v>1</v>
      </c>
      <c r="V51" s="15">
        <v>0</v>
      </c>
      <c r="W51" s="15">
        <v>0</v>
      </c>
      <c r="X51" s="15">
        <v>0</v>
      </c>
      <c r="Y51" s="15">
        <v>2</v>
      </c>
      <c r="Z51" s="15">
        <v>4</v>
      </c>
      <c r="AA51" s="15">
        <v>5</v>
      </c>
      <c r="AB51" s="15">
        <v>12</v>
      </c>
      <c r="AC51" s="15">
        <v>12</v>
      </c>
      <c r="AD51" s="15">
        <v>2</v>
      </c>
      <c r="AE51" s="15">
        <v>2</v>
      </c>
      <c r="AF51" s="15">
        <v>0</v>
      </c>
      <c r="AG51" s="15">
        <v>1</v>
      </c>
      <c r="AH51" s="15">
        <v>1</v>
      </c>
      <c r="AI51" s="15">
        <v>0</v>
      </c>
      <c r="AJ51" s="15">
        <v>1</v>
      </c>
      <c r="AK51" s="15">
        <v>2</v>
      </c>
      <c r="AL51" s="15">
        <v>3</v>
      </c>
      <c r="AM51" s="15">
        <v>3</v>
      </c>
      <c r="AN51" s="15">
        <v>0</v>
      </c>
      <c r="AO51" s="15">
        <v>6</v>
      </c>
      <c r="AP51" s="15">
        <v>1</v>
      </c>
      <c r="AQ51" s="15">
        <v>1</v>
      </c>
      <c r="AR51" s="15">
        <v>5</v>
      </c>
      <c r="AS51" s="15">
        <v>1</v>
      </c>
      <c r="AT51" s="15">
        <v>13</v>
      </c>
      <c r="AU51" s="15">
        <v>21</v>
      </c>
      <c r="AV51" s="15">
        <v>13</v>
      </c>
      <c r="AW51" s="15">
        <v>0</v>
      </c>
      <c r="AX51" s="15">
        <v>10</v>
      </c>
      <c r="AY51" s="15">
        <v>14</v>
      </c>
      <c r="AZ51" s="15">
        <v>0</v>
      </c>
      <c r="BA51" s="13">
        <f t="shared" si="13"/>
        <v>181</v>
      </c>
    </row>
    <row r="52" spans="1:53" ht="12.75" customHeight="1" x14ac:dyDescent="0.3">
      <c r="A52" s="15" t="s">
        <v>15</v>
      </c>
      <c r="B52" s="47" t="s">
        <v>46</v>
      </c>
      <c r="C52" s="48"/>
      <c r="D52" s="49"/>
      <c r="E52" s="34">
        <f t="shared" ref="E52:AZ52" si="14">SUM(E45:E51)</f>
        <v>10</v>
      </c>
      <c r="F52" s="34">
        <f t="shared" si="14"/>
        <v>27</v>
      </c>
      <c r="G52" s="34">
        <f t="shared" si="14"/>
        <v>10</v>
      </c>
      <c r="H52" s="34">
        <f t="shared" si="14"/>
        <v>8</v>
      </c>
      <c r="I52" s="34">
        <f t="shared" si="14"/>
        <v>18</v>
      </c>
      <c r="J52" s="34">
        <f t="shared" si="14"/>
        <v>16</v>
      </c>
      <c r="K52" s="34">
        <f t="shared" si="14"/>
        <v>7</v>
      </c>
      <c r="L52" s="34">
        <f t="shared" si="14"/>
        <v>33</v>
      </c>
      <c r="M52" s="34">
        <f t="shared" si="14"/>
        <v>8</v>
      </c>
      <c r="N52" s="34">
        <f t="shared" si="14"/>
        <v>15</v>
      </c>
      <c r="O52" s="34">
        <f t="shared" si="14"/>
        <v>4</v>
      </c>
      <c r="P52" s="34">
        <f t="shared" si="14"/>
        <v>3</v>
      </c>
      <c r="Q52" s="34">
        <f t="shared" si="14"/>
        <v>10</v>
      </c>
      <c r="R52" s="34">
        <f t="shared" si="14"/>
        <v>75</v>
      </c>
      <c r="S52" s="34">
        <f t="shared" si="14"/>
        <v>55</v>
      </c>
      <c r="T52" s="34">
        <f t="shared" si="14"/>
        <v>21</v>
      </c>
      <c r="U52" s="34">
        <f t="shared" si="14"/>
        <v>5</v>
      </c>
      <c r="V52" s="34">
        <f t="shared" si="14"/>
        <v>17</v>
      </c>
      <c r="W52" s="34">
        <f t="shared" si="14"/>
        <v>13</v>
      </c>
      <c r="X52" s="34">
        <f t="shared" si="14"/>
        <v>7</v>
      </c>
      <c r="Y52" s="34">
        <f t="shared" si="14"/>
        <v>13</v>
      </c>
      <c r="Z52" s="34">
        <f t="shared" si="14"/>
        <v>12</v>
      </c>
      <c r="AA52" s="34">
        <f t="shared" si="14"/>
        <v>12</v>
      </c>
      <c r="AB52" s="34">
        <f t="shared" si="14"/>
        <v>19</v>
      </c>
      <c r="AC52" s="34">
        <f t="shared" si="14"/>
        <v>20</v>
      </c>
      <c r="AD52" s="34">
        <f t="shared" si="14"/>
        <v>20</v>
      </c>
      <c r="AE52" s="34">
        <f t="shared" si="14"/>
        <v>8</v>
      </c>
      <c r="AF52" s="34">
        <f t="shared" si="14"/>
        <v>5</v>
      </c>
      <c r="AG52" s="34">
        <f t="shared" si="14"/>
        <v>23</v>
      </c>
      <c r="AH52" s="34">
        <f t="shared" si="14"/>
        <v>22</v>
      </c>
      <c r="AI52" s="34">
        <f t="shared" si="14"/>
        <v>5</v>
      </c>
      <c r="AJ52" s="34">
        <f t="shared" si="14"/>
        <v>22</v>
      </c>
      <c r="AK52" s="34">
        <f t="shared" si="14"/>
        <v>9</v>
      </c>
      <c r="AL52" s="34">
        <f t="shared" si="14"/>
        <v>6</v>
      </c>
      <c r="AM52" s="34">
        <f t="shared" si="14"/>
        <v>9</v>
      </c>
      <c r="AN52" s="34">
        <f t="shared" si="14"/>
        <v>9</v>
      </c>
      <c r="AO52" s="34">
        <f t="shared" si="14"/>
        <v>13</v>
      </c>
      <c r="AP52" s="34">
        <f t="shared" si="14"/>
        <v>18</v>
      </c>
      <c r="AQ52" s="34">
        <f t="shared" si="14"/>
        <v>8</v>
      </c>
      <c r="AR52" s="34">
        <f t="shared" si="14"/>
        <v>8</v>
      </c>
      <c r="AS52" s="34">
        <f t="shared" si="14"/>
        <v>11</v>
      </c>
      <c r="AT52" s="34">
        <f t="shared" si="14"/>
        <v>21</v>
      </c>
      <c r="AU52" s="34">
        <f t="shared" si="14"/>
        <v>26</v>
      </c>
      <c r="AV52" s="34">
        <f t="shared" si="14"/>
        <v>16</v>
      </c>
      <c r="AW52" s="34">
        <f t="shared" si="14"/>
        <v>16</v>
      </c>
      <c r="AX52" s="34">
        <f t="shared" si="14"/>
        <v>17</v>
      </c>
      <c r="AY52" s="34">
        <f t="shared" si="14"/>
        <v>20</v>
      </c>
      <c r="AZ52" s="34">
        <f t="shared" si="14"/>
        <v>4</v>
      </c>
      <c r="BA52" s="13">
        <f t="shared" si="13"/>
        <v>754</v>
      </c>
    </row>
    <row r="53" spans="1:53" ht="12.75" customHeight="1" x14ac:dyDescent="0.3">
      <c r="A53" s="35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13">
        <f t="shared" si="13"/>
        <v>0</v>
      </c>
    </row>
    <row r="54" spans="1:53" ht="12.75" customHeight="1" x14ac:dyDescent="0.3">
      <c r="A54" s="19" t="s">
        <v>37</v>
      </c>
      <c r="B54" s="26" t="s">
        <v>19</v>
      </c>
      <c r="C54" s="50" t="s">
        <v>47</v>
      </c>
      <c r="D54" s="49"/>
      <c r="E54" s="15">
        <v>1</v>
      </c>
      <c r="F54" s="15">
        <v>8</v>
      </c>
      <c r="G54" s="15">
        <v>2</v>
      </c>
      <c r="H54" s="15">
        <v>1</v>
      </c>
      <c r="I54" s="15">
        <v>7</v>
      </c>
      <c r="J54" s="15">
        <v>2</v>
      </c>
      <c r="K54" s="15">
        <v>5</v>
      </c>
      <c r="L54" s="15">
        <v>7</v>
      </c>
      <c r="M54" s="15">
        <v>2</v>
      </c>
      <c r="N54" s="15">
        <v>4</v>
      </c>
      <c r="O54" s="15">
        <v>4</v>
      </c>
      <c r="P54" s="15">
        <v>3</v>
      </c>
      <c r="Q54" s="15">
        <v>3</v>
      </c>
      <c r="R54" s="15">
        <v>7</v>
      </c>
      <c r="S54" s="15">
        <v>10</v>
      </c>
      <c r="T54" s="15">
        <v>1</v>
      </c>
      <c r="U54" s="15">
        <v>1</v>
      </c>
      <c r="V54" s="15">
        <v>2</v>
      </c>
      <c r="W54" s="15">
        <v>3</v>
      </c>
      <c r="X54" s="15">
        <v>3</v>
      </c>
      <c r="Y54" s="15">
        <v>2</v>
      </c>
      <c r="Z54" s="15">
        <v>2</v>
      </c>
      <c r="AA54" s="15">
        <v>5</v>
      </c>
      <c r="AB54" s="15">
        <v>3</v>
      </c>
      <c r="AC54" s="15">
        <v>7</v>
      </c>
      <c r="AD54" s="15">
        <v>12</v>
      </c>
      <c r="AE54" s="15">
        <v>6</v>
      </c>
      <c r="AF54" s="15">
        <v>3</v>
      </c>
      <c r="AG54" s="15">
        <v>5</v>
      </c>
      <c r="AH54" s="15">
        <v>12</v>
      </c>
      <c r="AI54" s="15">
        <v>7</v>
      </c>
      <c r="AJ54" s="15">
        <v>4</v>
      </c>
      <c r="AK54" s="15">
        <v>5</v>
      </c>
      <c r="AL54" s="15">
        <v>1</v>
      </c>
      <c r="AM54" s="15">
        <v>8</v>
      </c>
      <c r="AN54" s="15">
        <v>7</v>
      </c>
      <c r="AO54" s="15">
        <v>6</v>
      </c>
      <c r="AP54" s="15">
        <v>7</v>
      </c>
      <c r="AQ54" s="15">
        <v>3</v>
      </c>
      <c r="AR54" s="15">
        <v>4</v>
      </c>
      <c r="AS54" s="15">
        <v>7</v>
      </c>
      <c r="AT54" s="15">
        <v>23</v>
      </c>
      <c r="AU54" s="15">
        <v>8</v>
      </c>
      <c r="AV54" s="15">
        <v>6</v>
      </c>
      <c r="AW54" s="15">
        <v>7</v>
      </c>
      <c r="AX54" s="15">
        <v>7</v>
      </c>
      <c r="AY54" s="15">
        <v>7</v>
      </c>
      <c r="AZ54" s="15">
        <v>4</v>
      </c>
      <c r="BA54" s="13">
        <f t="shared" si="13"/>
        <v>254</v>
      </c>
    </row>
    <row r="55" spans="1:53" ht="15" customHeight="1" x14ac:dyDescent="0.3">
      <c r="A55" s="19" t="s">
        <v>39</v>
      </c>
      <c r="B55" s="27">
        <v>1</v>
      </c>
      <c r="C55" s="28" t="s">
        <v>48</v>
      </c>
      <c r="D55" s="29"/>
      <c r="E55" s="15">
        <v>5</v>
      </c>
      <c r="F55" s="15">
        <v>5</v>
      </c>
      <c r="G55" s="15">
        <v>4</v>
      </c>
      <c r="H55" s="15">
        <v>1</v>
      </c>
      <c r="I55" s="15">
        <v>2</v>
      </c>
      <c r="J55" s="15">
        <v>1</v>
      </c>
      <c r="K55" s="15">
        <v>3</v>
      </c>
      <c r="L55" s="15">
        <v>1</v>
      </c>
      <c r="M55" s="15">
        <v>1</v>
      </c>
      <c r="N55" s="15">
        <v>3</v>
      </c>
      <c r="O55" s="15">
        <v>1</v>
      </c>
      <c r="P55" s="15">
        <v>5</v>
      </c>
      <c r="Q55" s="15">
        <v>1</v>
      </c>
      <c r="R55" s="15">
        <v>3</v>
      </c>
      <c r="S55" s="15">
        <v>2</v>
      </c>
      <c r="T55" s="15">
        <v>0</v>
      </c>
      <c r="U55" s="15">
        <v>0</v>
      </c>
      <c r="V55" s="15">
        <v>6</v>
      </c>
      <c r="W55" s="15">
        <v>6</v>
      </c>
      <c r="X55" s="15">
        <v>1</v>
      </c>
      <c r="Y55" s="15">
        <v>0</v>
      </c>
      <c r="Z55" s="15">
        <v>1</v>
      </c>
      <c r="AA55" s="15">
        <v>1</v>
      </c>
      <c r="AB55" s="15">
        <v>1</v>
      </c>
      <c r="AC55" s="15">
        <v>3</v>
      </c>
      <c r="AD55" s="15">
        <v>1</v>
      </c>
      <c r="AE55" s="15">
        <v>7</v>
      </c>
      <c r="AF55" s="15">
        <v>5</v>
      </c>
      <c r="AG55" s="15">
        <v>41</v>
      </c>
      <c r="AH55" s="15">
        <v>38</v>
      </c>
      <c r="AI55" s="15">
        <v>4</v>
      </c>
      <c r="AJ55" s="15">
        <v>2</v>
      </c>
      <c r="AK55" s="15">
        <v>2</v>
      </c>
      <c r="AL55" s="15">
        <v>6</v>
      </c>
      <c r="AM55" s="15">
        <v>16</v>
      </c>
      <c r="AN55" s="15">
        <v>1</v>
      </c>
      <c r="AO55" s="15">
        <v>2</v>
      </c>
      <c r="AP55" s="15">
        <v>4</v>
      </c>
      <c r="AQ55" s="15">
        <v>1</v>
      </c>
      <c r="AR55" s="15">
        <v>3</v>
      </c>
      <c r="AS55" s="15">
        <v>6</v>
      </c>
      <c r="AT55" s="15">
        <v>18</v>
      </c>
      <c r="AU55" s="15">
        <v>3</v>
      </c>
      <c r="AV55" s="15">
        <v>12</v>
      </c>
      <c r="AW55" s="15">
        <v>12</v>
      </c>
      <c r="AX55" s="15">
        <v>3</v>
      </c>
      <c r="AY55" s="15">
        <v>10</v>
      </c>
      <c r="AZ55" s="15">
        <v>6</v>
      </c>
      <c r="BA55" s="13">
        <f t="shared" si="13"/>
        <v>260</v>
      </c>
    </row>
    <row r="56" spans="1:53" ht="12.75" customHeight="1" x14ac:dyDescent="0.3">
      <c r="A56" s="14"/>
      <c r="B56" s="27">
        <v>2</v>
      </c>
      <c r="C56" s="28" t="s">
        <v>49</v>
      </c>
      <c r="D56" s="29"/>
      <c r="E56" s="15">
        <v>0</v>
      </c>
      <c r="F56" s="15">
        <v>0</v>
      </c>
      <c r="G56" s="15">
        <v>0</v>
      </c>
      <c r="H56" s="15">
        <v>0</v>
      </c>
      <c r="I56" s="15">
        <v>1</v>
      </c>
      <c r="J56" s="15">
        <v>0</v>
      </c>
      <c r="K56" s="15">
        <v>1</v>
      </c>
      <c r="L56" s="15">
        <v>4</v>
      </c>
      <c r="M56" s="15">
        <v>0</v>
      </c>
      <c r="N56" s="15">
        <v>1</v>
      </c>
      <c r="O56" s="15">
        <v>1</v>
      </c>
      <c r="P56" s="15">
        <v>2</v>
      </c>
      <c r="Q56" s="15">
        <v>0</v>
      </c>
      <c r="R56" s="15">
        <v>5</v>
      </c>
      <c r="S56" s="15">
        <v>0</v>
      </c>
      <c r="T56" s="15">
        <v>1</v>
      </c>
      <c r="U56" s="15">
        <v>0</v>
      </c>
      <c r="V56" s="15">
        <v>1</v>
      </c>
      <c r="W56" s="15">
        <v>2</v>
      </c>
      <c r="X56" s="15">
        <v>1</v>
      </c>
      <c r="Y56" s="15">
        <v>2</v>
      </c>
      <c r="Z56" s="15">
        <v>1</v>
      </c>
      <c r="AA56" s="15">
        <v>0</v>
      </c>
      <c r="AB56" s="15">
        <v>0</v>
      </c>
      <c r="AC56" s="15">
        <v>3</v>
      </c>
      <c r="AD56" s="15">
        <v>2</v>
      </c>
      <c r="AE56" s="15">
        <v>0</v>
      </c>
      <c r="AF56" s="15">
        <v>0</v>
      </c>
      <c r="AG56" s="15">
        <v>2</v>
      </c>
      <c r="AH56" s="15">
        <v>3</v>
      </c>
      <c r="AI56" s="15">
        <v>0</v>
      </c>
      <c r="AJ56" s="15">
        <v>0</v>
      </c>
      <c r="AK56" s="15">
        <v>0</v>
      </c>
      <c r="AL56" s="15">
        <v>0</v>
      </c>
      <c r="AM56" s="15">
        <v>1</v>
      </c>
      <c r="AN56" s="15">
        <v>0</v>
      </c>
      <c r="AO56" s="15">
        <v>4</v>
      </c>
      <c r="AP56" s="15">
        <v>1</v>
      </c>
      <c r="AQ56" s="15">
        <v>0</v>
      </c>
      <c r="AR56" s="15">
        <v>1</v>
      </c>
      <c r="AS56" s="15">
        <v>0</v>
      </c>
      <c r="AT56" s="15">
        <v>3</v>
      </c>
      <c r="AU56" s="15">
        <v>0</v>
      </c>
      <c r="AV56" s="15">
        <v>0</v>
      </c>
      <c r="AW56" s="15">
        <v>3</v>
      </c>
      <c r="AX56" s="15">
        <v>0</v>
      </c>
      <c r="AY56" s="15">
        <v>2</v>
      </c>
      <c r="AZ56" s="15">
        <v>2</v>
      </c>
      <c r="BA56" s="13">
        <f t="shared" si="13"/>
        <v>50</v>
      </c>
    </row>
    <row r="57" spans="1:53" ht="12.75" customHeight="1" x14ac:dyDescent="0.3">
      <c r="A57" s="14"/>
      <c r="B57" s="27">
        <v>3</v>
      </c>
      <c r="C57" s="28" t="s">
        <v>50</v>
      </c>
      <c r="D57" s="29"/>
      <c r="E57" s="15">
        <v>2</v>
      </c>
      <c r="F57" s="15">
        <v>1</v>
      </c>
      <c r="G57" s="15">
        <v>0</v>
      </c>
      <c r="H57" s="15">
        <v>0</v>
      </c>
      <c r="I57" s="15">
        <v>0</v>
      </c>
      <c r="J57" s="15">
        <v>0</v>
      </c>
      <c r="K57" s="15">
        <v>1</v>
      </c>
      <c r="L57" s="15">
        <v>0</v>
      </c>
      <c r="M57" s="15">
        <v>0</v>
      </c>
      <c r="N57" s="15">
        <v>0</v>
      </c>
      <c r="O57" s="15">
        <v>1</v>
      </c>
      <c r="P57" s="15">
        <v>0</v>
      </c>
      <c r="Q57" s="15">
        <v>1</v>
      </c>
      <c r="R57" s="15">
        <v>0</v>
      </c>
      <c r="S57" s="15">
        <v>0</v>
      </c>
      <c r="T57" s="15">
        <v>0</v>
      </c>
      <c r="U57" s="15">
        <v>0</v>
      </c>
      <c r="V57" s="15">
        <v>1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1</v>
      </c>
      <c r="AE57" s="15">
        <v>1</v>
      </c>
      <c r="AF57" s="15">
        <v>0</v>
      </c>
      <c r="AG57" s="15">
        <v>0</v>
      </c>
      <c r="AH57" s="15">
        <v>1</v>
      </c>
      <c r="AI57" s="15">
        <v>0</v>
      </c>
      <c r="AJ57" s="15">
        <v>1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1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3">
        <f t="shared" si="13"/>
        <v>12</v>
      </c>
    </row>
    <row r="58" spans="1:53" ht="12.75" customHeight="1" x14ac:dyDescent="0.3">
      <c r="A58" s="14"/>
      <c r="B58" s="27">
        <v>4</v>
      </c>
      <c r="C58" s="28" t="s">
        <v>51</v>
      </c>
      <c r="D58" s="29"/>
      <c r="E58" s="15">
        <v>1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1</v>
      </c>
      <c r="M58" s="15">
        <v>2</v>
      </c>
      <c r="N58" s="15">
        <v>1</v>
      </c>
      <c r="O58" s="15">
        <v>0</v>
      </c>
      <c r="P58" s="15">
        <v>0</v>
      </c>
      <c r="Q58" s="15">
        <v>0</v>
      </c>
      <c r="R58" s="15">
        <v>0</v>
      </c>
      <c r="S58" s="15">
        <v>2</v>
      </c>
      <c r="T58" s="15">
        <v>0</v>
      </c>
      <c r="U58" s="15">
        <v>0</v>
      </c>
      <c r="V58" s="15">
        <v>0</v>
      </c>
      <c r="W58" s="15">
        <v>0</v>
      </c>
      <c r="X58" s="15">
        <v>1</v>
      </c>
      <c r="Y58" s="15">
        <v>0</v>
      </c>
      <c r="Z58" s="15">
        <v>0</v>
      </c>
      <c r="AA58" s="15">
        <v>0</v>
      </c>
      <c r="AB58" s="15">
        <v>1</v>
      </c>
      <c r="AC58" s="15">
        <v>0</v>
      </c>
      <c r="AD58" s="15">
        <v>1</v>
      </c>
      <c r="AE58" s="15">
        <v>0</v>
      </c>
      <c r="AF58" s="15">
        <v>0</v>
      </c>
      <c r="AG58" s="15">
        <v>0</v>
      </c>
      <c r="AH58" s="15">
        <v>0</v>
      </c>
      <c r="AI58" s="15">
        <v>1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2</v>
      </c>
      <c r="AU58" s="15">
        <v>1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3">
        <f t="shared" si="13"/>
        <v>14</v>
      </c>
    </row>
    <row r="59" spans="1:53" ht="12.75" customHeight="1" x14ac:dyDescent="0.3">
      <c r="A59" s="14"/>
      <c r="B59" s="27">
        <v>5</v>
      </c>
      <c r="C59" s="28" t="s">
        <v>52</v>
      </c>
      <c r="D59" s="29"/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1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1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1</v>
      </c>
      <c r="Y59" s="15">
        <v>1</v>
      </c>
      <c r="Z59" s="15">
        <v>0</v>
      </c>
      <c r="AA59" s="15">
        <v>0</v>
      </c>
      <c r="AB59" s="15">
        <v>0</v>
      </c>
      <c r="AC59" s="15">
        <v>0</v>
      </c>
      <c r="AD59" s="15">
        <v>1</v>
      </c>
      <c r="AE59" s="15">
        <v>0</v>
      </c>
      <c r="AF59" s="15">
        <v>0</v>
      </c>
      <c r="AG59" s="15">
        <v>0</v>
      </c>
      <c r="AH59" s="15">
        <v>0</v>
      </c>
      <c r="AI59" s="15">
        <v>2</v>
      </c>
      <c r="AJ59" s="15">
        <v>0</v>
      </c>
      <c r="AK59" s="15">
        <v>2</v>
      </c>
      <c r="AL59" s="15">
        <v>0</v>
      </c>
      <c r="AM59" s="15">
        <v>0</v>
      </c>
      <c r="AN59" s="15">
        <v>0</v>
      </c>
      <c r="AO59" s="15">
        <v>0</v>
      </c>
      <c r="AP59" s="15">
        <v>1</v>
      </c>
      <c r="AQ59" s="15">
        <v>0</v>
      </c>
      <c r="AR59" s="15">
        <v>0</v>
      </c>
      <c r="AS59" s="15">
        <v>2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3">
        <f t="shared" si="13"/>
        <v>12</v>
      </c>
    </row>
    <row r="60" spans="1:53" ht="12.75" customHeight="1" x14ac:dyDescent="0.3">
      <c r="A60" s="14"/>
      <c r="B60" s="27">
        <v>6</v>
      </c>
      <c r="C60" s="28" t="s">
        <v>53</v>
      </c>
      <c r="D60" s="29"/>
      <c r="E60" s="15">
        <v>0</v>
      </c>
      <c r="F60" s="15">
        <v>0</v>
      </c>
      <c r="G60" s="15">
        <v>2</v>
      </c>
      <c r="H60" s="15">
        <v>0</v>
      </c>
      <c r="I60" s="15">
        <v>0</v>
      </c>
      <c r="J60" s="15">
        <v>0</v>
      </c>
      <c r="K60" s="15">
        <v>2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1</v>
      </c>
      <c r="S60" s="15">
        <v>0</v>
      </c>
      <c r="T60" s="15">
        <v>0</v>
      </c>
      <c r="U60" s="15">
        <v>2</v>
      </c>
      <c r="V60" s="15">
        <v>1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2</v>
      </c>
      <c r="AE60" s="15">
        <v>1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1</v>
      </c>
      <c r="AM60" s="15">
        <v>0</v>
      </c>
      <c r="AN60" s="15">
        <v>0</v>
      </c>
      <c r="AO60" s="15">
        <v>0</v>
      </c>
      <c r="AP60" s="15">
        <v>0</v>
      </c>
      <c r="AQ60" s="15">
        <v>1</v>
      </c>
      <c r="AR60" s="15">
        <v>0</v>
      </c>
      <c r="AS60" s="15">
        <v>0</v>
      </c>
      <c r="AT60" s="15">
        <v>2</v>
      </c>
      <c r="AU60" s="15">
        <v>0</v>
      </c>
      <c r="AV60" s="15">
        <v>1</v>
      </c>
      <c r="AW60" s="15">
        <v>0</v>
      </c>
      <c r="AX60" s="15">
        <v>0</v>
      </c>
      <c r="AY60" s="15">
        <v>0</v>
      </c>
      <c r="AZ60" s="15">
        <v>0</v>
      </c>
      <c r="BA60" s="13">
        <f t="shared" si="13"/>
        <v>16</v>
      </c>
    </row>
    <row r="61" spans="1:53" ht="12.75" customHeight="1" x14ac:dyDescent="0.3">
      <c r="A61" s="15" t="s">
        <v>15</v>
      </c>
      <c r="B61" s="47" t="s">
        <v>46</v>
      </c>
      <c r="C61" s="48"/>
      <c r="D61" s="49"/>
      <c r="E61" s="34">
        <f t="shared" ref="E61:AZ61" si="15">SUM(E54:E60)</f>
        <v>9</v>
      </c>
      <c r="F61" s="34">
        <f t="shared" si="15"/>
        <v>14</v>
      </c>
      <c r="G61" s="34">
        <f t="shared" si="15"/>
        <v>8</v>
      </c>
      <c r="H61" s="34">
        <f t="shared" si="15"/>
        <v>2</v>
      </c>
      <c r="I61" s="34">
        <f t="shared" si="15"/>
        <v>10</v>
      </c>
      <c r="J61" s="34">
        <f t="shared" si="15"/>
        <v>3</v>
      </c>
      <c r="K61" s="34">
        <f t="shared" si="15"/>
        <v>13</v>
      </c>
      <c r="L61" s="34">
        <f t="shared" si="15"/>
        <v>13</v>
      </c>
      <c r="M61" s="34">
        <f t="shared" si="15"/>
        <v>5</v>
      </c>
      <c r="N61" s="34">
        <f t="shared" si="15"/>
        <v>9</v>
      </c>
      <c r="O61" s="34">
        <f t="shared" si="15"/>
        <v>7</v>
      </c>
      <c r="P61" s="34">
        <f t="shared" si="15"/>
        <v>10</v>
      </c>
      <c r="Q61" s="34">
        <f t="shared" si="15"/>
        <v>5</v>
      </c>
      <c r="R61" s="34">
        <f t="shared" si="15"/>
        <v>17</v>
      </c>
      <c r="S61" s="34">
        <f t="shared" si="15"/>
        <v>14</v>
      </c>
      <c r="T61" s="34">
        <f t="shared" si="15"/>
        <v>2</v>
      </c>
      <c r="U61" s="34">
        <f t="shared" si="15"/>
        <v>3</v>
      </c>
      <c r="V61" s="34">
        <f t="shared" si="15"/>
        <v>11</v>
      </c>
      <c r="W61" s="34">
        <f t="shared" si="15"/>
        <v>11</v>
      </c>
      <c r="X61" s="34">
        <f t="shared" si="15"/>
        <v>7</v>
      </c>
      <c r="Y61" s="34">
        <f t="shared" si="15"/>
        <v>5</v>
      </c>
      <c r="Z61" s="34">
        <f t="shared" si="15"/>
        <v>4</v>
      </c>
      <c r="AA61" s="34">
        <f t="shared" si="15"/>
        <v>6</v>
      </c>
      <c r="AB61" s="34">
        <f t="shared" si="15"/>
        <v>5</v>
      </c>
      <c r="AC61" s="34">
        <f t="shared" si="15"/>
        <v>13</v>
      </c>
      <c r="AD61" s="34">
        <f t="shared" si="15"/>
        <v>20</v>
      </c>
      <c r="AE61" s="34">
        <f t="shared" si="15"/>
        <v>15</v>
      </c>
      <c r="AF61" s="34">
        <f t="shared" si="15"/>
        <v>8</v>
      </c>
      <c r="AG61" s="34">
        <f t="shared" si="15"/>
        <v>48</v>
      </c>
      <c r="AH61" s="34">
        <f t="shared" si="15"/>
        <v>54</v>
      </c>
      <c r="AI61" s="34">
        <f t="shared" si="15"/>
        <v>14</v>
      </c>
      <c r="AJ61" s="34">
        <f t="shared" si="15"/>
        <v>7</v>
      </c>
      <c r="AK61" s="34">
        <f t="shared" si="15"/>
        <v>9</v>
      </c>
      <c r="AL61" s="34">
        <f t="shared" si="15"/>
        <v>8</v>
      </c>
      <c r="AM61" s="34">
        <f t="shared" si="15"/>
        <v>25</v>
      </c>
      <c r="AN61" s="34">
        <f t="shared" si="15"/>
        <v>8</v>
      </c>
      <c r="AO61" s="34">
        <f t="shared" si="15"/>
        <v>12</v>
      </c>
      <c r="AP61" s="34">
        <f t="shared" si="15"/>
        <v>13</v>
      </c>
      <c r="AQ61" s="34">
        <f t="shared" si="15"/>
        <v>5</v>
      </c>
      <c r="AR61" s="34">
        <f t="shared" si="15"/>
        <v>9</v>
      </c>
      <c r="AS61" s="34">
        <f t="shared" si="15"/>
        <v>15</v>
      </c>
      <c r="AT61" s="34">
        <f t="shared" si="15"/>
        <v>48</v>
      </c>
      <c r="AU61" s="34">
        <f t="shared" si="15"/>
        <v>12</v>
      </c>
      <c r="AV61" s="34">
        <f t="shared" si="15"/>
        <v>19</v>
      </c>
      <c r="AW61" s="34">
        <f t="shared" si="15"/>
        <v>22</v>
      </c>
      <c r="AX61" s="34">
        <f t="shared" si="15"/>
        <v>10</v>
      </c>
      <c r="AY61" s="34">
        <f t="shared" si="15"/>
        <v>19</v>
      </c>
      <c r="AZ61" s="34">
        <f t="shared" si="15"/>
        <v>12</v>
      </c>
      <c r="BA61" s="13">
        <f t="shared" si="13"/>
        <v>618</v>
      </c>
    </row>
    <row r="62" spans="1:53" ht="12.75" customHeight="1" x14ac:dyDescent="0.3">
      <c r="A62" s="35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13">
        <f t="shared" si="13"/>
        <v>0</v>
      </c>
    </row>
    <row r="63" spans="1:53" ht="12.75" customHeight="1" x14ac:dyDescent="0.3">
      <c r="A63" s="19" t="s">
        <v>37</v>
      </c>
      <c r="B63" s="26" t="s">
        <v>21</v>
      </c>
      <c r="C63" s="50" t="s">
        <v>54</v>
      </c>
      <c r="D63" s="49"/>
      <c r="E63" s="15">
        <v>7</v>
      </c>
      <c r="F63" s="15">
        <v>21</v>
      </c>
      <c r="G63" s="15">
        <v>12</v>
      </c>
      <c r="H63" s="15">
        <v>21</v>
      </c>
      <c r="I63" s="15">
        <v>12</v>
      </c>
      <c r="J63" s="15">
        <v>11</v>
      </c>
      <c r="K63" s="15">
        <v>8</v>
      </c>
      <c r="L63" s="15">
        <v>13</v>
      </c>
      <c r="M63" s="15">
        <v>12</v>
      </c>
      <c r="N63" s="15">
        <v>11</v>
      </c>
      <c r="O63" s="15">
        <v>14</v>
      </c>
      <c r="P63" s="15">
        <v>4</v>
      </c>
      <c r="Q63" s="15">
        <v>11</v>
      </c>
      <c r="R63" s="15">
        <v>10</v>
      </c>
      <c r="S63" s="15">
        <v>22</v>
      </c>
      <c r="T63" s="15">
        <v>8</v>
      </c>
      <c r="U63" s="15">
        <v>9</v>
      </c>
      <c r="V63" s="15">
        <v>15</v>
      </c>
      <c r="W63" s="15">
        <v>10</v>
      </c>
      <c r="X63" s="15">
        <v>3</v>
      </c>
      <c r="Y63" s="15">
        <v>8</v>
      </c>
      <c r="Z63" s="15">
        <v>13</v>
      </c>
      <c r="AA63" s="15">
        <v>13</v>
      </c>
      <c r="AB63" s="15">
        <v>8</v>
      </c>
      <c r="AC63" s="15">
        <v>19</v>
      </c>
      <c r="AD63" s="15">
        <v>17</v>
      </c>
      <c r="AE63" s="15">
        <v>8</v>
      </c>
      <c r="AF63" s="15">
        <v>3</v>
      </c>
      <c r="AG63" s="15">
        <v>7</v>
      </c>
      <c r="AH63" s="15">
        <v>9</v>
      </c>
      <c r="AI63" s="15">
        <v>5</v>
      </c>
      <c r="AJ63" s="15">
        <v>16</v>
      </c>
      <c r="AK63" s="15">
        <v>24</v>
      </c>
      <c r="AL63" s="15">
        <v>17</v>
      </c>
      <c r="AM63" s="15">
        <v>7</v>
      </c>
      <c r="AN63" s="15">
        <v>21</v>
      </c>
      <c r="AO63" s="15">
        <v>7</v>
      </c>
      <c r="AP63" s="15">
        <v>15</v>
      </c>
      <c r="AQ63" s="15">
        <v>12</v>
      </c>
      <c r="AR63" s="15">
        <v>11</v>
      </c>
      <c r="AS63" s="15">
        <v>7</v>
      </c>
      <c r="AT63" s="15">
        <v>8</v>
      </c>
      <c r="AU63" s="15">
        <v>16</v>
      </c>
      <c r="AV63" s="15">
        <v>27</v>
      </c>
      <c r="AW63" s="15">
        <v>10</v>
      </c>
      <c r="AX63" s="15">
        <v>8</v>
      </c>
      <c r="AY63" s="15">
        <v>9</v>
      </c>
      <c r="AZ63" s="15">
        <v>7</v>
      </c>
      <c r="BA63" s="13">
        <f t="shared" si="13"/>
        <v>566</v>
      </c>
    </row>
    <row r="64" spans="1:53" ht="12.75" customHeight="1" x14ac:dyDescent="0.3">
      <c r="A64" s="19" t="s">
        <v>39</v>
      </c>
      <c r="B64" s="27">
        <v>1</v>
      </c>
      <c r="C64" s="28" t="s">
        <v>55</v>
      </c>
      <c r="D64" s="29"/>
      <c r="E64" s="15">
        <v>79</v>
      </c>
      <c r="F64" s="15">
        <v>82</v>
      </c>
      <c r="G64" s="15">
        <v>53</v>
      </c>
      <c r="H64" s="15">
        <v>121</v>
      </c>
      <c r="I64" s="15">
        <v>80</v>
      </c>
      <c r="J64" s="15">
        <v>137</v>
      </c>
      <c r="K64" s="15">
        <v>42</v>
      </c>
      <c r="L64" s="15">
        <v>34</v>
      </c>
      <c r="M64" s="15">
        <v>77</v>
      </c>
      <c r="N64" s="15">
        <v>65</v>
      </c>
      <c r="O64" s="15">
        <v>73</v>
      </c>
      <c r="P64" s="15">
        <v>38</v>
      </c>
      <c r="Q64" s="15">
        <v>59</v>
      </c>
      <c r="R64" s="15">
        <v>49</v>
      </c>
      <c r="S64" s="15">
        <v>23</v>
      </c>
      <c r="T64" s="15">
        <v>31</v>
      </c>
      <c r="U64" s="15">
        <v>19</v>
      </c>
      <c r="V64" s="15">
        <v>36</v>
      </c>
      <c r="W64" s="15">
        <v>56</v>
      </c>
      <c r="X64" s="15">
        <v>90</v>
      </c>
      <c r="Y64" s="15">
        <v>62</v>
      </c>
      <c r="Z64" s="15">
        <v>42</v>
      </c>
      <c r="AA64" s="15">
        <v>59</v>
      </c>
      <c r="AB64" s="15">
        <v>62</v>
      </c>
      <c r="AC64" s="15">
        <v>45</v>
      </c>
      <c r="AD64" s="15">
        <v>54</v>
      </c>
      <c r="AE64" s="15">
        <v>24</v>
      </c>
      <c r="AF64" s="15">
        <v>18</v>
      </c>
      <c r="AG64" s="15">
        <v>27</v>
      </c>
      <c r="AH64" s="15">
        <v>45</v>
      </c>
      <c r="AI64" s="15">
        <v>31</v>
      </c>
      <c r="AJ64" s="15">
        <v>70</v>
      </c>
      <c r="AK64" s="15">
        <v>86</v>
      </c>
      <c r="AL64" s="15">
        <v>54</v>
      </c>
      <c r="AM64" s="15">
        <v>35</v>
      </c>
      <c r="AN64" s="15">
        <v>63</v>
      </c>
      <c r="AO64" s="15">
        <v>30</v>
      </c>
      <c r="AP64" s="15">
        <v>77</v>
      </c>
      <c r="AQ64" s="15">
        <v>27</v>
      </c>
      <c r="AR64" s="15">
        <v>24</v>
      </c>
      <c r="AS64" s="15">
        <v>45</v>
      </c>
      <c r="AT64" s="15">
        <v>69</v>
      </c>
      <c r="AU64" s="15">
        <v>36</v>
      </c>
      <c r="AV64" s="15">
        <v>68</v>
      </c>
      <c r="AW64" s="15">
        <v>107</v>
      </c>
      <c r="AX64" s="15">
        <v>37</v>
      </c>
      <c r="AY64" s="15">
        <v>25</v>
      </c>
      <c r="AZ64" s="15">
        <v>39</v>
      </c>
      <c r="BA64" s="13">
        <f t="shared" si="13"/>
        <v>2605</v>
      </c>
    </row>
    <row r="65" spans="1:53" ht="12.75" customHeight="1" x14ac:dyDescent="0.3">
      <c r="A65" s="14"/>
      <c r="B65" s="27">
        <v>2</v>
      </c>
      <c r="C65" s="28" t="s">
        <v>56</v>
      </c>
      <c r="D65" s="29"/>
      <c r="E65" s="15">
        <v>7</v>
      </c>
      <c r="F65" s="15">
        <v>1</v>
      </c>
      <c r="G65" s="15">
        <v>3</v>
      </c>
      <c r="H65" s="15">
        <v>0</v>
      </c>
      <c r="I65" s="15">
        <v>5</v>
      </c>
      <c r="J65" s="15">
        <v>4</v>
      </c>
      <c r="K65" s="15">
        <v>2</v>
      </c>
      <c r="L65" s="15">
        <v>2</v>
      </c>
      <c r="M65" s="15">
        <v>2</v>
      </c>
      <c r="N65" s="15">
        <v>3</v>
      </c>
      <c r="O65" s="15">
        <v>2</v>
      </c>
      <c r="P65" s="15">
        <v>2</v>
      </c>
      <c r="Q65" s="15">
        <v>1</v>
      </c>
      <c r="R65" s="15">
        <v>5</v>
      </c>
      <c r="S65" s="15">
        <v>4</v>
      </c>
      <c r="T65" s="15">
        <v>1</v>
      </c>
      <c r="U65" s="15">
        <v>1</v>
      </c>
      <c r="V65" s="15">
        <v>2</v>
      </c>
      <c r="W65" s="15">
        <v>4</v>
      </c>
      <c r="X65" s="15">
        <v>3</v>
      </c>
      <c r="Y65" s="15">
        <v>8</v>
      </c>
      <c r="Z65" s="15">
        <v>8</v>
      </c>
      <c r="AA65" s="15">
        <v>17</v>
      </c>
      <c r="AB65" s="15">
        <v>2</v>
      </c>
      <c r="AC65" s="15">
        <v>11</v>
      </c>
      <c r="AD65" s="15">
        <v>6</v>
      </c>
      <c r="AE65" s="15">
        <v>1</v>
      </c>
      <c r="AF65" s="15">
        <v>3</v>
      </c>
      <c r="AG65" s="15">
        <v>3</v>
      </c>
      <c r="AH65" s="15">
        <v>2</v>
      </c>
      <c r="AI65" s="15">
        <v>0</v>
      </c>
      <c r="AJ65" s="15">
        <v>3</v>
      </c>
      <c r="AK65" s="15">
        <v>2</v>
      </c>
      <c r="AL65" s="15">
        <v>3</v>
      </c>
      <c r="AM65" s="15">
        <v>2</v>
      </c>
      <c r="AN65" s="15">
        <v>8</v>
      </c>
      <c r="AO65" s="15">
        <v>8</v>
      </c>
      <c r="AP65" s="15">
        <v>1</v>
      </c>
      <c r="AQ65" s="15">
        <v>1</v>
      </c>
      <c r="AR65" s="15">
        <v>1</v>
      </c>
      <c r="AS65" s="15">
        <v>5</v>
      </c>
      <c r="AT65" s="15">
        <v>1</v>
      </c>
      <c r="AU65" s="15">
        <v>1</v>
      </c>
      <c r="AV65" s="15">
        <v>2</v>
      </c>
      <c r="AW65" s="15">
        <v>4</v>
      </c>
      <c r="AX65" s="15">
        <v>1</v>
      </c>
      <c r="AY65" s="15">
        <v>0</v>
      </c>
      <c r="AZ65" s="15">
        <v>0</v>
      </c>
      <c r="BA65" s="13">
        <f t="shared" si="13"/>
        <v>158</v>
      </c>
    </row>
    <row r="66" spans="1:53" ht="12.75" customHeight="1" x14ac:dyDescent="0.3">
      <c r="A66" s="14"/>
      <c r="B66" s="27">
        <v>3</v>
      </c>
      <c r="C66" s="28" t="s">
        <v>57</v>
      </c>
      <c r="D66" s="29"/>
      <c r="E66" s="15">
        <v>0</v>
      </c>
      <c r="F66" s="15">
        <v>1</v>
      </c>
      <c r="G66" s="15">
        <v>6</v>
      </c>
      <c r="H66" s="15">
        <v>3</v>
      </c>
      <c r="I66" s="15">
        <v>0</v>
      </c>
      <c r="J66" s="15">
        <v>9</v>
      </c>
      <c r="K66" s="15">
        <v>1</v>
      </c>
      <c r="L66" s="15">
        <v>4</v>
      </c>
      <c r="M66" s="15">
        <v>4</v>
      </c>
      <c r="N66" s="15">
        <v>2</v>
      </c>
      <c r="O66" s="15">
        <v>0</v>
      </c>
      <c r="P66" s="15">
        <v>0</v>
      </c>
      <c r="Q66" s="15">
        <v>2</v>
      </c>
      <c r="R66" s="15">
        <v>1</v>
      </c>
      <c r="S66" s="15">
        <v>2</v>
      </c>
      <c r="T66" s="15">
        <v>1</v>
      </c>
      <c r="U66" s="15">
        <v>1</v>
      </c>
      <c r="V66" s="15">
        <v>3</v>
      </c>
      <c r="W66" s="15">
        <v>1</v>
      </c>
      <c r="X66" s="15">
        <v>2</v>
      </c>
      <c r="Y66" s="15">
        <v>0</v>
      </c>
      <c r="Z66" s="15">
        <v>1</v>
      </c>
      <c r="AA66" s="15">
        <v>1</v>
      </c>
      <c r="AB66" s="15">
        <v>3</v>
      </c>
      <c r="AC66" s="15">
        <v>6</v>
      </c>
      <c r="AD66" s="15">
        <v>1</v>
      </c>
      <c r="AE66" s="15">
        <v>1</v>
      </c>
      <c r="AF66" s="15">
        <v>0</v>
      </c>
      <c r="AG66" s="15">
        <v>1</v>
      </c>
      <c r="AH66" s="15">
        <v>4</v>
      </c>
      <c r="AI66" s="15">
        <v>0</v>
      </c>
      <c r="AJ66" s="15">
        <v>1</v>
      </c>
      <c r="AK66" s="15">
        <v>1</v>
      </c>
      <c r="AL66" s="15">
        <v>0</v>
      </c>
      <c r="AM66" s="15">
        <v>4</v>
      </c>
      <c r="AN66" s="15">
        <v>0</v>
      </c>
      <c r="AO66" s="15">
        <v>6</v>
      </c>
      <c r="AP66" s="15">
        <v>1</v>
      </c>
      <c r="AQ66" s="15">
        <v>7</v>
      </c>
      <c r="AR66" s="15">
        <v>69</v>
      </c>
      <c r="AS66" s="15">
        <v>3</v>
      </c>
      <c r="AT66" s="15">
        <v>1</v>
      </c>
      <c r="AU66" s="15">
        <v>0</v>
      </c>
      <c r="AV66" s="15">
        <v>0</v>
      </c>
      <c r="AW66" s="15">
        <v>0</v>
      </c>
      <c r="AX66" s="15">
        <v>0</v>
      </c>
      <c r="AY66" s="15">
        <v>1</v>
      </c>
      <c r="AZ66" s="15">
        <v>2</v>
      </c>
      <c r="BA66" s="13">
        <f t="shared" si="13"/>
        <v>157</v>
      </c>
    </row>
    <row r="67" spans="1:53" ht="15" customHeight="1" x14ac:dyDescent="0.3">
      <c r="A67" s="14"/>
      <c r="B67" s="27">
        <v>4</v>
      </c>
      <c r="C67" s="28" t="s">
        <v>58</v>
      </c>
      <c r="D67" s="29"/>
      <c r="E67" s="15">
        <v>6</v>
      </c>
      <c r="F67" s="15">
        <v>12</v>
      </c>
      <c r="G67" s="15">
        <v>12</v>
      </c>
      <c r="H67" s="15">
        <v>3</v>
      </c>
      <c r="I67" s="15">
        <v>13</v>
      </c>
      <c r="J67" s="15">
        <v>1</v>
      </c>
      <c r="K67" s="15">
        <v>7</v>
      </c>
      <c r="L67" s="15">
        <v>2</v>
      </c>
      <c r="M67" s="15">
        <v>3</v>
      </c>
      <c r="N67" s="15">
        <v>1</v>
      </c>
      <c r="O67" s="15">
        <v>1</v>
      </c>
      <c r="P67" s="15">
        <v>0</v>
      </c>
      <c r="Q67" s="15">
        <v>1</v>
      </c>
      <c r="R67" s="15">
        <v>7</v>
      </c>
      <c r="S67" s="15">
        <v>4</v>
      </c>
      <c r="T67" s="15">
        <v>11</v>
      </c>
      <c r="U67" s="15">
        <v>3</v>
      </c>
      <c r="V67" s="15">
        <v>2</v>
      </c>
      <c r="W67" s="15">
        <v>8</v>
      </c>
      <c r="X67" s="15">
        <v>16</v>
      </c>
      <c r="Y67" s="15">
        <v>0</v>
      </c>
      <c r="Z67" s="15">
        <v>1</v>
      </c>
      <c r="AA67" s="15">
        <v>0</v>
      </c>
      <c r="AB67" s="15">
        <v>0</v>
      </c>
      <c r="AC67" s="15">
        <v>1</v>
      </c>
      <c r="AD67" s="15">
        <v>1</v>
      </c>
      <c r="AE67" s="15">
        <v>1</v>
      </c>
      <c r="AF67" s="15">
        <v>0</v>
      </c>
      <c r="AG67" s="15">
        <v>2</v>
      </c>
      <c r="AH67" s="15">
        <v>9</v>
      </c>
      <c r="AI67" s="15">
        <v>0</v>
      </c>
      <c r="AJ67" s="15">
        <v>4</v>
      </c>
      <c r="AK67" s="15">
        <v>5</v>
      </c>
      <c r="AL67" s="15">
        <v>3</v>
      </c>
      <c r="AM67" s="15">
        <v>4</v>
      </c>
      <c r="AN67" s="15">
        <v>4</v>
      </c>
      <c r="AO67" s="15">
        <v>3</v>
      </c>
      <c r="AP67" s="15">
        <v>1</v>
      </c>
      <c r="AQ67" s="15">
        <v>2</v>
      </c>
      <c r="AR67" s="15">
        <v>3</v>
      </c>
      <c r="AS67" s="15">
        <v>5</v>
      </c>
      <c r="AT67" s="15">
        <v>3</v>
      </c>
      <c r="AU67" s="15">
        <v>2</v>
      </c>
      <c r="AV67" s="15">
        <v>4</v>
      </c>
      <c r="AW67" s="15">
        <v>1</v>
      </c>
      <c r="AX67" s="15">
        <v>7</v>
      </c>
      <c r="AY67" s="15">
        <v>2</v>
      </c>
      <c r="AZ67" s="15">
        <v>0</v>
      </c>
      <c r="BA67" s="13">
        <f t="shared" si="13"/>
        <v>181</v>
      </c>
    </row>
    <row r="68" spans="1:53" ht="12.75" customHeight="1" x14ac:dyDescent="0.3">
      <c r="A68" s="14"/>
      <c r="B68" s="27">
        <v>5</v>
      </c>
      <c r="C68" s="28" t="s">
        <v>59</v>
      </c>
      <c r="D68" s="29"/>
      <c r="E68" s="15">
        <v>1</v>
      </c>
      <c r="F68" s="15">
        <v>1</v>
      </c>
      <c r="G68" s="15">
        <v>0</v>
      </c>
      <c r="H68" s="15">
        <v>0</v>
      </c>
      <c r="I68" s="15">
        <v>0</v>
      </c>
      <c r="J68" s="15">
        <v>2</v>
      </c>
      <c r="K68" s="15">
        <v>0</v>
      </c>
      <c r="L68" s="15">
        <v>0</v>
      </c>
      <c r="M68" s="15">
        <v>0</v>
      </c>
      <c r="N68" s="15">
        <v>0</v>
      </c>
      <c r="O68" s="15">
        <v>1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1</v>
      </c>
      <c r="V68" s="15">
        <v>0</v>
      </c>
      <c r="W68" s="15">
        <v>1</v>
      </c>
      <c r="X68" s="15">
        <v>1</v>
      </c>
      <c r="Y68" s="15">
        <v>0</v>
      </c>
      <c r="Z68" s="15">
        <v>0</v>
      </c>
      <c r="AA68" s="15">
        <v>0</v>
      </c>
      <c r="AB68" s="15">
        <v>0</v>
      </c>
      <c r="AC68" s="15">
        <v>1</v>
      </c>
      <c r="AD68" s="15">
        <v>0</v>
      </c>
      <c r="AE68" s="15">
        <v>1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1</v>
      </c>
      <c r="AN68" s="15">
        <v>2</v>
      </c>
      <c r="AO68" s="15">
        <v>0</v>
      </c>
      <c r="AP68" s="15">
        <v>3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3">
        <f t="shared" si="13"/>
        <v>16</v>
      </c>
    </row>
    <row r="69" spans="1:53" ht="12.75" customHeight="1" x14ac:dyDescent="0.3">
      <c r="A69" s="14"/>
      <c r="B69" s="27">
        <v>6</v>
      </c>
      <c r="C69" s="28" t="s">
        <v>60</v>
      </c>
      <c r="D69" s="29"/>
      <c r="E69" s="15">
        <v>0</v>
      </c>
      <c r="F69" s="15">
        <v>0</v>
      </c>
      <c r="G69" s="15">
        <v>1</v>
      </c>
      <c r="H69" s="15">
        <v>0</v>
      </c>
      <c r="I69" s="15">
        <v>0</v>
      </c>
      <c r="J69" s="15">
        <v>0</v>
      </c>
      <c r="K69" s="15">
        <v>2</v>
      </c>
      <c r="L69" s="15">
        <v>6</v>
      </c>
      <c r="M69" s="15">
        <v>3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1</v>
      </c>
      <c r="U69" s="15">
        <v>2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1</v>
      </c>
      <c r="AB69" s="15">
        <v>0</v>
      </c>
      <c r="AC69" s="15">
        <v>1</v>
      </c>
      <c r="AD69" s="15">
        <v>2</v>
      </c>
      <c r="AE69" s="15">
        <v>3</v>
      </c>
      <c r="AF69" s="15">
        <v>2</v>
      </c>
      <c r="AG69" s="15">
        <v>0</v>
      </c>
      <c r="AH69" s="15">
        <v>1</v>
      </c>
      <c r="AI69" s="15">
        <v>0</v>
      </c>
      <c r="AJ69" s="15">
        <v>1</v>
      </c>
      <c r="AK69" s="15">
        <v>1</v>
      </c>
      <c r="AL69" s="15">
        <v>0</v>
      </c>
      <c r="AM69" s="15">
        <v>0</v>
      </c>
      <c r="AN69" s="15">
        <v>0</v>
      </c>
      <c r="AO69" s="15">
        <v>0</v>
      </c>
      <c r="AP69" s="15">
        <v>2</v>
      </c>
      <c r="AQ69" s="15">
        <v>1</v>
      </c>
      <c r="AR69" s="15">
        <v>3</v>
      </c>
      <c r="AS69" s="15">
        <v>0</v>
      </c>
      <c r="AT69" s="15">
        <v>0</v>
      </c>
      <c r="AU69" s="15">
        <v>1</v>
      </c>
      <c r="AV69" s="15">
        <v>0</v>
      </c>
      <c r="AW69" s="15">
        <v>0</v>
      </c>
      <c r="AX69" s="15">
        <v>1</v>
      </c>
      <c r="AY69" s="15">
        <v>1</v>
      </c>
      <c r="AZ69" s="15">
        <v>0</v>
      </c>
      <c r="BA69" s="13">
        <f t="shared" si="13"/>
        <v>36</v>
      </c>
    </row>
    <row r="70" spans="1:53" ht="12.75" customHeight="1" x14ac:dyDescent="0.3">
      <c r="A70" s="15" t="s">
        <v>15</v>
      </c>
      <c r="B70" s="47" t="s">
        <v>46</v>
      </c>
      <c r="C70" s="48"/>
      <c r="D70" s="49"/>
      <c r="E70" s="34">
        <f t="shared" ref="E70:AZ70" si="16">SUM(E63:E69)</f>
        <v>100</v>
      </c>
      <c r="F70" s="34">
        <f t="shared" si="16"/>
        <v>118</v>
      </c>
      <c r="G70" s="34">
        <f t="shared" si="16"/>
        <v>87</v>
      </c>
      <c r="H70" s="34">
        <f t="shared" si="16"/>
        <v>148</v>
      </c>
      <c r="I70" s="34">
        <f t="shared" si="16"/>
        <v>110</v>
      </c>
      <c r="J70" s="34">
        <f t="shared" si="16"/>
        <v>164</v>
      </c>
      <c r="K70" s="34">
        <f t="shared" si="16"/>
        <v>62</v>
      </c>
      <c r="L70" s="34">
        <f t="shared" si="16"/>
        <v>61</v>
      </c>
      <c r="M70" s="34">
        <f t="shared" si="16"/>
        <v>101</v>
      </c>
      <c r="N70" s="34">
        <f t="shared" si="16"/>
        <v>82</v>
      </c>
      <c r="O70" s="34">
        <f t="shared" si="16"/>
        <v>91</v>
      </c>
      <c r="P70" s="34">
        <f t="shared" si="16"/>
        <v>44</v>
      </c>
      <c r="Q70" s="34">
        <f t="shared" si="16"/>
        <v>74</v>
      </c>
      <c r="R70" s="34">
        <f t="shared" si="16"/>
        <v>72</v>
      </c>
      <c r="S70" s="34">
        <f t="shared" si="16"/>
        <v>55</v>
      </c>
      <c r="T70" s="34">
        <f t="shared" si="16"/>
        <v>53</v>
      </c>
      <c r="U70" s="34">
        <f t="shared" si="16"/>
        <v>36</v>
      </c>
      <c r="V70" s="34">
        <f t="shared" si="16"/>
        <v>58</v>
      </c>
      <c r="W70" s="34">
        <f t="shared" si="16"/>
        <v>80</v>
      </c>
      <c r="X70" s="34">
        <f t="shared" si="16"/>
        <v>115</v>
      </c>
      <c r="Y70" s="34">
        <f t="shared" si="16"/>
        <v>78</v>
      </c>
      <c r="Z70" s="34">
        <f t="shared" si="16"/>
        <v>65</v>
      </c>
      <c r="AA70" s="34">
        <f t="shared" si="16"/>
        <v>91</v>
      </c>
      <c r="AB70" s="34">
        <f t="shared" si="16"/>
        <v>75</v>
      </c>
      <c r="AC70" s="34">
        <f t="shared" si="16"/>
        <v>84</v>
      </c>
      <c r="AD70" s="34">
        <f t="shared" si="16"/>
        <v>81</v>
      </c>
      <c r="AE70" s="34">
        <f t="shared" si="16"/>
        <v>39</v>
      </c>
      <c r="AF70" s="34">
        <f t="shared" si="16"/>
        <v>26</v>
      </c>
      <c r="AG70" s="34">
        <f t="shared" si="16"/>
        <v>40</v>
      </c>
      <c r="AH70" s="34">
        <f t="shared" si="16"/>
        <v>70</v>
      </c>
      <c r="AI70" s="34">
        <f t="shared" si="16"/>
        <v>36</v>
      </c>
      <c r="AJ70" s="34">
        <f t="shared" si="16"/>
        <v>95</v>
      </c>
      <c r="AK70" s="34">
        <f t="shared" si="16"/>
        <v>119</v>
      </c>
      <c r="AL70" s="34">
        <f t="shared" si="16"/>
        <v>77</v>
      </c>
      <c r="AM70" s="34">
        <f t="shared" si="16"/>
        <v>53</v>
      </c>
      <c r="AN70" s="34">
        <f t="shared" si="16"/>
        <v>98</v>
      </c>
      <c r="AO70" s="34">
        <f t="shared" si="16"/>
        <v>54</v>
      </c>
      <c r="AP70" s="34">
        <f t="shared" si="16"/>
        <v>100</v>
      </c>
      <c r="AQ70" s="34">
        <f t="shared" si="16"/>
        <v>50</v>
      </c>
      <c r="AR70" s="34">
        <f t="shared" si="16"/>
        <v>111</v>
      </c>
      <c r="AS70" s="34">
        <f t="shared" si="16"/>
        <v>65</v>
      </c>
      <c r="AT70" s="34">
        <f t="shared" si="16"/>
        <v>82</v>
      </c>
      <c r="AU70" s="34">
        <f t="shared" si="16"/>
        <v>56</v>
      </c>
      <c r="AV70" s="34">
        <f t="shared" si="16"/>
        <v>101</v>
      </c>
      <c r="AW70" s="34">
        <f t="shared" si="16"/>
        <v>122</v>
      </c>
      <c r="AX70" s="34">
        <f t="shared" si="16"/>
        <v>54</v>
      </c>
      <c r="AY70" s="34">
        <f t="shared" si="16"/>
        <v>38</v>
      </c>
      <c r="AZ70" s="34">
        <f t="shared" si="16"/>
        <v>48</v>
      </c>
      <c r="BA70" s="13">
        <f t="shared" si="13"/>
        <v>3719</v>
      </c>
    </row>
    <row r="71" spans="1:53" ht="12.75" customHeight="1" x14ac:dyDescent="0.3">
      <c r="A71" s="35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13">
        <f t="shared" si="13"/>
        <v>0</v>
      </c>
    </row>
    <row r="72" spans="1:53" ht="12.75" customHeight="1" x14ac:dyDescent="0.3">
      <c r="A72" s="19" t="s">
        <v>37</v>
      </c>
      <c r="B72" s="26" t="s">
        <v>23</v>
      </c>
      <c r="C72" s="50" t="s">
        <v>61</v>
      </c>
      <c r="D72" s="49"/>
      <c r="E72" s="15">
        <v>5</v>
      </c>
      <c r="F72" s="15">
        <v>3</v>
      </c>
      <c r="G72" s="15">
        <v>1</v>
      </c>
      <c r="H72" s="15">
        <v>1</v>
      </c>
      <c r="I72" s="15">
        <v>6</v>
      </c>
      <c r="J72" s="15">
        <v>0</v>
      </c>
      <c r="K72" s="15">
        <v>2</v>
      </c>
      <c r="L72" s="15">
        <v>4</v>
      </c>
      <c r="M72" s="15">
        <v>2</v>
      </c>
      <c r="N72" s="15">
        <v>1</v>
      </c>
      <c r="O72" s="15">
        <v>0</v>
      </c>
      <c r="P72" s="15">
        <v>1</v>
      </c>
      <c r="Q72" s="15">
        <v>1</v>
      </c>
      <c r="R72" s="15">
        <v>1</v>
      </c>
      <c r="S72" s="15">
        <v>1</v>
      </c>
      <c r="T72" s="15">
        <v>2</v>
      </c>
      <c r="U72" s="15">
        <v>1</v>
      </c>
      <c r="V72" s="15">
        <v>4</v>
      </c>
      <c r="W72" s="15">
        <v>5</v>
      </c>
      <c r="X72" s="15">
        <v>5</v>
      </c>
      <c r="Y72" s="15">
        <v>1</v>
      </c>
      <c r="Z72" s="15">
        <v>1</v>
      </c>
      <c r="AA72" s="15">
        <v>4</v>
      </c>
      <c r="AB72" s="15">
        <v>1</v>
      </c>
      <c r="AC72" s="15">
        <v>0</v>
      </c>
      <c r="AD72" s="15">
        <v>2</v>
      </c>
      <c r="AE72" s="15">
        <v>0</v>
      </c>
      <c r="AF72" s="15">
        <v>1</v>
      </c>
      <c r="AG72" s="15">
        <v>1</v>
      </c>
      <c r="AH72" s="15">
        <v>2</v>
      </c>
      <c r="AI72" s="15">
        <v>5</v>
      </c>
      <c r="AJ72" s="15">
        <v>6</v>
      </c>
      <c r="AK72" s="15">
        <v>5</v>
      </c>
      <c r="AL72" s="15">
        <v>5</v>
      </c>
      <c r="AM72" s="15">
        <v>1</v>
      </c>
      <c r="AN72" s="15">
        <v>9</v>
      </c>
      <c r="AO72" s="15">
        <v>5</v>
      </c>
      <c r="AP72" s="15">
        <v>2</v>
      </c>
      <c r="AQ72" s="15">
        <v>6</v>
      </c>
      <c r="AR72" s="15">
        <v>2</v>
      </c>
      <c r="AS72" s="15">
        <v>4</v>
      </c>
      <c r="AT72" s="15">
        <v>2</v>
      </c>
      <c r="AU72" s="15">
        <v>0</v>
      </c>
      <c r="AV72" s="15">
        <v>3</v>
      </c>
      <c r="AW72" s="15">
        <v>1</v>
      </c>
      <c r="AX72" s="15">
        <v>4</v>
      </c>
      <c r="AY72" s="15">
        <v>2</v>
      </c>
      <c r="AZ72" s="15">
        <v>3</v>
      </c>
      <c r="BA72" s="13">
        <f t="shared" si="13"/>
        <v>124</v>
      </c>
    </row>
    <row r="73" spans="1:53" ht="12.75" customHeight="1" x14ac:dyDescent="0.3">
      <c r="A73" s="19" t="s">
        <v>39</v>
      </c>
      <c r="B73" s="27">
        <v>1</v>
      </c>
      <c r="C73" s="28" t="s">
        <v>62</v>
      </c>
      <c r="D73" s="29"/>
      <c r="E73" s="15">
        <v>1</v>
      </c>
      <c r="F73" s="15">
        <v>5</v>
      </c>
      <c r="G73" s="15">
        <v>11</v>
      </c>
      <c r="H73" s="15">
        <v>8</v>
      </c>
      <c r="I73" s="15">
        <v>4</v>
      </c>
      <c r="J73" s="15">
        <v>0</v>
      </c>
      <c r="K73" s="15">
        <v>2</v>
      </c>
      <c r="L73" s="15">
        <v>1</v>
      </c>
      <c r="M73" s="15">
        <v>8</v>
      </c>
      <c r="N73" s="15">
        <v>0</v>
      </c>
      <c r="O73" s="15">
        <v>3</v>
      </c>
      <c r="P73" s="15">
        <v>0</v>
      </c>
      <c r="Q73" s="15">
        <v>1</v>
      </c>
      <c r="R73" s="15">
        <v>3</v>
      </c>
      <c r="S73" s="15">
        <v>1</v>
      </c>
      <c r="T73" s="15">
        <v>9</v>
      </c>
      <c r="U73" s="15">
        <v>3</v>
      </c>
      <c r="V73" s="15">
        <v>9</v>
      </c>
      <c r="W73" s="15">
        <v>26</v>
      </c>
      <c r="X73" s="15">
        <v>1</v>
      </c>
      <c r="Y73" s="15">
        <v>0</v>
      </c>
      <c r="Z73" s="15">
        <v>24</v>
      </c>
      <c r="AA73" s="15">
        <v>8</v>
      </c>
      <c r="AB73" s="15">
        <v>3</v>
      </c>
      <c r="AC73" s="15">
        <v>6</v>
      </c>
      <c r="AD73" s="15">
        <v>22</v>
      </c>
      <c r="AE73" s="15">
        <v>7</v>
      </c>
      <c r="AF73" s="15">
        <v>9</v>
      </c>
      <c r="AG73" s="15">
        <v>7</v>
      </c>
      <c r="AH73" s="15">
        <v>4</v>
      </c>
      <c r="AI73" s="15">
        <v>3</v>
      </c>
      <c r="AJ73" s="15">
        <v>37</v>
      </c>
      <c r="AK73" s="15">
        <v>12</v>
      </c>
      <c r="AL73" s="15">
        <v>4</v>
      </c>
      <c r="AM73" s="15">
        <v>10</v>
      </c>
      <c r="AN73" s="15">
        <v>19</v>
      </c>
      <c r="AO73" s="15">
        <v>48</v>
      </c>
      <c r="AP73" s="15">
        <v>10</v>
      </c>
      <c r="AQ73" s="15">
        <v>25</v>
      </c>
      <c r="AR73" s="15">
        <v>26</v>
      </c>
      <c r="AS73" s="15">
        <v>7</v>
      </c>
      <c r="AT73" s="15">
        <v>3</v>
      </c>
      <c r="AU73" s="15">
        <v>4</v>
      </c>
      <c r="AV73" s="15">
        <v>3</v>
      </c>
      <c r="AW73" s="15">
        <v>9</v>
      </c>
      <c r="AX73" s="15">
        <v>0</v>
      </c>
      <c r="AY73" s="15">
        <v>0</v>
      </c>
      <c r="AZ73" s="15">
        <v>15</v>
      </c>
      <c r="BA73" s="13">
        <f t="shared" si="13"/>
        <v>421</v>
      </c>
    </row>
    <row r="74" spans="1:53" ht="12.75" customHeight="1" x14ac:dyDescent="0.3">
      <c r="A74" s="14"/>
      <c r="B74" s="27">
        <v>2</v>
      </c>
      <c r="C74" s="28" t="s">
        <v>63</v>
      </c>
      <c r="D74" s="29"/>
      <c r="E74" s="15">
        <v>2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1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1</v>
      </c>
      <c r="S74" s="15">
        <v>0</v>
      </c>
      <c r="T74" s="15">
        <v>0</v>
      </c>
      <c r="U74" s="15">
        <v>0</v>
      </c>
      <c r="V74" s="15">
        <v>1</v>
      </c>
      <c r="W74" s="15">
        <v>1</v>
      </c>
      <c r="X74" s="15">
        <v>1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1</v>
      </c>
      <c r="AF74" s="15">
        <v>0</v>
      </c>
      <c r="AG74" s="15">
        <v>0</v>
      </c>
      <c r="AH74" s="15">
        <v>0</v>
      </c>
      <c r="AI74" s="15">
        <v>1</v>
      </c>
      <c r="AJ74" s="15">
        <v>0</v>
      </c>
      <c r="AK74" s="15">
        <v>1</v>
      </c>
      <c r="AL74" s="15">
        <v>0</v>
      </c>
      <c r="AM74" s="15">
        <v>0</v>
      </c>
      <c r="AN74" s="15">
        <v>0</v>
      </c>
      <c r="AO74" s="15">
        <v>1</v>
      </c>
      <c r="AP74" s="15">
        <v>0</v>
      </c>
      <c r="AQ74" s="15">
        <v>0</v>
      </c>
      <c r="AR74" s="15">
        <v>1</v>
      </c>
      <c r="AS74" s="15">
        <v>0</v>
      </c>
      <c r="AT74" s="15">
        <v>0</v>
      </c>
      <c r="AU74" s="15">
        <v>0</v>
      </c>
      <c r="AV74" s="15">
        <v>0</v>
      </c>
      <c r="AW74" s="15">
        <v>1</v>
      </c>
      <c r="AX74" s="15">
        <v>0</v>
      </c>
      <c r="AY74" s="15">
        <v>0</v>
      </c>
      <c r="AZ74" s="15">
        <v>1</v>
      </c>
      <c r="BA74" s="13">
        <f t="shared" si="13"/>
        <v>14</v>
      </c>
    </row>
    <row r="75" spans="1:53" ht="12.75" customHeight="1" x14ac:dyDescent="0.3">
      <c r="A75" s="14"/>
      <c r="B75" s="27">
        <v>3</v>
      </c>
      <c r="C75" s="28" t="s">
        <v>64</v>
      </c>
      <c r="D75" s="29"/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1</v>
      </c>
      <c r="U75" s="15">
        <v>0</v>
      </c>
      <c r="V75" s="15">
        <v>0</v>
      </c>
      <c r="W75" s="15">
        <v>2</v>
      </c>
      <c r="X75" s="15">
        <v>1</v>
      </c>
      <c r="Y75" s="15">
        <v>1</v>
      </c>
      <c r="Z75" s="15">
        <v>0</v>
      </c>
      <c r="AA75" s="15">
        <v>0</v>
      </c>
      <c r="AB75" s="15">
        <v>0</v>
      </c>
      <c r="AC75" s="15">
        <v>0</v>
      </c>
      <c r="AD75" s="15">
        <v>1</v>
      </c>
      <c r="AE75" s="15">
        <v>1</v>
      </c>
      <c r="AF75" s="15">
        <v>1</v>
      </c>
      <c r="AG75" s="15">
        <v>0</v>
      </c>
      <c r="AH75" s="15">
        <v>0</v>
      </c>
      <c r="AI75" s="15">
        <v>1</v>
      </c>
      <c r="AJ75" s="15">
        <v>0</v>
      </c>
      <c r="AK75" s="15">
        <v>0</v>
      </c>
      <c r="AL75" s="15">
        <v>0</v>
      </c>
      <c r="AM75" s="15">
        <v>2</v>
      </c>
      <c r="AN75" s="15">
        <v>1</v>
      </c>
      <c r="AO75" s="15">
        <v>0</v>
      </c>
      <c r="AP75" s="15">
        <v>0</v>
      </c>
      <c r="AQ75" s="15">
        <v>1</v>
      </c>
      <c r="AR75" s="15">
        <v>0</v>
      </c>
      <c r="AS75" s="15">
        <v>1</v>
      </c>
      <c r="AT75" s="15">
        <v>0</v>
      </c>
      <c r="AU75" s="15">
        <v>0</v>
      </c>
      <c r="AV75" s="15">
        <v>0</v>
      </c>
      <c r="AW75" s="15">
        <v>0</v>
      </c>
      <c r="AX75" s="15">
        <v>0</v>
      </c>
      <c r="AY75" s="15">
        <v>1</v>
      </c>
      <c r="AZ75" s="15">
        <v>0</v>
      </c>
      <c r="BA75" s="13">
        <f t="shared" si="13"/>
        <v>15</v>
      </c>
    </row>
    <row r="76" spans="1:53" ht="12.75" customHeight="1" x14ac:dyDescent="0.3">
      <c r="A76" s="14"/>
      <c r="B76" s="27">
        <v>4</v>
      </c>
      <c r="C76" s="28" t="s">
        <v>65</v>
      </c>
      <c r="D76" s="29"/>
      <c r="E76" s="15">
        <v>1</v>
      </c>
      <c r="F76" s="15">
        <v>0</v>
      </c>
      <c r="G76" s="15">
        <v>0</v>
      </c>
      <c r="H76" s="15">
        <v>0</v>
      </c>
      <c r="I76" s="15">
        <v>1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1</v>
      </c>
      <c r="S76" s="15">
        <v>0</v>
      </c>
      <c r="T76" s="15">
        <v>0</v>
      </c>
      <c r="U76" s="15">
        <v>0</v>
      </c>
      <c r="V76" s="15">
        <v>1</v>
      </c>
      <c r="W76" s="15">
        <v>1</v>
      </c>
      <c r="X76" s="15">
        <v>1</v>
      </c>
      <c r="Y76" s="15">
        <v>0</v>
      </c>
      <c r="Z76" s="15">
        <v>0</v>
      </c>
      <c r="AA76" s="15">
        <v>0</v>
      </c>
      <c r="AB76" s="15">
        <v>1</v>
      </c>
      <c r="AC76" s="15">
        <v>1</v>
      </c>
      <c r="AD76" s="15">
        <v>1</v>
      </c>
      <c r="AE76" s="15">
        <v>0</v>
      </c>
      <c r="AF76" s="15">
        <v>0</v>
      </c>
      <c r="AG76" s="15">
        <v>0</v>
      </c>
      <c r="AH76" s="15">
        <v>0</v>
      </c>
      <c r="AI76" s="15">
        <v>1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1</v>
      </c>
      <c r="AP76" s="15">
        <v>0</v>
      </c>
      <c r="AQ76" s="15">
        <v>1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1</v>
      </c>
      <c r="AX76" s="15">
        <v>0</v>
      </c>
      <c r="AY76" s="15">
        <v>0</v>
      </c>
      <c r="AZ76" s="15">
        <v>0</v>
      </c>
      <c r="BA76" s="13">
        <f t="shared" si="13"/>
        <v>13</v>
      </c>
    </row>
    <row r="77" spans="1:53" ht="12.75" customHeight="1" x14ac:dyDescent="0.3">
      <c r="A77" s="14"/>
      <c r="B77" s="27">
        <v>5</v>
      </c>
      <c r="C77" s="28" t="s">
        <v>66</v>
      </c>
      <c r="D77" s="29"/>
      <c r="E77" s="15">
        <v>1</v>
      </c>
      <c r="F77" s="15">
        <v>0</v>
      </c>
      <c r="G77" s="15">
        <v>0</v>
      </c>
      <c r="H77" s="15">
        <v>1</v>
      </c>
      <c r="I77" s="15">
        <v>1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2</v>
      </c>
      <c r="P77" s="15">
        <v>0</v>
      </c>
      <c r="Q77" s="15">
        <v>0</v>
      </c>
      <c r="R77" s="15">
        <v>1</v>
      </c>
      <c r="S77" s="15">
        <v>0</v>
      </c>
      <c r="T77" s="15">
        <v>0</v>
      </c>
      <c r="U77" s="15">
        <v>0</v>
      </c>
      <c r="V77" s="15">
        <v>2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1</v>
      </c>
      <c r="AJ77" s="15">
        <v>3</v>
      </c>
      <c r="AK77" s="15">
        <v>0</v>
      </c>
      <c r="AL77" s="15">
        <v>0</v>
      </c>
      <c r="AM77" s="15">
        <v>1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3">
        <f t="shared" si="13"/>
        <v>13</v>
      </c>
    </row>
    <row r="78" spans="1:53" ht="12.75" customHeight="1" x14ac:dyDescent="0.3">
      <c r="A78" s="14"/>
      <c r="B78" s="27">
        <v>6</v>
      </c>
      <c r="C78" s="28" t="s">
        <v>67</v>
      </c>
      <c r="D78" s="29"/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1</v>
      </c>
      <c r="AU78" s="15">
        <v>0</v>
      </c>
      <c r="AV78" s="15">
        <v>0</v>
      </c>
      <c r="AW78" s="15">
        <v>0</v>
      </c>
      <c r="AX78" s="15">
        <v>1</v>
      </c>
      <c r="AY78" s="15">
        <v>0</v>
      </c>
      <c r="AZ78" s="15">
        <v>0</v>
      </c>
      <c r="BA78" s="13">
        <f t="shared" si="13"/>
        <v>2</v>
      </c>
    </row>
    <row r="79" spans="1:53" ht="15" customHeight="1" x14ac:dyDescent="0.3">
      <c r="A79" s="15" t="s">
        <v>15</v>
      </c>
      <c r="B79" s="47" t="s">
        <v>46</v>
      </c>
      <c r="C79" s="48"/>
      <c r="D79" s="49"/>
      <c r="E79" s="34">
        <f t="shared" ref="E79:AZ79" si="17">SUM(E72:E78)</f>
        <v>10</v>
      </c>
      <c r="F79" s="34">
        <f t="shared" si="17"/>
        <v>8</v>
      </c>
      <c r="G79" s="34">
        <f t="shared" si="17"/>
        <v>12</v>
      </c>
      <c r="H79" s="34">
        <f t="shared" si="17"/>
        <v>10</v>
      </c>
      <c r="I79" s="34">
        <f t="shared" si="17"/>
        <v>12</v>
      </c>
      <c r="J79" s="34">
        <f t="shared" si="17"/>
        <v>0</v>
      </c>
      <c r="K79" s="34">
        <f t="shared" si="17"/>
        <v>4</v>
      </c>
      <c r="L79" s="34">
        <f t="shared" si="17"/>
        <v>6</v>
      </c>
      <c r="M79" s="34">
        <f t="shared" si="17"/>
        <v>10</v>
      </c>
      <c r="N79" s="34">
        <f t="shared" si="17"/>
        <v>1</v>
      </c>
      <c r="O79" s="34">
        <f t="shared" si="17"/>
        <v>5</v>
      </c>
      <c r="P79" s="34">
        <f t="shared" si="17"/>
        <v>1</v>
      </c>
      <c r="Q79" s="34">
        <f t="shared" si="17"/>
        <v>2</v>
      </c>
      <c r="R79" s="34">
        <f t="shared" si="17"/>
        <v>7</v>
      </c>
      <c r="S79" s="34">
        <f t="shared" si="17"/>
        <v>2</v>
      </c>
      <c r="T79" s="34">
        <f t="shared" si="17"/>
        <v>12</v>
      </c>
      <c r="U79" s="34">
        <f t="shared" si="17"/>
        <v>4</v>
      </c>
      <c r="V79" s="34">
        <f t="shared" si="17"/>
        <v>17</v>
      </c>
      <c r="W79" s="34">
        <f t="shared" si="17"/>
        <v>35</v>
      </c>
      <c r="X79" s="34">
        <f t="shared" si="17"/>
        <v>9</v>
      </c>
      <c r="Y79" s="34">
        <f t="shared" si="17"/>
        <v>2</v>
      </c>
      <c r="Z79" s="34">
        <f t="shared" si="17"/>
        <v>25</v>
      </c>
      <c r="AA79" s="34">
        <f t="shared" si="17"/>
        <v>12</v>
      </c>
      <c r="AB79" s="34">
        <f t="shared" si="17"/>
        <v>5</v>
      </c>
      <c r="AC79" s="34">
        <f t="shared" si="17"/>
        <v>7</v>
      </c>
      <c r="AD79" s="34">
        <f t="shared" si="17"/>
        <v>26</v>
      </c>
      <c r="AE79" s="34">
        <f t="shared" si="17"/>
        <v>9</v>
      </c>
      <c r="AF79" s="34">
        <f t="shared" si="17"/>
        <v>11</v>
      </c>
      <c r="AG79" s="34">
        <f t="shared" si="17"/>
        <v>8</v>
      </c>
      <c r="AH79" s="34">
        <f t="shared" si="17"/>
        <v>6</v>
      </c>
      <c r="AI79" s="34">
        <f t="shared" si="17"/>
        <v>12</v>
      </c>
      <c r="AJ79" s="34">
        <f t="shared" si="17"/>
        <v>46</v>
      </c>
      <c r="AK79" s="34">
        <f t="shared" si="17"/>
        <v>18</v>
      </c>
      <c r="AL79" s="34">
        <f t="shared" si="17"/>
        <v>9</v>
      </c>
      <c r="AM79" s="34">
        <f t="shared" si="17"/>
        <v>14</v>
      </c>
      <c r="AN79" s="34">
        <f t="shared" si="17"/>
        <v>29</v>
      </c>
      <c r="AO79" s="34">
        <f t="shared" si="17"/>
        <v>55</v>
      </c>
      <c r="AP79" s="34">
        <f t="shared" si="17"/>
        <v>12</v>
      </c>
      <c r="AQ79" s="34">
        <f t="shared" si="17"/>
        <v>33</v>
      </c>
      <c r="AR79" s="34">
        <f t="shared" si="17"/>
        <v>29</v>
      </c>
      <c r="AS79" s="34">
        <f t="shared" si="17"/>
        <v>12</v>
      </c>
      <c r="AT79" s="34">
        <f t="shared" si="17"/>
        <v>6</v>
      </c>
      <c r="AU79" s="34">
        <f t="shared" si="17"/>
        <v>4</v>
      </c>
      <c r="AV79" s="34">
        <f t="shared" si="17"/>
        <v>6</v>
      </c>
      <c r="AW79" s="34">
        <f t="shared" si="17"/>
        <v>12</v>
      </c>
      <c r="AX79" s="34">
        <f t="shared" si="17"/>
        <v>5</v>
      </c>
      <c r="AY79" s="34">
        <f t="shared" si="17"/>
        <v>3</v>
      </c>
      <c r="AZ79" s="34">
        <f t="shared" si="17"/>
        <v>19</v>
      </c>
      <c r="BA79" s="13">
        <f t="shared" si="13"/>
        <v>602</v>
      </c>
    </row>
    <row r="80" spans="1:53" ht="12.75" customHeight="1" x14ac:dyDescent="0.3">
      <c r="A80" s="35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13">
        <f t="shared" si="13"/>
        <v>0</v>
      </c>
    </row>
    <row r="81" spans="1:53" ht="12.75" customHeight="1" x14ac:dyDescent="0.3">
      <c r="A81" s="19" t="s">
        <v>37</v>
      </c>
      <c r="B81" s="26" t="s">
        <v>68</v>
      </c>
      <c r="C81" s="50" t="s">
        <v>69</v>
      </c>
      <c r="D81" s="49"/>
      <c r="E81" s="15">
        <v>1</v>
      </c>
      <c r="F81" s="15">
        <v>0</v>
      </c>
      <c r="G81" s="15">
        <v>0</v>
      </c>
      <c r="H81" s="15">
        <v>1</v>
      </c>
      <c r="I81" s="15">
        <v>0</v>
      </c>
      <c r="J81" s="15">
        <v>0</v>
      </c>
      <c r="K81" s="15">
        <v>2</v>
      </c>
      <c r="L81" s="15">
        <v>0</v>
      </c>
      <c r="M81" s="15">
        <v>0</v>
      </c>
      <c r="N81" s="15">
        <v>1</v>
      </c>
      <c r="O81" s="15">
        <v>0</v>
      </c>
      <c r="P81" s="15">
        <v>2</v>
      </c>
      <c r="Q81" s="15">
        <v>0</v>
      </c>
      <c r="R81" s="15">
        <v>2</v>
      </c>
      <c r="S81" s="15">
        <v>0</v>
      </c>
      <c r="T81" s="15">
        <v>2</v>
      </c>
      <c r="U81" s="15">
        <v>4</v>
      </c>
      <c r="V81" s="15">
        <v>0</v>
      </c>
      <c r="W81" s="15">
        <v>2</v>
      </c>
      <c r="X81" s="15">
        <v>4</v>
      </c>
      <c r="Y81" s="15">
        <v>0</v>
      </c>
      <c r="Z81" s="15">
        <v>0</v>
      </c>
      <c r="AA81" s="15">
        <v>0</v>
      </c>
      <c r="AB81" s="15">
        <v>0</v>
      </c>
      <c r="AC81" s="15">
        <v>1</v>
      </c>
      <c r="AD81" s="15">
        <v>2</v>
      </c>
      <c r="AE81" s="15">
        <v>2</v>
      </c>
      <c r="AF81" s="15">
        <v>1</v>
      </c>
      <c r="AG81" s="15">
        <v>0</v>
      </c>
      <c r="AH81" s="15">
        <v>1</v>
      </c>
      <c r="AI81" s="15">
        <v>1</v>
      </c>
      <c r="AJ81" s="15">
        <v>0</v>
      </c>
      <c r="AK81" s="15">
        <v>0</v>
      </c>
      <c r="AL81" s="15">
        <v>0</v>
      </c>
      <c r="AM81" s="15">
        <v>2</v>
      </c>
      <c r="AN81" s="15">
        <v>2</v>
      </c>
      <c r="AO81" s="15">
        <v>0</v>
      </c>
      <c r="AP81" s="15">
        <v>1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3">
        <f t="shared" si="13"/>
        <v>34</v>
      </c>
    </row>
    <row r="82" spans="1:53" ht="12.75" customHeight="1" x14ac:dyDescent="0.3">
      <c r="A82" s="19" t="s">
        <v>39</v>
      </c>
      <c r="B82" s="27">
        <v>1</v>
      </c>
      <c r="C82" s="28" t="s">
        <v>70</v>
      </c>
      <c r="D82" s="29"/>
      <c r="E82" s="15">
        <v>7</v>
      </c>
      <c r="F82" s="15">
        <v>5</v>
      </c>
      <c r="G82" s="15">
        <v>1</v>
      </c>
      <c r="H82" s="15">
        <v>1</v>
      </c>
      <c r="I82" s="15">
        <v>0</v>
      </c>
      <c r="J82" s="15">
        <v>0</v>
      </c>
      <c r="K82" s="15">
        <v>1</v>
      </c>
      <c r="L82" s="15">
        <v>3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28</v>
      </c>
      <c r="S82" s="15">
        <v>7</v>
      </c>
      <c r="T82" s="15">
        <v>4</v>
      </c>
      <c r="U82" s="15">
        <v>8</v>
      </c>
      <c r="V82" s="15">
        <v>7</v>
      </c>
      <c r="W82" s="15">
        <v>2</v>
      </c>
      <c r="X82" s="15">
        <v>0</v>
      </c>
      <c r="Y82" s="15">
        <v>1</v>
      </c>
      <c r="Z82" s="15">
        <v>0</v>
      </c>
      <c r="AA82" s="15">
        <v>4</v>
      </c>
      <c r="AB82" s="15">
        <v>1</v>
      </c>
      <c r="AC82" s="15">
        <v>2</v>
      </c>
      <c r="AD82" s="15">
        <v>5</v>
      </c>
      <c r="AE82" s="15">
        <v>1</v>
      </c>
      <c r="AF82" s="15">
        <v>2</v>
      </c>
      <c r="AG82" s="15">
        <v>0</v>
      </c>
      <c r="AH82" s="15">
        <v>2</v>
      </c>
      <c r="AI82" s="15">
        <v>0</v>
      </c>
      <c r="AJ82" s="15">
        <v>1</v>
      </c>
      <c r="AK82" s="15">
        <v>2</v>
      </c>
      <c r="AL82" s="15">
        <v>3</v>
      </c>
      <c r="AM82" s="15">
        <v>0</v>
      </c>
      <c r="AN82" s="15">
        <v>8</v>
      </c>
      <c r="AO82" s="15">
        <v>11</v>
      </c>
      <c r="AP82" s="15">
        <v>3</v>
      </c>
      <c r="AQ82" s="15">
        <v>4</v>
      </c>
      <c r="AR82" s="15">
        <v>3</v>
      </c>
      <c r="AS82" s="15">
        <v>4</v>
      </c>
      <c r="AT82" s="15">
        <v>0</v>
      </c>
      <c r="AU82" s="15">
        <v>0</v>
      </c>
      <c r="AV82" s="15">
        <v>1</v>
      </c>
      <c r="AW82" s="15">
        <v>1</v>
      </c>
      <c r="AX82" s="15">
        <v>0</v>
      </c>
      <c r="AY82" s="15">
        <v>7</v>
      </c>
      <c r="AZ82" s="15">
        <v>1</v>
      </c>
      <c r="BA82" s="13">
        <f t="shared" si="13"/>
        <v>141</v>
      </c>
    </row>
    <row r="83" spans="1:53" ht="12.75" customHeight="1" x14ac:dyDescent="0.3">
      <c r="A83" s="14"/>
      <c r="B83" s="27">
        <v>2</v>
      </c>
      <c r="C83" s="28" t="s">
        <v>71</v>
      </c>
      <c r="D83" s="29"/>
      <c r="E83" s="15">
        <v>0</v>
      </c>
      <c r="F83" s="15">
        <v>0</v>
      </c>
      <c r="G83" s="15">
        <v>1</v>
      </c>
      <c r="H83" s="15">
        <v>0</v>
      </c>
      <c r="I83" s="15">
        <v>0</v>
      </c>
      <c r="J83" s="15">
        <v>0</v>
      </c>
      <c r="K83" s="15">
        <v>4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1</v>
      </c>
      <c r="S83" s="15">
        <v>0</v>
      </c>
      <c r="T83" s="15">
        <v>0</v>
      </c>
      <c r="U83" s="15">
        <v>0</v>
      </c>
      <c r="V83" s="15">
        <v>0</v>
      </c>
      <c r="W83" s="15">
        <v>1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1</v>
      </c>
      <c r="AT83" s="15">
        <v>0</v>
      </c>
      <c r="AU83" s="15">
        <v>0</v>
      </c>
      <c r="AV83" s="15">
        <v>0</v>
      </c>
      <c r="AW83" s="15">
        <v>1</v>
      </c>
      <c r="AX83" s="15">
        <v>0</v>
      </c>
      <c r="AY83" s="15">
        <v>0</v>
      </c>
      <c r="AZ83" s="15">
        <v>1</v>
      </c>
      <c r="BA83" s="13">
        <f t="shared" si="13"/>
        <v>10</v>
      </c>
    </row>
    <row r="84" spans="1:53" ht="12.75" customHeight="1" x14ac:dyDescent="0.3">
      <c r="A84" s="14"/>
      <c r="B84" s="27">
        <v>3</v>
      </c>
      <c r="C84" s="28" t="s">
        <v>72</v>
      </c>
      <c r="D84" s="29"/>
      <c r="E84" s="15">
        <v>0</v>
      </c>
      <c r="F84" s="15">
        <v>0</v>
      </c>
      <c r="G84" s="15">
        <v>0</v>
      </c>
      <c r="H84" s="15">
        <v>1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1</v>
      </c>
      <c r="S84" s="15">
        <v>0</v>
      </c>
      <c r="T84" s="15">
        <v>0</v>
      </c>
      <c r="U84" s="15">
        <v>1</v>
      </c>
      <c r="V84" s="15">
        <v>1</v>
      </c>
      <c r="W84" s="15">
        <v>1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3">
        <f t="shared" si="13"/>
        <v>5</v>
      </c>
    </row>
    <row r="85" spans="1:53" ht="12.75" customHeight="1" x14ac:dyDescent="0.3">
      <c r="A85" s="14"/>
      <c r="B85" s="27">
        <v>4</v>
      </c>
      <c r="C85" s="28" t="s">
        <v>73</v>
      </c>
      <c r="D85" s="29"/>
      <c r="E85" s="15">
        <v>0</v>
      </c>
      <c r="F85" s="15">
        <v>0</v>
      </c>
      <c r="G85" s="15">
        <v>1</v>
      </c>
      <c r="H85" s="15">
        <v>0</v>
      </c>
      <c r="I85" s="15">
        <v>0</v>
      </c>
      <c r="J85" s="15">
        <v>0</v>
      </c>
      <c r="K85" s="15">
        <v>1</v>
      </c>
      <c r="L85" s="15">
        <v>0</v>
      </c>
      <c r="M85" s="15">
        <v>0</v>
      </c>
      <c r="N85" s="15">
        <v>0</v>
      </c>
      <c r="O85" s="15">
        <v>0</v>
      </c>
      <c r="P85" s="15">
        <v>1</v>
      </c>
      <c r="Q85" s="15">
        <v>1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1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3">
        <f t="shared" si="13"/>
        <v>5</v>
      </c>
    </row>
    <row r="86" spans="1:53" ht="12.75" customHeight="1" x14ac:dyDescent="0.3">
      <c r="A86" s="14"/>
      <c r="B86" s="27">
        <v>5</v>
      </c>
      <c r="C86" s="28" t="s">
        <v>74</v>
      </c>
      <c r="D86" s="29"/>
      <c r="E86" s="15">
        <v>22</v>
      </c>
      <c r="F86" s="15">
        <v>3</v>
      </c>
      <c r="G86" s="15">
        <v>0</v>
      </c>
      <c r="H86" s="15">
        <v>1</v>
      </c>
      <c r="I86" s="15">
        <v>8</v>
      </c>
      <c r="J86" s="15">
        <v>3</v>
      </c>
      <c r="K86" s="15">
        <v>4</v>
      </c>
      <c r="L86" s="15">
        <v>4</v>
      </c>
      <c r="M86" s="15">
        <v>11</v>
      </c>
      <c r="N86" s="15">
        <v>1</v>
      </c>
      <c r="O86" s="15">
        <v>0</v>
      </c>
      <c r="P86" s="15">
        <v>0</v>
      </c>
      <c r="Q86" s="15">
        <v>0</v>
      </c>
      <c r="R86" s="15">
        <v>0</v>
      </c>
      <c r="S86" s="15">
        <v>2</v>
      </c>
      <c r="T86" s="15">
        <v>10</v>
      </c>
      <c r="U86" s="15">
        <v>19</v>
      </c>
      <c r="V86" s="15">
        <v>12</v>
      </c>
      <c r="W86" s="15">
        <v>33</v>
      </c>
      <c r="X86" s="15">
        <v>74</v>
      </c>
      <c r="Y86" s="15">
        <v>1</v>
      </c>
      <c r="Z86" s="15">
        <v>0</v>
      </c>
      <c r="AA86" s="15">
        <v>0</v>
      </c>
      <c r="AB86" s="15">
        <v>0</v>
      </c>
      <c r="AC86" s="15">
        <v>1</v>
      </c>
      <c r="AD86" s="15">
        <v>1</v>
      </c>
      <c r="AE86" s="15">
        <v>33</v>
      </c>
      <c r="AF86" s="15">
        <v>28</v>
      </c>
      <c r="AG86" s="15">
        <v>0</v>
      </c>
      <c r="AH86" s="15">
        <v>4</v>
      </c>
      <c r="AI86" s="15">
        <v>0</v>
      </c>
      <c r="AJ86" s="15">
        <v>0</v>
      </c>
      <c r="AK86" s="15">
        <v>0</v>
      </c>
      <c r="AL86" s="15">
        <v>1</v>
      </c>
      <c r="AM86" s="15">
        <v>8</v>
      </c>
      <c r="AN86" s="15">
        <v>0</v>
      </c>
      <c r="AO86" s="15">
        <v>2</v>
      </c>
      <c r="AP86" s="15">
        <v>1</v>
      </c>
      <c r="AQ86" s="15">
        <v>0</v>
      </c>
      <c r="AR86" s="15">
        <v>1</v>
      </c>
      <c r="AS86" s="15">
        <v>1</v>
      </c>
      <c r="AT86" s="15">
        <v>1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3">
        <f t="shared" si="13"/>
        <v>290</v>
      </c>
    </row>
    <row r="87" spans="1:53" ht="12.75" customHeight="1" x14ac:dyDescent="0.3">
      <c r="A87" s="14"/>
      <c r="B87" s="27">
        <v>6</v>
      </c>
      <c r="C87" s="28" t="s">
        <v>75</v>
      </c>
      <c r="D87" s="29"/>
      <c r="E87" s="15">
        <v>3</v>
      </c>
      <c r="F87" s="15">
        <v>2</v>
      </c>
      <c r="G87" s="15">
        <v>0</v>
      </c>
      <c r="H87" s="15">
        <v>0</v>
      </c>
      <c r="I87" s="15">
        <v>5</v>
      </c>
      <c r="J87" s="15">
        <v>3</v>
      </c>
      <c r="K87" s="15">
        <v>9</v>
      </c>
      <c r="L87" s="15">
        <v>0</v>
      </c>
      <c r="M87" s="15">
        <v>0</v>
      </c>
      <c r="N87" s="15">
        <v>1</v>
      </c>
      <c r="O87" s="15">
        <v>0</v>
      </c>
      <c r="P87" s="15">
        <v>0</v>
      </c>
      <c r="Q87" s="15">
        <v>3</v>
      </c>
      <c r="R87" s="15">
        <v>1</v>
      </c>
      <c r="S87" s="15">
        <v>8</v>
      </c>
      <c r="T87" s="15">
        <v>15</v>
      </c>
      <c r="U87" s="15">
        <v>3</v>
      </c>
      <c r="V87" s="15">
        <v>1</v>
      </c>
      <c r="W87" s="15">
        <v>1</v>
      </c>
      <c r="X87" s="15">
        <v>3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6</v>
      </c>
      <c r="AF87" s="15">
        <v>1</v>
      </c>
      <c r="AG87" s="15">
        <v>1</v>
      </c>
      <c r="AH87" s="15">
        <v>0</v>
      </c>
      <c r="AI87" s="15">
        <v>2</v>
      </c>
      <c r="AJ87" s="15">
        <v>1</v>
      </c>
      <c r="AK87" s="15">
        <v>1</v>
      </c>
      <c r="AL87" s="15">
        <v>1</v>
      </c>
      <c r="AM87" s="15">
        <v>0</v>
      </c>
      <c r="AN87" s="15">
        <v>3</v>
      </c>
      <c r="AO87" s="15">
        <v>0</v>
      </c>
      <c r="AP87" s="15">
        <v>2</v>
      </c>
      <c r="AQ87" s="15">
        <v>0</v>
      </c>
      <c r="AR87" s="15">
        <v>3</v>
      </c>
      <c r="AS87" s="15">
        <v>5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3">
        <f t="shared" si="13"/>
        <v>84</v>
      </c>
    </row>
    <row r="88" spans="1:53" ht="12.75" customHeight="1" x14ac:dyDescent="0.3">
      <c r="A88" s="15" t="s">
        <v>15</v>
      </c>
      <c r="B88" s="47" t="s">
        <v>46</v>
      </c>
      <c r="C88" s="48"/>
      <c r="D88" s="49"/>
      <c r="E88" s="34">
        <f t="shared" ref="E88:AZ88" si="18">SUM(E81:E87)</f>
        <v>33</v>
      </c>
      <c r="F88" s="34">
        <f t="shared" si="18"/>
        <v>10</v>
      </c>
      <c r="G88" s="34">
        <f t="shared" si="18"/>
        <v>3</v>
      </c>
      <c r="H88" s="34">
        <f t="shared" si="18"/>
        <v>4</v>
      </c>
      <c r="I88" s="34">
        <f t="shared" si="18"/>
        <v>13</v>
      </c>
      <c r="J88" s="34">
        <f t="shared" si="18"/>
        <v>6</v>
      </c>
      <c r="K88" s="34">
        <f t="shared" si="18"/>
        <v>21</v>
      </c>
      <c r="L88" s="34">
        <f t="shared" si="18"/>
        <v>7</v>
      </c>
      <c r="M88" s="34">
        <f t="shared" si="18"/>
        <v>11</v>
      </c>
      <c r="N88" s="34">
        <f t="shared" si="18"/>
        <v>3</v>
      </c>
      <c r="O88" s="34">
        <f t="shared" si="18"/>
        <v>0</v>
      </c>
      <c r="P88" s="34">
        <f t="shared" si="18"/>
        <v>3</v>
      </c>
      <c r="Q88" s="34">
        <f t="shared" si="18"/>
        <v>4</v>
      </c>
      <c r="R88" s="34">
        <f t="shared" si="18"/>
        <v>33</v>
      </c>
      <c r="S88" s="34">
        <f t="shared" si="18"/>
        <v>17</v>
      </c>
      <c r="T88" s="34">
        <f t="shared" si="18"/>
        <v>31</v>
      </c>
      <c r="U88" s="34">
        <f t="shared" si="18"/>
        <v>35</v>
      </c>
      <c r="V88" s="34">
        <f t="shared" si="18"/>
        <v>21</v>
      </c>
      <c r="W88" s="34">
        <f t="shared" si="18"/>
        <v>40</v>
      </c>
      <c r="X88" s="34">
        <f t="shared" si="18"/>
        <v>82</v>
      </c>
      <c r="Y88" s="34">
        <f t="shared" si="18"/>
        <v>2</v>
      </c>
      <c r="Z88" s="34">
        <f t="shared" si="18"/>
        <v>0</v>
      </c>
      <c r="AA88" s="34">
        <f t="shared" si="18"/>
        <v>4</v>
      </c>
      <c r="AB88" s="34">
        <f t="shared" si="18"/>
        <v>1</v>
      </c>
      <c r="AC88" s="34">
        <f t="shared" si="18"/>
        <v>4</v>
      </c>
      <c r="AD88" s="34">
        <f t="shared" si="18"/>
        <v>8</v>
      </c>
      <c r="AE88" s="34">
        <f t="shared" si="18"/>
        <v>42</v>
      </c>
      <c r="AF88" s="34">
        <f t="shared" si="18"/>
        <v>32</v>
      </c>
      <c r="AG88" s="34">
        <f t="shared" si="18"/>
        <v>1</v>
      </c>
      <c r="AH88" s="34">
        <f t="shared" si="18"/>
        <v>7</v>
      </c>
      <c r="AI88" s="34">
        <f t="shared" si="18"/>
        <v>3</v>
      </c>
      <c r="AJ88" s="34">
        <f t="shared" si="18"/>
        <v>2</v>
      </c>
      <c r="AK88" s="34">
        <f t="shared" si="18"/>
        <v>3</v>
      </c>
      <c r="AL88" s="34">
        <f t="shared" si="18"/>
        <v>5</v>
      </c>
      <c r="AM88" s="34">
        <f t="shared" si="18"/>
        <v>10</v>
      </c>
      <c r="AN88" s="34">
        <f t="shared" si="18"/>
        <v>13</v>
      </c>
      <c r="AO88" s="34">
        <f t="shared" si="18"/>
        <v>13</v>
      </c>
      <c r="AP88" s="34">
        <f t="shared" si="18"/>
        <v>7</v>
      </c>
      <c r="AQ88" s="34">
        <f t="shared" si="18"/>
        <v>4</v>
      </c>
      <c r="AR88" s="34">
        <f t="shared" si="18"/>
        <v>7</v>
      </c>
      <c r="AS88" s="34">
        <f t="shared" si="18"/>
        <v>11</v>
      </c>
      <c r="AT88" s="34">
        <f t="shared" si="18"/>
        <v>1</v>
      </c>
      <c r="AU88" s="34">
        <f t="shared" si="18"/>
        <v>0</v>
      </c>
      <c r="AV88" s="34">
        <f t="shared" si="18"/>
        <v>1</v>
      </c>
      <c r="AW88" s="34">
        <f t="shared" si="18"/>
        <v>2</v>
      </c>
      <c r="AX88" s="34">
        <f t="shared" si="18"/>
        <v>0</v>
      </c>
      <c r="AY88" s="34">
        <f t="shared" si="18"/>
        <v>7</v>
      </c>
      <c r="AZ88" s="34">
        <f t="shared" si="18"/>
        <v>2</v>
      </c>
      <c r="BA88" s="13">
        <f t="shared" si="13"/>
        <v>569</v>
      </c>
    </row>
    <row r="89" spans="1:53" ht="12.75" customHeight="1" x14ac:dyDescent="0.3">
      <c r="A89" s="35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13">
        <f t="shared" si="13"/>
        <v>0</v>
      </c>
    </row>
    <row r="90" spans="1:53" ht="12.75" customHeight="1" x14ac:dyDescent="0.3">
      <c r="A90" s="19" t="s">
        <v>37</v>
      </c>
      <c r="B90" s="26" t="s">
        <v>76</v>
      </c>
      <c r="C90" s="50" t="s">
        <v>77</v>
      </c>
      <c r="D90" s="49"/>
      <c r="E90" s="15">
        <v>1</v>
      </c>
      <c r="F90" s="15">
        <v>0</v>
      </c>
      <c r="G90" s="15">
        <v>0</v>
      </c>
      <c r="H90" s="15">
        <v>1</v>
      </c>
      <c r="I90" s="15">
        <v>1</v>
      </c>
      <c r="J90" s="15">
        <v>0</v>
      </c>
      <c r="K90" s="15">
        <v>2</v>
      </c>
      <c r="L90" s="15">
        <v>1</v>
      </c>
      <c r="M90" s="15">
        <v>0</v>
      </c>
      <c r="N90" s="15">
        <v>2</v>
      </c>
      <c r="O90" s="15">
        <v>1</v>
      </c>
      <c r="P90" s="15">
        <v>1</v>
      </c>
      <c r="Q90" s="15">
        <v>1</v>
      </c>
      <c r="R90" s="15">
        <v>1</v>
      </c>
      <c r="S90" s="15">
        <v>0</v>
      </c>
      <c r="T90" s="15">
        <v>0</v>
      </c>
      <c r="U90" s="15">
        <v>2</v>
      </c>
      <c r="V90" s="15">
        <v>1</v>
      </c>
      <c r="W90" s="15">
        <v>0</v>
      </c>
      <c r="X90" s="15">
        <v>0</v>
      </c>
      <c r="Y90" s="15">
        <v>1</v>
      </c>
      <c r="Z90" s="15">
        <v>0</v>
      </c>
      <c r="AA90" s="15">
        <v>1</v>
      </c>
      <c r="AB90" s="15">
        <v>2</v>
      </c>
      <c r="AC90" s="15">
        <v>1</v>
      </c>
      <c r="AD90" s="15">
        <v>0</v>
      </c>
      <c r="AE90" s="15">
        <v>2</v>
      </c>
      <c r="AF90" s="15">
        <v>3</v>
      </c>
      <c r="AG90" s="15">
        <v>1</v>
      </c>
      <c r="AH90" s="15">
        <v>0</v>
      </c>
      <c r="AI90" s="15">
        <v>0</v>
      </c>
      <c r="AJ90" s="15">
        <v>1</v>
      </c>
      <c r="AK90" s="15">
        <v>1</v>
      </c>
      <c r="AL90" s="15">
        <v>3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1</v>
      </c>
      <c r="AT90" s="15">
        <v>2</v>
      </c>
      <c r="AU90" s="15">
        <v>3</v>
      </c>
      <c r="AV90" s="15">
        <v>4</v>
      </c>
      <c r="AW90" s="15">
        <v>2</v>
      </c>
      <c r="AX90" s="15">
        <v>2</v>
      </c>
      <c r="AY90" s="15">
        <v>1</v>
      </c>
      <c r="AZ90" s="15">
        <v>2</v>
      </c>
      <c r="BA90" s="13">
        <f t="shared" si="13"/>
        <v>48</v>
      </c>
    </row>
    <row r="91" spans="1:53" ht="15" customHeight="1" x14ac:dyDescent="0.3">
      <c r="A91" s="19"/>
      <c r="B91" s="27">
        <v>1</v>
      </c>
      <c r="C91" s="28" t="s">
        <v>78</v>
      </c>
      <c r="D91" s="37"/>
      <c r="E91" s="15">
        <v>0</v>
      </c>
      <c r="F91" s="15">
        <v>0</v>
      </c>
      <c r="G91" s="15">
        <v>0</v>
      </c>
      <c r="H91" s="15">
        <v>1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1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1</v>
      </c>
      <c r="AQ91" s="15">
        <v>0</v>
      </c>
      <c r="AR91" s="15">
        <v>0</v>
      </c>
      <c r="AS91" s="15">
        <v>0</v>
      </c>
      <c r="AT91" s="15">
        <v>1</v>
      </c>
      <c r="AU91" s="15">
        <v>1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3">
        <f t="shared" si="13"/>
        <v>5</v>
      </c>
    </row>
    <row r="92" spans="1:53" ht="12.75" customHeight="1" x14ac:dyDescent="0.3">
      <c r="A92" s="19"/>
      <c r="B92" s="27">
        <v>2</v>
      </c>
      <c r="C92" s="28" t="s">
        <v>79</v>
      </c>
      <c r="D92" s="37"/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1</v>
      </c>
      <c r="O92" s="15">
        <v>0</v>
      </c>
      <c r="P92" s="15">
        <v>1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1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1</v>
      </c>
      <c r="AR92" s="15">
        <v>0</v>
      </c>
      <c r="AS92" s="15">
        <v>0</v>
      </c>
      <c r="AT92" s="15">
        <v>1</v>
      </c>
      <c r="AU92" s="15">
        <v>0</v>
      </c>
      <c r="AV92" s="15">
        <v>0</v>
      </c>
      <c r="AW92" s="15">
        <v>0</v>
      </c>
      <c r="AX92" s="15">
        <v>1</v>
      </c>
      <c r="AY92" s="15">
        <v>3</v>
      </c>
      <c r="AZ92" s="15">
        <v>0</v>
      </c>
      <c r="BA92" s="13">
        <f t="shared" si="13"/>
        <v>9</v>
      </c>
    </row>
    <row r="93" spans="1:53" ht="12.75" customHeight="1" x14ac:dyDescent="0.3">
      <c r="A93" s="19" t="s">
        <v>39</v>
      </c>
      <c r="B93" s="27">
        <v>3</v>
      </c>
      <c r="C93" s="28" t="s">
        <v>80</v>
      </c>
      <c r="D93" s="37"/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1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1</v>
      </c>
      <c r="AJ93" s="15">
        <v>0</v>
      </c>
      <c r="AK93" s="15">
        <v>0</v>
      </c>
      <c r="AL93" s="15">
        <v>0</v>
      </c>
      <c r="AM93" s="15">
        <v>1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1</v>
      </c>
      <c r="AU93" s="15">
        <v>1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3">
        <f t="shared" si="13"/>
        <v>5</v>
      </c>
    </row>
    <row r="94" spans="1:53" ht="12.75" customHeight="1" x14ac:dyDescent="0.3">
      <c r="A94" s="15" t="s">
        <v>15</v>
      </c>
      <c r="B94" s="47" t="s">
        <v>46</v>
      </c>
      <c r="C94" s="48"/>
      <c r="D94" s="49"/>
      <c r="E94" s="34">
        <f t="shared" ref="E94:AZ94" si="19">SUM(E90:E93)</f>
        <v>1</v>
      </c>
      <c r="F94" s="34">
        <f t="shared" si="19"/>
        <v>0</v>
      </c>
      <c r="G94" s="34">
        <f t="shared" si="19"/>
        <v>0</v>
      </c>
      <c r="H94" s="34">
        <f t="shared" si="19"/>
        <v>2</v>
      </c>
      <c r="I94" s="34">
        <f t="shared" si="19"/>
        <v>1</v>
      </c>
      <c r="J94" s="34">
        <f t="shared" si="19"/>
        <v>0</v>
      </c>
      <c r="K94" s="34">
        <f t="shared" si="19"/>
        <v>3</v>
      </c>
      <c r="L94" s="34">
        <f t="shared" si="19"/>
        <v>1</v>
      </c>
      <c r="M94" s="34">
        <f t="shared" si="19"/>
        <v>0</v>
      </c>
      <c r="N94" s="34">
        <f t="shared" si="19"/>
        <v>3</v>
      </c>
      <c r="O94" s="34">
        <f t="shared" si="19"/>
        <v>1</v>
      </c>
      <c r="P94" s="34">
        <f t="shared" si="19"/>
        <v>2</v>
      </c>
      <c r="Q94" s="34">
        <f t="shared" si="19"/>
        <v>1</v>
      </c>
      <c r="R94" s="34">
        <f t="shared" si="19"/>
        <v>1</v>
      </c>
      <c r="S94" s="34">
        <f t="shared" si="19"/>
        <v>0</v>
      </c>
      <c r="T94" s="34">
        <f t="shared" si="19"/>
        <v>0</v>
      </c>
      <c r="U94" s="34">
        <f t="shared" si="19"/>
        <v>2</v>
      </c>
      <c r="V94" s="34">
        <f t="shared" si="19"/>
        <v>2</v>
      </c>
      <c r="W94" s="34">
        <f t="shared" si="19"/>
        <v>0</v>
      </c>
      <c r="X94" s="34">
        <f t="shared" si="19"/>
        <v>0</v>
      </c>
      <c r="Y94" s="34">
        <f t="shared" si="19"/>
        <v>1</v>
      </c>
      <c r="Z94" s="34">
        <f t="shared" si="19"/>
        <v>0</v>
      </c>
      <c r="AA94" s="34">
        <f t="shared" si="19"/>
        <v>1</v>
      </c>
      <c r="AB94" s="34">
        <f t="shared" si="19"/>
        <v>2</v>
      </c>
      <c r="AC94" s="34">
        <f t="shared" si="19"/>
        <v>1</v>
      </c>
      <c r="AD94" s="34">
        <f t="shared" si="19"/>
        <v>0</v>
      </c>
      <c r="AE94" s="34">
        <f t="shared" si="19"/>
        <v>2</v>
      </c>
      <c r="AF94" s="34">
        <f t="shared" si="19"/>
        <v>3</v>
      </c>
      <c r="AG94" s="34">
        <f t="shared" si="19"/>
        <v>2</v>
      </c>
      <c r="AH94" s="34">
        <f t="shared" si="19"/>
        <v>0</v>
      </c>
      <c r="AI94" s="34">
        <f t="shared" si="19"/>
        <v>1</v>
      </c>
      <c r="AJ94" s="34">
        <f t="shared" si="19"/>
        <v>1</v>
      </c>
      <c r="AK94" s="34">
        <f t="shared" si="19"/>
        <v>1</v>
      </c>
      <c r="AL94" s="34">
        <f t="shared" si="19"/>
        <v>3</v>
      </c>
      <c r="AM94" s="34">
        <f t="shared" si="19"/>
        <v>1</v>
      </c>
      <c r="AN94" s="34">
        <f t="shared" si="19"/>
        <v>0</v>
      </c>
      <c r="AO94" s="34">
        <f t="shared" si="19"/>
        <v>0</v>
      </c>
      <c r="AP94" s="34">
        <f t="shared" si="19"/>
        <v>1</v>
      </c>
      <c r="AQ94" s="34">
        <f t="shared" si="19"/>
        <v>1</v>
      </c>
      <c r="AR94" s="34">
        <f t="shared" si="19"/>
        <v>0</v>
      </c>
      <c r="AS94" s="34">
        <f t="shared" si="19"/>
        <v>1</v>
      </c>
      <c r="AT94" s="34">
        <f t="shared" si="19"/>
        <v>5</v>
      </c>
      <c r="AU94" s="34">
        <f t="shared" si="19"/>
        <v>5</v>
      </c>
      <c r="AV94" s="34">
        <f t="shared" si="19"/>
        <v>4</v>
      </c>
      <c r="AW94" s="34">
        <f t="shared" si="19"/>
        <v>2</v>
      </c>
      <c r="AX94" s="34">
        <f t="shared" si="19"/>
        <v>3</v>
      </c>
      <c r="AY94" s="34">
        <f t="shared" si="19"/>
        <v>4</v>
      </c>
      <c r="AZ94" s="34">
        <f t="shared" si="19"/>
        <v>2</v>
      </c>
      <c r="BA94" s="13">
        <f t="shared" si="13"/>
        <v>67</v>
      </c>
    </row>
    <row r="95" spans="1:53" ht="12.75" customHeight="1" x14ac:dyDescent="0.3">
      <c r="A95" s="35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13">
        <f t="shared" si="13"/>
        <v>0</v>
      </c>
    </row>
    <row r="96" spans="1:53" ht="12.75" customHeight="1" x14ac:dyDescent="0.3">
      <c r="A96" s="19" t="s">
        <v>37</v>
      </c>
      <c r="B96" s="26" t="s">
        <v>81</v>
      </c>
      <c r="C96" s="50" t="s">
        <v>82</v>
      </c>
      <c r="D96" s="49"/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1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2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1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1</v>
      </c>
      <c r="AI96" s="15">
        <v>0</v>
      </c>
      <c r="AJ96" s="15">
        <v>0</v>
      </c>
      <c r="AK96" s="15">
        <v>0</v>
      </c>
      <c r="AL96" s="15">
        <v>1</v>
      </c>
      <c r="AM96" s="15">
        <v>0</v>
      </c>
      <c r="AN96" s="15">
        <v>0</v>
      </c>
      <c r="AO96" s="15">
        <v>1</v>
      </c>
      <c r="AP96" s="15">
        <v>0</v>
      </c>
      <c r="AQ96" s="15">
        <v>0</v>
      </c>
      <c r="AR96" s="15">
        <v>0</v>
      </c>
      <c r="AS96" s="15">
        <v>0</v>
      </c>
      <c r="AT96" s="15">
        <v>1</v>
      </c>
      <c r="AU96" s="15">
        <v>0</v>
      </c>
      <c r="AV96" s="15">
        <v>0</v>
      </c>
      <c r="AW96" s="15">
        <v>0</v>
      </c>
      <c r="AX96" s="15"/>
      <c r="AY96" s="15"/>
      <c r="AZ96" s="15"/>
      <c r="BA96" s="13">
        <f t="shared" si="13"/>
        <v>8</v>
      </c>
    </row>
    <row r="97" spans="1:53" ht="12.75" customHeight="1" x14ac:dyDescent="0.3">
      <c r="A97" s="19" t="s">
        <v>39</v>
      </c>
      <c r="B97" s="27">
        <v>1</v>
      </c>
      <c r="C97" s="28" t="s">
        <v>83</v>
      </c>
      <c r="D97" s="29"/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1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1</v>
      </c>
      <c r="V97" s="15">
        <v>0</v>
      </c>
      <c r="W97" s="15">
        <v>0</v>
      </c>
      <c r="X97" s="15">
        <v>2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1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1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0</v>
      </c>
      <c r="AU97" s="15">
        <v>0</v>
      </c>
      <c r="AV97" s="15">
        <v>0</v>
      </c>
      <c r="AW97" s="15">
        <v>0</v>
      </c>
      <c r="AX97" s="15"/>
      <c r="AY97" s="15"/>
      <c r="AZ97" s="15"/>
      <c r="BA97" s="13">
        <f t="shared" si="13"/>
        <v>6</v>
      </c>
    </row>
    <row r="98" spans="1:53" ht="12.75" customHeight="1" x14ac:dyDescent="0.3">
      <c r="A98" s="19"/>
      <c r="B98" s="27">
        <v>2</v>
      </c>
      <c r="C98" s="28" t="s">
        <v>84</v>
      </c>
      <c r="D98" s="29"/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1</v>
      </c>
      <c r="AP98" s="15">
        <v>0</v>
      </c>
      <c r="AQ98" s="15">
        <v>0</v>
      </c>
      <c r="AR98" s="15">
        <v>0</v>
      </c>
      <c r="AS98" s="15">
        <v>0</v>
      </c>
      <c r="AT98" s="15">
        <v>0</v>
      </c>
      <c r="AU98" s="15">
        <v>0</v>
      </c>
      <c r="AV98" s="15">
        <v>0</v>
      </c>
      <c r="AW98" s="15">
        <v>0</v>
      </c>
      <c r="AX98" s="15"/>
      <c r="AY98" s="15"/>
      <c r="AZ98" s="15"/>
      <c r="BA98" s="13">
        <f t="shared" si="13"/>
        <v>1</v>
      </c>
    </row>
    <row r="99" spans="1:53" ht="12.75" customHeight="1" x14ac:dyDescent="0.3">
      <c r="A99" s="15" t="s">
        <v>15</v>
      </c>
      <c r="B99" s="47" t="s">
        <v>46</v>
      </c>
      <c r="C99" s="48"/>
      <c r="D99" s="49"/>
      <c r="E99" s="34">
        <f t="shared" ref="E99:AZ99" si="20">SUM(E96:E98)</f>
        <v>0</v>
      </c>
      <c r="F99" s="34">
        <f t="shared" si="20"/>
        <v>0</v>
      </c>
      <c r="G99" s="34">
        <f t="shared" si="20"/>
        <v>0</v>
      </c>
      <c r="H99" s="34">
        <f t="shared" si="20"/>
        <v>0</v>
      </c>
      <c r="I99" s="34">
        <f t="shared" si="20"/>
        <v>0</v>
      </c>
      <c r="J99" s="34">
        <f t="shared" si="20"/>
        <v>0</v>
      </c>
      <c r="K99" s="34">
        <f t="shared" si="20"/>
        <v>1</v>
      </c>
      <c r="L99" s="34">
        <f t="shared" si="20"/>
        <v>0</v>
      </c>
      <c r="M99" s="34">
        <f t="shared" si="20"/>
        <v>1</v>
      </c>
      <c r="N99" s="34">
        <f t="shared" si="20"/>
        <v>0</v>
      </c>
      <c r="O99" s="34">
        <f t="shared" si="20"/>
        <v>0</v>
      </c>
      <c r="P99" s="34">
        <f t="shared" si="20"/>
        <v>0</v>
      </c>
      <c r="Q99" s="34">
        <f t="shared" si="20"/>
        <v>0</v>
      </c>
      <c r="R99" s="34">
        <f t="shared" si="20"/>
        <v>0</v>
      </c>
      <c r="S99" s="34">
        <f t="shared" si="20"/>
        <v>0</v>
      </c>
      <c r="T99" s="34">
        <f t="shared" si="20"/>
        <v>2</v>
      </c>
      <c r="U99" s="34">
        <f t="shared" si="20"/>
        <v>1</v>
      </c>
      <c r="V99" s="34">
        <f t="shared" si="20"/>
        <v>0</v>
      </c>
      <c r="W99" s="34">
        <f t="shared" si="20"/>
        <v>0</v>
      </c>
      <c r="X99" s="34">
        <f t="shared" si="20"/>
        <v>2</v>
      </c>
      <c r="Y99" s="34">
        <f t="shared" si="20"/>
        <v>0</v>
      </c>
      <c r="Z99" s="34">
        <f t="shared" si="20"/>
        <v>1</v>
      </c>
      <c r="AA99" s="34">
        <f t="shared" si="20"/>
        <v>0</v>
      </c>
      <c r="AB99" s="34">
        <f t="shared" si="20"/>
        <v>0</v>
      </c>
      <c r="AC99" s="34">
        <f t="shared" si="20"/>
        <v>0</v>
      </c>
      <c r="AD99" s="34">
        <f t="shared" si="20"/>
        <v>0</v>
      </c>
      <c r="AE99" s="34">
        <f t="shared" si="20"/>
        <v>0</v>
      </c>
      <c r="AF99" s="34">
        <f t="shared" si="20"/>
        <v>1</v>
      </c>
      <c r="AG99" s="34">
        <f t="shared" si="20"/>
        <v>0</v>
      </c>
      <c r="AH99" s="34">
        <f t="shared" si="20"/>
        <v>1</v>
      </c>
      <c r="AI99" s="34">
        <f t="shared" si="20"/>
        <v>0</v>
      </c>
      <c r="AJ99" s="34">
        <f t="shared" si="20"/>
        <v>0</v>
      </c>
      <c r="AK99" s="34">
        <f t="shared" si="20"/>
        <v>0</v>
      </c>
      <c r="AL99" s="34">
        <f t="shared" si="20"/>
        <v>1</v>
      </c>
      <c r="AM99" s="34">
        <f t="shared" si="20"/>
        <v>0</v>
      </c>
      <c r="AN99" s="34">
        <f t="shared" si="20"/>
        <v>1</v>
      </c>
      <c r="AO99" s="34">
        <f t="shared" si="20"/>
        <v>2</v>
      </c>
      <c r="AP99" s="34">
        <f t="shared" si="20"/>
        <v>0</v>
      </c>
      <c r="AQ99" s="34">
        <f t="shared" si="20"/>
        <v>0</v>
      </c>
      <c r="AR99" s="34">
        <f t="shared" si="20"/>
        <v>0</v>
      </c>
      <c r="AS99" s="34">
        <f t="shared" si="20"/>
        <v>0</v>
      </c>
      <c r="AT99" s="34">
        <f t="shared" si="20"/>
        <v>1</v>
      </c>
      <c r="AU99" s="34">
        <f t="shared" si="20"/>
        <v>0</v>
      </c>
      <c r="AV99" s="34">
        <f t="shared" si="20"/>
        <v>0</v>
      </c>
      <c r="AW99" s="34">
        <f t="shared" si="20"/>
        <v>0</v>
      </c>
      <c r="AX99" s="34">
        <f t="shared" si="20"/>
        <v>0</v>
      </c>
      <c r="AY99" s="34">
        <f t="shared" si="20"/>
        <v>0</v>
      </c>
      <c r="AZ99" s="34">
        <f t="shared" si="20"/>
        <v>0</v>
      </c>
      <c r="BA99" s="13">
        <f t="shared" si="13"/>
        <v>15</v>
      </c>
    </row>
    <row r="100" spans="1:53" ht="12.75" customHeight="1" x14ac:dyDescent="0.3">
      <c r="A100" s="35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13">
        <f t="shared" si="13"/>
        <v>0</v>
      </c>
    </row>
    <row r="101" spans="1:53" ht="12.75" customHeight="1" x14ac:dyDescent="0.3">
      <c r="A101" s="19" t="s">
        <v>37</v>
      </c>
      <c r="B101" s="26" t="s">
        <v>85</v>
      </c>
      <c r="C101" s="50" t="s">
        <v>86</v>
      </c>
      <c r="D101" s="49"/>
      <c r="E101" s="15">
        <v>2</v>
      </c>
      <c r="F101" s="15">
        <v>0</v>
      </c>
      <c r="G101" s="15">
        <v>0</v>
      </c>
      <c r="H101" s="15">
        <v>1</v>
      </c>
      <c r="I101" s="15">
        <v>1</v>
      </c>
      <c r="J101" s="15">
        <v>0</v>
      </c>
      <c r="K101" s="15">
        <v>4</v>
      </c>
      <c r="L101" s="15">
        <v>0</v>
      </c>
      <c r="M101" s="15">
        <v>2</v>
      </c>
      <c r="N101" s="15">
        <v>1</v>
      </c>
      <c r="O101" s="15">
        <v>0</v>
      </c>
      <c r="P101" s="15">
        <v>0</v>
      </c>
      <c r="Q101" s="15">
        <v>0</v>
      </c>
      <c r="R101" s="15">
        <v>0</v>
      </c>
      <c r="S101" s="15">
        <v>1</v>
      </c>
      <c r="T101" s="15">
        <v>2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1</v>
      </c>
      <c r="AA101" s="15">
        <v>0</v>
      </c>
      <c r="AB101" s="15">
        <v>1</v>
      </c>
      <c r="AC101" s="15">
        <v>1</v>
      </c>
      <c r="AD101" s="15">
        <v>0</v>
      </c>
      <c r="AE101" s="15">
        <v>1</v>
      </c>
      <c r="AF101" s="15">
        <v>0</v>
      </c>
      <c r="AG101" s="15">
        <v>0</v>
      </c>
      <c r="AH101" s="15">
        <v>0</v>
      </c>
      <c r="AI101" s="15">
        <v>0</v>
      </c>
      <c r="AJ101" s="15">
        <v>1</v>
      </c>
      <c r="AK101" s="15">
        <v>0</v>
      </c>
      <c r="AL101" s="15">
        <v>0</v>
      </c>
      <c r="AM101" s="15">
        <v>5</v>
      </c>
      <c r="AN101" s="15">
        <v>0</v>
      </c>
      <c r="AO101" s="15">
        <v>1</v>
      </c>
      <c r="AP101" s="15">
        <v>2</v>
      </c>
      <c r="AQ101" s="15">
        <v>0</v>
      </c>
      <c r="AR101" s="15">
        <v>0</v>
      </c>
      <c r="AS101" s="15">
        <v>0</v>
      </c>
      <c r="AT101" s="15">
        <v>2</v>
      </c>
      <c r="AU101" s="15">
        <v>1</v>
      </c>
      <c r="AV101" s="15">
        <v>1</v>
      </c>
      <c r="AW101" s="15">
        <v>0</v>
      </c>
      <c r="AX101" s="15">
        <v>0</v>
      </c>
      <c r="AY101" s="15">
        <v>0</v>
      </c>
      <c r="AZ101" s="15">
        <v>0</v>
      </c>
      <c r="BA101" s="13">
        <f t="shared" si="13"/>
        <v>31</v>
      </c>
    </row>
    <row r="102" spans="1:53" ht="12.75" customHeight="1" x14ac:dyDescent="0.3">
      <c r="A102" s="19" t="s">
        <v>39</v>
      </c>
      <c r="B102" s="27">
        <v>1</v>
      </c>
      <c r="C102" s="28" t="s">
        <v>87</v>
      </c>
      <c r="D102" s="29"/>
      <c r="E102" s="15">
        <v>4</v>
      </c>
      <c r="F102" s="15">
        <v>0</v>
      </c>
      <c r="G102" s="15">
        <v>1</v>
      </c>
      <c r="H102" s="15">
        <v>0</v>
      </c>
      <c r="I102" s="15">
        <v>0</v>
      </c>
      <c r="J102" s="15">
        <v>2</v>
      </c>
      <c r="K102" s="15">
        <v>0</v>
      </c>
      <c r="L102" s="15">
        <v>8</v>
      </c>
      <c r="M102" s="15">
        <v>8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6</v>
      </c>
      <c r="U102" s="15">
        <v>0</v>
      </c>
      <c r="V102" s="15">
        <v>2</v>
      </c>
      <c r="W102" s="15">
        <v>1</v>
      </c>
      <c r="X102" s="15">
        <v>1</v>
      </c>
      <c r="Y102" s="15">
        <v>1</v>
      </c>
      <c r="Z102" s="15">
        <v>0</v>
      </c>
      <c r="AA102" s="15">
        <v>3</v>
      </c>
      <c r="AB102" s="15">
        <v>3</v>
      </c>
      <c r="AC102" s="15">
        <v>0</v>
      </c>
      <c r="AD102" s="15">
        <v>2</v>
      </c>
      <c r="AE102" s="15">
        <v>0</v>
      </c>
      <c r="AF102" s="15">
        <v>0</v>
      </c>
      <c r="AG102" s="15">
        <v>2</v>
      </c>
      <c r="AH102" s="15">
        <v>0</v>
      </c>
      <c r="AI102" s="15">
        <v>1</v>
      </c>
      <c r="AJ102" s="15">
        <v>2</v>
      </c>
      <c r="AK102" s="15">
        <v>5</v>
      </c>
      <c r="AL102" s="15">
        <v>1</v>
      </c>
      <c r="AM102" s="15">
        <v>2</v>
      </c>
      <c r="AN102" s="15">
        <v>0</v>
      </c>
      <c r="AO102" s="15">
        <v>5</v>
      </c>
      <c r="AP102" s="15">
        <v>2</v>
      </c>
      <c r="AQ102" s="15">
        <v>1</v>
      </c>
      <c r="AR102" s="15">
        <v>1</v>
      </c>
      <c r="AS102" s="15">
        <v>3</v>
      </c>
      <c r="AT102" s="15">
        <v>3</v>
      </c>
      <c r="AU102" s="15">
        <v>0</v>
      </c>
      <c r="AV102" s="15">
        <v>0</v>
      </c>
      <c r="AW102" s="15">
        <v>0</v>
      </c>
      <c r="AX102" s="15">
        <v>1</v>
      </c>
      <c r="AY102" s="15">
        <v>0</v>
      </c>
      <c r="AZ102" s="15">
        <v>0</v>
      </c>
      <c r="BA102" s="13">
        <f t="shared" si="13"/>
        <v>71</v>
      </c>
    </row>
    <row r="103" spans="1:53" ht="15" customHeight="1" x14ac:dyDescent="0.3">
      <c r="A103" s="14"/>
      <c r="B103" s="27">
        <v>2</v>
      </c>
      <c r="C103" s="28" t="s">
        <v>88</v>
      </c>
      <c r="D103" s="29"/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1</v>
      </c>
      <c r="M103" s="15">
        <v>1</v>
      </c>
      <c r="N103" s="15">
        <v>1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1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1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0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3">
        <f t="shared" si="13"/>
        <v>5</v>
      </c>
    </row>
    <row r="104" spans="1:53" ht="12.75" customHeight="1" x14ac:dyDescent="0.3">
      <c r="A104" s="14"/>
      <c r="B104" s="27">
        <v>3</v>
      </c>
      <c r="C104" s="28" t="s">
        <v>89</v>
      </c>
      <c r="D104" s="29"/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1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1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1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1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3">
        <f t="shared" si="13"/>
        <v>4</v>
      </c>
    </row>
    <row r="105" spans="1:53" ht="12.75" customHeight="1" x14ac:dyDescent="0.3">
      <c r="A105" s="14"/>
      <c r="B105" s="27">
        <v>4</v>
      </c>
      <c r="C105" s="28" t="s">
        <v>90</v>
      </c>
      <c r="D105" s="29"/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1</v>
      </c>
      <c r="K105" s="15">
        <v>0</v>
      </c>
      <c r="L105" s="15">
        <v>1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2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</v>
      </c>
      <c r="AW105" s="15">
        <v>0</v>
      </c>
      <c r="AX105" s="15">
        <v>0</v>
      </c>
      <c r="AY105" s="15">
        <v>0</v>
      </c>
      <c r="AZ105" s="15">
        <v>0</v>
      </c>
      <c r="BA105" s="13">
        <f t="shared" si="13"/>
        <v>4</v>
      </c>
    </row>
    <row r="106" spans="1:53" ht="12.75" customHeight="1" x14ac:dyDescent="0.3">
      <c r="A106" s="14"/>
      <c r="B106" s="27">
        <v>5</v>
      </c>
      <c r="C106" s="28" t="s">
        <v>91</v>
      </c>
      <c r="D106" s="29"/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1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3">
        <f t="shared" si="13"/>
        <v>1</v>
      </c>
    </row>
    <row r="107" spans="1:53" ht="12.75" customHeight="1" x14ac:dyDescent="0.3">
      <c r="A107" s="14"/>
      <c r="B107" s="27">
        <v>6</v>
      </c>
      <c r="C107" s="28" t="s">
        <v>92</v>
      </c>
      <c r="D107" s="29"/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0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3">
        <f t="shared" si="13"/>
        <v>0</v>
      </c>
    </row>
    <row r="108" spans="1:53" ht="12.75" customHeight="1" x14ac:dyDescent="0.3">
      <c r="A108" s="15" t="s">
        <v>15</v>
      </c>
      <c r="B108" s="47" t="s">
        <v>46</v>
      </c>
      <c r="C108" s="48"/>
      <c r="D108" s="49"/>
      <c r="E108" s="34">
        <f t="shared" ref="E108:AZ108" si="21">SUM(E101:E107)</f>
        <v>6</v>
      </c>
      <c r="F108" s="34">
        <f t="shared" si="21"/>
        <v>0</v>
      </c>
      <c r="G108" s="34">
        <f t="shared" si="21"/>
        <v>1</v>
      </c>
      <c r="H108" s="34">
        <f t="shared" si="21"/>
        <v>1</v>
      </c>
      <c r="I108" s="34">
        <f t="shared" si="21"/>
        <v>1</v>
      </c>
      <c r="J108" s="34">
        <f t="shared" si="21"/>
        <v>4</v>
      </c>
      <c r="K108" s="34">
        <f t="shared" si="21"/>
        <v>5</v>
      </c>
      <c r="L108" s="34">
        <f t="shared" si="21"/>
        <v>10</v>
      </c>
      <c r="M108" s="34">
        <f t="shared" si="21"/>
        <v>11</v>
      </c>
      <c r="N108" s="34">
        <f t="shared" si="21"/>
        <v>2</v>
      </c>
      <c r="O108" s="34">
        <f t="shared" si="21"/>
        <v>0</v>
      </c>
      <c r="P108" s="34">
        <f t="shared" si="21"/>
        <v>0</v>
      </c>
      <c r="Q108" s="34">
        <f t="shared" si="21"/>
        <v>0</v>
      </c>
      <c r="R108" s="34">
        <f t="shared" si="21"/>
        <v>0</v>
      </c>
      <c r="S108" s="34">
        <f t="shared" si="21"/>
        <v>1</v>
      </c>
      <c r="T108" s="34">
        <f t="shared" si="21"/>
        <v>8</v>
      </c>
      <c r="U108" s="34">
        <f t="shared" si="21"/>
        <v>0</v>
      </c>
      <c r="V108" s="34">
        <f t="shared" si="21"/>
        <v>3</v>
      </c>
      <c r="W108" s="34">
        <f t="shared" si="21"/>
        <v>1</v>
      </c>
      <c r="X108" s="34">
        <f t="shared" si="21"/>
        <v>1</v>
      </c>
      <c r="Y108" s="34">
        <f t="shared" si="21"/>
        <v>1</v>
      </c>
      <c r="Z108" s="34">
        <f t="shared" si="21"/>
        <v>2</v>
      </c>
      <c r="AA108" s="34">
        <f t="shared" si="21"/>
        <v>3</v>
      </c>
      <c r="AB108" s="34">
        <f t="shared" si="21"/>
        <v>4</v>
      </c>
      <c r="AC108" s="34">
        <f t="shared" si="21"/>
        <v>2</v>
      </c>
      <c r="AD108" s="34">
        <f t="shared" si="21"/>
        <v>2</v>
      </c>
      <c r="AE108" s="34">
        <f t="shared" si="21"/>
        <v>1</v>
      </c>
      <c r="AF108" s="34">
        <f t="shared" si="21"/>
        <v>1</v>
      </c>
      <c r="AG108" s="34">
        <f t="shared" si="21"/>
        <v>2</v>
      </c>
      <c r="AH108" s="34">
        <f t="shared" si="21"/>
        <v>0</v>
      </c>
      <c r="AI108" s="34">
        <f t="shared" si="21"/>
        <v>1</v>
      </c>
      <c r="AJ108" s="34">
        <f t="shared" si="21"/>
        <v>3</v>
      </c>
      <c r="AK108" s="34">
        <f t="shared" si="21"/>
        <v>5</v>
      </c>
      <c r="AL108" s="34">
        <f t="shared" si="21"/>
        <v>2</v>
      </c>
      <c r="AM108" s="34">
        <f t="shared" si="21"/>
        <v>9</v>
      </c>
      <c r="AN108" s="34">
        <f t="shared" si="21"/>
        <v>0</v>
      </c>
      <c r="AO108" s="34">
        <f t="shared" si="21"/>
        <v>6</v>
      </c>
      <c r="AP108" s="34">
        <f t="shared" si="21"/>
        <v>4</v>
      </c>
      <c r="AQ108" s="34">
        <f t="shared" si="21"/>
        <v>1</v>
      </c>
      <c r="AR108" s="34">
        <f t="shared" si="21"/>
        <v>1</v>
      </c>
      <c r="AS108" s="34">
        <f t="shared" si="21"/>
        <v>3</v>
      </c>
      <c r="AT108" s="34">
        <f t="shared" si="21"/>
        <v>5</v>
      </c>
      <c r="AU108" s="34">
        <f t="shared" si="21"/>
        <v>1</v>
      </c>
      <c r="AV108" s="34">
        <f t="shared" si="21"/>
        <v>1</v>
      </c>
      <c r="AW108" s="34">
        <f t="shared" si="21"/>
        <v>0</v>
      </c>
      <c r="AX108" s="34">
        <f t="shared" si="21"/>
        <v>1</v>
      </c>
      <c r="AY108" s="34">
        <f t="shared" si="21"/>
        <v>0</v>
      </c>
      <c r="AZ108" s="34">
        <f t="shared" si="21"/>
        <v>0</v>
      </c>
      <c r="BA108" s="13">
        <f t="shared" si="13"/>
        <v>116</v>
      </c>
    </row>
    <row r="109" spans="1:53" ht="12.75" customHeight="1" x14ac:dyDescent="0.3">
      <c r="A109" s="35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13">
        <f t="shared" si="13"/>
        <v>0</v>
      </c>
    </row>
    <row r="110" spans="1:53" ht="12.75" customHeight="1" x14ac:dyDescent="0.3">
      <c r="A110" s="19" t="s">
        <v>37</v>
      </c>
      <c r="B110" s="26" t="s">
        <v>93</v>
      </c>
      <c r="C110" s="50" t="s">
        <v>94</v>
      </c>
      <c r="D110" s="49"/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1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0</v>
      </c>
      <c r="AU110" s="15">
        <v>0</v>
      </c>
      <c r="AV110" s="15">
        <v>0</v>
      </c>
      <c r="AW110" s="15">
        <v>0</v>
      </c>
      <c r="AX110" s="15"/>
      <c r="AY110" s="15"/>
      <c r="AZ110" s="15"/>
      <c r="BA110" s="13">
        <f t="shared" si="13"/>
        <v>1</v>
      </c>
    </row>
    <row r="111" spans="1:53" ht="12.75" customHeight="1" x14ac:dyDescent="0.3">
      <c r="A111" s="19"/>
      <c r="B111" s="26">
        <v>1</v>
      </c>
      <c r="C111" s="28" t="s">
        <v>95</v>
      </c>
      <c r="D111" s="37"/>
      <c r="E111" s="15">
        <v>0</v>
      </c>
      <c r="F111" s="15">
        <v>0</v>
      </c>
      <c r="G111" s="15">
        <v>1</v>
      </c>
      <c r="H111" s="15">
        <v>0</v>
      </c>
      <c r="I111" s="15">
        <v>0</v>
      </c>
      <c r="J111" s="15">
        <v>0</v>
      </c>
      <c r="K111" s="15">
        <v>0</v>
      </c>
      <c r="L111" s="15">
        <v>2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5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/>
      <c r="AY111" s="15"/>
      <c r="AZ111" s="15"/>
      <c r="BA111" s="13">
        <f t="shared" si="13"/>
        <v>8</v>
      </c>
    </row>
    <row r="112" spans="1:53" ht="12.75" customHeight="1" x14ac:dyDescent="0.3">
      <c r="A112" s="19"/>
      <c r="B112" s="26">
        <v>2</v>
      </c>
      <c r="C112" s="28" t="s">
        <v>96</v>
      </c>
      <c r="D112" s="37"/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1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5">
        <v>0</v>
      </c>
      <c r="AX112" s="15"/>
      <c r="AY112" s="15"/>
      <c r="AZ112" s="15"/>
      <c r="BA112" s="13">
        <f t="shared" si="13"/>
        <v>1</v>
      </c>
    </row>
    <row r="113" spans="1:55" ht="12.75" customHeight="1" x14ac:dyDescent="0.3">
      <c r="A113" s="19"/>
      <c r="B113" s="26">
        <v>3</v>
      </c>
      <c r="C113" s="28" t="s">
        <v>97</v>
      </c>
      <c r="D113" s="37"/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1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/>
      <c r="AY113" s="15"/>
      <c r="AZ113" s="15"/>
      <c r="BA113" s="13">
        <f t="shared" si="13"/>
        <v>1</v>
      </c>
    </row>
    <row r="114" spans="1:55" ht="12.75" customHeight="1" x14ac:dyDescent="0.3">
      <c r="A114" s="19" t="s">
        <v>39</v>
      </c>
      <c r="B114" s="27">
        <v>4</v>
      </c>
      <c r="C114" s="28" t="s">
        <v>98</v>
      </c>
      <c r="D114" s="29"/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/>
      <c r="AY114" s="15"/>
      <c r="AZ114" s="15"/>
      <c r="BA114" s="13">
        <f t="shared" si="13"/>
        <v>0</v>
      </c>
    </row>
    <row r="115" spans="1:55" ht="12.75" customHeight="1" x14ac:dyDescent="0.3">
      <c r="A115" s="15" t="s">
        <v>15</v>
      </c>
      <c r="B115" s="47" t="s">
        <v>46</v>
      </c>
      <c r="C115" s="48"/>
      <c r="D115" s="49"/>
      <c r="E115" s="34">
        <f t="shared" ref="E115:AZ115" si="22">SUM(E110:E114)</f>
        <v>0</v>
      </c>
      <c r="F115" s="34">
        <f t="shared" si="22"/>
        <v>0</v>
      </c>
      <c r="G115" s="34">
        <f t="shared" si="22"/>
        <v>1</v>
      </c>
      <c r="H115" s="34">
        <f t="shared" si="22"/>
        <v>0</v>
      </c>
      <c r="I115" s="34">
        <f t="shared" si="22"/>
        <v>0</v>
      </c>
      <c r="J115" s="34">
        <f t="shared" si="22"/>
        <v>0</v>
      </c>
      <c r="K115" s="34">
        <f t="shared" si="22"/>
        <v>0</v>
      </c>
      <c r="L115" s="34">
        <f t="shared" si="22"/>
        <v>2</v>
      </c>
      <c r="M115" s="34">
        <f t="shared" si="22"/>
        <v>0</v>
      </c>
      <c r="N115" s="34">
        <f t="shared" si="22"/>
        <v>0</v>
      </c>
      <c r="O115" s="34">
        <f t="shared" si="22"/>
        <v>0</v>
      </c>
      <c r="P115" s="34">
        <f t="shared" si="22"/>
        <v>0</v>
      </c>
      <c r="Q115" s="34">
        <f t="shared" si="22"/>
        <v>0</v>
      </c>
      <c r="R115" s="34">
        <f t="shared" si="22"/>
        <v>0</v>
      </c>
      <c r="S115" s="34">
        <f t="shared" si="22"/>
        <v>0</v>
      </c>
      <c r="T115" s="34">
        <f t="shared" si="22"/>
        <v>0</v>
      </c>
      <c r="U115" s="34">
        <f t="shared" si="22"/>
        <v>0</v>
      </c>
      <c r="V115" s="34">
        <f t="shared" si="22"/>
        <v>0</v>
      </c>
      <c r="W115" s="34">
        <f t="shared" si="22"/>
        <v>0</v>
      </c>
      <c r="X115" s="34">
        <f t="shared" si="22"/>
        <v>0</v>
      </c>
      <c r="Y115" s="34">
        <f t="shared" si="22"/>
        <v>0</v>
      </c>
      <c r="Z115" s="34">
        <f t="shared" si="22"/>
        <v>0</v>
      </c>
      <c r="AA115" s="34">
        <f t="shared" si="22"/>
        <v>0</v>
      </c>
      <c r="AB115" s="34">
        <f t="shared" si="22"/>
        <v>6</v>
      </c>
      <c r="AC115" s="34">
        <f t="shared" si="22"/>
        <v>1</v>
      </c>
      <c r="AD115" s="34">
        <f t="shared" si="22"/>
        <v>0</v>
      </c>
      <c r="AE115" s="34">
        <f t="shared" si="22"/>
        <v>0</v>
      </c>
      <c r="AF115" s="34">
        <f t="shared" si="22"/>
        <v>0</v>
      </c>
      <c r="AG115" s="34">
        <f t="shared" si="22"/>
        <v>0</v>
      </c>
      <c r="AH115" s="34">
        <f t="shared" si="22"/>
        <v>0</v>
      </c>
      <c r="AI115" s="34">
        <f t="shared" si="22"/>
        <v>0</v>
      </c>
      <c r="AJ115" s="34">
        <f t="shared" si="22"/>
        <v>1</v>
      </c>
      <c r="AK115" s="34">
        <f t="shared" si="22"/>
        <v>0</v>
      </c>
      <c r="AL115" s="34">
        <f t="shared" si="22"/>
        <v>0</v>
      </c>
      <c r="AM115" s="34">
        <f t="shared" si="22"/>
        <v>0</v>
      </c>
      <c r="AN115" s="34">
        <f t="shared" si="22"/>
        <v>0</v>
      </c>
      <c r="AO115" s="34">
        <f t="shared" si="22"/>
        <v>0</v>
      </c>
      <c r="AP115" s="34">
        <f t="shared" si="22"/>
        <v>0</v>
      </c>
      <c r="AQ115" s="34">
        <f t="shared" si="22"/>
        <v>0</v>
      </c>
      <c r="AR115" s="34">
        <f t="shared" si="22"/>
        <v>0</v>
      </c>
      <c r="AS115" s="34">
        <f t="shared" si="22"/>
        <v>0</v>
      </c>
      <c r="AT115" s="34">
        <f t="shared" si="22"/>
        <v>0</v>
      </c>
      <c r="AU115" s="34">
        <f t="shared" si="22"/>
        <v>0</v>
      </c>
      <c r="AV115" s="34">
        <f t="shared" si="22"/>
        <v>0</v>
      </c>
      <c r="AW115" s="34">
        <f t="shared" si="22"/>
        <v>0</v>
      </c>
      <c r="AX115" s="34">
        <f t="shared" si="22"/>
        <v>0</v>
      </c>
      <c r="AY115" s="34">
        <f t="shared" si="22"/>
        <v>0</v>
      </c>
      <c r="AZ115" s="34">
        <f t="shared" si="22"/>
        <v>0</v>
      </c>
      <c r="BA115" s="13">
        <f t="shared" si="13"/>
        <v>11</v>
      </c>
    </row>
    <row r="116" spans="1:55" ht="12.75" customHeight="1" x14ac:dyDescent="0.3">
      <c r="A116" s="35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13">
        <f t="shared" si="13"/>
        <v>0</v>
      </c>
    </row>
    <row r="117" spans="1:55" ht="12.75" customHeight="1" x14ac:dyDescent="0.3">
      <c r="A117" s="19" t="s">
        <v>37</v>
      </c>
      <c r="B117" s="26" t="s">
        <v>99</v>
      </c>
      <c r="C117" s="50" t="s">
        <v>100</v>
      </c>
      <c r="D117" s="49"/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1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15">
        <v>0</v>
      </c>
      <c r="AT117" s="15">
        <v>0</v>
      </c>
      <c r="AU117" s="15">
        <v>0</v>
      </c>
      <c r="AV117" s="15">
        <v>0</v>
      </c>
      <c r="AW117" s="15">
        <v>0</v>
      </c>
      <c r="AX117" s="15">
        <v>0</v>
      </c>
      <c r="AY117" s="15">
        <v>1</v>
      </c>
      <c r="AZ117" s="15">
        <v>0</v>
      </c>
      <c r="BA117" s="13">
        <f t="shared" si="13"/>
        <v>2</v>
      </c>
      <c r="BB117" s="5"/>
      <c r="BC117" s="5"/>
    </row>
    <row r="118" spans="1:55" ht="12.75" customHeight="1" x14ac:dyDescent="0.3">
      <c r="A118" s="19" t="s">
        <v>39</v>
      </c>
      <c r="B118" s="27">
        <v>1</v>
      </c>
      <c r="C118" s="28" t="s">
        <v>101</v>
      </c>
      <c r="D118" s="29"/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1</v>
      </c>
      <c r="AF118" s="15">
        <v>1</v>
      </c>
      <c r="AG118" s="15">
        <v>0</v>
      </c>
      <c r="AH118" s="15">
        <v>1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1</v>
      </c>
      <c r="AW118" s="15">
        <v>0</v>
      </c>
      <c r="AX118" s="15">
        <v>0</v>
      </c>
      <c r="AY118" s="15">
        <v>0</v>
      </c>
      <c r="AZ118" s="15">
        <v>0</v>
      </c>
      <c r="BA118" s="13">
        <f t="shared" si="13"/>
        <v>4</v>
      </c>
      <c r="BB118" s="5"/>
      <c r="BC118" s="5"/>
    </row>
    <row r="119" spans="1:55" ht="12.75" customHeight="1" x14ac:dyDescent="0.3">
      <c r="A119" s="14"/>
      <c r="B119" s="27">
        <v>2</v>
      </c>
      <c r="C119" s="28" t="s">
        <v>102</v>
      </c>
      <c r="D119" s="29"/>
      <c r="E119" s="15">
        <v>0</v>
      </c>
      <c r="F119" s="15">
        <v>1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1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3">
        <f t="shared" si="13"/>
        <v>2</v>
      </c>
      <c r="BB119" s="5"/>
      <c r="BC119" s="5"/>
    </row>
    <row r="120" spans="1:55" ht="12.75" customHeight="1" x14ac:dyDescent="0.3">
      <c r="A120" s="14"/>
      <c r="B120" s="27">
        <v>3</v>
      </c>
      <c r="C120" s="28" t="s">
        <v>103</v>
      </c>
      <c r="D120" s="29"/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3">
        <f t="shared" si="13"/>
        <v>0</v>
      </c>
      <c r="BB120" s="5"/>
      <c r="BC120" s="5"/>
    </row>
    <row r="121" spans="1:55" ht="12.75" customHeight="1" x14ac:dyDescent="0.3">
      <c r="A121" s="14"/>
      <c r="B121" s="27">
        <v>4</v>
      </c>
      <c r="C121" s="28" t="s">
        <v>104</v>
      </c>
      <c r="D121" s="29"/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2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1</v>
      </c>
      <c r="S121" s="15">
        <v>1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3</v>
      </c>
      <c r="AP121" s="15">
        <v>0</v>
      </c>
      <c r="AQ121" s="15">
        <v>0</v>
      </c>
      <c r="AR121" s="15">
        <v>0</v>
      </c>
      <c r="AS121" s="15">
        <v>1</v>
      </c>
      <c r="AT121" s="15">
        <v>0</v>
      </c>
      <c r="AU121" s="15">
        <v>1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3">
        <f t="shared" si="13"/>
        <v>9</v>
      </c>
      <c r="BB121" s="5"/>
      <c r="BC121" s="5"/>
    </row>
    <row r="122" spans="1:55" ht="12.75" customHeight="1" x14ac:dyDescent="0.3">
      <c r="A122" s="14"/>
      <c r="B122" s="27">
        <v>5</v>
      </c>
      <c r="C122" s="28" t="s">
        <v>105</v>
      </c>
      <c r="D122" s="29"/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1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2</v>
      </c>
      <c r="AF122" s="15">
        <v>0</v>
      </c>
      <c r="AG122" s="15">
        <v>2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1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</v>
      </c>
      <c r="AY122" s="15">
        <v>0</v>
      </c>
      <c r="AZ122" s="15">
        <v>0</v>
      </c>
      <c r="BA122" s="13">
        <f t="shared" si="13"/>
        <v>6</v>
      </c>
      <c r="BB122" s="5"/>
      <c r="BC122" s="5"/>
    </row>
    <row r="123" spans="1:55" ht="12.75" customHeight="1" x14ac:dyDescent="0.3">
      <c r="A123" s="14"/>
      <c r="B123" s="27">
        <v>6</v>
      </c>
      <c r="C123" s="28" t="s">
        <v>106</v>
      </c>
      <c r="D123" s="29"/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1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3</v>
      </c>
      <c r="AZ123" s="15">
        <v>0</v>
      </c>
      <c r="BA123" s="13">
        <f t="shared" si="13"/>
        <v>4</v>
      </c>
      <c r="BB123" s="5"/>
      <c r="BC123" s="5"/>
    </row>
    <row r="124" spans="1:55" ht="12.75" customHeight="1" x14ac:dyDescent="0.3">
      <c r="A124" s="15" t="s">
        <v>15</v>
      </c>
      <c r="B124" s="47" t="s">
        <v>46</v>
      </c>
      <c r="C124" s="48"/>
      <c r="D124" s="49"/>
      <c r="E124" s="34">
        <f t="shared" ref="E124:AZ124" si="23">SUM(E117:E123)</f>
        <v>0</v>
      </c>
      <c r="F124" s="34">
        <f t="shared" si="23"/>
        <v>1</v>
      </c>
      <c r="G124" s="34">
        <f t="shared" si="23"/>
        <v>0</v>
      </c>
      <c r="H124" s="34">
        <f t="shared" si="23"/>
        <v>0</v>
      </c>
      <c r="I124" s="34">
        <f t="shared" si="23"/>
        <v>0</v>
      </c>
      <c r="J124" s="34">
        <f t="shared" si="23"/>
        <v>2</v>
      </c>
      <c r="K124" s="34">
        <f t="shared" si="23"/>
        <v>0</v>
      </c>
      <c r="L124" s="34">
        <f t="shared" si="23"/>
        <v>0</v>
      </c>
      <c r="M124" s="34">
        <f t="shared" si="23"/>
        <v>0</v>
      </c>
      <c r="N124" s="34">
        <f t="shared" si="23"/>
        <v>0</v>
      </c>
      <c r="O124" s="34">
        <f t="shared" si="23"/>
        <v>0</v>
      </c>
      <c r="P124" s="34">
        <f t="shared" si="23"/>
        <v>0</v>
      </c>
      <c r="Q124" s="34">
        <f t="shared" si="23"/>
        <v>0</v>
      </c>
      <c r="R124" s="34">
        <f t="shared" si="23"/>
        <v>1</v>
      </c>
      <c r="S124" s="34">
        <f t="shared" si="23"/>
        <v>1</v>
      </c>
      <c r="T124" s="34">
        <f t="shared" si="23"/>
        <v>1</v>
      </c>
      <c r="U124" s="34">
        <f t="shared" si="23"/>
        <v>0</v>
      </c>
      <c r="V124" s="34">
        <f t="shared" si="23"/>
        <v>0</v>
      </c>
      <c r="W124" s="34">
        <f t="shared" si="23"/>
        <v>0</v>
      </c>
      <c r="X124" s="34">
        <f t="shared" si="23"/>
        <v>0</v>
      </c>
      <c r="Y124" s="34">
        <f t="shared" si="23"/>
        <v>0</v>
      </c>
      <c r="Z124" s="34">
        <f t="shared" si="23"/>
        <v>0</v>
      </c>
      <c r="AA124" s="34">
        <f t="shared" si="23"/>
        <v>2</v>
      </c>
      <c r="AB124" s="34">
        <f t="shared" si="23"/>
        <v>0</v>
      </c>
      <c r="AC124" s="34">
        <f t="shared" si="23"/>
        <v>0</v>
      </c>
      <c r="AD124" s="34">
        <f t="shared" si="23"/>
        <v>0</v>
      </c>
      <c r="AE124" s="34">
        <f t="shared" si="23"/>
        <v>3</v>
      </c>
      <c r="AF124" s="34">
        <f t="shared" si="23"/>
        <v>1</v>
      </c>
      <c r="AG124" s="34">
        <f t="shared" si="23"/>
        <v>2</v>
      </c>
      <c r="AH124" s="34">
        <f t="shared" si="23"/>
        <v>1</v>
      </c>
      <c r="AI124" s="34">
        <f t="shared" si="23"/>
        <v>0</v>
      </c>
      <c r="AJ124" s="34">
        <f t="shared" si="23"/>
        <v>0</v>
      </c>
      <c r="AK124" s="34">
        <f t="shared" si="23"/>
        <v>0</v>
      </c>
      <c r="AL124" s="34">
        <f t="shared" si="23"/>
        <v>0</v>
      </c>
      <c r="AM124" s="34">
        <f t="shared" si="23"/>
        <v>0</v>
      </c>
      <c r="AN124" s="34">
        <f t="shared" si="23"/>
        <v>1</v>
      </c>
      <c r="AO124" s="34">
        <f t="shared" si="23"/>
        <v>3</v>
      </c>
      <c r="AP124" s="34">
        <f t="shared" si="23"/>
        <v>0</v>
      </c>
      <c r="AQ124" s="34">
        <f t="shared" si="23"/>
        <v>0</v>
      </c>
      <c r="AR124" s="34">
        <f t="shared" si="23"/>
        <v>1</v>
      </c>
      <c r="AS124" s="34">
        <f t="shared" si="23"/>
        <v>1</v>
      </c>
      <c r="AT124" s="34">
        <f t="shared" si="23"/>
        <v>0</v>
      </c>
      <c r="AU124" s="34">
        <f t="shared" si="23"/>
        <v>1</v>
      </c>
      <c r="AV124" s="34">
        <f t="shared" si="23"/>
        <v>1</v>
      </c>
      <c r="AW124" s="34">
        <f t="shared" si="23"/>
        <v>0</v>
      </c>
      <c r="AX124" s="34">
        <f t="shared" si="23"/>
        <v>0</v>
      </c>
      <c r="AY124" s="34">
        <f t="shared" si="23"/>
        <v>4</v>
      </c>
      <c r="AZ124" s="34">
        <f t="shared" si="23"/>
        <v>0</v>
      </c>
      <c r="BA124" s="13">
        <f t="shared" si="13"/>
        <v>27</v>
      </c>
      <c r="BB124" s="5"/>
      <c r="BC124" s="5"/>
    </row>
    <row r="125" spans="1:55" ht="12.75" customHeight="1" x14ac:dyDescent="0.3">
      <c r="A125" s="35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13">
        <f t="shared" si="13"/>
        <v>0</v>
      </c>
      <c r="BB125" s="5"/>
      <c r="BC125" s="5"/>
    </row>
    <row r="126" spans="1:55" ht="12.75" customHeight="1" x14ac:dyDescent="0.3">
      <c r="A126" s="19" t="s">
        <v>37</v>
      </c>
      <c r="B126" s="26" t="s">
        <v>107</v>
      </c>
      <c r="C126" s="50" t="s">
        <v>108</v>
      </c>
      <c r="D126" s="49"/>
      <c r="E126" s="15">
        <v>0</v>
      </c>
      <c r="F126" s="15">
        <v>0</v>
      </c>
      <c r="G126" s="15">
        <v>0</v>
      </c>
      <c r="H126" s="15">
        <v>0</v>
      </c>
      <c r="I126" s="15">
        <v>1</v>
      </c>
      <c r="J126" s="15">
        <v>0</v>
      </c>
      <c r="K126" s="15">
        <v>0</v>
      </c>
      <c r="L126" s="15">
        <v>1</v>
      </c>
      <c r="M126" s="15">
        <v>0</v>
      </c>
      <c r="N126" s="15">
        <v>1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1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1</v>
      </c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>
        <v>1</v>
      </c>
      <c r="AZ126" s="15"/>
      <c r="BA126" s="13">
        <f t="shared" si="13"/>
        <v>6</v>
      </c>
      <c r="BB126" s="5"/>
      <c r="BC126" s="5"/>
    </row>
    <row r="127" spans="1:55" ht="15" customHeight="1" x14ac:dyDescent="0.3">
      <c r="A127" s="19" t="s">
        <v>39</v>
      </c>
      <c r="B127" s="27"/>
      <c r="C127" s="28"/>
      <c r="D127" s="29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3">
        <f t="shared" si="13"/>
        <v>0</v>
      </c>
      <c r="BB127" s="5"/>
      <c r="BC127" s="5"/>
    </row>
    <row r="128" spans="1:55" ht="12.75" customHeight="1" x14ac:dyDescent="0.3">
      <c r="A128" s="15" t="s">
        <v>15</v>
      </c>
      <c r="B128" s="47" t="s">
        <v>46</v>
      </c>
      <c r="C128" s="48"/>
      <c r="D128" s="49"/>
      <c r="E128" s="34">
        <f t="shared" ref="E128:AZ128" si="24">SUM(E126:E127)</f>
        <v>0</v>
      </c>
      <c r="F128" s="34">
        <f t="shared" si="24"/>
        <v>0</v>
      </c>
      <c r="G128" s="34">
        <f t="shared" si="24"/>
        <v>0</v>
      </c>
      <c r="H128" s="34">
        <f t="shared" si="24"/>
        <v>0</v>
      </c>
      <c r="I128" s="34">
        <f t="shared" si="24"/>
        <v>1</v>
      </c>
      <c r="J128" s="34">
        <f t="shared" si="24"/>
        <v>0</v>
      </c>
      <c r="K128" s="34">
        <f t="shared" si="24"/>
        <v>0</v>
      </c>
      <c r="L128" s="34">
        <f t="shared" si="24"/>
        <v>1</v>
      </c>
      <c r="M128" s="34">
        <f t="shared" si="24"/>
        <v>0</v>
      </c>
      <c r="N128" s="34">
        <f t="shared" si="24"/>
        <v>1</v>
      </c>
      <c r="O128" s="34">
        <f t="shared" si="24"/>
        <v>0</v>
      </c>
      <c r="P128" s="34">
        <f t="shared" si="24"/>
        <v>0</v>
      </c>
      <c r="Q128" s="34">
        <f t="shared" si="24"/>
        <v>0</v>
      </c>
      <c r="R128" s="34">
        <f t="shared" si="24"/>
        <v>0</v>
      </c>
      <c r="S128" s="34">
        <f t="shared" si="24"/>
        <v>0</v>
      </c>
      <c r="T128" s="34">
        <f t="shared" si="24"/>
        <v>0</v>
      </c>
      <c r="U128" s="34">
        <f t="shared" si="24"/>
        <v>1</v>
      </c>
      <c r="V128" s="34">
        <f t="shared" si="24"/>
        <v>0</v>
      </c>
      <c r="W128" s="34">
        <f t="shared" si="24"/>
        <v>0</v>
      </c>
      <c r="X128" s="34">
        <f t="shared" si="24"/>
        <v>0</v>
      </c>
      <c r="Y128" s="34">
        <f t="shared" si="24"/>
        <v>0</v>
      </c>
      <c r="Z128" s="34">
        <f t="shared" si="24"/>
        <v>0</v>
      </c>
      <c r="AA128" s="34">
        <f t="shared" si="24"/>
        <v>0</v>
      </c>
      <c r="AB128" s="34">
        <f t="shared" si="24"/>
        <v>0</v>
      </c>
      <c r="AC128" s="34">
        <f t="shared" si="24"/>
        <v>0</v>
      </c>
      <c r="AD128" s="34">
        <f t="shared" si="24"/>
        <v>0</v>
      </c>
      <c r="AE128" s="34">
        <f t="shared" si="24"/>
        <v>0</v>
      </c>
      <c r="AF128" s="34">
        <f t="shared" si="24"/>
        <v>0</v>
      </c>
      <c r="AG128" s="34">
        <f t="shared" si="24"/>
        <v>0</v>
      </c>
      <c r="AH128" s="34">
        <f t="shared" si="24"/>
        <v>1</v>
      </c>
      <c r="AI128" s="34">
        <f t="shared" si="24"/>
        <v>0</v>
      </c>
      <c r="AJ128" s="34">
        <f t="shared" si="24"/>
        <v>0</v>
      </c>
      <c r="AK128" s="34">
        <f t="shared" si="24"/>
        <v>0</v>
      </c>
      <c r="AL128" s="34">
        <f t="shared" si="24"/>
        <v>0</v>
      </c>
      <c r="AM128" s="34">
        <f t="shared" si="24"/>
        <v>0</v>
      </c>
      <c r="AN128" s="34">
        <f t="shared" si="24"/>
        <v>0</v>
      </c>
      <c r="AO128" s="34">
        <f t="shared" si="24"/>
        <v>0</v>
      </c>
      <c r="AP128" s="34">
        <f t="shared" si="24"/>
        <v>0</v>
      </c>
      <c r="AQ128" s="34">
        <f t="shared" si="24"/>
        <v>0</v>
      </c>
      <c r="AR128" s="34">
        <f t="shared" si="24"/>
        <v>0</v>
      </c>
      <c r="AS128" s="34">
        <f t="shared" si="24"/>
        <v>0</v>
      </c>
      <c r="AT128" s="34">
        <f t="shared" si="24"/>
        <v>0</v>
      </c>
      <c r="AU128" s="34">
        <f t="shared" si="24"/>
        <v>0</v>
      </c>
      <c r="AV128" s="34">
        <f t="shared" si="24"/>
        <v>0</v>
      </c>
      <c r="AW128" s="34">
        <f t="shared" si="24"/>
        <v>0</v>
      </c>
      <c r="AX128" s="34">
        <f t="shared" si="24"/>
        <v>0</v>
      </c>
      <c r="AY128" s="34">
        <f t="shared" si="24"/>
        <v>1</v>
      </c>
      <c r="AZ128" s="34">
        <f t="shared" si="24"/>
        <v>0</v>
      </c>
      <c r="BA128" s="13">
        <f t="shared" si="13"/>
        <v>6</v>
      </c>
      <c r="BB128" s="5"/>
      <c r="BC128" s="5"/>
    </row>
    <row r="129" spans="1:55" ht="12.75" customHeight="1" x14ac:dyDescent="0.3">
      <c r="A129" s="35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13">
        <f t="shared" si="13"/>
        <v>0</v>
      </c>
      <c r="BB129" s="5"/>
      <c r="BC129" s="5"/>
    </row>
    <row r="130" spans="1:55" ht="12.75" customHeight="1" x14ac:dyDescent="0.3">
      <c r="A130" s="19" t="s">
        <v>37</v>
      </c>
      <c r="B130" s="26" t="s">
        <v>109</v>
      </c>
      <c r="C130" s="50" t="s">
        <v>110</v>
      </c>
      <c r="D130" s="49"/>
      <c r="E130" s="15">
        <v>0</v>
      </c>
      <c r="F130" s="15">
        <v>1</v>
      </c>
      <c r="G130" s="15">
        <v>0</v>
      </c>
      <c r="H130" s="15">
        <v>1</v>
      </c>
      <c r="I130" s="15">
        <v>0</v>
      </c>
      <c r="J130" s="15">
        <v>0</v>
      </c>
      <c r="K130" s="15">
        <v>0</v>
      </c>
      <c r="L130" s="15">
        <v>1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1</v>
      </c>
      <c r="AC130" s="15">
        <v>0</v>
      </c>
      <c r="AD130" s="15">
        <v>2</v>
      </c>
      <c r="AE130" s="15">
        <v>0</v>
      </c>
      <c r="AF130" s="15">
        <v>0</v>
      </c>
      <c r="AG130" s="15">
        <v>0</v>
      </c>
      <c r="AH130" s="15">
        <v>1</v>
      </c>
      <c r="AI130" s="15">
        <v>1</v>
      </c>
      <c r="AJ130" s="15">
        <v>0</v>
      </c>
      <c r="AK130" s="15">
        <v>0</v>
      </c>
      <c r="AL130" s="15">
        <v>0</v>
      </c>
      <c r="AM130" s="15">
        <v>0</v>
      </c>
      <c r="AN130" s="15">
        <v>1</v>
      </c>
      <c r="AO130" s="15">
        <v>0</v>
      </c>
      <c r="AP130" s="15">
        <v>0</v>
      </c>
      <c r="AQ130" s="15">
        <v>1</v>
      </c>
      <c r="AR130" s="15">
        <v>0</v>
      </c>
      <c r="AS130" s="15">
        <v>0</v>
      </c>
      <c r="AT130" s="15">
        <v>1</v>
      </c>
      <c r="AU130" s="15">
        <v>1</v>
      </c>
      <c r="AV130" s="15">
        <v>0</v>
      </c>
      <c r="AW130" s="15">
        <v>1</v>
      </c>
      <c r="AX130" s="15">
        <v>0</v>
      </c>
      <c r="AY130" s="15">
        <v>0</v>
      </c>
      <c r="AZ130" s="15">
        <v>0</v>
      </c>
      <c r="BA130" s="13">
        <f>SUM(E130:AZ130)</f>
        <v>13</v>
      </c>
      <c r="BB130" s="1"/>
      <c r="BC130" s="1"/>
    </row>
    <row r="131" spans="1:55" ht="12.75" customHeight="1" x14ac:dyDescent="0.3">
      <c r="A131" s="19" t="s">
        <v>39</v>
      </c>
      <c r="B131" s="27">
        <v>1</v>
      </c>
      <c r="C131" s="28" t="s">
        <v>111</v>
      </c>
      <c r="D131" s="29"/>
      <c r="E131" s="15">
        <v>3</v>
      </c>
      <c r="F131" s="15">
        <v>1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2</v>
      </c>
      <c r="M131" s="15">
        <v>0</v>
      </c>
      <c r="N131" s="15">
        <v>3</v>
      </c>
      <c r="O131" s="15">
        <v>2</v>
      </c>
      <c r="P131" s="15">
        <v>0</v>
      </c>
      <c r="Q131" s="15">
        <v>0</v>
      </c>
      <c r="R131" s="15">
        <v>0</v>
      </c>
      <c r="S131" s="15">
        <v>0</v>
      </c>
      <c r="T131" s="15">
        <v>1</v>
      </c>
      <c r="U131" s="15">
        <v>0</v>
      </c>
      <c r="V131" s="15">
        <v>6</v>
      </c>
      <c r="W131" s="15">
        <v>27</v>
      </c>
      <c r="X131" s="15">
        <v>3</v>
      </c>
      <c r="Y131" s="15">
        <v>0</v>
      </c>
      <c r="Z131" s="15">
        <v>0</v>
      </c>
      <c r="AA131" s="15">
        <v>1</v>
      </c>
      <c r="AB131" s="15">
        <v>0</v>
      </c>
      <c r="AC131" s="15">
        <v>0</v>
      </c>
      <c r="AD131" s="15">
        <v>1</v>
      </c>
      <c r="AE131" s="15">
        <v>1</v>
      </c>
      <c r="AF131" s="15">
        <v>0</v>
      </c>
      <c r="AG131" s="15">
        <v>0</v>
      </c>
      <c r="AH131" s="15">
        <v>1</v>
      </c>
      <c r="AI131" s="15">
        <v>0</v>
      </c>
      <c r="AJ131" s="15">
        <v>1</v>
      </c>
      <c r="AK131" s="15">
        <v>1</v>
      </c>
      <c r="AL131" s="15">
        <v>2</v>
      </c>
      <c r="AM131" s="15">
        <v>0</v>
      </c>
      <c r="AN131" s="15">
        <v>2</v>
      </c>
      <c r="AO131" s="15">
        <v>0</v>
      </c>
      <c r="AP131" s="15">
        <v>1</v>
      </c>
      <c r="AQ131" s="15">
        <v>0</v>
      </c>
      <c r="AR131" s="15">
        <v>1</v>
      </c>
      <c r="AS131" s="15">
        <v>3</v>
      </c>
      <c r="AT131" s="15">
        <v>2</v>
      </c>
      <c r="AU131" s="15">
        <v>0</v>
      </c>
      <c r="AV131" s="15">
        <v>7</v>
      </c>
      <c r="AW131" s="15">
        <v>0</v>
      </c>
      <c r="AX131" s="15">
        <v>3</v>
      </c>
      <c r="AY131" s="15">
        <v>4</v>
      </c>
      <c r="AZ131" s="15">
        <v>2</v>
      </c>
      <c r="BA131" s="13">
        <f t="shared" si="13"/>
        <v>81</v>
      </c>
      <c r="BB131" s="31"/>
      <c r="BC131" s="31"/>
    </row>
    <row r="132" spans="1:55" ht="12.75" customHeight="1" x14ac:dyDescent="0.3">
      <c r="A132" s="14"/>
      <c r="B132" s="27">
        <v>2</v>
      </c>
      <c r="C132" s="28" t="s">
        <v>112</v>
      </c>
      <c r="D132" s="29"/>
      <c r="E132" s="15">
        <v>0</v>
      </c>
      <c r="F132" s="15">
        <v>1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1</v>
      </c>
      <c r="O132" s="15">
        <v>0</v>
      </c>
      <c r="P132" s="15">
        <v>0</v>
      </c>
      <c r="Q132" s="15">
        <v>0</v>
      </c>
      <c r="R132" s="15">
        <v>1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1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3">
        <f t="shared" si="13"/>
        <v>4</v>
      </c>
      <c r="BB132" s="5"/>
      <c r="BC132" s="5"/>
    </row>
    <row r="133" spans="1:55" ht="12.75" customHeight="1" x14ac:dyDescent="0.3">
      <c r="A133" s="14"/>
      <c r="B133" s="27">
        <v>3</v>
      </c>
      <c r="C133" s="28" t="s">
        <v>113</v>
      </c>
      <c r="D133" s="29"/>
      <c r="E133" s="15">
        <v>0</v>
      </c>
      <c r="F133" s="15">
        <v>0</v>
      </c>
      <c r="G133" s="15">
        <v>1</v>
      </c>
      <c r="H133" s="15">
        <v>0</v>
      </c>
      <c r="I133" s="15">
        <v>0</v>
      </c>
      <c r="J133" s="15">
        <v>0</v>
      </c>
      <c r="K133" s="15">
        <v>0</v>
      </c>
      <c r="L133" s="15">
        <v>5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1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1</v>
      </c>
      <c r="AD133" s="15">
        <v>1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2</v>
      </c>
      <c r="AN133" s="15">
        <v>0</v>
      </c>
      <c r="AO133" s="15">
        <v>1</v>
      </c>
      <c r="AP133" s="15">
        <v>0</v>
      </c>
      <c r="AQ133" s="15">
        <v>1</v>
      </c>
      <c r="AR133" s="15">
        <v>0</v>
      </c>
      <c r="AS133" s="15">
        <v>0</v>
      </c>
      <c r="AT133" s="15">
        <v>1</v>
      </c>
      <c r="AU133" s="15">
        <v>1</v>
      </c>
      <c r="AV133" s="15">
        <v>0</v>
      </c>
      <c r="AW133" s="15">
        <v>0</v>
      </c>
      <c r="AX133" s="15">
        <v>0</v>
      </c>
      <c r="AY133" s="15">
        <v>0</v>
      </c>
      <c r="AZ133" s="15">
        <v>0</v>
      </c>
      <c r="BA133" s="13">
        <f t="shared" si="13"/>
        <v>15</v>
      </c>
      <c r="BB133" s="5"/>
      <c r="BC133" s="5"/>
    </row>
    <row r="134" spans="1:55" ht="12.75" customHeight="1" x14ac:dyDescent="0.3">
      <c r="A134" s="14"/>
      <c r="B134" s="27">
        <v>4</v>
      </c>
      <c r="C134" s="28" t="s">
        <v>114</v>
      </c>
      <c r="D134" s="29"/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5">
        <v>0</v>
      </c>
      <c r="AX134" s="15">
        <v>0</v>
      </c>
      <c r="AY134" s="15">
        <v>0</v>
      </c>
      <c r="AZ134" s="15">
        <v>0</v>
      </c>
      <c r="BA134" s="13">
        <f t="shared" si="13"/>
        <v>0</v>
      </c>
      <c r="BB134" s="5"/>
      <c r="BC134" s="5"/>
    </row>
    <row r="135" spans="1:55" ht="12.75" customHeight="1" x14ac:dyDescent="0.3">
      <c r="A135" s="15" t="s">
        <v>15</v>
      </c>
      <c r="B135" s="47" t="s">
        <v>46</v>
      </c>
      <c r="C135" s="48"/>
      <c r="D135" s="49"/>
      <c r="E135" s="34">
        <f t="shared" ref="E135:AZ135" si="25">SUM(E130:E134)</f>
        <v>3</v>
      </c>
      <c r="F135" s="34">
        <f t="shared" si="25"/>
        <v>3</v>
      </c>
      <c r="G135" s="34">
        <f t="shared" si="25"/>
        <v>1</v>
      </c>
      <c r="H135" s="34">
        <f t="shared" si="25"/>
        <v>1</v>
      </c>
      <c r="I135" s="34">
        <f t="shared" si="25"/>
        <v>0</v>
      </c>
      <c r="J135" s="34">
        <f t="shared" si="25"/>
        <v>0</v>
      </c>
      <c r="K135" s="34">
        <f t="shared" si="25"/>
        <v>0</v>
      </c>
      <c r="L135" s="34">
        <f t="shared" si="25"/>
        <v>8</v>
      </c>
      <c r="M135" s="34">
        <f t="shared" si="25"/>
        <v>0</v>
      </c>
      <c r="N135" s="34">
        <f t="shared" si="25"/>
        <v>4</v>
      </c>
      <c r="O135" s="34">
        <f t="shared" si="25"/>
        <v>2</v>
      </c>
      <c r="P135" s="34">
        <f t="shared" si="25"/>
        <v>0</v>
      </c>
      <c r="Q135" s="34">
        <f t="shared" si="25"/>
        <v>0</v>
      </c>
      <c r="R135" s="34">
        <f t="shared" si="25"/>
        <v>1</v>
      </c>
      <c r="S135" s="34">
        <f t="shared" si="25"/>
        <v>0</v>
      </c>
      <c r="T135" s="34">
        <f t="shared" si="25"/>
        <v>1</v>
      </c>
      <c r="U135" s="34">
        <f t="shared" si="25"/>
        <v>0</v>
      </c>
      <c r="V135" s="34">
        <f t="shared" si="25"/>
        <v>6</v>
      </c>
      <c r="W135" s="34">
        <f t="shared" si="25"/>
        <v>28</v>
      </c>
      <c r="X135" s="34">
        <f t="shared" si="25"/>
        <v>3</v>
      </c>
      <c r="Y135" s="34">
        <f t="shared" si="25"/>
        <v>0</v>
      </c>
      <c r="Z135" s="34">
        <f t="shared" si="25"/>
        <v>0</v>
      </c>
      <c r="AA135" s="34">
        <f t="shared" si="25"/>
        <v>1</v>
      </c>
      <c r="AB135" s="34">
        <f t="shared" si="25"/>
        <v>1</v>
      </c>
      <c r="AC135" s="34">
        <f t="shared" si="25"/>
        <v>1</v>
      </c>
      <c r="AD135" s="34">
        <f t="shared" si="25"/>
        <v>4</v>
      </c>
      <c r="AE135" s="34">
        <f t="shared" si="25"/>
        <v>1</v>
      </c>
      <c r="AF135" s="34">
        <f t="shared" si="25"/>
        <v>0</v>
      </c>
      <c r="AG135" s="34">
        <f t="shared" si="25"/>
        <v>0</v>
      </c>
      <c r="AH135" s="34">
        <f t="shared" si="25"/>
        <v>2</v>
      </c>
      <c r="AI135" s="34">
        <f t="shared" si="25"/>
        <v>1</v>
      </c>
      <c r="AJ135" s="34">
        <f t="shared" si="25"/>
        <v>1</v>
      </c>
      <c r="AK135" s="34">
        <f t="shared" si="25"/>
        <v>1</v>
      </c>
      <c r="AL135" s="34">
        <f t="shared" si="25"/>
        <v>3</v>
      </c>
      <c r="AM135" s="34">
        <f t="shared" si="25"/>
        <v>2</v>
      </c>
      <c r="AN135" s="34">
        <f t="shared" si="25"/>
        <v>3</v>
      </c>
      <c r="AO135" s="34">
        <f t="shared" si="25"/>
        <v>1</v>
      </c>
      <c r="AP135" s="34">
        <f t="shared" si="25"/>
        <v>1</v>
      </c>
      <c r="AQ135" s="34">
        <f t="shared" si="25"/>
        <v>2</v>
      </c>
      <c r="AR135" s="34">
        <f t="shared" si="25"/>
        <v>1</v>
      </c>
      <c r="AS135" s="34">
        <f t="shared" si="25"/>
        <v>3</v>
      </c>
      <c r="AT135" s="34">
        <f t="shared" si="25"/>
        <v>4</v>
      </c>
      <c r="AU135" s="34">
        <f t="shared" si="25"/>
        <v>2</v>
      </c>
      <c r="AV135" s="34">
        <f t="shared" si="25"/>
        <v>7</v>
      </c>
      <c r="AW135" s="34">
        <f t="shared" si="25"/>
        <v>1</v>
      </c>
      <c r="AX135" s="34">
        <f t="shared" si="25"/>
        <v>3</v>
      </c>
      <c r="AY135" s="34">
        <f t="shared" si="25"/>
        <v>4</v>
      </c>
      <c r="AZ135" s="34">
        <f t="shared" si="25"/>
        <v>2</v>
      </c>
      <c r="BA135" s="13">
        <f t="shared" si="13"/>
        <v>113</v>
      </c>
      <c r="BB135" s="5"/>
      <c r="BC135" s="5"/>
    </row>
    <row r="136" spans="1:55" ht="12.75" customHeight="1" x14ac:dyDescent="0.3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13">
        <f t="shared" si="13"/>
        <v>0</v>
      </c>
      <c r="BB136" s="5"/>
      <c r="BC136" s="5"/>
    </row>
    <row r="137" spans="1:55" ht="12.75" customHeight="1" x14ac:dyDescent="0.3">
      <c r="A137" s="19" t="s">
        <v>37</v>
      </c>
      <c r="B137" s="26" t="s">
        <v>115</v>
      </c>
      <c r="C137" s="50" t="s">
        <v>116</v>
      </c>
      <c r="D137" s="49"/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1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/>
      <c r="AY137" s="15"/>
      <c r="AZ137" s="15"/>
      <c r="BA137" s="13">
        <f t="shared" si="13"/>
        <v>1</v>
      </c>
      <c r="BB137" s="5"/>
      <c r="BC137" s="5"/>
    </row>
    <row r="138" spans="1:55" ht="12.75" customHeight="1" x14ac:dyDescent="0.3">
      <c r="A138" s="19" t="s">
        <v>39</v>
      </c>
      <c r="B138" s="27">
        <v>1</v>
      </c>
      <c r="C138" s="28" t="s">
        <v>117</v>
      </c>
      <c r="D138" s="29"/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1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/>
      <c r="AY138" s="15"/>
      <c r="AZ138" s="15"/>
      <c r="BA138" s="13">
        <f t="shared" si="13"/>
        <v>1</v>
      </c>
      <c r="BB138" s="5"/>
      <c r="BC138" s="5"/>
    </row>
    <row r="139" spans="1:55" ht="15" customHeight="1" x14ac:dyDescent="0.3">
      <c r="A139" s="14"/>
      <c r="B139" s="27">
        <v>2</v>
      </c>
      <c r="C139" s="28" t="s">
        <v>118</v>
      </c>
      <c r="D139" s="29"/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1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>
        <v>0</v>
      </c>
      <c r="AU139" s="15">
        <v>0</v>
      </c>
      <c r="AV139" s="15">
        <v>0</v>
      </c>
      <c r="AW139" s="15">
        <v>0</v>
      </c>
      <c r="AX139" s="15"/>
      <c r="AY139" s="15"/>
      <c r="AZ139" s="15"/>
      <c r="BA139" s="13">
        <f t="shared" si="13"/>
        <v>1</v>
      </c>
      <c r="BB139" s="5"/>
      <c r="BC139" s="5"/>
    </row>
    <row r="140" spans="1:55" ht="12.75" customHeight="1" x14ac:dyDescent="0.3">
      <c r="A140" s="14"/>
      <c r="B140" s="27">
        <v>3</v>
      </c>
      <c r="C140" s="28" t="s">
        <v>119</v>
      </c>
      <c r="D140" s="29"/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</v>
      </c>
      <c r="AQ140" s="15">
        <v>0</v>
      </c>
      <c r="AR140" s="15">
        <v>0</v>
      </c>
      <c r="AS140" s="15">
        <v>1</v>
      </c>
      <c r="AT140" s="15">
        <v>0</v>
      </c>
      <c r="AU140" s="15">
        <v>0</v>
      </c>
      <c r="AV140" s="15">
        <v>0</v>
      </c>
      <c r="AW140" s="15">
        <v>0</v>
      </c>
      <c r="AX140" s="15"/>
      <c r="AY140" s="15"/>
      <c r="AZ140" s="15"/>
      <c r="BA140" s="13">
        <f t="shared" si="13"/>
        <v>1</v>
      </c>
      <c r="BB140" s="5"/>
      <c r="BC140" s="5"/>
    </row>
    <row r="141" spans="1:55" ht="12.75" customHeight="1" x14ac:dyDescent="0.3">
      <c r="A141" s="14"/>
      <c r="B141" s="27">
        <v>4</v>
      </c>
      <c r="C141" s="28" t="s">
        <v>120</v>
      </c>
      <c r="D141" s="29"/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1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>
        <v>0</v>
      </c>
      <c r="AX141" s="15"/>
      <c r="AY141" s="15"/>
      <c r="AZ141" s="15"/>
      <c r="BA141" s="13">
        <f t="shared" si="13"/>
        <v>1</v>
      </c>
      <c r="BB141" s="1"/>
      <c r="BC141" s="1"/>
    </row>
    <row r="142" spans="1:55" ht="12.75" customHeight="1" x14ac:dyDescent="0.3">
      <c r="A142" s="14"/>
      <c r="B142" s="27">
        <v>5</v>
      </c>
      <c r="C142" s="28" t="s">
        <v>121</v>
      </c>
      <c r="D142" s="29"/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0</v>
      </c>
      <c r="AR142" s="15">
        <v>0</v>
      </c>
      <c r="AS142" s="15">
        <v>0</v>
      </c>
      <c r="AT142" s="15">
        <v>0</v>
      </c>
      <c r="AU142" s="15">
        <v>0</v>
      </c>
      <c r="AV142" s="15">
        <v>0</v>
      </c>
      <c r="AW142" s="15">
        <v>0</v>
      </c>
      <c r="AX142" s="15"/>
      <c r="AY142" s="15"/>
      <c r="AZ142" s="15"/>
      <c r="BA142" s="13">
        <f t="shared" si="13"/>
        <v>0</v>
      </c>
      <c r="BB142" s="31"/>
      <c r="BC142" s="31"/>
    </row>
    <row r="143" spans="1:55" ht="12.75" customHeight="1" x14ac:dyDescent="0.3">
      <c r="A143" s="14"/>
      <c r="B143" s="27">
        <v>6</v>
      </c>
      <c r="C143" s="28" t="s">
        <v>122</v>
      </c>
      <c r="D143" s="29"/>
      <c r="E143" s="15">
        <v>0</v>
      </c>
      <c r="F143" s="15">
        <v>0</v>
      </c>
      <c r="G143" s="15">
        <v>0</v>
      </c>
      <c r="H143" s="15">
        <v>0</v>
      </c>
      <c r="I143" s="15">
        <v>1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0</v>
      </c>
      <c r="AU143" s="15">
        <v>0</v>
      </c>
      <c r="AV143" s="15">
        <v>0</v>
      </c>
      <c r="AW143" s="15">
        <v>0</v>
      </c>
      <c r="AX143" s="15"/>
      <c r="AY143" s="15"/>
      <c r="AZ143" s="15"/>
      <c r="BA143" s="13">
        <f t="shared" si="13"/>
        <v>1</v>
      </c>
      <c r="BB143" s="5"/>
      <c r="BC143" s="5"/>
    </row>
    <row r="144" spans="1:55" ht="12.75" customHeight="1" x14ac:dyDescent="0.3">
      <c r="A144" s="15" t="s">
        <v>15</v>
      </c>
      <c r="B144" s="47" t="s">
        <v>46</v>
      </c>
      <c r="C144" s="48"/>
      <c r="D144" s="49"/>
      <c r="E144" s="34">
        <f t="shared" ref="E144:AZ144" si="26">SUM(E137:E143)</f>
        <v>0</v>
      </c>
      <c r="F144" s="34">
        <f t="shared" si="26"/>
        <v>0</v>
      </c>
      <c r="G144" s="34">
        <f t="shared" si="26"/>
        <v>0</v>
      </c>
      <c r="H144" s="34">
        <f t="shared" si="26"/>
        <v>0</v>
      </c>
      <c r="I144" s="34">
        <f t="shared" si="26"/>
        <v>1</v>
      </c>
      <c r="J144" s="34">
        <f t="shared" si="26"/>
        <v>0</v>
      </c>
      <c r="K144" s="34">
        <f t="shared" si="26"/>
        <v>0</v>
      </c>
      <c r="L144" s="34">
        <f t="shared" si="26"/>
        <v>0</v>
      </c>
      <c r="M144" s="34">
        <f t="shared" si="26"/>
        <v>0</v>
      </c>
      <c r="N144" s="34">
        <f t="shared" si="26"/>
        <v>0</v>
      </c>
      <c r="O144" s="34">
        <f t="shared" si="26"/>
        <v>0</v>
      </c>
      <c r="P144" s="34">
        <f t="shared" si="26"/>
        <v>0</v>
      </c>
      <c r="Q144" s="34">
        <f t="shared" si="26"/>
        <v>0</v>
      </c>
      <c r="R144" s="34">
        <f t="shared" si="26"/>
        <v>0</v>
      </c>
      <c r="S144" s="34">
        <f t="shared" si="26"/>
        <v>0</v>
      </c>
      <c r="T144" s="34">
        <f t="shared" si="26"/>
        <v>0</v>
      </c>
      <c r="U144" s="34">
        <f t="shared" si="26"/>
        <v>2</v>
      </c>
      <c r="V144" s="34">
        <f t="shared" si="26"/>
        <v>0</v>
      </c>
      <c r="W144" s="34">
        <f t="shared" si="26"/>
        <v>2</v>
      </c>
      <c r="X144" s="34">
        <f t="shared" si="26"/>
        <v>0</v>
      </c>
      <c r="Y144" s="34">
        <f t="shared" si="26"/>
        <v>0</v>
      </c>
      <c r="Z144" s="34">
        <f t="shared" si="26"/>
        <v>0</v>
      </c>
      <c r="AA144" s="34">
        <f t="shared" si="26"/>
        <v>0</v>
      </c>
      <c r="AB144" s="34">
        <f t="shared" si="26"/>
        <v>0</v>
      </c>
      <c r="AC144" s="34">
        <f t="shared" si="26"/>
        <v>0</v>
      </c>
      <c r="AD144" s="34">
        <f t="shared" si="26"/>
        <v>0</v>
      </c>
      <c r="AE144" s="34">
        <f t="shared" si="26"/>
        <v>0</v>
      </c>
      <c r="AF144" s="34">
        <f t="shared" si="26"/>
        <v>0</v>
      </c>
      <c r="AG144" s="34">
        <f t="shared" si="26"/>
        <v>0</v>
      </c>
      <c r="AH144" s="34">
        <f t="shared" si="26"/>
        <v>0</v>
      </c>
      <c r="AI144" s="34">
        <f t="shared" si="26"/>
        <v>0</v>
      </c>
      <c r="AJ144" s="34">
        <f t="shared" si="26"/>
        <v>0</v>
      </c>
      <c r="AK144" s="34">
        <f t="shared" si="26"/>
        <v>0</v>
      </c>
      <c r="AL144" s="34">
        <f t="shared" si="26"/>
        <v>0</v>
      </c>
      <c r="AM144" s="34">
        <f t="shared" si="26"/>
        <v>0</v>
      </c>
      <c r="AN144" s="34">
        <f t="shared" si="26"/>
        <v>0</v>
      </c>
      <c r="AO144" s="34">
        <f t="shared" si="26"/>
        <v>0</v>
      </c>
      <c r="AP144" s="34">
        <f t="shared" si="26"/>
        <v>0</v>
      </c>
      <c r="AQ144" s="34">
        <f t="shared" si="26"/>
        <v>0</v>
      </c>
      <c r="AR144" s="34">
        <f t="shared" si="26"/>
        <v>0</v>
      </c>
      <c r="AS144" s="34">
        <f t="shared" si="26"/>
        <v>1</v>
      </c>
      <c r="AT144" s="34">
        <f t="shared" si="26"/>
        <v>0</v>
      </c>
      <c r="AU144" s="34">
        <f t="shared" si="26"/>
        <v>0</v>
      </c>
      <c r="AV144" s="34">
        <f t="shared" si="26"/>
        <v>0</v>
      </c>
      <c r="AW144" s="34">
        <f t="shared" si="26"/>
        <v>0</v>
      </c>
      <c r="AX144" s="34">
        <f t="shared" si="26"/>
        <v>0</v>
      </c>
      <c r="AY144" s="34">
        <f t="shared" si="26"/>
        <v>0</v>
      </c>
      <c r="AZ144" s="34">
        <f t="shared" si="26"/>
        <v>0</v>
      </c>
      <c r="BA144" s="13">
        <f t="shared" si="13"/>
        <v>6</v>
      </c>
      <c r="BB144" s="5"/>
      <c r="BC144" s="5"/>
    </row>
    <row r="145" spans="1:55" ht="12.75" customHeight="1" x14ac:dyDescent="0.3">
      <c r="A145" s="35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13">
        <f t="shared" si="13"/>
        <v>0</v>
      </c>
      <c r="BB145" s="5"/>
      <c r="BC145" s="5"/>
    </row>
    <row r="146" spans="1:55" ht="12.75" customHeight="1" x14ac:dyDescent="0.3">
      <c r="A146" s="19" t="s">
        <v>37</v>
      </c>
      <c r="B146" s="26" t="s">
        <v>123</v>
      </c>
      <c r="C146" s="50" t="s">
        <v>124</v>
      </c>
      <c r="D146" s="49"/>
      <c r="E146" s="15">
        <v>2</v>
      </c>
      <c r="F146" s="15">
        <v>0</v>
      </c>
      <c r="G146" s="15">
        <v>4</v>
      </c>
      <c r="H146" s="15">
        <v>1</v>
      </c>
      <c r="I146" s="15">
        <v>5</v>
      </c>
      <c r="J146" s="15">
        <v>0</v>
      </c>
      <c r="K146" s="15">
        <v>5</v>
      </c>
      <c r="L146" s="15">
        <v>1</v>
      </c>
      <c r="M146" s="15">
        <v>2</v>
      </c>
      <c r="N146" s="15">
        <v>3</v>
      </c>
      <c r="O146" s="15">
        <v>2</v>
      </c>
      <c r="P146" s="15">
        <v>3</v>
      </c>
      <c r="Q146" s="15">
        <v>1</v>
      </c>
      <c r="R146" s="15">
        <v>1</v>
      </c>
      <c r="S146" s="15">
        <v>1</v>
      </c>
      <c r="T146" s="15">
        <v>2</v>
      </c>
      <c r="U146" s="15">
        <v>4</v>
      </c>
      <c r="V146" s="15">
        <v>2</v>
      </c>
      <c r="W146" s="15">
        <v>1</v>
      </c>
      <c r="X146" s="15">
        <v>0</v>
      </c>
      <c r="Y146" s="15">
        <v>3</v>
      </c>
      <c r="Z146" s="15">
        <v>4</v>
      </c>
      <c r="AA146" s="15">
        <v>4</v>
      </c>
      <c r="AB146" s="15">
        <v>5</v>
      </c>
      <c r="AC146" s="15">
        <v>5</v>
      </c>
      <c r="AD146" s="15">
        <v>9</v>
      </c>
      <c r="AE146" s="15">
        <v>8</v>
      </c>
      <c r="AF146" s="15">
        <v>7</v>
      </c>
      <c r="AG146" s="15">
        <v>9</v>
      </c>
      <c r="AH146" s="15">
        <v>0</v>
      </c>
      <c r="AI146" s="15">
        <v>2</v>
      </c>
      <c r="AJ146" s="15">
        <v>2</v>
      </c>
      <c r="AK146" s="15">
        <v>2</v>
      </c>
      <c r="AL146" s="15">
        <v>6</v>
      </c>
      <c r="AM146" s="15">
        <v>2</v>
      </c>
      <c r="AN146" s="15">
        <v>3</v>
      </c>
      <c r="AO146" s="15">
        <v>2</v>
      </c>
      <c r="AP146" s="15">
        <v>1</v>
      </c>
      <c r="AQ146" s="15">
        <v>3</v>
      </c>
      <c r="AR146" s="15">
        <v>0</v>
      </c>
      <c r="AS146" s="15">
        <v>3</v>
      </c>
      <c r="AT146" s="15">
        <v>0</v>
      </c>
      <c r="AU146" s="15">
        <v>9</v>
      </c>
      <c r="AV146" s="15">
        <v>2</v>
      </c>
      <c r="AW146" s="15">
        <v>4</v>
      </c>
      <c r="AX146" s="15">
        <v>3</v>
      </c>
      <c r="AY146" s="15">
        <v>6</v>
      </c>
      <c r="AZ146" s="15">
        <v>8</v>
      </c>
      <c r="BA146" s="13">
        <f t="shared" si="13"/>
        <v>152</v>
      </c>
      <c r="BB146" s="5"/>
      <c r="BC146" s="5"/>
    </row>
    <row r="147" spans="1:55" ht="12.75" customHeight="1" x14ac:dyDescent="0.3">
      <c r="A147" s="19" t="s">
        <v>39</v>
      </c>
      <c r="B147" s="27">
        <v>1</v>
      </c>
      <c r="C147" s="28" t="s">
        <v>125</v>
      </c>
      <c r="D147" s="29"/>
      <c r="E147" s="15">
        <v>1</v>
      </c>
      <c r="F147" s="15">
        <v>5</v>
      </c>
      <c r="G147" s="15">
        <v>0</v>
      </c>
      <c r="H147" s="15">
        <v>2</v>
      </c>
      <c r="I147" s="15">
        <v>12</v>
      </c>
      <c r="J147" s="15">
        <v>2</v>
      </c>
      <c r="K147" s="15">
        <v>3</v>
      </c>
      <c r="L147" s="15">
        <v>3</v>
      </c>
      <c r="M147" s="15">
        <v>2</v>
      </c>
      <c r="N147" s="15">
        <v>2</v>
      </c>
      <c r="O147" s="15">
        <v>2</v>
      </c>
      <c r="P147" s="15">
        <v>0</v>
      </c>
      <c r="Q147" s="15">
        <v>0</v>
      </c>
      <c r="R147" s="15">
        <v>0</v>
      </c>
      <c r="S147" s="15">
        <v>2</v>
      </c>
      <c r="T147" s="15">
        <v>0</v>
      </c>
      <c r="U147" s="15">
        <v>2</v>
      </c>
      <c r="V147" s="15">
        <v>3</v>
      </c>
      <c r="W147" s="15">
        <v>0</v>
      </c>
      <c r="X147" s="15">
        <v>1</v>
      </c>
      <c r="Y147" s="15">
        <v>4</v>
      </c>
      <c r="Z147" s="15">
        <v>1</v>
      </c>
      <c r="AA147" s="15">
        <v>3</v>
      </c>
      <c r="AB147" s="15">
        <v>0</v>
      </c>
      <c r="AC147" s="15">
        <v>2</v>
      </c>
      <c r="AD147" s="15">
        <v>3</v>
      </c>
      <c r="AE147" s="15">
        <v>2</v>
      </c>
      <c r="AF147" s="15">
        <v>1</v>
      </c>
      <c r="AG147" s="15">
        <v>2</v>
      </c>
      <c r="AH147" s="15">
        <v>2</v>
      </c>
      <c r="AI147" s="15">
        <v>2</v>
      </c>
      <c r="AJ147" s="15">
        <v>1</v>
      </c>
      <c r="AK147" s="15">
        <v>2</v>
      </c>
      <c r="AL147" s="15">
        <v>0</v>
      </c>
      <c r="AM147" s="15">
        <v>2</v>
      </c>
      <c r="AN147" s="15">
        <v>0</v>
      </c>
      <c r="AO147" s="15">
        <v>1</v>
      </c>
      <c r="AP147" s="15">
        <v>8</v>
      </c>
      <c r="AQ147" s="15">
        <v>1</v>
      </c>
      <c r="AR147" s="15">
        <v>2</v>
      </c>
      <c r="AS147" s="15">
        <v>2</v>
      </c>
      <c r="AT147" s="15">
        <v>1</v>
      </c>
      <c r="AU147" s="15">
        <v>0</v>
      </c>
      <c r="AV147" s="15">
        <v>1</v>
      </c>
      <c r="AW147" s="15">
        <v>1</v>
      </c>
      <c r="AX147" s="15">
        <v>0</v>
      </c>
      <c r="AY147" s="15">
        <v>2</v>
      </c>
      <c r="AZ147" s="15">
        <v>1</v>
      </c>
      <c r="BA147" s="13">
        <f t="shared" si="13"/>
        <v>89</v>
      </c>
      <c r="BB147" s="5"/>
      <c r="BC147" s="5"/>
    </row>
    <row r="148" spans="1:55" ht="12.75" customHeight="1" x14ac:dyDescent="0.3">
      <c r="A148" s="14"/>
      <c r="B148" s="27">
        <v>2</v>
      </c>
      <c r="C148" s="28" t="s">
        <v>126</v>
      </c>
      <c r="D148" s="29"/>
      <c r="E148" s="15">
        <v>0</v>
      </c>
      <c r="F148" s="15">
        <v>0</v>
      </c>
      <c r="G148" s="15">
        <v>0</v>
      </c>
      <c r="H148" s="15">
        <v>0</v>
      </c>
      <c r="I148" s="15">
        <v>1</v>
      </c>
      <c r="J148" s="15">
        <v>1</v>
      </c>
      <c r="K148" s="15">
        <v>0</v>
      </c>
      <c r="L148" s="15">
        <v>1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2</v>
      </c>
      <c r="T148" s="15">
        <v>0</v>
      </c>
      <c r="U148" s="15">
        <v>0</v>
      </c>
      <c r="V148" s="15">
        <v>2</v>
      </c>
      <c r="W148" s="15">
        <v>1</v>
      </c>
      <c r="X148" s="15">
        <v>0</v>
      </c>
      <c r="Y148" s="15">
        <v>2</v>
      </c>
      <c r="Z148" s="15">
        <v>0</v>
      </c>
      <c r="AA148" s="15">
        <v>0</v>
      </c>
      <c r="AB148" s="15">
        <v>1</v>
      </c>
      <c r="AC148" s="15">
        <v>1</v>
      </c>
      <c r="AD148" s="15">
        <v>0</v>
      </c>
      <c r="AE148" s="15">
        <v>0</v>
      </c>
      <c r="AF148" s="15">
        <v>1</v>
      </c>
      <c r="AG148" s="15">
        <v>0</v>
      </c>
      <c r="AH148" s="15">
        <v>0</v>
      </c>
      <c r="AI148" s="15">
        <v>1</v>
      </c>
      <c r="AJ148" s="15">
        <v>0</v>
      </c>
      <c r="AK148" s="15">
        <v>0</v>
      </c>
      <c r="AL148" s="15">
        <v>1</v>
      </c>
      <c r="AM148" s="15">
        <v>0</v>
      </c>
      <c r="AN148" s="15">
        <v>0</v>
      </c>
      <c r="AO148" s="15">
        <v>1</v>
      </c>
      <c r="AP148" s="15">
        <v>0</v>
      </c>
      <c r="AQ148" s="15">
        <v>1</v>
      </c>
      <c r="AR148" s="15">
        <v>1</v>
      </c>
      <c r="AS148" s="15">
        <v>2</v>
      </c>
      <c r="AT148" s="15">
        <v>3</v>
      </c>
      <c r="AU148" s="15">
        <v>0</v>
      </c>
      <c r="AV148" s="15">
        <v>0</v>
      </c>
      <c r="AW148" s="15">
        <v>1</v>
      </c>
      <c r="AX148" s="15">
        <v>2</v>
      </c>
      <c r="AY148" s="15">
        <v>1</v>
      </c>
      <c r="AZ148" s="15">
        <v>1</v>
      </c>
      <c r="BA148" s="13">
        <f t="shared" si="13"/>
        <v>28</v>
      </c>
      <c r="BB148" s="5"/>
      <c r="BC148" s="5"/>
    </row>
    <row r="149" spans="1:55" ht="12.75" customHeight="1" x14ac:dyDescent="0.3">
      <c r="A149" s="14"/>
      <c r="B149" s="27">
        <v>3</v>
      </c>
      <c r="C149" s="28" t="s">
        <v>127</v>
      </c>
      <c r="D149" s="29"/>
      <c r="E149" s="15">
        <v>1</v>
      </c>
      <c r="F149" s="15">
        <v>2</v>
      </c>
      <c r="G149" s="15">
        <v>0</v>
      </c>
      <c r="H149" s="15">
        <v>0</v>
      </c>
      <c r="I149" s="15">
        <v>0</v>
      </c>
      <c r="J149" s="15">
        <v>1</v>
      </c>
      <c r="K149" s="15">
        <v>1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1</v>
      </c>
      <c r="S149" s="15">
        <v>1</v>
      </c>
      <c r="T149" s="15">
        <v>1</v>
      </c>
      <c r="U149" s="15">
        <v>1</v>
      </c>
      <c r="V149" s="15">
        <v>1</v>
      </c>
      <c r="W149" s="15">
        <v>0</v>
      </c>
      <c r="X149" s="15">
        <v>0</v>
      </c>
      <c r="Y149" s="15">
        <v>1</v>
      </c>
      <c r="Z149" s="15">
        <v>2</v>
      </c>
      <c r="AA149" s="15">
        <v>1</v>
      </c>
      <c r="AB149" s="15">
        <v>0</v>
      </c>
      <c r="AC149" s="15">
        <v>1</v>
      </c>
      <c r="AD149" s="15">
        <v>0</v>
      </c>
      <c r="AE149" s="15">
        <v>2</v>
      </c>
      <c r="AF149" s="15">
        <v>1</v>
      </c>
      <c r="AG149" s="15">
        <v>1</v>
      </c>
      <c r="AH149" s="15">
        <v>1</v>
      </c>
      <c r="AI149" s="15">
        <v>1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1</v>
      </c>
      <c r="AS149" s="15">
        <v>0</v>
      </c>
      <c r="AT149" s="15">
        <v>2</v>
      </c>
      <c r="AU149" s="15">
        <v>0</v>
      </c>
      <c r="AV149" s="15">
        <v>1</v>
      </c>
      <c r="AW149" s="15">
        <v>0</v>
      </c>
      <c r="AX149" s="15">
        <v>0</v>
      </c>
      <c r="AY149" s="15">
        <v>1</v>
      </c>
      <c r="AZ149" s="15">
        <v>0</v>
      </c>
      <c r="BA149" s="13">
        <f t="shared" si="13"/>
        <v>26</v>
      </c>
      <c r="BB149" s="5"/>
      <c r="BC149" s="5"/>
    </row>
    <row r="150" spans="1:55" ht="12.75" customHeight="1" x14ac:dyDescent="0.3">
      <c r="A150" s="14"/>
      <c r="B150" s="27">
        <v>4</v>
      </c>
      <c r="C150" s="28" t="s">
        <v>128</v>
      </c>
      <c r="D150" s="29"/>
      <c r="E150" s="15">
        <v>0</v>
      </c>
      <c r="F150" s="15">
        <v>1</v>
      </c>
      <c r="G150" s="15">
        <v>0</v>
      </c>
      <c r="H150" s="15">
        <v>1</v>
      </c>
      <c r="I150" s="15">
        <v>0</v>
      </c>
      <c r="J150" s="15">
        <v>0</v>
      </c>
      <c r="K150" s="15">
        <v>1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1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</v>
      </c>
      <c r="AY150" s="15">
        <v>0</v>
      </c>
      <c r="AZ150" s="15">
        <v>0</v>
      </c>
      <c r="BA150" s="13">
        <f t="shared" si="13"/>
        <v>4</v>
      </c>
      <c r="BB150" s="5"/>
      <c r="BC150" s="5"/>
    </row>
    <row r="151" spans="1:55" ht="12.75" customHeight="1" x14ac:dyDescent="0.3">
      <c r="A151" s="14"/>
      <c r="B151" s="27">
        <v>5</v>
      </c>
      <c r="C151" s="28" t="s">
        <v>129</v>
      </c>
      <c r="D151" s="29"/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1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1</v>
      </c>
      <c r="W151" s="15">
        <v>1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1</v>
      </c>
      <c r="AJ151" s="15">
        <v>0</v>
      </c>
      <c r="AK151" s="15">
        <v>0</v>
      </c>
      <c r="AL151" s="15">
        <v>0</v>
      </c>
      <c r="AM151" s="15">
        <v>0</v>
      </c>
      <c r="AN151" s="15">
        <v>0</v>
      </c>
      <c r="AO151" s="15">
        <v>0</v>
      </c>
      <c r="AP151" s="15">
        <v>1</v>
      </c>
      <c r="AQ151" s="15">
        <v>0</v>
      </c>
      <c r="AR151" s="15">
        <v>0</v>
      </c>
      <c r="AS151" s="15">
        <v>0</v>
      </c>
      <c r="AT151" s="15">
        <v>0</v>
      </c>
      <c r="AU151" s="15">
        <v>0</v>
      </c>
      <c r="AV151" s="15">
        <v>0</v>
      </c>
      <c r="AW151" s="15">
        <v>0</v>
      </c>
      <c r="AX151" s="15">
        <v>0</v>
      </c>
      <c r="AY151" s="15">
        <v>0</v>
      </c>
      <c r="AZ151" s="15">
        <v>0</v>
      </c>
      <c r="BA151" s="13">
        <f t="shared" si="13"/>
        <v>5</v>
      </c>
      <c r="BB151" s="1"/>
      <c r="BC151" s="1"/>
    </row>
    <row r="152" spans="1:55" ht="12.75" customHeight="1" x14ac:dyDescent="0.3">
      <c r="A152" s="14"/>
      <c r="B152" s="27">
        <v>6</v>
      </c>
      <c r="C152" s="28" t="s">
        <v>130</v>
      </c>
      <c r="D152" s="29"/>
      <c r="E152" s="15">
        <v>5</v>
      </c>
      <c r="F152" s="15">
        <v>5</v>
      </c>
      <c r="G152" s="15">
        <v>24</v>
      </c>
      <c r="H152" s="15">
        <v>9</v>
      </c>
      <c r="I152" s="15">
        <v>17</v>
      </c>
      <c r="J152" s="15">
        <v>4</v>
      </c>
      <c r="K152" s="15">
        <v>37</v>
      </c>
      <c r="L152" s="15">
        <v>8</v>
      </c>
      <c r="M152" s="15">
        <v>4</v>
      </c>
      <c r="N152" s="15">
        <v>51</v>
      </c>
      <c r="O152" s="15">
        <v>88</v>
      </c>
      <c r="P152" s="15">
        <v>110</v>
      </c>
      <c r="Q152" s="15">
        <v>66</v>
      </c>
      <c r="R152" s="15">
        <v>1</v>
      </c>
      <c r="S152" s="15">
        <v>1</v>
      </c>
      <c r="T152" s="15">
        <v>3</v>
      </c>
      <c r="U152" s="15">
        <v>1</v>
      </c>
      <c r="V152" s="15">
        <v>5</v>
      </c>
      <c r="W152" s="15">
        <v>0</v>
      </c>
      <c r="X152" s="15">
        <v>0</v>
      </c>
      <c r="Y152" s="15">
        <v>66</v>
      </c>
      <c r="Z152" s="15">
        <v>3</v>
      </c>
      <c r="AA152" s="15">
        <v>68</v>
      </c>
      <c r="AB152" s="15">
        <v>58</v>
      </c>
      <c r="AC152" s="15">
        <v>30</v>
      </c>
      <c r="AD152" s="15">
        <v>4</v>
      </c>
      <c r="AE152" s="15">
        <v>44</v>
      </c>
      <c r="AF152" s="15">
        <v>82</v>
      </c>
      <c r="AG152" s="15">
        <v>47</v>
      </c>
      <c r="AH152" s="15">
        <v>10</v>
      </c>
      <c r="AI152" s="15">
        <v>2</v>
      </c>
      <c r="AJ152" s="15">
        <v>11</v>
      </c>
      <c r="AK152" s="15">
        <v>10</v>
      </c>
      <c r="AL152" s="15">
        <v>58</v>
      </c>
      <c r="AM152" s="15">
        <v>33</v>
      </c>
      <c r="AN152" s="15">
        <v>12</v>
      </c>
      <c r="AO152" s="15">
        <v>14</v>
      </c>
      <c r="AP152" s="15">
        <v>11</v>
      </c>
      <c r="AQ152" s="15">
        <v>13</v>
      </c>
      <c r="AR152" s="15">
        <v>9</v>
      </c>
      <c r="AS152" s="15">
        <v>20</v>
      </c>
      <c r="AT152" s="15">
        <v>38</v>
      </c>
      <c r="AU152" s="15">
        <v>68</v>
      </c>
      <c r="AV152" s="15">
        <v>64</v>
      </c>
      <c r="AW152" s="15">
        <v>14</v>
      </c>
      <c r="AX152" s="15">
        <v>57</v>
      </c>
      <c r="AY152" s="15">
        <v>59</v>
      </c>
      <c r="AZ152" s="15">
        <v>35</v>
      </c>
      <c r="BA152" s="13">
        <f t="shared" si="13"/>
        <v>1379</v>
      </c>
      <c r="BB152" s="31"/>
      <c r="BC152" s="31"/>
    </row>
    <row r="153" spans="1:55" ht="12.75" customHeight="1" x14ac:dyDescent="0.3">
      <c r="A153" s="15" t="s">
        <v>15</v>
      </c>
      <c r="B153" s="47" t="s">
        <v>46</v>
      </c>
      <c r="C153" s="48"/>
      <c r="D153" s="49"/>
      <c r="E153" s="34">
        <f t="shared" ref="E153:AZ153" si="27">SUM(E146:E152)</f>
        <v>9</v>
      </c>
      <c r="F153" s="34">
        <f t="shared" si="27"/>
        <v>13</v>
      </c>
      <c r="G153" s="34">
        <f t="shared" si="27"/>
        <v>28</v>
      </c>
      <c r="H153" s="34">
        <f t="shared" si="27"/>
        <v>13</v>
      </c>
      <c r="I153" s="34">
        <f t="shared" si="27"/>
        <v>35</v>
      </c>
      <c r="J153" s="34">
        <f t="shared" si="27"/>
        <v>8</v>
      </c>
      <c r="K153" s="34">
        <f t="shared" si="27"/>
        <v>47</v>
      </c>
      <c r="L153" s="34">
        <f t="shared" si="27"/>
        <v>14</v>
      </c>
      <c r="M153" s="34">
        <f t="shared" si="27"/>
        <v>8</v>
      </c>
      <c r="N153" s="34">
        <f t="shared" si="27"/>
        <v>56</v>
      </c>
      <c r="O153" s="34">
        <f t="shared" si="27"/>
        <v>92</v>
      </c>
      <c r="P153" s="34">
        <f t="shared" si="27"/>
        <v>113</v>
      </c>
      <c r="Q153" s="34">
        <f t="shared" si="27"/>
        <v>67</v>
      </c>
      <c r="R153" s="34">
        <f t="shared" si="27"/>
        <v>3</v>
      </c>
      <c r="S153" s="34">
        <f t="shared" si="27"/>
        <v>7</v>
      </c>
      <c r="T153" s="34">
        <f t="shared" si="27"/>
        <v>6</v>
      </c>
      <c r="U153" s="34">
        <f t="shared" si="27"/>
        <v>8</v>
      </c>
      <c r="V153" s="34">
        <f t="shared" si="27"/>
        <v>14</v>
      </c>
      <c r="W153" s="34">
        <f t="shared" si="27"/>
        <v>3</v>
      </c>
      <c r="X153" s="34">
        <f t="shared" si="27"/>
        <v>1</v>
      </c>
      <c r="Y153" s="34">
        <f t="shared" si="27"/>
        <v>76</v>
      </c>
      <c r="Z153" s="34">
        <f t="shared" si="27"/>
        <v>10</v>
      </c>
      <c r="AA153" s="34">
        <f t="shared" si="27"/>
        <v>76</v>
      </c>
      <c r="AB153" s="34">
        <f t="shared" si="27"/>
        <v>64</v>
      </c>
      <c r="AC153" s="34">
        <f t="shared" si="27"/>
        <v>39</v>
      </c>
      <c r="AD153" s="34">
        <f t="shared" si="27"/>
        <v>16</v>
      </c>
      <c r="AE153" s="34">
        <f t="shared" si="27"/>
        <v>56</v>
      </c>
      <c r="AF153" s="34">
        <f t="shared" si="27"/>
        <v>92</v>
      </c>
      <c r="AG153" s="34">
        <f t="shared" si="27"/>
        <v>59</v>
      </c>
      <c r="AH153" s="34">
        <f t="shared" si="27"/>
        <v>13</v>
      </c>
      <c r="AI153" s="34">
        <f t="shared" si="27"/>
        <v>9</v>
      </c>
      <c r="AJ153" s="34">
        <f t="shared" si="27"/>
        <v>15</v>
      </c>
      <c r="AK153" s="34">
        <f t="shared" si="27"/>
        <v>14</v>
      </c>
      <c r="AL153" s="34">
        <f t="shared" si="27"/>
        <v>65</v>
      </c>
      <c r="AM153" s="34">
        <f t="shared" si="27"/>
        <v>37</v>
      </c>
      <c r="AN153" s="34">
        <f t="shared" si="27"/>
        <v>15</v>
      </c>
      <c r="AO153" s="34">
        <f t="shared" si="27"/>
        <v>18</v>
      </c>
      <c r="AP153" s="34">
        <f t="shared" si="27"/>
        <v>21</v>
      </c>
      <c r="AQ153" s="34">
        <f t="shared" si="27"/>
        <v>18</v>
      </c>
      <c r="AR153" s="34">
        <f t="shared" si="27"/>
        <v>13</v>
      </c>
      <c r="AS153" s="34">
        <f t="shared" si="27"/>
        <v>27</v>
      </c>
      <c r="AT153" s="34">
        <f t="shared" si="27"/>
        <v>44</v>
      </c>
      <c r="AU153" s="34">
        <f t="shared" si="27"/>
        <v>77</v>
      </c>
      <c r="AV153" s="34">
        <f t="shared" si="27"/>
        <v>68</v>
      </c>
      <c r="AW153" s="34">
        <f t="shared" si="27"/>
        <v>20</v>
      </c>
      <c r="AX153" s="34">
        <f t="shared" si="27"/>
        <v>62</v>
      </c>
      <c r="AY153" s="34">
        <f t="shared" si="27"/>
        <v>69</v>
      </c>
      <c r="AZ153" s="34">
        <f t="shared" si="27"/>
        <v>45</v>
      </c>
      <c r="BA153" s="13">
        <f t="shared" si="13"/>
        <v>1683</v>
      </c>
      <c r="BB153" s="5"/>
      <c r="BC153" s="5"/>
    </row>
    <row r="154" spans="1:55" ht="12.75" customHeight="1" x14ac:dyDescent="0.3">
      <c r="A154" s="35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13">
        <f t="shared" si="13"/>
        <v>0</v>
      </c>
      <c r="BB154" s="5"/>
      <c r="BC154" s="5"/>
    </row>
    <row r="155" spans="1:55" ht="12.75" customHeight="1" x14ac:dyDescent="0.3">
      <c r="A155" s="19" t="s">
        <v>37</v>
      </c>
      <c r="B155" s="26" t="s">
        <v>131</v>
      </c>
      <c r="C155" s="50" t="s">
        <v>132</v>
      </c>
      <c r="D155" s="49"/>
      <c r="E155" s="15">
        <v>4</v>
      </c>
      <c r="F155" s="15">
        <v>0</v>
      </c>
      <c r="G155" s="15">
        <v>1</v>
      </c>
      <c r="H155" s="15">
        <v>1</v>
      </c>
      <c r="I155" s="15">
        <v>1</v>
      </c>
      <c r="J155" s="15">
        <v>1</v>
      </c>
      <c r="K155" s="15">
        <v>3</v>
      </c>
      <c r="L155" s="15">
        <v>7</v>
      </c>
      <c r="M155" s="15">
        <v>2</v>
      </c>
      <c r="N155" s="15">
        <v>1</v>
      </c>
      <c r="O155" s="15">
        <v>1</v>
      </c>
      <c r="P155" s="15">
        <v>0</v>
      </c>
      <c r="Q155" s="15">
        <v>2</v>
      </c>
      <c r="R155" s="15">
        <v>5</v>
      </c>
      <c r="S155" s="15">
        <v>5</v>
      </c>
      <c r="T155" s="15">
        <v>3</v>
      </c>
      <c r="U155" s="15">
        <v>2</v>
      </c>
      <c r="V155" s="15">
        <v>3</v>
      </c>
      <c r="W155" s="15">
        <v>0</v>
      </c>
      <c r="X155" s="15">
        <v>1</v>
      </c>
      <c r="Y155" s="15">
        <v>0</v>
      </c>
      <c r="Z155" s="15">
        <v>0</v>
      </c>
      <c r="AA155" s="15">
        <v>1</v>
      </c>
      <c r="AB155" s="15">
        <v>1</v>
      </c>
      <c r="AC155" s="15">
        <v>1</v>
      </c>
      <c r="AD155" s="15">
        <v>4</v>
      </c>
      <c r="AE155" s="15">
        <v>2</v>
      </c>
      <c r="AF155" s="15">
        <v>1</v>
      </c>
      <c r="AG155" s="15">
        <v>0</v>
      </c>
      <c r="AH155" s="15">
        <v>1</v>
      </c>
      <c r="AI155" s="15">
        <v>2</v>
      </c>
      <c r="AJ155" s="15">
        <v>3</v>
      </c>
      <c r="AK155" s="15">
        <v>0</v>
      </c>
      <c r="AL155" s="15">
        <v>1</v>
      </c>
      <c r="AM155" s="15">
        <v>3</v>
      </c>
      <c r="AN155" s="15">
        <v>2</v>
      </c>
      <c r="AO155" s="15">
        <v>0</v>
      </c>
      <c r="AP155" s="15">
        <v>1</v>
      </c>
      <c r="AQ155" s="15">
        <v>1</v>
      </c>
      <c r="AR155" s="15">
        <v>2</v>
      </c>
      <c r="AS155" s="15">
        <v>1</v>
      </c>
      <c r="AT155" s="15">
        <v>1</v>
      </c>
      <c r="AU155" s="15">
        <v>1</v>
      </c>
      <c r="AV155" s="15">
        <v>2</v>
      </c>
      <c r="AW155" s="15">
        <v>2</v>
      </c>
      <c r="AX155" s="15"/>
      <c r="AY155" s="15">
        <v>1</v>
      </c>
      <c r="AZ155" s="15"/>
      <c r="BA155" s="13">
        <f t="shared" si="13"/>
        <v>77</v>
      </c>
      <c r="BB155" s="5"/>
      <c r="BC155" s="5"/>
    </row>
    <row r="156" spans="1:55" ht="12.75" customHeight="1" x14ac:dyDescent="0.3">
      <c r="A156" s="19" t="s">
        <v>39</v>
      </c>
      <c r="B156" s="27"/>
      <c r="C156" s="28" t="s">
        <v>133</v>
      </c>
      <c r="D156" s="29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3">
        <f t="shared" si="13"/>
        <v>0</v>
      </c>
      <c r="BB156" s="5"/>
      <c r="BC156" s="5"/>
    </row>
    <row r="157" spans="1:55" ht="12.75" customHeight="1" x14ac:dyDescent="0.3">
      <c r="A157" s="15" t="s">
        <v>15</v>
      </c>
      <c r="B157" s="47" t="s">
        <v>46</v>
      </c>
      <c r="C157" s="48"/>
      <c r="D157" s="49"/>
      <c r="E157" s="34">
        <f t="shared" ref="E157:AZ157" si="28">SUM(E155:E156)</f>
        <v>4</v>
      </c>
      <c r="F157" s="34">
        <f t="shared" si="28"/>
        <v>0</v>
      </c>
      <c r="G157" s="34">
        <f t="shared" si="28"/>
        <v>1</v>
      </c>
      <c r="H157" s="34">
        <f t="shared" si="28"/>
        <v>1</v>
      </c>
      <c r="I157" s="34">
        <f t="shared" si="28"/>
        <v>1</v>
      </c>
      <c r="J157" s="34">
        <f t="shared" si="28"/>
        <v>1</v>
      </c>
      <c r="K157" s="34">
        <f t="shared" si="28"/>
        <v>3</v>
      </c>
      <c r="L157" s="34">
        <f t="shared" si="28"/>
        <v>7</v>
      </c>
      <c r="M157" s="34">
        <f t="shared" si="28"/>
        <v>2</v>
      </c>
      <c r="N157" s="34">
        <f t="shared" si="28"/>
        <v>1</v>
      </c>
      <c r="O157" s="34">
        <f t="shared" si="28"/>
        <v>1</v>
      </c>
      <c r="P157" s="34">
        <f t="shared" si="28"/>
        <v>0</v>
      </c>
      <c r="Q157" s="34">
        <f t="shared" si="28"/>
        <v>2</v>
      </c>
      <c r="R157" s="34">
        <f t="shared" si="28"/>
        <v>5</v>
      </c>
      <c r="S157" s="34">
        <f t="shared" si="28"/>
        <v>5</v>
      </c>
      <c r="T157" s="34">
        <f t="shared" si="28"/>
        <v>3</v>
      </c>
      <c r="U157" s="34">
        <f t="shared" si="28"/>
        <v>2</v>
      </c>
      <c r="V157" s="34">
        <f t="shared" si="28"/>
        <v>3</v>
      </c>
      <c r="W157" s="34">
        <f t="shared" si="28"/>
        <v>0</v>
      </c>
      <c r="X157" s="34">
        <f t="shared" si="28"/>
        <v>1</v>
      </c>
      <c r="Y157" s="34">
        <f t="shared" si="28"/>
        <v>0</v>
      </c>
      <c r="Z157" s="34">
        <f t="shared" si="28"/>
        <v>0</v>
      </c>
      <c r="AA157" s="34">
        <f t="shared" si="28"/>
        <v>1</v>
      </c>
      <c r="AB157" s="34">
        <f t="shared" si="28"/>
        <v>1</v>
      </c>
      <c r="AC157" s="34">
        <f t="shared" si="28"/>
        <v>1</v>
      </c>
      <c r="AD157" s="34">
        <f t="shared" si="28"/>
        <v>4</v>
      </c>
      <c r="AE157" s="34">
        <f t="shared" si="28"/>
        <v>2</v>
      </c>
      <c r="AF157" s="34">
        <f t="shared" si="28"/>
        <v>1</v>
      </c>
      <c r="AG157" s="34">
        <f t="shared" si="28"/>
        <v>0</v>
      </c>
      <c r="AH157" s="34">
        <f t="shared" si="28"/>
        <v>1</v>
      </c>
      <c r="AI157" s="34">
        <f t="shared" si="28"/>
        <v>2</v>
      </c>
      <c r="AJ157" s="34">
        <f t="shared" si="28"/>
        <v>3</v>
      </c>
      <c r="AK157" s="34">
        <f t="shared" si="28"/>
        <v>0</v>
      </c>
      <c r="AL157" s="34">
        <f t="shared" si="28"/>
        <v>1</v>
      </c>
      <c r="AM157" s="34">
        <f t="shared" si="28"/>
        <v>3</v>
      </c>
      <c r="AN157" s="34">
        <f t="shared" si="28"/>
        <v>2</v>
      </c>
      <c r="AO157" s="34">
        <f t="shared" si="28"/>
        <v>0</v>
      </c>
      <c r="AP157" s="34">
        <f t="shared" si="28"/>
        <v>1</v>
      </c>
      <c r="AQ157" s="34">
        <f t="shared" si="28"/>
        <v>1</v>
      </c>
      <c r="AR157" s="34">
        <f t="shared" si="28"/>
        <v>2</v>
      </c>
      <c r="AS157" s="34">
        <f t="shared" si="28"/>
        <v>1</v>
      </c>
      <c r="AT157" s="34">
        <f t="shared" si="28"/>
        <v>1</v>
      </c>
      <c r="AU157" s="34">
        <f t="shared" si="28"/>
        <v>1</v>
      </c>
      <c r="AV157" s="34">
        <f t="shared" si="28"/>
        <v>2</v>
      </c>
      <c r="AW157" s="34">
        <f t="shared" si="28"/>
        <v>2</v>
      </c>
      <c r="AX157" s="34">
        <f t="shared" si="28"/>
        <v>0</v>
      </c>
      <c r="AY157" s="34">
        <f t="shared" si="28"/>
        <v>1</v>
      </c>
      <c r="AZ157" s="34">
        <f t="shared" si="28"/>
        <v>0</v>
      </c>
      <c r="BA157" s="13">
        <f t="shared" si="13"/>
        <v>77</v>
      </c>
      <c r="BB157" s="5"/>
      <c r="BC157" s="5"/>
    </row>
    <row r="158" spans="1:55" ht="12.75" customHeight="1" x14ac:dyDescent="0.3">
      <c r="A158" s="35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13">
        <f t="shared" si="13"/>
        <v>0</v>
      </c>
      <c r="BB158" s="5"/>
      <c r="BC158" s="5"/>
    </row>
    <row r="159" spans="1:55" ht="12.75" customHeight="1" x14ac:dyDescent="0.3">
      <c r="A159" s="19" t="s">
        <v>37</v>
      </c>
      <c r="B159" s="26" t="s">
        <v>134</v>
      </c>
      <c r="C159" s="50" t="s">
        <v>135</v>
      </c>
      <c r="D159" s="49"/>
      <c r="E159" s="15">
        <v>0</v>
      </c>
      <c r="F159" s="15">
        <v>5</v>
      </c>
      <c r="G159" s="15">
        <v>0</v>
      </c>
      <c r="H159" s="15">
        <v>0</v>
      </c>
      <c r="I159" s="15">
        <v>0</v>
      </c>
      <c r="J159" s="15">
        <v>1</v>
      </c>
      <c r="K159" s="15">
        <v>1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1</v>
      </c>
      <c r="T159" s="15">
        <v>0</v>
      </c>
      <c r="U159" s="15">
        <v>0</v>
      </c>
      <c r="V159" s="15">
        <v>0</v>
      </c>
      <c r="W159" s="15">
        <v>0</v>
      </c>
      <c r="X159" s="15">
        <v>1</v>
      </c>
      <c r="Y159" s="15">
        <v>0</v>
      </c>
      <c r="Z159" s="15">
        <v>0</v>
      </c>
      <c r="AA159" s="15">
        <v>0</v>
      </c>
      <c r="AB159" s="15">
        <v>0</v>
      </c>
      <c r="AC159" s="15">
        <v>1</v>
      </c>
      <c r="AD159" s="15">
        <v>0</v>
      </c>
      <c r="AE159" s="15">
        <v>0</v>
      </c>
      <c r="AF159" s="15">
        <v>0</v>
      </c>
      <c r="AG159" s="15">
        <v>1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O159" s="15">
        <v>0</v>
      </c>
      <c r="AP159" s="15">
        <v>0</v>
      </c>
      <c r="AQ159" s="15">
        <v>0</v>
      </c>
      <c r="AR159" s="15">
        <v>0</v>
      </c>
      <c r="AS159" s="15">
        <v>0</v>
      </c>
      <c r="AT159" s="15">
        <v>0</v>
      </c>
      <c r="AU159" s="15">
        <v>0</v>
      </c>
      <c r="AV159" s="15">
        <v>0</v>
      </c>
      <c r="AW159" s="15">
        <v>1</v>
      </c>
      <c r="AX159" s="15">
        <v>0</v>
      </c>
      <c r="AY159" s="15">
        <v>1</v>
      </c>
      <c r="AZ159" s="15">
        <v>0</v>
      </c>
      <c r="BA159" s="13">
        <f t="shared" si="13"/>
        <v>13</v>
      </c>
      <c r="BB159" s="5"/>
      <c r="BC159" s="5"/>
    </row>
    <row r="160" spans="1:55" ht="12.75" customHeight="1" x14ac:dyDescent="0.3">
      <c r="A160" s="19"/>
      <c r="B160" s="27">
        <v>1</v>
      </c>
      <c r="C160" s="28" t="s">
        <v>136</v>
      </c>
      <c r="D160" s="37"/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1</v>
      </c>
      <c r="L160" s="15">
        <v>0</v>
      </c>
      <c r="M160" s="15">
        <v>1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1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>
        <v>0</v>
      </c>
      <c r="AM160" s="15">
        <v>1</v>
      </c>
      <c r="AN160" s="15">
        <v>1</v>
      </c>
      <c r="AO160" s="15">
        <v>0</v>
      </c>
      <c r="AP160" s="15">
        <v>0</v>
      </c>
      <c r="AQ160" s="15">
        <v>0</v>
      </c>
      <c r="AR160" s="15">
        <v>0</v>
      </c>
      <c r="AS160" s="15">
        <v>0</v>
      </c>
      <c r="AT160" s="15">
        <v>0</v>
      </c>
      <c r="AU160" s="15">
        <v>0</v>
      </c>
      <c r="AV160" s="15">
        <v>0</v>
      </c>
      <c r="AW160" s="15">
        <v>0</v>
      </c>
      <c r="AX160" s="15">
        <v>0</v>
      </c>
      <c r="AY160" s="15">
        <v>0</v>
      </c>
      <c r="AZ160" s="15">
        <v>0</v>
      </c>
      <c r="BA160" s="13">
        <f t="shared" si="13"/>
        <v>5</v>
      </c>
      <c r="BB160" s="5"/>
      <c r="BC160" s="5"/>
    </row>
    <row r="161" spans="1:55" ht="12.75" customHeight="1" x14ac:dyDescent="0.3">
      <c r="A161" s="19"/>
      <c r="B161" s="27">
        <v>2</v>
      </c>
      <c r="C161" s="28" t="s">
        <v>137</v>
      </c>
      <c r="D161" s="37"/>
      <c r="E161" s="15">
        <v>10</v>
      </c>
      <c r="F161" s="15">
        <v>29</v>
      </c>
      <c r="G161" s="15">
        <v>5</v>
      </c>
      <c r="H161" s="15">
        <v>3</v>
      </c>
      <c r="I161" s="15">
        <v>1</v>
      </c>
      <c r="J161" s="15">
        <v>0</v>
      </c>
      <c r="K161" s="15">
        <v>1</v>
      </c>
      <c r="L161" s="15">
        <v>1</v>
      </c>
      <c r="M161" s="15">
        <v>0</v>
      </c>
      <c r="N161" s="15">
        <v>2</v>
      </c>
      <c r="O161" s="15">
        <v>0</v>
      </c>
      <c r="P161" s="15">
        <v>3</v>
      </c>
      <c r="Q161" s="15">
        <v>0</v>
      </c>
      <c r="R161" s="15">
        <v>0</v>
      </c>
      <c r="S161" s="15">
        <v>1</v>
      </c>
      <c r="T161" s="15">
        <v>1</v>
      </c>
      <c r="U161" s="15">
        <v>0</v>
      </c>
      <c r="V161" s="15">
        <v>3</v>
      </c>
      <c r="W161" s="15">
        <v>3</v>
      </c>
      <c r="X161" s="15">
        <v>1</v>
      </c>
      <c r="Y161" s="15">
        <v>1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1</v>
      </c>
      <c r="AG161" s="15">
        <v>0</v>
      </c>
      <c r="AH161" s="15">
        <v>0</v>
      </c>
      <c r="AI161" s="15">
        <v>3</v>
      </c>
      <c r="AJ161" s="15">
        <v>0</v>
      </c>
      <c r="AK161" s="15">
        <v>1</v>
      </c>
      <c r="AL161" s="15">
        <v>1</v>
      </c>
      <c r="AM161" s="15">
        <v>0</v>
      </c>
      <c r="AN161" s="15">
        <v>0</v>
      </c>
      <c r="AO161" s="15">
        <v>0</v>
      </c>
      <c r="AP161" s="15">
        <v>0</v>
      </c>
      <c r="AQ161" s="15">
        <v>0</v>
      </c>
      <c r="AR161" s="15">
        <v>0</v>
      </c>
      <c r="AS161" s="15">
        <v>0</v>
      </c>
      <c r="AT161" s="15">
        <v>0</v>
      </c>
      <c r="AU161" s="15">
        <v>0</v>
      </c>
      <c r="AV161" s="15">
        <v>0</v>
      </c>
      <c r="AW161" s="15">
        <v>0</v>
      </c>
      <c r="AX161" s="15">
        <v>6</v>
      </c>
      <c r="AY161" s="15">
        <v>0</v>
      </c>
      <c r="AZ161" s="15">
        <v>0</v>
      </c>
      <c r="BA161" s="13">
        <f t="shared" si="13"/>
        <v>77</v>
      </c>
      <c r="BB161" s="5"/>
      <c r="BC161" s="5"/>
    </row>
    <row r="162" spans="1:55" ht="12.75" customHeight="1" x14ac:dyDescent="0.3">
      <c r="A162" s="19" t="s">
        <v>39</v>
      </c>
      <c r="B162" s="27">
        <v>3</v>
      </c>
      <c r="C162" s="28" t="s">
        <v>138</v>
      </c>
      <c r="D162" s="37"/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1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0</v>
      </c>
      <c r="AQ162" s="15">
        <v>0</v>
      </c>
      <c r="AR162" s="15">
        <v>0</v>
      </c>
      <c r="AS162" s="15">
        <v>0</v>
      </c>
      <c r="AT162" s="15">
        <v>0</v>
      </c>
      <c r="AU162" s="15">
        <v>0</v>
      </c>
      <c r="AV162" s="15">
        <v>0</v>
      </c>
      <c r="AW162" s="15">
        <v>0</v>
      </c>
      <c r="AX162" s="15">
        <v>0</v>
      </c>
      <c r="AY162" s="15">
        <v>0</v>
      </c>
      <c r="AZ162" s="15">
        <v>0</v>
      </c>
      <c r="BA162" s="13">
        <f t="shared" si="13"/>
        <v>1</v>
      </c>
      <c r="BB162" s="5"/>
      <c r="BC162" s="5"/>
    </row>
    <row r="163" spans="1:55" ht="15" customHeight="1" x14ac:dyDescent="0.3">
      <c r="A163" s="15" t="s">
        <v>15</v>
      </c>
      <c r="B163" s="47" t="s">
        <v>46</v>
      </c>
      <c r="C163" s="48"/>
      <c r="D163" s="49"/>
      <c r="E163" s="34">
        <f t="shared" ref="E163:AZ163" si="29">SUM(E159:E162)</f>
        <v>10</v>
      </c>
      <c r="F163" s="34">
        <f t="shared" si="29"/>
        <v>34</v>
      </c>
      <c r="G163" s="34">
        <f t="shared" si="29"/>
        <v>5</v>
      </c>
      <c r="H163" s="34">
        <f t="shared" si="29"/>
        <v>3</v>
      </c>
      <c r="I163" s="34">
        <f t="shared" si="29"/>
        <v>1</v>
      </c>
      <c r="J163" s="34">
        <f t="shared" si="29"/>
        <v>1</v>
      </c>
      <c r="K163" s="34">
        <f t="shared" si="29"/>
        <v>3</v>
      </c>
      <c r="L163" s="34">
        <f t="shared" si="29"/>
        <v>1</v>
      </c>
      <c r="M163" s="34">
        <f t="shared" si="29"/>
        <v>1</v>
      </c>
      <c r="N163" s="34">
        <f t="shared" si="29"/>
        <v>2</v>
      </c>
      <c r="O163" s="34">
        <f t="shared" si="29"/>
        <v>0</v>
      </c>
      <c r="P163" s="34">
        <f t="shared" si="29"/>
        <v>3</v>
      </c>
      <c r="Q163" s="34">
        <f t="shared" si="29"/>
        <v>0</v>
      </c>
      <c r="R163" s="34">
        <f t="shared" si="29"/>
        <v>0</v>
      </c>
      <c r="S163" s="34">
        <f t="shared" si="29"/>
        <v>2</v>
      </c>
      <c r="T163" s="34">
        <f t="shared" si="29"/>
        <v>1</v>
      </c>
      <c r="U163" s="34">
        <f t="shared" si="29"/>
        <v>0</v>
      </c>
      <c r="V163" s="34">
        <f t="shared" si="29"/>
        <v>4</v>
      </c>
      <c r="W163" s="34">
        <f t="shared" si="29"/>
        <v>3</v>
      </c>
      <c r="X163" s="34">
        <f t="shared" si="29"/>
        <v>2</v>
      </c>
      <c r="Y163" s="34">
        <f t="shared" si="29"/>
        <v>1</v>
      </c>
      <c r="Z163" s="34">
        <f t="shared" si="29"/>
        <v>0</v>
      </c>
      <c r="AA163" s="34">
        <f t="shared" si="29"/>
        <v>0</v>
      </c>
      <c r="AB163" s="34">
        <f t="shared" si="29"/>
        <v>0</v>
      </c>
      <c r="AC163" s="34">
        <f t="shared" si="29"/>
        <v>1</v>
      </c>
      <c r="AD163" s="34">
        <f t="shared" si="29"/>
        <v>0</v>
      </c>
      <c r="AE163" s="34">
        <f t="shared" si="29"/>
        <v>1</v>
      </c>
      <c r="AF163" s="34">
        <f t="shared" si="29"/>
        <v>1</v>
      </c>
      <c r="AG163" s="34">
        <f t="shared" si="29"/>
        <v>1</v>
      </c>
      <c r="AH163" s="34">
        <f t="shared" si="29"/>
        <v>0</v>
      </c>
      <c r="AI163" s="34">
        <f t="shared" si="29"/>
        <v>3</v>
      </c>
      <c r="AJ163" s="34">
        <f t="shared" si="29"/>
        <v>0</v>
      </c>
      <c r="AK163" s="34">
        <f t="shared" si="29"/>
        <v>1</v>
      </c>
      <c r="AL163" s="34">
        <f t="shared" si="29"/>
        <v>1</v>
      </c>
      <c r="AM163" s="34">
        <f t="shared" si="29"/>
        <v>1</v>
      </c>
      <c r="AN163" s="34">
        <f t="shared" si="29"/>
        <v>1</v>
      </c>
      <c r="AO163" s="34">
        <f t="shared" si="29"/>
        <v>0</v>
      </c>
      <c r="AP163" s="34">
        <f t="shared" si="29"/>
        <v>0</v>
      </c>
      <c r="AQ163" s="34">
        <f t="shared" si="29"/>
        <v>0</v>
      </c>
      <c r="AR163" s="34">
        <f t="shared" si="29"/>
        <v>0</v>
      </c>
      <c r="AS163" s="34">
        <f t="shared" si="29"/>
        <v>0</v>
      </c>
      <c r="AT163" s="34">
        <f t="shared" si="29"/>
        <v>0</v>
      </c>
      <c r="AU163" s="34">
        <f t="shared" si="29"/>
        <v>0</v>
      </c>
      <c r="AV163" s="34">
        <f t="shared" si="29"/>
        <v>0</v>
      </c>
      <c r="AW163" s="34">
        <f t="shared" si="29"/>
        <v>1</v>
      </c>
      <c r="AX163" s="34">
        <f t="shared" si="29"/>
        <v>6</v>
      </c>
      <c r="AY163" s="34">
        <f t="shared" si="29"/>
        <v>1</v>
      </c>
      <c r="AZ163" s="34">
        <f t="shared" si="29"/>
        <v>0</v>
      </c>
      <c r="BA163" s="13">
        <f t="shared" si="13"/>
        <v>96</v>
      </c>
      <c r="BB163" s="5"/>
      <c r="BC163" s="5"/>
    </row>
    <row r="164" spans="1:55" ht="12.75" customHeight="1" x14ac:dyDescent="0.3">
      <c r="A164" s="35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13">
        <f t="shared" si="13"/>
        <v>0</v>
      </c>
      <c r="BB164" s="5"/>
      <c r="BC164" s="5"/>
    </row>
    <row r="165" spans="1:55" ht="12.75" customHeight="1" x14ac:dyDescent="0.3">
      <c r="A165" s="19" t="s">
        <v>37</v>
      </c>
      <c r="B165" s="26" t="s">
        <v>139</v>
      </c>
      <c r="C165" s="50" t="s">
        <v>140</v>
      </c>
      <c r="D165" s="49"/>
      <c r="E165" s="15">
        <v>0</v>
      </c>
      <c r="F165" s="15">
        <v>2</v>
      </c>
      <c r="G165" s="15">
        <v>0</v>
      </c>
      <c r="H165" s="15">
        <v>0</v>
      </c>
      <c r="I165" s="15">
        <v>0</v>
      </c>
      <c r="J165" s="15">
        <v>0</v>
      </c>
      <c r="K165" s="15">
        <v>1</v>
      </c>
      <c r="L165" s="15">
        <v>0</v>
      </c>
      <c r="M165" s="15">
        <v>0</v>
      </c>
      <c r="N165" s="15">
        <v>1</v>
      </c>
      <c r="O165" s="15">
        <v>0</v>
      </c>
      <c r="P165" s="15">
        <v>0</v>
      </c>
      <c r="Q165" s="15">
        <v>1</v>
      </c>
      <c r="R165" s="15">
        <v>1</v>
      </c>
      <c r="S165" s="15">
        <v>4</v>
      </c>
      <c r="T165" s="15">
        <v>7</v>
      </c>
      <c r="U165" s="15">
        <v>5</v>
      </c>
      <c r="V165" s="15">
        <v>4</v>
      </c>
      <c r="W165" s="15">
        <v>0</v>
      </c>
      <c r="X165" s="15">
        <v>0</v>
      </c>
      <c r="Y165" s="15">
        <v>2</v>
      </c>
      <c r="Z165" s="15">
        <v>0</v>
      </c>
      <c r="AA165" s="15">
        <v>2</v>
      </c>
      <c r="AB165" s="15">
        <v>2</v>
      </c>
      <c r="AC165" s="15">
        <v>2</v>
      </c>
      <c r="AD165" s="15">
        <v>3</v>
      </c>
      <c r="AE165" s="15">
        <v>1</v>
      </c>
      <c r="AF165" s="15">
        <v>1</v>
      </c>
      <c r="AG165" s="15">
        <v>0</v>
      </c>
      <c r="AH165" s="15">
        <v>4</v>
      </c>
      <c r="AI165" s="15">
        <v>0</v>
      </c>
      <c r="AJ165" s="15">
        <v>0</v>
      </c>
      <c r="AK165" s="15">
        <v>1</v>
      </c>
      <c r="AL165" s="15">
        <v>0</v>
      </c>
      <c r="AM165" s="15">
        <v>1</v>
      </c>
      <c r="AN165" s="15">
        <v>0</v>
      </c>
      <c r="AO165" s="15">
        <v>0</v>
      </c>
      <c r="AP165" s="15">
        <v>3</v>
      </c>
      <c r="AQ165" s="15">
        <v>1</v>
      </c>
      <c r="AR165" s="15">
        <v>0</v>
      </c>
      <c r="AS165" s="15">
        <v>2</v>
      </c>
      <c r="AT165" s="15">
        <v>1</v>
      </c>
      <c r="AU165" s="15">
        <v>0</v>
      </c>
      <c r="AV165" s="15">
        <v>0</v>
      </c>
      <c r="AW165" s="15">
        <v>1</v>
      </c>
      <c r="AX165" s="15">
        <v>1</v>
      </c>
      <c r="AY165" s="15">
        <v>0</v>
      </c>
      <c r="AZ165" s="15">
        <v>0</v>
      </c>
      <c r="BA165" s="13">
        <f t="shared" si="13"/>
        <v>54</v>
      </c>
      <c r="BB165" s="1"/>
      <c r="BC165" s="1"/>
    </row>
    <row r="166" spans="1:55" ht="12.75" customHeight="1" x14ac:dyDescent="0.3">
      <c r="A166" s="19" t="s">
        <v>39</v>
      </c>
      <c r="B166" s="27">
        <v>1</v>
      </c>
      <c r="C166" s="28" t="s">
        <v>141</v>
      </c>
      <c r="D166" s="29"/>
      <c r="E166" s="15">
        <v>9</v>
      </c>
      <c r="F166" s="15">
        <v>3</v>
      </c>
      <c r="G166" s="15">
        <v>2</v>
      </c>
      <c r="H166" s="15">
        <v>1</v>
      </c>
      <c r="I166" s="15">
        <v>1</v>
      </c>
      <c r="J166" s="15">
        <v>6</v>
      </c>
      <c r="K166" s="15">
        <v>6</v>
      </c>
      <c r="L166" s="15">
        <v>1</v>
      </c>
      <c r="M166" s="15">
        <v>2</v>
      </c>
      <c r="N166" s="15">
        <v>0</v>
      </c>
      <c r="O166" s="15">
        <v>0</v>
      </c>
      <c r="P166" s="15">
        <v>0</v>
      </c>
      <c r="Q166" s="15">
        <v>1</v>
      </c>
      <c r="R166" s="15">
        <v>3</v>
      </c>
      <c r="S166" s="15">
        <v>39</v>
      </c>
      <c r="T166" s="15">
        <v>55</v>
      </c>
      <c r="U166" s="15">
        <v>48</v>
      </c>
      <c r="V166" s="15">
        <v>37</v>
      </c>
      <c r="W166" s="15">
        <v>6</v>
      </c>
      <c r="X166" s="15">
        <v>1</v>
      </c>
      <c r="Y166" s="15">
        <v>10</v>
      </c>
      <c r="Z166" s="15">
        <v>0</v>
      </c>
      <c r="AA166" s="15">
        <v>3</v>
      </c>
      <c r="AB166" s="15">
        <v>1</v>
      </c>
      <c r="AC166" s="15">
        <v>16</v>
      </c>
      <c r="AD166" s="15">
        <v>12</v>
      </c>
      <c r="AE166" s="15">
        <v>2</v>
      </c>
      <c r="AF166" s="15">
        <v>15</v>
      </c>
      <c r="AG166" s="15">
        <v>6</v>
      </c>
      <c r="AH166" s="15">
        <v>12</v>
      </c>
      <c r="AI166" s="15">
        <v>3</v>
      </c>
      <c r="AJ166" s="15">
        <v>0</v>
      </c>
      <c r="AK166" s="15">
        <v>7</v>
      </c>
      <c r="AL166" s="15">
        <v>0</v>
      </c>
      <c r="AM166" s="15">
        <v>11</v>
      </c>
      <c r="AN166" s="15">
        <v>4</v>
      </c>
      <c r="AO166" s="15">
        <v>6</v>
      </c>
      <c r="AP166" s="15">
        <v>1</v>
      </c>
      <c r="AQ166" s="15">
        <v>0</v>
      </c>
      <c r="AR166" s="15">
        <v>0</v>
      </c>
      <c r="AS166" s="15">
        <v>14</v>
      </c>
      <c r="AT166" s="15">
        <v>11</v>
      </c>
      <c r="AU166" s="15">
        <v>3</v>
      </c>
      <c r="AV166" s="15">
        <v>3</v>
      </c>
      <c r="AW166" s="15">
        <v>0</v>
      </c>
      <c r="AX166" s="15">
        <v>2</v>
      </c>
      <c r="AY166" s="15">
        <v>0</v>
      </c>
      <c r="AZ166" s="15">
        <v>2</v>
      </c>
      <c r="BA166" s="13">
        <f t="shared" si="13"/>
        <v>365</v>
      </c>
      <c r="BB166" s="31"/>
      <c r="BC166" s="31"/>
    </row>
    <row r="167" spans="1:55" ht="12.75" customHeight="1" x14ac:dyDescent="0.3">
      <c r="A167" s="14"/>
      <c r="B167" s="27">
        <v>2</v>
      </c>
      <c r="C167" s="28" t="s">
        <v>142</v>
      </c>
      <c r="D167" s="29"/>
      <c r="E167" s="15">
        <v>0</v>
      </c>
      <c r="F167" s="15">
        <v>1</v>
      </c>
      <c r="G167" s="15">
        <v>2</v>
      </c>
      <c r="H167" s="15">
        <v>0</v>
      </c>
      <c r="I167" s="15">
        <v>1</v>
      </c>
      <c r="J167" s="15">
        <v>6</v>
      </c>
      <c r="K167" s="15">
        <v>3</v>
      </c>
      <c r="L167" s="15">
        <v>2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2</v>
      </c>
      <c r="T167" s="15">
        <v>21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1</v>
      </c>
      <c r="AA167" s="15">
        <v>2</v>
      </c>
      <c r="AB167" s="15">
        <v>1</v>
      </c>
      <c r="AC167" s="15">
        <v>0</v>
      </c>
      <c r="AD167" s="15">
        <v>2</v>
      </c>
      <c r="AE167" s="15">
        <v>0</v>
      </c>
      <c r="AF167" s="15">
        <v>3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>
        <v>0</v>
      </c>
      <c r="AM167" s="15">
        <v>0</v>
      </c>
      <c r="AN167" s="15">
        <v>0</v>
      </c>
      <c r="AO167" s="15">
        <v>3</v>
      </c>
      <c r="AP167" s="15">
        <v>23</v>
      </c>
      <c r="AQ167" s="15">
        <v>29</v>
      </c>
      <c r="AR167" s="15">
        <v>5</v>
      </c>
      <c r="AS167" s="15">
        <v>2</v>
      </c>
      <c r="AT167" s="15">
        <v>0</v>
      </c>
      <c r="AU167" s="15">
        <v>0</v>
      </c>
      <c r="AV167" s="15">
        <v>0</v>
      </c>
      <c r="AW167" s="15">
        <v>6</v>
      </c>
      <c r="AX167" s="15">
        <v>12</v>
      </c>
      <c r="AY167" s="15">
        <v>0</v>
      </c>
      <c r="AZ167" s="15">
        <v>0</v>
      </c>
      <c r="BA167" s="13">
        <f t="shared" si="13"/>
        <v>127</v>
      </c>
      <c r="BB167" s="5"/>
      <c r="BC167" s="5"/>
    </row>
    <row r="168" spans="1:55" ht="12.75" customHeight="1" x14ac:dyDescent="0.3">
      <c r="A168" s="14"/>
      <c r="B168" s="27">
        <v>3</v>
      </c>
      <c r="C168" s="28" t="s">
        <v>143</v>
      </c>
      <c r="D168" s="29"/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1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1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1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0</v>
      </c>
      <c r="AX168" s="15">
        <v>0</v>
      </c>
      <c r="AY168" s="15">
        <v>0</v>
      </c>
      <c r="AZ168" s="15">
        <v>0</v>
      </c>
      <c r="BA168" s="13">
        <f t="shared" si="13"/>
        <v>3</v>
      </c>
      <c r="BB168" s="5"/>
      <c r="BC168" s="5"/>
    </row>
    <row r="169" spans="1:55" ht="12.75" customHeight="1" x14ac:dyDescent="0.3">
      <c r="A169" s="14"/>
      <c r="B169" s="27">
        <v>4</v>
      </c>
      <c r="C169" s="28" t="s">
        <v>144</v>
      </c>
      <c r="D169" s="29"/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0</v>
      </c>
      <c r="AO169" s="15">
        <v>0</v>
      </c>
      <c r="AP169" s="15">
        <v>0</v>
      </c>
      <c r="AQ169" s="15">
        <v>0</v>
      </c>
      <c r="AR169" s="15">
        <v>0</v>
      </c>
      <c r="AS169" s="15">
        <v>0</v>
      </c>
      <c r="AT169" s="15">
        <v>0</v>
      </c>
      <c r="AU169" s="15">
        <v>0</v>
      </c>
      <c r="AV169" s="15">
        <v>0</v>
      </c>
      <c r="AW169" s="15">
        <v>0</v>
      </c>
      <c r="AX169" s="15">
        <v>0</v>
      </c>
      <c r="AY169" s="15">
        <v>0</v>
      </c>
      <c r="AZ169" s="15">
        <v>0</v>
      </c>
      <c r="BA169" s="13">
        <f t="shared" si="13"/>
        <v>0</v>
      </c>
      <c r="BB169" s="5"/>
      <c r="BC169" s="5"/>
    </row>
    <row r="170" spans="1:55" ht="12.75" customHeight="1" x14ac:dyDescent="0.3">
      <c r="A170" s="14"/>
      <c r="B170" s="27">
        <v>5</v>
      </c>
      <c r="C170" s="28" t="s">
        <v>145</v>
      </c>
      <c r="D170" s="29"/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1</v>
      </c>
      <c r="O170" s="15">
        <v>0</v>
      </c>
      <c r="P170" s="15">
        <v>0</v>
      </c>
      <c r="Q170" s="15">
        <v>0</v>
      </c>
      <c r="R170" s="15">
        <v>0</v>
      </c>
      <c r="S170" s="15">
        <v>3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0</v>
      </c>
      <c r="AQ170" s="15">
        <v>0</v>
      </c>
      <c r="AR170" s="15">
        <v>0</v>
      </c>
      <c r="AS170" s="15">
        <v>0</v>
      </c>
      <c r="AT170" s="15">
        <v>0</v>
      </c>
      <c r="AU170" s="15">
        <v>0</v>
      </c>
      <c r="AV170" s="15">
        <v>0</v>
      </c>
      <c r="AW170" s="15">
        <v>0</v>
      </c>
      <c r="AX170" s="15">
        <v>0</v>
      </c>
      <c r="AY170" s="15">
        <v>0</v>
      </c>
      <c r="AZ170" s="15">
        <v>0</v>
      </c>
      <c r="BA170" s="13">
        <f t="shared" si="13"/>
        <v>4</v>
      </c>
      <c r="BB170" s="5"/>
      <c r="BC170" s="5"/>
    </row>
    <row r="171" spans="1:55" ht="12.75" customHeight="1" x14ac:dyDescent="0.3">
      <c r="A171" s="14"/>
      <c r="B171" s="27">
        <v>6</v>
      </c>
      <c r="C171" s="28" t="s">
        <v>146</v>
      </c>
      <c r="D171" s="29"/>
      <c r="E171" s="15">
        <v>0</v>
      </c>
      <c r="F171" s="15">
        <v>4</v>
      </c>
      <c r="G171" s="15">
        <v>1</v>
      </c>
      <c r="H171" s="15">
        <v>0</v>
      </c>
      <c r="I171" s="15">
        <v>0</v>
      </c>
      <c r="J171" s="15">
        <v>4</v>
      </c>
      <c r="K171" s="15">
        <v>0</v>
      </c>
      <c r="L171" s="15">
        <v>0</v>
      </c>
      <c r="M171" s="15">
        <v>0</v>
      </c>
      <c r="N171" s="15">
        <v>3</v>
      </c>
      <c r="O171" s="15">
        <v>0</v>
      </c>
      <c r="P171" s="15">
        <v>0</v>
      </c>
      <c r="Q171" s="15">
        <v>1</v>
      </c>
      <c r="R171" s="15">
        <v>0</v>
      </c>
      <c r="S171" s="15">
        <v>0</v>
      </c>
      <c r="T171" s="15">
        <v>0</v>
      </c>
      <c r="U171" s="15">
        <v>0</v>
      </c>
      <c r="V171" s="15">
        <v>1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1</v>
      </c>
      <c r="AC171" s="15">
        <v>0</v>
      </c>
      <c r="AD171" s="15">
        <v>1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1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1</v>
      </c>
      <c r="AW171" s="15">
        <v>0</v>
      </c>
      <c r="AX171" s="15">
        <v>0</v>
      </c>
      <c r="AY171" s="15">
        <v>0</v>
      </c>
      <c r="AZ171" s="15">
        <v>0</v>
      </c>
      <c r="BA171" s="13">
        <f t="shared" si="13"/>
        <v>18</v>
      </c>
      <c r="BB171" s="5"/>
      <c r="BC171" s="5"/>
    </row>
    <row r="172" spans="1:55" ht="12.75" customHeight="1" x14ac:dyDescent="0.3">
      <c r="A172" s="15" t="s">
        <v>15</v>
      </c>
      <c r="B172" s="47" t="s">
        <v>46</v>
      </c>
      <c r="C172" s="48"/>
      <c r="D172" s="49"/>
      <c r="E172" s="46">
        <f t="shared" ref="E172:AZ172" si="30">SUM(E165:E171)</f>
        <v>9</v>
      </c>
      <c r="F172" s="46">
        <f t="shared" si="30"/>
        <v>10</v>
      </c>
      <c r="G172" s="46">
        <f t="shared" si="30"/>
        <v>5</v>
      </c>
      <c r="H172" s="46">
        <f t="shared" si="30"/>
        <v>1</v>
      </c>
      <c r="I172" s="46">
        <f t="shared" si="30"/>
        <v>2</v>
      </c>
      <c r="J172" s="46">
        <f t="shared" si="30"/>
        <v>16</v>
      </c>
      <c r="K172" s="46">
        <f t="shared" si="30"/>
        <v>10</v>
      </c>
      <c r="L172" s="46">
        <f t="shared" si="30"/>
        <v>3</v>
      </c>
      <c r="M172" s="46">
        <f t="shared" si="30"/>
        <v>2</v>
      </c>
      <c r="N172" s="46">
        <f t="shared" si="30"/>
        <v>5</v>
      </c>
      <c r="O172" s="46">
        <f t="shared" si="30"/>
        <v>0</v>
      </c>
      <c r="P172" s="46">
        <f t="shared" si="30"/>
        <v>0</v>
      </c>
      <c r="Q172" s="46">
        <f t="shared" si="30"/>
        <v>3</v>
      </c>
      <c r="R172" s="46">
        <f t="shared" si="30"/>
        <v>4</v>
      </c>
      <c r="S172" s="46">
        <f t="shared" si="30"/>
        <v>49</v>
      </c>
      <c r="T172" s="46">
        <f t="shared" si="30"/>
        <v>83</v>
      </c>
      <c r="U172" s="46">
        <f t="shared" si="30"/>
        <v>53</v>
      </c>
      <c r="V172" s="46">
        <f t="shared" si="30"/>
        <v>42</v>
      </c>
      <c r="W172" s="46">
        <f t="shared" si="30"/>
        <v>6</v>
      </c>
      <c r="X172" s="46">
        <f t="shared" si="30"/>
        <v>1</v>
      </c>
      <c r="Y172" s="46">
        <f t="shared" si="30"/>
        <v>12</v>
      </c>
      <c r="Z172" s="46">
        <f t="shared" si="30"/>
        <v>2</v>
      </c>
      <c r="AA172" s="46">
        <f t="shared" si="30"/>
        <v>7</v>
      </c>
      <c r="AB172" s="46">
        <f t="shared" si="30"/>
        <v>5</v>
      </c>
      <c r="AC172" s="46">
        <f t="shared" si="30"/>
        <v>18</v>
      </c>
      <c r="AD172" s="46">
        <f t="shared" si="30"/>
        <v>18</v>
      </c>
      <c r="AE172" s="46">
        <f t="shared" si="30"/>
        <v>3</v>
      </c>
      <c r="AF172" s="46">
        <f t="shared" si="30"/>
        <v>19</v>
      </c>
      <c r="AG172" s="46">
        <f t="shared" si="30"/>
        <v>6</v>
      </c>
      <c r="AH172" s="46">
        <f t="shared" si="30"/>
        <v>16</v>
      </c>
      <c r="AI172" s="46">
        <f t="shared" si="30"/>
        <v>3</v>
      </c>
      <c r="AJ172" s="46">
        <f t="shared" si="30"/>
        <v>0</v>
      </c>
      <c r="AK172" s="46">
        <f t="shared" si="30"/>
        <v>9</v>
      </c>
      <c r="AL172" s="46">
        <f t="shared" si="30"/>
        <v>0</v>
      </c>
      <c r="AM172" s="46">
        <f t="shared" si="30"/>
        <v>13</v>
      </c>
      <c r="AN172" s="46">
        <f t="shared" si="30"/>
        <v>4</v>
      </c>
      <c r="AO172" s="46">
        <f t="shared" si="30"/>
        <v>9</v>
      </c>
      <c r="AP172" s="46">
        <f t="shared" si="30"/>
        <v>27</v>
      </c>
      <c r="AQ172" s="46">
        <f t="shared" si="30"/>
        <v>30</v>
      </c>
      <c r="AR172" s="46">
        <f t="shared" si="30"/>
        <v>5</v>
      </c>
      <c r="AS172" s="46">
        <f t="shared" si="30"/>
        <v>18</v>
      </c>
      <c r="AT172" s="46">
        <f t="shared" si="30"/>
        <v>12</v>
      </c>
      <c r="AU172" s="46">
        <f t="shared" si="30"/>
        <v>3</v>
      </c>
      <c r="AV172" s="46">
        <f t="shared" si="30"/>
        <v>4</v>
      </c>
      <c r="AW172" s="46">
        <f t="shared" si="30"/>
        <v>7</v>
      </c>
      <c r="AX172" s="46">
        <f t="shared" si="30"/>
        <v>15</v>
      </c>
      <c r="AY172" s="46">
        <f t="shared" si="30"/>
        <v>0</v>
      </c>
      <c r="AZ172" s="46">
        <f t="shared" si="30"/>
        <v>2</v>
      </c>
      <c r="BA172" s="13">
        <f t="shared" si="13"/>
        <v>571</v>
      </c>
      <c r="BB172" s="5"/>
      <c r="BC172" s="5"/>
    </row>
    <row r="173" spans="1:55" ht="12.75" customHeight="1" x14ac:dyDescent="0.3">
      <c r="A173" s="35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13">
        <f t="shared" si="13"/>
        <v>0</v>
      </c>
      <c r="BB173" s="5"/>
      <c r="BC173" s="5"/>
    </row>
    <row r="174" spans="1:55" ht="12.75" customHeight="1" x14ac:dyDescent="0.3">
      <c r="A174" s="19" t="s">
        <v>37</v>
      </c>
      <c r="B174" s="26" t="s">
        <v>147</v>
      </c>
      <c r="C174" s="50" t="s">
        <v>148</v>
      </c>
      <c r="D174" s="49"/>
      <c r="E174" s="15">
        <v>0</v>
      </c>
      <c r="F174" s="15">
        <v>0</v>
      </c>
      <c r="G174" s="15">
        <v>0</v>
      </c>
      <c r="H174" s="15">
        <v>0</v>
      </c>
      <c r="I174" s="15">
        <v>2</v>
      </c>
      <c r="J174" s="15">
        <v>1</v>
      </c>
      <c r="K174" s="15">
        <v>0</v>
      </c>
      <c r="L174" s="15">
        <v>5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1</v>
      </c>
      <c r="AC174" s="15">
        <v>2</v>
      </c>
      <c r="AD174" s="15">
        <v>0</v>
      </c>
      <c r="AE174" s="15">
        <v>0</v>
      </c>
      <c r="AF174" s="15">
        <v>1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1</v>
      </c>
      <c r="AR174" s="15">
        <v>0</v>
      </c>
      <c r="AS174" s="15">
        <v>0</v>
      </c>
      <c r="AT174" s="15">
        <v>0</v>
      </c>
      <c r="AU174" s="15">
        <v>1</v>
      </c>
      <c r="AV174" s="15">
        <v>0</v>
      </c>
      <c r="AW174" s="15">
        <v>0</v>
      </c>
      <c r="AX174" s="15"/>
      <c r="AY174" s="15"/>
      <c r="AZ174" s="15"/>
      <c r="BA174" s="13">
        <f t="shared" si="13"/>
        <v>14</v>
      </c>
      <c r="BB174" s="5"/>
      <c r="BC174" s="5"/>
    </row>
    <row r="175" spans="1:55" ht="15" customHeight="1" x14ac:dyDescent="0.3">
      <c r="A175" s="19"/>
      <c r="B175" s="27">
        <v>1</v>
      </c>
      <c r="C175" s="28" t="s">
        <v>149</v>
      </c>
      <c r="D175" s="37"/>
      <c r="E175" s="15">
        <v>1</v>
      </c>
      <c r="F175" s="15">
        <v>0</v>
      </c>
      <c r="G175" s="15">
        <v>0</v>
      </c>
      <c r="H175" s="15">
        <v>0</v>
      </c>
      <c r="I175" s="15">
        <v>1</v>
      </c>
      <c r="J175" s="15">
        <v>0</v>
      </c>
      <c r="K175" s="15">
        <v>0</v>
      </c>
      <c r="L175" s="15">
        <v>7</v>
      </c>
      <c r="M175" s="15">
        <v>2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1</v>
      </c>
      <c r="V175" s="15">
        <v>0</v>
      </c>
      <c r="W175" s="15">
        <v>0</v>
      </c>
      <c r="X175" s="15">
        <v>0</v>
      </c>
      <c r="Y175" s="15">
        <v>0</v>
      </c>
      <c r="Z175" s="15">
        <v>1</v>
      </c>
      <c r="AA175" s="15">
        <v>0</v>
      </c>
      <c r="AB175" s="15">
        <v>0</v>
      </c>
      <c r="AC175" s="15">
        <v>4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5">
        <v>0</v>
      </c>
      <c r="AP175" s="15">
        <v>0</v>
      </c>
      <c r="AQ175" s="15">
        <v>0</v>
      </c>
      <c r="AR175" s="15">
        <v>0</v>
      </c>
      <c r="AS175" s="15">
        <v>0</v>
      </c>
      <c r="AT175" s="15">
        <v>0</v>
      </c>
      <c r="AU175" s="15">
        <v>0</v>
      </c>
      <c r="AV175" s="15">
        <v>0</v>
      </c>
      <c r="AW175" s="15">
        <v>0</v>
      </c>
      <c r="AX175" s="15"/>
      <c r="AY175" s="15"/>
      <c r="AZ175" s="15"/>
      <c r="BA175" s="13">
        <f t="shared" si="13"/>
        <v>17</v>
      </c>
      <c r="BB175" s="5"/>
      <c r="BC175" s="5"/>
    </row>
    <row r="176" spans="1:55" ht="12.75" customHeight="1" x14ac:dyDescent="0.3">
      <c r="A176" s="19" t="s">
        <v>39</v>
      </c>
      <c r="B176" s="27">
        <v>2</v>
      </c>
      <c r="C176" s="28" t="s">
        <v>150</v>
      </c>
      <c r="D176" s="29"/>
      <c r="E176" s="15">
        <v>3</v>
      </c>
      <c r="F176" s="15">
        <v>1</v>
      </c>
      <c r="G176" s="15">
        <v>1</v>
      </c>
      <c r="H176" s="15">
        <v>0</v>
      </c>
      <c r="I176" s="15">
        <v>0</v>
      </c>
      <c r="J176" s="15">
        <v>0</v>
      </c>
      <c r="K176" s="15">
        <v>0</v>
      </c>
      <c r="L176" s="15">
        <v>7</v>
      </c>
      <c r="M176" s="15">
        <v>1</v>
      </c>
      <c r="N176" s="15">
        <v>0</v>
      </c>
      <c r="O176" s="15">
        <v>0</v>
      </c>
      <c r="P176" s="15">
        <v>1</v>
      </c>
      <c r="Q176" s="15">
        <v>3</v>
      </c>
      <c r="R176" s="15">
        <v>2</v>
      </c>
      <c r="S176" s="15">
        <v>3</v>
      </c>
      <c r="T176" s="15">
        <v>0</v>
      </c>
      <c r="U176" s="15">
        <v>1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1</v>
      </c>
      <c r="AE176" s="15">
        <v>0</v>
      </c>
      <c r="AF176" s="15">
        <v>0</v>
      </c>
      <c r="AG176" s="15">
        <v>0</v>
      </c>
      <c r="AH176" s="15">
        <v>0</v>
      </c>
      <c r="AI176" s="15">
        <v>2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1</v>
      </c>
      <c r="AQ176" s="15">
        <v>4</v>
      </c>
      <c r="AR176" s="15">
        <v>0</v>
      </c>
      <c r="AS176" s="15">
        <v>2</v>
      </c>
      <c r="AT176" s="15">
        <v>0</v>
      </c>
      <c r="AU176" s="15">
        <v>0</v>
      </c>
      <c r="AV176" s="15">
        <v>0</v>
      </c>
      <c r="AW176" s="15">
        <v>0</v>
      </c>
      <c r="AX176" s="15"/>
      <c r="AY176" s="15"/>
      <c r="AZ176" s="15"/>
      <c r="BA176" s="13">
        <f t="shared" si="13"/>
        <v>33</v>
      </c>
      <c r="BB176" s="1"/>
      <c r="BC176" s="1"/>
    </row>
    <row r="177" spans="1:55" ht="12.75" customHeight="1" x14ac:dyDescent="0.3">
      <c r="A177" s="15" t="s">
        <v>15</v>
      </c>
      <c r="B177" s="47" t="s">
        <v>46</v>
      </c>
      <c r="C177" s="48"/>
      <c r="D177" s="49"/>
      <c r="E177" s="34">
        <f t="shared" ref="E177:AZ177" si="31">SUM(E174:E176)</f>
        <v>4</v>
      </c>
      <c r="F177" s="34">
        <f t="shared" si="31"/>
        <v>1</v>
      </c>
      <c r="G177" s="34">
        <f t="shared" si="31"/>
        <v>1</v>
      </c>
      <c r="H177" s="34">
        <f t="shared" si="31"/>
        <v>0</v>
      </c>
      <c r="I177" s="34">
        <f t="shared" si="31"/>
        <v>3</v>
      </c>
      <c r="J177" s="34">
        <f t="shared" si="31"/>
        <v>1</v>
      </c>
      <c r="K177" s="34">
        <f t="shared" si="31"/>
        <v>0</v>
      </c>
      <c r="L177" s="34">
        <f t="shared" si="31"/>
        <v>19</v>
      </c>
      <c r="M177" s="34">
        <f t="shared" si="31"/>
        <v>3</v>
      </c>
      <c r="N177" s="34">
        <f t="shared" si="31"/>
        <v>0</v>
      </c>
      <c r="O177" s="34">
        <f t="shared" si="31"/>
        <v>0</v>
      </c>
      <c r="P177" s="34">
        <f t="shared" si="31"/>
        <v>1</v>
      </c>
      <c r="Q177" s="34">
        <f t="shared" si="31"/>
        <v>3</v>
      </c>
      <c r="R177" s="34">
        <f t="shared" si="31"/>
        <v>2</v>
      </c>
      <c r="S177" s="34">
        <f t="shared" si="31"/>
        <v>3</v>
      </c>
      <c r="T177" s="34">
        <f t="shared" si="31"/>
        <v>0</v>
      </c>
      <c r="U177" s="34">
        <f t="shared" si="31"/>
        <v>2</v>
      </c>
      <c r="V177" s="34">
        <f t="shared" si="31"/>
        <v>0</v>
      </c>
      <c r="W177" s="34">
        <f t="shared" si="31"/>
        <v>0</v>
      </c>
      <c r="X177" s="34">
        <f t="shared" si="31"/>
        <v>0</v>
      </c>
      <c r="Y177" s="34">
        <f t="shared" si="31"/>
        <v>0</v>
      </c>
      <c r="Z177" s="34">
        <f t="shared" si="31"/>
        <v>1</v>
      </c>
      <c r="AA177" s="34">
        <f t="shared" si="31"/>
        <v>0</v>
      </c>
      <c r="AB177" s="34">
        <f t="shared" si="31"/>
        <v>1</v>
      </c>
      <c r="AC177" s="34">
        <f t="shared" si="31"/>
        <v>6</v>
      </c>
      <c r="AD177" s="34">
        <f t="shared" si="31"/>
        <v>1</v>
      </c>
      <c r="AE177" s="34">
        <f t="shared" si="31"/>
        <v>0</v>
      </c>
      <c r="AF177" s="34">
        <f t="shared" si="31"/>
        <v>1</v>
      </c>
      <c r="AG177" s="34">
        <f t="shared" si="31"/>
        <v>0</v>
      </c>
      <c r="AH177" s="34">
        <f t="shared" si="31"/>
        <v>0</v>
      </c>
      <c r="AI177" s="34">
        <f t="shared" si="31"/>
        <v>2</v>
      </c>
      <c r="AJ177" s="34">
        <f t="shared" si="31"/>
        <v>0</v>
      </c>
      <c r="AK177" s="34">
        <f t="shared" si="31"/>
        <v>0</v>
      </c>
      <c r="AL177" s="34">
        <f t="shared" si="31"/>
        <v>0</v>
      </c>
      <c r="AM177" s="34">
        <f t="shared" si="31"/>
        <v>0</v>
      </c>
      <c r="AN177" s="34">
        <f t="shared" si="31"/>
        <v>0</v>
      </c>
      <c r="AO177" s="34">
        <f t="shared" si="31"/>
        <v>0</v>
      </c>
      <c r="AP177" s="34">
        <f t="shared" si="31"/>
        <v>1</v>
      </c>
      <c r="AQ177" s="34">
        <f t="shared" si="31"/>
        <v>5</v>
      </c>
      <c r="AR177" s="34">
        <f t="shared" si="31"/>
        <v>0</v>
      </c>
      <c r="AS177" s="34">
        <f t="shared" si="31"/>
        <v>2</v>
      </c>
      <c r="AT177" s="34">
        <f t="shared" si="31"/>
        <v>0</v>
      </c>
      <c r="AU177" s="34">
        <f t="shared" si="31"/>
        <v>1</v>
      </c>
      <c r="AV177" s="34">
        <f t="shared" si="31"/>
        <v>0</v>
      </c>
      <c r="AW177" s="34">
        <f t="shared" si="31"/>
        <v>0</v>
      </c>
      <c r="AX177" s="34">
        <f t="shared" si="31"/>
        <v>0</v>
      </c>
      <c r="AY177" s="34">
        <f t="shared" si="31"/>
        <v>0</v>
      </c>
      <c r="AZ177" s="34">
        <f t="shared" si="31"/>
        <v>0</v>
      </c>
      <c r="BA177" s="13">
        <f t="shared" si="13"/>
        <v>64</v>
      </c>
    </row>
    <row r="178" spans="1:55" ht="12.75" customHeight="1" x14ac:dyDescent="0.3">
      <c r="A178" s="60"/>
      <c r="B178" s="58"/>
      <c r="C178" s="58"/>
      <c r="D178" s="5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3">
        <f t="shared" si="13"/>
        <v>0</v>
      </c>
      <c r="BB178" s="5"/>
      <c r="BC178" s="5"/>
    </row>
    <row r="179" spans="1:55" ht="12.75" customHeight="1" x14ac:dyDescent="0.3">
      <c r="A179" s="25" t="s">
        <v>151</v>
      </c>
      <c r="B179" s="55" t="s">
        <v>152</v>
      </c>
      <c r="C179" s="48"/>
      <c r="D179" s="49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3">
        <f t="shared" si="13"/>
        <v>0</v>
      </c>
      <c r="BB179" s="5"/>
      <c r="BC179" s="5"/>
    </row>
    <row r="180" spans="1:55" ht="12.75" customHeight="1" x14ac:dyDescent="0.3">
      <c r="A180" s="25"/>
      <c r="B180" s="38" t="s">
        <v>153</v>
      </c>
      <c r="C180" s="72" t="s">
        <v>154</v>
      </c>
      <c r="D180" s="49"/>
      <c r="E180" s="15">
        <f>E52+E61+E70+E79+E88+E94+E99+E108+E115+E124+E128+E135+E144+E153+E157+E163+E172+E177</f>
        <v>208</v>
      </c>
      <c r="F180" s="15">
        <f t="shared" ref="F180:BA180" si="32">F52+F61+F70+F79+F88+F94+F99+F108+F115+F124+F128+F135+F144+F153+F157+F163+F172+F177</f>
        <v>239</v>
      </c>
      <c r="G180" s="15">
        <f t="shared" si="32"/>
        <v>163</v>
      </c>
      <c r="H180" s="15">
        <f t="shared" si="32"/>
        <v>194</v>
      </c>
      <c r="I180" s="15">
        <f t="shared" si="32"/>
        <v>209</v>
      </c>
      <c r="J180" s="15">
        <f t="shared" si="32"/>
        <v>222</v>
      </c>
      <c r="K180" s="15">
        <f t="shared" si="32"/>
        <v>179</v>
      </c>
      <c r="L180" s="15">
        <f t="shared" si="32"/>
        <v>186</v>
      </c>
      <c r="M180" s="15">
        <f t="shared" si="32"/>
        <v>163</v>
      </c>
      <c r="N180" s="15">
        <f t="shared" si="32"/>
        <v>184</v>
      </c>
      <c r="O180" s="15">
        <f t="shared" si="32"/>
        <v>203</v>
      </c>
      <c r="P180" s="15">
        <f t="shared" si="32"/>
        <v>180</v>
      </c>
      <c r="Q180" s="15">
        <f t="shared" si="32"/>
        <v>171</v>
      </c>
      <c r="R180" s="15">
        <f t="shared" si="32"/>
        <v>221</v>
      </c>
      <c r="S180" s="15">
        <f t="shared" si="32"/>
        <v>211</v>
      </c>
      <c r="T180" s="15">
        <f t="shared" si="32"/>
        <v>224</v>
      </c>
      <c r="U180" s="15">
        <f t="shared" si="32"/>
        <v>154</v>
      </c>
      <c r="V180" s="15">
        <f t="shared" si="32"/>
        <v>198</v>
      </c>
      <c r="W180" s="15">
        <f t="shared" si="32"/>
        <v>222</v>
      </c>
      <c r="X180" s="15">
        <f t="shared" si="32"/>
        <v>231</v>
      </c>
      <c r="Y180" s="15">
        <f t="shared" si="32"/>
        <v>191</v>
      </c>
      <c r="Z180" s="15">
        <f t="shared" si="32"/>
        <v>122</v>
      </c>
      <c r="AA180" s="15">
        <f t="shared" si="32"/>
        <v>216</v>
      </c>
      <c r="AB180" s="15">
        <f t="shared" si="32"/>
        <v>189</v>
      </c>
      <c r="AC180" s="15">
        <f t="shared" si="32"/>
        <v>198</v>
      </c>
      <c r="AD180" s="15">
        <f t="shared" si="32"/>
        <v>200</v>
      </c>
      <c r="AE180" s="15">
        <f t="shared" si="32"/>
        <v>182</v>
      </c>
      <c r="AF180" s="15">
        <f t="shared" si="32"/>
        <v>202</v>
      </c>
      <c r="AG180" s="15">
        <f t="shared" si="32"/>
        <v>192</v>
      </c>
      <c r="AH180" s="15">
        <f t="shared" si="32"/>
        <v>194</v>
      </c>
      <c r="AI180" s="15">
        <f t="shared" si="32"/>
        <v>92</v>
      </c>
      <c r="AJ180" s="15">
        <f t="shared" si="32"/>
        <v>196</v>
      </c>
      <c r="AK180" s="15">
        <f t="shared" si="32"/>
        <v>189</v>
      </c>
      <c r="AL180" s="15">
        <f t="shared" si="32"/>
        <v>181</v>
      </c>
      <c r="AM180" s="15">
        <f t="shared" si="32"/>
        <v>177</v>
      </c>
      <c r="AN180" s="15">
        <f t="shared" si="32"/>
        <v>184</v>
      </c>
      <c r="AO180" s="15">
        <f t="shared" si="32"/>
        <v>186</v>
      </c>
      <c r="AP180" s="15">
        <f t="shared" si="32"/>
        <v>206</v>
      </c>
      <c r="AQ180" s="15">
        <f t="shared" si="32"/>
        <v>158</v>
      </c>
      <c r="AR180" s="15">
        <f t="shared" si="32"/>
        <v>187</v>
      </c>
      <c r="AS180" s="15">
        <f t="shared" si="32"/>
        <v>171</v>
      </c>
      <c r="AT180" s="15">
        <f t="shared" si="32"/>
        <v>230</v>
      </c>
      <c r="AU180" s="15">
        <f t="shared" si="32"/>
        <v>189</v>
      </c>
      <c r="AV180" s="15">
        <f t="shared" si="32"/>
        <v>230</v>
      </c>
      <c r="AW180" s="15">
        <f t="shared" si="32"/>
        <v>207</v>
      </c>
      <c r="AX180" s="15">
        <f t="shared" si="32"/>
        <v>176</v>
      </c>
      <c r="AY180" s="15">
        <f t="shared" si="32"/>
        <v>171</v>
      </c>
      <c r="AZ180" s="15">
        <f t="shared" si="32"/>
        <v>136</v>
      </c>
      <c r="BA180" s="15">
        <f t="shared" si="32"/>
        <v>9114</v>
      </c>
      <c r="BB180" s="5"/>
      <c r="BC180" s="5"/>
    </row>
    <row r="181" spans="1:55" ht="12.75" customHeight="1" x14ac:dyDescent="0.3">
      <c r="A181" s="21"/>
      <c r="B181" s="38" t="s">
        <v>155</v>
      </c>
      <c r="C181" s="72" t="s">
        <v>156</v>
      </c>
      <c r="D181" s="49"/>
      <c r="E181" s="15">
        <v>6</v>
      </c>
      <c r="F181" s="15">
        <v>7</v>
      </c>
      <c r="G181" s="15">
        <v>14</v>
      </c>
      <c r="H181" s="15">
        <v>16</v>
      </c>
      <c r="I181" s="15">
        <v>14</v>
      </c>
      <c r="J181" s="15">
        <v>4</v>
      </c>
      <c r="K181" s="15">
        <v>17</v>
      </c>
      <c r="L181" s="15">
        <v>6</v>
      </c>
      <c r="M181" s="15">
        <v>8</v>
      </c>
      <c r="N181" s="15">
        <v>7</v>
      </c>
      <c r="O181" s="15">
        <v>11</v>
      </c>
      <c r="P181" s="15">
        <v>6</v>
      </c>
      <c r="Q181" s="15">
        <v>4</v>
      </c>
      <c r="R181" s="15">
        <v>12</v>
      </c>
      <c r="S181" s="15">
        <v>11</v>
      </c>
      <c r="T181" s="15">
        <v>9</v>
      </c>
      <c r="U181" s="15">
        <v>6</v>
      </c>
      <c r="V181" s="15">
        <v>11</v>
      </c>
      <c r="W181" s="15">
        <v>7</v>
      </c>
      <c r="X181" s="15">
        <v>2</v>
      </c>
      <c r="Y181" s="15">
        <v>21</v>
      </c>
      <c r="Z181" s="15">
        <v>4</v>
      </c>
      <c r="AA181" s="15">
        <v>8</v>
      </c>
      <c r="AB181" s="15">
        <v>14</v>
      </c>
      <c r="AC181" s="15">
        <v>8</v>
      </c>
      <c r="AD181" s="15">
        <v>15</v>
      </c>
      <c r="AE181" s="15">
        <v>20</v>
      </c>
      <c r="AF181" s="15">
        <v>18</v>
      </c>
      <c r="AG181" s="15">
        <v>12</v>
      </c>
      <c r="AH181" s="15">
        <v>9</v>
      </c>
      <c r="AI181" s="15">
        <v>9</v>
      </c>
      <c r="AJ181" s="15">
        <v>23</v>
      </c>
      <c r="AK181" s="15">
        <v>11</v>
      </c>
      <c r="AL181" s="15">
        <v>15</v>
      </c>
      <c r="AM181" s="15">
        <v>11</v>
      </c>
      <c r="AN181" s="15">
        <v>15</v>
      </c>
      <c r="AO181" s="15">
        <v>10</v>
      </c>
      <c r="AP181" s="15">
        <v>8</v>
      </c>
      <c r="AQ181" s="15">
        <v>8</v>
      </c>
      <c r="AR181" s="15">
        <v>7</v>
      </c>
      <c r="AS181" s="15">
        <v>7</v>
      </c>
      <c r="AT181" s="15">
        <v>20</v>
      </c>
      <c r="AU181" s="15">
        <v>11</v>
      </c>
      <c r="AV181" s="15">
        <v>7</v>
      </c>
      <c r="AW181" s="15">
        <v>7</v>
      </c>
      <c r="AX181" s="15">
        <v>18</v>
      </c>
      <c r="AY181" s="15">
        <v>5</v>
      </c>
      <c r="AZ181" s="15">
        <v>9</v>
      </c>
      <c r="BA181" s="13">
        <f t="shared" si="13"/>
        <v>508</v>
      </c>
      <c r="BB181" s="5"/>
      <c r="BC181" s="5"/>
    </row>
    <row r="182" spans="1:55" ht="12.75" customHeight="1" x14ac:dyDescent="0.3">
      <c r="A182" s="24"/>
      <c r="B182" s="38" t="s">
        <v>157</v>
      </c>
      <c r="C182" s="72" t="s">
        <v>158</v>
      </c>
      <c r="D182" s="49"/>
      <c r="E182" s="18">
        <f t="shared" ref="E182:AZ182" si="33">SUM(E180:E181)</f>
        <v>214</v>
      </c>
      <c r="F182" s="18">
        <f t="shared" si="33"/>
        <v>246</v>
      </c>
      <c r="G182" s="18">
        <f t="shared" si="33"/>
        <v>177</v>
      </c>
      <c r="H182" s="18">
        <f t="shared" si="33"/>
        <v>210</v>
      </c>
      <c r="I182" s="18">
        <f t="shared" si="33"/>
        <v>223</v>
      </c>
      <c r="J182" s="18">
        <f t="shared" si="33"/>
        <v>226</v>
      </c>
      <c r="K182" s="18">
        <f t="shared" si="33"/>
        <v>196</v>
      </c>
      <c r="L182" s="18">
        <f t="shared" si="33"/>
        <v>192</v>
      </c>
      <c r="M182" s="18">
        <f t="shared" si="33"/>
        <v>171</v>
      </c>
      <c r="N182" s="18">
        <f t="shared" si="33"/>
        <v>191</v>
      </c>
      <c r="O182" s="18">
        <f t="shared" si="33"/>
        <v>214</v>
      </c>
      <c r="P182" s="18">
        <f t="shared" si="33"/>
        <v>186</v>
      </c>
      <c r="Q182" s="18">
        <f t="shared" si="33"/>
        <v>175</v>
      </c>
      <c r="R182" s="18">
        <f t="shared" si="33"/>
        <v>233</v>
      </c>
      <c r="S182" s="18">
        <f t="shared" si="33"/>
        <v>222</v>
      </c>
      <c r="T182" s="18">
        <f t="shared" si="33"/>
        <v>233</v>
      </c>
      <c r="U182" s="18">
        <f t="shared" si="33"/>
        <v>160</v>
      </c>
      <c r="V182" s="18">
        <f t="shared" si="33"/>
        <v>209</v>
      </c>
      <c r="W182" s="18">
        <f t="shared" si="33"/>
        <v>229</v>
      </c>
      <c r="X182" s="18">
        <f t="shared" si="33"/>
        <v>233</v>
      </c>
      <c r="Y182" s="18">
        <f t="shared" si="33"/>
        <v>212</v>
      </c>
      <c r="Z182" s="18">
        <f t="shared" si="33"/>
        <v>126</v>
      </c>
      <c r="AA182" s="18">
        <f t="shared" si="33"/>
        <v>224</v>
      </c>
      <c r="AB182" s="18">
        <f t="shared" si="33"/>
        <v>203</v>
      </c>
      <c r="AC182" s="18">
        <f t="shared" si="33"/>
        <v>206</v>
      </c>
      <c r="AD182" s="18">
        <f t="shared" si="33"/>
        <v>215</v>
      </c>
      <c r="AE182" s="18">
        <f t="shared" si="33"/>
        <v>202</v>
      </c>
      <c r="AF182" s="18">
        <f t="shared" si="33"/>
        <v>220</v>
      </c>
      <c r="AG182" s="18">
        <f t="shared" si="33"/>
        <v>204</v>
      </c>
      <c r="AH182" s="18">
        <f t="shared" si="33"/>
        <v>203</v>
      </c>
      <c r="AI182" s="18">
        <f t="shared" si="33"/>
        <v>101</v>
      </c>
      <c r="AJ182" s="18">
        <f t="shared" si="33"/>
        <v>219</v>
      </c>
      <c r="AK182" s="18">
        <f t="shared" si="33"/>
        <v>200</v>
      </c>
      <c r="AL182" s="18">
        <f t="shared" si="33"/>
        <v>196</v>
      </c>
      <c r="AM182" s="18">
        <f t="shared" si="33"/>
        <v>188</v>
      </c>
      <c r="AN182" s="18">
        <f t="shared" si="33"/>
        <v>199</v>
      </c>
      <c r="AO182" s="18">
        <f t="shared" si="33"/>
        <v>196</v>
      </c>
      <c r="AP182" s="18">
        <f t="shared" si="33"/>
        <v>214</v>
      </c>
      <c r="AQ182" s="18">
        <f t="shared" si="33"/>
        <v>166</v>
      </c>
      <c r="AR182" s="18">
        <f t="shared" si="33"/>
        <v>194</v>
      </c>
      <c r="AS182" s="18">
        <f t="shared" si="33"/>
        <v>178</v>
      </c>
      <c r="AT182" s="18">
        <f t="shared" si="33"/>
        <v>250</v>
      </c>
      <c r="AU182" s="18">
        <f t="shared" si="33"/>
        <v>200</v>
      </c>
      <c r="AV182" s="18">
        <f t="shared" si="33"/>
        <v>237</v>
      </c>
      <c r="AW182" s="18">
        <f t="shared" si="33"/>
        <v>214</v>
      </c>
      <c r="AX182" s="18">
        <f t="shared" si="33"/>
        <v>194</v>
      </c>
      <c r="AY182" s="18">
        <f t="shared" si="33"/>
        <v>176</v>
      </c>
      <c r="AZ182" s="18">
        <f t="shared" si="33"/>
        <v>145</v>
      </c>
      <c r="BA182" s="13">
        <f t="shared" si="13"/>
        <v>9622</v>
      </c>
      <c r="BB182" s="5"/>
      <c r="BC182" s="5"/>
    </row>
    <row r="183" spans="1:55" ht="12.75" customHeight="1" x14ac:dyDescent="0.3"/>
    <row r="184" spans="1:55" ht="12.75" customHeight="1" x14ac:dyDescent="0.3"/>
    <row r="185" spans="1:55" ht="12.75" customHeight="1" x14ac:dyDescent="0.3"/>
    <row r="186" spans="1:55" ht="12.75" customHeight="1" x14ac:dyDescent="0.3"/>
    <row r="187" spans="1:55" ht="12.75" customHeight="1" x14ac:dyDescent="0.3"/>
    <row r="188" spans="1:55" ht="12.75" customHeight="1" x14ac:dyDescent="0.3"/>
    <row r="189" spans="1:55" ht="12.75" customHeight="1" x14ac:dyDescent="0.3"/>
    <row r="190" spans="1:55" ht="12.75" customHeight="1" x14ac:dyDescent="0.3"/>
    <row r="191" spans="1:55" ht="12.75" customHeight="1" x14ac:dyDescent="0.3"/>
    <row r="192" spans="1:55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70">
    <mergeCell ref="B108:D108"/>
    <mergeCell ref="C110:D110"/>
    <mergeCell ref="B115:D115"/>
    <mergeCell ref="C117:D117"/>
    <mergeCell ref="B124:D124"/>
    <mergeCell ref="C126:D126"/>
    <mergeCell ref="B128:D128"/>
    <mergeCell ref="C130:D130"/>
    <mergeCell ref="B135:D135"/>
    <mergeCell ref="C137:D137"/>
    <mergeCell ref="B144:D144"/>
    <mergeCell ref="C146:D146"/>
    <mergeCell ref="B153:D153"/>
    <mergeCell ref="C155:D155"/>
    <mergeCell ref="A178:D178"/>
    <mergeCell ref="B179:D179"/>
    <mergeCell ref="C180:D180"/>
    <mergeCell ref="C181:D181"/>
    <mergeCell ref="C182:D182"/>
    <mergeCell ref="B157:D157"/>
    <mergeCell ref="C159:D159"/>
    <mergeCell ref="B163:D163"/>
    <mergeCell ref="C165:D165"/>
    <mergeCell ref="B172:D172"/>
    <mergeCell ref="C174:D174"/>
    <mergeCell ref="B177:D177"/>
    <mergeCell ref="B12:D12"/>
    <mergeCell ref="E12:AZ12"/>
    <mergeCell ref="BA12:B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C101:D101"/>
    <mergeCell ref="B88:D88"/>
    <mergeCell ref="C90:D90"/>
    <mergeCell ref="B94:D94"/>
    <mergeCell ref="C96:D96"/>
    <mergeCell ref="B99:D99"/>
  </mergeCells>
  <conditionalFormatting sqref="E34:T34 AH34:AM34">
    <cfRule type="expression" dxfId="161" priority="2">
      <formula>E34&lt;&gt;E64</formula>
    </cfRule>
  </conditionalFormatting>
  <conditionalFormatting sqref="E14:AZ15">
    <cfRule type="containsBlanks" dxfId="160" priority="3">
      <formula>LEN(TRIM(E14))=0</formula>
    </cfRule>
  </conditionalFormatting>
  <conditionalFormatting sqref="E19:AZ20">
    <cfRule type="containsBlanks" dxfId="159" priority="4">
      <formula>LEN(TRIM(E19))=0</formula>
    </cfRule>
  </conditionalFormatting>
  <conditionalFormatting sqref="E22:AZ23 E25:AZ26 E33:AZ33 E35:AZ35 E39:AZ40">
    <cfRule type="containsBlanks" dxfId="158" priority="5">
      <formula>LEN(TRIM(E22))=0</formula>
    </cfRule>
  </conditionalFormatting>
  <conditionalFormatting sqref="E30:AZ30">
    <cfRule type="expression" dxfId="157" priority="6">
      <formula>E30&lt;&gt;E47</formula>
    </cfRule>
    <cfRule type="expression" dxfId="156" priority="7">
      <formula>E30&lt;&gt;E34</formula>
    </cfRule>
  </conditionalFormatting>
  <conditionalFormatting sqref="E34:AZ34">
    <cfRule type="expression" dxfId="155" priority="8">
      <formula>E30&lt;&gt;E34</formula>
    </cfRule>
    <cfRule type="expression" dxfId="154" priority="9">
      <formula>E30=E34</formula>
    </cfRule>
    <cfRule type="expression" dxfId="153" priority="10">
      <formula>E34&lt;&gt;E30</formula>
    </cfRule>
  </conditionalFormatting>
  <conditionalFormatting sqref="E45:AZ51">
    <cfRule type="containsBlanks" dxfId="152" priority="13">
      <formula>LEN(TRIM(E45))=0</formula>
    </cfRule>
  </conditionalFormatting>
  <conditionalFormatting sqref="E54:AZ60">
    <cfRule type="containsBlanks" dxfId="151" priority="14">
      <formula>LEN(TRIM(E54))=0</formula>
    </cfRule>
  </conditionalFormatting>
  <conditionalFormatting sqref="E63:AZ69">
    <cfRule type="containsBlanks" dxfId="150" priority="15">
      <formula>LEN(TRIM(E63))=0</formula>
    </cfRule>
  </conditionalFormatting>
  <conditionalFormatting sqref="E72:AZ78">
    <cfRule type="containsBlanks" dxfId="149" priority="16">
      <formula>LEN(TRIM(E72))=0</formula>
    </cfRule>
  </conditionalFormatting>
  <conditionalFormatting sqref="E81:AZ87">
    <cfRule type="containsBlanks" dxfId="148" priority="17">
      <formula>LEN(TRIM(E81))=0</formula>
    </cfRule>
  </conditionalFormatting>
  <conditionalFormatting sqref="E90:AZ93">
    <cfRule type="containsBlanks" dxfId="147" priority="18">
      <formula>LEN(TRIM(E90))=0</formula>
    </cfRule>
  </conditionalFormatting>
  <conditionalFormatting sqref="E96:AZ98">
    <cfRule type="containsBlanks" dxfId="146" priority="19">
      <formula>LEN(TRIM(E96))=0</formula>
    </cfRule>
  </conditionalFormatting>
  <conditionalFormatting sqref="E101:AZ107">
    <cfRule type="containsBlanks" dxfId="145" priority="20">
      <formula>LEN(TRIM(E101))=0</formula>
    </cfRule>
  </conditionalFormatting>
  <conditionalFormatting sqref="E110:AZ114">
    <cfRule type="containsBlanks" dxfId="144" priority="21">
      <formula>LEN(TRIM(E110))=0</formula>
    </cfRule>
  </conditionalFormatting>
  <conditionalFormatting sqref="E117:AZ123">
    <cfRule type="containsBlanks" dxfId="143" priority="22">
      <formula>LEN(TRIM(E117))=0</formula>
    </cfRule>
  </conditionalFormatting>
  <conditionalFormatting sqref="E126:AZ127">
    <cfRule type="containsBlanks" dxfId="142" priority="23">
      <formula>LEN(TRIM(E126))=0</formula>
    </cfRule>
  </conditionalFormatting>
  <conditionalFormatting sqref="E130:AZ134">
    <cfRule type="containsBlanks" dxfId="141" priority="24">
      <formula>LEN(TRIM(E130))=0</formula>
    </cfRule>
  </conditionalFormatting>
  <conditionalFormatting sqref="E137:AZ143">
    <cfRule type="containsBlanks" dxfId="140" priority="25">
      <formula>LEN(TRIM(E137))=0</formula>
    </cfRule>
  </conditionalFormatting>
  <conditionalFormatting sqref="E146:AZ152">
    <cfRule type="containsBlanks" dxfId="139" priority="26">
      <formula>LEN(TRIM(E146))=0</formula>
    </cfRule>
  </conditionalFormatting>
  <conditionalFormatting sqref="E155:AZ156">
    <cfRule type="containsBlanks" dxfId="138" priority="27">
      <formula>LEN(TRIM(E155))=0</formula>
    </cfRule>
  </conditionalFormatting>
  <conditionalFormatting sqref="E159:AZ162">
    <cfRule type="containsBlanks" dxfId="137" priority="28">
      <formula>LEN(TRIM(E159))=0</formula>
    </cfRule>
  </conditionalFormatting>
  <conditionalFormatting sqref="E165:AZ172">
    <cfRule type="containsBlanks" dxfId="136" priority="29">
      <formula>LEN(TRIM(E165))=0</formula>
    </cfRule>
  </conditionalFormatting>
  <conditionalFormatting sqref="E174:AZ176">
    <cfRule type="containsBlanks" dxfId="135" priority="30">
      <formula>LEN(TRIM(E174))=0</formula>
    </cfRule>
  </conditionalFormatting>
  <conditionalFormatting sqref="E181:AZ181">
    <cfRule type="containsBlanks" dxfId="134" priority="31">
      <formula>LEN(TRIM(E181))=0</formula>
    </cfRule>
  </conditionalFormatting>
  <conditionalFormatting sqref="E182:AZ182">
    <cfRule type="expression" dxfId="133" priority="33">
      <formula>E182&lt;&gt;E34</formula>
    </cfRule>
    <cfRule type="expression" dxfId="132" priority="32">
      <formula>E182&lt;&gt;E30</formula>
    </cfRule>
  </conditionalFormatting>
  <conditionalFormatting sqref="E180:BA180">
    <cfRule type="containsBlanks" dxfId="131" priority="1">
      <formula>LEN(TRIM(E180))=0</formula>
    </cfRule>
  </conditionalFormatting>
  <conditionalFormatting sqref="U34:AG34">
    <cfRule type="expression" dxfId="130" priority="11">
      <formula>U34&lt;&gt;U47</formula>
    </cfRule>
  </conditionalFormatting>
  <conditionalFormatting sqref="AN34:AZ34">
    <cfRule type="expression" dxfId="129" priority="12">
      <formula>AN34&lt;&gt;AN47</formula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E1000"/>
  <sheetViews>
    <sheetView topLeftCell="A156" zoomScale="90" zoomScaleNormal="90" workbookViewId="0">
      <selection activeCell="E180" sqref="E180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28" width="8.69921875" customWidth="1"/>
    <col min="29" max="29" width="13.296875" customWidth="1"/>
    <col min="30" max="31" width="8.69921875" customWidth="1"/>
  </cols>
  <sheetData>
    <row r="1" spans="1:29" ht="12.75" customHeight="1" x14ac:dyDescent="0.3"/>
    <row r="2" spans="1:29" ht="12.75" customHeight="1" x14ac:dyDescent="0.3">
      <c r="C2" s="8" t="s">
        <v>0</v>
      </c>
      <c r="D2" s="8" t="s">
        <v>1</v>
      </c>
    </row>
    <row r="3" spans="1:29" ht="12.75" customHeight="1" x14ac:dyDescent="0.3">
      <c r="C3" s="8" t="s">
        <v>2</v>
      </c>
      <c r="D3" s="8" t="s">
        <v>3</v>
      </c>
    </row>
    <row r="4" spans="1:29" ht="12.75" customHeight="1" x14ac:dyDescent="0.3">
      <c r="C4" s="8" t="s">
        <v>4</v>
      </c>
      <c r="D4" s="8" t="s">
        <v>5</v>
      </c>
    </row>
    <row r="5" spans="1:29" ht="12.75" customHeight="1" x14ac:dyDescent="0.3">
      <c r="C5" s="8"/>
      <c r="D5" s="8"/>
    </row>
    <row r="6" spans="1:29" ht="12.75" customHeight="1" x14ac:dyDescent="0.3">
      <c r="C6" s="8"/>
      <c r="D6" s="8"/>
    </row>
    <row r="7" spans="1:29" ht="12.75" customHeight="1" x14ac:dyDescent="0.3">
      <c r="C7" s="8"/>
      <c r="D7" s="8"/>
    </row>
    <row r="8" spans="1:29" ht="12.75" customHeight="1" x14ac:dyDescent="0.3">
      <c r="C8" s="8"/>
      <c r="D8" s="8"/>
    </row>
    <row r="9" spans="1:29" ht="12.75" customHeight="1" x14ac:dyDescent="0.3">
      <c r="C9" s="8" t="s">
        <v>159</v>
      </c>
      <c r="D9" s="8" t="s">
        <v>209</v>
      </c>
    </row>
    <row r="10" spans="1:29" ht="12.75" customHeight="1" x14ac:dyDescent="0.3"/>
    <row r="11" spans="1:29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29" ht="12.75" customHeight="1" x14ac:dyDescent="0.3">
      <c r="A12" s="13" t="s">
        <v>6</v>
      </c>
      <c r="B12" s="55" t="s">
        <v>7</v>
      </c>
      <c r="C12" s="48"/>
      <c r="D12" s="49"/>
      <c r="E12" s="73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74" t="s">
        <v>8</v>
      </c>
    </row>
    <row r="13" spans="1:29" ht="12.75" customHeight="1" x14ac:dyDescent="0.3">
      <c r="A13" s="15" t="s">
        <v>9</v>
      </c>
      <c r="B13" s="61" t="s">
        <v>10</v>
      </c>
      <c r="C13" s="48"/>
      <c r="D13" s="49"/>
      <c r="E13" s="13" t="s">
        <v>160</v>
      </c>
      <c r="F13" s="13" t="s">
        <v>161</v>
      </c>
      <c r="G13" s="13" t="s">
        <v>162</v>
      </c>
      <c r="H13" s="13" t="s">
        <v>163</v>
      </c>
      <c r="I13" s="13" t="s">
        <v>164</v>
      </c>
      <c r="J13" s="13" t="s">
        <v>165</v>
      </c>
      <c r="K13" s="13" t="s">
        <v>166</v>
      </c>
      <c r="L13" s="13" t="s">
        <v>167</v>
      </c>
      <c r="M13" s="13" t="s">
        <v>168</v>
      </c>
      <c r="N13" s="13" t="s">
        <v>169</v>
      </c>
      <c r="O13" s="13" t="s">
        <v>170</v>
      </c>
      <c r="P13" s="13" t="s">
        <v>171</v>
      </c>
      <c r="Q13" s="13" t="s">
        <v>172</v>
      </c>
      <c r="R13" s="13" t="s">
        <v>173</v>
      </c>
      <c r="S13" s="13" t="s">
        <v>174</v>
      </c>
      <c r="T13" s="13" t="s">
        <v>175</v>
      </c>
      <c r="U13" s="13" t="s">
        <v>176</v>
      </c>
      <c r="V13" s="13" t="s">
        <v>177</v>
      </c>
      <c r="W13" s="13" t="s">
        <v>178</v>
      </c>
      <c r="X13" s="13" t="s">
        <v>179</v>
      </c>
      <c r="Y13" s="13" t="s">
        <v>180</v>
      </c>
      <c r="Z13" s="13" t="s">
        <v>181</v>
      </c>
      <c r="AA13" s="13" t="s">
        <v>182</v>
      </c>
      <c r="AB13" s="13" t="s">
        <v>183</v>
      </c>
      <c r="AC13" s="65"/>
    </row>
    <row r="14" spans="1:29" ht="12.75" customHeight="1" x14ac:dyDescent="0.3">
      <c r="A14" s="14"/>
      <c r="B14" s="70" t="s">
        <v>11</v>
      </c>
      <c r="C14" s="53"/>
      <c r="D14" s="15" t="s">
        <v>12</v>
      </c>
      <c r="E14" s="15">
        <v>125</v>
      </c>
      <c r="F14" s="15">
        <v>98</v>
      </c>
      <c r="G14" s="15">
        <v>127</v>
      </c>
      <c r="H14" s="15">
        <v>127</v>
      </c>
      <c r="I14" s="15">
        <v>137</v>
      </c>
      <c r="J14" s="15">
        <v>137</v>
      </c>
      <c r="K14" s="15">
        <v>140</v>
      </c>
      <c r="L14" s="15">
        <v>117</v>
      </c>
      <c r="M14" s="15">
        <v>133</v>
      </c>
      <c r="N14" s="15">
        <v>133</v>
      </c>
      <c r="O14" s="15">
        <v>147</v>
      </c>
      <c r="P14" s="15">
        <v>136</v>
      </c>
      <c r="Q14" s="15">
        <v>160</v>
      </c>
      <c r="R14" s="15">
        <v>148</v>
      </c>
      <c r="S14" s="15">
        <v>110</v>
      </c>
      <c r="T14" s="15">
        <v>124</v>
      </c>
      <c r="U14" s="15">
        <v>129</v>
      </c>
      <c r="V14" s="15">
        <v>135</v>
      </c>
      <c r="W14" s="15">
        <v>108</v>
      </c>
      <c r="X14" s="15">
        <v>121</v>
      </c>
      <c r="Y14" s="15">
        <v>151</v>
      </c>
      <c r="Z14" s="15">
        <v>141</v>
      </c>
      <c r="AA14" s="15">
        <v>103</v>
      </c>
      <c r="AB14" s="15">
        <v>135</v>
      </c>
      <c r="AC14" s="13">
        <f>SUM(E14:AB14)</f>
        <v>3122</v>
      </c>
    </row>
    <row r="15" spans="1:29" ht="12.75" customHeight="1" x14ac:dyDescent="0.3">
      <c r="A15" s="14"/>
      <c r="B15" s="71"/>
      <c r="C15" s="57"/>
      <c r="D15" s="15" t="s">
        <v>13</v>
      </c>
      <c r="E15" s="15">
        <v>131</v>
      </c>
      <c r="F15" s="15">
        <v>104</v>
      </c>
      <c r="G15" s="15">
        <v>131</v>
      </c>
      <c r="H15" s="15">
        <v>144</v>
      </c>
      <c r="I15" s="15">
        <v>136</v>
      </c>
      <c r="J15" s="15">
        <v>142</v>
      </c>
      <c r="K15" s="15">
        <v>142</v>
      </c>
      <c r="L15" s="15">
        <v>103</v>
      </c>
      <c r="M15" s="15">
        <v>123</v>
      </c>
      <c r="N15" s="15">
        <v>152</v>
      </c>
      <c r="O15" s="15">
        <v>141</v>
      </c>
      <c r="P15" s="15">
        <v>155</v>
      </c>
      <c r="Q15" s="15">
        <v>134</v>
      </c>
      <c r="R15" s="15">
        <v>138</v>
      </c>
      <c r="S15" s="15">
        <v>113</v>
      </c>
      <c r="T15" s="15">
        <v>152</v>
      </c>
      <c r="U15" s="15">
        <v>136</v>
      </c>
      <c r="V15" s="15">
        <v>134</v>
      </c>
      <c r="W15" s="15">
        <v>121</v>
      </c>
      <c r="X15" s="15">
        <v>115</v>
      </c>
      <c r="Y15" s="15">
        <v>133</v>
      </c>
      <c r="Z15" s="15">
        <v>141</v>
      </c>
      <c r="AA15" s="15">
        <v>140</v>
      </c>
      <c r="AB15" s="15">
        <v>135</v>
      </c>
      <c r="AC15" s="13">
        <f t="shared" ref="AC15:AC16" si="0">SUM(E15:AB15)</f>
        <v>3196</v>
      </c>
    </row>
    <row r="16" spans="1:29" ht="12.75" customHeight="1" x14ac:dyDescent="0.3">
      <c r="A16" s="17"/>
      <c r="B16" s="69"/>
      <c r="C16" s="59"/>
      <c r="D16" s="13" t="s">
        <v>14</v>
      </c>
      <c r="E16" s="13">
        <f t="shared" ref="E16:AB16" si="1">SUM(E14:E15)</f>
        <v>256</v>
      </c>
      <c r="F16" s="13">
        <f t="shared" si="1"/>
        <v>202</v>
      </c>
      <c r="G16" s="13">
        <f t="shared" si="1"/>
        <v>258</v>
      </c>
      <c r="H16" s="13">
        <f t="shared" si="1"/>
        <v>271</v>
      </c>
      <c r="I16" s="13">
        <f t="shared" si="1"/>
        <v>273</v>
      </c>
      <c r="J16" s="13">
        <f t="shared" si="1"/>
        <v>279</v>
      </c>
      <c r="K16" s="13">
        <f t="shared" si="1"/>
        <v>282</v>
      </c>
      <c r="L16" s="13">
        <f t="shared" si="1"/>
        <v>220</v>
      </c>
      <c r="M16" s="13">
        <f t="shared" si="1"/>
        <v>256</v>
      </c>
      <c r="N16" s="13">
        <f t="shared" si="1"/>
        <v>285</v>
      </c>
      <c r="O16" s="13">
        <f t="shared" si="1"/>
        <v>288</v>
      </c>
      <c r="P16" s="13">
        <f t="shared" si="1"/>
        <v>291</v>
      </c>
      <c r="Q16" s="13">
        <f t="shared" si="1"/>
        <v>294</v>
      </c>
      <c r="R16" s="13">
        <f t="shared" si="1"/>
        <v>286</v>
      </c>
      <c r="S16" s="13">
        <f t="shared" si="1"/>
        <v>223</v>
      </c>
      <c r="T16" s="13">
        <f t="shared" si="1"/>
        <v>276</v>
      </c>
      <c r="U16" s="13">
        <f t="shared" si="1"/>
        <v>265</v>
      </c>
      <c r="V16" s="13">
        <f t="shared" si="1"/>
        <v>269</v>
      </c>
      <c r="W16" s="13">
        <f t="shared" si="1"/>
        <v>229</v>
      </c>
      <c r="X16" s="13">
        <f t="shared" si="1"/>
        <v>236</v>
      </c>
      <c r="Y16" s="13">
        <f t="shared" si="1"/>
        <v>284</v>
      </c>
      <c r="Z16" s="13">
        <f t="shared" si="1"/>
        <v>282</v>
      </c>
      <c r="AA16" s="13">
        <f t="shared" si="1"/>
        <v>243</v>
      </c>
      <c r="AB16" s="13">
        <f t="shared" si="1"/>
        <v>270</v>
      </c>
      <c r="AC16" s="13">
        <f t="shared" si="0"/>
        <v>6318</v>
      </c>
    </row>
    <row r="17" spans="1:29" ht="12.75" customHeight="1" x14ac:dyDescent="0.3">
      <c r="A17" s="54"/>
      <c r="B17" s="48"/>
      <c r="C17" s="48"/>
      <c r="D17" s="49"/>
      <c r="E17" s="15"/>
      <c r="F17" s="15"/>
      <c r="G17" s="15"/>
      <c r="H17" s="15"/>
      <c r="I17" s="15"/>
      <c r="J17" s="15"/>
      <c r="K17" s="15"/>
      <c r="L17" s="15"/>
      <c r="M17" s="15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3"/>
    </row>
    <row r="18" spans="1:29" ht="12.75" customHeight="1" x14ac:dyDescent="0.3">
      <c r="A18" s="19" t="s">
        <v>15</v>
      </c>
      <c r="B18" s="61" t="s">
        <v>16</v>
      </c>
      <c r="C18" s="48"/>
      <c r="D18" s="49"/>
      <c r="E18" s="15"/>
      <c r="F18" s="15"/>
      <c r="G18" s="15"/>
      <c r="H18" s="15"/>
      <c r="I18" s="15"/>
      <c r="J18" s="15"/>
      <c r="K18" s="15"/>
      <c r="L18" s="15"/>
      <c r="M18" s="15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3"/>
    </row>
    <row r="19" spans="1:29" ht="12.75" customHeight="1" x14ac:dyDescent="0.3">
      <c r="A19" s="19"/>
      <c r="B19" s="62" t="s">
        <v>17</v>
      </c>
      <c r="C19" s="63" t="s">
        <v>18</v>
      </c>
      <c r="D19" s="15" t="s">
        <v>12</v>
      </c>
      <c r="E19" s="15">
        <v>83</v>
      </c>
      <c r="F19" s="15">
        <v>76</v>
      </c>
      <c r="G19" s="15">
        <v>107</v>
      </c>
      <c r="H19" s="15">
        <v>80</v>
      </c>
      <c r="I19" s="15">
        <v>101</v>
      </c>
      <c r="J19" s="15">
        <v>100</v>
      </c>
      <c r="K19" s="15">
        <v>102</v>
      </c>
      <c r="L19" s="15">
        <v>86</v>
      </c>
      <c r="M19" s="15">
        <v>111</v>
      </c>
      <c r="N19" s="15">
        <v>104</v>
      </c>
      <c r="O19" s="15">
        <v>112</v>
      </c>
      <c r="P19" s="15">
        <v>99</v>
      </c>
      <c r="Q19" s="15">
        <v>122</v>
      </c>
      <c r="R19" s="15">
        <v>121</v>
      </c>
      <c r="S19" s="15">
        <v>85</v>
      </c>
      <c r="T19" s="15">
        <v>88</v>
      </c>
      <c r="U19" s="15">
        <v>85</v>
      </c>
      <c r="V19" s="15">
        <v>104</v>
      </c>
      <c r="W19" s="15">
        <v>83</v>
      </c>
      <c r="X19" s="15">
        <v>87</v>
      </c>
      <c r="Y19" s="15">
        <v>122</v>
      </c>
      <c r="Z19" s="15">
        <v>110</v>
      </c>
      <c r="AA19" s="15">
        <v>82</v>
      </c>
      <c r="AB19" s="15">
        <v>110</v>
      </c>
      <c r="AC19" s="13">
        <f t="shared" ref="AC19:AC30" si="2">SUM(E19:AB19)</f>
        <v>2360</v>
      </c>
    </row>
    <row r="20" spans="1:29" ht="12.75" customHeight="1" x14ac:dyDescent="0.3">
      <c r="A20" s="20"/>
      <c r="B20" s="57"/>
      <c r="C20" s="64"/>
      <c r="D20" s="15" t="s">
        <v>13</v>
      </c>
      <c r="E20" s="15">
        <v>96</v>
      </c>
      <c r="F20" s="15">
        <v>87</v>
      </c>
      <c r="G20" s="15">
        <v>110</v>
      </c>
      <c r="H20" s="15">
        <v>111</v>
      </c>
      <c r="I20" s="15">
        <v>109</v>
      </c>
      <c r="J20" s="15">
        <v>115</v>
      </c>
      <c r="K20" s="15">
        <v>111</v>
      </c>
      <c r="L20" s="15">
        <v>83</v>
      </c>
      <c r="M20" s="15">
        <v>98</v>
      </c>
      <c r="N20" s="15">
        <v>132</v>
      </c>
      <c r="O20" s="15">
        <v>116</v>
      </c>
      <c r="P20" s="15">
        <v>137</v>
      </c>
      <c r="Q20" s="15">
        <v>109</v>
      </c>
      <c r="R20" s="15">
        <v>103</v>
      </c>
      <c r="S20" s="15">
        <v>96</v>
      </c>
      <c r="T20" s="15">
        <v>112</v>
      </c>
      <c r="U20" s="15">
        <v>104</v>
      </c>
      <c r="V20" s="15">
        <v>106</v>
      </c>
      <c r="W20" s="15">
        <v>102</v>
      </c>
      <c r="X20" s="15">
        <v>92</v>
      </c>
      <c r="Y20" s="15">
        <v>107</v>
      </c>
      <c r="Z20" s="15">
        <v>115</v>
      </c>
      <c r="AA20" s="15">
        <v>119</v>
      </c>
      <c r="AB20" s="15">
        <v>122</v>
      </c>
      <c r="AC20" s="13">
        <f t="shared" si="2"/>
        <v>2592</v>
      </c>
    </row>
    <row r="21" spans="1:29" ht="12.75" customHeight="1" x14ac:dyDescent="0.3">
      <c r="A21" s="21"/>
      <c r="B21" s="59"/>
      <c r="C21" s="65"/>
      <c r="D21" s="13" t="s">
        <v>14</v>
      </c>
      <c r="E21" s="13">
        <f t="shared" ref="E21:AB21" si="3">SUM(E19:E20)</f>
        <v>179</v>
      </c>
      <c r="F21" s="13">
        <f t="shared" si="3"/>
        <v>163</v>
      </c>
      <c r="G21" s="13">
        <f t="shared" si="3"/>
        <v>217</v>
      </c>
      <c r="H21" s="13">
        <f t="shared" si="3"/>
        <v>191</v>
      </c>
      <c r="I21" s="13">
        <f t="shared" si="3"/>
        <v>210</v>
      </c>
      <c r="J21" s="13">
        <f t="shared" si="3"/>
        <v>215</v>
      </c>
      <c r="K21" s="13">
        <f t="shared" si="3"/>
        <v>213</v>
      </c>
      <c r="L21" s="13">
        <f t="shared" si="3"/>
        <v>169</v>
      </c>
      <c r="M21" s="13">
        <f t="shared" si="3"/>
        <v>209</v>
      </c>
      <c r="N21" s="13">
        <f t="shared" si="3"/>
        <v>236</v>
      </c>
      <c r="O21" s="13">
        <f t="shared" si="3"/>
        <v>228</v>
      </c>
      <c r="P21" s="13">
        <f t="shared" si="3"/>
        <v>236</v>
      </c>
      <c r="Q21" s="13">
        <f t="shared" si="3"/>
        <v>231</v>
      </c>
      <c r="R21" s="13">
        <f t="shared" si="3"/>
        <v>224</v>
      </c>
      <c r="S21" s="13">
        <f t="shared" si="3"/>
        <v>181</v>
      </c>
      <c r="T21" s="13">
        <f t="shared" si="3"/>
        <v>200</v>
      </c>
      <c r="U21" s="13">
        <f t="shared" si="3"/>
        <v>189</v>
      </c>
      <c r="V21" s="13">
        <f t="shared" si="3"/>
        <v>210</v>
      </c>
      <c r="W21" s="13">
        <f t="shared" si="3"/>
        <v>185</v>
      </c>
      <c r="X21" s="13">
        <f t="shared" si="3"/>
        <v>179</v>
      </c>
      <c r="Y21" s="13">
        <f t="shared" si="3"/>
        <v>229</v>
      </c>
      <c r="Z21" s="13">
        <f t="shared" si="3"/>
        <v>225</v>
      </c>
      <c r="AA21" s="13">
        <f t="shared" si="3"/>
        <v>201</v>
      </c>
      <c r="AB21" s="13">
        <f t="shared" si="3"/>
        <v>232</v>
      </c>
      <c r="AC21" s="13">
        <f t="shared" si="2"/>
        <v>4952</v>
      </c>
    </row>
    <row r="22" spans="1:29" ht="12.75" customHeight="1" x14ac:dyDescent="0.3">
      <c r="A22" s="20"/>
      <c r="B22" s="62" t="s">
        <v>19</v>
      </c>
      <c r="C22" s="63" t="s">
        <v>20</v>
      </c>
      <c r="D22" s="15" t="s">
        <v>12</v>
      </c>
      <c r="E22" s="15">
        <v>0</v>
      </c>
      <c r="F22" s="15">
        <v>0</v>
      </c>
      <c r="G22" s="15">
        <v>1</v>
      </c>
      <c r="H22" s="15">
        <v>1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/>
      <c r="U22" s="15"/>
      <c r="V22" s="15"/>
      <c r="W22" s="15"/>
      <c r="X22" s="15"/>
      <c r="Y22" s="15"/>
      <c r="Z22" s="15"/>
      <c r="AA22" s="15"/>
      <c r="AB22" s="15"/>
      <c r="AC22" s="13">
        <f t="shared" si="2"/>
        <v>2</v>
      </c>
    </row>
    <row r="23" spans="1:29" ht="12.75" customHeight="1" x14ac:dyDescent="0.3">
      <c r="A23" s="20"/>
      <c r="B23" s="57"/>
      <c r="C23" s="64"/>
      <c r="D23" s="15" t="s">
        <v>13</v>
      </c>
      <c r="E23" s="15">
        <v>0</v>
      </c>
      <c r="F23" s="15">
        <v>0</v>
      </c>
      <c r="G23" s="15">
        <v>1</v>
      </c>
      <c r="H23" s="15">
        <v>1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/>
      <c r="U23" s="15"/>
      <c r="V23" s="15"/>
      <c r="W23" s="15"/>
      <c r="X23" s="15"/>
      <c r="Y23" s="15"/>
      <c r="Z23" s="15"/>
      <c r="AA23" s="15"/>
      <c r="AB23" s="15"/>
      <c r="AC23" s="13">
        <f t="shared" si="2"/>
        <v>2</v>
      </c>
    </row>
    <row r="24" spans="1:29" ht="12.75" customHeight="1" x14ac:dyDescent="0.3">
      <c r="A24" s="21"/>
      <c r="B24" s="59"/>
      <c r="C24" s="65"/>
      <c r="D24" s="13" t="s">
        <v>14</v>
      </c>
      <c r="E24" s="13">
        <f t="shared" ref="E24:AB24" si="4">SUM(E22:E23)</f>
        <v>0</v>
      </c>
      <c r="F24" s="13">
        <f t="shared" si="4"/>
        <v>0</v>
      </c>
      <c r="G24" s="13">
        <f t="shared" si="4"/>
        <v>2</v>
      </c>
      <c r="H24" s="13">
        <f t="shared" si="4"/>
        <v>2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0</v>
      </c>
      <c r="T24" s="13">
        <f t="shared" si="4"/>
        <v>0</v>
      </c>
      <c r="U24" s="13">
        <f t="shared" si="4"/>
        <v>0</v>
      </c>
      <c r="V24" s="13">
        <f t="shared" si="4"/>
        <v>0</v>
      </c>
      <c r="W24" s="13">
        <f t="shared" si="4"/>
        <v>0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4"/>
        <v>0</v>
      </c>
      <c r="AC24" s="13">
        <f t="shared" si="2"/>
        <v>4</v>
      </c>
    </row>
    <row r="25" spans="1:29" ht="12.75" customHeight="1" x14ac:dyDescent="0.3">
      <c r="A25" s="20"/>
      <c r="B25" s="62" t="s">
        <v>21</v>
      </c>
      <c r="C25" s="63" t="s">
        <v>22</v>
      </c>
      <c r="D25" s="15" t="s">
        <v>12</v>
      </c>
      <c r="E25" s="15">
        <v>1</v>
      </c>
      <c r="F25" s="15">
        <v>0</v>
      </c>
      <c r="G25" s="15">
        <v>2</v>
      </c>
      <c r="H25" s="15">
        <v>0</v>
      </c>
      <c r="I25" s="15">
        <v>0</v>
      </c>
      <c r="J25" s="15">
        <v>0</v>
      </c>
      <c r="K25" s="15">
        <v>2</v>
      </c>
      <c r="L25" s="15">
        <v>2</v>
      </c>
      <c r="M25" s="15">
        <v>0</v>
      </c>
      <c r="N25" s="15">
        <v>0</v>
      </c>
      <c r="O25" s="15">
        <v>0</v>
      </c>
      <c r="P25" s="15">
        <v>0</v>
      </c>
      <c r="Q25" s="15">
        <v>2</v>
      </c>
      <c r="R25" s="15">
        <v>0</v>
      </c>
      <c r="S25" s="15">
        <v>0</v>
      </c>
      <c r="T25" s="15">
        <v>1</v>
      </c>
      <c r="U25" s="15">
        <v>1</v>
      </c>
      <c r="V25" s="15">
        <v>0</v>
      </c>
      <c r="W25" s="15">
        <v>1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3">
        <f t="shared" si="2"/>
        <v>12</v>
      </c>
    </row>
    <row r="26" spans="1:29" ht="12.75" customHeight="1" x14ac:dyDescent="0.3">
      <c r="A26" s="20"/>
      <c r="B26" s="57"/>
      <c r="C26" s="64"/>
      <c r="D26" s="15" t="s">
        <v>13</v>
      </c>
      <c r="E26" s="15">
        <v>1</v>
      </c>
      <c r="F26" s="15">
        <v>0</v>
      </c>
      <c r="G26" s="15">
        <v>2</v>
      </c>
      <c r="H26" s="15">
        <v>0</v>
      </c>
      <c r="I26" s="15">
        <v>0</v>
      </c>
      <c r="J26" s="15">
        <v>3</v>
      </c>
      <c r="K26" s="15">
        <v>2</v>
      </c>
      <c r="L26" s="15">
        <v>0</v>
      </c>
      <c r="M26" s="15">
        <v>1</v>
      </c>
      <c r="N26" s="15">
        <v>2</v>
      </c>
      <c r="O26" s="15">
        <v>1</v>
      </c>
      <c r="P26" s="15">
        <v>0</v>
      </c>
      <c r="Q26" s="15">
        <v>2</v>
      </c>
      <c r="R26" s="15">
        <v>1</v>
      </c>
      <c r="S26" s="15">
        <v>3</v>
      </c>
      <c r="T26" s="15">
        <v>1</v>
      </c>
      <c r="U26" s="15">
        <v>1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3">
        <f t="shared" si="2"/>
        <v>20</v>
      </c>
    </row>
    <row r="27" spans="1:29" ht="12.75" customHeight="1" x14ac:dyDescent="0.3">
      <c r="A27" s="21"/>
      <c r="B27" s="59"/>
      <c r="C27" s="65"/>
      <c r="D27" s="13" t="s">
        <v>14</v>
      </c>
      <c r="E27" s="13">
        <f t="shared" ref="E27:AB27" si="5">SUM(E25:E26)</f>
        <v>2</v>
      </c>
      <c r="F27" s="13">
        <f t="shared" si="5"/>
        <v>0</v>
      </c>
      <c r="G27" s="13">
        <f t="shared" si="5"/>
        <v>4</v>
      </c>
      <c r="H27" s="13">
        <f t="shared" si="5"/>
        <v>0</v>
      </c>
      <c r="I27" s="13">
        <f t="shared" si="5"/>
        <v>0</v>
      </c>
      <c r="J27" s="13">
        <f t="shared" si="5"/>
        <v>3</v>
      </c>
      <c r="K27" s="13">
        <f t="shared" si="5"/>
        <v>4</v>
      </c>
      <c r="L27" s="13">
        <f t="shared" si="5"/>
        <v>2</v>
      </c>
      <c r="M27" s="13">
        <f t="shared" si="5"/>
        <v>1</v>
      </c>
      <c r="N27" s="13">
        <f t="shared" si="5"/>
        <v>2</v>
      </c>
      <c r="O27" s="13">
        <f t="shared" si="5"/>
        <v>1</v>
      </c>
      <c r="P27" s="13">
        <f t="shared" si="5"/>
        <v>0</v>
      </c>
      <c r="Q27" s="13">
        <f t="shared" si="5"/>
        <v>4</v>
      </c>
      <c r="R27" s="13">
        <f t="shared" si="5"/>
        <v>1</v>
      </c>
      <c r="S27" s="13">
        <f t="shared" si="5"/>
        <v>3</v>
      </c>
      <c r="T27" s="13">
        <f t="shared" si="5"/>
        <v>2</v>
      </c>
      <c r="U27" s="13">
        <f t="shared" si="5"/>
        <v>2</v>
      </c>
      <c r="V27" s="13">
        <f t="shared" si="5"/>
        <v>0</v>
      </c>
      <c r="W27" s="13">
        <f t="shared" si="5"/>
        <v>1</v>
      </c>
      <c r="X27" s="13">
        <f t="shared" si="5"/>
        <v>0</v>
      </c>
      <c r="Y27" s="13">
        <f t="shared" si="5"/>
        <v>0</v>
      </c>
      <c r="Z27" s="13">
        <f t="shared" si="5"/>
        <v>0</v>
      </c>
      <c r="AA27" s="13">
        <f t="shared" si="5"/>
        <v>0</v>
      </c>
      <c r="AB27" s="13">
        <f t="shared" si="5"/>
        <v>0</v>
      </c>
      <c r="AC27" s="13">
        <f t="shared" si="2"/>
        <v>32</v>
      </c>
    </row>
    <row r="28" spans="1:29" ht="12.75" customHeight="1" x14ac:dyDescent="0.3">
      <c r="A28" s="21"/>
      <c r="B28" s="66" t="s">
        <v>23</v>
      </c>
      <c r="C28" s="67" t="s">
        <v>24</v>
      </c>
      <c r="D28" s="13" t="s">
        <v>12</v>
      </c>
      <c r="E28" s="13">
        <f t="shared" ref="E28:AB28" si="6">SUM(E19,E22,E25)</f>
        <v>84</v>
      </c>
      <c r="F28" s="13">
        <f t="shared" si="6"/>
        <v>76</v>
      </c>
      <c r="G28" s="13">
        <f t="shared" si="6"/>
        <v>110</v>
      </c>
      <c r="H28" s="13">
        <f t="shared" si="6"/>
        <v>81</v>
      </c>
      <c r="I28" s="13">
        <f t="shared" si="6"/>
        <v>101</v>
      </c>
      <c r="J28" s="13">
        <f t="shared" si="6"/>
        <v>100</v>
      </c>
      <c r="K28" s="13">
        <f t="shared" si="6"/>
        <v>104</v>
      </c>
      <c r="L28" s="13">
        <f t="shared" si="6"/>
        <v>88</v>
      </c>
      <c r="M28" s="13">
        <f t="shared" si="6"/>
        <v>111</v>
      </c>
      <c r="N28" s="13">
        <f t="shared" si="6"/>
        <v>104</v>
      </c>
      <c r="O28" s="13">
        <f t="shared" si="6"/>
        <v>112</v>
      </c>
      <c r="P28" s="13">
        <f t="shared" si="6"/>
        <v>99</v>
      </c>
      <c r="Q28" s="13">
        <f t="shared" si="6"/>
        <v>124</v>
      </c>
      <c r="R28" s="13">
        <f t="shared" si="6"/>
        <v>121</v>
      </c>
      <c r="S28" s="13">
        <f t="shared" si="6"/>
        <v>85</v>
      </c>
      <c r="T28" s="13">
        <f t="shared" si="6"/>
        <v>89</v>
      </c>
      <c r="U28" s="13">
        <f t="shared" si="6"/>
        <v>86</v>
      </c>
      <c r="V28" s="13">
        <f t="shared" si="6"/>
        <v>104</v>
      </c>
      <c r="W28" s="13">
        <f t="shared" si="6"/>
        <v>84</v>
      </c>
      <c r="X28" s="13">
        <f t="shared" si="6"/>
        <v>87</v>
      </c>
      <c r="Y28" s="13">
        <f t="shared" si="6"/>
        <v>122</v>
      </c>
      <c r="Z28" s="13">
        <f t="shared" si="6"/>
        <v>110</v>
      </c>
      <c r="AA28" s="13">
        <f t="shared" si="6"/>
        <v>82</v>
      </c>
      <c r="AB28" s="13">
        <f t="shared" si="6"/>
        <v>110</v>
      </c>
      <c r="AC28" s="13">
        <f t="shared" si="2"/>
        <v>2374</v>
      </c>
    </row>
    <row r="29" spans="1:29" ht="12.75" customHeight="1" x14ac:dyDescent="0.3">
      <c r="A29" s="21"/>
      <c r="B29" s="57"/>
      <c r="C29" s="64"/>
      <c r="D29" s="13" t="s">
        <v>13</v>
      </c>
      <c r="E29" s="13">
        <f t="shared" ref="E29:AB29" si="7">SUM(E20,E23,E26)</f>
        <v>97</v>
      </c>
      <c r="F29" s="13">
        <f t="shared" si="7"/>
        <v>87</v>
      </c>
      <c r="G29" s="13">
        <f t="shared" si="7"/>
        <v>113</v>
      </c>
      <c r="H29" s="13">
        <f t="shared" si="7"/>
        <v>112</v>
      </c>
      <c r="I29" s="13">
        <f t="shared" si="7"/>
        <v>109</v>
      </c>
      <c r="J29" s="13">
        <f t="shared" si="7"/>
        <v>118</v>
      </c>
      <c r="K29" s="13">
        <f t="shared" si="7"/>
        <v>113</v>
      </c>
      <c r="L29" s="13">
        <f t="shared" si="7"/>
        <v>83</v>
      </c>
      <c r="M29" s="13">
        <f t="shared" si="7"/>
        <v>99</v>
      </c>
      <c r="N29" s="13">
        <f t="shared" si="7"/>
        <v>134</v>
      </c>
      <c r="O29" s="13">
        <f t="shared" si="7"/>
        <v>117</v>
      </c>
      <c r="P29" s="13">
        <f t="shared" si="7"/>
        <v>137</v>
      </c>
      <c r="Q29" s="13">
        <f t="shared" si="7"/>
        <v>111</v>
      </c>
      <c r="R29" s="13">
        <f t="shared" si="7"/>
        <v>104</v>
      </c>
      <c r="S29" s="13">
        <f t="shared" si="7"/>
        <v>99</v>
      </c>
      <c r="T29" s="13">
        <f t="shared" si="7"/>
        <v>113</v>
      </c>
      <c r="U29" s="13">
        <f t="shared" si="7"/>
        <v>105</v>
      </c>
      <c r="V29" s="13">
        <f t="shared" si="7"/>
        <v>106</v>
      </c>
      <c r="W29" s="13">
        <f t="shared" si="7"/>
        <v>102</v>
      </c>
      <c r="X29" s="13">
        <f t="shared" si="7"/>
        <v>92</v>
      </c>
      <c r="Y29" s="13">
        <f t="shared" si="7"/>
        <v>107</v>
      </c>
      <c r="Z29" s="13">
        <f t="shared" si="7"/>
        <v>115</v>
      </c>
      <c r="AA29" s="13">
        <f t="shared" si="7"/>
        <v>119</v>
      </c>
      <c r="AB29" s="13">
        <f t="shared" si="7"/>
        <v>122</v>
      </c>
      <c r="AC29" s="13">
        <f t="shared" si="2"/>
        <v>2614</v>
      </c>
    </row>
    <row r="30" spans="1:29" ht="12.75" customHeight="1" x14ac:dyDescent="0.3">
      <c r="A30" s="21"/>
      <c r="B30" s="59"/>
      <c r="C30" s="65"/>
      <c r="D30" s="13" t="s">
        <v>14</v>
      </c>
      <c r="E30" s="13">
        <f t="shared" ref="E30:AB30" si="8">SUM(E28:E29)</f>
        <v>181</v>
      </c>
      <c r="F30" s="13">
        <f t="shared" si="8"/>
        <v>163</v>
      </c>
      <c r="G30" s="13">
        <f t="shared" si="8"/>
        <v>223</v>
      </c>
      <c r="H30" s="13">
        <f t="shared" si="8"/>
        <v>193</v>
      </c>
      <c r="I30" s="13">
        <f t="shared" si="8"/>
        <v>210</v>
      </c>
      <c r="J30" s="13">
        <f t="shared" si="8"/>
        <v>218</v>
      </c>
      <c r="K30" s="13">
        <f t="shared" si="8"/>
        <v>217</v>
      </c>
      <c r="L30" s="13">
        <f t="shared" si="8"/>
        <v>171</v>
      </c>
      <c r="M30" s="13">
        <f t="shared" si="8"/>
        <v>210</v>
      </c>
      <c r="N30" s="13">
        <f t="shared" si="8"/>
        <v>238</v>
      </c>
      <c r="O30" s="13">
        <f t="shared" si="8"/>
        <v>229</v>
      </c>
      <c r="P30" s="13">
        <f t="shared" si="8"/>
        <v>236</v>
      </c>
      <c r="Q30" s="13">
        <f t="shared" si="8"/>
        <v>235</v>
      </c>
      <c r="R30" s="13">
        <f t="shared" si="8"/>
        <v>225</v>
      </c>
      <c r="S30" s="13">
        <f t="shared" si="8"/>
        <v>184</v>
      </c>
      <c r="T30" s="13">
        <f t="shared" si="8"/>
        <v>202</v>
      </c>
      <c r="U30" s="13">
        <f t="shared" si="8"/>
        <v>191</v>
      </c>
      <c r="V30" s="13">
        <f t="shared" si="8"/>
        <v>210</v>
      </c>
      <c r="W30" s="13">
        <f t="shared" si="8"/>
        <v>186</v>
      </c>
      <c r="X30" s="13">
        <f t="shared" si="8"/>
        <v>179</v>
      </c>
      <c r="Y30" s="13">
        <f t="shared" si="8"/>
        <v>229</v>
      </c>
      <c r="Z30" s="13">
        <f t="shared" si="8"/>
        <v>225</v>
      </c>
      <c r="AA30" s="13">
        <f t="shared" si="8"/>
        <v>201</v>
      </c>
      <c r="AB30" s="13">
        <f t="shared" si="8"/>
        <v>232</v>
      </c>
      <c r="AC30" s="13">
        <f t="shared" si="2"/>
        <v>4988</v>
      </c>
    </row>
    <row r="31" spans="1:29" ht="12.75" customHeight="1" x14ac:dyDescent="0.3">
      <c r="A31" s="54"/>
      <c r="B31" s="48"/>
      <c r="C31" s="48"/>
      <c r="D31" s="49"/>
      <c r="E31" s="15"/>
      <c r="F31" s="15"/>
      <c r="G31" s="15"/>
      <c r="H31" s="15"/>
      <c r="I31" s="15"/>
      <c r="J31" s="15"/>
      <c r="K31" s="15"/>
      <c r="L31" s="15"/>
      <c r="M31" s="15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3"/>
    </row>
    <row r="32" spans="1:29" ht="12.75" customHeight="1" x14ac:dyDescent="0.3">
      <c r="A32" s="24" t="s">
        <v>25</v>
      </c>
      <c r="B32" s="55" t="s">
        <v>26</v>
      </c>
      <c r="C32" s="48"/>
      <c r="D32" s="49"/>
      <c r="E32" s="13"/>
      <c r="F32" s="13"/>
      <c r="G32" s="13"/>
      <c r="H32" s="13"/>
      <c r="I32" s="13"/>
      <c r="J32" s="13"/>
      <c r="K32" s="13"/>
      <c r="L32" s="13"/>
      <c r="M32" s="13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3"/>
    </row>
    <row r="33" spans="1:29" ht="12.75" customHeight="1" x14ac:dyDescent="0.3">
      <c r="A33" s="15">
        <v>1</v>
      </c>
      <c r="B33" s="61" t="s">
        <v>27</v>
      </c>
      <c r="C33" s="48"/>
      <c r="D33" s="49"/>
      <c r="E33" s="15">
        <v>262</v>
      </c>
      <c r="F33" s="15">
        <v>207</v>
      </c>
      <c r="G33" s="15">
        <v>264</v>
      </c>
      <c r="H33" s="15">
        <v>277</v>
      </c>
      <c r="I33" s="15">
        <v>277</v>
      </c>
      <c r="J33" s="15">
        <v>285</v>
      </c>
      <c r="K33" s="15">
        <v>286</v>
      </c>
      <c r="L33" s="15">
        <v>225</v>
      </c>
      <c r="M33" s="15">
        <v>262</v>
      </c>
      <c r="N33" s="15">
        <v>293</v>
      </c>
      <c r="O33" s="15">
        <v>295</v>
      </c>
      <c r="P33" s="15">
        <v>299</v>
      </c>
      <c r="Q33" s="15">
        <v>300</v>
      </c>
      <c r="R33" s="15">
        <v>292</v>
      </c>
      <c r="S33" s="15">
        <v>231</v>
      </c>
      <c r="T33" s="15">
        <v>282</v>
      </c>
      <c r="U33" s="15">
        <v>271</v>
      </c>
      <c r="V33" s="15">
        <v>277</v>
      </c>
      <c r="W33" s="15">
        <v>234</v>
      </c>
      <c r="X33" s="15">
        <v>240</v>
      </c>
      <c r="Y33" s="15">
        <v>290</v>
      </c>
      <c r="Z33" s="15">
        <v>290</v>
      </c>
      <c r="AA33" s="15">
        <v>248</v>
      </c>
      <c r="AB33" s="15">
        <v>276</v>
      </c>
      <c r="AC33" s="13">
        <f t="shared" ref="AC33:AC36" si="9">SUM(E33:AB33)</f>
        <v>6463</v>
      </c>
    </row>
    <row r="34" spans="1:29" ht="12.75" customHeight="1" x14ac:dyDescent="0.3">
      <c r="A34" s="15">
        <v>2</v>
      </c>
      <c r="B34" s="61" t="s">
        <v>28</v>
      </c>
      <c r="C34" s="48"/>
      <c r="D34" s="49"/>
      <c r="E34" s="13">
        <v>181</v>
      </c>
      <c r="F34" s="13">
        <v>163</v>
      </c>
      <c r="G34" s="13">
        <v>223</v>
      </c>
      <c r="H34" s="13">
        <v>193</v>
      </c>
      <c r="I34" s="13">
        <v>210</v>
      </c>
      <c r="J34" s="13">
        <v>218</v>
      </c>
      <c r="K34" s="13">
        <v>217</v>
      </c>
      <c r="L34" s="13">
        <v>171</v>
      </c>
      <c r="M34" s="13">
        <v>210</v>
      </c>
      <c r="N34" s="13">
        <v>238</v>
      </c>
      <c r="O34" s="13">
        <v>229</v>
      </c>
      <c r="P34" s="13">
        <v>236</v>
      </c>
      <c r="Q34" s="13">
        <v>235</v>
      </c>
      <c r="R34" s="13">
        <v>225</v>
      </c>
      <c r="S34" s="13">
        <v>184</v>
      </c>
      <c r="T34" s="13">
        <v>202</v>
      </c>
      <c r="U34" s="13">
        <v>191</v>
      </c>
      <c r="V34" s="13">
        <v>210</v>
      </c>
      <c r="W34" s="13">
        <v>186</v>
      </c>
      <c r="X34" s="13">
        <v>179</v>
      </c>
      <c r="Y34" s="13">
        <v>229</v>
      </c>
      <c r="Z34" s="13">
        <v>225</v>
      </c>
      <c r="AA34" s="13">
        <v>201</v>
      </c>
      <c r="AB34" s="13">
        <v>232</v>
      </c>
      <c r="AC34" s="13">
        <f t="shared" si="9"/>
        <v>4988</v>
      </c>
    </row>
    <row r="35" spans="1:29" ht="12.75" customHeight="1" x14ac:dyDescent="0.3">
      <c r="A35" s="15">
        <v>3</v>
      </c>
      <c r="B35" s="61" t="s">
        <v>29</v>
      </c>
      <c r="C35" s="48"/>
      <c r="D35" s="49"/>
      <c r="E35" s="15">
        <v>0</v>
      </c>
      <c r="F35" s="15">
        <v>0</v>
      </c>
      <c r="G35" s="15">
        <v>0</v>
      </c>
      <c r="H35" s="15">
        <v>2</v>
      </c>
      <c r="I35" s="15">
        <v>0</v>
      </c>
      <c r="J35" s="15">
        <v>2</v>
      </c>
      <c r="K35" s="15">
        <v>0</v>
      </c>
      <c r="L35" s="15">
        <v>0</v>
      </c>
      <c r="M35" s="15">
        <v>2</v>
      </c>
      <c r="N35" s="15">
        <v>0</v>
      </c>
      <c r="O35" s="15">
        <v>0</v>
      </c>
      <c r="P35" s="15">
        <v>0</v>
      </c>
      <c r="Q35" s="15">
        <v>2</v>
      </c>
      <c r="R35" s="15">
        <v>0</v>
      </c>
      <c r="S35" s="15">
        <v>1</v>
      </c>
      <c r="T35" s="15">
        <v>0</v>
      </c>
      <c r="U35" s="15">
        <v>0</v>
      </c>
      <c r="V35" s="15">
        <v>0</v>
      </c>
      <c r="W35" s="15">
        <v>2</v>
      </c>
      <c r="X35" s="15">
        <v>0</v>
      </c>
      <c r="Y35" s="15">
        <v>0</v>
      </c>
      <c r="Z35" s="15">
        <v>0</v>
      </c>
      <c r="AA35" s="15">
        <v>1</v>
      </c>
      <c r="AB35" s="15">
        <v>1</v>
      </c>
      <c r="AC35" s="13">
        <f t="shared" si="9"/>
        <v>13</v>
      </c>
    </row>
    <row r="36" spans="1:29" ht="12.75" customHeight="1" x14ac:dyDescent="0.3">
      <c r="A36" s="15">
        <v>4</v>
      </c>
      <c r="B36" s="61" t="s">
        <v>30</v>
      </c>
      <c r="C36" s="48"/>
      <c r="D36" s="49"/>
      <c r="E36" s="13">
        <f t="shared" ref="E36:AB36" si="10">E33-(E34+E35)</f>
        <v>81</v>
      </c>
      <c r="F36" s="13">
        <f t="shared" si="10"/>
        <v>44</v>
      </c>
      <c r="G36" s="13">
        <f t="shared" si="10"/>
        <v>41</v>
      </c>
      <c r="H36" s="13">
        <f t="shared" si="10"/>
        <v>82</v>
      </c>
      <c r="I36" s="13">
        <f t="shared" si="10"/>
        <v>67</v>
      </c>
      <c r="J36" s="13">
        <f t="shared" si="10"/>
        <v>65</v>
      </c>
      <c r="K36" s="13">
        <f t="shared" si="10"/>
        <v>69</v>
      </c>
      <c r="L36" s="13">
        <f t="shared" si="10"/>
        <v>54</v>
      </c>
      <c r="M36" s="13">
        <f t="shared" si="10"/>
        <v>50</v>
      </c>
      <c r="N36" s="13">
        <f t="shared" si="10"/>
        <v>55</v>
      </c>
      <c r="O36" s="13">
        <f t="shared" si="10"/>
        <v>66</v>
      </c>
      <c r="P36" s="13">
        <f t="shared" si="10"/>
        <v>63</v>
      </c>
      <c r="Q36" s="13">
        <f t="shared" si="10"/>
        <v>63</v>
      </c>
      <c r="R36" s="13">
        <f t="shared" si="10"/>
        <v>67</v>
      </c>
      <c r="S36" s="13">
        <f t="shared" si="10"/>
        <v>46</v>
      </c>
      <c r="T36" s="13">
        <f t="shared" si="10"/>
        <v>80</v>
      </c>
      <c r="U36" s="13">
        <f t="shared" si="10"/>
        <v>80</v>
      </c>
      <c r="V36" s="13">
        <f t="shared" si="10"/>
        <v>67</v>
      </c>
      <c r="W36" s="13">
        <f t="shared" si="10"/>
        <v>46</v>
      </c>
      <c r="X36" s="13">
        <f t="shared" si="10"/>
        <v>61</v>
      </c>
      <c r="Y36" s="13">
        <f t="shared" si="10"/>
        <v>61</v>
      </c>
      <c r="Z36" s="13">
        <f t="shared" si="10"/>
        <v>65</v>
      </c>
      <c r="AA36" s="13">
        <f t="shared" si="10"/>
        <v>46</v>
      </c>
      <c r="AB36" s="13">
        <f t="shared" si="10"/>
        <v>43</v>
      </c>
      <c r="AC36" s="13">
        <f t="shared" si="9"/>
        <v>1462</v>
      </c>
    </row>
    <row r="37" spans="1:29" ht="12.75" customHeight="1" x14ac:dyDescent="0.3">
      <c r="A37" s="54"/>
      <c r="B37" s="48"/>
      <c r="C37" s="48"/>
      <c r="D37" s="48"/>
      <c r="E37" s="54"/>
      <c r="F37" s="48"/>
      <c r="G37" s="48"/>
      <c r="H37" s="48"/>
      <c r="I37" s="49"/>
      <c r="J37" s="15"/>
      <c r="K37" s="15"/>
      <c r="L37" s="15"/>
      <c r="M37" s="15"/>
      <c r="N37" s="42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3"/>
    </row>
    <row r="38" spans="1:29" ht="12.75" customHeight="1" x14ac:dyDescent="0.3">
      <c r="A38" s="25" t="s">
        <v>31</v>
      </c>
      <c r="B38" s="55" t="s">
        <v>32</v>
      </c>
      <c r="C38" s="48"/>
      <c r="D38" s="49"/>
      <c r="E38" s="13"/>
      <c r="F38" s="13"/>
      <c r="G38" s="13"/>
      <c r="H38" s="13"/>
      <c r="I38" s="13"/>
      <c r="J38" s="13"/>
      <c r="K38" s="13"/>
      <c r="L38" s="13"/>
      <c r="M38" s="13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3"/>
    </row>
    <row r="39" spans="1:29" ht="12.75" customHeight="1" x14ac:dyDescent="0.3">
      <c r="A39" s="19"/>
      <c r="B39" s="51" t="s">
        <v>33</v>
      </c>
      <c r="C39" s="53"/>
      <c r="D39" s="15" t="s">
        <v>12</v>
      </c>
      <c r="E39" s="15">
        <v>1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2</v>
      </c>
      <c r="R39" s="15">
        <v>0</v>
      </c>
      <c r="S39" s="15">
        <v>0</v>
      </c>
      <c r="T39" s="15">
        <v>0</v>
      </c>
      <c r="U39" s="15">
        <v>1</v>
      </c>
      <c r="V39" s="15">
        <v>0</v>
      </c>
      <c r="W39" s="15">
        <v>1</v>
      </c>
      <c r="X39" s="15">
        <v>0</v>
      </c>
      <c r="Y39" s="15">
        <v>0</v>
      </c>
      <c r="Z39" s="15">
        <v>0</v>
      </c>
      <c r="AA39" s="15">
        <v>1</v>
      </c>
      <c r="AB39" s="15">
        <v>0</v>
      </c>
      <c r="AC39" s="13">
        <f t="shared" ref="AC39:AC41" si="11">SUM(E39:AB39)</f>
        <v>6</v>
      </c>
    </row>
    <row r="40" spans="1:29" ht="12.75" customHeight="1" x14ac:dyDescent="0.3">
      <c r="A40" s="20"/>
      <c r="B40" s="56"/>
      <c r="C40" s="57"/>
      <c r="D40" s="15" t="s">
        <v>13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1</v>
      </c>
      <c r="N40" s="15">
        <v>1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4</v>
      </c>
      <c r="V40" s="15">
        <v>0</v>
      </c>
      <c r="W40" s="15">
        <v>2</v>
      </c>
      <c r="X40" s="15">
        <v>0</v>
      </c>
      <c r="Y40" s="15">
        <v>0</v>
      </c>
      <c r="Z40" s="15">
        <v>0</v>
      </c>
      <c r="AA40" s="15">
        <v>1</v>
      </c>
      <c r="AB40" s="15">
        <v>0</v>
      </c>
      <c r="AC40" s="13">
        <f t="shared" si="11"/>
        <v>9</v>
      </c>
    </row>
    <row r="41" spans="1:29" ht="12.75" customHeight="1" x14ac:dyDescent="0.3">
      <c r="A41" s="24"/>
      <c r="B41" s="58"/>
      <c r="C41" s="59"/>
      <c r="D41" s="13" t="s">
        <v>14</v>
      </c>
      <c r="E41" s="13">
        <f t="shared" ref="E41:AB41" si="12">SUM(E39:E40)</f>
        <v>1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0</v>
      </c>
      <c r="M41" s="13">
        <f t="shared" si="12"/>
        <v>1</v>
      </c>
      <c r="N41" s="13">
        <f t="shared" si="12"/>
        <v>1</v>
      </c>
      <c r="O41" s="13">
        <f t="shared" si="12"/>
        <v>0</v>
      </c>
      <c r="P41" s="13">
        <f t="shared" si="12"/>
        <v>0</v>
      </c>
      <c r="Q41" s="13">
        <f t="shared" si="12"/>
        <v>2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5</v>
      </c>
      <c r="V41" s="13">
        <f t="shared" si="12"/>
        <v>0</v>
      </c>
      <c r="W41" s="13">
        <f t="shared" si="12"/>
        <v>3</v>
      </c>
      <c r="X41" s="13">
        <f t="shared" si="12"/>
        <v>0</v>
      </c>
      <c r="Y41" s="13">
        <f t="shared" si="12"/>
        <v>0</v>
      </c>
      <c r="Z41" s="13">
        <f t="shared" si="12"/>
        <v>0</v>
      </c>
      <c r="AA41" s="13">
        <f t="shared" si="12"/>
        <v>2</v>
      </c>
      <c r="AB41" s="13">
        <f t="shared" si="12"/>
        <v>0</v>
      </c>
      <c r="AC41" s="13">
        <f t="shared" si="11"/>
        <v>15</v>
      </c>
    </row>
    <row r="42" spans="1:29" ht="12.75" customHeight="1" x14ac:dyDescent="0.3">
      <c r="A42" s="60"/>
      <c r="B42" s="58"/>
      <c r="C42" s="58"/>
      <c r="D42" s="59"/>
      <c r="E42" s="54"/>
      <c r="F42" s="48"/>
      <c r="G42" s="48"/>
      <c r="H42" s="48"/>
      <c r="I42" s="49"/>
      <c r="J42" s="15"/>
      <c r="K42" s="15"/>
      <c r="L42" s="15"/>
      <c r="M42" s="15"/>
      <c r="N42" s="42"/>
      <c r="O42" s="15"/>
      <c r="P42" s="42"/>
      <c r="Q42" s="15"/>
      <c r="R42" s="42"/>
      <c r="S42" s="15"/>
      <c r="T42" s="42"/>
      <c r="U42" s="15"/>
      <c r="V42" s="42"/>
      <c r="W42" s="15"/>
      <c r="X42" s="42"/>
      <c r="Y42" s="15"/>
      <c r="Z42" s="15"/>
      <c r="AA42" s="42"/>
      <c r="AB42" s="15"/>
      <c r="AC42" s="13"/>
    </row>
    <row r="43" spans="1:29" ht="12.75" customHeight="1" x14ac:dyDescent="0.3">
      <c r="A43" s="25" t="s">
        <v>34</v>
      </c>
      <c r="B43" s="55" t="s">
        <v>35</v>
      </c>
      <c r="C43" s="48"/>
      <c r="D43" s="49"/>
      <c r="E43" s="18"/>
      <c r="F43" s="13"/>
      <c r="G43" s="13"/>
      <c r="H43" s="13"/>
      <c r="I43" s="13"/>
      <c r="J43" s="13"/>
      <c r="K43" s="13"/>
      <c r="L43" s="13"/>
      <c r="M43" s="13"/>
      <c r="N43" s="44"/>
      <c r="O43" s="13"/>
      <c r="P43" s="44"/>
      <c r="Q43" s="13"/>
      <c r="R43" s="44"/>
      <c r="S43" s="13"/>
      <c r="T43" s="44"/>
      <c r="U43" s="13"/>
      <c r="V43" s="44"/>
      <c r="W43" s="13"/>
      <c r="X43" s="44"/>
      <c r="Y43" s="13"/>
      <c r="Z43" s="13"/>
      <c r="AA43" s="44"/>
      <c r="AB43" s="13"/>
      <c r="AC43" s="13"/>
    </row>
    <row r="44" spans="1:29" ht="12.75" customHeight="1" x14ac:dyDescent="0.3">
      <c r="A44" s="51" t="s">
        <v>36</v>
      </c>
      <c r="B44" s="52"/>
      <c r="C44" s="52"/>
      <c r="D44" s="53"/>
      <c r="E44" s="16"/>
      <c r="F44" s="15"/>
      <c r="G44" s="15"/>
      <c r="H44" s="15"/>
      <c r="I44" s="15"/>
      <c r="J44" s="15"/>
      <c r="K44" s="15"/>
      <c r="L44" s="15"/>
      <c r="M44" s="15"/>
      <c r="N44" s="42"/>
      <c r="O44" s="15"/>
      <c r="P44" s="42"/>
      <c r="Q44" s="15"/>
      <c r="R44" s="42"/>
      <c r="S44" s="15"/>
      <c r="T44" s="42"/>
      <c r="U44" s="15"/>
      <c r="V44" s="42"/>
      <c r="W44" s="15"/>
      <c r="X44" s="42"/>
      <c r="Y44" s="15"/>
      <c r="Z44" s="15"/>
      <c r="AA44" s="42"/>
      <c r="AB44" s="15"/>
      <c r="AC44" s="13"/>
    </row>
    <row r="45" spans="1:29" ht="12.75" customHeight="1" x14ac:dyDescent="0.3">
      <c r="A45" s="19" t="s">
        <v>37</v>
      </c>
      <c r="B45" s="26" t="s">
        <v>17</v>
      </c>
      <c r="C45" s="50" t="s">
        <v>38</v>
      </c>
      <c r="D45" s="49"/>
      <c r="E45" s="15">
        <v>9</v>
      </c>
      <c r="F45" s="15">
        <v>0</v>
      </c>
      <c r="G45" s="15">
        <v>5</v>
      </c>
      <c r="H45" s="15">
        <v>3</v>
      </c>
      <c r="I45" s="15">
        <v>6</v>
      </c>
      <c r="J45" s="15">
        <v>6</v>
      </c>
      <c r="K45" s="15">
        <v>2</v>
      </c>
      <c r="L45" s="15">
        <v>5</v>
      </c>
      <c r="M45" s="15">
        <v>4</v>
      </c>
      <c r="N45" s="15">
        <v>2</v>
      </c>
      <c r="O45" s="15">
        <v>3</v>
      </c>
      <c r="P45" s="15">
        <v>2</v>
      </c>
      <c r="Q45" s="15">
        <v>4</v>
      </c>
      <c r="R45" s="15">
        <v>3</v>
      </c>
      <c r="S45" s="15">
        <v>4</v>
      </c>
      <c r="T45" s="15">
        <v>3</v>
      </c>
      <c r="U45" s="15">
        <v>1</v>
      </c>
      <c r="V45" s="15">
        <v>1</v>
      </c>
      <c r="W45" s="15">
        <v>7</v>
      </c>
      <c r="X45" s="15">
        <v>3</v>
      </c>
      <c r="Y45" s="15">
        <v>7</v>
      </c>
      <c r="Z45" s="15">
        <v>10</v>
      </c>
      <c r="AA45" s="15">
        <v>2</v>
      </c>
      <c r="AB45" s="15">
        <v>2</v>
      </c>
      <c r="AC45" s="13">
        <f t="shared" ref="AC45:AC182" si="13">SUM(E45:AB45)</f>
        <v>94</v>
      </c>
    </row>
    <row r="46" spans="1:29" ht="12.75" customHeight="1" x14ac:dyDescent="0.3">
      <c r="A46" s="19" t="s">
        <v>39</v>
      </c>
      <c r="B46" s="27">
        <v>1</v>
      </c>
      <c r="C46" s="28" t="s">
        <v>40</v>
      </c>
      <c r="D46" s="29"/>
      <c r="E46" s="15">
        <v>5</v>
      </c>
      <c r="F46" s="15">
        <v>1</v>
      </c>
      <c r="G46" s="15">
        <v>3</v>
      </c>
      <c r="H46" s="15">
        <v>8</v>
      </c>
      <c r="I46" s="15">
        <v>5</v>
      </c>
      <c r="J46" s="15">
        <v>2</v>
      </c>
      <c r="K46" s="15">
        <v>2</v>
      </c>
      <c r="L46" s="15">
        <v>21</v>
      </c>
      <c r="M46" s="15">
        <v>0</v>
      </c>
      <c r="N46" s="15">
        <v>0</v>
      </c>
      <c r="O46" s="15">
        <v>6</v>
      </c>
      <c r="P46" s="15">
        <v>9</v>
      </c>
      <c r="Q46" s="15">
        <v>1</v>
      </c>
      <c r="R46" s="15">
        <v>8</v>
      </c>
      <c r="S46" s="15">
        <v>3</v>
      </c>
      <c r="T46" s="15">
        <v>1</v>
      </c>
      <c r="U46" s="15">
        <v>0</v>
      </c>
      <c r="V46" s="15">
        <v>1</v>
      </c>
      <c r="W46" s="15">
        <v>0</v>
      </c>
      <c r="X46" s="15">
        <v>1</v>
      </c>
      <c r="Y46" s="15">
        <v>3</v>
      </c>
      <c r="Z46" s="15">
        <v>6</v>
      </c>
      <c r="AA46" s="15">
        <v>6</v>
      </c>
      <c r="AB46" s="15">
        <v>9</v>
      </c>
      <c r="AC46" s="13">
        <f t="shared" si="13"/>
        <v>101</v>
      </c>
    </row>
    <row r="47" spans="1:29" ht="12.75" customHeight="1" x14ac:dyDescent="0.3">
      <c r="A47" s="14"/>
      <c r="B47" s="27">
        <v>2</v>
      </c>
      <c r="C47" s="28" t="s">
        <v>41</v>
      </c>
      <c r="D47" s="29"/>
      <c r="E47" s="15">
        <v>0</v>
      </c>
      <c r="F47" s="15">
        <v>1</v>
      </c>
      <c r="G47" s="15">
        <v>0</v>
      </c>
      <c r="H47" s="15">
        <v>2</v>
      </c>
      <c r="I47" s="15">
        <v>1</v>
      </c>
      <c r="J47" s="15">
        <v>0</v>
      </c>
      <c r="K47" s="15">
        <v>0</v>
      </c>
      <c r="L47" s="15">
        <v>2</v>
      </c>
      <c r="M47" s="15">
        <v>0</v>
      </c>
      <c r="N47" s="15">
        <v>1</v>
      </c>
      <c r="O47" s="15">
        <v>0</v>
      </c>
      <c r="P47" s="15">
        <v>2</v>
      </c>
      <c r="Q47" s="15">
        <v>1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2</v>
      </c>
      <c r="Z47" s="15">
        <v>1</v>
      </c>
      <c r="AA47" s="15">
        <v>1</v>
      </c>
      <c r="AB47" s="15">
        <v>2</v>
      </c>
      <c r="AC47" s="13">
        <f t="shared" si="13"/>
        <v>16</v>
      </c>
    </row>
    <row r="48" spans="1:29" ht="12.75" customHeight="1" x14ac:dyDescent="0.3">
      <c r="A48" s="14"/>
      <c r="B48" s="27">
        <v>3</v>
      </c>
      <c r="C48" s="28" t="s">
        <v>42</v>
      </c>
      <c r="D48" s="29"/>
      <c r="E48" s="15">
        <v>12</v>
      </c>
      <c r="F48" s="15">
        <v>9</v>
      </c>
      <c r="G48" s="15">
        <v>58</v>
      </c>
      <c r="H48" s="15">
        <v>4</v>
      </c>
      <c r="I48" s="15">
        <v>4</v>
      </c>
      <c r="J48" s="15">
        <v>1</v>
      </c>
      <c r="K48" s="15">
        <v>6</v>
      </c>
      <c r="L48" s="15">
        <v>3</v>
      </c>
      <c r="M48" s="15">
        <v>1</v>
      </c>
      <c r="N48" s="15">
        <v>1</v>
      </c>
      <c r="O48" s="15">
        <v>1</v>
      </c>
      <c r="P48" s="15">
        <v>4</v>
      </c>
      <c r="Q48" s="15">
        <v>1</v>
      </c>
      <c r="R48" s="15">
        <v>5</v>
      </c>
      <c r="S48" s="15">
        <v>6</v>
      </c>
      <c r="T48" s="15">
        <v>2</v>
      </c>
      <c r="U48" s="15">
        <v>0</v>
      </c>
      <c r="V48" s="15">
        <v>2</v>
      </c>
      <c r="W48" s="15">
        <v>2</v>
      </c>
      <c r="X48" s="15">
        <v>0</v>
      </c>
      <c r="Y48" s="15">
        <v>5</v>
      </c>
      <c r="Z48" s="15">
        <v>2</v>
      </c>
      <c r="AA48" s="15">
        <v>0</v>
      </c>
      <c r="AB48" s="15">
        <v>0</v>
      </c>
      <c r="AC48" s="13">
        <f t="shared" si="13"/>
        <v>129</v>
      </c>
    </row>
    <row r="49" spans="1:29" ht="12.75" customHeight="1" x14ac:dyDescent="0.3">
      <c r="A49" s="14"/>
      <c r="B49" s="27">
        <v>4</v>
      </c>
      <c r="C49" s="28" t="s">
        <v>43</v>
      </c>
      <c r="D49" s="29"/>
      <c r="E49" s="15">
        <v>0</v>
      </c>
      <c r="F49" s="15">
        <v>0</v>
      </c>
      <c r="G49" s="15">
        <v>0</v>
      </c>
      <c r="H49" s="15">
        <v>2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4</v>
      </c>
      <c r="P49" s="15">
        <v>0</v>
      </c>
      <c r="Q49" s="15">
        <v>0</v>
      </c>
      <c r="R49" s="15">
        <v>0</v>
      </c>
      <c r="S49" s="15">
        <v>0</v>
      </c>
      <c r="T49" s="15">
        <v>1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1</v>
      </c>
      <c r="AC49" s="13">
        <f t="shared" si="13"/>
        <v>8</v>
      </c>
    </row>
    <row r="50" spans="1:29" ht="12.75" customHeight="1" x14ac:dyDescent="0.3">
      <c r="A50" s="14"/>
      <c r="B50" s="27">
        <v>5</v>
      </c>
      <c r="C50" s="28" t="s">
        <v>44</v>
      </c>
      <c r="D50" s="29"/>
      <c r="E50" s="15">
        <v>1</v>
      </c>
      <c r="F50" s="15">
        <v>0</v>
      </c>
      <c r="G50" s="15">
        <v>0</v>
      </c>
      <c r="H50" s="15">
        <v>1</v>
      </c>
      <c r="I50" s="15">
        <v>0</v>
      </c>
      <c r="J50" s="15">
        <v>0</v>
      </c>
      <c r="K50" s="15">
        <v>1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3">
        <f t="shared" si="13"/>
        <v>3</v>
      </c>
    </row>
    <row r="51" spans="1:29" ht="12.75" customHeight="1" x14ac:dyDescent="0.3">
      <c r="A51" s="14"/>
      <c r="B51" s="27">
        <v>6</v>
      </c>
      <c r="C51" s="28" t="s">
        <v>45</v>
      </c>
      <c r="D51" s="29"/>
      <c r="E51" s="15">
        <v>37</v>
      </c>
      <c r="F51" s="15">
        <v>15</v>
      </c>
      <c r="G51" s="15">
        <v>2</v>
      </c>
      <c r="H51" s="15">
        <v>26</v>
      </c>
      <c r="I51" s="15">
        <v>39</v>
      </c>
      <c r="J51" s="15">
        <v>33</v>
      </c>
      <c r="K51" s="15">
        <v>5</v>
      </c>
      <c r="L51" s="15">
        <v>7</v>
      </c>
      <c r="M51" s="15">
        <v>0</v>
      </c>
      <c r="N51" s="15">
        <v>1</v>
      </c>
      <c r="O51" s="15">
        <v>9</v>
      </c>
      <c r="P51" s="15">
        <v>20</v>
      </c>
      <c r="Q51" s="15">
        <v>3</v>
      </c>
      <c r="R51" s="15">
        <v>1</v>
      </c>
      <c r="S51" s="15">
        <v>0</v>
      </c>
      <c r="T51" s="15">
        <v>5</v>
      </c>
      <c r="U51" s="15">
        <v>0</v>
      </c>
      <c r="V51" s="15">
        <v>0</v>
      </c>
      <c r="W51" s="15">
        <v>2</v>
      </c>
      <c r="X51" s="15">
        <v>2</v>
      </c>
      <c r="Y51" s="15">
        <v>20</v>
      </c>
      <c r="Z51" s="15">
        <v>2</v>
      </c>
      <c r="AA51" s="15">
        <v>2</v>
      </c>
      <c r="AB51" s="15">
        <v>0</v>
      </c>
      <c r="AC51" s="13">
        <f t="shared" si="13"/>
        <v>231</v>
      </c>
    </row>
    <row r="52" spans="1:29" ht="12.75" customHeight="1" x14ac:dyDescent="0.3">
      <c r="A52" s="15" t="s">
        <v>15</v>
      </c>
      <c r="B52" s="47" t="s">
        <v>46</v>
      </c>
      <c r="C52" s="48"/>
      <c r="D52" s="49"/>
      <c r="E52" s="34">
        <f>SUM(E45:E51)</f>
        <v>64</v>
      </c>
      <c r="F52" s="34">
        <f t="shared" ref="F52:AB52" si="14">SUM(F45:F51)</f>
        <v>26</v>
      </c>
      <c r="G52" s="34">
        <f t="shared" si="14"/>
        <v>68</v>
      </c>
      <c r="H52" s="34">
        <f t="shared" si="14"/>
        <v>46</v>
      </c>
      <c r="I52" s="34">
        <f t="shared" si="14"/>
        <v>55</v>
      </c>
      <c r="J52" s="34">
        <f t="shared" si="14"/>
        <v>42</v>
      </c>
      <c r="K52" s="34">
        <f t="shared" si="14"/>
        <v>16</v>
      </c>
      <c r="L52" s="34">
        <f t="shared" si="14"/>
        <v>38</v>
      </c>
      <c r="M52" s="34">
        <f t="shared" si="14"/>
        <v>5</v>
      </c>
      <c r="N52" s="34">
        <f t="shared" si="14"/>
        <v>5</v>
      </c>
      <c r="O52" s="34">
        <f t="shared" si="14"/>
        <v>23</v>
      </c>
      <c r="P52" s="34">
        <f t="shared" si="14"/>
        <v>37</v>
      </c>
      <c r="Q52" s="34">
        <f t="shared" si="14"/>
        <v>10</v>
      </c>
      <c r="R52" s="34">
        <f t="shared" si="14"/>
        <v>17</v>
      </c>
      <c r="S52" s="34">
        <f t="shared" si="14"/>
        <v>13</v>
      </c>
      <c r="T52" s="34">
        <f t="shared" si="14"/>
        <v>12</v>
      </c>
      <c r="U52" s="34">
        <f t="shared" si="14"/>
        <v>1</v>
      </c>
      <c r="V52" s="34">
        <f t="shared" si="14"/>
        <v>4</v>
      </c>
      <c r="W52" s="34">
        <f t="shared" si="14"/>
        <v>11</v>
      </c>
      <c r="X52" s="34">
        <f t="shared" si="14"/>
        <v>6</v>
      </c>
      <c r="Y52" s="34">
        <f t="shared" si="14"/>
        <v>37</v>
      </c>
      <c r="Z52" s="34">
        <f t="shared" si="14"/>
        <v>21</v>
      </c>
      <c r="AA52" s="34">
        <f t="shared" si="14"/>
        <v>11</v>
      </c>
      <c r="AB52" s="34">
        <f t="shared" si="14"/>
        <v>14</v>
      </c>
      <c r="AC52" s="13">
        <f t="shared" si="13"/>
        <v>582</v>
      </c>
    </row>
    <row r="53" spans="1:29" ht="12.75" customHeight="1" x14ac:dyDescent="0.3">
      <c r="A53" s="35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13">
        <f t="shared" si="13"/>
        <v>0</v>
      </c>
    </row>
    <row r="54" spans="1:29" ht="12.75" customHeight="1" x14ac:dyDescent="0.3">
      <c r="A54" s="19" t="s">
        <v>37</v>
      </c>
      <c r="B54" s="26" t="s">
        <v>19</v>
      </c>
      <c r="C54" s="50" t="s">
        <v>47</v>
      </c>
      <c r="D54" s="49"/>
      <c r="E54" s="15">
        <v>3</v>
      </c>
      <c r="F54" s="15">
        <v>2</v>
      </c>
      <c r="G54" s="15">
        <v>2</v>
      </c>
      <c r="H54" s="15">
        <v>2</v>
      </c>
      <c r="I54" s="15">
        <v>6</v>
      </c>
      <c r="J54" s="15">
        <v>4</v>
      </c>
      <c r="K54" s="15">
        <v>8</v>
      </c>
      <c r="L54" s="15">
        <v>3</v>
      </c>
      <c r="M54" s="15">
        <v>5</v>
      </c>
      <c r="N54" s="15">
        <v>7</v>
      </c>
      <c r="O54" s="15">
        <v>3</v>
      </c>
      <c r="P54" s="15">
        <v>6</v>
      </c>
      <c r="Q54" s="15">
        <v>14</v>
      </c>
      <c r="R54" s="15">
        <v>6</v>
      </c>
      <c r="S54" s="15">
        <v>3</v>
      </c>
      <c r="T54" s="15">
        <v>24</v>
      </c>
      <c r="U54" s="15">
        <v>16</v>
      </c>
      <c r="V54" s="15">
        <v>3</v>
      </c>
      <c r="W54" s="15">
        <v>7</v>
      </c>
      <c r="X54" s="15">
        <v>0</v>
      </c>
      <c r="Y54" s="15">
        <v>6</v>
      </c>
      <c r="Z54" s="15">
        <v>30</v>
      </c>
      <c r="AA54" s="15">
        <v>3</v>
      </c>
      <c r="AB54" s="15">
        <v>7</v>
      </c>
      <c r="AC54" s="13">
        <f t="shared" si="13"/>
        <v>170</v>
      </c>
    </row>
    <row r="55" spans="1:29" ht="15" customHeight="1" x14ac:dyDescent="0.3">
      <c r="A55" s="19" t="s">
        <v>39</v>
      </c>
      <c r="B55" s="27">
        <v>1</v>
      </c>
      <c r="C55" s="28" t="s">
        <v>48</v>
      </c>
      <c r="D55" s="29"/>
      <c r="E55" s="15">
        <v>3</v>
      </c>
      <c r="F55" s="15">
        <v>1</v>
      </c>
      <c r="G55" s="15">
        <v>1</v>
      </c>
      <c r="H55" s="15">
        <v>1</v>
      </c>
      <c r="I55" s="15">
        <v>2</v>
      </c>
      <c r="J55" s="15">
        <v>1</v>
      </c>
      <c r="K55" s="15">
        <v>5</v>
      </c>
      <c r="L55" s="15">
        <v>3</v>
      </c>
      <c r="M55" s="15">
        <v>1</v>
      </c>
      <c r="N55" s="15">
        <v>2</v>
      </c>
      <c r="O55" s="15">
        <v>2</v>
      </c>
      <c r="P55" s="15">
        <v>1</v>
      </c>
      <c r="Q55" s="15">
        <v>9</v>
      </c>
      <c r="R55" s="15">
        <v>8</v>
      </c>
      <c r="S55" s="15">
        <v>1</v>
      </c>
      <c r="T55" s="15">
        <v>15</v>
      </c>
      <c r="U55" s="15">
        <v>6</v>
      </c>
      <c r="V55" s="15">
        <v>2</v>
      </c>
      <c r="W55" s="15">
        <v>2</v>
      </c>
      <c r="X55" s="15">
        <v>2</v>
      </c>
      <c r="Y55" s="15">
        <v>2</v>
      </c>
      <c r="Z55" s="15">
        <v>9</v>
      </c>
      <c r="AA55" s="15">
        <v>6</v>
      </c>
      <c r="AB55" s="15">
        <v>1</v>
      </c>
      <c r="AC55" s="13">
        <f t="shared" si="13"/>
        <v>86</v>
      </c>
    </row>
    <row r="56" spans="1:29" ht="12.75" customHeight="1" x14ac:dyDescent="0.3">
      <c r="A56" s="14"/>
      <c r="B56" s="27">
        <v>2</v>
      </c>
      <c r="C56" s="28" t="s">
        <v>49</v>
      </c>
      <c r="D56" s="29"/>
      <c r="E56" s="15">
        <v>1</v>
      </c>
      <c r="F56" s="15">
        <v>0</v>
      </c>
      <c r="G56" s="15">
        <v>1</v>
      </c>
      <c r="H56" s="15">
        <v>1</v>
      </c>
      <c r="I56" s="15">
        <v>0</v>
      </c>
      <c r="J56" s="15">
        <v>2</v>
      </c>
      <c r="K56" s="15">
        <v>0</v>
      </c>
      <c r="L56" s="15">
        <v>2</v>
      </c>
      <c r="M56" s="15">
        <v>0</v>
      </c>
      <c r="N56" s="15">
        <v>1</v>
      </c>
      <c r="O56" s="15">
        <v>6</v>
      </c>
      <c r="P56" s="15">
        <v>7</v>
      </c>
      <c r="Q56" s="15">
        <v>3</v>
      </c>
      <c r="R56" s="15">
        <v>1</v>
      </c>
      <c r="S56" s="15">
        <v>1</v>
      </c>
      <c r="T56" s="15">
        <v>2</v>
      </c>
      <c r="U56" s="15">
        <v>3</v>
      </c>
      <c r="V56" s="15">
        <v>1</v>
      </c>
      <c r="W56" s="15">
        <v>1</v>
      </c>
      <c r="X56" s="15">
        <v>1</v>
      </c>
      <c r="Y56" s="15">
        <v>1</v>
      </c>
      <c r="Z56" s="15">
        <v>1</v>
      </c>
      <c r="AA56" s="15">
        <v>3</v>
      </c>
      <c r="AB56" s="15">
        <v>2</v>
      </c>
      <c r="AC56" s="13">
        <f t="shared" si="13"/>
        <v>41</v>
      </c>
    </row>
    <row r="57" spans="1:29" ht="12.75" customHeight="1" x14ac:dyDescent="0.3">
      <c r="A57" s="14"/>
      <c r="B57" s="27">
        <v>3</v>
      </c>
      <c r="C57" s="28" t="s">
        <v>50</v>
      </c>
      <c r="D57" s="29"/>
      <c r="E57" s="15">
        <v>1</v>
      </c>
      <c r="F57" s="15">
        <v>1</v>
      </c>
      <c r="G57" s="15">
        <v>0</v>
      </c>
      <c r="H57" s="15">
        <v>0</v>
      </c>
      <c r="I57" s="15">
        <v>1</v>
      </c>
      <c r="J57" s="15">
        <v>2</v>
      </c>
      <c r="K57" s="15">
        <v>0</v>
      </c>
      <c r="L57" s="15">
        <v>0</v>
      </c>
      <c r="M57" s="15">
        <v>0</v>
      </c>
      <c r="N57" s="15">
        <v>2</v>
      </c>
      <c r="O57" s="15">
        <v>3</v>
      </c>
      <c r="P57" s="15">
        <v>2</v>
      </c>
      <c r="Q57" s="15">
        <v>0</v>
      </c>
      <c r="R57" s="15">
        <v>0</v>
      </c>
      <c r="S57" s="15">
        <v>2</v>
      </c>
      <c r="T57" s="15">
        <v>0</v>
      </c>
      <c r="U57" s="15">
        <v>3</v>
      </c>
      <c r="V57" s="15">
        <v>0</v>
      </c>
      <c r="W57" s="15">
        <v>0</v>
      </c>
      <c r="X57" s="15">
        <v>0</v>
      </c>
      <c r="Y57" s="15">
        <v>0</v>
      </c>
      <c r="Z57" s="15">
        <v>3</v>
      </c>
      <c r="AA57" s="15">
        <v>2</v>
      </c>
      <c r="AB57" s="15">
        <v>0</v>
      </c>
      <c r="AC57" s="13">
        <f t="shared" si="13"/>
        <v>22</v>
      </c>
    </row>
    <row r="58" spans="1:29" ht="12.75" customHeight="1" x14ac:dyDescent="0.3">
      <c r="A58" s="14"/>
      <c r="B58" s="27">
        <v>4</v>
      </c>
      <c r="C58" s="28" t="s">
        <v>51</v>
      </c>
      <c r="D58" s="29"/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1</v>
      </c>
      <c r="M58" s="15">
        <v>0</v>
      </c>
      <c r="N58" s="15">
        <v>1</v>
      </c>
      <c r="O58" s="15">
        <v>0</v>
      </c>
      <c r="P58" s="15">
        <v>0</v>
      </c>
      <c r="Q58" s="15">
        <v>1</v>
      </c>
      <c r="R58" s="15">
        <v>4</v>
      </c>
      <c r="S58" s="15">
        <v>1</v>
      </c>
      <c r="T58" s="15">
        <v>3</v>
      </c>
      <c r="U58" s="15">
        <v>2</v>
      </c>
      <c r="V58" s="15">
        <v>0</v>
      </c>
      <c r="W58" s="15">
        <v>2</v>
      </c>
      <c r="X58" s="15">
        <v>0</v>
      </c>
      <c r="Y58" s="15">
        <v>1</v>
      </c>
      <c r="Z58" s="15">
        <v>0</v>
      </c>
      <c r="AA58" s="15">
        <v>1</v>
      </c>
      <c r="AB58" s="15">
        <v>0</v>
      </c>
      <c r="AC58" s="13">
        <f t="shared" si="13"/>
        <v>17</v>
      </c>
    </row>
    <row r="59" spans="1:29" ht="12.75" customHeight="1" x14ac:dyDescent="0.3">
      <c r="A59" s="14"/>
      <c r="B59" s="27">
        <v>5</v>
      </c>
      <c r="C59" s="28" t="s">
        <v>52</v>
      </c>
      <c r="D59" s="29"/>
      <c r="E59" s="15">
        <v>1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1</v>
      </c>
      <c r="P59" s="15">
        <v>0</v>
      </c>
      <c r="Q59" s="15">
        <v>1</v>
      </c>
      <c r="R59" s="15">
        <v>0</v>
      </c>
      <c r="S59" s="15">
        <v>0</v>
      </c>
      <c r="T59" s="15">
        <v>0</v>
      </c>
      <c r="U59" s="15">
        <v>1</v>
      </c>
      <c r="V59" s="15">
        <v>0</v>
      </c>
      <c r="W59" s="15">
        <v>0</v>
      </c>
      <c r="X59" s="15">
        <v>1</v>
      </c>
      <c r="Y59" s="15">
        <v>1</v>
      </c>
      <c r="Z59" s="15">
        <v>1</v>
      </c>
      <c r="AA59" s="15">
        <v>0</v>
      </c>
      <c r="AB59" s="15">
        <v>0</v>
      </c>
      <c r="AC59" s="13">
        <f t="shared" si="13"/>
        <v>7</v>
      </c>
    </row>
    <row r="60" spans="1:29" ht="12.75" customHeight="1" x14ac:dyDescent="0.3">
      <c r="A60" s="14"/>
      <c r="B60" s="27">
        <v>6</v>
      </c>
      <c r="C60" s="28" t="s">
        <v>53</v>
      </c>
      <c r="D60" s="29"/>
      <c r="E60" s="15">
        <v>0</v>
      </c>
      <c r="F60" s="15">
        <v>0</v>
      </c>
      <c r="G60" s="15">
        <v>1</v>
      </c>
      <c r="H60" s="15">
        <v>0</v>
      </c>
      <c r="I60" s="15">
        <v>1</v>
      </c>
      <c r="J60" s="15">
        <v>0</v>
      </c>
      <c r="K60" s="15">
        <v>0</v>
      </c>
      <c r="L60" s="15">
        <v>0</v>
      </c>
      <c r="M60" s="15">
        <v>1</v>
      </c>
      <c r="N60" s="15">
        <v>0</v>
      </c>
      <c r="O60" s="15">
        <v>0</v>
      </c>
      <c r="P60" s="15">
        <v>1</v>
      </c>
      <c r="Q60" s="15">
        <v>0</v>
      </c>
      <c r="R60" s="15">
        <v>0</v>
      </c>
      <c r="S60" s="15">
        <v>1</v>
      </c>
      <c r="T60" s="15">
        <v>0</v>
      </c>
      <c r="U60" s="15">
        <v>1</v>
      </c>
      <c r="V60" s="15">
        <v>0</v>
      </c>
      <c r="W60" s="15">
        <v>1</v>
      </c>
      <c r="X60" s="15">
        <v>0</v>
      </c>
      <c r="Y60" s="15">
        <v>0</v>
      </c>
      <c r="Z60" s="15">
        <v>3</v>
      </c>
      <c r="AA60" s="15">
        <v>1</v>
      </c>
      <c r="AB60" s="15">
        <v>1</v>
      </c>
      <c r="AC60" s="13">
        <f t="shared" si="13"/>
        <v>12</v>
      </c>
    </row>
    <row r="61" spans="1:29" ht="12.75" customHeight="1" x14ac:dyDescent="0.3">
      <c r="A61" s="15" t="s">
        <v>15</v>
      </c>
      <c r="B61" s="47" t="s">
        <v>46</v>
      </c>
      <c r="C61" s="48"/>
      <c r="D61" s="49"/>
      <c r="E61" s="34">
        <f>SUM(E54:E60)</f>
        <v>9</v>
      </c>
      <c r="F61" s="34">
        <f t="shared" ref="F61:AB61" si="15">SUM(F54:F60)</f>
        <v>4</v>
      </c>
      <c r="G61" s="34">
        <f t="shared" si="15"/>
        <v>5</v>
      </c>
      <c r="H61" s="34">
        <f t="shared" si="15"/>
        <v>4</v>
      </c>
      <c r="I61" s="34">
        <f t="shared" si="15"/>
        <v>10</v>
      </c>
      <c r="J61" s="34">
        <f t="shared" si="15"/>
        <v>9</v>
      </c>
      <c r="K61" s="34">
        <f t="shared" si="15"/>
        <v>13</v>
      </c>
      <c r="L61" s="34">
        <f t="shared" si="15"/>
        <v>9</v>
      </c>
      <c r="M61" s="34">
        <f t="shared" si="15"/>
        <v>7</v>
      </c>
      <c r="N61" s="34">
        <f t="shared" si="15"/>
        <v>13</v>
      </c>
      <c r="O61" s="34">
        <f t="shared" si="15"/>
        <v>15</v>
      </c>
      <c r="P61" s="34">
        <f t="shared" si="15"/>
        <v>17</v>
      </c>
      <c r="Q61" s="34">
        <f t="shared" si="15"/>
        <v>28</v>
      </c>
      <c r="R61" s="34">
        <f t="shared" si="15"/>
        <v>19</v>
      </c>
      <c r="S61" s="34">
        <f t="shared" si="15"/>
        <v>9</v>
      </c>
      <c r="T61" s="34">
        <f t="shared" si="15"/>
        <v>44</v>
      </c>
      <c r="U61" s="34">
        <f t="shared" si="15"/>
        <v>32</v>
      </c>
      <c r="V61" s="34">
        <f t="shared" si="15"/>
        <v>6</v>
      </c>
      <c r="W61" s="34">
        <f t="shared" si="15"/>
        <v>13</v>
      </c>
      <c r="X61" s="34">
        <f t="shared" si="15"/>
        <v>4</v>
      </c>
      <c r="Y61" s="34">
        <f t="shared" si="15"/>
        <v>11</v>
      </c>
      <c r="Z61" s="34">
        <f t="shared" si="15"/>
        <v>47</v>
      </c>
      <c r="AA61" s="34">
        <f t="shared" si="15"/>
        <v>16</v>
      </c>
      <c r="AB61" s="34">
        <f t="shared" si="15"/>
        <v>11</v>
      </c>
      <c r="AC61" s="13">
        <f t="shared" si="13"/>
        <v>355</v>
      </c>
    </row>
    <row r="62" spans="1:29" ht="12.75" customHeight="1" x14ac:dyDescent="0.3">
      <c r="A62" s="35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13">
        <f t="shared" si="13"/>
        <v>0</v>
      </c>
    </row>
    <row r="63" spans="1:29" ht="12.75" customHeight="1" x14ac:dyDescent="0.3">
      <c r="A63" s="19" t="s">
        <v>37</v>
      </c>
      <c r="B63" s="26" t="s">
        <v>21</v>
      </c>
      <c r="C63" s="50" t="s">
        <v>54</v>
      </c>
      <c r="D63" s="49"/>
      <c r="E63" s="15">
        <v>4</v>
      </c>
      <c r="F63" s="15">
        <v>11</v>
      </c>
      <c r="G63" s="15">
        <v>7</v>
      </c>
      <c r="H63" s="15">
        <v>0</v>
      </c>
      <c r="I63" s="15">
        <v>7</v>
      </c>
      <c r="J63" s="15">
        <v>14</v>
      </c>
      <c r="K63" s="15">
        <v>17</v>
      </c>
      <c r="L63" s="15">
        <v>10</v>
      </c>
      <c r="M63" s="15">
        <v>6</v>
      </c>
      <c r="N63" s="15">
        <v>10</v>
      </c>
      <c r="O63" s="15">
        <v>12</v>
      </c>
      <c r="P63" s="15">
        <v>8</v>
      </c>
      <c r="Q63" s="15">
        <v>13</v>
      </c>
      <c r="R63" s="15">
        <v>6</v>
      </c>
      <c r="S63" s="15">
        <v>7</v>
      </c>
      <c r="T63" s="15">
        <v>9</v>
      </c>
      <c r="U63" s="15">
        <v>9</v>
      </c>
      <c r="V63" s="15">
        <v>3</v>
      </c>
      <c r="W63" s="15">
        <v>9</v>
      </c>
      <c r="X63" s="15">
        <v>26</v>
      </c>
      <c r="Y63" s="15">
        <v>11</v>
      </c>
      <c r="Z63" s="15">
        <v>20</v>
      </c>
      <c r="AA63" s="15">
        <v>7</v>
      </c>
      <c r="AB63" s="15">
        <v>5</v>
      </c>
      <c r="AC63" s="13">
        <f t="shared" si="13"/>
        <v>231</v>
      </c>
    </row>
    <row r="64" spans="1:29" ht="12.75" customHeight="1" x14ac:dyDescent="0.3">
      <c r="A64" s="19" t="s">
        <v>39</v>
      </c>
      <c r="B64" s="27">
        <v>1</v>
      </c>
      <c r="C64" s="28" t="s">
        <v>55</v>
      </c>
      <c r="D64" s="29"/>
      <c r="E64" s="15">
        <v>15</v>
      </c>
      <c r="F64" s="15">
        <v>67</v>
      </c>
      <c r="G64" s="15">
        <v>8</v>
      </c>
      <c r="H64" s="15">
        <v>8</v>
      </c>
      <c r="I64" s="15">
        <v>12</v>
      </c>
      <c r="J64" s="15">
        <v>10</v>
      </c>
      <c r="K64" s="15">
        <v>8</v>
      </c>
      <c r="L64" s="15">
        <v>12</v>
      </c>
      <c r="M64" s="15">
        <v>23</v>
      </c>
      <c r="N64" s="15">
        <v>37</v>
      </c>
      <c r="O64" s="15">
        <v>85</v>
      </c>
      <c r="P64" s="15">
        <v>27</v>
      </c>
      <c r="Q64" s="15">
        <v>63</v>
      </c>
      <c r="R64" s="15">
        <v>78</v>
      </c>
      <c r="S64" s="15">
        <v>29</v>
      </c>
      <c r="T64" s="15">
        <v>37</v>
      </c>
      <c r="U64" s="15">
        <v>19</v>
      </c>
      <c r="V64" s="15">
        <v>22</v>
      </c>
      <c r="W64" s="15">
        <v>78</v>
      </c>
      <c r="X64" s="15">
        <v>80</v>
      </c>
      <c r="Y64" s="15">
        <v>36</v>
      </c>
      <c r="Z64" s="15">
        <v>79</v>
      </c>
      <c r="AA64" s="15">
        <v>23</v>
      </c>
      <c r="AB64" s="15">
        <v>0</v>
      </c>
      <c r="AC64" s="13">
        <f t="shared" si="13"/>
        <v>856</v>
      </c>
    </row>
    <row r="65" spans="1:29" ht="12.75" customHeight="1" x14ac:dyDescent="0.3">
      <c r="A65" s="14"/>
      <c r="B65" s="27">
        <v>2</v>
      </c>
      <c r="C65" s="28" t="s">
        <v>56</v>
      </c>
      <c r="D65" s="29"/>
      <c r="E65" s="15">
        <v>1</v>
      </c>
      <c r="F65" s="15">
        <v>1</v>
      </c>
      <c r="G65" s="15">
        <v>0</v>
      </c>
      <c r="H65" s="15">
        <v>3</v>
      </c>
      <c r="I65" s="15">
        <v>8</v>
      </c>
      <c r="J65" s="15">
        <v>13</v>
      </c>
      <c r="K65" s="15">
        <v>4</v>
      </c>
      <c r="L65" s="15">
        <v>2</v>
      </c>
      <c r="M65" s="15">
        <v>7</v>
      </c>
      <c r="N65" s="15">
        <v>2</v>
      </c>
      <c r="O65" s="15">
        <v>6</v>
      </c>
      <c r="P65" s="15">
        <v>11</v>
      </c>
      <c r="Q65" s="15">
        <v>12</v>
      </c>
      <c r="R65" s="15">
        <v>6</v>
      </c>
      <c r="S65" s="15">
        <v>12</v>
      </c>
      <c r="T65" s="15">
        <v>6</v>
      </c>
      <c r="U65" s="15">
        <v>1</v>
      </c>
      <c r="V65" s="15">
        <v>3</v>
      </c>
      <c r="W65" s="15">
        <v>3</v>
      </c>
      <c r="X65" s="15">
        <v>1</v>
      </c>
      <c r="Y65" s="15">
        <v>5</v>
      </c>
      <c r="Z65" s="15">
        <v>3</v>
      </c>
      <c r="AA65" s="15">
        <v>0</v>
      </c>
      <c r="AB65" s="15">
        <v>3</v>
      </c>
      <c r="AC65" s="13">
        <f t="shared" si="13"/>
        <v>113</v>
      </c>
    </row>
    <row r="66" spans="1:29" ht="12.75" customHeight="1" x14ac:dyDescent="0.3">
      <c r="A66" s="14"/>
      <c r="B66" s="27">
        <v>3</v>
      </c>
      <c r="C66" s="28" t="s">
        <v>57</v>
      </c>
      <c r="D66" s="29"/>
      <c r="E66" s="15">
        <v>20</v>
      </c>
      <c r="F66" s="15">
        <v>10</v>
      </c>
      <c r="G66" s="15">
        <v>2</v>
      </c>
      <c r="H66" s="15">
        <v>8</v>
      </c>
      <c r="I66" s="15">
        <v>6</v>
      </c>
      <c r="J66" s="15">
        <v>21</v>
      </c>
      <c r="K66" s="15">
        <v>29</v>
      </c>
      <c r="L66" s="15">
        <v>1</v>
      </c>
      <c r="M66" s="15">
        <v>1</v>
      </c>
      <c r="N66" s="15">
        <v>1</v>
      </c>
      <c r="O66" s="15">
        <v>7</v>
      </c>
      <c r="P66" s="15">
        <v>3</v>
      </c>
      <c r="Q66" s="15">
        <v>5</v>
      </c>
      <c r="R66" s="15">
        <v>1</v>
      </c>
      <c r="S66" s="15">
        <v>1</v>
      </c>
      <c r="T66" s="15">
        <v>4</v>
      </c>
      <c r="U66" s="15">
        <v>2</v>
      </c>
      <c r="V66" s="15">
        <v>0</v>
      </c>
      <c r="W66" s="15">
        <v>1</v>
      </c>
      <c r="X66" s="15">
        <v>1</v>
      </c>
      <c r="Y66" s="15">
        <v>9</v>
      </c>
      <c r="Z66" s="15">
        <v>1</v>
      </c>
      <c r="AA66" s="15">
        <v>0</v>
      </c>
      <c r="AB66" s="15">
        <v>0</v>
      </c>
      <c r="AC66" s="13">
        <f t="shared" si="13"/>
        <v>134</v>
      </c>
    </row>
    <row r="67" spans="1:29" ht="15" customHeight="1" x14ac:dyDescent="0.3">
      <c r="A67" s="14"/>
      <c r="B67" s="27">
        <v>4</v>
      </c>
      <c r="C67" s="28" t="s">
        <v>58</v>
      </c>
      <c r="D67" s="29"/>
      <c r="E67" s="15">
        <v>1</v>
      </c>
      <c r="F67" s="15">
        <v>0</v>
      </c>
      <c r="G67" s="15">
        <v>0</v>
      </c>
      <c r="H67" s="15">
        <v>0</v>
      </c>
      <c r="I67" s="15">
        <v>0</v>
      </c>
      <c r="J67" s="15">
        <v>2</v>
      </c>
      <c r="K67" s="15">
        <v>1</v>
      </c>
      <c r="L67" s="15">
        <v>1</v>
      </c>
      <c r="M67" s="15">
        <v>2</v>
      </c>
      <c r="N67" s="15">
        <v>0</v>
      </c>
      <c r="O67" s="15">
        <v>1</v>
      </c>
      <c r="P67" s="15">
        <v>0</v>
      </c>
      <c r="Q67" s="15">
        <v>0</v>
      </c>
      <c r="R67" s="15">
        <v>0</v>
      </c>
      <c r="S67" s="15">
        <v>0</v>
      </c>
      <c r="T67" s="15">
        <v>5</v>
      </c>
      <c r="U67" s="15">
        <v>18</v>
      </c>
      <c r="V67" s="15">
        <v>6</v>
      </c>
      <c r="W67" s="15">
        <v>0</v>
      </c>
      <c r="X67" s="15">
        <v>0</v>
      </c>
      <c r="Y67" s="15">
        <v>0</v>
      </c>
      <c r="Z67" s="15">
        <v>0</v>
      </c>
      <c r="AA67" s="15">
        <v>2</v>
      </c>
      <c r="AB67" s="15">
        <v>0</v>
      </c>
      <c r="AC67" s="13">
        <f t="shared" si="13"/>
        <v>39</v>
      </c>
    </row>
    <row r="68" spans="1:29" ht="12.75" customHeight="1" x14ac:dyDescent="0.3">
      <c r="A68" s="14"/>
      <c r="B68" s="27">
        <v>5</v>
      </c>
      <c r="C68" s="28" t="s">
        <v>59</v>
      </c>
      <c r="D68" s="29"/>
      <c r="E68" s="15">
        <v>0</v>
      </c>
      <c r="F68" s="15">
        <v>0</v>
      </c>
      <c r="G68" s="15">
        <v>1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1</v>
      </c>
      <c r="N68" s="15">
        <v>1</v>
      </c>
      <c r="O68" s="15">
        <v>0</v>
      </c>
      <c r="P68" s="15">
        <v>0</v>
      </c>
      <c r="Q68" s="15">
        <v>1</v>
      </c>
      <c r="R68" s="15">
        <v>0</v>
      </c>
      <c r="S68" s="15">
        <v>0</v>
      </c>
      <c r="T68" s="15">
        <v>0</v>
      </c>
      <c r="U68" s="15">
        <v>1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3">
        <f t="shared" si="13"/>
        <v>5</v>
      </c>
    </row>
    <row r="69" spans="1:29" ht="12.75" customHeight="1" x14ac:dyDescent="0.3">
      <c r="A69" s="14"/>
      <c r="B69" s="27">
        <v>6</v>
      </c>
      <c r="C69" s="28" t="s">
        <v>60</v>
      </c>
      <c r="D69" s="29"/>
      <c r="E69" s="15">
        <v>1</v>
      </c>
      <c r="F69" s="15">
        <v>1</v>
      </c>
      <c r="G69" s="15">
        <v>0</v>
      </c>
      <c r="H69" s="15">
        <v>0</v>
      </c>
      <c r="I69" s="15">
        <v>0</v>
      </c>
      <c r="J69" s="15">
        <v>1</v>
      </c>
      <c r="K69" s="15">
        <v>1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5</v>
      </c>
      <c r="U69" s="15">
        <v>14</v>
      </c>
      <c r="V69" s="15">
        <v>1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3">
        <f t="shared" si="13"/>
        <v>24</v>
      </c>
    </row>
    <row r="70" spans="1:29" ht="12.75" customHeight="1" x14ac:dyDescent="0.3">
      <c r="A70" s="15" t="s">
        <v>15</v>
      </c>
      <c r="B70" s="47" t="s">
        <v>46</v>
      </c>
      <c r="C70" s="48"/>
      <c r="D70" s="49"/>
      <c r="E70" s="34">
        <f t="shared" ref="E70:AB70" si="16">SUM(E63:E69)</f>
        <v>42</v>
      </c>
      <c r="F70" s="34">
        <f t="shared" si="16"/>
        <v>90</v>
      </c>
      <c r="G70" s="34">
        <f t="shared" si="16"/>
        <v>18</v>
      </c>
      <c r="H70" s="34">
        <f t="shared" si="16"/>
        <v>19</v>
      </c>
      <c r="I70" s="34">
        <f t="shared" si="16"/>
        <v>33</v>
      </c>
      <c r="J70" s="34">
        <f t="shared" si="16"/>
        <v>61</v>
      </c>
      <c r="K70" s="34">
        <f t="shared" si="16"/>
        <v>60</v>
      </c>
      <c r="L70" s="34">
        <f t="shared" si="16"/>
        <v>26</v>
      </c>
      <c r="M70" s="34">
        <f t="shared" si="16"/>
        <v>40</v>
      </c>
      <c r="N70" s="34">
        <f t="shared" si="16"/>
        <v>51</v>
      </c>
      <c r="O70" s="34">
        <f t="shared" si="16"/>
        <v>111</v>
      </c>
      <c r="P70" s="34">
        <f t="shared" si="16"/>
        <v>49</v>
      </c>
      <c r="Q70" s="34">
        <f t="shared" si="16"/>
        <v>94</v>
      </c>
      <c r="R70" s="34">
        <f t="shared" si="16"/>
        <v>91</v>
      </c>
      <c r="S70" s="34">
        <f t="shared" si="16"/>
        <v>49</v>
      </c>
      <c r="T70" s="34">
        <f t="shared" si="16"/>
        <v>66</v>
      </c>
      <c r="U70" s="34">
        <f t="shared" si="16"/>
        <v>64</v>
      </c>
      <c r="V70" s="34">
        <f t="shared" si="16"/>
        <v>35</v>
      </c>
      <c r="W70" s="34">
        <f t="shared" si="16"/>
        <v>91</v>
      </c>
      <c r="X70" s="34">
        <f t="shared" si="16"/>
        <v>108</v>
      </c>
      <c r="Y70" s="34">
        <f t="shared" si="16"/>
        <v>61</v>
      </c>
      <c r="Z70" s="34">
        <f t="shared" si="16"/>
        <v>103</v>
      </c>
      <c r="AA70" s="34">
        <f t="shared" si="16"/>
        <v>32</v>
      </c>
      <c r="AB70" s="34">
        <f t="shared" si="16"/>
        <v>8</v>
      </c>
      <c r="AC70" s="13">
        <f t="shared" si="13"/>
        <v>1402</v>
      </c>
    </row>
    <row r="71" spans="1:29" ht="12.75" customHeight="1" x14ac:dyDescent="0.3">
      <c r="A71" s="35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13">
        <f t="shared" si="13"/>
        <v>0</v>
      </c>
    </row>
    <row r="72" spans="1:29" ht="12.75" customHeight="1" x14ac:dyDescent="0.3">
      <c r="A72" s="19" t="s">
        <v>37</v>
      </c>
      <c r="B72" s="26" t="s">
        <v>23</v>
      </c>
      <c r="C72" s="50" t="s">
        <v>61</v>
      </c>
      <c r="D72" s="49"/>
      <c r="E72" s="15">
        <v>1</v>
      </c>
      <c r="F72" s="15">
        <v>2</v>
      </c>
      <c r="G72" s="15">
        <v>0</v>
      </c>
      <c r="H72" s="15">
        <v>1</v>
      </c>
      <c r="I72" s="15">
        <v>1</v>
      </c>
      <c r="J72" s="15">
        <v>0</v>
      </c>
      <c r="K72" s="15">
        <v>4</v>
      </c>
      <c r="L72" s="15">
        <v>1</v>
      </c>
      <c r="M72" s="15">
        <v>0</v>
      </c>
      <c r="N72" s="15">
        <v>1</v>
      </c>
      <c r="O72" s="15">
        <v>2</v>
      </c>
      <c r="P72" s="15">
        <v>1</v>
      </c>
      <c r="Q72" s="15">
        <v>1</v>
      </c>
      <c r="R72" s="15">
        <v>2</v>
      </c>
      <c r="S72" s="15">
        <v>1</v>
      </c>
      <c r="T72" s="15">
        <v>2</v>
      </c>
      <c r="U72" s="15">
        <v>2</v>
      </c>
      <c r="V72" s="15">
        <v>1</v>
      </c>
      <c r="W72" s="15">
        <v>1</v>
      </c>
      <c r="X72" s="15">
        <v>1</v>
      </c>
      <c r="Y72" s="15">
        <v>0</v>
      </c>
      <c r="Z72" s="15">
        <v>0</v>
      </c>
      <c r="AA72" s="15">
        <v>1</v>
      </c>
      <c r="AB72" s="15">
        <v>1</v>
      </c>
      <c r="AC72" s="13">
        <f t="shared" si="13"/>
        <v>27</v>
      </c>
    </row>
    <row r="73" spans="1:29" ht="12.75" customHeight="1" x14ac:dyDescent="0.3">
      <c r="A73" s="19" t="s">
        <v>39</v>
      </c>
      <c r="B73" s="27">
        <v>1</v>
      </c>
      <c r="C73" s="28" t="s">
        <v>62</v>
      </c>
      <c r="D73" s="29"/>
      <c r="E73" s="15">
        <v>0</v>
      </c>
      <c r="F73" s="15">
        <v>3</v>
      </c>
      <c r="G73" s="15">
        <v>1</v>
      </c>
      <c r="H73" s="15">
        <v>1</v>
      </c>
      <c r="I73" s="15">
        <v>3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6</v>
      </c>
      <c r="Q73" s="15">
        <v>2</v>
      </c>
      <c r="R73" s="15">
        <v>3</v>
      </c>
      <c r="S73" s="15">
        <v>8</v>
      </c>
      <c r="T73" s="15">
        <v>0</v>
      </c>
      <c r="U73" s="15">
        <v>2</v>
      </c>
      <c r="V73" s="15">
        <v>1</v>
      </c>
      <c r="W73" s="15">
        <v>5</v>
      </c>
      <c r="X73" s="15">
        <v>1</v>
      </c>
      <c r="Y73" s="15">
        <v>1</v>
      </c>
      <c r="Z73" s="15">
        <v>1</v>
      </c>
      <c r="AA73" s="15">
        <v>0</v>
      </c>
      <c r="AB73" s="15">
        <v>0</v>
      </c>
      <c r="AC73" s="13">
        <f t="shared" si="13"/>
        <v>38</v>
      </c>
    </row>
    <row r="74" spans="1:29" ht="12.75" customHeight="1" x14ac:dyDescent="0.3">
      <c r="A74" s="14"/>
      <c r="B74" s="27">
        <v>2</v>
      </c>
      <c r="C74" s="28" t="s">
        <v>63</v>
      </c>
      <c r="D74" s="29"/>
      <c r="E74" s="15">
        <v>0</v>
      </c>
      <c r="F74" s="15">
        <v>1</v>
      </c>
      <c r="G74" s="15">
        <v>0</v>
      </c>
      <c r="H74" s="15">
        <v>0</v>
      </c>
      <c r="I74" s="15">
        <v>1</v>
      </c>
      <c r="J74" s="15">
        <v>0</v>
      </c>
      <c r="K74" s="15">
        <v>0</v>
      </c>
      <c r="L74" s="15">
        <v>1</v>
      </c>
      <c r="M74" s="15">
        <v>1</v>
      </c>
      <c r="N74" s="15">
        <v>1</v>
      </c>
      <c r="O74" s="15">
        <v>0</v>
      </c>
      <c r="P74" s="15">
        <v>1</v>
      </c>
      <c r="Q74" s="15">
        <v>1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1</v>
      </c>
      <c r="Y74" s="15">
        <v>0</v>
      </c>
      <c r="Z74" s="15">
        <v>0</v>
      </c>
      <c r="AA74" s="15">
        <v>0</v>
      </c>
      <c r="AB74" s="15">
        <v>0</v>
      </c>
      <c r="AC74" s="13">
        <f t="shared" si="13"/>
        <v>8</v>
      </c>
    </row>
    <row r="75" spans="1:29" ht="12.75" customHeight="1" x14ac:dyDescent="0.3">
      <c r="A75" s="14"/>
      <c r="B75" s="27">
        <v>3</v>
      </c>
      <c r="C75" s="28" t="s">
        <v>64</v>
      </c>
      <c r="D75" s="29"/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1</v>
      </c>
      <c r="M75" s="15">
        <v>0</v>
      </c>
      <c r="N75" s="15">
        <v>0</v>
      </c>
      <c r="O75" s="15">
        <v>1</v>
      </c>
      <c r="P75" s="15">
        <v>0</v>
      </c>
      <c r="Q75" s="15">
        <v>3</v>
      </c>
      <c r="R75" s="15">
        <v>0</v>
      </c>
      <c r="S75" s="15">
        <v>0</v>
      </c>
      <c r="T75" s="15">
        <v>0</v>
      </c>
      <c r="U75" s="15">
        <v>0</v>
      </c>
      <c r="V75" s="15">
        <v>1</v>
      </c>
      <c r="W75" s="15">
        <v>0</v>
      </c>
      <c r="X75" s="15">
        <v>0</v>
      </c>
      <c r="Y75" s="15">
        <v>0</v>
      </c>
      <c r="Z75" s="15">
        <v>2</v>
      </c>
      <c r="AA75" s="15">
        <v>0</v>
      </c>
      <c r="AB75" s="15">
        <v>0</v>
      </c>
      <c r="AC75" s="13">
        <f t="shared" si="13"/>
        <v>8</v>
      </c>
    </row>
    <row r="76" spans="1:29" ht="12.75" customHeight="1" x14ac:dyDescent="0.3">
      <c r="A76" s="14"/>
      <c r="B76" s="27">
        <v>4</v>
      </c>
      <c r="C76" s="28" t="s">
        <v>65</v>
      </c>
      <c r="D76" s="29"/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2</v>
      </c>
      <c r="S76" s="15">
        <v>0</v>
      </c>
      <c r="T76" s="15">
        <v>0</v>
      </c>
      <c r="U76" s="15">
        <v>1</v>
      </c>
      <c r="V76" s="15">
        <v>0</v>
      </c>
      <c r="W76" s="15">
        <v>0</v>
      </c>
      <c r="X76" s="15">
        <v>1</v>
      </c>
      <c r="Y76" s="15">
        <v>0</v>
      </c>
      <c r="Z76" s="15">
        <v>0</v>
      </c>
      <c r="AA76" s="15">
        <v>0</v>
      </c>
      <c r="AB76" s="15">
        <v>1</v>
      </c>
      <c r="AC76" s="13">
        <f t="shared" si="13"/>
        <v>5</v>
      </c>
    </row>
    <row r="77" spans="1:29" ht="12.75" customHeight="1" x14ac:dyDescent="0.3">
      <c r="A77" s="14"/>
      <c r="B77" s="27">
        <v>5</v>
      </c>
      <c r="C77" s="28" t="s">
        <v>66</v>
      </c>
      <c r="D77" s="29"/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1</v>
      </c>
      <c r="P77" s="15">
        <v>2</v>
      </c>
      <c r="Q77" s="15">
        <v>0</v>
      </c>
      <c r="R77" s="15">
        <v>0</v>
      </c>
      <c r="S77" s="15">
        <v>0</v>
      </c>
      <c r="T77" s="15">
        <v>0</v>
      </c>
      <c r="U77" s="15">
        <v>1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3">
        <f t="shared" si="13"/>
        <v>4</v>
      </c>
    </row>
    <row r="78" spans="1:29" ht="12.75" customHeight="1" x14ac:dyDescent="0.3">
      <c r="A78" s="14"/>
      <c r="B78" s="27">
        <v>6</v>
      </c>
      <c r="C78" s="28" t="s">
        <v>67</v>
      </c>
      <c r="D78" s="29"/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1</v>
      </c>
      <c r="K78" s="15">
        <v>0</v>
      </c>
      <c r="L78" s="15">
        <v>0</v>
      </c>
      <c r="M78" s="15">
        <v>0</v>
      </c>
      <c r="N78" s="15">
        <v>1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3">
        <f t="shared" si="13"/>
        <v>2</v>
      </c>
    </row>
    <row r="79" spans="1:29" ht="15" customHeight="1" x14ac:dyDescent="0.3">
      <c r="A79" s="15" t="s">
        <v>15</v>
      </c>
      <c r="B79" s="47" t="s">
        <v>46</v>
      </c>
      <c r="C79" s="48"/>
      <c r="D79" s="49"/>
      <c r="E79" s="34">
        <f t="shared" ref="E79:AB79" si="17">SUM(E72:E78)</f>
        <v>1</v>
      </c>
      <c r="F79" s="34">
        <f t="shared" si="17"/>
        <v>6</v>
      </c>
      <c r="G79" s="34">
        <f t="shared" si="17"/>
        <v>1</v>
      </c>
      <c r="H79" s="34">
        <f t="shared" si="17"/>
        <v>2</v>
      </c>
      <c r="I79" s="34">
        <f t="shared" si="17"/>
        <v>5</v>
      </c>
      <c r="J79" s="34">
        <f t="shared" si="17"/>
        <v>1</v>
      </c>
      <c r="K79" s="34">
        <f t="shared" si="17"/>
        <v>4</v>
      </c>
      <c r="L79" s="34">
        <f t="shared" si="17"/>
        <v>3</v>
      </c>
      <c r="M79" s="34">
        <f t="shared" si="17"/>
        <v>1</v>
      </c>
      <c r="N79" s="34">
        <f t="shared" si="17"/>
        <v>3</v>
      </c>
      <c r="O79" s="34">
        <f t="shared" si="17"/>
        <v>4</v>
      </c>
      <c r="P79" s="34">
        <f t="shared" si="17"/>
        <v>10</v>
      </c>
      <c r="Q79" s="34">
        <f t="shared" si="17"/>
        <v>7</v>
      </c>
      <c r="R79" s="34">
        <f t="shared" si="17"/>
        <v>7</v>
      </c>
      <c r="S79" s="34">
        <f t="shared" si="17"/>
        <v>9</v>
      </c>
      <c r="T79" s="34">
        <f t="shared" si="17"/>
        <v>2</v>
      </c>
      <c r="U79" s="34">
        <f t="shared" si="17"/>
        <v>6</v>
      </c>
      <c r="V79" s="34">
        <f t="shared" si="17"/>
        <v>3</v>
      </c>
      <c r="W79" s="34">
        <f t="shared" si="17"/>
        <v>6</v>
      </c>
      <c r="X79" s="34">
        <f t="shared" si="17"/>
        <v>4</v>
      </c>
      <c r="Y79" s="34">
        <f t="shared" si="17"/>
        <v>1</v>
      </c>
      <c r="Z79" s="34">
        <f t="shared" si="17"/>
        <v>3</v>
      </c>
      <c r="AA79" s="34">
        <f t="shared" si="17"/>
        <v>1</v>
      </c>
      <c r="AB79" s="34">
        <f t="shared" si="17"/>
        <v>2</v>
      </c>
      <c r="AC79" s="13">
        <f t="shared" si="13"/>
        <v>92</v>
      </c>
    </row>
    <row r="80" spans="1:29" ht="12.75" customHeight="1" x14ac:dyDescent="0.3">
      <c r="A80" s="35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13">
        <f t="shared" si="13"/>
        <v>0</v>
      </c>
    </row>
    <row r="81" spans="1:29" ht="12.75" customHeight="1" x14ac:dyDescent="0.3">
      <c r="A81" s="19" t="s">
        <v>37</v>
      </c>
      <c r="B81" s="26" t="s">
        <v>68</v>
      </c>
      <c r="C81" s="50" t="s">
        <v>69</v>
      </c>
      <c r="D81" s="49"/>
      <c r="E81" s="15">
        <v>1</v>
      </c>
      <c r="F81" s="15">
        <v>0</v>
      </c>
      <c r="G81" s="15">
        <v>1</v>
      </c>
      <c r="H81" s="15">
        <v>0</v>
      </c>
      <c r="I81" s="15">
        <v>0</v>
      </c>
      <c r="J81" s="15">
        <v>1</v>
      </c>
      <c r="K81" s="15">
        <v>1</v>
      </c>
      <c r="L81" s="15">
        <v>0</v>
      </c>
      <c r="M81" s="15">
        <v>0</v>
      </c>
      <c r="N81" s="15">
        <v>3</v>
      </c>
      <c r="O81" s="15">
        <v>2</v>
      </c>
      <c r="P81" s="15">
        <v>0</v>
      </c>
      <c r="Q81" s="15">
        <v>1</v>
      </c>
      <c r="R81" s="15">
        <v>0</v>
      </c>
      <c r="S81" s="15">
        <v>1</v>
      </c>
      <c r="T81" s="15">
        <v>0</v>
      </c>
      <c r="U81" s="15">
        <v>1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3">
        <f t="shared" si="13"/>
        <v>12</v>
      </c>
    </row>
    <row r="82" spans="1:29" ht="12.75" customHeight="1" x14ac:dyDescent="0.3">
      <c r="A82" s="19" t="s">
        <v>39</v>
      </c>
      <c r="B82" s="27">
        <v>1</v>
      </c>
      <c r="C82" s="28" t="s">
        <v>70</v>
      </c>
      <c r="D82" s="29"/>
      <c r="E82" s="15">
        <v>1</v>
      </c>
      <c r="F82" s="15">
        <v>0</v>
      </c>
      <c r="G82" s="15">
        <v>6</v>
      </c>
      <c r="H82" s="15">
        <v>0</v>
      </c>
      <c r="I82" s="15">
        <v>1</v>
      </c>
      <c r="J82" s="15">
        <v>2</v>
      </c>
      <c r="K82" s="15">
        <v>11</v>
      </c>
      <c r="L82" s="15">
        <v>1</v>
      </c>
      <c r="M82" s="15">
        <v>1</v>
      </c>
      <c r="N82" s="15">
        <v>6</v>
      </c>
      <c r="O82" s="15">
        <v>3</v>
      </c>
      <c r="P82" s="15">
        <v>7</v>
      </c>
      <c r="Q82" s="15">
        <v>0</v>
      </c>
      <c r="R82" s="15">
        <v>6</v>
      </c>
      <c r="S82" s="15">
        <v>0</v>
      </c>
      <c r="T82" s="15">
        <v>0</v>
      </c>
      <c r="U82" s="15">
        <v>3</v>
      </c>
      <c r="V82" s="15">
        <v>0</v>
      </c>
      <c r="W82" s="15">
        <v>1</v>
      </c>
      <c r="X82" s="15">
        <v>0</v>
      </c>
      <c r="Y82" s="15">
        <v>0</v>
      </c>
      <c r="Z82" s="15">
        <v>1</v>
      </c>
      <c r="AA82" s="15">
        <v>0</v>
      </c>
      <c r="AB82" s="15">
        <v>0</v>
      </c>
      <c r="AC82" s="13">
        <f t="shared" si="13"/>
        <v>50</v>
      </c>
    </row>
    <row r="83" spans="1:29" ht="12.75" customHeight="1" x14ac:dyDescent="0.3">
      <c r="A83" s="14"/>
      <c r="B83" s="27">
        <v>2</v>
      </c>
      <c r="C83" s="28" t="s">
        <v>71</v>
      </c>
      <c r="D83" s="29"/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1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1</v>
      </c>
      <c r="Z83" s="15">
        <v>0</v>
      </c>
      <c r="AA83" s="15">
        <v>0</v>
      </c>
      <c r="AB83" s="15">
        <v>0</v>
      </c>
      <c r="AC83" s="13">
        <f t="shared" si="13"/>
        <v>2</v>
      </c>
    </row>
    <row r="84" spans="1:29" ht="12.75" customHeight="1" x14ac:dyDescent="0.3">
      <c r="A84" s="14"/>
      <c r="B84" s="27">
        <v>3</v>
      </c>
      <c r="C84" s="28" t="s">
        <v>72</v>
      </c>
      <c r="D84" s="29"/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3">
        <f t="shared" si="13"/>
        <v>0</v>
      </c>
    </row>
    <row r="85" spans="1:29" ht="12.75" customHeight="1" x14ac:dyDescent="0.3">
      <c r="A85" s="14"/>
      <c r="B85" s="27">
        <v>4</v>
      </c>
      <c r="C85" s="28" t="s">
        <v>73</v>
      </c>
      <c r="D85" s="29"/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3">
        <f t="shared" si="13"/>
        <v>0</v>
      </c>
    </row>
    <row r="86" spans="1:29" ht="12.75" customHeight="1" x14ac:dyDescent="0.3">
      <c r="A86" s="14"/>
      <c r="B86" s="27">
        <v>5</v>
      </c>
      <c r="C86" s="28" t="s">
        <v>74</v>
      </c>
      <c r="D86" s="29"/>
      <c r="E86" s="15">
        <v>4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1</v>
      </c>
      <c r="L86" s="15">
        <v>0</v>
      </c>
      <c r="M86" s="15">
        <v>0</v>
      </c>
      <c r="N86" s="15">
        <v>2</v>
      </c>
      <c r="O86" s="15">
        <v>0</v>
      </c>
      <c r="P86" s="15">
        <v>1</v>
      </c>
      <c r="Q86" s="15">
        <v>1</v>
      </c>
      <c r="R86" s="15">
        <v>0</v>
      </c>
      <c r="S86" s="15">
        <v>0</v>
      </c>
      <c r="T86" s="15">
        <v>2</v>
      </c>
      <c r="U86" s="15">
        <v>0</v>
      </c>
      <c r="V86" s="15">
        <v>0</v>
      </c>
      <c r="W86" s="15">
        <v>0</v>
      </c>
      <c r="X86" s="15">
        <v>1</v>
      </c>
      <c r="Y86" s="15">
        <v>0</v>
      </c>
      <c r="Z86" s="15">
        <v>0</v>
      </c>
      <c r="AA86" s="15">
        <v>0</v>
      </c>
      <c r="AB86" s="15">
        <v>0</v>
      </c>
      <c r="AC86" s="13">
        <f t="shared" si="13"/>
        <v>12</v>
      </c>
    </row>
    <row r="87" spans="1:29" ht="12.75" customHeight="1" x14ac:dyDescent="0.3">
      <c r="A87" s="14"/>
      <c r="B87" s="27">
        <v>6</v>
      </c>
      <c r="C87" s="28" t="s">
        <v>75</v>
      </c>
      <c r="D87" s="29"/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2</v>
      </c>
      <c r="P87" s="15">
        <v>0</v>
      </c>
      <c r="Q87" s="15">
        <v>0</v>
      </c>
      <c r="R87" s="15">
        <v>1</v>
      </c>
      <c r="S87" s="15">
        <v>0</v>
      </c>
      <c r="T87" s="15">
        <v>0</v>
      </c>
      <c r="U87" s="15">
        <v>0</v>
      </c>
      <c r="V87" s="15">
        <v>0</v>
      </c>
      <c r="W87" s="15">
        <v>1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3">
        <f t="shared" si="13"/>
        <v>4</v>
      </c>
    </row>
    <row r="88" spans="1:29" ht="12.75" customHeight="1" x14ac:dyDescent="0.3">
      <c r="A88" s="15" t="s">
        <v>15</v>
      </c>
      <c r="B88" s="47" t="s">
        <v>46</v>
      </c>
      <c r="C88" s="48"/>
      <c r="D88" s="49"/>
      <c r="E88" s="34">
        <f t="shared" ref="E88:AB88" si="18">SUM(E81:E87)</f>
        <v>6</v>
      </c>
      <c r="F88" s="34">
        <f t="shared" si="18"/>
        <v>0</v>
      </c>
      <c r="G88" s="34">
        <f t="shared" si="18"/>
        <v>7</v>
      </c>
      <c r="H88" s="34">
        <f t="shared" si="18"/>
        <v>0</v>
      </c>
      <c r="I88" s="34">
        <f t="shared" si="18"/>
        <v>1</v>
      </c>
      <c r="J88" s="34">
        <f t="shared" si="18"/>
        <v>3</v>
      </c>
      <c r="K88" s="34">
        <f t="shared" si="18"/>
        <v>13</v>
      </c>
      <c r="L88" s="34">
        <f t="shared" si="18"/>
        <v>1</v>
      </c>
      <c r="M88" s="34">
        <f t="shared" si="18"/>
        <v>1</v>
      </c>
      <c r="N88" s="34">
        <f t="shared" si="18"/>
        <v>12</v>
      </c>
      <c r="O88" s="34">
        <f t="shared" si="18"/>
        <v>7</v>
      </c>
      <c r="P88" s="34">
        <f t="shared" si="18"/>
        <v>8</v>
      </c>
      <c r="Q88" s="34">
        <f t="shared" si="18"/>
        <v>2</v>
      </c>
      <c r="R88" s="34">
        <f t="shared" si="18"/>
        <v>7</v>
      </c>
      <c r="S88" s="34">
        <f t="shared" si="18"/>
        <v>1</v>
      </c>
      <c r="T88" s="34">
        <f t="shared" si="18"/>
        <v>2</v>
      </c>
      <c r="U88" s="34">
        <f t="shared" si="18"/>
        <v>4</v>
      </c>
      <c r="V88" s="34">
        <f t="shared" si="18"/>
        <v>0</v>
      </c>
      <c r="W88" s="34">
        <f t="shared" si="18"/>
        <v>2</v>
      </c>
      <c r="X88" s="34">
        <f t="shared" si="18"/>
        <v>1</v>
      </c>
      <c r="Y88" s="34">
        <f t="shared" si="18"/>
        <v>1</v>
      </c>
      <c r="Z88" s="34">
        <f t="shared" si="18"/>
        <v>1</v>
      </c>
      <c r="AA88" s="34">
        <f t="shared" si="18"/>
        <v>0</v>
      </c>
      <c r="AB88" s="34">
        <f t="shared" si="18"/>
        <v>0</v>
      </c>
      <c r="AC88" s="13">
        <f t="shared" si="13"/>
        <v>80</v>
      </c>
    </row>
    <row r="89" spans="1:29" ht="12.75" customHeight="1" x14ac:dyDescent="0.3">
      <c r="A89" s="35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13">
        <f t="shared" si="13"/>
        <v>0</v>
      </c>
    </row>
    <row r="90" spans="1:29" ht="12.75" customHeight="1" x14ac:dyDescent="0.3">
      <c r="A90" s="19" t="s">
        <v>37</v>
      </c>
      <c r="B90" s="26" t="s">
        <v>76</v>
      </c>
      <c r="C90" s="50" t="s">
        <v>77</v>
      </c>
      <c r="D90" s="49"/>
      <c r="E90" s="15">
        <v>1</v>
      </c>
      <c r="F90" s="15">
        <v>0</v>
      </c>
      <c r="G90" s="15">
        <v>2</v>
      </c>
      <c r="H90" s="15">
        <v>1</v>
      </c>
      <c r="I90" s="15">
        <v>2</v>
      </c>
      <c r="J90" s="15">
        <v>3</v>
      </c>
      <c r="K90" s="15">
        <v>3</v>
      </c>
      <c r="L90" s="15">
        <v>2</v>
      </c>
      <c r="M90" s="15">
        <v>1</v>
      </c>
      <c r="N90" s="15">
        <v>4</v>
      </c>
      <c r="O90" s="15">
        <v>1</v>
      </c>
      <c r="P90" s="15">
        <v>1</v>
      </c>
      <c r="Q90" s="15">
        <v>1</v>
      </c>
      <c r="R90" s="15">
        <v>0</v>
      </c>
      <c r="S90" s="15">
        <v>1</v>
      </c>
      <c r="T90" s="15">
        <v>0</v>
      </c>
      <c r="U90" s="15">
        <v>3</v>
      </c>
      <c r="V90" s="15">
        <v>0</v>
      </c>
      <c r="W90" s="15">
        <v>2</v>
      </c>
      <c r="X90" s="15">
        <v>1</v>
      </c>
      <c r="Y90" s="15">
        <v>2</v>
      </c>
      <c r="Z90" s="15">
        <v>3</v>
      </c>
      <c r="AA90" s="15">
        <v>0</v>
      </c>
      <c r="AB90" s="15">
        <v>7</v>
      </c>
      <c r="AC90" s="13">
        <f t="shared" si="13"/>
        <v>41</v>
      </c>
    </row>
    <row r="91" spans="1:29" ht="15" customHeight="1" x14ac:dyDescent="0.3">
      <c r="A91" s="19"/>
      <c r="B91" s="27">
        <v>1</v>
      </c>
      <c r="C91" s="28" t="s">
        <v>78</v>
      </c>
      <c r="D91" s="37"/>
      <c r="E91" s="15">
        <v>0</v>
      </c>
      <c r="F91" s="15">
        <v>0</v>
      </c>
      <c r="G91" s="15">
        <v>0</v>
      </c>
      <c r="H91" s="15">
        <v>1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2</v>
      </c>
      <c r="O91" s="15">
        <v>0</v>
      </c>
      <c r="P91" s="15">
        <v>2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1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3">
        <f t="shared" si="13"/>
        <v>6</v>
      </c>
    </row>
    <row r="92" spans="1:29" ht="12.75" customHeight="1" x14ac:dyDescent="0.3">
      <c r="A92" s="19"/>
      <c r="B92" s="27">
        <v>2</v>
      </c>
      <c r="C92" s="28" t="s">
        <v>79</v>
      </c>
      <c r="D92" s="37"/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1</v>
      </c>
      <c r="M92" s="15">
        <v>0</v>
      </c>
      <c r="N92" s="15">
        <v>2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3">
        <f t="shared" si="13"/>
        <v>3</v>
      </c>
    </row>
    <row r="93" spans="1:29" ht="12.75" customHeight="1" x14ac:dyDescent="0.3">
      <c r="A93" s="19" t="s">
        <v>39</v>
      </c>
      <c r="B93" s="27">
        <v>3</v>
      </c>
      <c r="C93" s="28" t="s">
        <v>80</v>
      </c>
      <c r="D93" s="37"/>
      <c r="E93" s="15">
        <v>1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3">
        <f t="shared" si="13"/>
        <v>1</v>
      </c>
    </row>
    <row r="94" spans="1:29" ht="12.75" customHeight="1" x14ac:dyDescent="0.3">
      <c r="A94" s="15" t="s">
        <v>15</v>
      </c>
      <c r="B94" s="47" t="s">
        <v>46</v>
      </c>
      <c r="C94" s="48"/>
      <c r="D94" s="49"/>
      <c r="E94" s="34">
        <f t="shared" ref="E94:AB94" si="19">SUM(E90:E93)</f>
        <v>2</v>
      </c>
      <c r="F94" s="34">
        <f t="shared" si="19"/>
        <v>0</v>
      </c>
      <c r="G94" s="34">
        <f t="shared" si="19"/>
        <v>2</v>
      </c>
      <c r="H94" s="34">
        <f t="shared" si="19"/>
        <v>2</v>
      </c>
      <c r="I94" s="34">
        <f t="shared" si="19"/>
        <v>2</v>
      </c>
      <c r="J94" s="34">
        <f t="shared" si="19"/>
        <v>3</v>
      </c>
      <c r="K94" s="34">
        <f t="shared" si="19"/>
        <v>3</v>
      </c>
      <c r="L94" s="34">
        <f t="shared" si="19"/>
        <v>3</v>
      </c>
      <c r="M94" s="34">
        <f t="shared" si="19"/>
        <v>1</v>
      </c>
      <c r="N94" s="34">
        <f t="shared" si="19"/>
        <v>8</v>
      </c>
      <c r="O94" s="34">
        <f t="shared" si="19"/>
        <v>1</v>
      </c>
      <c r="P94" s="34">
        <f t="shared" si="19"/>
        <v>3</v>
      </c>
      <c r="Q94" s="34">
        <f t="shared" si="19"/>
        <v>1</v>
      </c>
      <c r="R94" s="34">
        <f t="shared" si="19"/>
        <v>0</v>
      </c>
      <c r="S94" s="34">
        <f t="shared" si="19"/>
        <v>1</v>
      </c>
      <c r="T94" s="34">
        <f t="shared" si="19"/>
        <v>0</v>
      </c>
      <c r="U94" s="34">
        <f t="shared" si="19"/>
        <v>3</v>
      </c>
      <c r="V94" s="34">
        <f t="shared" si="19"/>
        <v>0</v>
      </c>
      <c r="W94" s="34">
        <f t="shared" si="19"/>
        <v>3</v>
      </c>
      <c r="X94" s="34">
        <f t="shared" si="19"/>
        <v>1</v>
      </c>
      <c r="Y94" s="34">
        <f t="shared" si="19"/>
        <v>2</v>
      </c>
      <c r="Z94" s="34">
        <f t="shared" si="19"/>
        <v>3</v>
      </c>
      <c r="AA94" s="34">
        <f t="shared" si="19"/>
        <v>0</v>
      </c>
      <c r="AB94" s="34">
        <f t="shared" si="19"/>
        <v>7</v>
      </c>
      <c r="AC94" s="13">
        <f t="shared" si="13"/>
        <v>51</v>
      </c>
    </row>
    <row r="95" spans="1:29" ht="12.75" customHeight="1" x14ac:dyDescent="0.3">
      <c r="A95" s="35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13">
        <f t="shared" si="13"/>
        <v>0</v>
      </c>
    </row>
    <row r="96" spans="1:29" ht="12.75" customHeight="1" x14ac:dyDescent="0.3">
      <c r="A96" s="19" t="s">
        <v>37</v>
      </c>
      <c r="B96" s="26" t="s">
        <v>81</v>
      </c>
      <c r="C96" s="50" t="s">
        <v>82</v>
      </c>
      <c r="D96" s="49"/>
      <c r="E96" s="15">
        <v>0</v>
      </c>
      <c r="F96" s="15">
        <v>0</v>
      </c>
      <c r="G96" s="15">
        <v>1</v>
      </c>
      <c r="H96" s="15">
        <v>0</v>
      </c>
      <c r="I96" s="15">
        <v>2</v>
      </c>
      <c r="J96" s="15">
        <v>1</v>
      </c>
      <c r="K96" s="15">
        <v>0</v>
      </c>
      <c r="L96" s="15">
        <v>0</v>
      </c>
      <c r="M96" s="15">
        <v>2</v>
      </c>
      <c r="N96" s="15">
        <v>0</v>
      </c>
      <c r="O96" s="15">
        <v>2</v>
      </c>
      <c r="P96" s="15">
        <v>0</v>
      </c>
      <c r="Q96" s="15">
        <v>0</v>
      </c>
      <c r="R96" s="15">
        <v>1</v>
      </c>
      <c r="S96" s="15">
        <v>0</v>
      </c>
      <c r="T96" s="15">
        <v>0</v>
      </c>
      <c r="U96" s="15">
        <v>2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1</v>
      </c>
      <c r="AB96" s="15">
        <v>0</v>
      </c>
      <c r="AC96" s="13">
        <f t="shared" si="13"/>
        <v>12</v>
      </c>
    </row>
    <row r="97" spans="1:29" ht="12.75" customHeight="1" x14ac:dyDescent="0.3">
      <c r="A97" s="19" t="s">
        <v>39</v>
      </c>
      <c r="B97" s="27">
        <v>1</v>
      </c>
      <c r="C97" s="28" t="s">
        <v>83</v>
      </c>
      <c r="D97" s="29"/>
      <c r="E97" s="15">
        <v>1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1</v>
      </c>
      <c r="R97" s="15">
        <v>1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1</v>
      </c>
      <c r="Z97" s="15">
        <v>0</v>
      </c>
      <c r="AA97" s="15">
        <v>0</v>
      </c>
      <c r="AB97" s="15">
        <v>0</v>
      </c>
      <c r="AC97" s="13">
        <f t="shared" si="13"/>
        <v>4</v>
      </c>
    </row>
    <row r="98" spans="1:29" ht="12.75" customHeight="1" x14ac:dyDescent="0.3">
      <c r="A98" s="19"/>
      <c r="B98" s="27">
        <v>2</v>
      </c>
      <c r="C98" s="28" t="s">
        <v>84</v>
      </c>
      <c r="D98" s="29"/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3">
        <f t="shared" si="13"/>
        <v>0</v>
      </c>
    </row>
    <row r="99" spans="1:29" ht="12.75" customHeight="1" x14ac:dyDescent="0.3">
      <c r="A99" s="15" t="s">
        <v>15</v>
      </c>
      <c r="B99" s="47" t="s">
        <v>46</v>
      </c>
      <c r="C99" s="48"/>
      <c r="D99" s="49"/>
      <c r="E99" s="34">
        <f t="shared" ref="E99:AB99" si="20">SUM(E96:E98)</f>
        <v>1</v>
      </c>
      <c r="F99" s="34">
        <f t="shared" si="20"/>
        <v>0</v>
      </c>
      <c r="G99" s="34">
        <f t="shared" si="20"/>
        <v>1</v>
      </c>
      <c r="H99" s="34">
        <f t="shared" si="20"/>
        <v>0</v>
      </c>
      <c r="I99" s="34">
        <f t="shared" si="20"/>
        <v>2</v>
      </c>
      <c r="J99" s="34">
        <f t="shared" si="20"/>
        <v>1</v>
      </c>
      <c r="K99" s="34">
        <f t="shared" si="20"/>
        <v>0</v>
      </c>
      <c r="L99" s="34">
        <f t="shared" si="20"/>
        <v>0</v>
      </c>
      <c r="M99" s="34">
        <f t="shared" si="20"/>
        <v>2</v>
      </c>
      <c r="N99" s="34">
        <f t="shared" si="20"/>
        <v>0</v>
      </c>
      <c r="O99" s="34">
        <f t="shared" si="20"/>
        <v>2</v>
      </c>
      <c r="P99" s="34">
        <f t="shared" si="20"/>
        <v>0</v>
      </c>
      <c r="Q99" s="34">
        <f t="shared" si="20"/>
        <v>1</v>
      </c>
      <c r="R99" s="34">
        <f t="shared" si="20"/>
        <v>2</v>
      </c>
      <c r="S99" s="34">
        <f t="shared" si="20"/>
        <v>0</v>
      </c>
      <c r="T99" s="34">
        <f t="shared" si="20"/>
        <v>0</v>
      </c>
      <c r="U99" s="34">
        <f t="shared" si="20"/>
        <v>2</v>
      </c>
      <c r="V99" s="34">
        <f t="shared" si="20"/>
        <v>0</v>
      </c>
      <c r="W99" s="34">
        <f t="shared" si="20"/>
        <v>0</v>
      </c>
      <c r="X99" s="34">
        <f t="shared" si="20"/>
        <v>0</v>
      </c>
      <c r="Y99" s="34">
        <f t="shared" si="20"/>
        <v>1</v>
      </c>
      <c r="Z99" s="34">
        <f t="shared" si="20"/>
        <v>0</v>
      </c>
      <c r="AA99" s="34">
        <f t="shared" si="20"/>
        <v>1</v>
      </c>
      <c r="AB99" s="34">
        <f t="shared" si="20"/>
        <v>0</v>
      </c>
      <c r="AC99" s="13">
        <f t="shared" si="13"/>
        <v>16</v>
      </c>
    </row>
    <row r="100" spans="1:29" ht="12.75" customHeight="1" x14ac:dyDescent="0.3">
      <c r="A100" s="35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13">
        <f t="shared" si="13"/>
        <v>0</v>
      </c>
    </row>
    <row r="101" spans="1:29" ht="12.75" customHeight="1" x14ac:dyDescent="0.3">
      <c r="A101" s="19" t="s">
        <v>37</v>
      </c>
      <c r="B101" s="26" t="s">
        <v>85</v>
      </c>
      <c r="C101" s="50" t="s">
        <v>86</v>
      </c>
      <c r="D101" s="49"/>
      <c r="E101" s="15">
        <v>0</v>
      </c>
      <c r="F101" s="15">
        <v>1</v>
      </c>
      <c r="G101" s="15">
        <v>0</v>
      </c>
      <c r="H101" s="15">
        <v>0</v>
      </c>
      <c r="I101" s="15">
        <v>0</v>
      </c>
      <c r="J101" s="15">
        <v>0</v>
      </c>
      <c r="K101" s="15">
        <v>1</v>
      </c>
      <c r="L101" s="15">
        <v>2</v>
      </c>
      <c r="M101" s="15">
        <v>1</v>
      </c>
      <c r="N101" s="15">
        <v>2</v>
      </c>
      <c r="O101" s="15">
        <v>2</v>
      </c>
      <c r="P101" s="15">
        <v>1</v>
      </c>
      <c r="Q101" s="15">
        <v>1</v>
      </c>
      <c r="R101" s="15">
        <v>2</v>
      </c>
      <c r="S101" s="15">
        <v>1</v>
      </c>
      <c r="T101" s="15">
        <v>0</v>
      </c>
      <c r="U101" s="15">
        <v>1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3">
        <f t="shared" si="13"/>
        <v>15</v>
      </c>
    </row>
    <row r="102" spans="1:29" ht="12.75" customHeight="1" x14ac:dyDescent="0.3">
      <c r="A102" s="19" t="s">
        <v>39</v>
      </c>
      <c r="B102" s="27">
        <v>1</v>
      </c>
      <c r="C102" s="28" t="s">
        <v>87</v>
      </c>
      <c r="D102" s="29"/>
      <c r="E102" s="15">
        <v>0</v>
      </c>
      <c r="F102" s="15">
        <v>2</v>
      </c>
      <c r="G102" s="15">
        <v>0</v>
      </c>
      <c r="H102" s="15">
        <v>0</v>
      </c>
      <c r="I102" s="15">
        <v>2</v>
      </c>
      <c r="J102" s="15">
        <v>0</v>
      </c>
      <c r="K102" s="15">
        <v>1</v>
      </c>
      <c r="L102" s="15">
        <v>1</v>
      </c>
      <c r="M102" s="15">
        <v>4</v>
      </c>
      <c r="N102" s="15">
        <v>8</v>
      </c>
      <c r="O102" s="15">
        <v>19</v>
      </c>
      <c r="P102" s="15">
        <v>5</v>
      </c>
      <c r="Q102" s="15">
        <v>2</v>
      </c>
      <c r="R102" s="15">
        <v>2</v>
      </c>
      <c r="S102" s="15">
        <v>1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1</v>
      </c>
      <c r="Z102" s="15">
        <v>0</v>
      </c>
      <c r="AA102" s="15">
        <v>0</v>
      </c>
      <c r="AB102" s="15">
        <v>0</v>
      </c>
      <c r="AC102" s="13">
        <f t="shared" si="13"/>
        <v>48</v>
      </c>
    </row>
    <row r="103" spans="1:29" ht="15" customHeight="1" x14ac:dyDescent="0.3">
      <c r="A103" s="14"/>
      <c r="B103" s="27">
        <v>2</v>
      </c>
      <c r="C103" s="28" t="s">
        <v>88</v>
      </c>
      <c r="D103" s="29"/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1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3">
        <f t="shared" si="13"/>
        <v>1</v>
      </c>
    </row>
    <row r="104" spans="1:29" ht="12.75" customHeight="1" x14ac:dyDescent="0.3">
      <c r="A104" s="14"/>
      <c r="B104" s="27">
        <v>3</v>
      </c>
      <c r="C104" s="28" t="s">
        <v>89</v>
      </c>
      <c r="D104" s="29"/>
      <c r="E104" s="15">
        <v>0</v>
      </c>
      <c r="F104" s="15">
        <v>0</v>
      </c>
      <c r="G104" s="15">
        <v>0</v>
      </c>
      <c r="H104" s="15">
        <v>0</v>
      </c>
      <c r="I104" s="15">
        <v>1</v>
      </c>
      <c r="J104" s="15">
        <v>0</v>
      </c>
      <c r="K104" s="15">
        <v>0</v>
      </c>
      <c r="L104" s="15">
        <v>1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1</v>
      </c>
      <c r="Z104" s="15">
        <v>0</v>
      </c>
      <c r="AA104" s="15">
        <v>0</v>
      </c>
      <c r="AB104" s="15">
        <v>0</v>
      </c>
      <c r="AC104" s="13">
        <f t="shared" si="13"/>
        <v>3</v>
      </c>
    </row>
    <row r="105" spans="1:29" ht="12.75" customHeight="1" x14ac:dyDescent="0.3">
      <c r="A105" s="14"/>
      <c r="B105" s="27">
        <v>4</v>
      </c>
      <c r="C105" s="28" t="s">
        <v>90</v>
      </c>
      <c r="D105" s="29"/>
      <c r="E105" s="15">
        <v>0</v>
      </c>
      <c r="F105" s="15">
        <v>0</v>
      </c>
      <c r="G105" s="15">
        <v>0</v>
      </c>
      <c r="H105" s="15">
        <v>0</v>
      </c>
      <c r="I105" s="15">
        <v>1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1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3">
        <f t="shared" si="13"/>
        <v>2</v>
      </c>
    </row>
    <row r="106" spans="1:29" ht="12.75" customHeight="1" x14ac:dyDescent="0.3">
      <c r="A106" s="14"/>
      <c r="B106" s="27">
        <v>5</v>
      </c>
      <c r="C106" s="28" t="s">
        <v>91</v>
      </c>
      <c r="D106" s="29"/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3">
        <f t="shared" si="13"/>
        <v>0</v>
      </c>
    </row>
    <row r="107" spans="1:29" ht="12.75" customHeight="1" x14ac:dyDescent="0.3">
      <c r="A107" s="14"/>
      <c r="B107" s="27">
        <v>6</v>
      </c>
      <c r="C107" s="28" t="s">
        <v>92</v>
      </c>
      <c r="D107" s="29"/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1</v>
      </c>
      <c r="AA107" s="15">
        <v>0</v>
      </c>
      <c r="AB107" s="15">
        <v>0</v>
      </c>
      <c r="AC107" s="13">
        <f t="shared" si="13"/>
        <v>1</v>
      </c>
    </row>
    <row r="108" spans="1:29" ht="12.75" customHeight="1" x14ac:dyDescent="0.3">
      <c r="A108" s="15" t="s">
        <v>15</v>
      </c>
      <c r="B108" s="47" t="s">
        <v>46</v>
      </c>
      <c r="C108" s="48"/>
      <c r="D108" s="49"/>
      <c r="E108" s="34">
        <f t="shared" ref="E108:AB108" si="21">SUM(E101:E107)</f>
        <v>0</v>
      </c>
      <c r="F108" s="34">
        <f t="shared" si="21"/>
        <v>3</v>
      </c>
      <c r="G108" s="34">
        <f t="shared" si="21"/>
        <v>0</v>
      </c>
      <c r="H108" s="34">
        <f t="shared" si="21"/>
        <v>0</v>
      </c>
      <c r="I108" s="34">
        <f t="shared" si="21"/>
        <v>4</v>
      </c>
      <c r="J108" s="34">
        <f t="shared" si="21"/>
        <v>0</v>
      </c>
      <c r="K108" s="34">
        <f t="shared" si="21"/>
        <v>2</v>
      </c>
      <c r="L108" s="34">
        <f t="shared" si="21"/>
        <v>4</v>
      </c>
      <c r="M108" s="34">
        <f t="shared" si="21"/>
        <v>5</v>
      </c>
      <c r="N108" s="34">
        <f t="shared" si="21"/>
        <v>10</v>
      </c>
      <c r="O108" s="34">
        <f t="shared" si="21"/>
        <v>21</v>
      </c>
      <c r="P108" s="34">
        <f t="shared" si="21"/>
        <v>6</v>
      </c>
      <c r="Q108" s="34">
        <f t="shared" si="21"/>
        <v>3</v>
      </c>
      <c r="R108" s="34">
        <f t="shared" si="21"/>
        <v>4</v>
      </c>
      <c r="S108" s="34">
        <f t="shared" si="21"/>
        <v>3</v>
      </c>
      <c r="T108" s="34">
        <f t="shared" si="21"/>
        <v>0</v>
      </c>
      <c r="U108" s="34">
        <f t="shared" si="21"/>
        <v>1</v>
      </c>
      <c r="V108" s="34">
        <f t="shared" si="21"/>
        <v>0</v>
      </c>
      <c r="W108" s="34">
        <f t="shared" si="21"/>
        <v>1</v>
      </c>
      <c r="X108" s="34">
        <f t="shared" si="21"/>
        <v>0</v>
      </c>
      <c r="Y108" s="34">
        <f t="shared" si="21"/>
        <v>2</v>
      </c>
      <c r="Z108" s="34">
        <f t="shared" si="21"/>
        <v>1</v>
      </c>
      <c r="AA108" s="34">
        <f t="shared" si="21"/>
        <v>0</v>
      </c>
      <c r="AB108" s="34">
        <f t="shared" si="21"/>
        <v>0</v>
      </c>
      <c r="AC108" s="13">
        <f t="shared" si="13"/>
        <v>70</v>
      </c>
    </row>
    <row r="109" spans="1:29" ht="12.75" customHeight="1" x14ac:dyDescent="0.3">
      <c r="A109" s="35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13">
        <f t="shared" si="13"/>
        <v>0</v>
      </c>
    </row>
    <row r="110" spans="1:29" ht="12.75" customHeight="1" x14ac:dyDescent="0.3">
      <c r="A110" s="19" t="s">
        <v>37</v>
      </c>
      <c r="B110" s="26" t="s">
        <v>93</v>
      </c>
      <c r="C110" s="50" t="s">
        <v>94</v>
      </c>
      <c r="D110" s="49"/>
      <c r="E110" s="15">
        <v>0</v>
      </c>
      <c r="F110" s="15">
        <v>0</v>
      </c>
      <c r="G110" s="15">
        <v>0</v>
      </c>
      <c r="H110" s="15">
        <v>0</v>
      </c>
      <c r="I110" s="15">
        <v>2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3">
        <f t="shared" si="13"/>
        <v>2</v>
      </c>
    </row>
    <row r="111" spans="1:29" ht="12.75" customHeight="1" x14ac:dyDescent="0.3">
      <c r="A111" s="19"/>
      <c r="B111" s="26">
        <v>1</v>
      </c>
      <c r="C111" s="28" t="s">
        <v>95</v>
      </c>
      <c r="D111" s="37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3">
        <f t="shared" si="13"/>
        <v>0</v>
      </c>
    </row>
    <row r="112" spans="1:29" ht="12.75" customHeight="1" x14ac:dyDescent="0.3">
      <c r="A112" s="19"/>
      <c r="B112" s="26">
        <v>2</v>
      </c>
      <c r="C112" s="28" t="s">
        <v>96</v>
      </c>
      <c r="D112" s="37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>
        <v>0</v>
      </c>
      <c r="U112" s="15">
        <v>1</v>
      </c>
      <c r="V112" s="15">
        <v>0</v>
      </c>
      <c r="W112" s="15">
        <v>0</v>
      </c>
      <c r="X112" s="15">
        <v>0</v>
      </c>
      <c r="Y112" s="15">
        <v>1</v>
      </c>
      <c r="Z112" s="15">
        <v>0</v>
      </c>
      <c r="AA112" s="15">
        <v>0</v>
      </c>
      <c r="AB112" s="15">
        <v>0</v>
      </c>
      <c r="AC112" s="13">
        <f t="shared" si="13"/>
        <v>2</v>
      </c>
    </row>
    <row r="113" spans="1:31" ht="12.75" customHeight="1" x14ac:dyDescent="0.3">
      <c r="A113" s="19"/>
      <c r="B113" s="26">
        <v>3</v>
      </c>
      <c r="C113" s="28" t="s">
        <v>97</v>
      </c>
      <c r="D113" s="37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3">
        <f t="shared" si="13"/>
        <v>0</v>
      </c>
    </row>
    <row r="114" spans="1:31" ht="12.75" customHeight="1" x14ac:dyDescent="0.3">
      <c r="A114" s="19" t="s">
        <v>39</v>
      </c>
      <c r="B114" s="27">
        <v>4</v>
      </c>
      <c r="C114" s="28" t="s">
        <v>98</v>
      </c>
      <c r="D114" s="29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3">
        <f t="shared" si="13"/>
        <v>0</v>
      </c>
    </row>
    <row r="115" spans="1:31" ht="12.75" customHeight="1" x14ac:dyDescent="0.3">
      <c r="A115" s="15" t="s">
        <v>15</v>
      </c>
      <c r="B115" s="47" t="s">
        <v>46</v>
      </c>
      <c r="C115" s="48"/>
      <c r="D115" s="49"/>
      <c r="E115" s="34">
        <f t="shared" ref="E115:AB115" si="22">SUM(E110:E114)</f>
        <v>0</v>
      </c>
      <c r="F115" s="34">
        <f t="shared" si="22"/>
        <v>0</v>
      </c>
      <c r="G115" s="34">
        <f t="shared" si="22"/>
        <v>0</v>
      </c>
      <c r="H115" s="34">
        <f t="shared" si="22"/>
        <v>0</v>
      </c>
      <c r="I115" s="34">
        <f t="shared" si="22"/>
        <v>2</v>
      </c>
      <c r="J115" s="34">
        <f t="shared" si="22"/>
        <v>0</v>
      </c>
      <c r="K115" s="34">
        <f t="shared" si="22"/>
        <v>0</v>
      </c>
      <c r="L115" s="34">
        <f t="shared" si="22"/>
        <v>0</v>
      </c>
      <c r="M115" s="34">
        <f t="shared" si="22"/>
        <v>0</v>
      </c>
      <c r="N115" s="34">
        <f t="shared" si="22"/>
        <v>0</v>
      </c>
      <c r="O115" s="34">
        <f t="shared" si="22"/>
        <v>0</v>
      </c>
      <c r="P115" s="34">
        <f t="shared" si="22"/>
        <v>0</v>
      </c>
      <c r="Q115" s="34">
        <f t="shared" si="22"/>
        <v>0</v>
      </c>
      <c r="R115" s="34">
        <f t="shared" si="22"/>
        <v>0</v>
      </c>
      <c r="S115" s="34">
        <f t="shared" si="22"/>
        <v>0</v>
      </c>
      <c r="T115" s="34">
        <f t="shared" si="22"/>
        <v>0</v>
      </c>
      <c r="U115" s="34">
        <f t="shared" si="22"/>
        <v>1</v>
      </c>
      <c r="V115" s="34">
        <f t="shared" si="22"/>
        <v>0</v>
      </c>
      <c r="W115" s="34">
        <f t="shared" si="22"/>
        <v>0</v>
      </c>
      <c r="X115" s="34">
        <f t="shared" si="22"/>
        <v>0</v>
      </c>
      <c r="Y115" s="34">
        <f t="shared" si="22"/>
        <v>1</v>
      </c>
      <c r="Z115" s="34">
        <f t="shared" si="22"/>
        <v>0</v>
      </c>
      <c r="AA115" s="34">
        <f t="shared" si="22"/>
        <v>0</v>
      </c>
      <c r="AB115" s="34">
        <f t="shared" si="22"/>
        <v>0</v>
      </c>
      <c r="AC115" s="13">
        <f t="shared" si="13"/>
        <v>4</v>
      </c>
    </row>
    <row r="116" spans="1:31" ht="12.75" customHeight="1" x14ac:dyDescent="0.3">
      <c r="A116" s="35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13">
        <f t="shared" si="13"/>
        <v>0</v>
      </c>
    </row>
    <row r="117" spans="1:31" ht="12.75" customHeight="1" x14ac:dyDescent="0.3">
      <c r="A117" s="19" t="s">
        <v>37</v>
      </c>
      <c r="B117" s="26" t="s">
        <v>99</v>
      </c>
      <c r="C117" s="50" t="s">
        <v>100</v>
      </c>
      <c r="D117" s="49"/>
      <c r="E117" s="15">
        <v>0</v>
      </c>
      <c r="F117" s="15">
        <v>0</v>
      </c>
      <c r="G117" s="15">
        <v>0</v>
      </c>
      <c r="H117" s="15">
        <v>1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3">
        <f t="shared" si="13"/>
        <v>1</v>
      </c>
      <c r="AD117" s="5"/>
      <c r="AE117" s="5"/>
    </row>
    <row r="118" spans="1:31" ht="12.75" customHeight="1" x14ac:dyDescent="0.3">
      <c r="A118" s="19" t="s">
        <v>39</v>
      </c>
      <c r="B118" s="27">
        <v>1</v>
      </c>
      <c r="C118" s="28" t="s">
        <v>101</v>
      </c>
      <c r="D118" s="29"/>
      <c r="E118" s="15">
        <v>0</v>
      </c>
      <c r="F118" s="15">
        <v>0</v>
      </c>
      <c r="G118" s="15">
        <v>0</v>
      </c>
      <c r="H118" s="15">
        <v>0</v>
      </c>
      <c r="I118" s="15">
        <v>1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1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3">
        <f t="shared" si="13"/>
        <v>2</v>
      </c>
      <c r="AD118" s="5"/>
      <c r="AE118" s="5"/>
    </row>
    <row r="119" spans="1:31" ht="12.75" customHeight="1" x14ac:dyDescent="0.3">
      <c r="A119" s="14"/>
      <c r="B119" s="27">
        <v>2</v>
      </c>
      <c r="C119" s="28" t="s">
        <v>102</v>
      </c>
      <c r="D119" s="29"/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3">
        <f t="shared" si="13"/>
        <v>0</v>
      </c>
      <c r="AD119" s="5"/>
      <c r="AE119" s="5"/>
    </row>
    <row r="120" spans="1:31" ht="12.75" customHeight="1" x14ac:dyDescent="0.3">
      <c r="A120" s="14"/>
      <c r="B120" s="27">
        <v>3</v>
      </c>
      <c r="C120" s="28" t="s">
        <v>103</v>
      </c>
      <c r="D120" s="29"/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3">
        <f t="shared" si="13"/>
        <v>0</v>
      </c>
      <c r="AD120" s="5"/>
      <c r="AE120" s="5"/>
    </row>
    <row r="121" spans="1:31" ht="12.75" customHeight="1" x14ac:dyDescent="0.3">
      <c r="A121" s="14"/>
      <c r="B121" s="27">
        <v>4</v>
      </c>
      <c r="C121" s="28" t="s">
        <v>104</v>
      </c>
      <c r="D121" s="29"/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1</v>
      </c>
      <c r="P121" s="15">
        <v>1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1</v>
      </c>
      <c r="Z121" s="15">
        <v>0</v>
      </c>
      <c r="AA121" s="15">
        <v>0</v>
      </c>
      <c r="AB121" s="15">
        <v>0</v>
      </c>
      <c r="AC121" s="13">
        <f t="shared" si="13"/>
        <v>3</v>
      </c>
      <c r="AD121" s="5"/>
      <c r="AE121" s="5"/>
    </row>
    <row r="122" spans="1:31" ht="12.75" customHeight="1" x14ac:dyDescent="0.3">
      <c r="A122" s="14"/>
      <c r="B122" s="27">
        <v>5</v>
      </c>
      <c r="C122" s="28" t="s">
        <v>105</v>
      </c>
      <c r="D122" s="29"/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1</v>
      </c>
      <c r="AC122" s="13">
        <f t="shared" si="13"/>
        <v>1</v>
      </c>
      <c r="AD122" s="5"/>
      <c r="AE122" s="5"/>
    </row>
    <row r="123" spans="1:31" ht="12.75" customHeight="1" x14ac:dyDescent="0.3">
      <c r="A123" s="14"/>
      <c r="B123" s="27">
        <v>6</v>
      </c>
      <c r="C123" s="28" t="s">
        <v>106</v>
      </c>
      <c r="D123" s="29"/>
      <c r="E123" s="15">
        <v>0</v>
      </c>
      <c r="F123" s="15">
        <v>0</v>
      </c>
      <c r="G123" s="15">
        <v>0</v>
      </c>
      <c r="H123" s="15">
        <v>1</v>
      </c>
      <c r="I123" s="15">
        <v>1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1</v>
      </c>
      <c r="Q123" s="15">
        <v>0</v>
      </c>
      <c r="R123" s="15">
        <v>1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3">
        <f t="shared" si="13"/>
        <v>4</v>
      </c>
      <c r="AD123" s="5"/>
      <c r="AE123" s="5"/>
    </row>
    <row r="124" spans="1:31" ht="12.75" customHeight="1" x14ac:dyDescent="0.3">
      <c r="A124" s="15" t="s">
        <v>15</v>
      </c>
      <c r="B124" s="47" t="s">
        <v>46</v>
      </c>
      <c r="C124" s="48"/>
      <c r="D124" s="49"/>
      <c r="E124" s="34">
        <f t="shared" ref="E124:AB124" si="23">SUM(E117:E123)</f>
        <v>0</v>
      </c>
      <c r="F124" s="34">
        <f t="shared" si="23"/>
        <v>0</v>
      </c>
      <c r="G124" s="34">
        <f t="shared" si="23"/>
        <v>0</v>
      </c>
      <c r="H124" s="34">
        <f t="shared" si="23"/>
        <v>2</v>
      </c>
      <c r="I124" s="34">
        <f t="shared" si="23"/>
        <v>2</v>
      </c>
      <c r="J124" s="34">
        <f t="shared" si="23"/>
        <v>0</v>
      </c>
      <c r="K124" s="34">
        <f t="shared" si="23"/>
        <v>0</v>
      </c>
      <c r="L124" s="34">
        <f t="shared" si="23"/>
        <v>0</v>
      </c>
      <c r="M124" s="34">
        <f t="shared" si="23"/>
        <v>0</v>
      </c>
      <c r="N124" s="34">
        <f t="shared" si="23"/>
        <v>0</v>
      </c>
      <c r="O124" s="34">
        <f t="shared" si="23"/>
        <v>1</v>
      </c>
      <c r="P124" s="34">
        <f t="shared" si="23"/>
        <v>2</v>
      </c>
      <c r="Q124" s="34">
        <f t="shared" si="23"/>
        <v>0</v>
      </c>
      <c r="R124" s="34">
        <f t="shared" si="23"/>
        <v>1</v>
      </c>
      <c r="S124" s="34">
        <f t="shared" si="23"/>
        <v>0</v>
      </c>
      <c r="T124" s="34">
        <f t="shared" si="23"/>
        <v>1</v>
      </c>
      <c r="U124" s="34">
        <f t="shared" si="23"/>
        <v>0</v>
      </c>
      <c r="V124" s="34">
        <f t="shared" si="23"/>
        <v>0</v>
      </c>
      <c r="W124" s="34">
        <f t="shared" si="23"/>
        <v>0</v>
      </c>
      <c r="X124" s="34">
        <f t="shared" si="23"/>
        <v>0</v>
      </c>
      <c r="Y124" s="34">
        <f t="shared" si="23"/>
        <v>1</v>
      </c>
      <c r="Z124" s="34">
        <f t="shared" si="23"/>
        <v>0</v>
      </c>
      <c r="AA124" s="34">
        <f t="shared" si="23"/>
        <v>0</v>
      </c>
      <c r="AB124" s="34">
        <f t="shared" si="23"/>
        <v>1</v>
      </c>
      <c r="AC124" s="13">
        <f t="shared" si="13"/>
        <v>11</v>
      </c>
      <c r="AD124" s="5"/>
      <c r="AE124" s="5"/>
    </row>
    <row r="125" spans="1:31" ht="12.75" customHeight="1" x14ac:dyDescent="0.3">
      <c r="A125" s="35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13">
        <f t="shared" si="13"/>
        <v>0</v>
      </c>
      <c r="AD125" s="5"/>
      <c r="AE125" s="5"/>
    </row>
    <row r="126" spans="1:31" ht="12.75" customHeight="1" x14ac:dyDescent="0.3">
      <c r="A126" s="19" t="s">
        <v>37</v>
      </c>
      <c r="B126" s="26" t="s">
        <v>107</v>
      </c>
      <c r="C126" s="50" t="s">
        <v>108</v>
      </c>
      <c r="D126" s="49"/>
      <c r="E126" s="15">
        <v>0</v>
      </c>
      <c r="F126" s="15">
        <v>0</v>
      </c>
      <c r="G126" s="15">
        <v>0</v>
      </c>
      <c r="H126" s="15">
        <v>0</v>
      </c>
      <c r="I126" s="15">
        <v>1</v>
      </c>
      <c r="J126" s="15">
        <v>1</v>
      </c>
      <c r="K126" s="15">
        <v>0</v>
      </c>
      <c r="L126" s="15">
        <v>2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1</v>
      </c>
      <c r="V126" s="15">
        <v>0</v>
      </c>
      <c r="W126" s="15">
        <v>0</v>
      </c>
      <c r="X126" s="15">
        <v>0</v>
      </c>
      <c r="Y126" s="15">
        <v>1</v>
      </c>
      <c r="Z126" s="15">
        <v>0</v>
      </c>
      <c r="AA126" s="15">
        <v>0</v>
      </c>
      <c r="AB126" s="15">
        <v>2</v>
      </c>
      <c r="AC126" s="13">
        <f t="shared" si="13"/>
        <v>8</v>
      </c>
      <c r="AD126" s="5"/>
      <c r="AE126" s="5"/>
    </row>
    <row r="127" spans="1:31" ht="15" customHeight="1" x14ac:dyDescent="0.3">
      <c r="A127" s="19" t="s">
        <v>39</v>
      </c>
      <c r="B127" s="27"/>
      <c r="C127" s="28"/>
      <c r="D127" s="29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3">
        <f t="shared" si="13"/>
        <v>0</v>
      </c>
      <c r="AD127" s="5"/>
      <c r="AE127" s="5"/>
    </row>
    <row r="128" spans="1:31" ht="12.75" customHeight="1" x14ac:dyDescent="0.3">
      <c r="A128" s="15" t="s">
        <v>15</v>
      </c>
      <c r="B128" s="47" t="s">
        <v>46</v>
      </c>
      <c r="C128" s="48"/>
      <c r="D128" s="49"/>
      <c r="E128" s="34">
        <f t="shared" ref="E128:AB128" si="24">SUM(E126:E127)</f>
        <v>0</v>
      </c>
      <c r="F128" s="34">
        <f t="shared" si="24"/>
        <v>0</v>
      </c>
      <c r="G128" s="34">
        <f t="shared" si="24"/>
        <v>0</v>
      </c>
      <c r="H128" s="34">
        <f t="shared" si="24"/>
        <v>0</v>
      </c>
      <c r="I128" s="34">
        <f t="shared" si="24"/>
        <v>1</v>
      </c>
      <c r="J128" s="34">
        <f t="shared" si="24"/>
        <v>1</v>
      </c>
      <c r="K128" s="34">
        <f t="shared" si="24"/>
        <v>0</v>
      </c>
      <c r="L128" s="34">
        <f t="shared" si="24"/>
        <v>2</v>
      </c>
      <c r="M128" s="34">
        <f t="shared" si="24"/>
        <v>0</v>
      </c>
      <c r="N128" s="34">
        <f t="shared" si="24"/>
        <v>0</v>
      </c>
      <c r="O128" s="34">
        <f t="shared" si="24"/>
        <v>0</v>
      </c>
      <c r="P128" s="34">
        <f t="shared" si="24"/>
        <v>0</v>
      </c>
      <c r="Q128" s="34">
        <f t="shared" si="24"/>
        <v>0</v>
      </c>
      <c r="R128" s="34">
        <f t="shared" si="24"/>
        <v>0</v>
      </c>
      <c r="S128" s="34">
        <f t="shared" si="24"/>
        <v>0</v>
      </c>
      <c r="T128" s="34">
        <f t="shared" si="24"/>
        <v>0</v>
      </c>
      <c r="U128" s="34">
        <f t="shared" si="24"/>
        <v>1</v>
      </c>
      <c r="V128" s="34">
        <f t="shared" si="24"/>
        <v>0</v>
      </c>
      <c r="W128" s="34">
        <f t="shared" si="24"/>
        <v>0</v>
      </c>
      <c r="X128" s="34">
        <f t="shared" si="24"/>
        <v>0</v>
      </c>
      <c r="Y128" s="34">
        <f t="shared" si="24"/>
        <v>1</v>
      </c>
      <c r="Z128" s="34">
        <f t="shared" si="24"/>
        <v>0</v>
      </c>
      <c r="AA128" s="34">
        <f t="shared" si="24"/>
        <v>0</v>
      </c>
      <c r="AB128" s="34">
        <f t="shared" si="24"/>
        <v>2</v>
      </c>
      <c r="AC128" s="13">
        <f t="shared" si="13"/>
        <v>8</v>
      </c>
      <c r="AD128" s="5"/>
      <c r="AE128" s="5"/>
    </row>
    <row r="129" spans="1:31" ht="12.75" customHeight="1" x14ac:dyDescent="0.3">
      <c r="A129" s="35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13">
        <f t="shared" si="13"/>
        <v>0</v>
      </c>
      <c r="AD129" s="5"/>
      <c r="AE129" s="5"/>
    </row>
    <row r="130" spans="1:31" ht="12.75" customHeight="1" x14ac:dyDescent="0.3">
      <c r="A130" s="19" t="s">
        <v>37</v>
      </c>
      <c r="B130" s="26" t="s">
        <v>109</v>
      </c>
      <c r="C130" s="50" t="s">
        <v>110</v>
      </c>
      <c r="D130" s="49"/>
      <c r="E130" s="15">
        <v>1</v>
      </c>
      <c r="F130" s="15">
        <v>1</v>
      </c>
      <c r="G130" s="15">
        <v>0</v>
      </c>
      <c r="H130" s="15">
        <v>0</v>
      </c>
      <c r="I130" s="15">
        <v>0</v>
      </c>
      <c r="J130" s="15">
        <v>2</v>
      </c>
      <c r="K130" s="15">
        <v>0</v>
      </c>
      <c r="L130" s="15">
        <v>3</v>
      </c>
      <c r="M130" s="15">
        <v>1</v>
      </c>
      <c r="N130" s="15">
        <v>0</v>
      </c>
      <c r="O130" s="15">
        <v>0</v>
      </c>
      <c r="P130" s="15">
        <v>1</v>
      </c>
      <c r="Q130" s="15">
        <v>0</v>
      </c>
      <c r="R130" s="15">
        <v>0</v>
      </c>
      <c r="S130" s="15">
        <v>0</v>
      </c>
      <c r="T130" s="15">
        <v>2</v>
      </c>
      <c r="U130" s="15">
        <v>2</v>
      </c>
      <c r="V130" s="15">
        <v>0</v>
      </c>
      <c r="W130" s="15">
        <v>1</v>
      </c>
      <c r="X130" s="15">
        <v>0</v>
      </c>
      <c r="Y130" s="15">
        <v>1</v>
      </c>
      <c r="Z130" s="15">
        <v>1</v>
      </c>
      <c r="AA130" s="15">
        <v>1</v>
      </c>
      <c r="AB130" s="15">
        <v>0</v>
      </c>
      <c r="AC130" s="13">
        <f t="shared" si="13"/>
        <v>17</v>
      </c>
      <c r="AD130" s="1"/>
      <c r="AE130" s="1"/>
    </row>
    <row r="131" spans="1:31" ht="12.75" customHeight="1" x14ac:dyDescent="0.3">
      <c r="A131" s="19" t="s">
        <v>39</v>
      </c>
      <c r="B131" s="27">
        <v>1</v>
      </c>
      <c r="C131" s="28" t="s">
        <v>111</v>
      </c>
      <c r="D131" s="29"/>
      <c r="E131" s="15">
        <v>1</v>
      </c>
      <c r="F131" s="15">
        <v>0</v>
      </c>
      <c r="G131" s="15">
        <v>0</v>
      </c>
      <c r="H131" s="15">
        <v>0</v>
      </c>
      <c r="I131" s="15">
        <v>0</v>
      </c>
      <c r="J131" s="15">
        <v>1</v>
      </c>
      <c r="K131" s="15">
        <v>0</v>
      </c>
      <c r="L131" s="15">
        <v>1</v>
      </c>
      <c r="M131" s="15">
        <v>3</v>
      </c>
      <c r="N131" s="15">
        <v>0</v>
      </c>
      <c r="O131" s="15">
        <v>0</v>
      </c>
      <c r="P131" s="15">
        <v>1</v>
      </c>
      <c r="Q131" s="15">
        <v>0</v>
      </c>
      <c r="R131" s="15">
        <v>1</v>
      </c>
      <c r="S131" s="15">
        <v>1</v>
      </c>
      <c r="T131" s="15">
        <v>1</v>
      </c>
      <c r="U131" s="15">
        <v>0</v>
      </c>
      <c r="V131" s="15">
        <v>3</v>
      </c>
      <c r="W131" s="15">
        <v>0</v>
      </c>
      <c r="X131" s="15">
        <v>0</v>
      </c>
      <c r="Y131" s="15">
        <v>1</v>
      </c>
      <c r="Z131" s="15">
        <v>0</v>
      </c>
      <c r="AA131" s="15">
        <v>0</v>
      </c>
      <c r="AB131" s="15">
        <v>0</v>
      </c>
      <c r="AC131" s="13">
        <f t="shared" si="13"/>
        <v>14</v>
      </c>
      <c r="AD131" s="31"/>
      <c r="AE131" s="31"/>
    </row>
    <row r="132" spans="1:31" ht="12.75" customHeight="1" x14ac:dyDescent="0.3">
      <c r="A132" s="14"/>
      <c r="B132" s="27">
        <v>2</v>
      </c>
      <c r="C132" s="28" t="s">
        <v>112</v>
      </c>
      <c r="D132" s="29"/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1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1</v>
      </c>
      <c r="W132" s="15">
        <v>0</v>
      </c>
      <c r="X132" s="15">
        <v>0</v>
      </c>
      <c r="Y132" s="15">
        <v>1</v>
      </c>
      <c r="Z132" s="15">
        <v>0</v>
      </c>
      <c r="AA132" s="15">
        <v>1</v>
      </c>
      <c r="AB132" s="15">
        <v>0</v>
      </c>
      <c r="AC132" s="13">
        <f t="shared" si="13"/>
        <v>4</v>
      </c>
      <c r="AD132" s="5"/>
      <c r="AE132" s="5"/>
    </row>
    <row r="133" spans="1:31" ht="12.75" customHeight="1" x14ac:dyDescent="0.3">
      <c r="A133" s="14"/>
      <c r="B133" s="27">
        <v>3</v>
      </c>
      <c r="C133" s="28" t="s">
        <v>113</v>
      </c>
      <c r="D133" s="29"/>
      <c r="E133" s="15">
        <v>1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1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1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3">
        <f t="shared" si="13"/>
        <v>3</v>
      </c>
      <c r="AD133" s="5"/>
      <c r="AE133" s="5"/>
    </row>
    <row r="134" spans="1:31" ht="12.75" customHeight="1" x14ac:dyDescent="0.3">
      <c r="A134" s="14"/>
      <c r="B134" s="27">
        <v>4</v>
      </c>
      <c r="C134" s="28" t="s">
        <v>114</v>
      </c>
      <c r="D134" s="29"/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3">
        <f t="shared" si="13"/>
        <v>0</v>
      </c>
      <c r="AD134" s="5"/>
      <c r="AE134" s="5"/>
    </row>
    <row r="135" spans="1:31" ht="12.75" customHeight="1" x14ac:dyDescent="0.3">
      <c r="A135" s="15" t="s">
        <v>15</v>
      </c>
      <c r="B135" s="47" t="s">
        <v>46</v>
      </c>
      <c r="C135" s="48"/>
      <c r="D135" s="49"/>
      <c r="E135" s="34">
        <f t="shared" ref="E135:AB135" si="25">SUM(E130:E134)</f>
        <v>3</v>
      </c>
      <c r="F135" s="34">
        <f t="shared" si="25"/>
        <v>1</v>
      </c>
      <c r="G135" s="34">
        <f t="shared" si="25"/>
        <v>0</v>
      </c>
      <c r="H135" s="34">
        <f t="shared" si="25"/>
        <v>0</v>
      </c>
      <c r="I135" s="34">
        <f t="shared" si="25"/>
        <v>0</v>
      </c>
      <c r="J135" s="34">
        <f t="shared" si="25"/>
        <v>4</v>
      </c>
      <c r="K135" s="34">
        <f t="shared" si="25"/>
        <v>1</v>
      </c>
      <c r="L135" s="34">
        <f t="shared" si="25"/>
        <v>4</v>
      </c>
      <c r="M135" s="34">
        <f t="shared" si="25"/>
        <v>4</v>
      </c>
      <c r="N135" s="34">
        <f t="shared" si="25"/>
        <v>0</v>
      </c>
      <c r="O135" s="34">
        <f t="shared" si="25"/>
        <v>0</v>
      </c>
      <c r="P135" s="34">
        <f t="shared" si="25"/>
        <v>2</v>
      </c>
      <c r="Q135" s="34">
        <f t="shared" si="25"/>
        <v>0</v>
      </c>
      <c r="R135" s="34">
        <f t="shared" si="25"/>
        <v>1</v>
      </c>
      <c r="S135" s="34">
        <f t="shared" si="25"/>
        <v>1</v>
      </c>
      <c r="T135" s="34">
        <f t="shared" si="25"/>
        <v>4</v>
      </c>
      <c r="U135" s="34">
        <f t="shared" si="25"/>
        <v>2</v>
      </c>
      <c r="V135" s="34">
        <f t="shared" si="25"/>
        <v>4</v>
      </c>
      <c r="W135" s="34">
        <f t="shared" si="25"/>
        <v>1</v>
      </c>
      <c r="X135" s="34">
        <f t="shared" si="25"/>
        <v>0</v>
      </c>
      <c r="Y135" s="34">
        <f t="shared" si="25"/>
        <v>3</v>
      </c>
      <c r="Z135" s="34">
        <f t="shared" si="25"/>
        <v>1</v>
      </c>
      <c r="AA135" s="34">
        <f t="shared" si="25"/>
        <v>2</v>
      </c>
      <c r="AB135" s="34">
        <f t="shared" si="25"/>
        <v>0</v>
      </c>
      <c r="AC135" s="13">
        <f t="shared" si="13"/>
        <v>38</v>
      </c>
      <c r="AD135" s="5"/>
      <c r="AE135" s="5"/>
    </row>
    <row r="136" spans="1:31" ht="12.75" customHeight="1" x14ac:dyDescent="0.3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13">
        <f t="shared" si="13"/>
        <v>0</v>
      </c>
      <c r="AD136" s="5"/>
      <c r="AE136" s="5"/>
    </row>
    <row r="137" spans="1:31" ht="12.75" customHeight="1" x14ac:dyDescent="0.3">
      <c r="A137" s="19" t="s">
        <v>37</v>
      </c>
      <c r="B137" s="26" t="s">
        <v>115</v>
      </c>
      <c r="C137" s="50" t="s">
        <v>116</v>
      </c>
      <c r="D137" s="49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>
        <v>1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3">
        <f t="shared" si="13"/>
        <v>1</v>
      </c>
      <c r="AD137" s="5"/>
      <c r="AE137" s="5"/>
    </row>
    <row r="138" spans="1:31" ht="12.75" customHeight="1" x14ac:dyDescent="0.3">
      <c r="A138" s="19" t="s">
        <v>39</v>
      </c>
      <c r="B138" s="27">
        <v>1</v>
      </c>
      <c r="C138" s="28" t="s">
        <v>117</v>
      </c>
      <c r="D138" s="29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3">
        <f t="shared" si="13"/>
        <v>0</v>
      </c>
      <c r="AD138" s="5"/>
      <c r="AE138" s="5"/>
    </row>
    <row r="139" spans="1:31" ht="15" customHeight="1" x14ac:dyDescent="0.3">
      <c r="A139" s="14"/>
      <c r="B139" s="27">
        <v>2</v>
      </c>
      <c r="C139" s="28" t="s">
        <v>118</v>
      </c>
      <c r="D139" s="29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3">
        <f t="shared" si="13"/>
        <v>0</v>
      </c>
      <c r="AD139" s="5"/>
      <c r="AE139" s="5"/>
    </row>
    <row r="140" spans="1:31" ht="12.75" customHeight="1" x14ac:dyDescent="0.3">
      <c r="A140" s="14"/>
      <c r="B140" s="27">
        <v>3</v>
      </c>
      <c r="C140" s="28" t="s">
        <v>119</v>
      </c>
      <c r="D140" s="29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3">
        <f t="shared" si="13"/>
        <v>0</v>
      </c>
      <c r="AD140" s="5"/>
      <c r="AE140" s="5"/>
    </row>
    <row r="141" spans="1:31" ht="12.75" customHeight="1" x14ac:dyDescent="0.3">
      <c r="A141" s="14"/>
      <c r="B141" s="27">
        <v>4</v>
      </c>
      <c r="C141" s="28" t="s">
        <v>120</v>
      </c>
      <c r="D141" s="29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3">
        <f t="shared" si="13"/>
        <v>0</v>
      </c>
      <c r="AD141" s="1"/>
      <c r="AE141" s="1"/>
    </row>
    <row r="142" spans="1:31" ht="12.75" customHeight="1" x14ac:dyDescent="0.3">
      <c r="A142" s="14"/>
      <c r="B142" s="27">
        <v>5</v>
      </c>
      <c r="C142" s="28" t="s">
        <v>121</v>
      </c>
      <c r="D142" s="29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1</v>
      </c>
      <c r="AC142" s="13">
        <f t="shared" si="13"/>
        <v>1</v>
      </c>
      <c r="AD142" s="31"/>
      <c r="AE142" s="31"/>
    </row>
    <row r="143" spans="1:31" ht="12.75" customHeight="1" x14ac:dyDescent="0.3">
      <c r="A143" s="14"/>
      <c r="B143" s="27">
        <v>6</v>
      </c>
      <c r="C143" s="28" t="s">
        <v>122</v>
      </c>
      <c r="D143" s="29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3">
        <f t="shared" si="13"/>
        <v>0</v>
      </c>
      <c r="AD143" s="5"/>
      <c r="AE143" s="5"/>
    </row>
    <row r="144" spans="1:31" ht="12.75" customHeight="1" x14ac:dyDescent="0.3">
      <c r="A144" s="15" t="s">
        <v>15</v>
      </c>
      <c r="B144" s="47" t="s">
        <v>46</v>
      </c>
      <c r="C144" s="48"/>
      <c r="D144" s="49"/>
      <c r="E144" s="34">
        <f t="shared" ref="E144:AB144" si="26">SUM(E137:E143)</f>
        <v>0</v>
      </c>
      <c r="F144" s="34">
        <f t="shared" si="26"/>
        <v>0</v>
      </c>
      <c r="G144" s="34">
        <f t="shared" si="26"/>
        <v>0</v>
      </c>
      <c r="H144" s="34">
        <f t="shared" si="26"/>
        <v>0</v>
      </c>
      <c r="I144" s="34">
        <f t="shared" si="26"/>
        <v>0</v>
      </c>
      <c r="J144" s="34">
        <f t="shared" si="26"/>
        <v>0</v>
      </c>
      <c r="K144" s="34">
        <f t="shared" si="26"/>
        <v>0</v>
      </c>
      <c r="L144" s="34">
        <f t="shared" si="26"/>
        <v>0</v>
      </c>
      <c r="M144" s="34">
        <f t="shared" si="26"/>
        <v>0</v>
      </c>
      <c r="N144" s="34">
        <f t="shared" si="26"/>
        <v>0</v>
      </c>
      <c r="O144" s="34">
        <f t="shared" si="26"/>
        <v>0</v>
      </c>
      <c r="P144" s="34">
        <f t="shared" si="26"/>
        <v>0</v>
      </c>
      <c r="Q144" s="34">
        <f t="shared" si="26"/>
        <v>0</v>
      </c>
      <c r="R144" s="34">
        <f t="shared" si="26"/>
        <v>0</v>
      </c>
      <c r="S144" s="34">
        <f t="shared" si="26"/>
        <v>0</v>
      </c>
      <c r="T144" s="34">
        <f t="shared" si="26"/>
        <v>1</v>
      </c>
      <c r="U144" s="34">
        <f t="shared" si="26"/>
        <v>0</v>
      </c>
      <c r="V144" s="34">
        <f t="shared" si="26"/>
        <v>0</v>
      </c>
      <c r="W144" s="34">
        <f t="shared" si="26"/>
        <v>0</v>
      </c>
      <c r="X144" s="34">
        <f t="shared" si="26"/>
        <v>0</v>
      </c>
      <c r="Y144" s="34">
        <f t="shared" si="26"/>
        <v>0</v>
      </c>
      <c r="Z144" s="34">
        <f t="shared" si="26"/>
        <v>0</v>
      </c>
      <c r="AA144" s="34">
        <f t="shared" si="26"/>
        <v>0</v>
      </c>
      <c r="AB144" s="34">
        <f t="shared" si="26"/>
        <v>1</v>
      </c>
      <c r="AC144" s="13">
        <f t="shared" si="13"/>
        <v>2</v>
      </c>
      <c r="AD144" s="5"/>
      <c r="AE144" s="5"/>
    </row>
    <row r="145" spans="1:31" ht="12.75" customHeight="1" x14ac:dyDescent="0.3">
      <c r="A145" s="35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13">
        <f t="shared" si="13"/>
        <v>0</v>
      </c>
      <c r="AD145" s="5"/>
      <c r="AE145" s="5"/>
    </row>
    <row r="146" spans="1:31" ht="12.75" customHeight="1" x14ac:dyDescent="0.3">
      <c r="A146" s="19" t="s">
        <v>37</v>
      </c>
      <c r="B146" s="26" t="s">
        <v>123</v>
      </c>
      <c r="C146" s="50" t="s">
        <v>124</v>
      </c>
      <c r="D146" s="49"/>
      <c r="E146" s="15">
        <v>6</v>
      </c>
      <c r="F146" s="15">
        <v>4</v>
      </c>
      <c r="G146" s="15">
        <v>3</v>
      </c>
      <c r="H146" s="15">
        <v>1</v>
      </c>
      <c r="I146" s="15">
        <v>5</v>
      </c>
      <c r="J146" s="15">
        <v>8</v>
      </c>
      <c r="K146" s="15">
        <v>7</v>
      </c>
      <c r="L146" s="15">
        <v>3</v>
      </c>
      <c r="M146" s="15">
        <v>2</v>
      </c>
      <c r="N146" s="15">
        <v>14</v>
      </c>
      <c r="O146" s="15">
        <v>1</v>
      </c>
      <c r="P146" s="15">
        <v>10</v>
      </c>
      <c r="Q146" s="15">
        <v>1</v>
      </c>
      <c r="R146" s="15">
        <v>2</v>
      </c>
      <c r="S146" s="15">
        <v>9</v>
      </c>
      <c r="T146" s="15">
        <v>2</v>
      </c>
      <c r="U146" s="15">
        <v>4</v>
      </c>
      <c r="V146" s="15">
        <v>4</v>
      </c>
      <c r="W146" s="15">
        <v>1</v>
      </c>
      <c r="X146" s="15">
        <v>4</v>
      </c>
      <c r="Y146" s="15">
        <v>6</v>
      </c>
      <c r="Z146" s="15">
        <v>4</v>
      </c>
      <c r="AA146" s="15">
        <v>8</v>
      </c>
      <c r="AB146" s="15">
        <v>8</v>
      </c>
      <c r="AC146" s="13">
        <f t="shared" si="13"/>
        <v>117</v>
      </c>
      <c r="AD146" s="5"/>
      <c r="AE146" s="5"/>
    </row>
    <row r="147" spans="1:31" ht="12.75" customHeight="1" x14ac:dyDescent="0.3">
      <c r="A147" s="19" t="s">
        <v>39</v>
      </c>
      <c r="B147" s="27">
        <v>1</v>
      </c>
      <c r="C147" s="28" t="s">
        <v>125</v>
      </c>
      <c r="D147" s="29"/>
      <c r="E147" s="15">
        <v>0</v>
      </c>
      <c r="F147" s="15">
        <v>0</v>
      </c>
      <c r="G147" s="15">
        <v>1</v>
      </c>
      <c r="H147" s="15">
        <v>0</v>
      </c>
      <c r="I147" s="15">
        <v>0</v>
      </c>
      <c r="J147" s="15">
        <v>1</v>
      </c>
      <c r="K147" s="15">
        <v>0</v>
      </c>
      <c r="L147" s="15">
        <v>5</v>
      </c>
      <c r="M147" s="15">
        <v>0</v>
      </c>
      <c r="N147" s="15">
        <v>1</v>
      </c>
      <c r="O147" s="15">
        <v>4</v>
      </c>
      <c r="P147" s="15">
        <v>2</v>
      </c>
      <c r="Q147" s="15">
        <v>8</v>
      </c>
      <c r="R147" s="15">
        <v>23</v>
      </c>
      <c r="S147" s="15">
        <v>15</v>
      </c>
      <c r="T147" s="15">
        <v>45</v>
      </c>
      <c r="U147" s="15">
        <v>10</v>
      </c>
      <c r="V147" s="15">
        <v>3</v>
      </c>
      <c r="W147" s="15">
        <v>13</v>
      </c>
      <c r="X147" s="15">
        <v>2</v>
      </c>
      <c r="Y147" s="15">
        <v>1</v>
      </c>
      <c r="Z147" s="15">
        <v>2</v>
      </c>
      <c r="AA147" s="15">
        <v>1</v>
      </c>
      <c r="AB147" s="15">
        <v>4</v>
      </c>
      <c r="AC147" s="13">
        <f t="shared" si="13"/>
        <v>141</v>
      </c>
      <c r="AD147" s="5"/>
      <c r="AE147" s="5"/>
    </row>
    <row r="148" spans="1:31" ht="12.75" customHeight="1" x14ac:dyDescent="0.3">
      <c r="A148" s="14"/>
      <c r="B148" s="27">
        <v>2</v>
      </c>
      <c r="C148" s="28" t="s">
        <v>126</v>
      </c>
      <c r="D148" s="29"/>
      <c r="E148" s="15">
        <v>0</v>
      </c>
      <c r="F148" s="15">
        <v>0</v>
      </c>
      <c r="G148" s="15">
        <v>0</v>
      </c>
      <c r="H148" s="15">
        <v>1</v>
      </c>
      <c r="I148" s="15">
        <v>2</v>
      </c>
      <c r="J148" s="15">
        <v>1</v>
      </c>
      <c r="K148" s="15">
        <v>1</v>
      </c>
      <c r="L148" s="15">
        <v>0</v>
      </c>
      <c r="M148" s="15">
        <v>0</v>
      </c>
      <c r="N148" s="15">
        <v>1</v>
      </c>
      <c r="O148" s="15">
        <v>0</v>
      </c>
      <c r="P148" s="15">
        <v>0</v>
      </c>
      <c r="Q148" s="15">
        <v>1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3</v>
      </c>
      <c r="Z148" s="15">
        <v>1</v>
      </c>
      <c r="AA148" s="15">
        <v>1</v>
      </c>
      <c r="AB148" s="15">
        <v>0</v>
      </c>
      <c r="AC148" s="13">
        <f t="shared" si="13"/>
        <v>12</v>
      </c>
      <c r="AD148" s="5"/>
      <c r="AE148" s="5"/>
    </row>
    <row r="149" spans="1:31" ht="12.75" customHeight="1" x14ac:dyDescent="0.3">
      <c r="A149" s="14"/>
      <c r="B149" s="27">
        <v>3</v>
      </c>
      <c r="C149" s="28" t="s">
        <v>127</v>
      </c>
      <c r="D149" s="29"/>
      <c r="E149" s="15">
        <v>1</v>
      </c>
      <c r="F149" s="15">
        <v>2</v>
      </c>
      <c r="G149" s="15">
        <v>12</v>
      </c>
      <c r="H149" s="15">
        <v>14</v>
      </c>
      <c r="I149" s="15">
        <v>4</v>
      </c>
      <c r="J149" s="15">
        <v>0</v>
      </c>
      <c r="K149" s="15">
        <v>4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1</v>
      </c>
      <c r="R149" s="15">
        <v>0</v>
      </c>
      <c r="S149" s="15">
        <v>0</v>
      </c>
      <c r="T149" s="15">
        <v>1</v>
      </c>
      <c r="U149" s="15">
        <v>0</v>
      </c>
      <c r="V149" s="15">
        <v>1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1</v>
      </c>
      <c r="AC149" s="13">
        <f t="shared" si="13"/>
        <v>41</v>
      </c>
      <c r="AD149" s="5"/>
      <c r="AE149" s="5"/>
    </row>
    <row r="150" spans="1:31" ht="12.75" customHeight="1" x14ac:dyDescent="0.3">
      <c r="A150" s="14"/>
      <c r="B150" s="27">
        <v>4</v>
      </c>
      <c r="C150" s="28" t="s">
        <v>128</v>
      </c>
      <c r="D150" s="29"/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1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1</v>
      </c>
      <c r="AC150" s="13">
        <f t="shared" si="13"/>
        <v>2</v>
      </c>
      <c r="AD150" s="5"/>
      <c r="AE150" s="5"/>
    </row>
    <row r="151" spans="1:31" ht="12.75" customHeight="1" x14ac:dyDescent="0.3">
      <c r="A151" s="14"/>
      <c r="B151" s="27">
        <v>5</v>
      </c>
      <c r="C151" s="28" t="s">
        <v>129</v>
      </c>
      <c r="D151" s="29"/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2</v>
      </c>
      <c r="U151" s="15">
        <v>1</v>
      </c>
      <c r="V151" s="15">
        <v>0</v>
      </c>
      <c r="W151" s="15">
        <v>0</v>
      </c>
      <c r="X151" s="15">
        <v>1</v>
      </c>
      <c r="Y151" s="15">
        <v>0</v>
      </c>
      <c r="Z151" s="15">
        <v>0</v>
      </c>
      <c r="AA151" s="15">
        <v>1</v>
      </c>
      <c r="AB151" s="15">
        <v>1</v>
      </c>
      <c r="AC151" s="13">
        <f t="shared" si="13"/>
        <v>6</v>
      </c>
      <c r="AD151" s="1"/>
      <c r="AE151" s="1"/>
    </row>
    <row r="152" spans="1:31" ht="12.75" customHeight="1" x14ac:dyDescent="0.3">
      <c r="A152" s="14"/>
      <c r="B152" s="27">
        <v>6</v>
      </c>
      <c r="C152" s="28" t="s">
        <v>130</v>
      </c>
      <c r="D152" s="29"/>
      <c r="E152" s="15">
        <v>26</v>
      </c>
      <c r="F152" s="15">
        <v>16</v>
      </c>
      <c r="G152" s="15">
        <v>98</v>
      </c>
      <c r="H152" s="15">
        <v>90</v>
      </c>
      <c r="I152" s="15">
        <v>64</v>
      </c>
      <c r="J152" s="15">
        <v>65</v>
      </c>
      <c r="K152" s="15">
        <v>77</v>
      </c>
      <c r="L152" s="15">
        <v>44</v>
      </c>
      <c r="M152" s="15">
        <v>129</v>
      </c>
      <c r="N152" s="15">
        <v>94</v>
      </c>
      <c r="O152" s="15">
        <v>12</v>
      </c>
      <c r="P152" s="15">
        <v>62</v>
      </c>
      <c r="Q152" s="15">
        <v>38</v>
      </c>
      <c r="R152" s="15">
        <v>30</v>
      </c>
      <c r="S152" s="15">
        <v>54</v>
      </c>
      <c r="T152" s="15">
        <v>12</v>
      </c>
      <c r="U152" s="15">
        <v>31</v>
      </c>
      <c r="V152" s="15">
        <v>137</v>
      </c>
      <c r="W152" s="15">
        <v>27</v>
      </c>
      <c r="X152" s="15">
        <v>38</v>
      </c>
      <c r="Y152" s="15">
        <v>82</v>
      </c>
      <c r="Z152" s="15">
        <v>17</v>
      </c>
      <c r="AA152" s="15">
        <v>102</v>
      </c>
      <c r="AB152" s="15">
        <v>157</v>
      </c>
      <c r="AC152" s="13">
        <f t="shared" si="13"/>
        <v>1502</v>
      </c>
      <c r="AD152" s="31"/>
      <c r="AE152" s="31"/>
    </row>
    <row r="153" spans="1:31" ht="12.75" customHeight="1" x14ac:dyDescent="0.3">
      <c r="A153" s="15" t="s">
        <v>15</v>
      </c>
      <c r="B153" s="47" t="s">
        <v>46</v>
      </c>
      <c r="C153" s="48"/>
      <c r="D153" s="49"/>
      <c r="E153" s="34">
        <f t="shared" ref="E153:AB153" si="27">SUM(E146:E152)</f>
        <v>33</v>
      </c>
      <c r="F153" s="34">
        <f t="shared" si="27"/>
        <v>22</v>
      </c>
      <c r="G153" s="34">
        <f t="shared" si="27"/>
        <v>114</v>
      </c>
      <c r="H153" s="34">
        <f t="shared" si="27"/>
        <v>106</v>
      </c>
      <c r="I153" s="34">
        <f t="shared" si="27"/>
        <v>75</v>
      </c>
      <c r="J153" s="34">
        <f t="shared" si="27"/>
        <v>75</v>
      </c>
      <c r="K153" s="34">
        <f t="shared" si="27"/>
        <v>89</v>
      </c>
      <c r="L153" s="34">
        <f t="shared" si="27"/>
        <v>52</v>
      </c>
      <c r="M153" s="34">
        <f t="shared" si="27"/>
        <v>131</v>
      </c>
      <c r="N153" s="34">
        <f t="shared" si="27"/>
        <v>110</v>
      </c>
      <c r="O153" s="34">
        <f t="shared" si="27"/>
        <v>17</v>
      </c>
      <c r="P153" s="34">
        <f t="shared" si="27"/>
        <v>74</v>
      </c>
      <c r="Q153" s="34">
        <f t="shared" si="27"/>
        <v>49</v>
      </c>
      <c r="R153" s="34">
        <f t="shared" si="27"/>
        <v>55</v>
      </c>
      <c r="S153" s="34">
        <f t="shared" si="27"/>
        <v>78</v>
      </c>
      <c r="T153" s="34">
        <f t="shared" si="27"/>
        <v>62</v>
      </c>
      <c r="U153" s="34">
        <f t="shared" si="27"/>
        <v>47</v>
      </c>
      <c r="V153" s="34">
        <f t="shared" si="27"/>
        <v>145</v>
      </c>
      <c r="W153" s="34">
        <f t="shared" si="27"/>
        <v>41</v>
      </c>
      <c r="X153" s="34">
        <f t="shared" si="27"/>
        <v>45</v>
      </c>
      <c r="Y153" s="34">
        <f t="shared" si="27"/>
        <v>92</v>
      </c>
      <c r="Z153" s="34">
        <f t="shared" si="27"/>
        <v>24</v>
      </c>
      <c r="AA153" s="34">
        <f t="shared" si="27"/>
        <v>113</v>
      </c>
      <c r="AB153" s="34">
        <f t="shared" si="27"/>
        <v>172</v>
      </c>
      <c r="AC153" s="13">
        <f t="shared" si="13"/>
        <v>1821</v>
      </c>
      <c r="AD153" s="5"/>
      <c r="AE153" s="5"/>
    </row>
    <row r="154" spans="1:31" ht="12.75" customHeight="1" x14ac:dyDescent="0.3">
      <c r="A154" s="35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13">
        <f t="shared" si="13"/>
        <v>0</v>
      </c>
      <c r="AD154" s="5"/>
      <c r="AE154" s="5"/>
    </row>
    <row r="155" spans="1:31" ht="12.75" customHeight="1" x14ac:dyDescent="0.3">
      <c r="A155" s="19" t="s">
        <v>37</v>
      </c>
      <c r="B155" s="26" t="s">
        <v>131</v>
      </c>
      <c r="C155" s="50" t="s">
        <v>132</v>
      </c>
      <c r="D155" s="49"/>
      <c r="E155" s="15">
        <v>4</v>
      </c>
      <c r="F155" s="15">
        <v>1</v>
      </c>
      <c r="G155" s="15">
        <v>0</v>
      </c>
      <c r="H155" s="15">
        <v>0</v>
      </c>
      <c r="I155" s="15">
        <v>1</v>
      </c>
      <c r="J155" s="15">
        <v>0</v>
      </c>
      <c r="K155" s="15">
        <v>0</v>
      </c>
      <c r="L155" s="15">
        <v>0</v>
      </c>
      <c r="M155" s="15">
        <v>2</v>
      </c>
      <c r="N155" s="15">
        <v>1</v>
      </c>
      <c r="O155" s="15">
        <v>2</v>
      </c>
      <c r="P155" s="15">
        <v>1</v>
      </c>
      <c r="Q155" s="15">
        <v>0</v>
      </c>
      <c r="R155" s="15">
        <v>2</v>
      </c>
      <c r="S155" s="15">
        <v>2</v>
      </c>
      <c r="T155" s="15">
        <v>0</v>
      </c>
      <c r="U155" s="15">
        <v>0</v>
      </c>
      <c r="V155" s="15">
        <v>0</v>
      </c>
      <c r="W155" s="15">
        <v>1</v>
      </c>
      <c r="X155" s="15">
        <v>0</v>
      </c>
      <c r="Y155" s="15">
        <v>1</v>
      </c>
      <c r="Z155" s="15">
        <v>1</v>
      </c>
      <c r="AA155" s="15">
        <v>2</v>
      </c>
      <c r="AB155" s="15">
        <v>1</v>
      </c>
      <c r="AC155" s="13">
        <f t="shared" si="13"/>
        <v>22</v>
      </c>
      <c r="AD155" s="5"/>
      <c r="AE155" s="5"/>
    </row>
    <row r="156" spans="1:31" ht="12.75" customHeight="1" x14ac:dyDescent="0.3">
      <c r="A156" s="19" t="s">
        <v>39</v>
      </c>
      <c r="B156" s="27"/>
      <c r="C156" s="28" t="s">
        <v>133</v>
      </c>
      <c r="D156" s="29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3">
        <f t="shared" si="13"/>
        <v>0</v>
      </c>
      <c r="AD156" s="5"/>
      <c r="AE156" s="5"/>
    </row>
    <row r="157" spans="1:31" ht="12.75" customHeight="1" x14ac:dyDescent="0.3">
      <c r="A157" s="15" t="s">
        <v>15</v>
      </c>
      <c r="B157" s="47" t="s">
        <v>46</v>
      </c>
      <c r="C157" s="48"/>
      <c r="D157" s="49"/>
      <c r="E157" s="34">
        <f t="shared" ref="E157:AB157" si="28">SUM(E155:E156)</f>
        <v>4</v>
      </c>
      <c r="F157" s="34">
        <f t="shared" si="28"/>
        <v>1</v>
      </c>
      <c r="G157" s="34">
        <f t="shared" si="28"/>
        <v>0</v>
      </c>
      <c r="H157" s="34">
        <f t="shared" si="28"/>
        <v>0</v>
      </c>
      <c r="I157" s="34">
        <f t="shared" si="28"/>
        <v>1</v>
      </c>
      <c r="J157" s="34">
        <f t="shared" si="28"/>
        <v>0</v>
      </c>
      <c r="K157" s="34">
        <f t="shared" si="28"/>
        <v>0</v>
      </c>
      <c r="L157" s="34">
        <f t="shared" si="28"/>
        <v>0</v>
      </c>
      <c r="M157" s="34">
        <f t="shared" si="28"/>
        <v>2</v>
      </c>
      <c r="N157" s="34">
        <f t="shared" si="28"/>
        <v>1</v>
      </c>
      <c r="O157" s="34">
        <f t="shared" si="28"/>
        <v>2</v>
      </c>
      <c r="P157" s="34">
        <f t="shared" si="28"/>
        <v>1</v>
      </c>
      <c r="Q157" s="34">
        <f t="shared" si="28"/>
        <v>0</v>
      </c>
      <c r="R157" s="34">
        <f t="shared" si="28"/>
        <v>2</v>
      </c>
      <c r="S157" s="34">
        <f t="shared" si="28"/>
        <v>2</v>
      </c>
      <c r="T157" s="34">
        <f t="shared" si="28"/>
        <v>0</v>
      </c>
      <c r="U157" s="34">
        <f t="shared" si="28"/>
        <v>0</v>
      </c>
      <c r="V157" s="34">
        <f t="shared" si="28"/>
        <v>0</v>
      </c>
      <c r="W157" s="34">
        <f t="shared" si="28"/>
        <v>1</v>
      </c>
      <c r="X157" s="34">
        <f t="shared" si="28"/>
        <v>0</v>
      </c>
      <c r="Y157" s="34">
        <f t="shared" si="28"/>
        <v>1</v>
      </c>
      <c r="Z157" s="34">
        <f t="shared" si="28"/>
        <v>1</v>
      </c>
      <c r="AA157" s="34">
        <f t="shared" si="28"/>
        <v>2</v>
      </c>
      <c r="AB157" s="34">
        <f t="shared" si="28"/>
        <v>1</v>
      </c>
      <c r="AC157" s="13">
        <f t="shared" si="13"/>
        <v>22</v>
      </c>
      <c r="AD157" s="5"/>
      <c r="AE157" s="5"/>
    </row>
    <row r="158" spans="1:31" ht="12.75" customHeight="1" x14ac:dyDescent="0.3">
      <c r="A158" s="35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13">
        <f t="shared" si="13"/>
        <v>0</v>
      </c>
      <c r="AD158" s="5"/>
      <c r="AE158" s="5"/>
    </row>
    <row r="159" spans="1:31" ht="12.75" customHeight="1" x14ac:dyDescent="0.3">
      <c r="A159" s="19" t="s">
        <v>37</v>
      </c>
      <c r="B159" s="26" t="s">
        <v>134</v>
      </c>
      <c r="C159" s="50" t="s">
        <v>135</v>
      </c>
      <c r="D159" s="49"/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1</v>
      </c>
      <c r="L159" s="15">
        <v>0</v>
      </c>
      <c r="M159" s="15">
        <v>0</v>
      </c>
      <c r="N159" s="15">
        <v>1</v>
      </c>
      <c r="O159" s="15">
        <v>0</v>
      </c>
      <c r="P159" s="15">
        <v>1</v>
      </c>
      <c r="Q159" s="15">
        <v>0</v>
      </c>
      <c r="R159" s="15">
        <v>0</v>
      </c>
      <c r="S159" s="15">
        <v>1</v>
      </c>
      <c r="T159" s="15">
        <v>1</v>
      </c>
      <c r="U159" s="15">
        <v>1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1</v>
      </c>
      <c r="AB159" s="15">
        <v>0</v>
      </c>
      <c r="AC159" s="13">
        <f t="shared" si="13"/>
        <v>7</v>
      </c>
      <c r="AD159" s="5"/>
      <c r="AE159" s="5"/>
    </row>
    <row r="160" spans="1:31" ht="12.75" customHeight="1" x14ac:dyDescent="0.3">
      <c r="A160" s="19"/>
      <c r="B160" s="27">
        <v>1</v>
      </c>
      <c r="C160" s="28" t="s">
        <v>136</v>
      </c>
      <c r="D160" s="37"/>
      <c r="E160" s="15">
        <v>1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2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1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3">
        <f t="shared" si="13"/>
        <v>4</v>
      </c>
      <c r="AD160" s="5"/>
      <c r="AE160" s="5"/>
    </row>
    <row r="161" spans="1:31" ht="12.75" customHeight="1" x14ac:dyDescent="0.3">
      <c r="A161" s="19"/>
      <c r="B161" s="27">
        <v>2</v>
      </c>
      <c r="C161" s="28" t="s">
        <v>137</v>
      </c>
      <c r="D161" s="37"/>
      <c r="E161" s="15">
        <v>2</v>
      </c>
      <c r="F161" s="15">
        <v>0</v>
      </c>
      <c r="G161" s="15">
        <v>0</v>
      </c>
      <c r="H161" s="15">
        <v>0</v>
      </c>
      <c r="I161" s="15">
        <v>0</v>
      </c>
      <c r="J161" s="15">
        <v>3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6</v>
      </c>
      <c r="R161" s="15">
        <v>0</v>
      </c>
      <c r="S161" s="15">
        <v>0</v>
      </c>
      <c r="T161" s="15">
        <v>0</v>
      </c>
      <c r="U161" s="15">
        <v>2</v>
      </c>
      <c r="V161" s="15">
        <v>0</v>
      </c>
      <c r="W161" s="15">
        <v>0</v>
      </c>
      <c r="X161" s="15">
        <v>0</v>
      </c>
      <c r="Y161" s="15">
        <v>1</v>
      </c>
      <c r="Z161" s="15">
        <v>0</v>
      </c>
      <c r="AA161" s="15">
        <v>0</v>
      </c>
      <c r="AB161" s="15">
        <v>0</v>
      </c>
      <c r="AC161" s="13">
        <f t="shared" si="13"/>
        <v>14</v>
      </c>
      <c r="AD161" s="5"/>
      <c r="AE161" s="5"/>
    </row>
    <row r="162" spans="1:31" ht="12.75" customHeight="1" x14ac:dyDescent="0.3">
      <c r="A162" s="19" t="s">
        <v>39</v>
      </c>
      <c r="B162" s="27">
        <v>3</v>
      </c>
      <c r="C162" s="28" t="s">
        <v>138</v>
      </c>
      <c r="D162" s="37"/>
      <c r="E162" s="15">
        <v>0</v>
      </c>
      <c r="F162" s="15">
        <v>0</v>
      </c>
      <c r="G162" s="15">
        <v>0</v>
      </c>
      <c r="H162" s="15">
        <v>1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3">
        <f t="shared" si="13"/>
        <v>1</v>
      </c>
      <c r="AD162" s="5"/>
      <c r="AE162" s="5"/>
    </row>
    <row r="163" spans="1:31" ht="15" customHeight="1" x14ac:dyDescent="0.3">
      <c r="A163" s="15" t="s">
        <v>15</v>
      </c>
      <c r="B163" s="47" t="s">
        <v>46</v>
      </c>
      <c r="C163" s="48"/>
      <c r="D163" s="49"/>
      <c r="E163" s="34">
        <f t="shared" ref="E163:AB163" si="29">SUM(E159:E162)</f>
        <v>3</v>
      </c>
      <c r="F163" s="34">
        <f t="shared" si="29"/>
        <v>0</v>
      </c>
      <c r="G163" s="34">
        <f t="shared" si="29"/>
        <v>0</v>
      </c>
      <c r="H163" s="34">
        <f t="shared" si="29"/>
        <v>1</v>
      </c>
      <c r="I163" s="34">
        <f t="shared" si="29"/>
        <v>0</v>
      </c>
      <c r="J163" s="34">
        <f t="shared" si="29"/>
        <v>3</v>
      </c>
      <c r="K163" s="34">
        <f t="shared" si="29"/>
        <v>1</v>
      </c>
      <c r="L163" s="34">
        <f t="shared" si="29"/>
        <v>2</v>
      </c>
      <c r="M163" s="34">
        <f t="shared" si="29"/>
        <v>0</v>
      </c>
      <c r="N163" s="34">
        <f t="shared" si="29"/>
        <v>1</v>
      </c>
      <c r="O163" s="34">
        <f t="shared" si="29"/>
        <v>0</v>
      </c>
      <c r="P163" s="34">
        <f t="shared" si="29"/>
        <v>1</v>
      </c>
      <c r="Q163" s="34">
        <f t="shared" si="29"/>
        <v>6</v>
      </c>
      <c r="R163" s="34">
        <f t="shared" si="29"/>
        <v>0</v>
      </c>
      <c r="S163" s="34">
        <f t="shared" si="29"/>
        <v>1</v>
      </c>
      <c r="T163" s="34">
        <f t="shared" si="29"/>
        <v>2</v>
      </c>
      <c r="U163" s="34">
        <f t="shared" si="29"/>
        <v>3</v>
      </c>
      <c r="V163" s="34">
        <f t="shared" si="29"/>
        <v>0</v>
      </c>
      <c r="W163" s="34">
        <f t="shared" si="29"/>
        <v>0</v>
      </c>
      <c r="X163" s="34">
        <f t="shared" si="29"/>
        <v>0</v>
      </c>
      <c r="Y163" s="34">
        <f t="shared" si="29"/>
        <v>1</v>
      </c>
      <c r="Z163" s="34">
        <f t="shared" si="29"/>
        <v>0</v>
      </c>
      <c r="AA163" s="34">
        <f t="shared" si="29"/>
        <v>1</v>
      </c>
      <c r="AB163" s="34">
        <f t="shared" si="29"/>
        <v>0</v>
      </c>
      <c r="AC163" s="13">
        <f t="shared" si="13"/>
        <v>26</v>
      </c>
      <c r="AD163" s="5"/>
      <c r="AE163" s="5"/>
    </row>
    <row r="164" spans="1:31" ht="12.75" customHeight="1" x14ac:dyDescent="0.3">
      <c r="A164" s="35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13">
        <f t="shared" si="13"/>
        <v>0</v>
      </c>
      <c r="AD164" s="5"/>
      <c r="AE164" s="5"/>
    </row>
    <row r="165" spans="1:31" ht="12.75" customHeight="1" x14ac:dyDescent="0.3">
      <c r="A165" s="19" t="s">
        <v>37</v>
      </c>
      <c r="B165" s="26" t="s">
        <v>139</v>
      </c>
      <c r="C165" s="50" t="s">
        <v>140</v>
      </c>
      <c r="D165" s="49"/>
      <c r="E165" s="15">
        <v>1</v>
      </c>
      <c r="F165" s="15">
        <v>1</v>
      </c>
      <c r="G165" s="15">
        <v>0</v>
      </c>
      <c r="H165" s="15">
        <v>0</v>
      </c>
      <c r="I165" s="15">
        <v>1</v>
      </c>
      <c r="J165" s="15">
        <v>0</v>
      </c>
      <c r="K165" s="15">
        <v>2</v>
      </c>
      <c r="L165" s="15">
        <v>0</v>
      </c>
      <c r="M165" s="15">
        <v>1</v>
      </c>
      <c r="N165" s="15">
        <v>0</v>
      </c>
      <c r="O165" s="15">
        <v>0</v>
      </c>
      <c r="P165" s="15">
        <v>1</v>
      </c>
      <c r="Q165" s="15">
        <v>3</v>
      </c>
      <c r="R165" s="15">
        <v>0</v>
      </c>
      <c r="S165" s="15">
        <v>0</v>
      </c>
      <c r="T165" s="15">
        <v>0</v>
      </c>
      <c r="U165" s="15">
        <v>1</v>
      </c>
      <c r="V165" s="15">
        <v>0</v>
      </c>
      <c r="W165" s="15">
        <v>1</v>
      </c>
      <c r="X165" s="15">
        <v>0</v>
      </c>
      <c r="Y165" s="15">
        <v>0</v>
      </c>
      <c r="Z165" s="15">
        <v>0</v>
      </c>
      <c r="AA165" s="15">
        <v>0</v>
      </c>
      <c r="AB165" s="15">
        <v>1</v>
      </c>
      <c r="AC165" s="13">
        <f t="shared" si="13"/>
        <v>13</v>
      </c>
      <c r="AD165" s="1"/>
      <c r="AE165" s="1"/>
    </row>
    <row r="166" spans="1:31" ht="12.75" customHeight="1" x14ac:dyDescent="0.3">
      <c r="A166" s="19" t="s">
        <v>39</v>
      </c>
      <c r="B166" s="27">
        <v>1</v>
      </c>
      <c r="C166" s="28" t="s">
        <v>141</v>
      </c>
      <c r="D166" s="29"/>
      <c r="E166" s="15">
        <v>0</v>
      </c>
      <c r="F166" s="15">
        <v>1</v>
      </c>
      <c r="G166" s="15">
        <v>3</v>
      </c>
      <c r="H166" s="15">
        <v>1</v>
      </c>
      <c r="I166" s="15">
        <v>2</v>
      </c>
      <c r="J166" s="15">
        <v>0</v>
      </c>
      <c r="K166" s="15">
        <v>0</v>
      </c>
      <c r="L166" s="15">
        <v>2</v>
      </c>
      <c r="M166" s="15">
        <v>1</v>
      </c>
      <c r="N166" s="15">
        <v>1</v>
      </c>
      <c r="O166" s="15">
        <v>6</v>
      </c>
      <c r="P166" s="15">
        <v>5</v>
      </c>
      <c r="Q166" s="15">
        <v>16</v>
      </c>
      <c r="R166" s="15">
        <v>1</v>
      </c>
      <c r="S166" s="15">
        <v>2</v>
      </c>
      <c r="T166" s="15">
        <v>0</v>
      </c>
      <c r="U166" s="15">
        <v>0</v>
      </c>
      <c r="V166" s="15">
        <v>1</v>
      </c>
      <c r="W166" s="15">
        <v>8</v>
      </c>
      <c r="X166" s="15">
        <v>4</v>
      </c>
      <c r="Y166" s="15">
        <v>0</v>
      </c>
      <c r="Z166" s="15">
        <v>4</v>
      </c>
      <c r="AA166" s="15">
        <v>3</v>
      </c>
      <c r="AB166" s="15">
        <v>3</v>
      </c>
      <c r="AC166" s="13">
        <f t="shared" si="13"/>
        <v>64</v>
      </c>
      <c r="AD166" s="31"/>
      <c r="AE166" s="31"/>
    </row>
    <row r="167" spans="1:31" ht="12.75" customHeight="1" x14ac:dyDescent="0.3">
      <c r="A167" s="14"/>
      <c r="B167" s="27">
        <v>2</v>
      </c>
      <c r="C167" s="28" t="s">
        <v>142</v>
      </c>
      <c r="D167" s="29"/>
      <c r="E167" s="15">
        <v>2</v>
      </c>
      <c r="F167" s="15">
        <v>0</v>
      </c>
      <c r="G167" s="15">
        <v>0</v>
      </c>
      <c r="H167" s="15">
        <v>3</v>
      </c>
      <c r="I167" s="15">
        <v>3</v>
      </c>
      <c r="J167" s="15">
        <v>0</v>
      </c>
      <c r="K167" s="15">
        <v>0</v>
      </c>
      <c r="L167" s="15">
        <v>2</v>
      </c>
      <c r="M167" s="15">
        <v>0</v>
      </c>
      <c r="N167" s="15">
        <v>3</v>
      </c>
      <c r="O167" s="15">
        <v>0</v>
      </c>
      <c r="P167" s="15">
        <v>3</v>
      </c>
      <c r="Q167" s="15">
        <v>1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3</v>
      </c>
      <c r="AB167" s="15">
        <v>0</v>
      </c>
      <c r="AC167" s="13">
        <f t="shared" si="13"/>
        <v>20</v>
      </c>
      <c r="AD167" s="5"/>
      <c r="AE167" s="5"/>
    </row>
    <row r="168" spans="1:31" ht="12.75" customHeight="1" x14ac:dyDescent="0.3">
      <c r="A168" s="14"/>
      <c r="B168" s="27">
        <v>3</v>
      </c>
      <c r="C168" s="28" t="s">
        <v>143</v>
      </c>
      <c r="D168" s="29"/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1</v>
      </c>
      <c r="AA168" s="15">
        <v>0</v>
      </c>
      <c r="AB168" s="15">
        <v>0</v>
      </c>
      <c r="AC168" s="13">
        <f t="shared" si="13"/>
        <v>1</v>
      </c>
      <c r="AD168" s="5"/>
      <c r="AE168" s="5"/>
    </row>
    <row r="169" spans="1:31" ht="12.75" customHeight="1" x14ac:dyDescent="0.3">
      <c r="A169" s="14"/>
      <c r="B169" s="27">
        <v>4</v>
      </c>
      <c r="C169" s="28" t="s">
        <v>144</v>
      </c>
      <c r="D169" s="29"/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1</v>
      </c>
      <c r="AA169" s="15">
        <v>0</v>
      </c>
      <c r="AB169" s="15">
        <v>0</v>
      </c>
      <c r="AC169" s="13">
        <f t="shared" si="13"/>
        <v>1</v>
      </c>
      <c r="AD169" s="5"/>
      <c r="AE169" s="5"/>
    </row>
    <row r="170" spans="1:31" ht="12.75" customHeight="1" x14ac:dyDescent="0.3">
      <c r="A170" s="14"/>
      <c r="B170" s="27">
        <v>5</v>
      </c>
      <c r="C170" s="28" t="s">
        <v>145</v>
      </c>
      <c r="D170" s="29"/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1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3">
        <f t="shared" si="13"/>
        <v>1</v>
      </c>
      <c r="AD170" s="5"/>
      <c r="AE170" s="5"/>
    </row>
    <row r="171" spans="1:31" ht="12.75" customHeight="1" x14ac:dyDescent="0.3">
      <c r="A171" s="14"/>
      <c r="B171" s="27">
        <v>6</v>
      </c>
      <c r="C171" s="28" t="s">
        <v>146</v>
      </c>
      <c r="D171" s="29"/>
      <c r="E171" s="15">
        <v>0</v>
      </c>
      <c r="F171" s="15">
        <v>1</v>
      </c>
      <c r="G171" s="15">
        <v>0</v>
      </c>
      <c r="H171" s="15">
        <v>1</v>
      </c>
      <c r="I171" s="15">
        <v>2</v>
      </c>
      <c r="J171" s="15">
        <v>3</v>
      </c>
      <c r="K171" s="15">
        <v>0</v>
      </c>
      <c r="L171" s="15">
        <v>1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1</v>
      </c>
      <c r="AA171" s="15">
        <v>1</v>
      </c>
      <c r="AB171" s="15">
        <v>0</v>
      </c>
      <c r="AC171" s="13">
        <f t="shared" si="13"/>
        <v>10</v>
      </c>
      <c r="AD171" s="5"/>
      <c r="AE171" s="5"/>
    </row>
    <row r="172" spans="1:31" ht="12.75" customHeight="1" x14ac:dyDescent="0.3">
      <c r="A172" s="15" t="s">
        <v>15</v>
      </c>
      <c r="B172" s="47" t="s">
        <v>46</v>
      </c>
      <c r="C172" s="48"/>
      <c r="D172" s="49"/>
      <c r="E172" s="46">
        <f t="shared" ref="E172:AB172" si="30">SUM(E165:E171)</f>
        <v>3</v>
      </c>
      <c r="F172" s="46">
        <f t="shared" si="30"/>
        <v>3</v>
      </c>
      <c r="G172" s="46">
        <f t="shared" si="30"/>
        <v>3</v>
      </c>
      <c r="H172" s="46">
        <f t="shared" si="30"/>
        <v>5</v>
      </c>
      <c r="I172" s="46">
        <f t="shared" si="30"/>
        <v>8</v>
      </c>
      <c r="J172" s="46">
        <f t="shared" si="30"/>
        <v>3</v>
      </c>
      <c r="K172" s="46">
        <f t="shared" si="30"/>
        <v>2</v>
      </c>
      <c r="L172" s="46">
        <f t="shared" si="30"/>
        <v>5</v>
      </c>
      <c r="M172" s="46">
        <f t="shared" si="30"/>
        <v>2</v>
      </c>
      <c r="N172" s="46">
        <f t="shared" si="30"/>
        <v>4</v>
      </c>
      <c r="O172" s="46">
        <f t="shared" si="30"/>
        <v>6</v>
      </c>
      <c r="P172" s="46">
        <f t="shared" si="30"/>
        <v>9</v>
      </c>
      <c r="Q172" s="46">
        <f t="shared" si="30"/>
        <v>20</v>
      </c>
      <c r="R172" s="46">
        <f t="shared" si="30"/>
        <v>2</v>
      </c>
      <c r="S172" s="46">
        <f t="shared" si="30"/>
        <v>2</v>
      </c>
      <c r="T172" s="46">
        <f t="shared" si="30"/>
        <v>0</v>
      </c>
      <c r="U172" s="46">
        <f t="shared" si="30"/>
        <v>1</v>
      </c>
      <c r="V172" s="46">
        <f t="shared" si="30"/>
        <v>1</v>
      </c>
      <c r="W172" s="46">
        <f t="shared" si="30"/>
        <v>9</v>
      </c>
      <c r="X172" s="46">
        <f t="shared" si="30"/>
        <v>4</v>
      </c>
      <c r="Y172" s="46">
        <f t="shared" si="30"/>
        <v>0</v>
      </c>
      <c r="Z172" s="46">
        <f t="shared" si="30"/>
        <v>7</v>
      </c>
      <c r="AA172" s="46">
        <f t="shared" si="30"/>
        <v>7</v>
      </c>
      <c r="AB172" s="46">
        <f t="shared" si="30"/>
        <v>4</v>
      </c>
      <c r="AC172" s="13">
        <f t="shared" si="13"/>
        <v>110</v>
      </c>
      <c r="AD172" s="5"/>
      <c r="AE172" s="5"/>
    </row>
    <row r="173" spans="1:31" ht="12.75" customHeight="1" x14ac:dyDescent="0.3">
      <c r="A173" s="35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13">
        <f t="shared" si="13"/>
        <v>0</v>
      </c>
      <c r="AD173" s="5"/>
      <c r="AE173" s="5"/>
    </row>
    <row r="174" spans="1:31" ht="12.75" customHeight="1" x14ac:dyDescent="0.3">
      <c r="A174" s="19" t="s">
        <v>37</v>
      </c>
      <c r="B174" s="26" t="s">
        <v>147</v>
      </c>
      <c r="C174" s="50" t="s">
        <v>148</v>
      </c>
      <c r="D174" s="49"/>
      <c r="E174" s="15">
        <v>1</v>
      </c>
      <c r="F174" s="15">
        <v>0</v>
      </c>
      <c r="G174" s="15">
        <v>0</v>
      </c>
      <c r="H174" s="15">
        <v>0</v>
      </c>
      <c r="I174" s="15">
        <v>0</v>
      </c>
      <c r="J174" s="15">
        <v>2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2</v>
      </c>
      <c r="Q174" s="15">
        <v>2</v>
      </c>
      <c r="R174" s="15">
        <v>0</v>
      </c>
      <c r="S174" s="15">
        <v>1</v>
      </c>
      <c r="T174" s="15">
        <v>0</v>
      </c>
      <c r="U174" s="15">
        <v>0</v>
      </c>
      <c r="V174" s="15">
        <v>1</v>
      </c>
      <c r="W174" s="15">
        <v>0</v>
      </c>
      <c r="X174" s="15">
        <v>0</v>
      </c>
      <c r="Y174" s="15">
        <v>0</v>
      </c>
      <c r="Z174" s="15">
        <v>1</v>
      </c>
      <c r="AA174" s="15">
        <v>0</v>
      </c>
      <c r="AB174" s="15">
        <v>1</v>
      </c>
      <c r="AC174" s="13">
        <f t="shared" si="13"/>
        <v>11</v>
      </c>
      <c r="AD174" s="5"/>
      <c r="AE174" s="5"/>
    </row>
    <row r="175" spans="1:31" ht="15" customHeight="1" x14ac:dyDescent="0.3">
      <c r="A175" s="19"/>
      <c r="B175" s="27">
        <v>1</v>
      </c>
      <c r="C175" s="28" t="s">
        <v>149</v>
      </c>
      <c r="D175" s="37"/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2</v>
      </c>
      <c r="M175" s="15">
        <v>0</v>
      </c>
      <c r="N175" s="15">
        <v>2</v>
      </c>
      <c r="O175" s="15">
        <v>2</v>
      </c>
      <c r="P175" s="15">
        <v>2</v>
      </c>
      <c r="Q175" s="15">
        <v>1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3">
        <f t="shared" si="13"/>
        <v>9</v>
      </c>
      <c r="AD175" s="5"/>
      <c r="AE175" s="5"/>
    </row>
    <row r="176" spans="1:31" ht="12.75" customHeight="1" x14ac:dyDescent="0.3">
      <c r="A176" s="19" t="s">
        <v>39</v>
      </c>
      <c r="B176" s="27">
        <v>2</v>
      </c>
      <c r="C176" s="28" t="s">
        <v>150</v>
      </c>
      <c r="D176" s="29"/>
      <c r="E176" s="15">
        <v>0</v>
      </c>
      <c r="F176" s="15">
        <v>0</v>
      </c>
      <c r="G176" s="15">
        <v>1</v>
      </c>
      <c r="H176" s="15">
        <v>1</v>
      </c>
      <c r="I176" s="15">
        <v>1</v>
      </c>
      <c r="J176" s="15">
        <v>0</v>
      </c>
      <c r="K176" s="15">
        <v>0</v>
      </c>
      <c r="L176" s="15">
        <v>0</v>
      </c>
      <c r="M176" s="15">
        <v>0</v>
      </c>
      <c r="N176" s="15">
        <v>1</v>
      </c>
      <c r="O176" s="15">
        <v>2</v>
      </c>
      <c r="P176" s="15">
        <v>0</v>
      </c>
      <c r="Q176" s="15">
        <v>1</v>
      </c>
      <c r="R176" s="15">
        <v>1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3">
        <f t="shared" si="13"/>
        <v>8</v>
      </c>
      <c r="AD176" s="1"/>
      <c r="AE176" s="1"/>
    </row>
    <row r="177" spans="1:31" ht="12.75" customHeight="1" x14ac:dyDescent="0.3">
      <c r="A177" s="15" t="s">
        <v>15</v>
      </c>
      <c r="B177" s="47" t="s">
        <v>46</v>
      </c>
      <c r="C177" s="48"/>
      <c r="D177" s="49"/>
      <c r="E177" s="34">
        <f t="shared" ref="E177:AB177" si="31">SUM(E174:E176)</f>
        <v>1</v>
      </c>
      <c r="F177" s="34">
        <f t="shared" si="31"/>
        <v>0</v>
      </c>
      <c r="G177" s="34">
        <f t="shared" si="31"/>
        <v>1</v>
      </c>
      <c r="H177" s="34">
        <f t="shared" si="31"/>
        <v>1</v>
      </c>
      <c r="I177" s="34">
        <f t="shared" si="31"/>
        <v>1</v>
      </c>
      <c r="J177" s="34">
        <f t="shared" si="31"/>
        <v>2</v>
      </c>
      <c r="K177" s="34">
        <f t="shared" si="31"/>
        <v>0</v>
      </c>
      <c r="L177" s="34">
        <f t="shared" si="31"/>
        <v>2</v>
      </c>
      <c r="M177" s="34">
        <f t="shared" si="31"/>
        <v>0</v>
      </c>
      <c r="N177" s="34">
        <f t="shared" si="31"/>
        <v>3</v>
      </c>
      <c r="O177" s="34">
        <f t="shared" si="31"/>
        <v>4</v>
      </c>
      <c r="P177" s="34">
        <f t="shared" si="31"/>
        <v>4</v>
      </c>
      <c r="Q177" s="34">
        <f t="shared" si="31"/>
        <v>4</v>
      </c>
      <c r="R177" s="34">
        <f t="shared" si="31"/>
        <v>1</v>
      </c>
      <c r="S177" s="34">
        <f t="shared" si="31"/>
        <v>1</v>
      </c>
      <c r="T177" s="34">
        <f t="shared" si="31"/>
        <v>0</v>
      </c>
      <c r="U177" s="34">
        <f t="shared" si="31"/>
        <v>0</v>
      </c>
      <c r="V177" s="34">
        <f t="shared" si="31"/>
        <v>1</v>
      </c>
      <c r="W177" s="34">
        <f t="shared" si="31"/>
        <v>0</v>
      </c>
      <c r="X177" s="34">
        <f t="shared" si="31"/>
        <v>0</v>
      </c>
      <c r="Y177" s="34">
        <f t="shared" si="31"/>
        <v>0</v>
      </c>
      <c r="Z177" s="34">
        <f t="shared" si="31"/>
        <v>1</v>
      </c>
      <c r="AA177" s="34">
        <f t="shared" si="31"/>
        <v>0</v>
      </c>
      <c r="AB177" s="34">
        <f t="shared" si="31"/>
        <v>1</v>
      </c>
      <c r="AC177" s="13">
        <f t="shared" si="13"/>
        <v>28</v>
      </c>
    </row>
    <row r="178" spans="1:31" ht="12.75" customHeight="1" x14ac:dyDescent="0.3">
      <c r="A178" s="60"/>
      <c r="B178" s="58"/>
      <c r="C178" s="58"/>
      <c r="D178" s="5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3">
        <f t="shared" si="13"/>
        <v>0</v>
      </c>
      <c r="AD178" s="5"/>
      <c r="AE178" s="5"/>
    </row>
    <row r="179" spans="1:31" ht="12.75" customHeight="1" x14ac:dyDescent="0.3">
      <c r="A179" s="25" t="s">
        <v>151</v>
      </c>
      <c r="B179" s="55" t="s">
        <v>152</v>
      </c>
      <c r="C179" s="48"/>
      <c r="D179" s="49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3">
        <f t="shared" si="13"/>
        <v>0</v>
      </c>
      <c r="AD179" s="5"/>
      <c r="AE179" s="5"/>
    </row>
    <row r="180" spans="1:31" ht="12.75" customHeight="1" x14ac:dyDescent="0.3">
      <c r="A180" s="25"/>
      <c r="B180" s="38" t="s">
        <v>153</v>
      </c>
      <c r="C180" s="72" t="s">
        <v>154</v>
      </c>
      <c r="D180" s="49"/>
      <c r="E180" s="15">
        <f>E52+E61+E70+E79+E88+E94+E99+E108+E115+E124+E128+E135+E144+E153+E157+E163+E172+E177</f>
        <v>172</v>
      </c>
      <c r="F180" s="15">
        <f t="shared" ref="F180:AC180" si="32">F52+F61+F70+F79+F88+F94+F99+F108+F115+F124+F128+F135+F144+F153+F157+F163+F172+F177</f>
        <v>156</v>
      </c>
      <c r="G180" s="15">
        <f t="shared" si="32"/>
        <v>220</v>
      </c>
      <c r="H180" s="15">
        <f t="shared" si="32"/>
        <v>188</v>
      </c>
      <c r="I180" s="15">
        <f t="shared" si="32"/>
        <v>202</v>
      </c>
      <c r="J180" s="15">
        <f t="shared" si="32"/>
        <v>208</v>
      </c>
      <c r="K180" s="15">
        <f t="shared" si="32"/>
        <v>204</v>
      </c>
      <c r="L180" s="15">
        <f t="shared" si="32"/>
        <v>151</v>
      </c>
      <c r="M180" s="15">
        <f t="shared" si="32"/>
        <v>201</v>
      </c>
      <c r="N180" s="15">
        <f t="shared" si="32"/>
        <v>221</v>
      </c>
      <c r="O180" s="15">
        <f t="shared" si="32"/>
        <v>214</v>
      </c>
      <c r="P180" s="15">
        <f t="shared" si="32"/>
        <v>223</v>
      </c>
      <c r="Q180" s="15">
        <f t="shared" si="32"/>
        <v>225</v>
      </c>
      <c r="R180" s="15">
        <f t="shared" si="32"/>
        <v>209</v>
      </c>
      <c r="S180" s="15">
        <f t="shared" si="32"/>
        <v>170</v>
      </c>
      <c r="T180" s="15">
        <f t="shared" si="32"/>
        <v>196</v>
      </c>
      <c r="U180" s="15">
        <f t="shared" si="32"/>
        <v>168</v>
      </c>
      <c r="V180" s="15">
        <f t="shared" si="32"/>
        <v>199</v>
      </c>
      <c r="W180" s="15">
        <f t="shared" si="32"/>
        <v>179</v>
      </c>
      <c r="X180" s="15">
        <f t="shared" si="32"/>
        <v>173</v>
      </c>
      <c r="Y180" s="15">
        <f t="shared" si="32"/>
        <v>216</v>
      </c>
      <c r="Z180" s="15">
        <f t="shared" si="32"/>
        <v>213</v>
      </c>
      <c r="AA180" s="15">
        <f t="shared" si="32"/>
        <v>186</v>
      </c>
      <c r="AB180" s="15">
        <f t="shared" si="32"/>
        <v>224</v>
      </c>
      <c r="AC180" s="15">
        <f t="shared" si="32"/>
        <v>4718</v>
      </c>
      <c r="AD180" s="5"/>
      <c r="AE180" s="5"/>
    </row>
    <row r="181" spans="1:31" ht="12.75" customHeight="1" x14ac:dyDescent="0.3">
      <c r="A181" s="21"/>
      <c r="B181" s="38" t="s">
        <v>155</v>
      </c>
      <c r="C181" s="72" t="s">
        <v>156</v>
      </c>
      <c r="D181" s="49"/>
      <c r="E181" s="15">
        <v>9</v>
      </c>
      <c r="F181" s="15">
        <v>7</v>
      </c>
      <c r="G181" s="15">
        <v>3</v>
      </c>
      <c r="H181" s="15">
        <v>5</v>
      </c>
      <c r="I181" s="15">
        <v>8</v>
      </c>
      <c r="J181" s="15">
        <v>10</v>
      </c>
      <c r="K181" s="15">
        <v>13</v>
      </c>
      <c r="L181" s="15">
        <v>20</v>
      </c>
      <c r="M181" s="15">
        <v>9</v>
      </c>
      <c r="N181" s="15">
        <v>17</v>
      </c>
      <c r="O181" s="15">
        <v>15</v>
      </c>
      <c r="P181" s="15">
        <v>13</v>
      </c>
      <c r="Q181" s="15">
        <v>10</v>
      </c>
      <c r="R181" s="15">
        <v>16</v>
      </c>
      <c r="S181" s="15">
        <v>14</v>
      </c>
      <c r="T181" s="15">
        <v>6</v>
      </c>
      <c r="U181" s="15">
        <v>23</v>
      </c>
      <c r="V181" s="15">
        <v>11</v>
      </c>
      <c r="W181" s="15">
        <v>7</v>
      </c>
      <c r="X181" s="15">
        <v>6</v>
      </c>
      <c r="Y181" s="15">
        <v>13</v>
      </c>
      <c r="Z181" s="15">
        <v>12</v>
      </c>
      <c r="AA181" s="15">
        <v>15</v>
      </c>
      <c r="AB181" s="15">
        <v>8</v>
      </c>
      <c r="AC181" s="13">
        <f t="shared" si="13"/>
        <v>270</v>
      </c>
      <c r="AD181" s="5"/>
      <c r="AE181" s="5"/>
    </row>
    <row r="182" spans="1:31" ht="12.75" customHeight="1" x14ac:dyDescent="0.3">
      <c r="A182" s="24"/>
      <c r="B182" s="38" t="s">
        <v>157</v>
      </c>
      <c r="C182" s="72" t="s">
        <v>158</v>
      </c>
      <c r="D182" s="49"/>
      <c r="E182" s="18">
        <f>SUM(E180:E181)</f>
        <v>181</v>
      </c>
      <c r="F182" s="18">
        <f t="shared" ref="F182:AB182" si="33">SUM(F180:F181)</f>
        <v>163</v>
      </c>
      <c r="G182" s="18">
        <f t="shared" si="33"/>
        <v>223</v>
      </c>
      <c r="H182" s="18">
        <f t="shared" si="33"/>
        <v>193</v>
      </c>
      <c r="I182" s="18">
        <f t="shared" si="33"/>
        <v>210</v>
      </c>
      <c r="J182" s="18">
        <f t="shared" si="33"/>
        <v>218</v>
      </c>
      <c r="K182" s="18">
        <f t="shared" si="33"/>
        <v>217</v>
      </c>
      <c r="L182" s="18">
        <f t="shared" si="33"/>
        <v>171</v>
      </c>
      <c r="M182" s="18">
        <f t="shared" si="33"/>
        <v>210</v>
      </c>
      <c r="N182" s="18">
        <f t="shared" si="33"/>
        <v>238</v>
      </c>
      <c r="O182" s="18">
        <f t="shared" si="33"/>
        <v>229</v>
      </c>
      <c r="P182" s="18">
        <f t="shared" si="33"/>
        <v>236</v>
      </c>
      <c r="Q182" s="18">
        <f t="shared" si="33"/>
        <v>235</v>
      </c>
      <c r="R182" s="18">
        <f t="shared" si="33"/>
        <v>225</v>
      </c>
      <c r="S182" s="18">
        <f t="shared" si="33"/>
        <v>184</v>
      </c>
      <c r="T182" s="18">
        <f t="shared" si="33"/>
        <v>202</v>
      </c>
      <c r="U182" s="18">
        <f t="shared" si="33"/>
        <v>191</v>
      </c>
      <c r="V182" s="18">
        <f t="shared" si="33"/>
        <v>210</v>
      </c>
      <c r="W182" s="18">
        <f t="shared" si="33"/>
        <v>186</v>
      </c>
      <c r="X182" s="18">
        <f t="shared" si="33"/>
        <v>179</v>
      </c>
      <c r="Y182" s="18">
        <f t="shared" si="33"/>
        <v>229</v>
      </c>
      <c r="Z182" s="18">
        <f t="shared" si="33"/>
        <v>225</v>
      </c>
      <c r="AA182" s="18">
        <f t="shared" si="33"/>
        <v>201</v>
      </c>
      <c r="AB182" s="18">
        <f t="shared" si="33"/>
        <v>232</v>
      </c>
      <c r="AC182" s="13">
        <f t="shared" si="13"/>
        <v>4988</v>
      </c>
      <c r="AD182" s="5"/>
      <c r="AE182" s="5"/>
    </row>
    <row r="183" spans="1:31" ht="12.75" customHeight="1" x14ac:dyDescent="0.3"/>
    <row r="184" spans="1:31" ht="12.75" customHeight="1" x14ac:dyDescent="0.3"/>
    <row r="185" spans="1:31" ht="12.75" customHeight="1" x14ac:dyDescent="0.3"/>
    <row r="186" spans="1:31" ht="12.75" customHeight="1" x14ac:dyDescent="0.3"/>
    <row r="187" spans="1:31" ht="12.75" customHeight="1" x14ac:dyDescent="0.3"/>
    <row r="188" spans="1:31" ht="12.75" customHeight="1" x14ac:dyDescent="0.3"/>
    <row r="189" spans="1:31" ht="12.75" customHeight="1" x14ac:dyDescent="0.3"/>
    <row r="190" spans="1:31" ht="12.75" customHeight="1" x14ac:dyDescent="0.3"/>
    <row r="191" spans="1:31" ht="12.75" customHeight="1" x14ac:dyDescent="0.3"/>
    <row r="192" spans="1:31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70">
    <mergeCell ref="B108:D108"/>
    <mergeCell ref="C110:D110"/>
    <mergeCell ref="B115:D115"/>
    <mergeCell ref="C117:D117"/>
    <mergeCell ref="B124:D124"/>
    <mergeCell ref="C126:D126"/>
    <mergeCell ref="B128:D128"/>
    <mergeCell ref="C130:D130"/>
    <mergeCell ref="B135:D135"/>
    <mergeCell ref="C137:D137"/>
    <mergeCell ref="B144:D144"/>
    <mergeCell ref="C146:D146"/>
    <mergeCell ref="B153:D153"/>
    <mergeCell ref="C155:D155"/>
    <mergeCell ref="A178:D178"/>
    <mergeCell ref="B179:D179"/>
    <mergeCell ref="C180:D180"/>
    <mergeCell ref="C181:D181"/>
    <mergeCell ref="C182:D182"/>
    <mergeCell ref="B157:D157"/>
    <mergeCell ref="C159:D159"/>
    <mergeCell ref="B163:D163"/>
    <mergeCell ref="C165:D165"/>
    <mergeCell ref="B172:D172"/>
    <mergeCell ref="C174:D174"/>
    <mergeCell ref="B177:D177"/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C101:D101"/>
    <mergeCell ref="B88:D88"/>
    <mergeCell ref="C90:D90"/>
    <mergeCell ref="B94:D94"/>
    <mergeCell ref="C96:D96"/>
    <mergeCell ref="B99:D99"/>
  </mergeCells>
  <conditionalFormatting sqref="E34:T34">
    <cfRule type="expression" dxfId="128" priority="1">
      <formula>E34&lt;&gt;E64</formula>
    </cfRule>
  </conditionalFormatting>
  <conditionalFormatting sqref="E14:AB15">
    <cfRule type="containsBlanks" dxfId="127" priority="2">
      <formula>LEN(TRIM(E14))=0</formula>
    </cfRule>
  </conditionalFormatting>
  <conditionalFormatting sqref="E19:AB20">
    <cfRule type="containsBlanks" dxfId="126" priority="3">
      <formula>LEN(TRIM(E19))=0</formula>
    </cfRule>
  </conditionalFormatting>
  <conditionalFormatting sqref="E22:AB23 E25:AB26 E33:AB33 E35:AB35 E39:AB40">
    <cfRule type="containsBlanks" dxfId="125" priority="4">
      <formula>LEN(TRIM(E22))=0</formula>
    </cfRule>
  </conditionalFormatting>
  <conditionalFormatting sqref="E30:AB30">
    <cfRule type="expression" dxfId="124" priority="5">
      <formula>E30&lt;&gt;E47</formula>
    </cfRule>
    <cfRule type="expression" dxfId="123" priority="6">
      <formula>E30&lt;&gt;E34</formula>
    </cfRule>
  </conditionalFormatting>
  <conditionalFormatting sqref="E34:AB34">
    <cfRule type="expression" dxfId="122" priority="7">
      <formula>E30&lt;&gt;E34</formula>
    </cfRule>
    <cfRule type="expression" dxfId="121" priority="8">
      <formula>E30=E34</formula>
    </cfRule>
    <cfRule type="expression" dxfId="120" priority="9">
      <formula>E34&lt;&gt;E30</formula>
    </cfRule>
  </conditionalFormatting>
  <conditionalFormatting sqref="E45:AB51">
    <cfRule type="containsBlanks" dxfId="119" priority="11">
      <formula>LEN(TRIM(E45))=0</formula>
    </cfRule>
  </conditionalFormatting>
  <conditionalFormatting sqref="E54:AB60">
    <cfRule type="containsBlanks" dxfId="118" priority="12">
      <formula>LEN(TRIM(E54))=0</formula>
    </cfRule>
  </conditionalFormatting>
  <conditionalFormatting sqref="E63:AB69">
    <cfRule type="containsBlanks" dxfId="117" priority="13">
      <formula>LEN(TRIM(E63))=0</formula>
    </cfRule>
  </conditionalFormatting>
  <conditionalFormatting sqref="E72:AB78">
    <cfRule type="containsBlanks" dxfId="116" priority="14">
      <formula>LEN(TRIM(E72))=0</formula>
    </cfRule>
  </conditionalFormatting>
  <conditionalFormatting sqref="E81:AB87">
    <cfRule type="containsBlanks" dxfId="115" priority="15">
      <formula>LEN(TRIM(E81))=0</formula>
    </cfRule>
  </conditionalFormatting>
  <conditionalFormatting sqref="E90:AB93">
    <cfRule type="containsBlanks" dxfId="114" priority="16">
      <formula>LEN(TRIM(E90))=0</formula>
    </cfRule>
  </conditionalFormatting>
  <conditionalFormatting sqref="E96:AB98">
    <cfRule type="containsBlanks" dxfId="113" priority="17">
      <formula>LEN(TRIM(E96))=0</formula>
    </cfRule>
  </conditionalFormatting>
  <conditionalFormatting sqref="E101:AB107">
    <cfRule type="containsBlanks" dxfId="112" priority="18">
      <formula>LEN(TRIM(E101))=0</formula>
    </cfRule>
  </conditionalFormatting>
  <conditionalFormatting sqref="E110:AB114">
    <cfRule type="containsBlanks" dxfId="111" priority="19">
      <formula>LEN(TRIM(E110))=0</formula>
    </cfRule>
  </conditionalFormatting>
  <conditionalFormatting sqref="E117:AB123">
    <cfRule type="containsBlanks" dxfId="110" priority="20">
      <formula>LEN(TRIM(E117))=0</formula>
    </cfRule>
  </conditionalFormatting>
  <conditionalFormatting sqref="E126:AB127">
    <cfRule type="containsBlanks" dxfId="109" priority="21">
      <formula>LEN(TRIM(E126))=0</formula>
    </cfRule>
  </conditionalFormatting>
  <conditionalFormatting sqref="E130:AB134">
    <cfRule type="containsBlanks" dxfId="108" priority="22">
      <formula>LEN(TRIM(E130))=0</formula>
    </cfRule>
  </conditionalFormatting>
  <conditionalFormatting sqref="E137:AB143">
    <cfRule type="containsBlanks" dxfId="107" priority="23">
      <formula>LEN(TRIM(E137))=0</formula>
    </cfRule>
  </conditionalFormatting>
  <conditionalFormatting sqref="E146:AB152">
    <cfRule type="containsBlanks" dxfId="106" priority="24">
      <formula>LEN(TRIM(E146))=0</formula>
    </cfRule>
  </conditionalFormatting>
  <conditionalFormatting sqref="E155:AB156">
    <cfRule type="containsBlanks" dxfId="105" priority="25">
      <formula>LEN(TRIM(E155))=0</formula>
    </cfRule>
  </conditionalFormatting>
  <conditionalFormatting sqref="E159:AB162">
    <cfRule type="containsBlanks" dxfId="104" priority="26">
      <formula>LEN(TRIM(E159))=0</formula>
    </cfRule>
  </conditionalFormatting>
  <conditionalFormatting sqref="E165:AB172">
    <cfRule type="containsBlanks" dxfId="103" priority="27">
      <formula>LEN(TRIM(E165))=0</formula>
    </cfRule>
  </conditionalFormatting>
  <conditionalFormatting sqref="E174:AB176">
    <cfRule type="containsBlanks" dxfId="102" priority="28">
      <formula>LEN(TRIM(E174))=0</formula>
    </cfRule>
  </conditionalFormatting>
  <conditionalFormatting sqref="E182:AB182">
    <cfRule type="expression" dxfId="101" priority="30">
      <formula>E182&lt;&gt;E30</formula>
    </cfRule>
    <cfRule type="expression" dxfId="100" priority="31">
      <formula>E182&lt;&gt;E34</formula>
    </cfRule>
  </conditionalFormatting>
  <conditionalFormatting sqref="E180:AC180 E181:AB181">
    <cfRule type="containsBlanks" dxfId="99" priority="29">
      <formula>LEN(TRIM(E180))=0</formula>
    </cfRule>
  </conditionalFormatting>
  <conditionalFormatting sqref="U34:AB34">
    <cfRule type="expression" dxfId="98" priority="10">
      <formula>U34&lt;&gt;U47</formula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D1000"/>
  <sheetViews>
    <sheetView tabSelected="1" topLeftCell="A173" workbookViewId="0">
      <selection activeCell="AB181" sqref="AB181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27" width="8.69921875" customWidth="1"/>
    <col min="28" max="28" width="13.296875" customWidth="1"/>
    <col min="29" max="30" width="8.69921875" customWidth="1"/>
  </cols>
  <sheetData>
    <row r="1" spans="1:28" ht="12.75" customHeight="1" x14ac:dyDescent="0.3"/>
    <row r="2" spans="1:28" ht="12.75" customHeight="1" x14ac:dyDescent="0.3">
      <c r="C2" s="8" t="s">
        <v>0</v>
      </c>
      <c r="D2" s="8" t="s">
        <v>1</v>
      </c>
    </row>
    <row r="3" spans="1:28" ht="12.75" customHeight="1" x14ac:dyDescent="0.3">
      <c r="C3" s="8" t="s">
        <v>2</v>
      </c>
      <c r="D3" s="8" t="s">
        <v>3</v>
      </c>
    </row>
    <row r="4" spans="1:28" ht="12.75" customHeight="1" x14ac:dyDescent="0.3">
      <c r="C4" s="8" t="s">
        <v>4</v>
      </c>
      <c r="D4" s="8" t="s">
        <v>5</v>
      </c>
    </row>
    <row r="5" spans="1:28" ht="12.75" customHeight="1" x14ac:dyDescent="0.3">
      <c r="C5" s="8"/>
      <c r="D5" s="8"/>
    </row>
    <row r="6" spans="1:28" ht="12.75" customHeight="1" x14ac:dyDescent="0.3">
      <c r="C6" s="8"/>
      <c r="D6" s="8"/>
    </row>
    <row r="7" spans="1:28" ht="12.75" customHeight="1" x14ac:dyDescent="0.3">
      <c r="C7" s="8"/>
      <c r="D7" s="8"/>
    </row>
    <row r="8" spans="1:28" ht="12.75" customHeight="1" x14ac:dyDescent="0.3">
      <c r="C8" s="8"/>
      <c r="D8" s="8"/>
    </row>
    <row r="9" spans="1:28" ht="12.75" customHeight="1" x14ac:dyDescent="0.3">
      <c r="C9" s="8" t="s">
        <v>159</v>
      </c>
      <c r="D9" s="8" t="s">
        <v>210</v>
      </c>
    </row>
    <row r="10" spans="1:28" ht="12.75" customHeight="1" x14ac:dyDescent="0.3"/>
    <row r="11" spans="1:28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28" ht="12.75" customHeight="1" x14ac:dyDescent="0.3">
      <c r="A12" s="13" t="s">
        <v>6</v>
      </c>
      <c r="B12" s="55" t="s">
        <v>7</v>
      </c>
      <c r="C12" s="48"/>
      <c r="D12" s="49"/>
      <c r="E12" s="73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74" t="s">
        <v>8</v>
      </c>
    </row>
    <row r="13" spans="1:28" ht="12.75" customHeight="1" x14ac:dyDescent="0.3">
      <c r="A13" s="15" t="s">
        <v>9</v>
      </c>
      <c r="B13" s="61" t="s">
        <v>10</v>
      </c>
      <c r="C13" s="48"/>
      <c r="D13" s="49"/>
      <c r="E13" s="13" t="s">
        <v>160</v>
      </c>
      <c r="F13" s="13" t="s">
        <v>161</v>
      </c>
      <c r="G13" s="13" t="s">
        <v>162</v>
      </c>
      <c r="H13" s="13" t="s">
        <v>163</v>
      </c>
      <c r="I13" s="13" t="s">
        <v>164</v>
      </c>
      <c r="J13" s="13" t="s">
        <v>165</v>
      </c>
      <c r="K13" s="13" t="s">
        <v>166</v>
      </c>
      <c r="L13" s="13" t="s">
        <v>167</v>
      </c>
      <c r="M13" s="13" t="s">
        <v>168</v>
      </c>
      <c r="N13" s="13" t="s">
        <v>169</v>
      </c>
      <c r="O13" s="13" t="s">
        <v>170</v>
      </c>
      <c r="P13" s="13" t="s">
        <v>171</v>
      </c>
      <c r="Q13" s="13" t="s">
        <v>172</v>
      </c>
      <c r="R13" s="13" t="s">
        <v>173</v>
      </c>
      <c r="S13" s="13" t="s">
        <v>174</v>
      </c>
      <c r="T13" s="13" t="s">
        <v>175</v>
      </c>
      <c r="U13" s="13" t="s">
        <v>176</v>
      </c>
      <c r="V13" s="13" t="s">
        <v>177</v>
      </c>
      <c r="W13" s="13" t="s">
        <v>178</v>
      </c>
      <c r="X13" s="13" t="s">
        <v>179</v>
      </c>
      <c r="Y13" s="13" t="s">
        <v>180</v>
      </c>
      <c r="Z13" s="13" t="s">
        <v>181</v>
      </c>
      <c r="AA13" s="13" t="s">
        <v>182</v>
      </c>
      <c r="AB13" s="65"/>
    </row>
    <row r="14" spans="1:28" ht="12.75" customHeight="1" x14ac:dyDescent="0.3">
      <c r="A14" s="14"/>
      <c r="B14" s="70" t="s">
        <v>11</v>
      </c>
      <c r="C14" s="53"/>
      <c r="D14" s="15" t="s">
        <v>12</v>
      </c>
      <c r="E14" s="15">
        <v>139</v>
      </c>
      <c r="F14" s="15">
        <v>131</v>
      </c>
      <c r="G14" s="15">
        <v>139</v>
      </c>
      <c r="H14" s="15">
        <v>147</v>
      </c>
      <c r="I14" s="15">
        <v>121</v>
      </c>
      <c r="J14" s="15">
        <v>145</v>
      </c>
      <c r="K14" s="15">
        <v>129</v>
      </c>
      <c r="L14" s="15">
        <v>152</v>
      </c>
      <c r="M14" s="15">
        <v>140</v>
      </c>
      <c r="N14" s="15">
        <v>130</v>
      </c>
      <c r="O14" s="15">
        <v>146</v>
      </c>
      <c r="P14" s="15">
        <v>129</v>
      </c>
      <c r="Q14" s="15">
        <v>122</v>
      </c>
      <c r="R14" s="15">
        <v>147</v>
      </c>
      <c r="S14" s="15">
        <v>147</v>
      </c>
      <c r="T14" s="15">
        <v>143</v>
      </c>
      <c r="U14" s="15">
        <v>120</v>
      </c>
      <c r="V14" s="15">
        <v>121</v>
      </c>
      <c r="W14" s="15">
        <v>113</v>
      </c>
      <c r="X14" s="15">
        <v>132</v>
      </c>
      <c r="Y14" s="15">
        <v>133</v>
      </c>
      <c r="Z14" s="15">
        <v>145</v>
      </c>
      <c r="AA14" s="15">
        <v>135</v>
      </c>
      <c r="AB14" s="13">
        <f t="shared" ref="AB14:AB16" si="0">SUM(E14:AA14)</f>
        <v>3106</v>
      </c>
    </row>
    <row r="15" spans="1:28" ht="12.75" customHeight="1" x14ac:dyDescent="0.3">
      <c r="A15" s="14"/>
      <c r="B15" s="71"/>
      <c r="C15" s="57"/>
      <c r="D15" s="15" t="s">
        <v>13</v>
      </c>
      <c r="E15" s="15">
        <v>143</v>
      </c>
      <c r="F15" s="15">
        <v>156</v>
      </c>
      <c r="G15" s="15">
        <v>137</v>
      </c>
      <c r="H15" s="15">
        <v>150</v>
      </c>
      <c r="I15" s="15">
        <v>147</v>
      </c>
      <c r="J15" s="15">
        <v>148</v>
      </c>
      <c r="K15" s="15">
        <v>125</v>
      </c>
      <c r="L15" s="15">
        <v>136</v>
      </c>
      <c r="M15" s="15">
        <v>153</v>
      </c>
      <c r="N15" s="15">
        <v>136</v>
      </c>
      <c r="O15" s="15">
        <v>137</v>
      </c>
      <c r="P15" s="15">
        <v>143</v>
      </c>
      <c r="Q15" s="15">
        <v>131</v>
      </c>
      <c r="R15" s="15">
        <v>140</v>
      </c>
      <c r="S15" s="15">
        <v>144</v>
      </c>
      <c r="T15" s="15">
        <v>133</v>
      </c>
      <c r="U15" s="15">
        <v>130</v>
      </c>
      <c r="V15" s="15">
        <v>115</v>
      </c>
      <c r="W15" s="15">
        <v>115</v>
      </c>
      <c r="X15" s="15">
        <v>138</v>
      </c>
      <c r="Y15" s="15">
        <v>129</v>
      </c>
      <c r="Z15" s="15">
        <v>142</v>
      </c>
      <c r="AA15" s="15">
        <v>145</v>
      </c>
      <c r="AB15" s="13">
        <f t="shared" si="0"/>
        <v>3173</v>
      </c>
    </row>
    <row r="16" spans="1:28" ht="12.75" customHeight="1" x14ac:dyDescent="0.3">
      <c r="A16" s="17"/>
      <c r="B16" s="69"/>
      <c r="C16" s="59"/>
      <c r="D16" s="13" t="s">
        <v>14</v>
      </c>
      <c r="E16" s="13">
        <f t="shared" ref="E16:AA16" si="1">SUM(E14:E15)</f>
        <v>282</v>
      </c>
      <c r="F16" s="13">
        <f t="shared" si="1"/>
        <v>287</v>
      </c>
      <c r="G16" s="13">
        <f t="shared" si="1"/>
        <v>276</v>
      </c>
      <c r="H16" s="13">
        <f t="shared" si="1"/>
        <v>297</v>
      </c>
      <c r="I16" s="13">
        <f t="shared" si="1"/>
        <v>268</v>
      </c>
      <c r="J16" s="13">
        <f t="shared" si="1"/>
        <v>293</v>
      </c>
      <c r="K16" s="13">
        <f t="shared" si="1"/>
        <v>254</v>
      </c>
      <c r="L16" s="13">
        <f t="shared" si="1"/>
        <v>288</v>
      </c>
      <c r="M16" s="13">
        <f t="shared" si="1"/>
        <v>293</v>
      </c>
      <c r="N16" s="13">
        <f t="shared" si="1"/>
        <v>266</v>
      </c>
      <c r="O16" s="13">
        <f t="shared" si="1"/>
        <v>283</v>
      </c>
      <c r="P16" s="13">
        <f t="shared" si="1"/>
        <v>272</v>
      </c>
      <c r="Q16" s="13">
        <f t="shared" si="1"/>
        <v>253</v>
      </c>
      <c r="R16" s="13">
        <f t="shared" si="1"/>
        <v>287</v>
      </c>
      <c r="S16" s="13">
        <f t="shared" si="1"/>
        <v>291</v>
      </c>
      <c r="T16" s="13">
        <f t="shared" si="1"/>
        <v>276</v>
      </c>
      <c r="U16" s="13">
        <f t="shared" si="1"/>
        <v>250</v>
      </c>
      <c r="V16" s="13">
        <f t="shared" si="1"/>
        <v>236</v>
      </c>
      <c r="W16" s="13">
        <f t="shared" si="1"/>
        <v>228</v>
      </c>
      <c r="X16" s="13">
        <f t="shared" si="1"/>
        <v>270</v>
      </c>
      <c r="Y16" s="13">
        <f t="shared" si="1"/>
        <v>262</v>
      </c>
      <c r="Z16" s="13">
        <f t="shared" si="1"/>
        <v>287</v>
      </c>
      <c r="AA16" s="13">
        <f t="shared" si="1"/>
        <v>280</v>
      </c>
      <c r="AB16" s="13">
        <f t="shared" si="0"/>
        <v>6279</v>
      </c>
    </row>
    <row r="17" spans="1:28" ht="12.75" customHeight="1" x14ac:dyDescent="0.3">
      <c r="A17" s="54"/>
      <c r="B17" s="48"/>
      <c r="C17" s="48"/>
      <c r="D17" s="49"/>
      <c r="E17" s="15"/>
      <c r="F17" s="15"/>
      <c r="G17" s="15"/>
      <c r="H17" s="15"/>
      <c r="I17" s="15"/>
      <c r="J17" s="15"/>
      <c r="K17" s="15"/>
      <c r="L17" s="15"/>
      <c r="M17" s="15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3"/>
    </row>
    <row r="18" spans="1:28" ht="12.75" customHeight="1" x14ac:dyDescent="0.3">
      <c r="A18" s="19" t="s">
        <v>15</v>
      </c>
      <c r="B18" s="61" t="s">
        <v>16</v>
      </c>
      <c r="C18" s="48"/>
      <c r="D18" s="49"/>
      <c r="E18" s="15"/>
      <c r="F18" s="15"/>
      <c r="G18" s="15"/>
      <c r="H18" s="15"/>
      <c r="I18" s="15"/>
      <c r="J18" s="15"/>
      <c r="K18" s="15"/>
      <c r="L18" s="15"/>
      <c r="M18" s="15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3"/>
    </row>
    <row r="19" spans="1:28" ht="12.75" customHeight="1" x14ac:dyDescent="0.3">
      <c r="A19" s="19"/>
      <c r="B19" s="62" t="s">
        <v>17</v>
      </c>
      <c r="C19" s="63" t="s">
        <v>18</v>
      </c>
      <c r="D19" s="15" t="s">
        <v>12</v>
      </c>
      <c r="E19" s="15">
        <v>96</v>
      </c>
      <c r="F19" s="15">
        <v>104</v>
      </c>
      <c r="G19" s="15">
        <v>101</v>
      </c>
      <c r="H19" s="15">
        <v>128</v>
      </c>
      <c r="I19" s="15">
        <v>93</v>
      </c>
      <c r="J19" s="15">
        <v>103</v>
      </c>
      <c r="K19" s="15">
        <v>92</v>
      </c>
      <c r="L19" s="15">
        <v>105</v>
      </c>
      <c r="M19" s="15">
        <v>99</v>
      </c>
      <c r="N19" s="15">
        <v>86</v>
      </c>
      <c r="O19" s="15">
        <v>113</v>
      </c>
      <c r="P19" s="15">
        <v>104</v>
      </c>
      <c r="Q19" s="15">
        <v>94</v>
      </c>
      <c r="R19" s="15">
        <v>96</v>
      </c>
      <c r="S19" s="15">
        <v>110</v>
      </c>
      <c r="T19" s="15">
        <v>108</v>
      </c>
      <c r="U19" s="15">
        <v>91</v>
      </c>
      <c r="V19" s="15">
        <v>85</v>
      </c>
      <c r="W19" s="15">
        <v>78</v>
      </c>
      <c r="X19" s="15">
        <v>88</v>
      </c>
      <c r="Y19" s="15">
        <v>105</v>
      </c>
      <c r="Z19" s="15">
        <v>112</v>
      </c>
      <c r="AA19" s="15">
        <v>100</v>
      </c>
      <c r="AB19" s="13">
        <f t="shared" ref="AB19:AB30" si="2">SUM(E19:AA19)</f>
        <v>2291</v>
      </c>
    </row>
    <row r="20" spans="1:28" ht="12.75" customHeight="1" x14ac:dyDescent="0.3">
      <c r="A20" s="20"/>
      <c r="B20" s="57"/>
      <c r="C20" s="64"/>
      <c r="D20" s="15" t="s">
        <v>13</v>
      </c>
      <c r="E20" s="15">
        <v>111</v>
      </c>
      <c r="F20" s="15">
        <v>126</v>
      </c>
      <c r="G20" s="15">
        <v>110</v>
      </c>
      <c r="H20" s="15">
        <v>134</v>
      </c>
      <c r="I20" s="15">
        <v>122</v>
      </c>
      <c r="J20" s="15">
        <v>122</v>
      </c>
      <c r="K20" s="15">
        <v>94</v>
      </c>
      <c r="L20" s="15">
        <v>103</v>
      </c>
      <c r="M20" s="15">
        <v>115</v>
      </c>
      <c r="N20" s="15">
        <v>105</v>
      </c>
      <c r="O20" s="15">
        <v>108</v>
      </c>
      <c r="P20" s="15">
        <v>105</v>
      </c>
      <c r="Q20" s="15">
        <v>108</v>
      </c>
      <c r="R20" s="15">
        <v>108</v>
      </c>
      <c r="S20" s="15">
        <v>115</v>
      </c>
      <c r="T20" s="15">
        <v>110</v>
      </c>
      <c r="U20" s="15">
        <v>104</v>
      </c>
      <c r="V20" s="15">
        <v>88</v>
      </c>
      <c r="W20" s="15">
        <v>101</v>
      </c>
      <c r="X20" s="15">
        <v>114</v>
      </c>
      <c r="Y20" s="15">
        <v>114</v>
      </c>
      <c r="Z20" s="15">
        <v>118</v>
      </c>
      <c r="AA20" s="15">
        <v>107</v>
      </c>
      <c r="AB20" s="13">
        <f t="shared" si="2"/>
        <v>2542</v>
      </c>
    </row>
    <row r="21" spans="1:28" ht="12.75" customHeight="1" x14ac:dyDescent="0.3">
      <c r="A21" s="21"/>
      <c r="B21" s="59"/>
      <c r="C21" s="65"/>
      <c r="D21" s="13" t="s">
        <v>14</v>
      </c>
      <c r="E21" s="13">
        <f t="shared" ref="E21:AA21" si="3">SUM(E19:E20)</f>
        <v>207</v>
      </c>
      <c r="F21" s="13">
        <f t="shared" si="3"/>
        <v>230</v>
      </c>
      <c r="G21" s="13">
        <f t="shared" si="3"/>
        <v>211</v>
      </c>
      <c r="H21" s="13">
        <f t="shared" si="3"/>
        <v>262</v>
      </c>
      <c r="I21" s="13">
        <f t="shared" si="3"/>
        <v>215</v>
      </c>
      <c r="J21" s="13">
        <f t="shared" si="3"/>
        <v>225</v>
      </c>
      <c r="K21" s="13">
        <f t="shared" si="3"/>
        <v>186</v>
      </c>
      <c r="L21" s="13">
        <f t="shared" si="3"/>
        <v>208</v>
      </c>
      <c r="M21" s="13">
        <f t="shared" si="3"/>
        <v>214</v>
      </c>
      <c r="N21" s="13">
        <f t="shared" si="3"/>
        <v>191</v>
      </c>
      <c r="O21" s="13">
        <f t="shared" si="3"/>
        <v>221</v>
      </c>
      <c r="P21" s="13">
        <f t="shared" si="3"/>
        <v>209</v>
      </c>
      <c r="Q21" s="13">
        <f t="shared" si="3"/>
        <v>202</v>
      </c>
      <c r="R21" s="13">
        <f t="shared" si="3"/>
        <v>204</v>
      </c>
      <c r="S21" s="13">
        <f t="shared" si="3"/>
        <v>225</v>
      </c>
      <c r="T21" s="13">
        <f t="shared" si="3"/>
        <v>218</v>
      </c>
      <c r="U21" s="13">
        <f t="shared" si="3"/>
        <v>195</v>
      </c>
      <c r="V21" s="13">
        <f t="shared" si="3"/>
        <v>173</v>
      </c>
      <c r="W21" s="13">
        <f t="shared" si="3"/>
        <v>179</v>
      </c>
      <c r="X21" s="13">
        <f t="shared" si="3"/>
        <v>202</v>
      </c>
      <c r="Y21" s="13">
        <f t="shared" si="3"/>
        <v>219</v>
      </c>
      <c r="Z21" s="13">
        <f t="shared" si="3"/>
        <v>230</v>
      </c>
      <c r="AA21" s="13">
        <f t="shared" si="3"/>
        <v>207</v>
      </c>
      <c r="AB21" s="13">
        <f t="shared" si="2"/>
        <v>4833</v>
      </c>
    </row>
    <row r="22" spans="1:28" ht="12.75" customHeight="1" x14ac:dyDescent="0.3">
      <c r="A22" s="20"/>
      <c r="B22" s="62" t="s">
        <v>19</v>
      </c>
      <c r="C22" s="63" t="s">
        <v>20</v>
      </c>
      <c r="D22" s="15" t="s">
        <v>12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/>
      <c r="U22" s="15"/>
      <c r="V22" s="15"/>
      <c r="W22" s="15"/>
      <c r="X22" s="15"/>
      <c r="Y22" s="15"/>
      <c r="Z22" s="15"/>
      <c r="AA22" s="15"/>
      <c r="AB22" s="13">
        <f t="shared" si="2"/>
        <v>0</v>
      </c>
    </row>
    <row r="23" spans="1:28" ht="12.75" customHeight="1" x14ac:dyDescent="0.3">
      <c r="A23" s="20"/>
      <c r="B23" s="57"/>
      <c r="C23" s="64"/>
      <c r="D23" s="15" t="s">
        <v>13</v>
      </c>
      <c r="E23" s="15">
        <v>0</v>
      </c>
      <c r="F23" s="15">
        <v>3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/>
      <c r="U23" s="15"/>
      <c r="V23" s="15"/>
      <c r="W23" s="15"/>
      <c r="X23" s="15"/>
      <c r="Y23" s="15"/>
      <c r="Z23" s="15"/>
      <c r="AA23" s="15"/>
      <c r="AB23" s="13">
        <f t="shared" si="2"/>
        <v>3</v>
      </c>
    </row>
    <row r="24" spans="1:28" ht="12.75" customHeight="1" x14ac:dyDescent="0.3">
      <c r="A24" s="21"/>
      <c r="B24" s="59"/>
      <c r="C24" s="65"/>
      <c r="D24" s="13" t="s">
        <v>14</v>
      </c>
      <c r="E24" s="13">
        <f t="shared" ref="E24:AA24" si="4">SUM(E22:E23)</f>
        <v>0</v>
      </c>
      <c r="F24" s="13">
        <f t="shared" si="4"/>
        <v>3</v>
      </c>
      <c r="G24" s="13">
        <f t="shared" si="4"/>
        <v>0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0</v>
      </c>
      <c r="T24" s="13">
        <f t="shared" si="4"/>
        <v>0</v>
      </c>
      <c r="U24" s="13">
        <f t="shared" si="4"/>
        <v>0</v>
      </c>
      <c r="V24" s="13">
        <f t="shared" si="4"/>
        <v>0</v>
      </c>
      <c r="W24" s="13">
        <f t="shared" si="4"/>
        <v>0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2"/>
        <v>3</v>
      </c>
    </row>
    <row r="25" spans="1:28" ht="12.75" customHeight="1" x14ac:dyDescent="0.3">
      <c r="A25" s="20"/>
      <c r="B25" s="62" t="s">
        <v>21</v>
      </c>
      <c r="C25" s="63" t="s">
        <v>22</v>
      </c>
      <c r="D25" s="15" t="s">
        <v>12</v>
      </c>
      <c r="E25" s="15">
        <v>0</v>
      </c>
      <c r="F25" s="15">
        <v>0</v>
      </c>
      <c r="G25" s="15">
        <v>2</v>
      </c>
      <c r="H25" s="15">
        <v>0</v>
      </c>
      <c r="I25" s="15">
        <v>5</v>
      </c>
      <c r="J25" s="15">
        <v>0</v>
      </c>
      <c r="K25" s="15">
        <v>0</v>
      </c>
      <c r="L25" s="15">
        <v>1</v>
      </c>
      <c r="M25" s="15">
        <v>1</v>
      </c>
      <c r="N25" s="15">
        <v>1</v>
      </c>
      <c r="O25" s="15">
        <v>2</v>
      </c>
      <c r="P25" s="15">
        <v>0</v>
      </c>
      <c r="Q25" s="15">
        <v>1</v>
      </c>
      <c r="R25" s="15">
        <v>1</v>
      </c>
      <c r="S25" s="15">
        <v>2</v>
      </c>
      <c r="T25" s="15">
        <v>0</v>
      </c>
      <c r="U25" s="15">
        <v>0</v>
      </c>
      <c r="V25" s="15">
        <v>1</v>
      </c>
      <c r="W25" s="15">
        <v>0</v>
      </c>
      <c r="X25" s="15">
        <v>1</v>
      </c>
      <c r="Y25" s="15">
        <v>2</v>
      </c>
      <c r="Z25" s="15">
        <v>0</v>
      </c>
      <c r="AA25" s="15">
        <v>4</v>
      </c>
      <c r="AB25" s="13">
        <f t="shared" si="2"/>
        <v>24</v>
      </c>
    </row>
    <row r="26" spans="1:28" ht="12.75" customHeight="1" x14ac:dyDescent="0.3">
      <c r="A26" s="20"/>
      <c r="B26" s="57"/>
      <c r="C26" s="64"/>
      <c r="D26" s="15" t="s">
        <v>13</v>
      </c>
      <c r="E26" s="15">
        <v>0</v>
      </c>
      <c r="F26" s="15">
        <v>0</v>
      </c>
      <c r="G26" s="15">
        <v>1</v>
      </c>
      <c r="H26" s="15">
        <v>0</v>
      </c>
      <c r="I26" s="15">
        <v>6</v>
      </c>
      <c r="J26" s="15">
        <v>0</v>
      </c>
      <c r="K26" s="15">
        <v>0</v>
      </c>
      <c r="L26" s="15">
        <v>1</v>
      </c>
      <c r="M26" s="15">
        <v>0</v>
      </c>
      <c r="N26" s="15">
        <v>3</v>
      </c>
      <c r="O26" s="15">
        <v>3</v>
      </c>
      <c r="P26" s="15">
        <v>1</v>
      </c>
      <c r="Q26" s="15">
        <v>0</v>
      </c>
      <c r="R26" s="15">
        <v>0</v>
      </c>
      <c r="S26" s="15">
        <v>4</v>
      </c>
      <c r="T26" s="15">
        <v>0</v>
      </c>
      <c r="U26" s="15">
        <v>0</v>
      </c>
      <c r="V26" s="15">
        <v>1</v>
      </c>
      <c r="W26" s="15">
        <v>0</v>
      </c>
      <c r="X26" s="15">
        <v>1</v>
      </c>
      <c r="Y26" s="15">
        <v>2</v>
      </c>
      <c r="Z26" s="15">
        <v>0</v>
      </c>
      <c r="AA26" s="15">
        <v>3</v>
      </c>
      <c r="AB26" s="13">
        <f t="shared" si="2"/>
        <v>26</v>
      </c>
    </row>
    <row r="27" spans="1:28" ht="12.75" customHeight="1" x14ac:dyDescent="0.3">
      <c r="A27" s="21"/>
      <c r="B27" s="59"/>
      <c r="C27" s="65"/>
      <c r="D27" s="13" t="s">
        <v>14</v>
      </c>
      <c r="E27" s="13">
        <f t="shared" ref="E27:AA27" si="5">SUM(E25:E26)</f>
        <v>0</v>
      </c>
      <c r="F27" s="13">
        <f t="shared" si="5"/>
        <v>0</v>
      </c>
      <c r="G27" s="13">
        <f t="shared" si="5"/>
        <v>3</v>
      </c>
      <c r="H27" s="13">
        <f t="shared" si="5"/>
        <v>0</v>
      </c>
      <c r="I27" s="13">
        <f t="shared" si="5"/>
        <v>11</v>
      </c>
      <c r="J27" s="13">
        <f t="shared" si="5"/>
        <v>0</v>
      </c>
      <c r="K27" s="13">
        <f t="shared" si="5"/>
        <v>0</v>
      </c>
      <c r="L27" s="13">
        <f t="shared" si="5"/>
        <v>2</v>
      </c>
      <c r="M27" s="13">
        <f t="shared" si="5"/>
        <v>1</v>
      </c>
      <c r="N27" s="13">
        <f t="shared" si="5"/>
        <v>4</v>
      </c>
      <c r="O27" s="13">
        <f t="shared" si="5"/>
        <v>5</v>
      </c>
      <c r="P27" s="13">
        <f t="shared" si="5"/>
        <v>1</v>
      </c>
      <c r="Q27" s="13">
        <f t="shared" si="5"/>
        <v>1</v>
      </c>
      <c r="R27" s="13">
        <f t="shared" si="5"/>
        <v>1</v>
      </c>
      <c r="S27" s="13">
        <f t="shared" si="5"/>
        <v>6</v>
      </c>
      <c r="T27" s="13">
        <f t="shared" si="5"/>
        <v>0</v>
      </c>
      <c r="U27" s="13">
        <f t="shared" si="5"/>
        <v>0</v>
      </c>
      <c r="V27" s="13">
        <f t="shared" si="5"/>
        <v>2</v>
      </c>
      <c r="W27" s="13">
        <f t="shared" si="5"/>
        <v>0</v>
      </c>
      <c r="X27" s="13">
        <f t="shared" si="5"/>
        <v>2</v>
      </c>
      <c r="Y27" s="13">
        <f t="shared" si="5"/>
        <v>4</v>
      </c>
      <c r="Z27" s="13">
        <f t="shared" si="5"/>
        <v>0</v>
      </c>
      <c r="AA27" s="13">
        <f t="shared" si="5"/>
        <v>7</v>
      </c>
      <c r="AB27" s="13">
        <f t="shared" si="2"/>
        <v>50</v>
      </c>
    </row>
    <row r="28" spans="1:28" ht="12.75" customHeight="1" x14ac:dyDescent="0.3">
      <c r="A28" s="21"/>
      <c r="B28" s="66" t="s">
        <v>23</v>
      </c>
      <c r="C28" s="67" t="s">
        <v>24</v>
      </c>
      <c r="D28" s="13" t="s">
        <v>12</v>
      </c>
      <c r="E28" s="13">
        <f t="shared" ref="E28:AA28" si="6">SUM(E19,E22,E25)</f>
        <v>96</v>
      </c>
      <c r="F28" s="13">
        <f t="shared" si="6"/>
        <v>104</v>
      </c>
      <c r="G28" s="13">
        <f t="shared" si="6"/>
        <v>103</v>
      </c>
      <c r="H28" s="13">
        <f t="shared" si="6"/>
        <v>128</v>
      </c>
      <c r="I28" s="13">
        <f t="shared" si="6"/>
        <v>98</v>
      </c>
      <c r="J28" s="13">
        <f t="shared" si="6"/>
        <v>103</v>
      </c>
      <c r="K28" s="13">
        <f t="shared" si="6"/>
        <v>92</v>
      </c>
      <c r="L28" s="13">
        <f t="shared" si="6"/>
        <v>106</v>
      </c>
      <c r="M28" s="13">
        <f t="shared" si="6"/>
        <v>100</v>
      </c>
      <c r="N28" s="13">
        <f t="shared" si="6"/>
        <v>87</v>
      </c>
      <c r="O28" s="13">
        <f t="shared" si="6"/>
        <v>115</v>
      </c>
      <c r="P28" s="13">
        <f t="shared" si="6"/>
        <v>104</v>
      </c>
      <c r="Q28" s="13">
        <f t="shared" si="6"/>
        <v>95</v>
      </c>
      <c r="R28" s="13">
        <f t="shared" si="6"/>
        <v>97</v>
      </c>
      <c r="S28" s="13">
        <f t="shared" si="6"/>
        <v>112</v>
      </c>
      <c r="T28" s="13">
        <f t="shared" si="6"/>
        <v>108</v>
      </c>
      <c r="U28" s="13">
        <f t="shared" si="6"/>
        <v>91</v>
      </c>
      <c r="V28" s="13">
        <f t="shared" si="6"/>
        <v>86</v>
      </c>
      <c r="W28" s="13">
        <f t="shared" si="6"/>
        <v>78</v>
      </c>
      <c r="X28" s="13">
        <f t="shared" si="6"/>
        <v>89</v>
      </c>
      <c r="Y28" s="13">
        <f t="shared" si="6"/>
        <v>107</v>
      </c>
      <c r="Z28" s="13">
        <f t="shared" si="6"/>
        <v>112</v>
      </c>
      <c r="AA28" s="13">
        <f t="shared" si="6"/>
        <v>104</v>
      </c>
      <c r="AB28" s="13">
        <f t="shared" si="2"/>
        <v>2315</v>
      </c>
    </row>
    <row r="29" spans="1:28" ht="12.75" customHeight="1" x14ac:dyDescent="0.3">
      <c r="A29" s="21"/>
      <c r="B29" s="57"/>
      <c r="C29" s="64"/>
      <c r="D29" s="13" t="s">
        <v>13</v>
      </c>
      <c r="E29" s="13">
        <f t="shared" ref="E29:AA29" si="7">SUM(E20,E23,E26)</f>
        <v>111</v>
      </c>
      <c r="F29" s="13">
        <f t="shared" si="7"/>
        <v>129</v>
      </c>
      <c r="G29" s="13">
        <f t="shared" si="7"/>
        <v>111</v>
      </c>
      <c r="H29" s="13">
        <f t="shared" si="7"/>
        <v>134</v>
      </c>
      <c r="I29" s="13">
        <f t="shared" si="7"/>
        <v>128</v>
      </c>
      <c r="J29" s="13">
        <f t="shared" si="7"/>
        <v>122</v>
      </c>
      <c r="K29" s="13">
        <f t="shared" si="7"/>
        <v>94</v>
      </c>
      <c r="L29" s="13">
        <f t="shared" si="7"/>
        <v>104</v>
      </c>
      <c r="M29" s="13">
        <f t="shared" si="7"/>
        <v>115</v>
      </c>
      <c r="N29" s="13">
        <f t="shared" si="7"/>
        <v>108</v>
      </c>
      <c r="O29" s="13">
        <f t="shared" si="7"/>
        <v>111</v>
      </c>
      <c r="P29" s="13">
        <f t="shared" si="7"/>
        <v>106</v>
      </c>
      <c r="Q29" s="13">
        <f t="shared" si="7"/>
        <v>108</v>
      </c>
      <c r="R29" s="13">
        <f t="shared" si="7"/>
        <v>108</v>
      </c>
      <c r="S29" s="13">
        <f t="shared" si="7"/>
        <v>119</v>
      </c>
      <c r="T29" s="13">
        <f t="shared" si="7"/>
        <v>110</v>
      </c>
      <c r="U29" s="13">
        <f t="shared" si="7"/>
        <v>104</v>
      </c>
      <c r="V29" s="13">
        <f t="shared" si="7"/>
        <v>89</v>
      </c>
      <c r="W29" s="13">
        <f t="shared" si="7"/>
        <v>101</v>
      </c>
      <c r="X29" s="13">
        <f t="shared" si="7"/>
        <v>115</v>
      </c>
      <c r="Y29" s="13">
        <f t="shared" si="7"/>
        <v>116</v>
      </c>
      <c r="Z29" s="13">
        <f t="shared" si="7"/>
        <v>118</v>
      </c>
      <c r="AA29" s="13">
        <f t="shared" si="7"/>
        <v>110</v>
      </c>
      <c r="AB29" s="13">
        <f t="shared" si="2"/>
        <v>2571</v>
      </c>
    </row>
    <row r="30" spans="1:28" ht="12.75" customHeight="1" x14ac:dyDescent="0.3">
      <c r="A30" s="21"/>
      <c r="B30" s="59"/>
      <c r="C30" s="65"/>
      <c r="D30" s="13" t="s">
        <v>14</v>
      </c>
      <c r="E30" s="13">
        <f t="shared" ref="E30:AA30" si="8">SUM(E28:E29)</f>
        <v>207</v>
      </c>
      <c r="F30" s="13">
        <f t="shared" si="8"/>
        <v>233</v>
      </c>
      <c r="G30" s="13">
        <f t="shared" si="8"/>
        <v>214</v>
      </c>
      <c r="H30" s="13">
        <f t="shared" si="8"/>
        <v>262</v>
      </c>
      <c r="I30" s="13">
        <f t="shared" si="8"/>
        <v>226</v>
      </c>
      <c r="J30" s="13">
        <f t="shared" si="8"/>
        <v>225</v>
      </c>
      <c r="K30" s="13">
        <f t="shared" si="8"/>
        <v>186</v>
      </c>
      <c r="L30" s="13">
        <f t="shared" si="8"/>
        <v>210</v>
      </c>
      <c r="M30" s="13">
        <f t="shared" si="8"/>
        <v>215</v>
      </c>
      <c r="N30" s="13">
        <f t="shared" si="8"/>
        <v>195</v>
      </c>
      <c r="O30" s="13">
        <f t="shared" si="8"/>
        <v>226</v>
      </c>
      <c r="P30" s="13">
        <f t="shared" si="8"/>
        <v>210</v>
      </c>
      <c r="Q30" s="13">
        <f t="shared" si="8"/>
        <v>203</v>
      </c>
      <c r="R30" s="13">
        <f t="shared" si="8"/>
        <v>205</v>
      </c>
      <c r="S30" s="13">
        <f t="shared" si="8"/>
        <v>231</v>
      </c>
      <c r="T30" s="13">
        <f t="shared" si="8"/>
        <v>218</v>
      </c>
      <c r="U30" s="13">
        <f t="shared" si="8"/>
        <v>195</v>
      </c>
      <c r="V30" s="13">
        <f t="shared" si="8"/>
        <v>175</v>
      </c>
      <c r="W30" s="13">
        <f t="shared" si="8"/>
        <v>179</v>
      </c>
      <c r="X30" s="13">
        <f t="shared" si="8"/>
        <v>204</v>
      </c>
      <c r="Y30" s="13">
        <f t="shared" si="8"/>
        <v>223</v>
      </c>
      <c r="Z30" s="13">
        <f t="shared" si="8"/>
        <v>230</v>
      </c>
      <c r="AA30" s="13">
        <f t="shared" si="8"/>
        <v>214</v>
      </c>
      <c r="AB30" s="13">
        <f t="shared" si="2"/>
        <v>4886</v>
      </c>
    </row>
    <row r="31" spans="1:28" ht="12.75" customHeight="1" x14ac:dyDescent="0.3">
      <c r="A31" s="54"/>
      <c r="B31" s="48"/>
      <c r="C31" s="48"/>
      <c r="D31" s="49"/>
      <c r="E31" s="15"/>
      <c r="F31" s="15"/>
      <c r="G31" s="15"/>
      <c r="H31" s="15"/>
      <c r="I31" s="15"/>
      <c r="J31" s="15"/>
      <c r="K31" s="15"/>
      <c r="L31" s="15"/>
      <c r="M31" s="15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3"/>
    </row>
    <row r="32" spans="1:28" ht="12.75" customHeight="1" x14ac:dyDescent="0.3">
      <c r="A32" s="24" t="s">
        <v>25</v>
      </c>
      <c r="B32" s="55" t="s">
        <v>26</v>
      </c>
      <c r="C32" s="48"/>
      <c r="D32" s="49"/>
      <c r="E32" s="13"/>
      <c r="F32" s="13"/>
      <c r="G32" s="13"/>
      <c r="H32" s="13"/>
      <c r="I32" s="13"/>
      <c r="J32" s="13"/>
      <c r="K32" s="13"/>
      <c r="L32" s="13"/>
      <c r="M32" s="13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3"/>
    </row>
    <row r="33" spans="1:28" ht="12.75" customHeight="1" x14ac:dyDescent="0.3">
      <c r="A33" s="15">
        <v>1</v>
      </c>
      <c r="B33" s="61" t="s">
        <v>27</v>
      </c>
      <c r="C33" s="48"/>
      <c r="D33" s="49"/>
      <c r="E33" s="15">
        <v>288</v>
      </c>
      <c r="F33" s="15">
        <v>293</v>
      </c>
      <c r="G33" s="15">
        <v>292</v>
      </c>
      <c r="H33" s="15">
        <v>303</v>
      </c>
      <c r="I33" s="15">
        <v>274</v>
      </c>
      <c r="J33" s="15">
        <v>299</v>
      </c>
      <c r="K33" s="15">
        <v>260</v>
      </c>
      <c r="L33" s="15">
        <v>294</v>
      </c>
      <c r="M33" s="15">
        <v>299</v>
      </c>
      <c r="N33" s="15">
        <v>272</v>
      </c>
      <c r="O33" s="15">
        <v>289</v>
      </c>
      <c r="P33" s="15">
        <v>298</v>
      </c>
      <c r="Q33" s="15">
        <v>259</v>
      </c>
      <c r="R33" s="15">
        <v>294</v>
      </c>
      <c r="S33" s="15">
        <v>299</v>
      </c>
      <c r="T33" s="15">
        <v>282</v>
      </c>
      <c r="U33" s="15">
        <v>255</v>
      </c>
      <c r="V33" s="15">
        <v>241</v>
      </c>
      <c r="W33" s="15">
        <v>233</v>
      </c>
      <c r="X33" s="15">
        <v>276</v>
      </c>
      <c r="Y33" s="15">
        <v>268</v>
      </c>
      <c r="Z33" s="15">
        <v>293</v>
      </c>
      <c r="AA33" s="15">
        <v>285</v>
      </c>
      <c r="AB33" s="13">
        <f t="shared" ref="AB33:AB36" si="9">SUM(E33:AA33)</f>
        <v>6446</v>
      </c>
    </row>
    <row r="34" spans="1:28" ht="12.75" customHeight="1" x14ac:dyDescent="0.3">
      <c r="A34" s="15">
        <v>2</v>
      </c>
      <c r="B34" s="61" t="s">
        <v>28</v>
      </c>
      <c r="C34" s="48"/>
      <c r="D34" s="49"/>
      <c r="E34" s="13">
        <v>207</v>
      </c>
      <c r="F34" s="13">
        <v>233</v>
      </c>
      <c r="G34" s="13">
        <v>214</v>
      </c>
      <c r="H34" s="13">
        <v>262</v>
      </c>
      <c r="I34" s="13">
        <v>226</v>
      </c>
      <c r="J34" s="13">
        <v>225</v>
      </c>
      <c r="K34" s="13">
        <v>186</v>
      </c>
      <c r="L34" s="13">
        <v>210</v>
      </c>
      <c r="M34" s="13">
        <v>215</v>
      </c>
      <c r="N34" s="13">
        <v>195</v>
      </c>
      <c r="O34" s="13">
        <v>226</v>
      </c>
      <c r="P34" s="13">
        <v>210</v>
      </c>
      <c r="Q34" s="13">
        <v>203</v>
      </c>
      <c r="R34" s="13">
        <v>205</v>
      </c>
      <c r="S34" s="13">
        <v>231</v>
      </c>
      <c r="T34" s="13">
        <v>218</v>
      </c>
      <c r="U34" s="13">
        <v>195</v>
      </c>
      <c r="V34" s="13">
        <v>175</v>
      </c>
      <c r="W34" s="13">
        <v>179</v>
      </c>
      <c r="X34" s="13">
        <v>204</v>
      </c>
      <c r="Y34" s="13">
        <v>223</v>
      </c>
      <c r="Z34" s="13">
        <v>230</v>
      </c>
      <c r="AA34" s="13">
        <v>214</v>
      </c>
      <c r="AB34" s="13">
        <f t="shared" si="9"/>
        <v>4886</v>
      </c>
    </row>
    <row r="35" spans="1:28" ht="12.75" customHeight="1" x14ac:dyDescent="0.3">
      <c r="A35" s="15">
        <v>3</v>
      </c>
      <c r="B35" s="61" t="s">
        <v>29</v>
      </c>
      <c r="C35" s="48"/>
      <c r="D35" s="49"/>
      <c r="E35" s="15">
        <v>0</v>
      </c>
      <c r="F35" s="15">
        <v>2</v>
      </c>
      <c r="G35" s="15">
        <v>0</v>
      </c>
      <c r="H35" s="15">
        <v>0</v>
      </c>
      <c r="I35" s="15">
        <v>0</v>
      </c>
      <c r="J35" s="15">
        <v>0</v>
      </c>
      <c r="K35" s="15">
        <v>1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2</v>
      </c>
      <c r="V35" s="15">
        <v>0</v>
      </c>
      <c r="W35" s="15">
        <v>3</v>
      </c>
      <c r="X35" s="15">
        <v>0</v>
      </c>
      <c r="Y35" s="15">
        <v>0</v>
      </c>
      <c r="Z35" s="15">
        <v>0</v>
      </c>
      <c r="AA35" s="15">
        <v>0</v>
      </c>
      <c r="AB35" s="13">
        <f t="shared" si="9"/>
        <v>8</v>
      </c>
    </row>
    <row r="36" spans="1:28" ht="12.75" customHeight="1" x14ac:dyDescent="0.3">
      <c r="A36" s="15">
        <v>4</v>
      </c>
      <c r="B36" s="61" t="s">
        <v>30</v>
      </c>
      <c r="C36" s="48"/>
      <c r="D36" s="49"/>
      <c r="E36" s="13">
        <f t="shared" ref="E36:AA36" si="10">E33-(E34+E35)</f>
        <v>81</v>
      </c>
      <c r="F36" s="13">
        <f t="shared" si="10"/>
        <v>58</v>
      </c>
      <c r="G36" s="13">
        <f t="shared" si="10"/>
        <v>78</v>
      </c>
      <c r="H36" s="13">
        <f t="shared" si="10"/>
        <v>41</v>
      </c>
      <c r="I36" s="13">
        <f t="shared" si="10"/>
        <v>48</v>
      </c>
      <c r="J36" s="13">
        <f t="shared" si="10"/>
        <v>74</v>
      </c>
      <c r="K36" s="13">
        <f t="shared" si="10"/>
        <v>73</v>
      </c>
      <c r="L36" s="13">
        <f t="shared" si="10"/>
        <v>84</v>
      </c>
      <c r="M36" s="13">
        <f t="shared" si="10"/>
        <v>84</v>
      </c>
      <c r="N36" s="13">
        <f t="shared" si="10"/>
        <v>77</v>
      </c>
      <c r="O36" s="13">
        <f t="shared" si="10"/>
        <v>63</v>
      </c>
      <c r="P36" s="13">
        <f t="shared" si="10"/>
        <v>88</v>
      </c>
      <c r="Q36" s="13">
        <f t="shared" si="10"/>
        <v>56</v>
      </c>
      <c r="R36" s="13">
        <f t="shared" si="10"/>
        <v>89</v>
      </c>
      <c r="S36" s="13">
        <f t="shared" si="10"/>
        <v>68</v>
      </c>
      <c r="T36" s="13">
        <f t="shared" si="10"/>
        <v>64</v>
      </c>
      <c r="U36" s="13">
        <f t="shared" si="10"/>
        <v>58</v>
      </c>
      <c r="V36" s="13">
        <f t="shared" si="10"/>
        <v>66</v>
      </c>
      <c r="W36" s="13">
        <f t="shared" si="10"/>
        <v>51</v>
      </c>
      <c r="X36" s="13">
        <f t="shared" si="10"/>
        <v>72</v>
      </c>
      <c r="Y36" s="13">
        <f t="shared" si="10"/>
        <v>45</v>
      </c>
      <c r="Z36" s="13">
        <f t="shared" si="10"/>
        <v>63</v>
      </c>
      <c r="AA36" s="13">
        <f t="shared" si="10"/>
        <v>71</v>
      </c>
      <c r="AB36" s="13">
        <f t="shared" si="9"/>
        <v>1552</v>
      </c>
    </row>
    <row r="37" spans="1:28" ht="12.75" customHeight="1" x14ac:dyDescent="0.3">
      <c r="A37" s="54"/>
      <c r="B37" s="48"/>
      <c r="C37" s="48"/>
      <c r="D37" s="48"/>
      <c r="E37" s="54"/>
      <c r="F37" s="48"/>
      <c r="G37" s="48"/>
      <c r="H37" s="48"/>
      <c r="I37" s="49"/>
      <c r="J37" s="15"/>
      <c r="K37" s="15"/>
      <c r="L37" s="15"/>
      <c r="M37" s="15"/>
      <c r="N37" s="42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3"/>
    </row>
    <row r="38" spans="1:28" ht="12.75" customHeight="1" x14ac:dyDescent="0.3">
      <c r="A38" s="25" t="s">
        <v>31</v>
      </c>
      <c r="B38" s="55" t="s">
        <v>32</v>
      </c>
      <c r="C38" s="48"/>
      <c r="D38" s="49"/>
      <c r="E38" s="13"/>
      <c r="F38" s="13"/>
      <c r="G38" s="13"/>
      <c r="H38" s="13"/>
      <c r="I38" s="13"/>
      <c r="J38" s="13"/>
      <c r="K38" s="13"/>
      <c r="L38" s="13"/>
      <c r="M38" s="13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3"/>
    </row>
    <row r="39" spans="1:28" ht="12.75" customHeight="1" x14ac:dyDescent="0.3">
      <c r="A39" s="19"/>
      <c r="B39" s="51" t="s">
        <v>33</v>
      </c>
      <c r="C39" s="53"/>
      <c r="D39" s="15" t="s">
        <v>12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1</v>
      </c>
      <c r="R39" s="15">
        <v>0</v>
      </c>
      <c r="S39" s="15">
        <v>0</v>
      </c>
      <c r="T39" s="15">
        <v>0</v>
      </c>
      <c r="U39" s="15">
        <v>0</v>
      </c>
      <c r="V39" s="15">
        <v>1</v>
      </c>
      <c r="W39" s="15">
        <v>0</v>
      </c>
      <c r="X39" s="15">
        <v>0</v>
      </c>
      <c r="Y39" s="15">
        <v>0</v>
      </c>
      <c r="Z39" s="15">
        <v>0</v>
      </c>
      <c r="AA39" s="15">
        <v>1</v>
      </c>
      <c r="AB39" s="13">
        <f t="shared" ref="AB39:AB41" si="11">SUM(E39:AA39)</f>
        <v>3</v>
      </c>
    </row>
    <row r="40" spans="1:28" ht="12.75" customHeight="1" x14ac:dyDescent="0.3">
      <c r="A40" s="20"/>
      <c r="B40" s="56"/>
      <c r="C40" s="57"/>
      <c r="D40" s="15" t="s">
        <v>13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1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3">
        <f t="shared" si="11"/>
        <v>1</v>
      </c>
    </row>
    <row r="41" spans="1:28" ht="12.75" customHeight="1" x14ac:dyDescent="0.3">
      <c r="A41" s="24"/>
      <c r="B41" s="58"/>
      <c r="C41" s="59"/>
      <c r="D41" s="13" t="s">
        <v>14</v>
      </c>
      <c r="E41" s="13">
        <f t="shared" ref="E41:AA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0</v>
      </c>
      <c r="P41" s="13">
        <f t="shared" si="12"/>
        <v>0</v>
      </c>
      <c r="Q41" s="13">
        <f t="shared" si="12"/>
        <v>1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0</v>
      </c>
      <c r="V41" s="13">
        <f t="shared" si="12"/>
        <v>2</v>
      </c>
      <c r="W41" s="13">
        <f t="shared" si="12"/>
        <v>0</v>
      </c>
      <c r="X41" s="13">
        <f t="shared" si="12"/>
        <v>0</v>
      </c>
      <c r="Y41" s="13">
        <f t="shared" si="12"/>
        <v>0</v>
      </c>
      <c r="Z41" s="13">
        <f t="shared" si="12"/>
        <v>0</v>
      </c>
      <c r="AA41" s="13">
        <f t="shared" si="12"/>
        <v>1</v>
      </c>
      <c r="AB41" s="13">
        <f t="shared" si="11"/>
        <v>4</v>
      </c>
    </row>
    <row r="42" spans="1:28" ht="12.75" customHeight="1" x14ac:dyDescent="0.3">
      <c r="A42" s="60"/>
      <c r="B42" s="58"/>
      <c r="C42" s="58"/>
      <c r="D42" s="59"/>
      <c r="E42" s="54"/>
      <c r="F42" s="48"/>
      <c r="G42" s="48"/>
      <c r="H42" s="48"/>
      <c r="I42" s="49"/>
      <c r="J42" s="15"/>
      <c r="K42" s="15"/>
      <c r="L42" s="15"/>
      <c r="M42" s="15"/>
      <c r="N42" s="42"/>
      <c r="O42" s="15"/>
      <c r="P42" s="42"/>
      <c r="Q42" s="15"/>
      <c r="R42" s="42"/>
      <c r="S42" s="15"/>
      <c r="T42" s="42"/>
      <c r="U42" s="15"/>
      <c r="V42" s="42"/>
      <c r="W42" s="15"/>
      <c r="X42" s="42"/>
      <c r="Y42" s="15"/>
      <c r="Z42" s="42"/>
      <c r="AA42" s="15"/>
      <c r="AB42" s="13"/>
    </row>
    <row r="43" spans="1:28" ht="12.75" customHeight="1" x14ac:dyDescent="0.3">
      <c r="A43" s="25" t="s">
        <v>34</v>
      </c>
      <c r="B43" s="55" t="s">
        <v>35</v>
      </c>
      <c r="C43" s="48"/>
      <c r="D43" s="49"/>
      <c r="E43" s="18"/>
      <c r="F43" s="13"/>
      <c r="G43" s="13"/>
      <c r="H43" s="13"/>
      <c r="I43" s="13"/>
      <c r="J43" s="13"/>
      <c r="K43" s="13"/>
      <c r="L43" s="13"/>
      <c r="M43" s="13"/>
      <c r="N43" s="44"/>
      <c r="O43" s="13"/>
      <c r="P43" s="44"/>
      <c r="Q43" s="13"/>
      <c r="R43" s="44"/>
      <c r="S43" s="13"/>
      <c r="T43" s="44"/>
      <c r="U43" s="13"/>
      <c r="V43" s="44"/>
      <c r="W43" s="13"/>
      <c r="X43" s="44"/>
      <c r="Y43" s="13"/>
      <c r="Z43" s="44"/>
      <c r="AA43" s="13"/>
      <c r="AB43" s="13"/>
    </row>
    <row r="44" spans="1:28" ht="12.75" customHeight="1" x14ac:dyDescent="0.3">
      <c r="A44" s="51" t="s">
        <v>36</v>
      </c>
      <c r="B44" s="52"/>
      <c r="C44" s="52"/>
      <c r="D44" s="53"/>
      <c r="E44" s="16"/>
      <c r="F44" s="15"/>
      <c r="G44" s="15"/>
      <c r="H44" s="15"/>
      <c r="I44" s="15"/>
      <c r="J44" s="15"/>
      <c r="K44" s="15"/>
      <c r="L44" s="15"/>
      <c r="M44" s="15"/>
      <c r="N44" s="42"/>
      <c r="O44" s="15"/>
      <c r="P44" s="42"/>
      <c r="Q44" s="15"/>
      <c r="R44" s="42"/>
      <c r="S44" s="15"/>
      <c r="T44" s="42"/>
      <c r="U44" s="15"/>
      <c r="V44" s="42"/>
      <c r="W44" s="15"/>
      <c r="X44" s="42"/>
      <c r="Y44" s="15"/>
      <c r="Z44" s="42"/>
      <c r="AA44" s="15"/>
      <c r="AB44" s="13"/>
    </row>
    <row r="45" spans="1:28" ht="12.75" customHeight="1" x14ac:dyDescent="0.3">
      <c r="A45" s="19" t="s">
        <v>37</v>
      </c>
      <c r="B45" s="26" t="s">
        <v>17</v>
      </c>
      <c r="C45" s="50" t="s">
        <v>38</v>
      </c>
      <c r="D45" s="49"/>
      <c r="E45" s="15">
        <v>16</v>
      </c>
      <c r="F45" s="15">
        <v>3</v>
      </c>
      <c r="G45" s="15">
        <v>10</v>
      </c>
      <c r="H45" s="15">
        <v>6</v>
      </c>
      <c r="I45" s="15">
        <v>4</v>
      </c>
      <c r="J45" s="15">
        <v>2</v>
      </c>
      <c r="K45" s="15">
        <v>2</v>
      </c>
      <c r="L45" s="15">
        <v>5</v>
      </c>
      <c r="M45" s="15">
        <v>7</v>
      </c>
      <c r="N45" s="15">
        <v>6</v>
      </c>
      <c r="O45" s="15">
        <v>1</v>
      </c>
      <c r="P45" s="15">
        <v>0</v>
      </c>
      <c r="Q45" s="15">
        <v>2</v>
      </c>
      <c r="R45" s="15">
        <v>9</v>
      </c>
      <c r="S45" s="15">
        <v>2</v>
      </c>
      <c r="T45" s="15">
        <v>12</v>
      </c>
      <c r="U45" s="15">
        <v>1</v>
      </c>
      <c r="V45" s="15">
        <v>2</v>
      </c>
      <c r="W45" s="15">
        <v>0</v>
      </c>
      <c r="X45" s="15">
        <v>3</v>
      </c>
      <c r="Y45" s="15">
        <v>2</v>
      </c>
      <c r="Z45" s="15">
        <v>4</v>
      </c>
      <c r="AA45" s="15">
        <v>2</v>
      </c>
      <c r="AB45" s="13">
        <f t="shared" ref="AB45:AB182" si="13">SUM(E45:AA45)</f>
        <v>101</v>
      </c>
    </row>
    <row r="46" spans="1:28" ht="12.75" customHeight="1" x14ac:dyDescent="0.3">
      <c r="A46" s="19" t="s">
        <v>39</v>
      </c>
      <c r="B46" s="27">
        <v>1</v>
      </c>
      <c r="C46" s="28" t="s">
        <v>40</v>
      </c>
      <c r="D46" s="29"/>
      <c r="E46" s="15">
        <v>25</v>
      </c>
      <c r="F46" s="15">
        <v>12</v>
      </c>
      <c r="G46" s="15">
        <v>11</v>
      </c>
      <c r="H46" s="15">
        <v>4</v>
      </c>
      <c r="I46" s="15">
        <v>2</v>
      </c>
      <c r="J46" s="15">
        <v>6</v>
      </c>
      <c r="K46" s="15">
        <v>0</v>
      </c>
      <c r="L46" s="15">
        <v>4</v>
      </c>
      <c r="M46" s="15">
        <v>4</v>
      </c>
      <c r="N46" s="15">
        <v>5</v>
      </c>
      <c r="O46" s="15">
        <v>6</v>
      </c>
      <c r="P46" s="15">
        <v>3</v>
      </c>
      <c r="Q46" s="15">
        <v>1</v>
      </c>
      <c r="R46" s="15">
        <v>6</v>
      </c>
      <c r="S46" s="15">
        <v>2</v>
      </c>
      <c r="T46" s="15">
        <v>22</v>
      </c>
      <c r="U46" s="15">
        <v>4</v>
      </c>
      <c r="V46" s="15">
        <v>1</v>
      </c>
      <c r="W46" s="15">
        <v>5</v>
      </c>
      <c r="X46" s="15">
        <v>15</v>
      </c>
      <c r="Y46" s="15">
        <v>6</v>
      </c>
      <c r="Z46" s="15">
        <v>3</v>
      </c>
      <c r="AA46" s="15">
        <v>2</v>
      </c>
      <c r="AB46" s="13">
        <f t="shared" si="13"/>
        <v>149</v>
      </c>
    </row>
    <row r="47" spans="1:28" ht="12.75" customHeight="1" x14ac:dyDescent="0.3">
      <c r="A47" s="14"/>
      <c r="B47" s="27">
        <v>2</v>
      </c>
      <c r="C47" s="28" t="s">
        <v>41</v>
      </c>
      <c r="D47" s="29"/>
      <c r="E47" s="15">
        <v>3</v>
      </c>
      <c r="F47" s="15">
        <v>1</v>
      </c>
      <c r="G47" s="15">
        <v>2</v>
      </c>
      <c r="H47" s="15">
        <v>0</v>
      </c>
      <c r="I47" s="15">
        <v>0</v>
      </c>
      <c r="J47" s="15">
        <v>3</v>
      </c>
      <c r="K47" s="15">
        <v>1</v>
      </c>
      <c r="L47" s="15">
        <v>0</v>
      </c>
      <c r="M47" s="15">
        <v>5</v>
      </c>
      <c r="N47" s="15">
        <v>4</v>
      </c>
      <c r="O47" s="15">
        <v>2</v>
      </c>
      <c r="P47" s="15">
        <v>1</v>
      </c>
      <c r="Q47" s="15">
        <v>0</v>
      </c>
      <c r="R47" s="15">
        <v>1</v>
      </c>
      <c r="S47" s="15">
        <v>0</v>
      </c>
      <c r="T47" s="15">
        <v>0</v>
      </c>
      <c r="U47" s="15">
        <v>0</v>
      </c>
      <c r="V47" s="15">
        <v>2</v>
      </c>
      <c r="W47" s="15">
        <v>0</v>
      </c>
      <c r="X47" s="15">
        <v>0</v>
      </c>
      <c r="Y47" s="15">
        <v>1</v>
      </c>
      <c r="Z47" s="15">
        <v>7</v>
      </c>
      <c r="AA47" s="15">
        <v>2</v>
      </c>
      <c r="AB47" s="13">
        <f t="shared" si="13"/>
        <v>35</v>
      </c>
    </row>
    <row r="48" spans="1:28" ht="12.75" customHeight="1" x14ac:dyDescent="0.3">
      <c r="A48" s="14"/>
      <c r="B48" s="27">
        <v>3</v>
      </c>
      <c r="C48" s="28" t="s">
        <v>42</v>
      </c>
      <c r="D48" s="29"/>
      <c r="E48" s="15">
        <v>15</v>
      </c>
      <c r="F48" s="15">
        <v>9</v>
      </c>
      <c r="G48" s="15">
        <v>8</v>
      </c>
      <c r="H48" s="15">
        <v>16</v>
      </c>
      <c r="I48" s="15">
        <v>29</v>
      </c>
      <c r="J48" s="15">
        <v>57</v>
      </c>
      <c r="K48" s="15">
        <v>9</v>
      </c>
      <c r="L48" s="15">
        <v>3</v>
      </c>
      <c r="M48" s="15">
        <v>2</v>
      </c>
      <c r="N48" s="15">
        <v>9</v>
      </c>
      <c r="O48" s="15">
        <v>1</v>
      </c>
      <c r="P48" s="15">
        <v>1</v>
      </c>
      <c r="Q48" s="15">
        <v>0</v>
      </c>
      <c r="R48" s="15">
        <v>38</v>
      </c>
      <c r="S48" s="15">
        <v>44</v>
      </c>
      <c r="T48" s="15">
        <v>26</v>
      </c>
      <c r="U48" s="15">
        <v>7</v>
      </c>
      <c r="V48" s="15">
        <v>25</v>
      </c>
      <c r="W48" s="15">
        <v>13</v>
      </c>
      <c r="X48" s="15">
        <v>4</v>
      </c>
      <c r="Y48" s="15">
        <v>3</v>
      </c>
      <c r="Z48" s="15">
        <v>2</v>
      </c>
      <c r="AA48" s="15">
        <v>4</v>
      </c>
      <c r="AB48" s="13">
        <f t="shared" si="13"/>
        <v>325</v>
      </c>
    </row>
    <row r="49" spans="1:28" ht="12.75" customHeight="1" x14ac:dyDescent="0.3">
      <c r="A49" s="14"/>
      <c r="B49" s="27">
        <v>4</v>
      </c>
      <c r="C49" s="28" t="s">
        <v>43</v>
      </c>
      <c r="D49" s="29"/>
      <c r="E49" s="15">
        <v>0</v>
      </c>
      <c r="F49" s="15">
        <v>0</v>
      </c>
      <c r="G49" s="15">
        <v>0</v>
      </c>
      <c r="H49" s="15">
        <v>1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1</v>
      </c>
      <c r="O49" s="15">
        <v>1</v>
      </c>
      <c r="P49" s="15">
        <v>0</v>
      </c>
      <c r="Q49" s="15">
        <v>0</v>
      </c>
      <c r="R49" s="15">
        <v>0</v>
      </c>
      <c r="S49" s="15">
        <v>0</v>
      </c>
      <c r="T49" s="15">
        <v>1</v>
      </c>
      <c r="U49" s="15">
        <v>0</v>
      </c>
      <c r="V49" s="15">
        <v>0</v>
      </c>
      <c r="W49" s="15">
        <v>0</v>
      </c>
      <c r="X49" s="15">
        <v>1</v>
      </c>
      <c r="Y49" s="15">
        <v>0</v>
      </c>
      <c r="Z49" s="15">
        <v>1</v>
      </c>
      <c r="AA49" s="15">
        <v>2</v>
      </c>
      <c r="AB49" s="13">
        <f t="shared" si="13"/>
        <v>8</v>
      </c>
    </row>
    <row r="50" spans="1:28" ht="12.75" customHeight="1" x14ac:dyDescent="0.3">
      <c r="A50" s="14"/>
      <c r="B50" s="27">
        <v>5</v>
      </c>
      <c r="C50" s="28" t="s">
        <v>44</v>
      </c>
      <c r="D50" s="29"/>
      <c r="E50" s="15">
        <v>0</v>
      </c>
      <c r="F50" s="15">
        <v>0</v>
      </c>
      <c r="G50" s="15">
        <v>2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1</v>
      </c>
      <c r="N50" s="15">
        <v>0</v>
      </c>
      <c r="O50" s="15">
        <v>1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3">
        <f t="shared" si="13"/>
        <v>4</v>
      </c>
    </row>
    <row r="51" spans="1:28" ht="12.75" customHeight="1" x14ac:dyDescent="0.3">
      <c r="A51" s="14"/>
      <c r="B51" s="27">
        <v>6</v>
      </c>
      <c r="C51" s="28" t="s">
        <v>45</v>
      </c>
      <c r="D51" s="29"/>
      <c r="E51" s="15">
        <v>14</v>
      </c>
      <c r="F51" s="15">
        <v>21</v>
      </c>
      <c r="G51" s="15">
        <v>49</v>
      </c>
      <c r="H51" s="15">
        <v>20</v>
      </c>
      <c r="I51" s="15">
        <v>11</v>
      </c>
      <c r="J51" s="15">
        <v>12</v>
      </c>
      <c r="K51" s="15">
        <v>22</v>
      </c>
      <c r="L51" s="15">
        <v>26</v>
      </c>
      <c r="M51" s="15">
        <v>20</v>
      </c>
      <c r="N51" s="15">
        <v>17</v>
      </c>
      <c r="O51" s="15">
        <v>12</v>
      </c>
      <c r="P51" s="15">
        <v>0</v>
      </c>
      <c r="Q51" s="15">
        <v>6</v>
      </c>
      <c r="R51" s="15">
        <v>14</v>
      </c>
      <c r="S51" s="15">
        <v>1</v>
      </c>
      <c r="T51" s="15">
        <v>2</v>
      </c>
      <c r="U51" s="15">
        <v>5</v>
      </c>
      <c r="V51" s="15">
        <v>6</v>
      </c>
      <c r="W51" s="15">
        <v>1</v>
      </c>
      <c r="X51" s="15">
        <v>30</v>
      </c>
      <c r="Y51" s="15">
        <v>49</v>
      </c>
      <c r="Z51" s="15">
        <v>49</v>
      </c>
      <c r="AA51" s="15">
        <v>46</v>
      </c>
      <c r="AB51" s="13">
        <f t="shared" si="13"/>
        <v>433</v>
      </c>
    </row>
    <row r="52" spans="1:28" ht="12.75" customHeight="1" x14ac:dyDescent="0.3">
      <c r="A52" s="15" t="s">
        <v>15</v>
      </c>
      <c r="B52" s="47" t="s">
        <v>46</v>
      </c>
      <c r="C52" s="48"/>
      <c r="D52" s="49"/>
      <c r="E52" s="34">
        <f t="shared" ref="E52:AA52" si="14">SUM(E45:E51)</f>
        <v>73</v>
      </c>
      <c r="F52" s="34">
        <f t="shared" si="14"/>
        <v>46</v>
      </c>
      <c r="G52" s="34">
        <f t="shared" si="14"/>
        <v>82</v>
      </c>
      <c r="H52" s="34">
        <f t="shared" si="14"/>
        <v>47</v>
      </c>
      <c r="I52" s="34">
        <f t="shared" si="14"/>
        <v>46</v>
      </c>
      <c r="J52" s="34">
        <f t="shared" si="14"/>
        <v>80</v>
      </c>
      <c r="K52" s="34">
        <f t="shared" si="14"/>
        <v>34</v>
      </c>
      <c r="L52" s="34">
        <f t="shared" si="14"/>
        <v>38</v>
      </c>
      <c r="M52" s="34">
        <f t="shared" si="14"/>
        <v>39</v>
      </c>
      <c r="N52" s="34">
        <f t="shared" si="14"/>
        <v>42</v>
      </c>
      <c r="O52" s="34">
        <f t="shared" si="14"/>
        <v>24</v>
      </c>
      <c r="P52" s="34">
        <f t="shared" si="14"/>
        <v>5</v>
      </c>
      <c r="Q52" s="34">
        <f t="shared" si="14"/>
        <v>9</v>
      </c>
      <c r="R52" s="34">
        <f t="shared" si="14"/>
        <v>68</v>
      </c>
      <c r="S52" s="34">
        <f t="shared" si="14"/>
        <v>49</v>
      </c>
      <c r="T52" s="34">
        <f t="shared" si="14"/>
        <v>63</v>
      </c>
      <c r="U52" s="34">
        <f t="shared" si="14"/>
        <v>17</v>
      </c>
      <c r="V52" s="34">
        <f t="shared" si="14"/>
        <v>36</v>
      </c>
      <c r="W52" s="34">
        <f t="shared" si="14"/>
        <v>19</v>
      </c>
      <c r="X52" s="34">
        <f t="shared" si="14"/>
        <v>53</v>
      </c>
      <c r="Y52" s="34">
        <f t="shared" si="14"/>
        <v>61</v>
      </c>
      <c r="Z52" s="34">
        <f t="shared" si="14"/>
        <v>66</v>
      </c>
      <c r="AA52" s="34">
        <f t="shared" si="14"/>
        <v>58</v>
      </c>
      <c r="AB52" s="13">
        <f t="shared" si="13"/>
        <v>1055</v>
      </c>
    </row>
    <row r="53" spans="1:28" ht="12.75" customHeight="1" x14ac:dyDescent="0.3">
      <c r="A53" s="35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13">
        <f t="shared" si="13"/>
        <v>0</v>
      </c>
    </row>
    <row r="54" spans="1:28" ht="12.75" customHeight="1" x14ac:dyDescent="0.3">
      <c r="A54" s="19" t="s">
        <v>37</v>
      </c>
      <c r="B54" s="26" t="s">
        <v>19</v>
      </c>
      <c r="C54" s="50" t="s">
        <v>47</v>
      </c>
      <c r="D54" s="49"/>
      <c r="E54" s="15">
        <v>7</v>
      </c>
      <c r="F54" s="15">
        <v>1</v>
      </c>
      <c r="G54" s="15">
        <v>3</v>
      </c>
      <c r="H54" s="15">
        <v>8</v>
      </c>
      <c r="I54" s="15">
        <v>4</v>
      </c>
      <c r="J54" s="15">
        <v>11</v>
      </c>
      <c r="K54" s="15">
        <v>1</v>
      </c>
      <c r="L54" s="15">
        <v>5</v>
      </c>
      <c r="M54" s="15">
        <v>4</v>
      </c>
      <c r="N54" s="15">
        <v>7</v>
      </c>
      <c r="O54" s="15">
        <v>6</v>
      </c>
      <c r="P54" s="15">
        <v>3</v>
      </c>
      <c r="Q54" s="15">
        <v>0</v>
      </c>
      <c r="R54" s="15">
        <v>6</v>
      </c>
      <c r="S54" s="15">
        <v>5</v>
      </c>
      <c r="T54" s="15">
        <v>2</v>
      </c>
      <c r="U54" s="15">
        <v>2</v>
      </c>
      <c r="V54" s="15">
        <v>1</v>
      </c>
      <c r="W54" s="15">
        <v>0</v>
      </c>
      <c r="X54" s="15">
        <v>7</v>
      </c>
      <c r="Y54" s="15">
        <v>0</v>
      </c>
      <c r="Z54" s="15">
        <v>4</v>
      </c>
      <c r="AA54" s="15">
        <v>9</v>
      </c>
      <c r="AB54" s="13">
        <f t="shared" si="13"/>
        <v>96</v>
      </c>
    </row>
    <row r="55" spans="1:28" ht="15" customHeight="1" x14ac:dyDescent="0.3">
      <c r="A55" s="19" t="s">
        <v>39</v>
      </c>
      <c r="B55" s="27">
        <v>1</v>
      </c>
      <c r="C55" s="28" t="s">
        <v>48</v>
      </c>
      <c r="D55" s="29"/>
      <c r="E55" s="15">
        <v>4</v>
      </c>
      <c r="F55" s="15">
        <v>1</v>
      </c>
      <c r="G55" s="15">
        <v>2</v>
      </c>
      <c r="H55" s="15">
        <v>4</v>
      </c>
      <c r="I55" s="15">
        <v>3</v>
      </c>
      <c r="J55" s="15">
        <v>2</v>
      </c>
      <c r="K55" s="15">
        <v>3</v>
      </c>
      <c r="L55" s="15">
        <v>4</v>
      </c>
      <c r="M55" s="15">
        <v>3</v>
      </c>
      <c r="N55" s="15">
        <v>0</v>
      </c>
      <c r="O55" s="15">
        <v>5</v>
      </c>
      <c r="P55" s="15">
        <v>1</v>
      </c>
      <c r="Q55" s="15">
        <v>2</v>
      </c>
      <c r="R55" s="15">
        <v>2</v>
      </c>
      <c r="S55" s="15">
        <v>1</v>
      </c>
      <c r="T55" s="15">
        <v>0</v>
      </c>
      <c r="U55" s="15">
        <v>0</v>
      </c>
      <c r="V55" s="15">
        <v>1</v>
      </c>
      <c r="W55" s="15">
        <v>3</v>
      </c>
      <c r="X55" s="15">
        <v>2</v>
      </c>
      <c r="Y55" s="15">
        <v>4</v>
      </c>
      <c r="Z55" s="15">
        <v>2</v>
      </c>
      <c r="AA55" s="15">
        <v>3</v>
      </c>
      <c r="AB55" s="13">
        <f t="shared" si="13"/>
        <v>52</v>
      </c>
    </row>
    <row r="56" spans="1:28" ht="12.75" customHeight="1" x14ac:dyDescent="0.3">
      <c r="A56" s="14"/>
      <c r="B56" s="27">
        <v>2</v>
      </c>
      <c r="C56" s="28" t="s">
        <v>49</v>
      </c>
      <c r="D56" s="29"/>
      <c r="E56" s="15">
        <v>1</v>
      </c>
      <c r="F56" s="15">
        <v>2</v>
      </c>
      <c r="G56" s="15">
        <v>0</v>
      </c>
      <c r="H56" s="15">
        <v>1</v>
      </c>
      <c r="I56" s="15">
        <v>0</v>
      </c>
      <c r="J56" s="15">
        <v>1</v>
      </c>
      <c r="K56" s="15">
        <v>1</v>
      </c>
      <c r="L56" s="15">
        <v>2</v>
      </c>
      <c r="M56" s="15">
        <v>0</v>
      </c>
      <c r="N56" s="15">
        <v>0</v>
      </c>
      <c r="O56" s="15">
        <v>1</v>
      </c>
      <c r="P56" s="15">
        <v>0</v>
      </c>
      <c r="Q56" s="15">
        <v>0</v>
      </c>
      <c r="R56" s="15">
        <v>1</v>
      </c>
      <c r="S56" s="15">
        <v>0</v>
      </c>
      <c r="T56" s="15">
        <v>0</v>
      </c>
      <c r="U56" s="15">
        <v>0</v>
      </c>
      <c r="V56" s="15">
        <v>0</v>
      </c>
      <c r="W56" s="15">
        <v>2</v>
      </c>
      <c r="X56" s="15">
        <v>5</v>
      </c>
      <c r="Y56" s="15">
        <v>0</v>
      </c>
      <c r="Z56" s="15">
        <v>0</v>
      </c>
      <c r="AA56" s="15">
        <v>0</v>
      </c>
      <c r="AB56" s="13">
        <f t="shared" si="13"/>
        <v>17</v>
      </c>
    </row>
    <row r="57" spans="1:28" ht="12.75" customHeight="1" x14ac:dyDescent="0.3">
      <c r="A57" s="14"/>
      <c r="B57" s="27">
        <v>3</v>
      </c>
      <c r="C57" s="28" t="s">
        <v>50</v>
      </c>
      <c r="D57" s="29"/>
      <c r="E57" s="15">
        <v>0</v>
      </c>
      <c r="F57" s="15">
        <v>1</v>
      </c>
      <c r="G57" s="15">
        <v>0</v>
      </c>
      <c r="H57" s="15">
        <v>0</v>
      </c>
      <c r="I57" s="15">
        <v>0</v>
      </c>
      <c r="J57" s="15">
        <v>0</v>
      </c>
      <c r="K57" s="15">
        <v>1</v>
      </c>
      <c r="L57" s="15">
        <v>0</v>
      </c>
      <c r="M57" s="15">
        <v>1</v>
      </c>
      <c r="N57" s="15">
        <v>0</v>
      </c>
      <c r="O57" s="15">
        <v>0</v>
      </c>
      <c r="P57" s="15">
        <v>1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1</v>
      </c>
      <c r="X57" s="15">
        <v>1</v>
      </c>
      <c r="Y57" s="15">
        <v>1</v>
      </c>
      <c r="Z57" s="15">
        <v>1</v>
      </c>
      <c r="AA57" s="15">
        <v>0</v>
      </c>
      <c r="AB57" s="13">
        <f t="shared" si="13"/>
        <v>9</v>
      </c>
    </row>
    <row r="58" spans="1:28" ht="12.75" customHeight="1" x14ac:dyDescent="0.3">
      <c r="A58" s="14"/>
      <c r="B58" s="27">
        <v>4</v>
      </c>
      <c r="C58" s="28" t="s">
        <v>51</v>
      </c>
      <c r="D58" s="29"/>
      <c r="E58" s="15">
        <v>1</v>
      </c>
      <c r="F58" s="15">
        <v>0</v>
      </c>
      <c r="G58" s="15">
        <v>0</v>
      </c>
      <c r="H58" s="15">
        <v>0</v>
      </c>
      <c r="I58" s="15">
        <v>1</v>
      </c>
      <c r="J58" s="15">
        <v>1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1</v>
      </c>
      <c r="Q58" s="15">
        <v>0</v>
      </c>
      <c r="R58" s="15">
        <v>4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1</v>
      </c>
      <c r="AA58" s="15">
        <v>0</v>
      </c>
      <c r="AB58" s="13">
        <f t="shared" si="13"/>
        <v>9</v>
      </c>
    </row>
    <row r="59" spans="1:28" ht="12.75" customHeight="1" x14ac:dyDescent="0.3">
      <c r="A59" s="14"/>
      <c r="B59" s="27">
        <v>5</v>
      </c>
      <c r="C59" s="28" t="s">
        <v>52</v>
      </c>
      <c r="D59" s="29"/>
      <c r="E59" s="15">
        <v>0</v>
      </c>
      <c r="F59" s="15">
        <v>0</v>
      </c>
      <c r="G59" s="15">
        <v>0</v>
      </c>
      <c r="H59" s="15">
        <v>0</v>
      </c>
      <c r="I59" s="15">
        <v>2</v>
      </c>
      <c r="J59" s="15">
        <v>0</v>
      </c>
      <c r="K59" s="15">
        <v>0</v>
      </c>
      <c r="L59" s="15">
        <v>0</v>
      </c>
      <c r="M59" s="15">
        <v>1</v>
      </c>
      <c r="N59" s="15">
        <v>0</v>
      </c>
      <c r="O59" s="15">
        <v>1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1</v>
      </c>
      <c r="AA59" s="15">
        <v>1</v>
      </c>
      <c r="AB59" s="13">
        <f t="shared" si="13"/>
        <v>6</v>
      </c>
    </row>
    <row r="60" spans="1:28" ht="12.75" customHeight="1" x14ac:dyDescent="0.3">
      <c r="A60" s="14"/>
      <c r="B60" s="27">
        <v>6</v>
      </c>
      <c r="C60" s="28" t="s">
        <v>53</v>
      </c>
      <c r="D60" s="29"/>
      <c r="E60" s="15">
        <v>1</v>
      </c>
      <c r="F60" s="15">
        <v>0</v>
      </c>
      <c r="G60" s="15">
        <v>0</v>
      </c>
      <c r="H60" s="15">
        <v>0</v>
      </c>
      <c r="I60" s="15">
        <v>0</v>
      </c>
      <c r="J60" s="15">
        <v>1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1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3</v>
      </c>
      <c r="Y60" s="15">
        <v>0</v>
      </c>
      <c r="Z60" s="15">
        <v>0</v>
      </c>
      <c r="AA60" s="15">
        <v>1</v>
      </c>
      <c r="AB60" s="13">
        <f t="shared" si="13"/>
        <v>7</v>
      </c>
    </row>
    <row r="61" spans="1:28" ht="12.75" customHeight="1" x14ac:dyDescent="0.3">
      <c r="A61" s="15" t="s">
        <v>15</v>
      </c>
      <c r="B61" s="47" t="s">
        <v>46</v>
      </c>
      <c r="C61" s="48"/>
      <c r="D61" s="49"/>
      <c r="E61" s="34">
        <f t="shared" ref="E61:AA61" si="15">SUM(E54:E60)</f>
        <v>14</v>
      </c>
      <c r="F61" s="34">
        <f t="shared" si="15"/>
        <v>5</v>
      </c>
      <c r="G61" s="34">
        <f t="shared" si="15"/>
        <v>5</v>
      </c>
      <c r="H61" s="34">
        <f t="shared" si="15"/>
        <v>13</v>
      </c>
      <c r="I61" s="34">
        <f t="shared" si="15"/>
        <v>10</v>
      </c>
      <c r="J61" s="34">
        <f t="shared" si="15"/>
        <v>16</v>
      </c>
      <c r="K61" s="34">
        <f t="shared" si="15"/>
        <v>6</v>
      </c>
      <c r="L61" s="34">
        <f t="shared" si="15"/>
        <v>11</v>
      </c>
      <c r="M61" s="34">
        <f t="shared" si="15"/>
        <v>9</v>
      </c>
      <c r="N61" s="34">
        <f t="shared" si="15"/>
        <v>7</v>
      </c>
      <c r="O61" s="34">
        <f t="shared" si="15"/>
        <v>13</v>
      </c>
      <c r="P61" s="34">
        <f t="shared" si="15"/>
        <v>7</v>
      </c>
      <c r="Q61" s="34">
        <f t="shared" si="15"/>
        <v>2</v>
      </c>
      <c r="R61" s="34">
        <f t="shared" si="15"/>
        <v>14</v>
      </c>
      <c r="S61" s="34">
        <f t="shared" si="15"/>
        <v>6</v>
      </c>
      <c r="T61" s="34">
        <f t="shared" si="15"/>
        <v>2</v>
      </c>
      <c r="U61" s="34">
        <f t="shared" si="15"/>
        <v>2</v>
      </c>
      <c r="V61" s="34">
        <f t="shared" si="15"/>
        <v>2</v>
      </c>
      <c r="W61" s="34">
        <f t="shared" si="15"/>
        <v>6</v>
      </c>
      <c r="X61" s="34">
        <f t="shared" si="15"/>
        <v>18</v>
      </c>
      <c r="Y61" s="34">
        <f t="shared" si="15"/>
        <v>5</v>
      </c>
      <c r="Z61" s="34">
        <f t="shared" si="15"/>
        <v>9</v>
      </c>
      <c r="AA61" s="34">
        <f t="shared" si="15"/>
        <v>14</v>
      </c>
      <c r="AB61" s="13">
        <f t="shared" si="13"/>
        <v>196</v>
      </c>
    </row>
    <row r="62" spans="1:28" ht="12.75" customHeight="1" x14ac:dyDescent="0.3">
      <c r="A62" s="35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13">
        <f t="shared" si="13"/>
        <v>0</v>
      </c>
    </row>
    <row r="63" spans="1:28" ht="12.75" customHeight="1" x14ac:dyDescent="0.3">
      <c r="A63" s="19" t="s">
        <v>37</v>
      </c>
      <c r="B63" s="26" t="s">
        <v>21</v>
      </c>
      <c r="C63" s="50" t="s">
        <v>54</v>
      </c>
      <c r="D63" s="49"/>
      <c r="E63" s="15">
        <v>12</v>
      </c>
      <c r="F63" s="15">
        <v>5</v>
      </c>
      <c r="G63" s="15">
        <v>8</v>
      </c>
      <c r="H63" s="15">
        <v>7</v>
      </c>
      <c r="I63" s="15">
        <v>22</v>
      </c>
      <c r="J63" s="15">
        <v>11</v>
      </c>
      <c r="K63" s="15">
        <v>6</v>
      </c>
      <c r="L63" s="15">
        <v>10</v>
      </c>
      <c r="M63" s="15">
        <v>18</v>
      </c>
      <c r="N63" s="15">
        <v>12</v>
      </c>
      <c r="O63" s="15">
        <v>26</v>
      </c>
      <c r="P63" s="15">
        <v>13</v>
      </c>
      <c r="Q63" s="15">
        <v>6</v>
      </c>
      <c r="R63" s="15">
        <v>9</v>
      </c>
      <c r="S63" s="15">
        <v>13</v>
      </c>
      <c r="T63" s="15">
        <v>6</v>
      </c>
      <c r="U63" s="15">
        <v>14</v>
      </c>
      <c r="V63" s="15">
        <v>22</v>
      </c>
      <c r="W63" s="15">
        <v>11</v>
      </c>
      <c r="X63" s="15">
        <v>12</v>
      </c>
      <c r="Y63" s="15">
        <v>11</v>
      </c>
      <c r="Z63" s="15">
        <v>12</v>
      </c>
      <c r="AA63" s="15">
        <v>13</v>
      </c>
      <c r="AB63" s="13">
        <f t="shared" si="13"/>
        <v>279</v>
      </c>
    </row>
    <row r="64" spans="1:28" ht="12.75" customHeight="1" x14ac:dyDescent="0.3">
      <c r="A64" s="19" t="s">
        <v>39</v>
      </c>
      <c r="B64" s="27">
        <v>1</v>
      </c>
      <c r="C64" s="28" t="s">
        <v>55</v>
      </c>
      <c r="D64" s="29"/>
      <c r="E64" s="15">
        <v>35</v>
      </c>
      <c r="F64" s="15">
        <v>104</v>
      </c>
      <c r="G64" s="15">
        <v>36</v>
      </c>
      <c r="H64" s="15">
        <v>37</v>
      </c>
      <c r="I64" s="15">
        <v>86</v>
      </c>
      <c r="J64" s="15">
        <v>36</v>
      </c>
      <c r="K64" s="15">
        <v>22</v>
      </c>
      <c r="L64" s="15">
        <v>4</v>
      </c>
      <c r="M64" s="15">
        <v>39</v>
      </c>
      <c r="N64" s="15">
        <v>45</v>
      </c>
      <c r="O64" s="15">
        <v>117</v>
      </c>
      <c r="P64" s="15">
        <v>49</v>
      </c>
      <c r="Q64" s="15">
        <v>73</v>
      </c>
      <c r="R64" s="15">
        <v>19</v>
      </c>
      <c r="S64" s="15">
        <v>84</v>
      </c>
      <c r="T64" s="15">
        <v>45</v>
      </c>
      <c r="U64" s="15">
        <v>84</v>
      </c>
      <c r="V64" s="15">
        <v>59</v>
      </c>
      <c r="W64" s="15">
        <v>68</v>
      </c>
      <c r="X64" s="15">
        <v>62</v>
      </c>
      <c r="Y64" s="15">
        <v>57</v>
      </c>
      <c r="Z64" s="15">
        <v>81</v>
      </c>
      <c r="AA64" s="15">
        <v>58</v>
      </c>
      <c r="AB64" s="13">
        <f t="shared" si="13"/>
        <v>1300</v>
      </c>
    </row>
    <row r="65" spans="1:28" ht="12.75" customHeight="1" x14ac:dyDescent="0.3">
      <c r="A65" s="14"/>
      <c r="B65" s="27">
        <v>2</v>
      </c>
      <c r="C65" s="28" t="s">
        <v>56</v>
      </c>
      <c r="D65" s="29"/>
      <c r="E65" s="15">
        <v>1</v>
      </c>
      <c r="F65" s="15">
        <v>3</v>
      </c>
      <c r="G65" s="15">
        <v>3</v>
      </c>
      <c r="H65" s="15">
        <v>5</v>
      </c>
      <c r="I65" s="15">
        <v>3</v>
      </c>
      <c r="J65" s="15">
        <v>2</v>
      </c>
      <c r="K65" s="15">
        <v>3</v>
      </c>
      <c r="L65" s="15">
        <v>1</v>
      </c>
      <c r="M65" s="15">
        <v>2</v>
      </c>
      <c r="N65" s="15">
        <v>1</v>
      </c>
      <c r="O65" s="15">
        <v>4</v>
      </c>
      <c r="P65" s="15">
        <v>1</v>
      </c>
      <c r="Q65" s="15">
        <v>1</v>
      </c>
      <c r="R65" s="15">
        <v>1</v>
      </c>
      <c r="S65" s="15">
        <v>2</v>
      </c>
      <c r="T65" s="15">
        <v>2</v>
      </c>
      <c r="U65" s="15">
        <v>0</v>
      </c>
      <c r="V65" s="15">
        <v>2</v>
      </c>
      <c r="W65" s="15">
        <v>3</v>
      </c>
      <c r="X65" s="15">
        <v>3</v>
      </c>
      <c r="Y65" s="15">
        <v>5</v>
      </c>
      <c r="Z65" s="15">
        <v>3</v>
      </c>
      <c r="AA65" s="15">
        <v>1</v>
      </c>
      <c r="AB65" s="13">
        <f t="shared" si="13"/>
        <v>52</v>
      </c>
    </row>
    <row r="66" spans="1:28" ht="12.75" customHeight="1" x14ac:dyDescent="0.3">
      <c r="A66" s="14"/>
      <c r="B66" s="27">
        <v>3</v>
      </c>
      <c r="C66" s="28" t="s">
        <v>57</v>
      </c>
      <c r="D66" s="29"/>
      <c r="E66" s="15">
        <v>4</v>
      </c>
      <c r="F66" s="15">
        <v>2</v>
      </c>
      <c r="G66" s="15">
        <v>2</v>
      </c>
      <c r="H66" s="15">
        <v>5</v>
      </c>
      <c r="I66" s="15">
        <v>6</v>
      </c>
      <c r="J66" s="15">
        <v>3</v>
      </c>
      <c r="K66" s="15">
        <v>6</v>
      </c>
      <c r="L66" s="15">
        <v>4</v>
      </c>
      <c r="M66" s="15">
        <v>0</v>
      </c>
      <c r="N66" s="15">
        <v>3</v>
      </c>
      <c r="O66" s="15">
        <v>4</v>
      </c>
      <c r="P66" s="15">
        <v>1</v>
      </c>
      <c r="Q66" s="15">
        <v>1</v>
      </c>
      <c r="R66" s="15">
        <v>9</v>
      </c>
      <c r="S66" s="15">
        <v>9</v>
      </c>
      <c r="T66" s="15">
        <v>13</v>
      </c>
      <c r="U66" s="15">
        <v>13</v>
      </c>
      <c r="V66" s="15">
        <v>1</v>
      </c>
      <c r="W66" s="15">
        <v>9</v>
      </c>
      <c r="X66" s="15">
        <v>8</v>
      </c>
      <c r="Y66" s="15">
        <v>8</v>
      </c>
      <c r="Z66" s="15">
        <v>5</v>
      </c>
      <c r="AA66" s="15">
        <v>24</v>
      </c>
      <c r="AB66" s="13">
        <f t="shared" si="13"/>
        <v>140</v>
      </c>
    </row>
    <row r="67" spans="1:28" ht="15" customHeight="1" x14ac:dyDescent="0.3">
      <c r="A67" s="14"/>
      <c r="B67" s="27">
        <v>4</v>
      </c>
      <c r="C67" s="28" t="s">
        <v>58</v>
      </c>
      <c r="D67" s="29"/>
      <c r="E67" s="15">
        <v>1</v>
      </c>
      <c r="F67" s="15">
        <v>1</v>
      </c>
      <c r="G67" s="15">
        <v>1</v>
      </c>
      <c r="H67" s="15">
        <v>1</v>
      </c>
      <c r="I67" s="15">
        <v>0</v>
      </c>
      <c r="J67" s="15">
        <v>0</v>
      </c>
      <c r="K67" s="15">
        <v>1</v>
      </c>
      <c r="L67" s="15">
        <v>1</v>
      </c>
      <c r="M67" s="15">
        <v>0</v>
      </c>
      <c r="N67" s="15">
        <v>0</v>
      </c>
      <c r="O67" s="15">
        <v>1</v>
      </c>
      <c r="P67" s="15">
        <v>0</v>
      </c>
      <c r="Q67" s="15">
        <v>0</v>
      </c>
      <c r="R67" s="15">
        <v>1</v>
      </c>
      <c r="S67" s="15">
        <v>2</v>
      </c>
      <c r="T67" s="15">
        <v>1</v>
      </c>
      <c r="U67" s="15">
        <v>2</v>
      </c>
      <c r="V67" s="15">
        <v>0</v>
      </c>
      <c r="W67" s="15">
        <v>2</v>
      </c>
      <c r="X67" s="15">
        <v>3</v>
      </c>
      <c r="Y67" s="15">
        <v>20</v>
      </c>
      <c r="Z67" s="15">
        <v>7</v>
      </c>
      <c r="AA67" s="15">
        <v>1</v>
      </c>
      <c r="AB67" s="13">
        <f t="shared" si="13"/>
        <v>46</v>
      </c>
    </row>
    <row r="68" spans="1:28" ht="12.75" customHeight="1" x14ac:dyDescent="0.3">
      <c r="A68" s="14"/>
      <c r="B68" s="27">
        <v>5</v>
      </c>
      <c r="C68" s="28" t="s">
        <v>59</v>
      </c>
      <c r="D68" s="29"/>
      <c r="E68" s="15">
        <v>0</v>
      </c>
      <c r="F68" s="15">
        <v>0</v>
      </c>
      <c r="G68" s="15">
        <v>0</v>
      </c>
      <c r="H68" s="15">
        <v>0</v>
      </c>
      <c r="I68" s="15">
        <v>1</v>
      </c>
      <c r="J68" s="15">
        <v>1</v>
      </c>
      <c r="K68" s="15">
        <v>0</v>
      </c>
      <c r="L68" s="15">
        <v>0</v>
      </c>
      <c r="M68" s="15">
        <v>0</v>
      </c>
      <c r="N68" s="15">
        <v>0</v>
      </c>
      <c r="O68" s="15">
        <v>1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1</v>
      </c>
      <c r="V68" s="15">
        <v>0</v>
      </c>
      <c r="W68" s="15">
        <v>0</v>
      </c>
      <c r="X68" s="15">
        <v>1</v>
      </c>
      <c r="Y68" s="15">
        <v>1</v>
      </c>
      <c r="Z68" s="15">
        <v>1</v>
      </c>
      <c r="AA68" s="15">
        <v>0</v>
      </c>
      <c r="AB68" s="13">
        <f t="shared" si="13"/>
        <v>7</v>
      </c>
    </row>
    <row r="69" spans="1:28" ht="12.75" customHeight="1" x14ac:dyDescent="0.3">
      <c r="A69" s="14"/>
      <c r="B69" s="27">
        <v>6</v>
      </c>
      <c r="C69" s="28" t="s">
        <v>60</v>
      </c>
      <c r="D69" s="29"/>
      <c r="E69" s="15">
        <v>0</v>
      </c>
      <c r="F69" s="15">
        <v>0</v>
      </c>
      <c r="G69" s="15">
        <v>0</v>
      </c>
      <c r="H69" s="15">
        <v>0</v>
      </c>
      <c r="I69" s="15">
        <v>2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1</v>
      </c>
      <c r="Q69" s="15">
        <v>0</v>
      </c>
      <c r="R69" s="15">
        <v>0</v>
      </c>
      <c r="S69" s="15">
        <v>0</v>
      </c>
      <c r="T69" s="15">
        <v>1</v>
      </c>
      <c r="U69" s="15">
        <v>0</v>
      </c>
      <c r="V69" s="15">
        <v>0</v>
      </c>
      <c r="W69" s="15">
        <v>0</v>
      </c>
      <c r="X69" s="15">
        <v>0</v>
      </c>
      <c r="Y69" s="15">
        <v>2</v>
      </c>
      <c r="Z69" s="15">
        <v>2</v>
      </c>
      <c r="AA69" s="15">
        <v>2</v>
      </c>
      <c r="AB69" s="13">
        <f t="shared" si="13"/>
        <v>10</v>
      </c>
    </row>
    <row r="70" spans="1:28" ht="12.75" customHeight="1" x14ac:dyDescent="0.3">
      <c r="A70" s="15" t="s">
        <v>15</v>
      </c>
      <c r="B70" s="47" t="s">
        <v>46</v>
      </c>
      <c r="C70" s="48"/>
      <c r="D70" s="49"/>
      <c r="E70" s="34">
        <f t="shared" ref="E70:AA70" si="16">SUM(E63:E69)</f>
        <v>53</v>
      </c>
      <c r="F70" s="34">
        <f t="shared" si="16"/>
        <v>115</v>
      </c>
      <c r="G70" s="34">
        <f t="shared" si="16"/>
        <v>50</v>
      </c>
      <c r="H70" s="34">
        <f t="shared" si="16"/>
        <v>55</v>
      </c>
      <c r="I70" s="34">
        <f t="shared" si="16"/>
        <v>120</v>
      </c>
      <c r="J70" s="34">
        <f t="shared" si="16"/>
        <v>53</v>
      </c>
      <c r="K70" s="34">
        <f t="shared" si="16"/>
        <v>38</v>
      </c>
      <c r="L70" s="34">
        <f t="shared" si="16"/>
        <v>20</v>
      </c>
      <c r="M70" s="34">
        <f t="shared" si="16"/>
        <v>59</v>
      </c>
      <c r="N70" s="34">
        <f t="shared" si="16"/>
        <v>61</v>
      </c>
      <c r="O70" s="34">
        <f t="shared" si="16"/>
        <v>153</v>
      </c>
      <c r="P70" s="34">
        <f t="shared" si="16"/>
        <v>65</v>
      </c>
      <c r="Q70" s="34">
        <f t="shared" si="16"/>
        <v>81</v>
      </c>
      <c r="R70" s="34">
        <f t="shared" si="16"/>
        <v>39</v>
      </c>
      <c r="S70" s="34">
        <f t="shared" si="16"/>
        <v>110</v>
      </c>
      <c r="T70" s="34">
        <f t="shared" si="16"/>
        <v>68</v>
      </c>
      <c r="U70" s="34">
        <f t="shared" si="16"/>
        <v>114</v>
      </c>
      <c r="V70" s="34">
        <f t="shared" si="16"/>
        <v>84</v>
      </c>
      <c r="W70" s="34">
        <f t="shared" si="16"/>
        <v>93</v>
      </c>
      <c r="X70" s="34">
        <f t="shared" si="16"/>
        <v>89</v>
      </c>
      <c r="Y70" s="34">
        <f t="shared" si="16"/>
        <v>104</v>
      </c>
      <c r="Z70" s="34">
        <f t="shared" si="16"/>
        <v>111</v>
      </c>
      <c r="AA70" s="34">
        <f t="shared" si="16"/>
        <v>99</v>
      </c>
      <c r="AB70" s="13">
        <f t="shared" si="13"/>
        <v>1834</v>
      </c>
    </row>
    <row r="71" spans="1:28" ht="12.75" customHeight="1" x14ac:dyDescent="0.3">
      <c r="A71" s="35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13">
        <f t="shared" si="13"/>
        <v>0</v>
      </c>
    </row>
    <row r="72" spans="1:28" ht="12.75" customHeight="1" x14ac:dyDescent="0.3">
      <c r="A72" s="19" t="s">
        <v>37</v>
      </c>
      <c r="B72" s="26" t="s">
        <v>23</v>
      </c>
      <c r="C72" s="50" t="s">
        <v>61</v>
      </c>
      <c r="D72" s="49"/>
      <c r="E72" s="15">
        <v>3</v>
      </c>
      <c r="F72" s="15">
        <v>4</v>
      </c>
      <c r="G72" s="15">
        <v>6</v>
      </c>
      <c r="H72" s="15">
        <v>1</v>
      </c>
      <c r="I72" s="15">
        <v>1</v>
      </c>
      <c r="J72" s="15">
        <v>1</v>
      </c>
      <c r="K72" s="15">
        <v>1</v>
      </c>
      <c r="L72" s="15">
        <v>5</v>
      </c>
      <c r="M72" s="15">
        <v>1</v>
      </c>
      <c r="N72" s="15">
        <v>1</v>
      </c>
      <c r="O72" s="15">
        <v>1</v>
      </c>
      <c r="P72" s="15">
        <v>3</v>
      </c>
      <c r="Q72" s="15">
        <v>2</v>
      </c>
      <c r="R72" s="15">
        <v>1</v>
      </c>
      <c r="S72" s="15">
        <v>0</v>
      </c>
      <c r="T72" s="15">
        <v>2</v>
      </c>
      <c r="U72" s="15">
        <v>0</v>
      </c>
      <c r="V72" s="15">
        <v>2</v>
      </c>
      <c r="W72" s="15">
        <v>4</v>
      </c>
      <c r="X72" s="15">
        <v>1</v>
      </c>
      <c r="Y72" s="15">
        <v>4</v>
      </c>
      <c r="Z72" s="15">
        <v>2</v>
      </c>
      <c r="AA72" s="15">
        <v>1</v>
      </c>
      <c r="AB72" s="13">
        <f t="shared" si="13"/>
        <v>47</v>
      </c>
    </row>
    <row r="73" spans="1:28" ht="12.75" customHeight="1" x14ac:dyDescent="0.3">
      <c r="A73" s="19" t="s">
        <v>39</v>
      </c>
      <c r="B73" s="27">
        <v>1</v>
      </c>
      <c r="C73" s="28" t="s">
        <v>62</v>
      </c>
      <c r="D73" s="29"/>
      <c r="E73" s="15">
        <v>1</v>
      </c>
      <c r="F73" s="15">
        <v>8</v>
      </c>
      <c r="G73" s="15">
        <v>6</v>
      </c>
      <c r="H73" s="15">
        <v>3</v>
      </c>
      <c r="I73" s="15">
        <v>2</v>
      </c>
      <c r="J73" s="15">
        <v>4</v>
      </c>
      <c r="K73" s="15">
        <v>29</v>
      </c>
      <c r="L73" s="15">
        <v>30</v>
      </c>
      <c r="M73" s="15">
        <v>11</v>
      </c>
      <c r="N73" s="15">
        <v>1</v>
      </c>
      <c r="O73" s="15">
        <v>0</v>
      </c>
      <c r="P73" s="15">
        <v>44</v>
      </c>
      <c r="Q73" s="15">
        <v>5</v>
      </c>
      <c r="R73" s="15">
        <v>4</v>
      </c>
      <c r="S73" s="15">
        <v>3</v>
      </c>
      <c r="T73" s="15">
        <v>3</v>
      </c>
      <c r="U73" s="15">
        <v>4</v>
      </c>
      <c r="V73" s="15">
        <v>0</v>
      </c>
      <c r="W73" s="15">
        <v>6</v>
      </c>
      <c r="X73" s="15">
        <v>5</v>
      </c>
      <c r="Y73" s="15">
        <v>16</v>
      </c>
      <c r="Z73" s="15">
        <v>0</v>
      </c>
      <c r="AA73" s="15">
        <v>7</v>
      </c>
      <c r="AB73" s="13">
        <f t="shared" si="13"/>
        <v>192</v>
      </c>
    </row>
    <row r="74" spans="1:28" ht="12.75" customHeight="1" x14ac:dyDescent="0.3">
      <c r="A74" s="14"/>
      <c r="B74" s="27">
        <v>2</v>
      </c>
      <c r="C74" s="28" t="s">
        <v>63</v>
      </c>
      <c r="D74" s="29"/>
      <c r="E74" s="15">
        <v>2</v>
      </c>
      <c r="F74" s="15">
        <v>1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1</v>
      </c>
      <c r="Q74" s="15">
        <v>0</v>
      </c>
      <c r="R74" s="15">
        <v>0</v>
      </c>
      <c r="S74" s="15">
        <v>1</v>
      </c>
      <c r="T74" s="15">
        <v>0</v>
      </c>
      <c r="U74" s="15">
        <v>0</v>
      </c>
      <c r="V74" s="15">
        <v>0</v>
      </c>
      <c r="W74" s="15">
        <v>1</v>
      </c>
      <c r="X74" s="15">
        <v>0</v>
      </c>
      <c r="Y74" s="15">
        <v>0</v>
      </c>
      <c r="Z74" s="15">
        <v>0</v>
      </c>
      <c r="AA74" s="15">
        <v>0</v>
      </c>
      <c r="AB74" s="13">
        <f t="shared" si="13"/>
        <v>6</v>
      </c>
    </row>
    <row r="75" spans="1:28" ht="12.75" customHeight="1" x14ac:dyDescent="0.3">
      <c r="A75" s="14"/>
      <c r="B75" s="27">
        <v>3</v>
      </c>
      <c r="C75" s="28" t="s">
        <v>64</v>
      </c>
      <c r="D75" s="29"/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1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1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3">
        <f t="shared" si="13"/>
        <v>2</v>
      </c>
    </row>
    <row r="76" spans="1:28" ht="12.75" customHeight="1" x14ac:dyDescent="0.3">
      <c r="A76" s="14"/>
      <c r="B76" s="27">
        <v>4</v>
      </c>
      <c r="C76" s="28" t="s">
        <v>65</v>
      </c>
      <c r="D76" s="29"/>
      <c r="E76" s="15">
        <v>0</v>
      </c>
      <c r="F76" s="15">
        <v>1</v>
      </c>
      <c r="G76" s="15">
        <v>0</v>
      </c>
      <c r="H76" s="15">
        <v>0</v>
      </c>
      <c r="I76" s="15">
        <v>1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3">
        <f t="shared" si="13"/>
        <v>2</v>
      </c>
    </row>
    <row r="77" spans="1:28" ht="12.75" customHeight="1" x14ac:dyDescent="0.3">
      <c r="A77" s="14"/>
      <c r="B77" s="27">
        <v>5</v>
      </c>
      <c r="C77" s="28" t="s">
        <v>66</v>
      </c>
      <c r="D77" s="29"/>
      <c r="E77" s="15">
        <v>0</v>
      </c>
      <c r="F77" s="15">
        <v>1</v>
      </c>
      <c r="G77" s="15">
        <v>1</v>
      </c>
      <c r="H77" s="15">
        <v>0</v>
      </c>
      <c r="I77" s="15">
        <v>5</v>
      </c>
      <c r="J77" s="15">
        <v>3</v>
      </c>
      <c r="K77" s="15">
        <v>0</v>
      </c>
      <c r="L77" s="15">
        <v>1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1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1</v>
      </c>
      <c r="AB77" s="13">
        <f t="shared" si="13"/>
        <v>13</v>
      </c>
    </row>
    <row r="78" spans="1:28" ht="12.75" customHeight="1" x14ac:dyDescent="0.3">
      <c r="A78" s="14"/>
      <c r="B78" s="27">
        <v>6</v>
      </c>
      <c r="C78" s="28" t="s">
        <v>67</v>
      </c>
      <c r="D78" s="29"/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1</v>
      </c>
      <c r="L78" s="15">
        <v>0</v>
      </c>
      <c r="M78" s="15">
        <v>3</v>
      </c>
      <c r="N78" s="15">
        <v>0</v>
      </c>
      <c r="O78" s="15">
        <v>1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1</v>
      </c>
      <c r="Y78" s="15">
        <v>0</v>
      </c>
      <c r="Z78" s="15">
        <v>0</v>
      </c>
      <c r="AA78" s="15">
        <v>0</v>
      </c>
      <c r="AB78" s="13">
        <f t="shared" si="13"/>
        <v>6</v>
      </c>
    </row>
    <row r="79" spans="1:28" ht="15" customHeight="1" x14ac:dyDescent="0.3">
      <c r="A79" s="15" t="s">
        <v>15</v>
      </c>
      <c r="B79" s="47" t="s">
        <v>46</v>
      </c>
      <c r="C79" s="48"/>
      <c r="D79" s="49"/>
      <c r="E79" s="34">
        <f t="shared" ref="E79:AA79" si="17">SUM(E72:E78)</f>
        <v>6</v>
      </c>
      <c r="F79" s="34">
        <f t="shared" si="17"/>
        <v>15</v>
      </c>
      <c r="G79" s="34">
        <f t="shared" si="17"/>
        <v>13</v>
      </c>
      <c r="H79" s="34">
        <f t="shared" si="17"/>
        <v>4</v>
      </c>
      <c r="I79" s="34">
        <f t="shared" si="17"/>
        <v>9</v>
      </c>
      <c r="J79" s="34">
        <f t="shared" si="17"/>
        <v>9</v>
      </c>
      <c r="K79" s="34">
        <f t="shared" si="17"/>
        <v>31</v>
      </c>
      <c r="L79" s="34">
        <f t="shared" si="17"/>
        <v>36</v>
      </c>
      <c r="M79" s="34">
        <f t="shared" si="17"/>
        <v>15</v>
      </c>
      <c r="N79" s="34">
        <f t="shared" si="17"/>
        <v>2</v>
      </c>
      <c r="O79" s="34">
        <f t="shared" si="17"/>
        <v>2</v>
      </c>
      <c r="P79" s="34">
        <f t="shared" si="17"/>
        <v>49</v>
      </c>
      <c r="Q79" s="34">
        <f t="shared" si="17"/>
        <v>7</v>
      </c>
      <c r="R79" s="34">
        <f t="shared" si="17"/>
        <v>6</v>
      </c>
      <c r="S79" s="34">
        <f t="shared" si="17"/>
        <v>4</v>
      </c>
      <c r="T79" s="34">
        <f t="shared" si="17"/>
        <v>5</v>
      </c>
      <c r="U79" s="34">
        <f t="shared" si="17"/>
        <v>4</v>
      </c>
      <c r="V79" s="34">
        <f t="shared" si="17"/>
        <v>2</v>
      </c>
      <c r="W79" s="34">
        <f t="shared" si="17"/>
        <v>11</v>
      </c>
      <c r="X79" s="34">
        <f t="shared" si="17"/>
        <v>7</v>
      </c>
      <c r="Y79" s="34">
        <f t="shared" si="17"/>
        <v>20</v>
      </c>
      <c r="Z79" s="34">
        <f t="shared" si="17"/>
        <v>2</v>
      </c>
      <c r="AA79" s="34">
        <f t="shared" si="17"/>
        <v>9</v>
      </c>
      <c r="AB79" s="13">
        <f t="shared" si="13"/>
        <v>268</v>
      </c>
    </row>
    <row r="80" spans="1:28" ht="12.75" customHeight="1" x14ac:dyDescent="0.3">
      <c r="A80" s="35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13">
        <f t="shared" si="13"/>
        <v>0</v>
      </c>
    </row>
    <row r="81" spans="1:28" ht="12.75" customHeight="1" x14ac:dyDescent="0.3">
      <c r="A81" s="19" t="s">
        <v>37</v>
      </c>
      <c r="B81" s="26" t="s">
        <v>68</v>
      </c>
      <c r="C81" s="50" t="s">
        <v>69</v>
      </c>
      <c r="D81" s="49"/>
      <c r="E81" s="15">
        <v>2</v>
      </c>
      <c r="F81" s="15">
        <v>1</v>
      </c>
      <c r="G81" s="15">
        <v>2</v>
      </c>
      <c r="H81" s="15">
        <v>3</v>
      </c>
      <c r="I81" s="15">
        <v>0</v>
      </c>
      <c r="J81" s="15">
        <v>0</v>
      </c>
      <c r="K81" s="15">
        <v>1</v>
      </c>
      <c r="L81" s="15">
        <v>4</v>
      </c>
      <c r="M81" s="15">
        <v>9</v>
      </c>
      <c r="N81" s="15">
        <v>11</v>
      </c>
      <c r="O81" s="15">
        <v>0</v>
      </c>
      <c r="P81" s="15">
        <v>4</v>
      </c>
      <c r="Q81" s="15">
        <v>1</v>
      </c>
      <c r="R81" s="15">
        <v>3</v>
      </c>
      <c r="S81" s="15">
        <v>1</v>
      </c>
      <c r="T81" s="15">
        <v>0</v>
      </c>
      <c r="U81" s="15">
        <v>0</v>
      </c>
      <c r="V81" s="15">
        <v>1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3">
        <f t="shared" si="13"/>
        <v>43</v>
      </c>
    </row>
    <row r="82" spans="1:28" ht="12.75" customHeight="1" x14ac:dyDescent="0.3">
      <c r="A82" s="19" t="s">
        <v>39</v>
      </c>
      <c r="B82" s="27">
        <v>1</v>
      </c>
      <c r="C82" s="28" t="s">
        <v>70</v>
      </c>
      <c r="D82" s="29"/>
      <c r="E82" s="15">
        <v>2</v>
      </c>
      <c r="F82" s="15">
        <v>2</v>
      </c>
      <c r="G82" s="15">
        <v>3</v>
      </c>
      <c r="H82" s="15">
        <v>4</v>
      </c>
      <c r="I82" s="15">
        <v>1</v>
      </c>
      <c r="J82" s="15">
        <v>1</v>
      </c>
      <c r="K82" s="15">
        <v>3</v>
      </c>
      <c r="L82" s="15">
        <v>5</v>
      </c>
      <c r="M82" s="15">
        <v>21</v>
      </c>
      <c r="N82" s="15">
        <v>30</v>
      </c>
      <c r="O82" s="15">
        <v>8</v>
      </c>
      <c r="P82" s="15">
        <v>1</v>
      </c>
      <c r="Q82" s="15">
        <v>2</v>
      </c>
      <c r="R82" s="15">
        <v>7</v>
      </c>
      <c r="S82" s="15">
        <v>2</v>
      </c>
      <c r="T82" s="15">
        <v>19</v>
      </c>
      <c r="U82" s="15">
        <v>9</v>
      </c>
      <c r="V82" s="15">
        <v>13</v>
      </c>
      <c r="W82" s="15">
        <v>20</v>
      </c>
      <c r="X82" s="15">
        <v>2</v>
      </c>
      <c r="Y82" s="15">
        <v>3</v>
      </c>
      <c r="Z82" s="15">
        <v>2</v>
      </c>
      <c r="AA82" s="15">
        <v>0</v>
      </c>
      <c r="AB82" s="13">
        <f t="shared" si="13"/>
        <v>160</v>
      </c>
    </row>
    <row r="83" spans="1:28" ht="12.75" customHeight="1" x14ac:dyDescent="0.3">
      <c r="A83" s="14"/>
      <c r="B83" s="27">
        <v>2</v>
      </c>
      <c r="C83" s="28" t="s">
        <v>71</v>
      </c>
      <c r="D83" s="29"/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1</v>
      </c>
      <c r="M83" s="15">
        <v>1</v>
      </c>
      <c r="N83" s="15">
        <v>1</v>
      </c>
      <c r="O83" s="15">
        <v>1</v>
      </c>
      <c r="P83" s="15">
        <v>0</v>
      </c>
      <c r="Q83" s="15">
        <v>0</v>
      </c>
      <c r="R83" s="15">
        <v>0</v>
      </c>
      <c r="S83" s="15">
        <v>0</v>
      </c>
      <c r="T83" s="15">
        <v>1</v>
      </c>
      <c r="U83" s="15">
        <v>0</v>
      </c>
      <c r="V83" s="15">
        <v>0</v>
      </c>
      <c r="W83" s="15">
        <v>1</v>
      </c>
      <c r="X83" s="15">
        <v>0</v>
      </c>
      <c r="Y83" s="15">
        <v>1</v>
      </c>
      <c r="Z83" s="15">
        <v>0</v>
      </c>
      <c r="AA83" s="15">
        <v>0</v>
      </c>
      <c r="AB83" s="13">
        <f t="shared" si="13"/>
        <v>7</v>
      </c>
    </row>
    <row r="84" spans="1:28" ht="12.75" customHeight="1" x14ac:dyDescent="0.3">
      <c r="A84" s="14"/>
      <c r="B84" s="27">
        <v>3</v>
      </c>
      <c r="C84" s="28" t="s">
        <v>72</v>
      </c>
      <c r="D84" s="29"/>
      <c r="E84" s="15">
        <v>0</v>
      </c>
      <c r="F84" s="15">
        <v>2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1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3">
        <f t="shared" si="13"/>
        <v>3</v>
      </c>
    </row>
    <row r="85" spans="1:28" ht="12.75" customHeight="1" x14ac:dyDescent="0.3">
      <c r="A85" s="14"/>
      <c r="B85" s="27">
        <v>4</v>
      </c>
      <c r="C85" s="28" t="s">
        <v>73</v>
      </c>
      <c r="D85" s="29"/>
      <c r="E85" s="15">
        <v>0</v>
      </c>
      <c r="F85" s="15">
        <v>1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2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3">
        <f t="shared" si="13"/>
        <v>3</v>
      </c>
    </row>
    <row r="86" spans="1:28" ht="12.75" customHeight="1" x14ac:dyDescent="0.3">
      <c r="A86" s="14"/>
      <c r="B86" s="27">
        <v>5</v>
      </c>
      <c r="C86" s="28" t="s">
        <v>74</v>
      </c>
      <c r="D86" s="29"/>
      <c r="E86" s="15">
        <v>0</v>
      </c>
      <c r="F86" s="15">
        <v>1</v>
      </c>
      <c r="G86" s="15">
        <v>0</v>
      </c>
      <c r="H86" s="15">
        <v>1</v>
      </c>
      <c r="I86" s="15">
        <v>0</v>
      </c>
      <c r="J86" s="15">
        <v>0</v>
      </c>
      <c r="K86" s="15">
        <v>27</v>
      </c>
      <c r="L86" s="15">
        <v>45</v>
      </c>
      <c r="M86" s="15">
        <v>18</v>
      </c>
      <c r="N86" s="15">
        <v>17</v>
      </c>
      <c r="O86" s="15">
        <v>3</v>
      </c>
      <c r="P86" s="15">
        <v>21</v>
      </c>
      <c r="Q86" s="15">
        <v>1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1</v>
      </c>
      <c r="X86" s="15">
        <v>3</v>
      </c>
      <c r="Y86" s="15">
        <v>0</v>
      </c>
      <c r="Z86" s="15">
        <v>1</v>
      </c>
      <c r="AA86" s="15">
        <v>0</v>
      </c>
      <c r="AB86" s="13">
        <f t="shared" si="13"/>
        <v>139</v>
      </c>
    </row>
    <row r="87" spans="1:28" ht="12.75" customHeight="1" x14ac:dyDescent="0.3">
      <c r="A87" s="14"/>
      <c r="B87" s="27">
        <v>6</v>
      </c>
      <c r="C87" s="28" t="s">
        <v>75</v>
      </c>
      <c r="D87" s="29"/>
      <c r="E87" s="15">
        <v>3</v>
      </c>
      <c r="F87" s="15">
        <v>1</v>
      </c>
      <c r="G87" s="15">
        <v>3</v>
      </c>
      <c r="H87" s="15">
        <v>4</v>
      </c>
      <c r="I87" s="15">
        <v>0</v>
      </c>
      <c r="J87" s="15">
        <v>1</v>
      </c>
      <c r="K87" s="15">
        <v>0</v>
      </c>
      <c r="L87" s="15">
        <v>0</v>
      </c>
      <c r="M87" s="15">
        <v>0</v>
      </c>
      <c r="N87" s="15">
        <v>1</v>
      </c>
      <c r="O87" s="15">
        <v>0</v>
      </c>
      <c r="P87" s="15">
        <v>3</v>
      </c>
      <c r="Q87" s="15">
        <v>0</v>
      </c>
      <c r="R87" s="15">
        <v>9</v>
      </c>
      <c r="S87" s="15">
        <v>0</v>
      </c>
      <c r="T87" s="15">
        <v>0</v>
      </c>
      <c r="U87" s="15">
        <v>0</v>
      </c>
      <c r="V87" s="15">
        <v>4</v>
      </c>
      <c r="W87" s="15">
        <v>0</v>
      </c>
      <c r="X87" s="15">
        <v>0</v>
      </c>
      <c r="Y87" s="15">
        <v>0</v>
      </c>
      <c r="Z87" s="15">
        <v>0</v>
      </c>
      <c r="AA87" s="15">
        <v>1</v>
      </c>
      <c r="AB87" s="13">
        <f t="shared" si="13"/>
        <v>30</v>
      </c>
    </row>
    <row r="88" spans="1:28" ht="12.75" customHeight="1" x14ac:dyDescent="0.3">
      <c r="A88" s="15" t="s">
        <v>15</v>
      </c>
      <c r="B88" s="47" t="s">
        <v>46</v>
      </c>
      <c r="C88" s="48"/>
      <c r="D88" s="49"/>
      <c r="E88" s="34">
        <f t="shared" ref="E88:AA88" si="18">SUM(E81:E87)</f>
        <v>7</v>
      </c>
      <c r="F88" s="34">
        <f t="shared" si="18"/>
        <v>8</v>
      </c>
      <c r="G88" s="34">
        <f t="shared" si="18"/>
        <v>8</v>
      </c>
      <c r="H88" s="34">
        <f t="shared" si="18"/>
        <v>12</v>
      </c>
      <c r="I88" s="34">
        <f t="shared" si="18"/>
        <v>1</v>
      </c>
      <c r="J88" s="34">
        <f t="shared" si="18"/>
        <v>2</v>
      </c>
      <c r="K88" s="34">
        <f t="shared" si="18"/>
        <v>31</v>
      </c>
      <c r="L88" s="34">
        <f t="shared" si="18"/>
        <v>55</v>
      </c>
      <c r="M88" s="34">
        <f t="shared" si="18"/>
        <v>50</v>
      </c>
      <c r="N88" s="34">
        <f t="shared" si="18"/>
        <v>60</v>
      </c>
      <c r="O88" s="34">
        <f t="shared" si="18"/>
        <v>12</v>
      </c>
      <c r="P88" s="34">
        <f t="shared" si="18"/>
        <v>31</v>
      </c>
      <c r="Q88" s="34">
        <f t="shared" si="18"/>
        <v>4</v>
      </c>
      <c r="R88" s="34">
        <f t="shared" si="18"/>
        <v>19</v>
      </c>
      <c r="S88" s="34">
        <f t="shared" si="18"/>
        <v>3</v>
      </c>
      <c r="T88" s="34">
        <f t="shared" si="18"/>
        <v>20</v>
      </c>
      <c r="U88" s="34">
        <f t="shared" si="18"/>
        <v>9</v>
      </c>
      <c r="V88" s="34">
        <f t="shared" si="18"/>
        <v>18</v>
      </c>
      <c r="W88" s="34">
        <f t="shared" si="18"/>
        <v>22</v>
      </c>
      <c r="X88" s="34">
        <f t="shared" si="18"/>
        <v>5</v>
      </c>
      <c r="Y88" s="34">
        <f t="shared" si="18"/>
        <v>4</v>
      </c>
      <c r="Z88" s="34">
        <f t="shared" si="18"/>
        <v>3</v>
      </c>
      <c r="AA88" s="34">
        <f t="shared" si="18"/>
        <v>1</v>
      </c>
      <c r="AB88" s="13">
        <f t="shared" si="13"/>
        <v>385</v>
      </c>
    </row>
    <row r="89" spans="1:28" ht="12.75" customHeight="1" x14ac:dyDescent="0.3">
      <c r="A89" s="35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13">
        <f t="shared" si="13"/>
        <v>0</v>
      </c>
    </row>
    <row r="90" spans="1:28" ht="12.75" customHeight="1" x14ac:dyDescent="0.3">
      <c r="A90" s="19" t="s">
        <v>37</v>
      </c>
      <c r="B90" s="26" t="s">
        <v>76</v>
      </c>
      <c r="C90" s="50" t="s">
        <v>77</v>
      </c>
      <c r="D90" s="49"/>
      <c r="E90" s="15">
        <v>0</v>
      </c>
      <c r="F90" s="15">
        <v>0</v>
      </c>
      <c r="G90" s="15">
        <v>2</v>
      </c>
      <c r="H90" s="15">
        <v>2</v>
      </c>
      <c r="I90" s="15">
        <v>1</v>
      </c>
      <c r="J90" s="15">
        <v>3</v>
      </c>
      <c r="K90" s="15">
        <v>0</v>
      </c>
      <c r="L90" s="15">
        <v>0</v>
      </c>
      <c r="M90" s="15">
        <v>2</v>
      </c>
      <c r="N90" s="15">
        <v>3</v>
      </c>
      <c r="O90" s="15">
        <v>1</v>
      </c>
      <c r="P90" s="15">
        <v>0</v>
      </c>
      <c r="Q90" s="15">
        <v>0</v>
      </c>
      <c r="R90" s="15">
        <v>1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2</v>
      </c>
      <c r="Y90" s="15">
        <v>1</v>
      </c>
      <c r="Z90" s="15">
        <v>1</v>
      </c>
      <c r="AA90" s="15">
        <v>1</v>
      </c>
      <c r="AB90" s="13">
        <f t="shared" si="13"/>
        <v>20</v>
      </c>
    </row>
    <row r="91" spans="1:28" ht="15" customHeight="1" x14ac:dyDescent="0.3">
      <c r="A91" s="19"/>
      <c r="B91" s="27">
        <v>1</v>
      </c>
      <c r="C91" s="28" t="s">
        <v>78</v>
      </c>
      <c r="D91" s="37"/>
      <c r="E91" s="15">
        <v>0</v>
      </c>
      <c r="F91" s="15">
        <v>1</v>
      </c>
      <c r="G91" s="15">
        <v>0</v>
      </c>
      <c r="H91" s="15">
        <v>0</v>
      </c>
      <c r="I91" s="15">
        <v>0</v>
      </c>
      <c r="J91" s="15">
        <v>0</v>
      </c>
      <c r="K91" s="15">
        <v>1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1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3">
        <f t="shared" si="13"/>
        <v>3</v>
      </c>
    </row>
    <row r="92" spans="1:28" ht="12.75" customHeight="1" x14ac:dyDescent="0.3">
      <c r="A92" s="19"/>
      <c r="B92" s="27">
        <v>2</v>
      </c>
      <c r="C92" s="28" t="s">
        <v>79</v>
      </c>
      <c r="D92" s="37"/>
      <c r="E92" s="15">
        <v>0</v>
      </c>
      <c r="F92" s="15">
        <v>0</v>
      </c>
      <c r="G92" s="15">
        <v>0</v>
      </c>
      <c r="H92" s="15">
        <v>0</v>
      </c>
      <c r="I92" s="15">
        <v>1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3">
        <f t="shared" si="13"/>
        <v>1</v>
      </c>
    </row>
    <row r="93" spans="1:28" ht="12.75" customHeight="1" x14ac:dyDescent="0.3">
      <c r="A93" s="19" t="s">
        <v>39</v>
      </c>
      <c r="B93" s="27">
        <v>3</v>
      </c>
      <c r="C93" s="28" t="s">
        <v>80</v>
      </c>
      <c r="D93" s="37"/>
      <c r="E93" s="15">
        <v>0</v>
      </c>
      <c r="F93" s="15">
        <v>0</v>
      </c>
      <c r="G93" s="15">
        <v>0</v>
      </c>
      <c r="H93" s="15">
        <v>0</v>
      </c>
      <c r="I93" s="15">
        <v>7</v>
      </c>
      <c r="J93" s="15">
        <v>0</v>
      </c>
      <c r="K93" s="15">
        <v>0</v>
      </c>
      <c r="L93" s="15">
        <v>0</v>
      </c>
      <c r="M93" s="15">
        <v>0</v>
      </c>
      <c r="N93" s="15">
        <v>1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3">
        <f t="shared" si="13"/>
        <v>8</v>
      </c>
    </row>
    <row r="94" spans="1:28" ht="12.75" customHeight="1" x14ac:dyDescent="0.3">
      <c r="A94" s="15" t="s">
        <v>15</v>
      </c>
      <c r="B94" s="47" t="s">
        <v>46</v>
      </c>
      <c r="C94" s="48"/>
      <c r="D94" s="49"/>
      <c r="E94" s="34">
        <f t="shared" ref="E94:AA94" si="19">SUM(E90:E93)</f>
        <v>0</v>
      </c>
      <c r="F94" s="34">
        <f t="shared" si="19"/>
        <v>1</v>
      </c>
      <c r="G94" s="34">
        <f t="shared" si="19"/>
        <v>2</v>
      </c>
      <c r="H94" s="34">
        <f t="shared" si="19"/>
        <v>2</v>
      </c>
      <c r="I94" s="34">
        <f t="shared" si="19"/>
        <v>9</v>
      </c>
      <c r="J94" s="34">
        <f t="shared" si="19"/>
        <v>3</v>
      </c>
      <c r="K94" s="34">
        <f t="shared" si="19"/>
        <v>1</v>
      </c>
      <c r="L94" s="34">
        <f t="shared" si="19"/>
        <v>0</v>
      </c>
      <c r="M94" s="34">
        <f t="shared" si="19"/>
        <v>2</v>
      </c>
      <c r="N94" s="34">
        <f t="shared" si="19"/>
        <v>4</v>
      </c>
      <c r="O94" s="34">
        <f t="shared" si="19"/>
        <v>1</v>
      </c>
      <c r="P94" s="34">
        <f t="shared" si="19"/>
        <v>0</v>
      </c>
      <c r="Q94" s="34">
        <f t="shared" si="19"/>
        <v>0</v>
      </c>
      <c r="R94" s="34">
        <f t="shared" si="19"/>
        <v>1</v>
      </c>
      <c r="S94" s="34">
        <f t="shared" si="19"/>
        <v>1</v>
      </c>
      <c r="T94" s="34">
        <f t="shared" si="19"/>
        <v>0</v>
      </c>
      <c r="U94" s="34">
        <f t="shared" si="19"/>
        <v>0</v>
      </c>
      <c r="V94" s="34">
        <f t="shared" si="19"/>
        <v>0</v>
      </c>
      <c r="W94" s="34">
        <f t="shared" si="19"/>
        <v>0</v>
      </c>
      <c r="X94" s="34">
        <f t="shared" si="19"/>
        <v>2</v>
      </c>
      <c r="Y94" s="34">
        <f t="shared" si="19"/>
        <v>1</v>
      </c>
      <c r="Z94" s="34">
        <f t="shared" si="19"/>
        <v>1</v>
      </c>
      <c r="AA94" s="34">
        <f t="shared" si="19"/>
        <v>1</v>
      </c>
      <c r="AB94" s="13">
        <f t="shared" si="13"/>
        <v>32</v>
      </c>
    </row>
    <row r="95" spans="1:28" ht="12.75" customHeight="1" x14ac:dyDescent="0.3">
      <c r="A95" s="35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13">
        <f t="shared" si="13"/>
        <v>0</v>
      </c>
    </row>
    <row r="96" spans="1:28" ht="12.75" customHeight="1" x14ac:dyDescent="0.3">
      <c r="A96" s="19" t="s">
        <v>37</v>
      </c>
      <c r="B96" s="26" t="s">
        <v>81</v>
      </c>
      <c r="C96" s="50" t="s">
        <v>82</v>
      </c>
      <c r="D96" s="49"/>
      <c r="E96" s="15">
        <v>1</v>
      </c>
      <c r="F96" s="15">
        <v>0</v>
      </c>
      <c r="G96" s="15">
        <v>0</v>
      </c>
      <c r="H96" s="15">
        <v>0</v>
      </c>
      <c r="I96" s="15">
        <v>1</v>
      </c>
      <c r="J96" s="15">
        <v>1</v>
      </c>
      <c r="K96" s="15">
        <v>0</v>
      </c>
      <c r="L96" s="15">
        <v>0</v>
      </c>
      <c r="M96" s="15">
        <v>1</v>
      </c>
      <c r="N96" s="15">
        <v>0</v>
      </c>
      <c r="O96" s="15">
        <v>0</v>
      </c>
      <c r="P96" s="15">
        <v>1</v>
      </c>
      <c r="Q96" s="15">
        <v>1</v>
      </c>
      <c r="R96" s="15">
        <v>0</v>
      </c>
      <c r="S96" s="15">
        <v>0</v>
      </c>
      <c r="T96" s="15">
        <v>0</v>
      </c>
      <c r="U96" s="15">
        <v>1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3">
        <f t="shared" si="13"/>
        <v>7</v>
      </c>
    </row>
    <row r="97" spans="1:28" ht="12.75" customHeight="1" x14ac:dyDescent="0.3">
      <c r="A97" s="19" t="s">
        <v>39</v>
      </c>
      <c r="B97" s="27">
        <v>1</v>
      </c>
      <c r="C97" s="28" t="s">
        <v>83</v>
      </c>
      <c r="D97" s="29"/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3">
        <f t="shared" si="13"/>
        <v>0</v>
      </c>
    </row>
    <row r="98" spans="1:28" ht="12.75" customHeight="1" x14ac:dyDescent="0.3">
      <c r="A98" s="19"/>
      <c r="B98" s="27">
        <v>2</v>
      </c>
      <c r="C98" s="28" t="s">
        <v>84</v>
      </c>
      <c r="D98" s="29"/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1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3">
        <f t="shared" si="13"/>
        <v>1</v>
      </c>
    </row>
    <row r="99" spans="1:28" ht="12.75" customHeight="1" x14ac:dyDescent="0.3">
      <c r="A99" s="15" t="s">
        <v>15</v>
      </c>
      <c r="B99" s="47" t="s">
        <v>46</v>
      </c>
      <c r="C99" s="48"/>
      <c r="D99" s="49"/>
      <c r="E99" s="34">
        <f t="shared" ref="E99:AA99" si="20">SUM(E96:E98)</f>
        <v>1</v>
      </c>
      <c r="F99" s="34">
        <f t="shared" si="20"/>
        <v>0</v>
      </c>
      <c r="G99" s="34">
        <f t="shared" si="20"/>
        <v>0</v>
      </c>
      <c r="H99" s="34">
        <f t="shared" si="20"/>
        <v>0</v>
      </c>
      <c r="I99" s="34">
        <f t="shared" si="20"/>
        <v>1</v>
      </c>
      <c r="J99" s="34">
        <f t="shared" si="20"/>
        <v>1</v>
      </c>
      <c r="K99" s="34">
        <f t="shared" si="20"/>
        <v>0</v>
      </c>
      <c r="L99" s="34">
        <f t="shared" si="20"/>
        <v>0</v>
      </c>
      <c r="M99" s="34">
        <f t="shared" si="20"/>
        <v>1</v>
      </c>
      <c r="N99" s="34">
        <f t="shared" si="20"/>
        <v>0</v>
      </c>
      <c r="O99" s="34">
        <f t="shared" si="20"/>
        <v>0</v>
      </c>
      <c r="P99" s="34">
        <f t="shared" si="20"/>
        <v>1</v>
      </c>
      <c r="Q99" s="34">
        <f t="shared" si="20"/>
        <v>1</v>
      </c>
      <c r="R99" s="34">
        <f t="shared" si="20"/>
        <v>0</v>
      </c>
      <c r="S99" s="34">
        <f t="shared" si="20"/>
        <v>0</v>
      </c>
      <c r="T99" s="34">
        <f t="shared" si="20"/>
        <v>0</v>
      </c>
      <c r="U99" s="34">
        <f t="shared" si="20"/>
        <v>2</v>
      </c>
      <c r="V99" s="34">
        <f t="shared" si="20"/>
        <v>0</v>
      </c>
      <c r="W99" s="34">
        <f t="shared" si="20"/>
        <v>0</v>
      </c>
      <c r="X99" s="34">
        <f t="shared" si="20"/>
        <v>0</v>
      </c>
      <c r="Y99" s="34">
        <f t="shared" si="20"/>
        <v>0</v>
      </c>
      <c r="Z99" s="34">
        <f t="shared" si="20"/>
        <v>0</v>
      </c>
      <c r="AA99" s="34">
        <f t="shared" si="20"/>
        <v>0</v>
      </c>
      <c r="AB99" s="13">
        <f t="shared" si="13"/>
        <v>8</v>
      </c>
    </row>
    <row r="100" spans="1:28" ht="12.75" customHeight="1" x14ac:dyDescent="0.3">
      <c r="A100" s="35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13">
        <f t="shared" si="13"/>
        <v>0</v>
      </c>
    </row>
    <row r="101" spans="1:28" ht="12.75" customHeight="1" x14ac:dyDescent="0.3">
      <c r="A101" s="19" t="s">
        <v>37</v>
      </c>
      <c r="B101" s="26" t="s">
        <v>85</v>
      </c>
      <c r="C101" s="50" t="s">
        <v>86</v>
      </c>
      <c r="D101" s="49"/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1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3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2</v>
      </c>
      <c r="AB101" s="13">
        <f t="shared" si="13"/>
        <v>6</v>
      </c>
    </row>
    <row r="102" spans="1:28" ht="12.75" customHeight="1" x14ac:dyDescent="0.3">
      <c r="A102" s="19" t="s">
        <v>39</v>
      </c>
      <c r="B102" s="27">
        <v>1</v>
      </c>
      <c r="C102" s="28" t="s">
        <v>87</v>
      </c>
      <c r="D102" s="29"/>
      <c r="E102" s="15">
        <v>1</v>
      </c>
      <c r="F102" s="15">
        <v>0</v>
      </c>
      <c r="G102" s="15">
        <v>4</v>
      </c>
      <c r="H102" s="15">
        <v>0</v>
      </c>
      <c r="I102" s="15">
        <v>1</v>
      </c>
      <c r="J102" s="15">
        <v>0</v>
      </c>
      <c r="K102" s="15">
        <v>1</v>
      </c>
      <c r="L102" s="15">
        <v>0</v>
      </c>
      <c r="M102" s="15">
        <v>0</v>
      </c>
      <c r="N102" s="15">
        <v>1</v>
      </c>
      <c r="O102" s="15">
        <v>0</v>
      </c>
      <c r="P102" s="15">
        <v>0</v>
      </c>
      <c r="Q102" s="15">
        <v>0</v>
      </c>
      <c r="R102" s="15">
        <v>1</v>
      </c>
      <c r="S102" s="15">
        <v>1</v>
      </c>
      <c r="T102" s="15">
        <v>0</v>
      </c>
      <c r="U102" s="15">
        <v>1</v>
      </c>
      <c r="V102" s="15">
        <v>0</v>
      </c>
      <c r="W102" s="15">
        <v>1</v>
      </c>
      <c r="X102" s="15">
        <v>3</v>
      </c>
      <c r="Y102" s="15">
        <v>0</v>
      </c>
      <c r="Z102" s="15">
        <v>2</v>
      </c>
      <c r="AA102" s="15">
        <v>6</v>
      </c>
      <c r="AB102" s="13">
        <f t="shared" si="13"/>
        <v>23</v>
      </c>
    </row>
    <row r="103" spans="1:28" ht="15" customHeight="1" x14ac:dyDescent="0.3">
      <c r="A103" s="14"/>
      <c r="B103" s="27">
        <v>2</v>
      </c>
      <c r="C103" s="28" t="s">
        <v>88</v>
      </c>
      <c r="D103" s="29"/>
      <c r="E103" s="15">
        <v>0</v>
      </c>
      <c r="F103" s="15">
        <v>1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1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3">
        <f t="shared" si="13"/>
        <v>2</v>
      </c>
    </row>
    <row r="104" spans="1:28" ht="12.75" customHeight="1" x14ac:dyDescent="0.3">
      <c r="A104" s="14"/>
      <c r="B104" s="27">
        <v>3</v>
      </c>
      <c r="C104" s="28" t="s">
        <v>89</v>
      </c>
      <c r="D104" s="29"/>
      <c r="E104" s="15">
        <v>0</v>
      </c>
      <c r="F104" s="15">
        <v>1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2</v>
      </c>
      <c r="S104" s="15">
        <v>0</v>
      </c>
      <c r="T104" s="15">
        <v>0</v>
      </c>
      <c r="U104" s="15">
        <v>0</v>
      </c>
      <c r="V104" s="15">
        <v>1</v>
      </c>
      <c r="W104" s="15">
        <v>0</v>
      </c>
      <c r="X104" s="15">
        <v>1</v>
      </c>
      <c r="Y104" s="15">
        <v>1</v>
      </c>
      <c r="Z104" s="15">
        <v>0</v>
      </c>
      <c r="AA104" s="15">
        <v>0</v>
      </c>
      <c r="AB104" s="13">
        <f t="shared" si="13"/>
        <v>6</v>
      </c>
    </row>
    <row r="105" spans="1:28" ht="12.75" customHeight="1" x14ac:dyDescent="0.3">
      <c r="A105" s="14"/>
      <c r="B105" s="27">
        <v>4</v>
      </c>
      <c r="C105" s="28" t="s">
        <v>90</v>
      </c>
      <c r="D105" s="29"/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3</v>
      </c>
      <c r="AA105" s="15">
        <v>0</v>
      </c>
      <c r="AB105" s="13">
        <f t="shared" si="13"/>
        <v>3</v>
      </c>
    </row>
    <row r="106" spans="1:28" ht="12.75" customHeight="1" x14ac:dyDescent="0.3">
      <c r="A106" s="14"/>
      <c r="B106" s="27">
        <v>5</v>
      </c>
      <c r="C106" s="28" t="s">
        <v>91</v>
      </c>
      <c r="D106" s="29"/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1</v>
      </c>
      <c r="Y106" s="15">
        <v>13</v>
      </c>
      <c r="Z106" s="15">
        <v>0</v>
      </c>
      <c r="AA106" s="15">
        <v>3</v>
      </c>
      <c r="AB106" s="13">
        <f t="shared" si="13"/>
        <v>17</v>
      </c>
    </row>
    <row r="107" spans="1:28" ht="12.75" customHeight="1" x14ac:dyDescent="0.3">
      <c r="A107" s="14"/>
      <c r="B107" s="27">
        <v>6</v>
      </c>
      <c r="C107" s="28" t="s">
        <v>92</v>
      </c>
      <c r="D107" s="29"/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3">
        <f t="shared" si="13"/>
        <v>0</v>
      </c>
    </row>
    <row r="108" spans="1:28" ht="12.75" customHeight="1" x14ac:dyDescent="0.3">
      <c r="A108" s="15" t="s">
        <v>15</v>
      </c>
      <c r="B108" s="47" t="s">
        <v>46</v>
      </c>
      <c r="C108" s="48"/>
      <c r="D108" s="49"/>
      <c r="E108" s="34">
        <f t="shared" ref="E108:AA108" si="21">SUM(E101:E107)</f>
        <v>1</v>
      </c>
      <c r="F108" s="34">
        <f t="shared" si="21"/>
        <v>2</v>
      </c>
      <c r="G108" s="34">
        <f t="shared" si="21"/>
        <v>4</v>
      </c>
      <c r="H108" s="34">
        <f t="shared" si="21"/>
        <v>0</v>
      </c>
      <c r="I108" s="34">
        <f t="shared" si="21"/>
        <v>1</v>
      </c>
      <c r="J108" s="34">
        <f t="shared" si="21"/>
        <v>1</v>
      </c>
      <c r="K108" s="34">
        <f t="shared" si="21"/>
        <v>1</v>
      </c>
      <c r="L108" s="34">
        <f t="shared" si="21"/>
        <v>1</v>
      </c>
      <c r="M108" s="34">
        <f t="shared" si="21"/>
        <v>0</v>
      </c>
      <c r="N108" s="34">
        <f t="shared" si="21"/>
        <v>1</v>
      </c>
      <c r="O108" s="34">
        <f t="shared" si="21"/>
        <v>0</v>
      </c>
      <c r="P108" s="34">
        <f t="shared" si="21"/>
        <v>0</v>
      </c>
      <c r="Q108" s="34">
        <f t="shared" si="21"/>
        <v>0</v>
      </c>
      <c r="R108" s="34">
        <f t="shared" si="21"/>
        <v>3</v>
      </c>
      <c r="S108" s="34">
        <f t="shared" si="21"/>
        <v>4</v>
      </c>
      <c r="T108" s="34">
        <f t="shared" si="21"/>
        <v>0</v>
      </c>
      <c r="U108" s="34">
        <f t="shared" si="21"/>
        <v>1</v>
      </c>
      <c r="V108" s="34">
        <f t="shared" si="21"/>
        <v>1</v>
      </c>
      <c r="W108" s="34">
        <f t="shared" si="21"/>
        <v>1</v>
      </c>
      <c r="X108" s="34">
        <f t="shared" si="21"/>
        <v>5</v>
      </c>
      <c r="Y108" s="34">
        <f t="shared" si="21"/>
        <v>14</v>
      </c>
      <c r="Z108" s="34">
        <f t="shared" si="21"/>
        <v>5</v>
      </c>
      <c r="AA108" s="34">
        <f t="shared" si="21"/>
        <v>11</v>
      </c>
      <c r="AB108" s="13">
        <f t="shared" si="13"/>
        <v>57</v>
      </c>
    </row>
    <row r="109" spans="1:28" ht="12.75" customHeight="1" x14ac:dyDescent="0.3">
      <c r="A109" s="35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13">
        <f t="shared" si="13"/>
        <v>0</v>
      </c>
    </row>
    <row r="110" spans="1:28" ht="12.75" customHeight="1" x14ac:dyDescent="0.3">
      <c r="A110" s="19" t="s">
        <v>37</v>
      </c>
      <c r="B110" s="26" t="s">
        <v>93</v>
      </c>
      <c r="C110" s="50" t="s">
        <v>94</v>
      </c>
      <c r="D110" s="49"/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3">
        <f t="shared" si="13"/>
        <v>0</v>
      </c>
    </row>
    <row r="111" spans="1:28" ht="12.75" customHeight="1" x14ac:dyDescent="0.3">
      <c r="A111" s="19"/>
      <c r="B111" s="26">
        <v>1</v>
      </c>
      <c r="C111" s="28" t="s">
        <v>95</v>
      </c>
      <c r="D111" s="37"/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3">
        <f t="shared" si="13"/>
        <v>0</v>
      </c>
    </row>
    <row r="112" spans="1:28" ht="12.75" customHeight="1" x14ac:dyDescent="0.3">
      <c r="A112" s="19"/>
      <c r="B112" s="26">
        <v>2</v>
      </c>
      <c r="C112" s="28" t="s">
        <v>96</v>
      </c>
      <c r="D112" s="37"/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1</v>
      </c>
      <c r="Y112" s="15">
        <v>0</v>
      </c>
      <c r="Z112" s="15">
        <v>0</v>
      </c>
      <c r="AA112" s="15">
        <v>0</v>
      </c>
      <c r="AB112" s="13">
        <f t="shared" si="13"/>
        <v>1</v>
      </c>
    </row>
    <row r="113" spans="1:30" ht="12.75" customHeight="1" x14ac:dyDescent="0.3">
      <c r="A113" s="19"/>
      <c r="B113" s="26">
        <v>3</v>
      </c>
      <c r="C113" s="28" t="s">
        <v>97</v>
      </c>
      <c r="D113" s="37"/>
      <c r="E113" s="15">
        <v>0</v>
      </c>
      <c r="F113" s="15">
        <v>0</v>
      </c>
      <c r="G113" s="15">
        <v>1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3">
        <f t="shared" si="13"/>
        <v>1</v>
      </c>
    </row>
    <row r="114" spans="1:30" ht="12.75" customHeight="1" x14ac:dyDescent="0.3">
      <c r="A114" s="19" t="s">
        <v>39</v>
      </c>
      <c r="B114" s="27">
        <v>4</v>
      </c>
      <c r="C114" s="28" t="s">
        <v>98</v>
      </c>
      <c r="D114" s="29"/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3">
        <f t="shared" si="13"/>
        <v>0</v>
      </c>
    </row>
    <row r="115" spans="1:30" ht="12.75" customHeight="1" x14ac:dyDescent="0.3">
      <c r="A115" s="15" t="s">
        <v>15</v>
      </c>
      <c r="B115" s="47" t="s">
        <v>46</v>
      </c>
      <c r="C115" s="48"/>
      <c r="D115" s="49"/>
      <c r="E115" s="34">
        <f t="shared" ref="E115:AA115" si="22">SUM(E110:E114)</f>
        <v>0</v>
      </c>
      <c r="F115" s="34">
        <f t="shared" si="22"/>
        <v>0</v>
      </c>
      <c r="G115" s="34">
        <f t="shared" si="22"/>
        <v>1</v>
      </c>
      <c r="H115" s="34">
        <f t="shared" si="22"/>
        <v>0</v>
      </c>
      <c r="I115" s="34">
        <f t="shared" si="22"/>
        <v>0</v>
      </c>
      <c r="J115" s="34">
        <f t="shared" si="22"/>
        <v>0</v>
      </c>
      <c r="K115" s="34">
        <f t="shared" si="22"/>
        <v>0</v>
      </c>
      <c r="L115" s="34">
        <f t="shared" si="22"/>
        <v>0</v>
      </c>
      <c r="M115" s="34">
        <f t="shared" si="22"/>
        <v>0</v>
      </c>
      <c r="N115" s="34">
        <f t="shared" si="22"/>
        <v>0</v>
      </c>
      <c r="O115" s="34">
        <f t="shared" si="22"/>
        <v>0</v>
      </c>
      <c r="P115" s="34">
        <f t="shared" si="22"/>
        <v>0</v>
      </c>
      <c r="Q115" s="34">
        <f t="shared" si="22"/>
        <v>0</v>
      </c>
      <c r="R115" s="34">
        <f t="shared" si="22"/>
        <v>0</v>
      </c>
      <c r="S115" s="34">
        <f t="shared" si="22"/>
        <v>0</v>
      </c>
      <c r="T115" s="34">
        <f t="shared" si="22"/>
        <v>0</v>
      </c>
      <c r="U115" s="34">
        <f t="shared" si="22"/>
        <v>0</v>
      </c>
      <c r="V115" s="34">
        <f t="shared" si="22"/>
        <v>0</v>
      </c>
      <c r="W115" s="34">
        <f t="shared" si="22"/>
        <v>0</v>
      </c>
      <c r="X115" s="34">
        <f t="shared" si="22"/>
        <v>1</v>
      </c>
      <c r="Y115" s="34">
        <f t="shared" si="22"/>
        <v>0</v>
      </c>
      <c r="Z115" s="34">
        <f t="shared" si="22"/>
        <v>0</v>
      </c>
      <c r="AA115" s="34">
        <f t="shared" si="22"/>
        <v>0</v>
      </c>
      <c r="AB115" s="13">
        <f t="shared" si="13"/>
        <v>2</v>
      </c>
    </row>
    <row r="116" spans="1:30" ht="12.75" customHeight="1" x14ac:dyDescent="0.3">
      <c r="A116" s="35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13">
        <f t="shared" si="13"/>
        <v>0</v>
      </c>
    </row>
    <row r="117" spans="1:30" ht="12.75" customHeight="1" x14ac:dyDescent="0.3">
      <c r="A117" s="19" t="s">
        <v>37</v>
      </c>
      <c r="B117" s="26" t="s">
        <v>99</v>
      </c>
      <c r="C117" s="50" t="s">
        <v>100</v>
      </c>
      <c r="D117" s="49"/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1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1</v>
      </c>
      <c r="AB117" s="13">
        <f t="shared" si="13"/>
        <v>2</v>
      </c>
      <c r="AC117" s="5"/>
      <c r="AD117" s="5"/>
    </row>
    <row r="118" spans="1:30" ht="12.75" customHeight="1" x14ac:dyDescent="0.3">
      <c r="A118" s="19" t="s">
        <v>39</v>
      </c>
      <c r="B118" s="27">
        <v>1</v>
      </c>
      <c r="C118" s="28" t="s">
        <v>101</v>
      </c>
      <c r="D118" s="29"/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1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3">
        <f t="shared" si="13"/>
        <v>1</v>
      </c>
      <c r="AC118" s="5"/>
      <c r="AD118" s="5"/>
    </row>
    <row r="119" spans="1:30" ht="12.75" customHeight="1" x14ac:dyDescent="0.3">
      <c r="A119" s="14"/>
      <c r="B119" s="27">
        <v>2</v>
      </c>
      <c r="C119" s="28" t="s">
        <v>102</v>
      </c>
      <c r="D119" s="29"/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3">
        <f t="shared" si="13"/>
        <v>0</v>
      </c>
      <c r="AC119" s="5"/>
      <c r="AD119" s="5"/>
    </row>
    <row r="120" spans="1:30" ht="12.75" customHeight="1" x14ac:dyDescent="0.3">
      <c r="A120" s="14"/>
      <c r="B120" s="27">
        <v>3</v>
      </c>
      <c r="C120" s="28" t="s">
        <v>103</v>
      </c>
      <c r="D120" s="29"/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3">
        <f t="shared" si="13"/>
        <v>0</v>
      </c>
      <c r="AC120" s="5"/>
      <c r="AD120" s="5"/>
    </row>
    <row r="121" spans="1:30" ht="12.75" customHeight="1" x14ac:dyDescent="0.3">
      <c r="A121" s="14"/>
      <c r="B121" s="27">
        <v>4</v>
      </c>
      <c r="C121" s="28" t="s">
        <v>104</v>
      </c>
      <c r="D121" s="29"/>
      <c r="E121" s="15">
        <v>0</v>
      </c>
      <c r="F121" s="15">
        <v>0</v>
      </c>
      <c r="G121" s="15">
        <v>1</v>
      </c>
      <c r="H121" s="15">
        <v>0</v>
      </c>
      <c r="I121" s="15">
        <v>0</v>
      </c>
      <c r="J121" s="15">
        <v>0</v>
      </c>
      <c r="K121" s="15">
        <v>0</v>
      </c>
      <c r="L121" s="15">
        <v>1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3">
        <f t="shared" si="13"/>
        <v>2</v>
      </c>
      <c r="AC121" s="5"/>
      <c r="AD121" s="5"/>
    </row>
    <row r="122" spans="1:30" ht="12.75" customHeight="1" x14ac:dyDescent="0.3">
      <c r="A122" s="14"/>
      <c r="B122" s="27">
        <v>5</v>
      </c>
      <c r="C122" s="28" t="s">
        <v>105</v>
      </c>
      <c r="D122" s="29"/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3">
        <f t="shared" si="13"/>
        <v>1</v>
      </c>
      <c r="AC122" s="5"/>
      <c r="AD122" s="5"/>
    </row>
    <row r="123" spans="1:30" ht="12.75" customHeight="1" x14ac:dyDescent="0.3">
      <c r="A123" s="14"/>
      <c r="B123" s="27">
        <v>6</v>
      </c>
      <c r="C123" s="28" t="s">
        <v>106</v>
      </c>
      <c r="D123" s="29"/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3">
        <f t="shared" si="13"/>
        <v>0</v>
      </c>
      <c r="AC123" s="5"/>
      <c r="AD123" s="5"/>
    </row>
    <row r="124" spans="1:30" ht="12.75" customHeight="1" x14ac:dyDescent="0.3">
      <c r="A124" s="15" t="s">
        <v>15</v>
      </c>
      <c r="B124" s="47" t="s">
        <v>46</v>
      </c>
      <c r="C124" s="48"/>
      <c r="D124" s="49"/>
      <c r="E124" s="34">
        <f t="shared" ref="E124:AA124" si="23">SUM(E117:E123)</f>
        <v>0</v>
      </c>
      <c r="F124" s="34">
        <f t="shared" si="23"/>
        <v>0</v>
      </c>
      <c r="G124" s="34">
        <f t="shared" si="23"/>
        <v>1</v>
      </c>
      <c r="H124" s="34">
        <f t="shared" si="23"/>
        <v>0</v>
      </c>
      <c r="I124" s="34">
        <f t="shared" si="23"/>
        <v>0</v>
      </c>
      <c r="J124" s="34">
        <f t="shared" si="23"/>
        <v>0</v>
      </c>
      <c r="K124" s="34">
        <f t="shared" si="23"/>
        <v>0</v>
      </c>
      <c r="L124" s="34">
        <f t="shared" si="23"/>
        <v>2</v>
      </c>
      <c r="M124" s="34">
        <f t="shared" si="23"/>
        <v>0</v>
      </c>
      <c r="N124" s="34">
        <f t="shared" si="23"/>
        <v>0</v>
      </c>
      <c r="O124" s="34">
        <f t="shared" si="23"/>
        <v>0</v>
      </c>
      <c r="P124" s="34">
        <f t="shared" si="23"/>
        <v>0</v>
      </c>
      <c r="Q124" s="34">
        <f t="shared" si="23"/>
        <v>0</v>
      </c>
      <c r="R124" s="34">
        <f t="shared" si="23"/>
        <v>1</v>
      </c>
      <c r="S124" s="34">
        <f t="shared" si="23"/>
        <v>1</v>
      </c>
      <c r="T124" s="34">
        <f t="shared" si="23"/>
        <v>0</v>
      </c>
      <c r="U124" s="34">
        <f t="shared" si="23"/>
        <v>0</v>
      </c>
      <c r="V124" s="34">
        <f t="shared" si="23"/>
        <v>0</v>
      </c>
      <c r="W124" s="34">
        <f t="shared" si="23"/>
        <v>0</v>
      </c>
      <c r="X124" s="34">
        <f t="shared" si="23"/>
        <v>0</v>
      </c>
      <c r="Y124" s="34">
        <f t="shared" si="23"/>
        <v>0</v>
      </c>
      <c r="Z124" s="34">
        <f t="shared" si="23"/>
        <v>0</v>
      </c>
      <c r="AA124" s="34">
        <f t="shared" si="23"/>
        <v>1</v>
      </c>
      <c r="AB124" s="13">
        <f t="shared" si="13"/>
        <v>6</v>
      </c>
      <c r="AC124" s="5"/>
      <c r="AD124" s="5"/>
    </row>
    <row r="125" spans="1:30" ht="12.75" customHeight="1" x14ac:dyDescent="0.3">
      <c r="A125" s="35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13">
        <f t="shared" si="13"/>
        <v>0</v>
      </c>
      <c r="AC125" s="5"/>
      <c r="AD125" s="5"/>
    </row>
    <row r="126" spans="1:30" ht="12.75" customHeight="1" x14ac:dyDescent="0.3">
      <c r="A126" s="19" t="s">
        <v>37</v>
      </c>
      <c r="B126" s="26" t="s">
        <v>107</v>
      </c>
      <c r="C126" s="50" t="s">
        <v>108</v>
      </c>
      <c r="D126" s="49"/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1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1</v>
      </c>
      <c r="Q126" s="15">
        <v>0</v>
      </c>
      <c r="R126" s="15">
        <v>0</v>
      </c>
      <c r="S126" s="15">
        <v>1</v>
      </c>
      <c r="T126" s="15">
        <v>1</v>
      </c>
      <c r="U126" s="15">
        <v>0</v>
      </c>
      <c r="V126" s="15">
        <v>0</v>
      </c>
      <c r="W126" s="15">
        <v>0</v>
      </c>
      <c r="X126" s="15">
        <v>2</v>
      </c>
      <c r="Y126" s="15">
        <v>0</v>
      </c>
      <c r="Z126" s="15">
        <v>0</v>
      </c>
      <c r="AA126" s="15">
        <v>0</v>
      </c>
      <c r="AB126" s="13">
        <f t="shared" si="13"/>
        <v>6</v>
      </c>
      <c r="AC126" s="5"/>
      <c r="AD126" s="5"/>
    </row>
    <row r="127" spans="1:30" ht="15" customHeight="1" x14ac:dyDescent="0.3">
      <c r="A127" s="19" t="s">
        <v>39</v>
      </c>
      <c r="B127" s="27"/>
      <c r="C127" s="28"/>
      <c r="D127" s="29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3">
        <f t="shared" si="13"/>
        <v>0</v>
      </c>
      <c r="AC127" s="5"/>
      <c r="AD127" s="5"/>
    </row>
    <row r="128" spans="1:30" ht="12.75" customHeight="1" x14ac:dyDescent="0.3">
      <c r="A128" s="15" t="s">
        <v>15</v>
      </c>
      <c r="B128" s="47" t="s">
        <v>46</v>
      </c>
      <c r="C128" s="48"/>
      <c r="D128" s="49"/>
      <c r="E128" s="34">
        <f t="shared" ref="E128:AA128" si="24">SUM(E126:E127)</f>
        <v>0</v>
      </c>
      <c r="F128" s="34">
        <f t="shared" si="24"/>
        <v>0</v>
      </c>
      <c r="G128" s="34">
        <f t="shared" si="24"/>
        <v>0</v>
      </c>
      <c r="H128" s="34">
        <f t="shared" si="24"/>
        <v>0</v>
      </c>
      <c r="I128" s="34">
        <f t="shared" si="24"/>
        <v>0</v>
      </c>
      <c r="J128" s="34">
        <f t="shared" si="24"/>
        <v>1</v>
      </c>
      <c r="K128" s="34">
        <f t="shared" si="24"/>
        <v>0</v>
      </c>
      <c r="L128" s="34">
        <f t="shared" si="24"/>
        <v>0</v>
      </c>
      <c r="M128" s="34">
        <f t="shared" si="24"/>
        <v>0</v>
      </c>
      <c r="N128" s="34">
        <f t="shared" si="24"/>
        <v>0</v>
      </c>
      <c r="O128" s="34">
        <f t="shared" si="24"/>
        <v>0</v>
      </c>
      <c r="P128" s="34">
        <f t="shared" si="24"/>
        <v>1</v>
      </c>
      <c r="Q128" s="34">
        <f t="shared" si="24"/>
        <v>0</v>
      </c>
      <c r="R128" s="34">
        <f t="shared" si="24"/>
        <v>0</v>
      </c>
      <c r="S128" s="34">
        <f t="shared" si="24"/>
        <v>1</v>
      </c>
      <c r="T128" s="34">
        <f t="shared" si="24"/>
        <v>1</v>
      </c>
      <c r="U128" s="34">
        <f t="shared" si="24"/>
        <v>0</v>
      </c>
      <c r="V128" s="34">
        <f t="shared" si="24"/>
        <v>0</v>
      </c>
      <c r="W128" s="34">
        <f t="shared" si="24"/>
        <v>0</v>
      </c>
      <c r="X128" s="34">
        <f t="shared" si="24"/>
        <v>2</v>
      </c>
      <c r="Y128" s="34">
        <f t="shared" si="24"/>
        <v>0</v>
      </c>
      <c r="Z128" s="34">
        <f t="shared" si="24"/>
        <v>0</v>
      </c>
      <c r="AA128" s="34">
        <f t="shared" si="24"/>
        <v>0</v>
      </c>
      <c r="AB128" s="13">
        <f t="shared" si="13"/>
        <v>6</v>
      </c>
      <c r="AC128" s="5"/>
      <c r="AD128" s="5"/>
    </row>
    <row r="129" spans="1:30" ht="12.75" customHeight="1" x14ac:dyDescent="0.3">
      <c r="A129" s="35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13">
        <f t="shared" si="13"/>
        <v>0</v>
      </c>
      <c r="AC129" s="5"/>
      <c r="AD129" s="5"/>
    </row>
    <row r="130" spans="1:30" ht="12.75" customHeight="1" x14ac:dyDescent="0.3">
      <c r="A130" s="19" t="s">
        <v>37</v>
      </c>
      <c r="B130" s="26" t="s">
        <v>109</v>
      </c>
      <c r="C130" s="50" t="s">
        <v>110</v>
      </c>
      <c r="D130" s="49"/>
      <c r="E130" s="15">
        <v>0</v>
      </c>
      <c r="F130" s="15">
        <v>0</v>
      </c>
      <c r="G130" s="15">
        <v>1</v>
      </c>
      <c r="H130" s="15">
        <v>1</v>
      </c>
      <c r="I130" s="15">
        <v>0</v>
      </c>
      <c r="J130" s="15">
        <v>0</v>
      </c>
      <c r="K130" s="15">
        <v>0</v>
      </c>
      <c r="L130" s="15">
        <v>0</v>
      </c>
      <c r="M130" s="15">
        <v>1</v>
      </c>
      <c r="N130" s="15">
        <v>1</v>
      </c>
      <c r="O130" s="15">
        <v>0</v>
      </c>
      <c r="P130" s="15">
        <v>0</v>
      </c>
      <c r="Q130" s="15">
        <v>1</v>
      </c>
      <c r="R130" s="15">
        <v>0</v>
      </c>
      <c r="S130" s="15">
        <v>0</v>
      </c>
      <c r="T130" s="15">
        <v>1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3">
        <f t="shared" si="13"/>
        <v>6</v>
      </c>
      <c r="AC130" s="1"/>
      <c r="AD130" s="1"/>
    </row>
    <row r="131" spans="1:30" ht="12.75" customHeight="1" x14ac:dyDescent="0.3">
      <c r="A131" s="19" t="s">
        <v>39</v>
      </c>
      <c r="B131" s="27">
        <v>1</v>
      </c>
      <c r="C131" s="28" t="s">
        <v>111</v>
      </c>
      <c r="D131" s="29"/>
      <c r="E131" s="15">
        <v>1</v>
      </c>
      <c r="F131" s="15">
        <v>1</v>
      </c>
      <c r="G131" s="15">
        <v>0</v>
      </c>
      <c r="H131" s="15">
        <v>0</v>
      </c>
      <c r="I131" s="15">
        <v>7</v>
      </c>
      <c r="J131" s="15">
        <v>1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1</v>
      </c>
      <c r="Q131" s="15">
        <v>1</v>
      </c>
      <c r="R131" s="15">
        <v>0</v>
      </c>
      <c r="S131" s="15">
        <v>0</v>
      </c>
      <c r="T131" s="15">
        <v>1</v>
      </c>
      <c r="U131" s="15">
        <v>0</v>
      </c>
      <c r="V131" s="15">
        <v>1</v>
      </c>
      <c r="W131" s="15">
        <v>1</v>
      </c>
      <c r="X131" s="15">
        <v>1</v>
      </c>
      <c r="Y131" s="15">
        <v>1</v>
      </c>
      <c r="Z131" s="15">
        <v>0</v>
      </c>
      <c r="AA131" s="15">
        <v>0</v>
      </c>
      <c r="AB131" s="13">
        <f t="shared" si="13"/>
        <v>17</v>
      </c>
      <c r="AC131" s="31"/>
      <c r="AD131" s="31"/>
    </row>
    <row r="132" spans="1:30" ht="12.75" customHeight="1" x14ac:dyDescent="0.3">
      <c r="A132" s="14"/>
      <c r="B132" s="27">
        <v>2</v>
      </c>
      <c r="C132" s="28" t="s">
        <v>112</v>
      </c>
      <c r="D132" s="29"/>
      <c r="E132" s="15">
        <v>0</v>
      </c>
      <c r="F132" s="15">
        <v>1</v>
      </c>
      <c r="G132" s="15">
        <v>0</v>
      </c>
      <c r="H132" s="15">
        <v>0</v>
      </c>
      <c r="I132" s="15">
        <v>1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3">
        <f t="shared" si="13"/>
        <v>2</v>
      </c>
      <c r="AC132" s="5"/>
      <c r="AD132" s="5"/>
    </row>
    <row r="133" spans="1:30" ht="12.75" customHeight="1" x14ac:dyDescent="0.3">
      <c r="A133" s="14"/>
      <c r="B133" s="27">
        <v>3</v>
      </c>
      <c r="C133" s="28" t="s">
        <v>113</v>
      </c>
      <c r="D133" s="29"/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1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1</v>
      </c>
      <c r="X133" s="15">
        <v>0</v>
      </c>
      <c r="Y133" s="15">
        <v>0</v>
      </c>
      <c r="Z133" s="15">
        <v>0</v>
      </c>
      <c r="AA133" s="15">
        <v>0</v>
      </c>
      <c r="AB133" s="13">
        <f t="shared" si="13"/>
        <v>2</v>
      </c>
      <c r="AC133" s="5"/>
      <c r="AD133" s="5"/>
    </row>
    <row r="134" spans="1:30" ht="12.75" customHeight="1" x14ac:dyDescent="0.3">
      <c r="A134" s="14"/>
      <c r="B134" s="27">
        <v>4</v>
      </c>
      <c r="C134" s="28" t="s">
        <v>114</v>
      </c>
      <c r="D134" s="29"/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3">
        <f t="shared" si="13"/>
        <v>0</v>
      </c>
      <c r="AC134" s="5"/>
      <c r="AD134" s="5"/>
    </row>
    <row r="135" spans="1:30" ht="12.75" customHeight="1" x14ac:dyDescent="0.3">
      <c r="A135" s="15" t="s">
        <v>15</v>
      </c>
      <c r="B135" s="47" t="s">
        <v>46</v>
      </c>
      <c r="C135" s="48"/>
      <c r="D135" s="49"/>
      <c r="E135" s="34">
        <f t="shared" ref="E135:AA135" si="25">SUM(E130:E134)</f>
        <v>1</v>
      </c>
      <c r="F135" s="34">
        <f t="shared" si="25"/>
        <v>2</v>
      </c>
      <c r="G135" s="34">
        <f t="shared" si="25"/>
        <v>1</v>
      </c>
      <c r="H135" s="34">
        <f t="shared" si="25"/>
        <v>1</v>
      </c>
      <c r="I135" s="34">
        <f t="shared" si="25"/>
        <v>8</v>
      </c>
      <c r="J135" s="34">
        <f t="shared" si="25"/>
        <v>1</v>
      </c>
      <c r="K135" s="34">
        <f t="shared" si="25"/>
        <v>0</v>
      </c>
      <c r="L135" s="34">
        <f t="shared" si="25"/>
        <v>0</v>
      </c>
      <c r="M135" s="34">
        <f t="shared" si="25"/>
        <v>1</v>
      </c>
      <c r="N135" s="34">
        <f t="shared" si="25"/>
        <v>1</v>
      </c>
      <c r="O135" s="34">
        <f t="shared" si="25"/>
        <v>0</v>
      </c>
      <c r="P135" s="34">
        <f t="shared" si="25"/>
        <v>2</v>
      </c>
      <c r="Q135" s="34">
        <f t="shared" si="25"/>
        <v>2</v>
      </c>
      <c r="R135" s="34">
        <f t="shared" si="25"/>
        <v>0</v>
      </c>
      <c r="S135" s="34">
        <f t="shared" si="25"/>
        <v>0</v>
      </c>
      <c r="T135" s="34">
        <f t="shared" si="25"/>
        <v>2</v>
      </c>
      <c r="U135" s="34">
        <f t="shared" si="25"/>
        <v>0</v>
      </c>
      <c r="V135" s="34">
        <f t="shared" si="25"/>
        <v>1</v>
      </c>
      <c r="W135" s="34">
        <f t="shared" si="25"/>
        <v>2</v>
      </c>
      <c r="X135" s="34">
        <f t="shared" si="25"/>
        <v>1</v>
      </c>
      <c r="Y135" s="34">
        <f t="shared" si="25"/>
        <v>1</v>
      </c>
      <c r="Z135" s="34">
        <f t="shared" si="25"/>
        <v>0</v>
      </c>
      <c r="AA135" s="34">
        <f t="shared" si="25"/>
        <v>0</v>
      </c>
      <c r="AB135" s="13">
        <f t="shared" si="13"/>
        <v>27</v>
      </c>
      <c r="AC135" s="5"/>
      <c r="AD135" s="5"/>
    </row>
    <row r="136" spans="1:30" ht="12.75" customHeight="1" x14ac:dyDescent="0.3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13">
        <f t="shared" si="13"/>
        <v>0</v>
      </c>
      <c r="AC136" s="5"/>
      <c r="AD136" s="5"/>
    </row>
    <row r="137" spans="1:30" ht="12.75" customHeight="1" x14ac:dyDescent="0.3">
      <c r="A137" s="19" t="s">
        <v>37</v>
      </c>
      <c r="B137" s="26" t="s">
        <v>115</v>
      </c>
      <c r="C137" s="50" t="s">
        <v>116</v>
      </c>
      <c r="D137" s="49"/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1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3">
        <f t="shared" si="13"/>
        <v>1</v>
      </c>
      <c r="AC137" s="5"/>
      <c r="AD137" s="5"/>
    </row>
    <row r="138" spans="1:30" ht="12.75" customHeight="1" x14ac:dyDescent="0.3">
      <c r="A138" s="19" t="s">
        <v>39</v>
      </c>
      <c r="B138" s="27">
        <v>1</v>
      </c>
      <c r="C138" s="28" t="s">
        <v>117</v>
      </c>
      <c r="D138" s="29"/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3">
        <f t="shared" si="13"/>
        <v>0</v>
      </c>
      <c r="AC138" s="5"/>
      <c r="AD138" s="5"/>
    </row>
    <row r="139" spans="1:30" ht="15" customHeight="1" x14ac:dyDescent="0.3">
      <c r="A139" s="14"/>
      <c r="B139" s="27">
        <v>2</v>
      </c>
      <c r="C139" s="28" t="s">
        <v>118</v>
      </c>
      <c r="D139" s="29"/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3">
        <f t="shared" si="13"/>
        <v>0</v>
      </c>
      <c r="AC139" s="5"/>
      <c r="AD139" s="5"/>
    </row>
    <row r="140" spans="1:30" ht="12.75" customHeight="1" x14ac:dyDescent="0.3">
      <c r="A140" s="14"/>
      <c r="B140" s="27">
        <v>3</v>
      </c>
      <c r="C140" s="28" t="s">
        <v>119</v>
      </c>
      <c r="D140" s="29"/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3">
        <f t="shared" si="13"/>
        <v>0</v>
      </c>
      <c r="AC140" s="5"/>
      <c r="AD140" s="5"/>
    </row>
    <row r="141" spans="1:30" ht="12.75" customHeight="1" x14ac:dyDescent="0.3">
      <c r="A141" s="14"/>
      <c r="B141" s="27">
        <v>4</v>
      </c>
      <c r="C141" s="28" t="s">
        <v>120</v>
      </c>
      <c r="D141" s="29"/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3">
        <f t="shared" si="13"/>
        <v>0</v>
      </c>
      <c r="AC141" s="1"/>
      <c r="AD141" s="1"/>
    </row>
    <row r="142" spans="1:30" ht="12.75" customHeight="1" x14ac:dyDescent="0.3">
      <c r="A142" s="14"/>
      <c r="B142" s="27">
        <v>5</v>
      </c>
      <c r="C142" s="28" t="s">
        <v>121</v>
      </c>
      <c r="D142" s="29"/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3">
        <f t="shared" si="13"/>
        <v>0</v>
      </c>
      <c r="AC142" s="31"/>
      <c r="AD142" s="31"/>
    </row>
    <row r="143" spans="1:30" ht="12.75" customHeight="1" x14ac:dyDescent="0.3">
      <c r="A143" s="14"/>
      <c r="B143" s="27">
        <v>6</v>
      </c>
      <c r="C143" s="28" t="s">
        <v>122</v>
      </c>
      <c r="D143" s="29"/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1</v>
      </c>
      <c r="K143" s="15">
        <v>0</v>
      </c>
      <c r="L143" s="15">
        <v>0</v>
      </c>
      <c r="M143" s="15">
        <v>1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3">
        <f t="shared" si="13"/>
        <v>2</v>
      </c>
      <c r="AC143" s="5"/>
      <c r="AD143" s="5"/>
    </row>
    <row r="144" spans="1:30" ht="12.75" customHeight="1" x14ac:dyDescent="0.3">
      <c r="A144" s="15" t="s">
        <v>15</v>
      </c>
      <c r="B144" s="47" t="s">
        <v>46</v>
      </c>
      <c r="C144" s="48"/>
      <c r="D144" s="49"/>
      <c r="E144" s="34">
        <f t="shared" ref="E144:AA144" si="26">SUM(E137:E143)</f>
        <v>0</v>
      </c>
      <c r="F144" s="34">
        <f t="shared" si="26"/>
        <v>0</v>
      </c>
      <c r="G144" s="34">
        <f t="shared" si="26"/>
        <v>0</v>
      </c>
      <c r="H144" s="34">
        <f t="shared" si="26"/>
        <v>0</v>
      </c>
      <c r="I144" s="34">
        <f t="shared" si="26"/>
        <v>0</v>
      </c>
      <c r="J144" s="34">
        <f t="shared" si="26"/>
        <v>1</v>
      </c>
      <c r="K144" s="34">
        <f t="shared" si="26"/>
        <v>0</v>
      </c>
      <c r="L144" s="34">
        <f t="shared" si="26"/>
        <v>1</v>
      </c>
      <c r="M144" s="34">
        <f t="shared" si="26"/>
        <v>1</v>
      </c>
      <c r="N144" s="34">
        <f t="shared" si="26"/>
        <v>0</v>
      </c>
      <c r="O144" s="34">
        <f t="shared" si="26"/>
        <v>0</v>
      </c>
      <c r="P144" s="34">
        <f t="shared" si="26"/>
        <v>0</v>
      </c>
      <c r="Q144" s="34">
        <f t="shared" si="26"/>
        <v>0</v>
      </c>
      <c r="R144" s="34">
        <f t="shared" si="26"/>
        <v>0</v>
      </c>
      <c r="S144" s="34">
        <f t="shared" si="26"/>
        <v>0</v>
      </c>
      <c r="T144" s="34">
        <f t="shared" si="26"/>
        <v>0</v>
      </c>
      <c r="U144" s="34">
        <f t="shared" si="26"/>
        <v>0</v>
      </c>
      <c r="V144" s="34">
        <f t="shared" si="26"/>
        <v>0</v>
      </c>
      <c r="W144" s="34">
        <f t="shared" si="26"/>
        <v>0</v>
      </c>
      <c r="X144" s="34">
        <f t="shared" si="26"/>
        <v>0</v>
      </c>
      <c r="Y144" s="34">
        <f t="shared" si="26"/>
        <v>0</v>
      </c>
      <c r="Z144" s="34">
        <f t="shared" si="26"/>
        <v>0</v>
      </c>
      <c r="AA144" s="34">
        <f t="shared" si="26"/>
        <v>0</v>
      </c>
      <c r="AB144" s="13">
        <f t="shared" si="13"/>
        <v>3</v>
      </c>
      <c r="AC144" s="5"/>
      <c r="AD144" s="5"/>
    </row>
    <row r="145" spans="1:30" ht="12.75" customHeight="1" x14ac:dyDescent="0.3">
      <c r="A145" s="35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13">
        <f t="shared" si="13"/>
        <v>0</v>
      </c>
      <c r="AC145" s="5"/>
      <c r="AD145" s="5"/>
    </row>
    <row r="146" spans="1:30" ht="12.75" customHeight="1" x14ac:dyDescent="0.3">
      <c r="A146" s="19" t="s">
        <v>37</v>
      </c>
      <c r="B146" s="26" t="s">
        <v>123</v>
      </c>
      <c r="C146" s="50" t="s">
        <v>124</v>
      </c>
      <c r="D146" s="49"/>
      <c r="E146" s="15">
        <v>6</v>
      </c>
      <c r="F146" s="15">
        <v>1</v>
      </c>
      <c r="G146" s="15">
        <v>0</v>
      </c>
      <c r="H146" s="15">
        <v>3</v>
      </c>
      <c r="I146" s="15">
        <v>1</v>
      </c>
      <c r="J146" s="15">
        <v>1</v>
      </c>
      <c r="K146" s="15">
        <v>1</v>
      </c>
      <c r="L146" s="15">
        <v>1</v>
      </c>
      <c r="M146" s="15">
        <v>0</v>
      </c>
      <c r="N146" s="15">
        <v>0</v>
      </c>
      <c r="O146" s="15">
        <v>0</v>
      </c>
      <c r="P146" s="15">
        <v>2</v>
      </c>
      <c r="Q146" s="15">
        <v>5</v>
      </c>
      <c r="R146" s="15">
        <v>5</v>
      </c>
      <c r="S146" s="15">
        <v>1</v>
      </c>
      <c r="T146" s="15">
        <v>1</v>
      </c>
      <c r="U146" s="15">
        <v>0</v>
      </c>
      <c r="V146" s="15">
        <v>0</v>
      </c>
      <c r="W146" s="15">
        <v>3</v>
      </c>
      <c r="X146" s="15">
        <v>1</v>
      </c>
      <c r="Y146" s="15">
        <v>1</v>
      </c>
      <c r="Z146" s="15">
        <v>1</v>
      </c>
      <c r="AA146" s="15">
        <v>3</v>
      </c>
      <c r="AB146" s="13">
        <f t="shared" si="13"/>
        <v>37</v>
      </c>
      <c r="AC146" s="5"/>
      <c r="AD146" s="5"/>
    </row>
    <row r="147" spans="1:30" ht="12.75" customHeight="1" x14ac:dyDescent="0.3">
      <c r="A147" s="19" t="s">
        <v>39</v>
      </c>
      <c r="B147" s="27">
        <v>1</v>
      </c>
      <c r="C147" s="28" t="s">
        <v>125</v>
      </c>
      <c r="D147" s="29"/>
      <c r="E147" s="15">
        <v>3</v>
      </c>
      <c r="F147" s="15">
        <v>4</v>
      </c>
      <c r="G147" s="15">
        <v>3</v>
      </c>
      <c r="H147" s="15">
        <v>1</v>
      </c>
      <c r="I147" s="15">
        <v>1</v>
      </c>
      <c r="J147" s="15">
        <v>2</v>
      </c>
      <c r="K147" s="15">
        <v>1</v>
      </c>
      <c r="L147" s="15">
        <v>1</v>
      </c>
      <c r="M147" s="15">
        <v>2</v>
      </c>
      <c r="N147" s="15">
        <v>0</v>
      </c>
      <c r="O147" s="15">
        <v>0</v>
      </c>
      <c r="P147" s="15">
        <v>2</v>
      </c>
      <c r="Q147" s="15">
        <v>1</v>
      </c>
      <c r="R147" s="15">
        <v>22</v>
      </c>
      <c r="S147" s="15">
        <v>6</v>
      </c>
      <c r="T147" s="15">
        <v>0</v>
      </c>
      <c r="U147" s="15">
        <v>3</v>
      </c>
      <c r="V147" s="15">
        <v>2</v>
      </c>
      <c r="W147" s="15">
        <v>0</v>
      </c>
      <c r="X147" s="15">
        <v>1</v>
      </c>
      <c r="Y147" s="15">
        <v>0</v>
      </c>
      <c r="Z147" s="15">
        <v>3</v>
      </c>
      <c r="AA147" s="15">
        <v>1</v>
      </c>
      <c r="AB147" s="13">
        <f t="shared" si="13"/>
        <v>59</v>
      </c>
      <c r="AC147" s="5"/>
      <c r="AD147" s="5"/>
    </row>
    <row r="148" spans="1:30" ht="12.75" customHeight="1" x14ac:dyDescent="0.3">
      <c r="A148" s="14"/>
      <c r="B148" s="27">
        <v>2</v>
      </c>
      <c r="C148" s="28" t="s">
        <v>126</v>
      </c>
      <c r="D148" s="29"/>
      <c r="E148" s="15">
        <v>0</v>
      </c>
      <c r="F148" s="15">
        <v>0</v>
      </c>
      <c r="G148" s="15">
        <v>0</v>
      </c>
      <c r="H148" s="15">
        <v>1</v>
      </c>
      <c r="I148" s="15">
        <v>0</v>
      </c>
      <c r="J148" s="15">
        <v>2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2</v>
      </c>
      <c r="R148" s="15">
        <v>1</v>
      </c>
      <c r="S148" s="15">
        <v>0</v>
      </c>
      <c r="T148" s="15">
        <v>0</v>
      </c>
      <c r="U148" s="15">
        <v>0</v>
      </c>
      <c r="V148" s="15">
        <v>1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3">
        <f t="shared" si="13"/>
        <v>7</v>
      </c>
      <c r="AC148" s="5"/>
      <c r="AD148" s="5"/>
    </row>
    <row r="149" spans="1:30" ht="12.75" customHeight="1" x14ac:dyDescent="0.3">
      <c r="A149" s="14"/>
      <c r="B149" s="27">
        <v>3</v>
      </c>
      <c r="C149" s="28" t="s">
        <v>127</v>
      </c>
      <c r="D149" s="29"/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3</v>
      </c>
      <c r="K149" s="15">
        <v>0</v>
      </c>
      <c r="L149" s="15">
        <v>1</v>
      </c>
      <c r="M149" s="15">
        <v>1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2</v>
      </c>
      <c r="T149" s="15">
        <v>15</v>
      </c>
      <c r="U149" s="15">
        <v>9</v>
      </c>
      <c r="V149" s="15">
        <v>2</v>
      </c>
      <c r="W149" s="15">
        <v>2</v>
      </c>
      <c r="X149" s="15">
        <v>0</v>
      </c>
      <c r="Y149" s="15">
        <v>0</v>
      </c>
      <c r="Z149" s="15">
        <v>1</v>
      </c>
      <c r="AA149" s="15">
        <v>1</v>
      </c>
      <c r="AB149" s="13">
        <f t="shared" si="13"/>
        <v>37</v>
      </c>
      <c r="AC149" s="5"/>
      <c r="AD149" s="5"/>
    </row>
    <row r="150" spans="1:30" ht="12.75" customHeight="1" x14ac:dyDescent="0.3">
      <c r="A150" s="14"/>
      <c r="B150" s="27">
        <v>4</v>
      </c>
      <c r="C150" s="28" t="s">
        <v>128</v>
      </c>
      <c r="D150" s="29"/>
      <c r="E150" s="15">
        <v>0</v>
      </c>
      <c r="F150" s="15">
        <v>0</v>
      </c>
      <c r="G150" s="15">
        <v>1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1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1</v>
      </c>
      <c r="W150" s="15">
        <v>1</v>
      </c>
      <c r="X150" s="15">
        <v>1</v>
      </c>
      <c r="Y150" s="15">
        <v>0</v>
      </c>
      <c r="Z150" s="15">
        <v>0</v>
      </c>
      <c r="AA150" s="15">
        <v>1</v>
      </c>
      <c r="AB150" s="13">
        <f t="shared" si="13"/>
        <v>6</v>
      </c>
      <c r="AC150" s="5"/>
      <c r="AD150" s="5"/>
    </row>
    <row r="151" spans="1:30" ht="12.75" customHeight="1" x14ac:dyDescent="0.3">
      <c r="A151" s="14"/>
      <c r="B151" s="27">
        <v>5</v>
      </c>
      <c r="C151" s="28" t="s">
        <v>129</v>
      </c>
      <c r="D151" s="29"/>
      <c r="E151" s="15">
        <v>0</v>
      </c>
      <c r="F151" s="15">
        <v>0</v>
      </c>
      <c r="G151" s="15">
        <v>0</v>
      </c>
      <c r="H151" s="15">
        <v>1</v>
      </c>
      <c r="I151" s="15">
        <v>2</v>
      </c>
      <c r="J151" s="15">
        <v>0</v>
      </c>
      <c r="K151" s="15">
        <v>0</v>
      </c>
      <c r="L151" s="15">
        <v>0</v>
      </c>
      <c r="M151" s="15">
        <v>1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3">
        <f t="shared" si="13"/>
        <v>4</v>
      </c>
      <c r="AC151" s="1"/>
      <c r="AD151" s="1"/>
    </row>
    <row r="152" spans="1:30" ht="12.75" customHeight="1" x14ac:dyDescent="0.3">
      <c r="A152" s="14"/>
      <c r="B152" s="27">
        <v>6</v>
      </c>
      <c r="C152" s="28" t="s">
        <v>130</v>
      </c>
      <c r="D152" s="29"/>
      <c r="E152" s="15">
        <v>12</v>
      </c>
      <c r="F152" s="15">
        <v>3</v>
      </c>
      <c r="G152" s="15">
        <v>23</v>
      </c>
      <c r="H152" s="15">
        <v>107</v>
      </c>
      <c r="I152" s="15">
        <v>7</v>
      </c>
      <c r="J152" s="15">
        <v>30</v>
      </c>
      <c r="K152" s="15">
        <v>20</v>
      </c>
      <c r="L152" s="15">
        <v>1</v>
      </c>
      <c r="M152" s="15">
        <v>2</v>
      </c>
      <c r="N152" s="15">
        <v>1</v>
      </c>
      <c r="O152" s="15">
        <v>1</v>
      </c>
      <c r="P152" s="15">
        <v>25</v>
      </c>
      <c r="Q152" s="15">
        <v>76</v>
      </c>
      <c r="R152" s="15">
        <v>0</v>
      </c>
      <c r="S152" s="15">
        <v>1</v>
      </c>
      <c r="T152" s="15">
        <v>0</v>
      </c>
      <c r="U152" s="15">
        <v>0</v>
      </c>
      <c r="V152" s="15">
        <v>0</v>
      </c>
      <c r="W152" s="15">
        <v>1</v>
      </c>
      <c r="X152" s="15">
        <v>2</v>
      </c>
      <c r="Y152" s="15">
        <v>0</v>
      </c>
      <c r="Z152" s="15">
        <v>4</v>
      </c>
      <c r="AA152" s="15">
        <v>1</v>
      </c>
      <c r="AB152" s="13">
        <f t="shared" si="13"/>
        <v>317</v>
      </c>
      <c r="AC152" s="31"/>
      <c r="AD152" s="31"/>
    </row>
    <row r="153" spans="1:30" ht="12.75" customHeight="1" x14ac:dyDescent="0.3">
      <c r="A153" s="15" t="s">
        <v>15</v>
      </c>
      <c r="B153" s="47" t="s">
        <v>46</v>
      </c>
      <c r="C153" s="48"/>
      <c r="D153" s="49"/>
      <c r="E153" s="34">
        <f t="shared" ref="E153:AA153" si="27">SUM(E146:E152)</f>
        <v>21</v>
      </c>
      <c r="F153" s="34">
        <f t="shared" si="27"/>
        <v>8</v>
      </c>
      <c r="G153" s="34">
        <f t="shared" si="27"/>
        <v>27</v>
      </c>
      <c r="H153" s="34">
        <f t="shared" si="27"/>
        <v>113</v>
      </c>
      <c r="I153" s="34">
        <f t="shared" si="27"/>
        <v>11</v>
      </c>
      <c r="J153" s="34">
        <f t="shared" si="27"/>
        <v>38</v>
      </c>
      <c r="K153" s="34">
        <f t="shared" si="27"/>
        <v>22</v>
      </c>
      <c r="L153" s="34">
        <f t="shared" si="27"/>
        <v>4</v>
      </c>
      <c r="M153" s="34">
        <f t="shared" si="27"/>
        <v>7</v>
      </c>
      <c r="N153" s="34">
        <f t="shared" si="27"/>
        <v>1</v>
      </c>
      <c r="O153" s="34">
        <f t="shared" si="27"/>
        <v>1</v>
      </c>
      <c r="P153" s="34">
        <f t="shared" si="27"/>
        <v>29</v>
      </c>
      <c r="Q153" s="34">
        <f t="shared" si="27"/>
        <v>84</v>
      </c>
      <c r="R153" s="34">
        <f t="shared" si="27"/>
        <v>28</v>
      </c>
      <c r="S153" s="34">
        <f t="shared" si="27"/>
        <v>10</v>
      </c>
      <c r="T153" s="34">
        <f t="shared" si="27"/>
        <v>16</v>
      </c>
      <c r="U153" s="34">
        <f t="shared" si="27"/>
        <v>12</v>
      </c>
      <c r="V153" s="34">
        <f t="shared" si="27"/>
        <v>6</v>
      </c>
      <c r="W153" s="34">
        <f t="shared" si="27"/>
        <v>7</v>
      </c>
      <c r="X153" s="34">
        <f t="shared" si="27"/>
        <v>5</v>
      </c>
      <c r="Y153" s="34">
        <f t="shared" si="27"/>
        <v>1</v>
      </c>
      <c r="Z153" s="34">
        <f t="shared" si="27"/>
        <v>9</v>
      </c>
      <c r="AA153" s="34">
        <f t="shared" si="27"/>
        <v>7</v>
      </c>
      <c r="AB153" s="13">
        <f t="shared" si="13"/>
        <v>467</v>
      </c>
      <c r="AC153" s="5"/>
      <c r="AD153" s="5"/>
    </row>
    <row r="154" spans="1:30" ht="12.75" customHeight="1" x14ac:dyDescent="0.3">
      <c r="A154" s="35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13">
        <f t="shared" si="13"/>
        <v>0</v>
      </c>
      <c r="AC154" s="5"/>
      <c r="AD154" s="5"/>
    </row>
    <row r="155" spans="1:30" ht="12.75" customHeight="1" x14ac:dyDescent="0.3">
      <c r="A155" s="19" t="s">
        <v>37</v>
      </c>
      <c r="B155" s="26" t="s">
        <v>131</v>
      </c>
      <c r="C155" s="50" t="s">
        <v>132</v>
      </c>
      <c r="D155" s="49"/>
      <c r="E155" s="15">
        <v>6</v>
      </c>
      <c r="F155" s="15">
        <v>0</v>
      </c>
      <c r="G155" s="15">
        <v>1</v>
      </c>
      <c r="H155" s="15">
        <v>0</v>
      </c>
      <c r="I155" s="15">
        <v>3</v>
      </c>
      <c r="J155" s="15">
        <v>1</v>
      </c>
      <c r="K155" s="15">
        <v>1</v>
      </c>
      <c r="L155" s="15">
        <v>0</v>
      </c>
      <c r="M155" s="15">
        <v>2</v>
      </c>
      <c r="N155" s="15">
        <v>0</v>
      </c>
      <c r="O155" s="15">
        <v>0</v>
      </c>
      <c r="P155" s="15">
        <v>0</v>
      </c>
      <c r="Q155" s="15">
        <v>0</v>
      </c>
      <c r="R155" s="15">
        <v>1</v>
      </c>
      <c r="S155" s="15">
        <v>0</v>
      </c>
      <c r="T155" s="15">
        <v>1</v>
      </c>
      <c r="U155" s="15">
        <v>0</v>
      </c>
      <c r="V155" s="15">
        <v>2</v>
      </c>
      <c r="W155" s="15">
        <v>0</v>
      </c>
      <c r="X155" s="15">
        <v>1</v>
      </c>
      <c r="Y155" s="15">
        <v>0</v>
      </c>
      <c r="Z155" s="15">
        <v>1</v>
      </c>
      <c r="AA155" s="15">
        <v>0</v>
      </c>
      <c r="AB155" s="13">
        <f t="shared" si="13"/>
        <v>20</v>
      </c>
      <c r="AC155" s="5"/>
      <c r="AD155" s="5"/>
    </row>
    <row r="156" spans="1:30" ht="12.75" customHeight="1" x14ac:dyDescent="0.3">
      <c r="A156" s="19" t="s">
        <v>39</v>
      </c>
      <c r="B156" s="27"/>
      <c r="C156" s="28" t="s">
        <v>133</v>
      </c>
      <c r="D156" s="29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3">
        <f t="shared" si="13"/>
        <v>0</v>
      </c>
      <c r="AC156" s="5"/>
      <c r="AD156" s="5"/>
    </row>
    <row r="157" spans="1:30" ht="12.75" customHeight="1" x14ac:dyDescent="0.3">
      <c r="A157" s="15" t="s">
        <v>15</v>
      </c>
      <c r="B157" s="47" t="s">
        <v>46</v>
      </c>
      <c r="C157" s="48"/>
      <c r="D157" s="49"/>
      <c r="E157" s="34">
        <f t="shared" ref="E157:AA157" si="28">SUM(E155:E156)</f>
        <v>6</v>
      </c>
      <c r="F157" s="34">
        <f t="shared" si="28"/>
        <v>0</v>
      </c>
      <c r="G157" s="34">
        <f t="shared" si="28"/>
        <v>1</v>
      </c>
      <c r="H157" s="34">
        <f t="shared" si="28"/>
        <v>0</v>
      </c>
      <c r="I157" s="34">
        <f t="shared" si="28"/>
        <v>3</v>
      </c>
      <c r="J157" s="34">
        <f t="shared" si="28"/>
        <v>1</v>
      </c>
      <c r="K157" s="34">
        <f t="shared" si="28"/>
        <v>1</v>
      </c>
      <c r="L157" s="34">
        <f t="shared" si="28"/>
        <v>0</v>
      </c>
      <c r="M157" s="34">
        <f t="shared" si="28"/>
        <v>2</v>
      </c>
      <c r="N157" s="34">
        <f t="shared" si="28"/>
        <v>0</v>
      </c>
      <c r="O157" s="34">
        <f t="shared" si="28"/>
        <v>0</v>
      </c>
      <c r="P157" s="34">
        <f t="shared" si="28"/>
        <v>0</v>
      </c>
      <c r="Q157" s="34">
        <f t="shared" si="28"/>
        <v>0</v>
      </c>
      <c r="R157" s="34">
        <f t="shared" si="28"/>
        <v>1</v>
      </c>
      <c r="S157" s="34">
        <f t="shared" si="28"/>
        <v>0</v>
      </c>
      <c r="T157" s="34">
        <f t="shared" si="28"/>
        <v>1</v>
      </c>
      <c r="U157" s="34">
        <f t="shared" si="28"/>
        <v>0</v>
      </c>
      <c r="V157" s="34">
        <f t="shared" si="28"/>
        <v>2</v>
      </c>
      <c r="W157" s="34">
        <f t="shared" si="28"/>
        <v>0</v>
      </c>
      <c r="X157" s="34">
        <f t="shared" si="28"/>
        <v>1</v>
      </c>
      <c r="Y157" s="34">
        <f t="shared" si="28"/>
        <v>0</v>
      </c>
      <c r="Z157" s="34">
        <f t="shared" si="28"/>
        <v>1</v>
      </c>
      <c r="AA157" s="34">
        <f t="shared" si="28"/>
        <v>0</v>
      </c>
      <c r="AB157" s="13">
        <f t="shared" si="13"/>
        <v>20</v>
      </c>
      <c r="AC157" s="5"/>
      <c r="AD157" s="5"/>
    </row>
    <row r="158" spans="1:30" ht="12.75" customHeight="1" x14ac:dyDescent="0.3">
      <c r="A158" s="35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13">
        <f t="shared" si="13"/>
        <v>0</v>
      </c>
      <c r="AC158" s="5"/>
      <c r="AD158" s="5"/>
    </row>
    <row r="159" spans="1:30" ht="12.75" customHeight="1" x14ac:dyDescent="0.3">
      <c r="A159" s="19" t="s">
        <v>37</v>
      </c>
      <c r="B159" s="26" t="s">
        <v>134</v>
      </c>
      <c r="C159" s="50" t="s">
        <v>135</v>
      </c>
      <c r="D159" s="49"/>
      <c r="E159" s="15">
        <v>0</v>
      </c>
      <c r="F159" s="15">
        <v>0</v>
      </c>
      <c r="G159" s="15">
        <v>0</v>
      </c>
      <c r="H159" s="15">
        <v>1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2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1</v>
      </c>
      <c r="U159" s="15">
        <v>0</v>
      </c>
      <c r="V159" s="15">
        <v>0</v>
      </c>
      <c r="W159" s="15">
        <v>0</v>
      </c>
      <c r="X159" s="15">
        <v>0</v>
      </c>
      <c r="Y159" s="15">
        <v>1</v>
      </c>
      <c r="Z159" s="15">
        <v>0</v>
      </c>
      <c r="AA159" s="15">
        <v>0</v>
      </c>
      <c r="AB159" s="13">
        <f t="shared" si="13"/>
        <v>5</v>
      </c>
      <c r="AC159" s="5"/>
      <c r="AD159" s="5"/>
    </row>
    <row r="160" spans="1:30" ht="12.75" customHeight="1" x14ac:dyDescent="0.3">
      <c r="A160" s="19"/>
      <c r="B160" s="27">
        <v>1</v>
      </c>
      <c r="C160" s="28" t="s">
        <v>136</v>
      </c>
      <c r="D160" s="37"/>
      <c r="E160" s="15">
        <v>1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1</v>
      </c>
      <c r="L160" s="15">
        <v>1</v>
      </c>
      <c r="M160" s="15">
        <v>1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3">
        <f t="shared" si="13"/>
        <v>4</v>
      </c>
      <c r="AC160" s="5"/>
      <c r="AD160" s="5"/>
    </row>
    <row r="161" spans="1:30" ht="12.75" customHeight="1" x14ac:dyDescent="0.3">
      <c r="A161" s="19"/>
      <c r="B161" s="27">
        <v>2</v>
      </c>
      <c r="C161" s="28" t="s">
        <v>137</v>
      </c>
      <c r="D161" s="37"/>
      <c r="E161" s="15">
        <v>3</v>
      </c>
      <c r="F161" s="15">
        <v>0</v>
      </c>
      <c r="G161" s="15">
        <v>0</v>
      </c>
      <c r="H161" s="15">
        <v>0</v>
      </c>
      <c r="I161" s="15">
        <v>3</v>
      </c>
      <c r="J161" s="15">
        <v>2</v>
      </c>
      <c r="K161" s="15">
        <v>5</v>
      </c>
      <c r="L161" s="15">
        <v>0</v>
      </c>
      <c r="M161" s="15">
        <v>2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1</v>
      </c>
      <c r="U161" s="15">
        <v>0</v>
      </c>
      <c r="V161" s="15">
        <v>0</v>
      </c>
      <c r="W161" s="15">
        <v>0</v>
      </c>
      <c r="X161" s="15">
        <v>1</v>
      </c>
      <c r="Y161" s="15">
        <v>1</v>
      </c>
      <c r="Z161" s="15">
        <v>0</v>
      </c>
      <c r="AA161" s="15">
        <v>0</v>
      </c>
      <c r="AB161" s="13">
        <f t="shared" si="13"/>
        <v>18</v>
      </c>
      <c r="AC161" s="5"/>
      <c r="AD161" s="5"/>
    </row>
    <row r="162" spans="1:30" ht="12.75" customHeight="1" x14ac:dyDescent="0.3">
      <c r="A162" s="19" t="s">
        <v>39</v>
      </c>
      <c r="B162" s="27">
        <v>3</v>
      </c>
      <c r="C162" s="28" t="s">
        <v>138</v>
      </c>
      <c r="D162" s="37"/>
      <c r="E162" s="15">
        <v>0</v>
      </c>
      <c r="F162" s="15">
        <v>0</v>
      </c>
      <c r="G162" s="15">
        <v>0</v>
      </c>
      <c r="H162" s="15">
        <v>1</v>
      </c>
      <c r="I162" s="15">
        <v>0</v>
      </c>
      <c r="J162" s="15">
        <v>0</v>
      </c>
      <c r="K162" s="15">
        <v>0</v>
      </c>
      <c r="L162" s="15">
        <v>0</v>
      </c>
      <c r="M162" s="15">
        <v>2</v>
      </c>
      <c r="N162" s="15">
        <v>0</v>
      </c>
      <c r="O162" s="15">
        <v>0</v>
      </c>
      <c r="P162" s="15">
        <v>1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3">
        <f t="shared" si="13"/>
        <v>4</v>
      </c>
      <c r="AC162" s="5"/>
      <c r="AD162" s="5"/>
    </row>
    <row r="163" spans="1:30" ht="15" customHeight="1" x14ac:dyDescent="0.3">
      <c r="A163" s="15" t="s">
        <v>15</v>
      </c>
      <c r="B163" s="47" t="s">
        <v>46</v>
      </c>
      <c r="C163" s="48"/>
      <c r="D163" s="49"/>
      <c r="E163" s="34">
        <f t="shared" ref="E163:AA163" si="29">SUM(E159:E162)</f>
        <v>4</v>
      </c>
      <c r="F163" s="34">
        <f t="shared" si="29"/>
        <v>0</v>
      </c>
      <c r="G163" s="34">
        <f t="shared" si="29"/>
        <v>0</v>
      </c>
      <c r="H163" s="34">
        <f t="shared" si="29"/>
        <v>2</v>
      </c>
      <c r="I163" s="34">
        <f t="shared" si="29"/>
        <v>3</v>
      </c>
      <c r="J163" s="34">
        <f t="shared" si="29"/>
        <v>2</v>
      </c>
      <c r="K163" s="34">
        <f t="shared" si="29"/>
        <v>6</v>
      </c>
      <c r="L163" s="34">
        <f t="shared" si="29"/>
        <v>1</v>
      </c>
      <c r="M163" s="34">
        <f t="shared" si="29"/>
        <v>5</v>
      </c>
      <c r="N163" s="34">
        <f t="shared" si="29"/>
        <v>2</v>
      </c>
      <c r="O163" s="34">
        <f t="shared" si="29"/>
        <v>0</v>
      </c>
      <c r="P163" s="34">
        <f t="shared" si="29"/>
        <v>1</v>
      </c>
      <c r="Q163" s="34">
        <f t="shared" si="29"/>
        <v>0</v>
      </c>
      <c r="R163" s="34">
        <f t="shared" si="29"/>
        <v>0</v>
      </c>
      <c r="S163" s="34">
        <f t="shared" si="29"/>
        <v>0</v>
      </c>
      <c r="T163" s="34">
        <f t="shared" si="29"/>
        <v>2</v>
      </c>
      <c r="U163" s="34">
        <f t="shared" si="29"/>
        <v>0</v>
      </c>
      <c r="V163" s="34">
        <f t="shared" si="29"/>
        <v>0</v>
      </c>
      <c r="W163" s="34">
        <f t="shared" si="29"/>
        <v>0</v>
      </c>
      <c r="X163" s="34">
        <f t="shared" si="29"/>
        <v>1</v>
      </c>
      <c r="Y163" s="34">
        <f t="shared" si="29"/>
        <v>2</v>
      </c>
      <c r="Z163" s="34">
        <f t="shared" si="29"/>
        <v>0</v>
      </c>
      <c r="AA163" s="34">
        <f t="shared" si="29"/>
        <v>0</v>
      </c>
      <c r="AB163" s="13">
        <f t="shared" si="13"/>
        <v>31</v>
      </c>
      <c r="AC163" s="5"/>
      <c r="AD163" s="5"/>
    </row>
    <row r="164" spans="1:30" ht="12.75" customHeight="1" x14ac:dyDescent="0.3">
      <c r="A164" s="35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13">
        <f t="shared" si="13"/>
        <v>0</v>
      </c>
      <c r="AC164" s="5"/>
      <c r="AD164" s="5"/>
    </row>
    <row r="165" spans="1:30" ht="12.75" customHeight="1" x14ac:dyDescent="0.3">
      <c r="A165" s="19" t="s">
        <v>37</v>
      </c>
      <c r="B165" s="26" t="s">
        <v>139</v>
      </c>
      <c r="C165" s="50" t="s">
        <v>140</v>
      </c>
      <c r="D165" s="49"/>
      <c r="E165" s="15">
        <v>0</v>
      </c>
      <c r="F165" s="15">
        <v>1</v>
      </c>
      <c r="G165" s="15">
        <v>1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1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3</v>
      </c>
      <c r="V165" s="15">
        <v>1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3">
        <f t="shared" si="13"/>
        <v>7</v>
      </c>
      <c r="AC165" s="1"/>
      <c r="AD165" s="1"/>
    </row>
    <row r="166" spans="1:30" ht="12.75" customHeight="1" x14ac:dyDescent="0.3">
      <c r="A166" s="19" t="s">
        <v>39</v>
      </c>
      <c r="B166" s="27">
        <v>1</v>
      </c>
      <c r="C166" s="28" t="s">
        <v>141</v>
      </c>
      <c r="D166" s="29"/>
      <c r="E166" s="15">
        <v>3</v>
      </c>
      <c r="F166" s="15">
        <v>1</v>
      </c>
      <c r="G166" s="15">
        <v>0</v>
      </c>
      <c r="H166" s="15">
        <v>0</v>
      </c>
      <c r="I166" s="15">
        <v>0</v>
      </c>
      <c r="J166" s="15">
        <v>4</v>
      </c>
      <c r="K166" s="15">
        <v>6</v>
      </c>
      <c r="L166" s="15">
        <v>25</v>
      </c>
      <c r="M166" s="15">
        <v>6</v>
      </c>
      <c r="N166" s="15">
        <v>0</v>
      </c>
      <c r="O166" s="15">
        <v>12</v>
      </c>
      <c r="P166" s="15">
        <v>2</v>
      </c>
      <c r="Q166" s="15">
        <v>0</v>
      </c>
      <c r="R166" s="15">
        <v>4</v>
      </c>
      <c r="S166" s="15">
        <v>33</v>
      </c>
      <c r="T166" s="15">
        <v>31</v>
      </c>
      <c r="U166" s="15">
        <v>23</v>
      </c>
      <c r="V166" s="15">
        <v>18</v>
      </c>
      <c r="W166" s="15">
        <v>3</v>
      </c>
      <c r="X166" s="15">
        <v>0</v>
      </c>
      <c r="Y166" s="15">
        <v>1</v>
      </c>
      <c r="Z166" s="15">
        <v>4</v>
      </c>
      <c r="AA166" s="15">
        <v>3</v>
      </c>
      <c r="AB166" s="13">
        <f t="shared" si="13"/>
        <v>179</v>
      </c>
      <c r="AC166" s="31"/>
      <c r="AD166" s="31"/>
    </row>
    <row r="167" spans="1:30" ht="12.75" customHeight="1" x14ac:dyDescent="0.3">
      <c r="A167" s="14"/>
      <c r="B167" s="27">
        <v>2</v>
      </c>
      <c r="C167" s="28" t="s">
        <v>142</v>
      </c>
      <c r="D167" s="29"/>
      <c r="E167" s="15">
        <v>2</v>
      </c>
      <c r="F167" s="15">
        <v>15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4</v>
      </c>
      <c r="M167" s="15">
        <v>2</v>
      </c>
      <c r="N167" s="15">
        <v>2</v>
      </c>
      <c r="O167" s="15">
        <v>0</v>
      </c>
      <c r="P167" s="15">
        <v>0</v>
      </c>
      <c r="Q167" s="15">
        <v>0</v>
      </c>
      <c r="R167" s="15">
        <v>7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2</v>
      </c>
      <c r="Z167" s="15">
        <v>2</v>
      </c>
      <c r="AA167" s="15">
        <v>1</v>
      </c>
      <c r="AB167" s="13">
        <f t="shared" si="13"/>
        <v>37</v>
      </c>
      <c r="AC167" s="5"/>
      <c r="AD167" s="5"/>
    </row>
    <row r="168" spans="1:30" ht="12.75" customHeight="1" x14ac:dyDescent="0.3">
      <c r="A168" s="14"/>
      <c r="B168" s="27">
        <v>3</v>
      </c>
      <c r="C168" s="28" t="s">
        <v>143</v>
      </c>
      <c r="D168" s="29"/>
      <c r="E168" s="15">
        <v>0</v>
      </c>
      <c r="F168" s="15">
        <v>2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2</v>
      </c>
      <c r="S168" s="15">
        <v>4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3">
        <f t="shared" si="13"/>
        <v>8</v>
      </c>
      <c r="AC168" s="5"/>
      <c r="AD168" s="5"/>
    </row>
    <row r="169" spans="1:30" ht="12.75" customHeight="1" x14ac:dyDescent="0.3">
      <c r="A169" s="14"/>
      <c r="B169" s="27">
        <v>4</v>
      </c>
      <c r="C169" s="28" t="s">
        <v>144</v>
      </c>
      <c r="D169" s="29"/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1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3">
        <f t="shared" si="13"/>
        <v>1</v>
      </c>
      <c r="AC169" s="5"/>
      <c r="AD169" s="5"/>
    </row>
    <row r="170" spans="1:30" ht="12.75" customHeight="1" x14ac:dyDescent="0.3">
      <c r="A170" s="14"/>
      <c r="B170" s="27">
        <v>5</v>
      </c>
      <c r="C170" s="28" t="s">
        <v>145</v>
      </c>
      <c r="D170" s="29"/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2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3">
        <f t="shared" si="13"/>
        <v>2</v>
      </c>
      <c r="AC170" s="5"/>
      <c r="AD170" s="5"/>
    </row>
    <row r="171" spans="1:30" ht="12.75" customHeight="1" x14ac:dyDescent="0.3">
      <c r="A171" s="14"/>
      <c r="B171" s="27">
        <v>6</v>
      </c>
      <c r="C171" s="28" t="s">
        <v>146</v>
      </c>
      <c r="D171" s="29"/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1</v>
      </c>
      <c r="K171" s="15">
        <v>0</v>
      </c>
      <c r="L171" s="15">
        <v>2</v>
      </c>
      <c r="M171" s="15">
        <v>0</v>
      </c>
      <c r="N171" s="15">
        <v>1</v>
      </c>
      <c r="O171" s="15">
        <v>1</v>
      </c>
      <c r="P171" s="15">
        <v>0</v>
      </c>
      <c r="Q171" s="15">
        <v>1</v>
      </c>
      <c r="R171" s="15">
        <v>1</v>
      </c>
      <c r="S171" s="15">
        <v>0</v>
      </c>
      <c r="T171" s="15">
        <v>1</v>
      </c>
      <c r="U171" s="15">
        <v>0</v>
      </c>
      <c r="V171" s="15">
        <v>0</v>
      </c>
      <c r="W171" s="15">
        <v>0</v>
      </c>
      <c r="X171" s="15">
        <v>2</v>
      </c>
      <c r="Y171" s="15">
        <v>1</v>
      </c>
      <c r="Z171" s="15">
        <v>0</v>
      </c>
      <c r="AA171" s="15">
        <v>1</v>
      </c>
      <c r="AB171" s="13">
        <f t="shared" si="13"/>
        <v>12</v>
      </c>
      <c r="AC171" s="5"/>
      <c r="AD171" s="5"/>
    </row>
    <row r="172" spans="1:30" ht="12.75" customHeight="1" x14ac:dyDescent="0.3">
      <c r="A172" s="15" t="s">
        <v>15</v>
      </c>
      <c r="B172" s="47" t="s">
        <v>46</v>
      </c>
      <c r="C172" s="48"/>
      <c r="D172" s="49"/>
      <c r="E172" s="46">
        <f t="shared" ref="E172:AA172" si="30">SUM(E165:E171)</f>
        <v>5</v>
      </c>
      <c r="F172" s="46">
        <f t="shared" si="30"/>
        <v>19</v>
      </c>
      <c r="G172" s="46">
        <f t="shared" si="30"/>
        <v>1</v>
      </c>
      <c r="H172" s="46">
        <f t="shared" si="30"/>
        <v>0</v>
      </c>
      <c r="I172" s="46">
        <f t="shared" si="30"/>
        <v>0</v>
      </c>
      <c r="J172" s="46">
        <f t="shared" si="30"/>
        <v>5</v>
      </c>
      <c r="K172" s="46">
        <f t="shared" si="30"/>
        <v>6</v>
      </c>
      <c r="L172" s="46">
        <f t="shared" si="30"/>
        <v>33</v>
      </c>
      <c r="M172" s="46">
        <f t="shared" si="30"/>
        <v>8</v>
      </c>
      <c r="N172" s="46">
        <f t="shared" si="30"/>
        <v>5</v>
      </c>
      <c r="O172" s="46">
        <f t="shared" si="30"/>
        <v>13</v>
      </c>
      <c r="P172" s="46">
        <f t="shared" si="30"/>
        <v>2</v>
      </c>
      <c r="Q172" s="46">
        <f t="shared" si="30"/>
        <v>1</v>
      </c>
      <c r="R172" s="46">
        <f t="shared" si="30"/>
        <v>14</v>
      </c>
      <c r="S172" s="46">
        <f t="shared" si="30"/>
        <v>37</v>
      </c>
      <c r="T172" s="46">
        <f t="shared" si="30"/>
        <v>32</v>
      </c>
      <c r="U172" s="46">
        <f t="shared" si="30"/>
        <v>26</v>
      </c>
      <c r="V172" s="46">
        <f t="shared" si="30"/>
        <v>19</v>
      </c>
      <c r="W172" s="46">
        <f t="shared" si="30"/>
        <v>3</v>
      </c>
      <c r="X172" s="46">
        <f t="shared" si="30"/>
        <v>2</v>
      </c>
      <c r="Y172" s="46">
        <f t="shared" si="30"/>
        <v>4</v>
      </c>
      <c r="Z172" s="46">
        <f t="shared" si="30"/>
        <v>6</v>
      </c>
      <c r="AA172" s="46">
        <f t="shared" si="30"/>
        <v>5</v>
      </c>
      <c r="AB172" s="13">
        <f t="shared" si="13"/>
        <v>246</v>
      </c>
      <c r="AC172" s="5"/>
      <c r="AD172" s="5"/>
    </row>
    <row r="173" spans="1:30" ht="12.75" customHeight="1" x14ac:dyDescent="0.3">
      <c r="A173" s="35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13">
        <f t="shared" si="13"/>
        <v>0</v>
      </c>
      <c r="AC173" s="5"/>
      <c r="AD173" s="5"/>
    </row>
    <row r="174" spans="1:30" ht="12.75" customHeight="1" x14ac:dyDescent="0.3">
      <c r="A174" s="19" t="s">
        <v>37</v>
      </c>
      <c r="B174" s="26" t="s">
        <v>147</v>
      </c>
      <c r="C174" s="50" t="s">
        <v>148</v>
      </c>
      <c r="D174" s="49"/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3">
        <f t="shared" si="13"/>
        <v>0</v>
      </c>
      <c r="AC174" s="5"/>
      <c r="AD174" s="5"/>
    </row>
    <row r="175" spans="1:30" ht="15" customHeight="1" x14ac:dyDescent="0.3">
      <c r="A175" s="19"/>
      <c r="B175" s="27">
        <v>1</v>
      </c>
      <c r="C175" s="28" t="s">
        <v>149</v>
      </c>
      <c r="D175" s="37"/>
      <c r="E175" s="15">
        <v>0</v>
      </c>
      <c r="F175" s="15">
        <v>0</v>
      </c>
      <c r="G175" s="15">
        <v>2</v>
      </c>
      <c r="H175" s="15">
        <v>1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1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3">
        <f t="shared" si="13"/>
        <v>4</v>
      </c>
      <c r="AC175" s="5"/>
      <c r="AD175" s="5"/>
    </row>
    <row r="176" spans="1:30" ht="12.75" customHeight="1" x14ac:dyDescent="0.3">
      <c r="A176" s="19" t="s">
        <v>39</v>
      </c>
      <c r="B176" s="27">
        <v>2</v>
      </c>
      <c r="C176" s="28" t="s">
        <v>150</v>
      </c>
      <c r="D176" s="29"/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3">
        <f t="shared" si="13"/>
        <v>0</v>
      </c>
      <c r="AC176" s="1"/>
      <c r="AD176" s="1"/>
    </row>
    <row r="177" spans="1:30" ht="12.75" customHeight="1" x14ac:dyDescent="0.3">
      <c r="A177" s="15" t="s">
        <v>15</v>
      </c>
      <c r="B177" s="47" t="s">
        <v>46</v>
      </c>
      <c r="C177" s="48"/>
      <c r="D177" s="49"/>
      <c r="E177" s="34">
        <f t="shared" ref="E177:AA177" si="31">SUM(E174:E176)</f>
        <v>0</v>
      </c>
      <c r="F177" s="34">
        <f t="shared" si="31"/>
        <v>0</v>
      </c>
      <c r="G177" s="34">
        <f t="shared" si="31"/>
        <v>2</v>
      </c>
      <c r="H177" s="34">
        <f t="shared" si="31"/>
        <v>1</v>
      </c>
      <c r="I177" s="34">
        <f t="shared" si="31"/>
        <v>0</v>
      </c>
      <c r="J177" s="34">
        <f t="shared" si="31"/>
        <v>0</v>
      </c>
      <c r="K177" s="34">
        <f t="shared" si="31"/>
        <v>0</v>
      </c>
      <c r="L177" s="34">
        <f t="shared" si="31"/>
        <v>0</v>
      </c>
      <c r="M177" s="34">
        <f t="shared" si="31"/>
        <v>0</v>
      </c>
      <c r="N177" s="34">
        <f t="shared" si="31"/>
        <v>0</v>
      </c>
      <c r="O177" s="34">
        <f t="shared" si="31"/>
        <v>0</v>
      </c>
      <c r="P177" s="34">
        <f t="shared" si="31"/>
        <v>0</v>
      </c>
      <c r="Q177" s="34">
        <f t="shared" si="31"/>
        <v>0</v>
      </c>
      <c r="R177" s="34">
        <f t="shared" si="31"/>
        <v>0</v>
      </c>
      <c r="S177" s="34">
        <f t="shared" si="31"/>
        <v>0</v>
      </c>
      <c r="T177" s="34">
        <f t="shared" si="31"/>
        <v>0</v>
      </c>
      <c r="U177" s="34">
        <f t="shared" si="31"/>
        <v>1</v>
      </c>
      <c r="V177" s="34">
        <f t="shared" si="31"/>
        <v>0</v>
      </c>
      <c r="W177" s="34">
        <f t="shared" si="31"/>
        <v>0</v>
      </c>
      <c r="X177" s="34">
        <f t="shared" si="31"/>
        <v>0</v>
      </c>
      <c r="Y177" s="34">
        <f t="shared" si="31"/>
        <v>0</v>
      </c>
      <c r="Z177" s="34">
        <f t="shared" si="31"/>
        <v>0</v>
      </c>
      <c r="AA177" s="34">
        <f t="shared" si="31"/>
        <v>0</v>
      </c>
      <c r="AB177" s="13">
        <f t="shared" si="13"/>
        <v>4</v>
      </c>
    </row>
    <row r="178" spans="1:30" ht="12.75" customHeight="1" x14ac:dyDescent="0.3">
      <c r="A178" s="60"/>
      <c r="B178" s="58"/>
      <c r="C178" s="58"/>
      <c r="D178" s="5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3">
        <f t="shared" si="13"/>
        <v>0</v>
      </c>
      <c r="AC178" s="5"/>
      <c r="AD178" s="5"/>
    </row>
    <row r="179" spans="1:30" ht="12.75" customHeight="1" x14ac:dyDescent="0.3">
      <c r="A179" s="25" t="s">
        <v>151</v>
      </c>
      <c r="B179" s="55" t="s">
        <v>152</v>
      </c>
      <c r="C179" s="48"/>
      <c r="D179" s="49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3">
        <f t="shared" si="13"/>
        <v>0</v>
      </c>
      <c r="AC179" s="5"/>
      <c r="AD179" s="5"/>
    </row>
    <row r="180" spans="1:30" ht="12.75" customHeight="1" x14ac:dyDescent="0.3">
      <c r="A180" s="25"/>
      <c r="B180" s="38" t="s">
        <v>153</v>
      </c>
      <c r="C180" s="72" t="s">
        <v>154</v>
      </c>
      <c r="D180" s="49"/>
      <c r="E180" s="15">
        <f>E52+E61+E70+E79+E88+E94+E99+E108+E115+E124+E128+E135+E144+E153+E157+E163+E172+E177</f>
        <v>192</v>
      </c>
      <c r="F180" s="15">
        <f t="shared" ref="F180:AB180" si="32">F52+F61+F70+F79+F88+F94+F99+F108+F115+F124+F128+F135+F144+F153+F157+F163+F172+F177</f>
        <v>221</v>
      </c>
      <c r="G180" s="15">
        <f t="shared" si="32"/>
        <v>198</v>
      </c>
      <c r="H180" s="15">
        <f t="shared" si="32"/>
        <v>250</v>
      </c>
      <c r="I180" s="15">
        <f t="shared" si="32"/>
        <v>222</v>
      </c>
      <c r="J180" s="15">
        <f t="shared" si="32"/>
        <v>214</v>
      </c>
      <c r="K180" s="15">
        <f t="shared" si="32"/>
        <v>177</v>
      </c>
      <c r="L180" s="15">
        <f t="shared" si="32"/>
        <v>202</v>
      </c>
      <c r="M180" s="15">
        <f t="shared" si="32"/>
        <v>199</v>
      </c>
      <c r="N180" s="15">
        <f t="shared" si="32"/>
        <v>186</v>
      </c>
      <c r="O180" s="15">
        <f t="shared" si="32"/>
        <v>219</v>
      </c>
      <c r="P180" s="15">
        <f t="shared" si="32"/>
        <v>193</v>
      </c>
      <c r="Q180" s="15">
        <f t="shared" si="32"/>
        <v>191</v>
      </c>
      <c r="R180" s="15">
        <f t="shared" si="32"/>
        <v>194</v>
      </c>
      <c r="S180" s="15">
        <f t="shared" si="32"/>
        <v>226</v>
      </c>
      <c r="T180" s="15">
        <f t="shared" si="32"/>
        <v>212</v>
      </c>
      <c r="U180" s="15">
        <f t="shared" si="32"/>
        <v>188</v>
      </c>
      <c r="V180" s="15">
        <f t="shared" si="32"/>
        <v>171</v>
      </c>
      <c r="W180" s="15">
        <f t="shared" si="32"/>
        <v>164</v>
      </c>
      <c r="X180" s="15">
        <f t="shared" si="32"/>
        <v>192</v>
      </c>
      <c r="Y180" s="15">
        <f t="shared" si="32"/>
        <v>217</v>
      </c>
      <c r="Z180" s="15">
        <f t="shared" si="32"/>
        <v>213</v>
      </c>
      <c r="AA180" s="15">
        <f t="shared" si="32"/>
        <v>206</v>
      </c>
      <c r="AB180" s="15">
        <f t="shared" si="32"/>
        <v>4647</v>
      </c>
      <c r="AC180" s="5"/>
      <c r="AD180" s="5"/>
    </row>
    <row r="181" spans="1:30" ht="12.75" customHeight="1" x14ac:dyDescent="0.3">
      <c r="A181" s="21"/>
      <c r="B181" s="38" t="s">
        <v>155</v>
      </c>
      <c r="C181" s="72" t="s">
        <v>156</v>
      </c>
      <c r="D181" s="49"/>
      <c r="E181" s="15">
        <v>15</v>
      </c>
      <c r="F181" s="15">
        <v>12</v>
      </c>
      <c r="G181" s="15">
        <v>16</v>
      </c>
      <c r="H181" s="15">
        <v>12</v>
      </c>
      <c r="I181" s="15">
        <v>4</v>
      </c>
      <c r="J181" s="15">
        <v>11</v>
      </c>
      <c r="K181" s="15">
        <v>9</v>
      </c>
      <c r="L181" s="15">
        <v>8</v>
      </c>
      <c r="M181" s="15">
        <v>16</v>
      </c>
      <c r="N181" s="15">
        <v>9</v>
      </c>
      <c r="O181" s="15">
        <v>7</v>
      </c>
      <c r="P181" s="15">
        <v>17</v>
      </c>
      <c r="Q181" s="15">
        <v>12</v>
      </c>
      <c r="R181" s="15">
        <v>11</v>
      </c>
      <c r="S181" s="15">
        <v>5</v>
      </c>
      <c r="T181" s="15">
        <v>6</v>
      </c>
      <c r="U181" s="15">
        <v>7</v>
      </c>
      <c r="V181" s="15">
        <v>4</v>
      </c>
      <c r="W181" s="15">
        <v>15</v>
      </c>
      <c r="X181" s="15">
        <v>12</v>
      </c>
      <c r="Y181" s="15">
        <v>6</v>
      </c>
      <c r="Z181" s="15">
        <v>17</v>
      </c>
      <c r="AA181" s="15">
        <v>8</v>
      </c>
      <c r="AB181" s="13">
        <f t="shared" si="13"/>
        <v>239</v>
      </c>
      <c r="AC181" s="5"/>
      <c r="AD181" s="5"/>
    </row>
    <row r="182" spans="1:30" ht="12.75" customHeight="1" x14ac:dyDescent="0.3">
      <c r="A182" s="24"/>
      <c r="B182" s="38" t="s">
        <v>157</v>
      </c>
      <c r="C182" s="72" t="s">
        <v>158</v>
      </c>
      <c r="D182" s="49"/>
      <c r="E182" s="18">
        <f t="shared" ref="E182:AA182" si="33">SUM(E180:E181)</f>
        <v>207</v>
      </c>
      <c r="F182" s="18">
        <f t="shared" si="33"/>
        <v>233</v>
      </c>
      <c r="G182" s="18">
        <f t="shared" si="33"/>
        <v>214</v>
      </c>
      <c r="H182" s="18">
        <f t="shared" si="33"/>
        <v>262</v>
      </c>
      <c r="I182" s="18">
        <f t="shared" si="33"/>
        <v>226</v>
      </c>
      <c r="J182" s="18">
        <f t="shared" si="33"/>
        <v>225</v>
      </c>
      <c r="K182" s="18">
        <f t="shared" si="33"/>
        <v>186</v>
      </c>
      <c r="L182" s="18">
        <f t="shared" si="33"/>
        <v>210</v>
      </c>
      <c r="M182" s="18">
        <f t="shared" si="33"/>
        <v>215</v>
      </c>
      <c r="N182" s="18">
        <f t="shared" si="33"/>
        <v>195</v>
      </c>
      <c r="O182" s="18">
        <f t="shared" si="33"/>
        <v>226</v>
      </c>
      <c r="P182" s="18">
        <f t="shared" si="33"/>
        <v>210</v>
      </c>
      <c r="Q182" s="18">
        <f t="shared" si="33"/>
        <v>203</v>
      </c>
      <c r="R182" s="18">
        <f t="shared" si="33"/>
        <v>205</v>
      </c>
      <c r="S182" s="18">
        <f t="shared" si="33"/>
        <v>231</v>
      </c>
      <c r="T182" s="18">
        <f t="shared" si="33"/>
        <v>218</v>
      </c>
      <c r="U182" s="18">
        <f t="shared" si="33"/>
        <v>195</v>
      </c>
      <c r="V182" s="18">
        <f t="shared" si="33"/>
        <v>175</v>
      </c>
      <c r="W182" s="18">
        <f t="shared" si="33"/>
        <v>179</v>
      </c>
      <c r="X182" s="18">
        <f t="shared" si="33"/>
        <v>204</v>
      </c>
      <c r="Y182" s="18">
        <f t="shared" si="33"/>
        <v>223</v>
      </c>
      <c r="Z182" s="18">
        <f t="shared" si="33"/>
        <v>230</v>
      </c>
      <c r="AA182" s="18">
        <f t="shared" si="33"/>
        <v>214</v>
      </c>
      <c r="AB182" s="13">
        <f t="shared" si="13"/>
        <v>4886</v>
      </c>
      <c r="AC182" s="5"/>
      <c r="AD182" s="5"/>
    </row>
    <row r="183" spans="1:30" ht="12.75" customHeight="1" x14ac:dyDescent="0.3"/>
    <row r="184" spans="1:30" ht="12.75" customHeight="1" x14ac:dyDescent="0.3"/>
    <row r="185" spans="1:30" ht="12.75" customHeight="1" x14ac:dyDescent="0.3"/>
    <row r="186" spans="1:30" ht="12.75" customHeight="1" x14ac:dyDescent="0.3"/>
    <row r="187" spans="1:30" ht="12.75" customHeight="1" x14ac:dyDescent="0.3"/>
    <row r="188" spans="1:30" ht="12.75" customHeight="1" x14ac:dyDescent="0.3"/>
    <row r="189" spans="1:30" ht="12.75" customHeight="1" x14ac:dyDescent="0.3"/>
    <row r="190" spans="1:30" ht="12.75" customHeight="1" x14ac:dyDescent="0.3"/>
    <row r="191" spans="1:30" ht="12.75" customHeight="1" x14ac:dyDescent="0.3"/>
    <row r="192" spans="1:30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70">
    <mergeCell ref="B108:D108"/>
    <mergeCell ref="C110:D110"/>
    <mergeCell ref="B115:D115"/>
    <mergeCell ref="C117:D117"/>
    <mergeCell ref="B124:D124"/>
    <mergeCell ref="C126:D126"/>
    <mergeCell ref="B128:D128"/>
    <mergeCell ref="C130:D130"/>
    <mergeCell ref="B135:D135"/>
    <mergeCell ref="C137:D137"/>
    <mergeCell ref="B144:D144"/>
    <mergeCell ref="C146:D146"/>
    <mergeCell ref="B153:D153"/>
    <mergeCell ref="C155:D155"/>
    <mergeCell ref="A178:D178"/>
    <mergeCell ref="B179:D179"/>
    <mergeCell ref="C180:D180"/>
    <mergeCell ref="C181:D181"/>
    <mergeCell ref="C182:D182"/>
    <mergeCell ref="B157:D157"/>
    <mergeCell ref="C159:D159"/>
    <mergeCell ref="B163:D163"/>
    <mergeCell ref="C165:D165"/>
    <mergeCell ref="B172:D172"/>
    <mergeCell ref="C174:D174"/>
    <mergeCell ref="B177:D177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C101:D101"/>
    <mergeCell ref="B88:D88"/>
    <mergeCell ref="C90:D90"/>
    <mergeCell ref="B94:D94"/>
    <mergeCell ref="C96:D96"/>
    <mergeCell ref="B99:D99"/>
  </mergeCells>
  <conditionalFormatting sqref="E34:T34">
    <cfRule type="expression" dxfId="97" priority="2">
      <formula>E34&lt;&gt;E64</formula>
    </cfRule>
  </conditionalFormatting>
  <conditionalFormatting sqref="E14:AA15">
    <cfRule type="containsBlanks" dxfId="96" priority="3">
      <formula>LEN(TRIM(E14))=0</formula>
    </cfRule>
  </conditionalFormatting>
  <conditionalFormatting sqref="E19:AA20">
    <cfRule type="containsBlanks" dxfId="95" priority="4">
      <formula>LEN(TRIM(E19))=0</formula>
    </cfRule>
  </conditionalFormatting>
  <conditionalFormatting sqref="E22:AA23 E25:AA26 E33:AA33 E35:AA35 E39:AA40">
    <cfRule type="containsBlanks" dxfId="94" priority="5">
      <formula>LEN(TRIM(E22))=0</formula>
    </cfRule>
  </conditionalFormatting>
  <conditionalFormatting sqref="E30:AA30">
    <cfRule type="expression" dxfId="93" priority="6">
      <formula>E30&lt;&gt;E47</formula>
    </cfRule>
    <cfRule type="expression" dxfId="92" priority="7">
      <formula>E30&lt;&gt;E34</formula>
    </cfRule>
  </conditionalFormatting>
  <conditionalFormatting sqref="E34:AA34">
    <cfRule type="expression" dxfId="91" priority="8">
      <formula>E30&lt;&gt;E34</formula>
    </cfRule>
    <cfRule type="expression" dxfId="90" priority="9">
      <formula>E30=E34</formula>
    </cfRule>
    <cfRule type="expression" dxfId="89" priority="10">
      <formula>E34&lt;&gt;E30</formula>
    </cfRule>
  </conditionalFormatting>
  <conditionalFormatting sqref="E45:AA51">
    <cfRule type="containsBlanks" dxfId="88" priority="12">
      <formula>LEN(TRIM(E45))=0</formula>
    </cfRule>
  </conditionalFormatting>
  <conditionalFormatting sqref="E54:AA60">
    <cfRule type="containsBlanks" dxfId="87" priority="13">
      <formula>LEN(TRIM(E54))=0</formula>
    </cfRule>
  </conditionalFormatting>
  <conditionalFormatting sqref="E63:AA69">
    <cfRule type="containsBlanks" dxfId="86" priority="14">
      <formula>LEN(TRIM(E63))=0</formula>
    </cfRule>
  </conditionalFormatting>
  <conditionalFormatting sqref="E72:AA78">
    <cfRule type="containsBlanks" dxfId="85" priority="15">
      <formula>LEN(TRIM(E72))=0</formula>
    </cfRule>
  </conditionalFormatting>
  <conditionalFormatting sqref="E81:AA87">
    <cfRule type="containsBlanks" dxfId="84" priority="16">
      <formula>LEN(TRIM(E81))=0</formula>
    </cfRule>
  </conditionalFormatting>
  <conditionalFormatting sqref="E90:AA93">
    <cfRule type="containsBlanks" dxfId="83" priority="17">
      <formula>LEN(TRIM(E90))=0</formula>
    </cfRule>
  </conditionalFormatting>
  <conditionalFormatting sqref="E96:AA98">
    <cfRule type="containsBlanks" dxfId="82" priority="18">
      <formula>LEN(TRIM(E96))=0</formula>
    </cfRule>
  </conditionalFormatting>
  <conditionalFormatting sqref="E101:AA107">
    <cfRule type="containsBlanks" dxfId="81" priority="19">
      <formula>LEN(TRIM(E101))=0</formula>
    </cfRule>
  </conditionalFormatting>
  <conditionalFormatting sqref="E110:AA114">
    <cfRule type="containsBlanks" dxfId="80" priority="20">
      <formula>LEN(TRIM(E110))=0</formula>
    </cfRule>
  </conditionalFormatting>
  <conditionalFormatting sqref="E117:AA123">
    <cfRule type="containsBlanks" dxfId="79" priority="21">
      <formula>LEN(TRIM(E117))=0</formula>
    </cfRule>
  </conditionalFormatting>
  <conditionalFormatting sqref="E126:AA127">
    <cfRule type="containsBlanks" dxfId="78" priority="22">
      <formula>LEN(TRIM(E126))=0</formula>
    </cfRule>
  </conditionalFormatting>
  <conditionalFormatting sqref="E130:AA134">
    <cfRule type="containsBlanks" dxfId="77" priority="23">
      <formula>LEN(TRIM(E130))=0</formula>
    </cfRule>
  </conditionalFormatting>
  <conditionalFormatting sqref="E137:AA143">
    <cfRule type="containsBlanks" dxfId="76" priority="24">
      <formula>LEN(TRIM(E137))=0</formula>
    </cfRule>
  </conditionalFormatting>
  <conditionalFormatting sqref="E146:AA152">
    <cfRule type="containsBlanks" dxfId="75" priority="25">
      <formula>LEN(TRIM(E146))=0</formula>
    </cfRule>
  </conditionalFormatting>
  <conditionalFormatting sqref="E155:AA156">
    <cfRule type="containsBlanks" dxfId="74" priority="26">
      <formula>LEN(TRIM(E155))=0</formula>
    </cfRule>
  </conditionalFormatting>
  <conditionalFormatting sqref="E159:AA162">
    <cfRule type="containsBlanks" dxfId="73" priority="27">
      <formula>LEN(TRIM(E159))=0</formula>
    </cfRule>
  </conditionalFormatting>
  <conditionalFormatting sqref="E165:AA172">
    <cfRule type="containsBlanks" dxfId="72" priority="28">
      <formula>LEN(TRIM(E165))=0</formula>
    </cfRule>
  </conditionalFormatting>
  <conditionalFormatting sqref="E174:AA176">
    <cfRule type="containsBlanks" dxfId="71" priority="29">
      <formula>LEN(TRIM(E174))=0</formula>
    </cfRule>
  </conditionalFormatting>
  <conditionalFormatting sqref="E181:AA181">
    <cfRule type="containsBlanks" dxfId="70" priority="30">
      <formula>LEN(TRIM(E181))=0</formula>
    </cfRule>
  </conditionalFormatting>
  <conditionalFormatting sqref="E182:AA182">
    <cfRule type="expression" dxfId="69" priority="31">
      <formula>E182&lt;&gt;E30</formula>
    </cfRule>
    <cfRule type="expression" dxfId="68" priority="32">
      <formula>E182&lt;&gt;E34</formula>
    </cfRule>
  </conditionalFormatting>
  <conditionalFormatting sqref="U34:AA34">
    <cfRule type="expression" dxfId="67" priority="11">
      <formula>U34&lt;&gt;U47</formula>
    </cfRule>
  </conditionalFormatting>
  <conditionalFormatting sqref="E180:AB180">
    <cfRule type="containsBlanks" dxfId="0" priority="1">
      <formula>LEN(TRIM(E180))=0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Z1000"/>
  <sheetViews>
    <sheetView topLeftCell="A166" workbookViewId="0">
      <selection activeCell="E180" sqref="E180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23" width="8.69921875" customWidth="1"/>
    <col min="24" max="24" width="13.296875" customWidth="1"/>
    <col min="25" max="26" width="8.69921875" customWidth="1"/>
  </cols>
  <sheetData>
    <row r="1" spans="1:24" ht="12.75" customHeight="1" x14ac:dyDescent="0.3"/>
    <row r="2" spans="1:24" ht="12.75" customHeight="1" x14ac:dyDescent="0.3">
      <c r="C2" s="8" t="s">
        <v>0</v>
      </c>
      <c r="D2" s="8" t="s">
        <v>1</v>
      </c>
    </row>
    <row r="3" spans="1:24" ht="12.75" customHeight="1" x14ac:dyDescent="0.3">
      <c r="C3" s="8" t="s">
        <v>2</v>
      </c>
      <c r="D3" s="8" t="s">
        <v>3</v>
      </c>
    </row>
    <row r="4" spans="1:24" ht="12.75" customHeight="1" x14ac:dyDescent="0.3">
      <c r="C4" s="8" t="s">
        <v>4</v>
      </c>
      <c r="D4" s="8" t="s">
        <v>5</v>
      </c>
    </row>
    <row r="5" spans="1:24" ht="12.75" customHeight="1" x14ac:dyDescent="0.3">
      <c r="C5" s="8"/>
      <c r="D5" s="8"/>
    </row>
    <row r="6" spans="1:24" ht="12.75" customHeight="1" x14ac:dyDescent="0.3">
      <c r="C6" s="8"/>
      <c r="D6" s="8"/>
    </row>
    <row r="7" spans="1:24" ht="12.75" customHeight="1" x14ac:dyDescent="0.3">
      <c r="C7" s="8"/>
      <c r="D7" s="8"/>
    </row>
    <row r="8" spans="1:24" ht="12.75" customHeight="1" x14ac:dyDescent="0.3">
      <c r="C8" s="8"/>
      <c r="D8" s="8"/>
    </row>
    <row r="9" spans="1:24" ht="12.75" customHeight="1" x14ac:dyDescent="0.3">
      <c r="C9" s="8" t="s">
        <v>159</v>
      </c>
      <c r="D9" s="8" t="s">
        <v>211</v>
      </c>
    </row>
    <row r="10" spans="1:24" ht="12.75" customHeight="1" x14ac:dyDescent="0.3"/>
    <row r="11" spans="1:24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24" ht="12.75" customHeight="1" x14ac:dyDescent="0.3">
      <c r="A12" s="13" t="s">
        <v>6</v>
      </c>
      <c r="B12" s="55" t="s">
        <v>7</v>
      </c>
      <c r="C12" s="48"/>
      <c r="D12" s="49"/>
      <c r="E12" s="73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74" t="s">
        <v>8</v>
      </c>
    </row>
    <row r="13" spans="1:24" ht="12.75" customHeight="1" x14ac:dyDescent="0.3">
      <c r="A13" s="15" t="s">
        <v>9</v>
      </c>
      <c r="B13" s="61" t="s">
        <v>10</v>
      </c>
      <c r="C13" s="48"/>
      <c r="D13" s="49"/>
      <c r="E13" s="13" t="s">
        <v>160</v>
      </c>
      <c r="F13" s="13" t="s">
        <v>161</v>
      </c>
      <c r="G13" s="13" t="s">
        <v>162</v>
      </c>
      <c r="H13" s="13" t="s">
        <v>163</v>
      </c>
      <c r="I13" s="13" t="s">
        <v>164</v>
      </c>
      <c r="J13" s="13" t="s">
        <v>165</v>
      </c>
      <c r="K13" s="13" t="s">
        <v>166</v>
      </c>
      <c r="L13" s="13" t="s">
        <v>167</v>
      </c>
      <c r="M13" s="13" t="s">
        <v>168</v>
      </c>
      <c r="N13" s="13" t="s">
        <v>169</v>
      </c>
      <c r="O13" s="13" t="s">
        <v>170</v>
      </c>
      <c r="P13" s="13" t="s">
        <v>171</v>
      </c>
      <c r="Q13" s="13" t="s">
        <v>172</v>
      </c>
      <c r="R13" s="13" t="s">
        <v>173</v>
      </c>
      <c r="S13" s="13" t="s">
        <v>174</v>
      </c>
      <c r="T13" s="13" t="s">
        <v>175</v>
      </c>
      <c r="U13" s="13" t="s">
        <v>176</v>
      </c>
      <c r="V13" s="13" t="s">
        <v>177</v>
      </c>
      <c r="W13" s="13" t="s">
        <v>178</v>
      </c>
      <c r="X13" s="65"/>
    </row>
    <row r="14" spans="1:24" ht="12.75" customHeight="1" x14ac:dyDescent="0.3">
      <c r="A14" s="14"/>
      <c r="B14" s="70" t="s">
        <v>11</v>
      </c>
      <c r="C14" s="53"/>
      <c r="D14" s="15" t="s">
        <v>12</v>
      </c>
      <c r="E14" s="15">
        <v>151</v>
      </c>
      <c r="F14" s="15">
        <v>137</v>
      </c>
      <c r="G14" s="15">
        <v>138</v>
      </c>
      <c r="H14" s="15">
        <v>147</v>
      </c>
      <c r="I14" s="15">
        <v>148</v>
      </c>
      <c r="J14" s="15">
        <v>147</v>
      </c>
      <c r="K14" s="15">
        <v>144</v>
      </c>
      <c r="L14" s="15">
        <v>126</v>
      </c>
      <c r="M14" s="15">
        <v>145</v>
      </c>
      <c r="N14" s="15">
        <v>153</v>
      </c>
      <c r="O14" s="15">
        <v>152</v>
      </c>
      <c r="P14" s="15">
        <v>108</v>
      </c>
      <c r="Q14" s="15">
        <v>139</v>
      </c>
      <c r="R14" s="15">
        <v>106</v>
      </c>
      <c r="S14" s="15">
        <v>135</v>
      </c>
      <c r="T14" s="15">
        <v>127</v>
      </c>
      <c r="U14" s="15">
        <v>101</v>
      </c>
      <c r="V14" s="15">
        <v>119</v>
      </c>
      <c r="W14" s="15">
        <v>119</v>
      </c>
      <c r="X14" s="13">
        <f t="shared" ref="X14:X16" si="0">SUM(E14:W14)</f>
        <v>2542</v>
      </c>
    </row>
    <row r="15" spans="1:24" ht="12.75" customHeight="1" x14ac:dyDescent="0.3">
      <c r="A15" s="14"/>
      <c r="B15" s="71"/>
      <c r="C15" s="57"/>
      <c r="D15" s="15" t="s">
        <v>13</v>
      </c>
      <c r="E15" s="15">
        <v>142</v>
      </c>
      <c r="F15" s="15">
        <v>156</v>
      </c>
      <c r="G15" s="15">
        <v>150</v>
      </c>
      <c r="H15" s="15">
        <v>146</v>
      </c>
      <c r="I15" s="15">
        <v>136</v>
      </c>
      <c r="J15" s="15">
        <v>150</v>
      </c>
      <c r="K15" s="15">
        <v>151</v>
      </c>
      <c r="L15" s="15">
        <v>126</v>
      </c>
      <c r="M15" s="15">
        <v>148</v>
      </c>
      <c r="N15" s="15">
        <v>143</v>
      </c>
      <c r="O15" s="15">
        <v>134</v>
      </c>
      <c r="P15" s="15">
        <v>106</v>
      </c>
      <c r="Q15" s="15">
        <v>141</v>
      </c>
      <c r="R15" s="15">
        <v>110</v>
      </c>
      <c r="S15" s="15">
        <v>135</v>
      </c>
      <c r="T15" s="15">
        <v>140</v>
      </c>
      <c r="U15" s="15">
        <v>108</v>
      </c>
      <c r="V15" s="15">
        <v>110</v>
      </c>
      <c r="W15" s="15">
        <v>124</v>
      </c>
      <c r="X15" s="13">
        <f t="shared" si="0"/>
        <v>2556</v>
      </c>
    </row>
    <row r="16" spans="1:24" ht="12.75" customHeight="1" x14ac:dyDescent="0.3">
      <c r="A16" s="17"/>
      <c r="B16" s="69"/>
      <c r="C16" s="59"/>
      <c r="D16" s="13" t="s">
        <v>14</v>
      </c>
      <c r="E16" s="13">
        <f t="shared" ref="E16:W16" si="1">SUM(E14:E15)</f>
        <v>293</v>
      </c>
      <c r="F16" s="13">
        <f t="shared" si="1"/>
        <v>293</v>
      </c>
      <c r="G16" s="13">
        <f t="shared" si="1"/>
        <v>288</v>
      </c>
      <c r="H16" s="13">
        <f t="shared" si="1"/>
        <v>293</v>
      </c>
      <c r="I16" s="13">
        <f t="shared" si="1"/>
        <v>284</v>
      </c>
      <c r="J16" s="13">
        <f t="shared" si="1"/>
        <v>297</v>
      </c>
      <c r="K16" s="13">
        <f t="shared" si="1"/>
        <v>295</v>
      </c>
      <c r="L16" s="13">
        <f t="shared" si="1"/>
        <v>252</v>
      </c>
      <c r="M16" s="13">
        <f t="shared" si="1"/>
        <v>293</v>
      </c>
      <c r="N16" s="13">
        <f t="shared" si="1"/>
        <v>296</v>
      </c>
      <c r="O16" s="13">
        <f t="shared" si="1"/>
        <v>286</v>
      </c>
      <c r="P16" s="13">
        <f t="shared" si="1"/>
        <v>214</v>
      </c>
      <c r="Q16" s="13">
        <f t="shared" si="1"/>
        <v>280</v>
      </c>
      <c r="R16" s="13">
        <f t="shared" si="1"/>
        <v>216</v>
      </c>
      <c r="S16" s="13">
        <f t="shared" si="1"/>
        <v>270</v>
      </c>
      <c r="T16" s="13">
        <f t="shared" si="1"/>
        <v>267</v>
      </c>
      <c r="U16" s="13">
        <f t="shared" si="1"/>
        <v>209</v>
      </c>
      <c r="V16" s="13">
        <f t="shared" si="1"/>
        <v>229</v>
      </c>
      <c r="W16" s="13">
        <f t="shared" si="1"/>
        <v>243</v>
      </c>
      <c r="X16" s="13">
        <f t="shared" si="0"/>
        <v>5098</v>
      </c>
    </row>
    <row r="17" spans="1:24" ht="12.75" customHeight="1" x14ac:dyDescent="0.3">
      <c r="A17" s="54"/>
      <c r="B17" s="48"/>
      <c r="C17" s="48"/>
      <c r="D17" s="49"/>
      <c r="E17" s="15"/>
      <c r="F17" s="15"/>
      <c r="G17" s="15"/>
      <c r="H17" s="15"/>
      <c r="I17" s="15"/>
      <c r="J17" s="15"/>
      <c r="K17" s="15"/>
      <c r="L17" s="15"/>
      <c r="M17" s="15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3"/>
    </row>
    <row r="18" spans="1:24" ht="12.75" customHeight="1" x14ac:dyDescent="0.3">
      <c r="A18" s="19" t="s">
        <v>15</v>
      </c>
      <c r="B18" s="61" t="s">
        <v>16</v>
      </c>
      <c r="C18" s="48"/>
      <c r="D18" s="49"/>
      <c r="E18" s="15"/>
      <c r="F18" s="15"/>
      <c r="G18" s="15"/>
      <c r="H18" s="15"/>
      <c r="I18" s="15"/>
      <c r="J18" s="15"/>
      <c r="K18" s="15"/>
      <c r="L18" s="15"/>
      <c r="M18" s="15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3"/>
    </row>
    <row r="19" spans="1:24" ht="12.75" customHeight="1" x14ac:dyDescent="0.3">
      <c r="A19" s="19"/>
      <c r="B19" s="62" t="s">
        <v>17</v>
      </c>
      <c r="C19" s="63" t="s">
        <v>18</v>
      </c>
      <c r="D19" s="15" t="s">
        <v>12</v>
      </c>
      <c r="E19" s="15">
        <v>112</v>
      </c>
      <c r="F19" s="15">
        <v>105</v>
      </c>
      <c r="G19" s="15">
        <v>106</v>
      </c>
      <c r="H19" s="15">
        <v>112</v>
      </c>
      <c r="I19" s="15">
        <v>104</v>
      </c>
      <c r="J19" s="15">
        <v>100</v>
      </c>
      <c r="K19" s="15">
        <v>104</v>
      </c>
      <c r="L19" s="15">
        <v>91</v>
      </c>
      <c r="M19" s="15">
        <v>119</v>
      </c>
      <c r="N19" s="15">
        <v>105</v>
      </c>
      <c r="O19" s="15">
        <v>108</v>
      </c>
      <c r="P19" s="15">
        <v>97</v>
      </c>
      <c r="Q19" s="15">
        <v>106</v>
      </c>
      <c r="R19" s="15">
        <v>74</v>
      </c>
      <c r="S19" s="15">
        <v>97</v>
      </c>
      <c r="T19" s="15">
        <v>98</v>
      </c>
      <c r="U19" s="15">
        <v>84</v>
      </c>
      <c r="V19" s="15">
        <v>89</v>
      </c>
      <c r="W19" s="15">
        <v>95</v>
      </c>
      <c r="X19" s="13">
        <f t="shared" ref="X19:X30" si="2">SUM(E19:W19)</f>
        <v>1906</v>
      </c>
    </row>
    <row r="20" spans="1:24" ht="12.75" customHeight="1" x14ac:dyDescent="0.3">
      <c r="A20" s="20"/>
      <c r="B20" s="57"/>
      <c r="C20" s="64"/>
      <c r="D20" s="15" t="s">
        <v>13</v>
      </c>
      <c r="E20" s="15">
        <v>106</v>
      </c>
      <c r="F20" s="15">
        <v>126</v>
      </c>
      <c r="G20" s="15">
        <v>126</v>
      </c>
      <c r="H20" s="15">
        <v>119</v>
      </c>
      <c r="I20" s="15">
        <v>106</v>
      </c>
      <c r="J20" s="15">
        <v>124</v>
      </c>
      <c r="K20" s="15">
        <v>119</v>
      </c>
      <c r="L20" s="15">
        <v>104</v>
      </c>
      <c r="M20" s="15">
        <v>111</v>
      </c>
      <c r="N20" s="15">
        <v>109</v>
      </c>
      <c r="O20" s="15">
        <v>95</v>
      </c>
      <c r="P20" s="15">
        <v>86</v>
      </c>
      <c r="Q20" s="15">
        <v>112</v>
      </c>
      <c r="R20" s="15">
        <v>77</v>
      </c>
      <c r="S20" s="15">
        <v>110</v>
      </c>
      <c r="T20" s="15">
        <v>107</v>
      </c>
      <c r="U20" s="15">
        <v>89</v>
      </c>
      <c r="V20" s="15">
        <v>87</v>
      </c>
      <c r="W20" s="15">
        <v>87</v>
      </c>
      <c r="X20" s="13">
        <f t="shared" si="2"/>
        <v>2000</v>
      </c>
    </row>
    <row r="21" spans="1:24" ht="12.75" customHeight="1" x14ac:dyDescent="0.3">
      <c r="A21" s="21"/>
      <c r="B21" s="59"/>
      <c r="C21" s="65"/>
      <c r="D21" s="13" t="s">
        <v>14</v>
      </c>
      <c r="E21" s="13">
        <f t="shared" ref="E21:W21" si="3">SUM(E19:E20)</f>
        <v>218</v>
      </c>
      <c r="F21" s="13">
        <f t="shared" si="3"/>
        <v>231</v>
      </c>
      <c r="G21" s="13">
        <f t="shared" si="3"/>
        <v>232</v>
      </c>
      <c r="H21" s="13">
        <f t="shared" si="3"/>
        <v>231</v>
      </c>
      <c r="I21" s="13">
        <f t="shared" si="3"/>
        <v>210</v>
      </c>
      <c r="J21" s="13">
        <f t="shared" si="3"/>
        <v>224</v>
      </c>
      <c r="K21" s="13">
        <f t="shared" si="3"/>
        <v>223</v>
      </c>
      <c r="L21" s="13">
        <f t="shared" si="3"/>
        <v>195</v>
      </c>
      <c r="M21" s="13">
        <f t="shared" si="3"/>
        <v>230</v>
      </c>
      <c r="N21" s="13">
        <f t="shared" si="3"/>
        <v>214</v>
      </c>
      <c r="O21" s="13">
        <f t="shared" si="3"/>
        <v>203</v>
      </c>
      <c r="P21" s="13">
        <f t="shared" si="3"/>
        <v>183</v>
      </c>
      <c r="Q21" s="13">
        <f t="shared" si="3"/>
        <v>218</v>
      </c>
      <c r="R21" s="13">
        <f t="shared" si="3"/>
        <v>151</v>
      </c>
      <c r="S21" s="13">
        <f t="shared" si="3"/>
        <v>207</v>
      </c>
      <c r="T21" s="13">
        <f t="shared" si="3"/>
        <v>205</v>
      </c>
      <c r="U21" s="13">
        <f t="shared" si="3"/>
        <v>173</v>
      </c>
      <c r="V21" s="13">
        <f t="shared" si="3"/>
        <v>176</v>
      </c>
      <c r="W21" s="13">
        <f t="shared" si="3"/>
        <v>182</v>
      </c>
      <c r="X21" s="13">
        <f t="shared" si="2"/>
        <v>3906</v>
      </c>
    </row>
    <row r="22" spans="1:24" ht="12.75" customHeight="1" x14ac:dyDescent="0.3">
      <c r="A22" s="20"/>
      <c r="B22" s="62" t="s">
        <v>19</v>
      </c>
      <c r="C22" s="63" t="s">
        <v>20</v>
      </c>
      <c r="D22" s="15" t="s">
        <v>12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3">
        <f t="shared" si="2"/>
        <v>0</v>
      </c>
    </row>
    <row r="23" spans="1:24" ht="12.75" customHeight="1" x14ac:dyDescent="0.3">
      <c r="A23" s="20"/>
      <c r="B23" s="57"/>
      <c r="C23" s="64"/>
      <c r="D23" s="15" t="s">
        <v>13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3">
        <f t="shared" si="2"/>
        <v>0</v>
      </c>
    </row>
    <row r="24" spans="1:24" ht="12.75" customHeight="1" x14ac:dyDescent="0.3">
      <c r="A24" s="21"/>
      <c r="B24" s="59"/>
      <c r="C24" s="65"/>
      <c r="D24" s="13" t="s">
        <v>14</v>
      </c>
      <c r="E24" s="13">
        <f t="shared" ref="E24:W24" si="4">SUM(E22:E23)</f>
        <v>0</v>
      </c>
      <c r="F24" s="13">
        <f t="shared" si="4"/>
        <v>0</v>
      </c>
      <c r="G24" s="13">
        <f t="shared" si="4"/>
        <v>0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0</v>
      </c>
      <c r="T24" s="13">
        <f t="shared" si="4"/>
        <v>0</v>
      </c>
      <c r="U24" s="13">
        <f t="shared" si="4"/>
        <v>0</v>
      </c>
      <c r="V24" s="13">
        <f t="shared" si="4"/>
        <v>0</v>
      </c>
      <c r="W24" s="13">
        <f t="shared" si="4"/>
        <v>0</v>
      </c>
      <c r="X24" s="13">
        <f t="shared" si="2"/>
        <v>0</v>
      </c>
    </row>
    <row r="25" spans="1:24" ht="12.75" customHeight="1" x14ac:dyDescent="0.3">
      <c r="A25" s="20"/>
      <c r="B25" s="62" t="s">
        <v>21</v>
      </c>
      <c r="C25" s="63" t="s">
        <v>22</v>
      </c>
      <c r="D25" s="15" t="s">
        <v>12</v>
      </c>
      <c r="E25" s="15">
        <v>1</v>
      </c>
      <c r="F25" s="15">
        <v>0</v>
      </c>
      <c r="G25" s="15">
        <v>0</v>
      </c>
      <c r="H25" s="15">
        <v>0</v>
      </c>
      <c r="I25" s="15">
        <v>1</v>
      </c>
      <c r="J25" s="15">
        <v>2</v>
      </c>
      <c r="K25" s="15">
        <v>1</v>
      </c>
      <c r="L25" s="15">
        <v>0</v>
      </c>
      <c r="M25" s="15">
        <v>2</v>
      </c>
      <c r="N25" s="15">
        <v>1</v>
      </c>
      <c r="O25" s="15">
        <v>3</v>
      </c>
      <c r="P25" s="15">
        <v>0</v>
      </c>
      <c r="Q25" s="15">
        <v>1</v>
      </c>
      <c r="R25" s="15">
        <v>12</v>
      </c>
      <c r="S25" s="15">
        <v>2</v>
      </c>
      <c r="T25" s="15">
        <v>0</v>
      </c>
      <c r="U25" s="15">
        <v>11</v>
      </c>
      <c r="V25" s="15">
        <v>3</v>
      </c>
      <c r="W25" s="15">
        <v>1</v>
      </c>
      <c r="X25" s="13">
        <f t="shared" si="2"/>
        <v>41</v>
      </c>
    </row>
    <row r="26" spans="1:24" ht="12.75" customHeight="1" x14ac:dyDescent="0.3">
      <c r="A26" s="20"/>
      <c r="B26" s="57"/>
      <c r="C26" s="64"/>
      <c r="D26" s="15" t="s">
        <v>13</v>
      </c>
      <c r="E26" s="15">
        <v>1</v>
      </c>
      <c r="F26" s="15">
        <v>0</v>
      </c>
      <c r="G26" s="15">
        <v>0</v>
      </c>
      <c r="H26" s="15">
        <v>5</v>
      </c>
      <c r="I26" s="15">
        <v>0</v>
      </c>
      <c r="J26" s="15">
        <v>1</v>
      </c>
      <c r="K26" s="15">
        <v>1</v>
      </c>
      <c r="L26" s="15">
        <v>0</v>
      </c>
      <c r="M26" s="15">
        <v>1</v>
      </c>
      <c r="N26" s="15">
        <v>3</v>
      </c>
      <c r="O26" s="15">
        <v>2</v>
      </c>
      <c r="P26" s="15">
        <v>2</v>
      </c>
      <c r="Q26" s="15">
        <v>1</v>
      </c>
      <c r="R26" s="15">
        <v>12</v>
      </c>
      <c r="S26" s="15">
        <v>1</v>
      </c>
      <c r="T26" s="15">
        <v>0</v>
      </c>
      <c r="U26" s="15">
        <v>14</v>
      </c>
      <c r="V26" s="15">
        <v>2</v>
      </c>
      <c r="W26" s="15">
        <v>3</v>
      </c>
      <c r="X26" s="13">
        <f t="shared" si="2"/>
        <v>49</v>
      </c>
    </row>
    <row r="27" spans="1:24" ht="12.75" customHeight="1" x14ac:dyDescent="0.3">
      <c r="A27" s="21"/>
      <c r="B27" s="59"/>
      <c r="C27" s="65"/>
      <c r="D27" s="13" t="s">
        <v>14</v>
      </c>
      <c r="E27" s="13">
        <f t="shared" ref="E27:W27" si="5">SUM(E25:E26)</f>
        <v>2</v>
      </c>
      <c r="F27" s="13">
        <f t="shared" si="5"/>
        <v>0</v>
      </c>
      <c r="G27" s="13">
        <f t="shared" si="5"/>
        <v>0</v>
      </c>
      <c r="H27" s="13">
        <f t="shared" si="5"/>
        <v>5</v>
      </c>
      <c r="I27" s="13">
        <f t="shared" si="5"/>
        <v>1</v>
      </c>
      <c r="J27" s="13">
        <f t="shared" si="5"/>
        <v>3</v>
      </c>
      <c r="K27" s="13">
        <f t="shared" si="5"/>
        <v>2</v>
      </c>
      <c r="L27" s="13">
        <f t="shared" si="5"/>
        <v>0</v>
      </c>
      <c r="M27" s="13">
        <f t="shared" si="5"/>
        <v>3</v>
      </c>
      <c r="N27" s="13">
        <f t="shared" si="5"/>
        <v>4</v>
      </c>
      <c r="O27" s="13">
        <f t="shared" si="5"/>
        <v>5</v>
      </c>
      <c r="P27" s="13">
        <f t="shared" si="5"/>
        <v>2</v>
      </c>
      <c r="Q27" s="13">
        <f t="shared" si="5"/>
        <v>2</v>
      </c>
      <c r="R27" s="13">
        <f t="shared" si="5"/>
        <v>24</v>
      </c>
      <c r="S27" s="13">
        <f t="shared" si="5"/>
        <v>3</v>
      </c>
      <c r="T27" s="13">
        <f t="shared" si="5"/>
        <v>0</v>
      </c>
      <c r="U27" s="13">
        <f t="shared" si="5"/>
        <v>25</v>
      </c>
      <c r="V27" s="13">
        <f t="shared" si="5"/>
        <v>5</v>
      </c>
      <c r="W27" s="13">
        <f t="shared" si="5"/>
        <v>4</v>
      </c>
      <c r="X27" s="13">
        <f t="shared" si="2"/>
        <v>90</v>
      </c>
    </row>
    <row r="28" spans="1:24" ht="12.75" customHeight="1" x14ac:dyDescent="0.3">
      <c r="A28" s="21"/>
      <c r="B28" s="66" t="s">
        <v>23</v>
      </c>
      <c r="C28" s="67" t="s">
        <v>24</v>
      </c>
      <c r="D28" s="13" t="s">
        <v>12</v>
      </c>
      <c r="E28" s="13">
        <f t="shared" ref="E28:W28" si="6">SUM(E19,E22,E25)</f>
        <v>113</v>
      </c>
      <c r="F28" s="13">
        <f t="shared" si="6"/>
        <v>105</v>
      </c>
      <c r="G28" s="13">
        <f t="shared" si="6"/>
        <v>106</v>
      </c>
      <c r="H28" s="13">
        <f t="shared" si="6"/>
        <v>112</v>
      </c>
      <c r="I28" s="13">
        <f t="shared" si="6"/>
        <v>105</v>
      </c>
      <c r="J28" s="13">
        <f t="shared" si="6"/>
        <v>102</v>
      </c>
      <c r="K28" s="13">
        <f t="shared" si="6"/>
        <v>105</v>
      </c>
      <c r="L28" s="13">
        <f t="shared" si="6"/>
        <v>91</v>
      </c>
      <c r="M28" s="13">
        <f t="shared" si="6"/>
        <v>121</v>
      </c>
      <c r="N28" s="13">
        <f t="shared" si="6"/>
        <v>106</v>
      </c>
      <c r="O28" s="13">
        <f t="shared" si="6"/>
        <v>111</v>
      </c>
      <c r="P28" s="13">
        <f t="shared" si="6"/>
        <v>97</v>
      </c>
      <c r="Q28" s="13">
        <f t="shared" si="6"/>
        <v>107</v>
      </c>
      <c r="R28" s="13">
        <f t="shared" si="6"/>
        <v>86</v>
      </c>
      <c r="S28" s="13">
        <f t="shared" si="6"/>
        <v>99</v>
      </c>
      <c r="T28" s="13">
        <f t="shared" si="6"/>
        <v>98</v>
      </c>
      <c r="U28" s="13">
        <f t="shared" si="6"/>
        <v>95</v>
      </c>
      <c r="V28" s="13">
        <f t="shared" si="6"/>
        <v>92</v>
      </c>
      <c r="W28" s="13">
        <f t="shared" si="6"/>
        <v>96</v>
      </c>
      <c r="X28" s="13">
        <f t="shared" si="2"/>
        <v>1947</v>
      </c>
    </row>
    <row r="29" spans="1:24" ht="12.75" customHeight="1" x14ac:dyDescent="0.3">
      <c r="A29" s="21"/>
      <c r="B29" s="57"/>
      <c r="C29" s="64"/>
      <c r="D29" s="13" t="s">
        <v>13</v>
      </c>
      <c r="E29" s="13">
        <f t="shared" ref="E29:W29" si="7">SUM(E20,E23,E26)</f>
        <v>107</v>
      </c>
      <c r="F29" s="13">
        <f t="shared" si="7"/>
        <v>126</v>
      </c>
      <c r="G29" s="13">
        <f t="shared" si="7"/>
        <v>126</v>
      </c>
      <c r="H29" s="13">
        <f t="shared" si="7"/>
        <v>124</v>
      </c>
      <c r="I29" s="13">
        <f t="shared" si="7"/>
        <v>106</v>
      </c>
      <c r="J29" s="13">
        <f t="shared" si="7"/>
        <v>125</v>
      </c>
      <c r="K29" s="13">
        <f t="shared" si="7"/>
        <v>120</v>
      </c>
      <c r="L29" s="13">
        <f t="shared" si="7"/>
        <v>104</v>
      </c>
      <c r="M29" s="13">
        <f t="shared" si="7"/>
        <v>112</v>
      </c>
      <c r="N29" s="13">
        <f t="shared" si="7"/>
        <v>112</v>
      </c>
      <c r="O29" s="13">
        <f t="shared" si="7"/>
        <v>97</v>
      </c>
      <c r="P29" s="13">
        <f t="shared" si="7"/>
        <v>88</v>
      </c>
      <c r="Q29" s="13">
        <f t="shared" si="7"/>
        <v>113</v>
      </c>
      <c r="R29" s="13">
        <f t="shared" si="7"/>
        <v>89</v>
      </c>
      <c r="S29" s="13">
        <f t="shared" si="7"/>
        <v>111</v>
      </c>
      <c r="T29" s="13">
        <f t="shared" si="7"/>
        <v>107</v>
      </c>
      <c r="U29" s="13">
        <f t="shared" si="7"/>
        <v>103</v>
      </c>
      <c r="V29" s="13">
        <f t="shared" si="7"/>
        <v>89</v>
      </c>
      <c r="W29" s="13">
        <f t="shared" si="7"/>
        <v>90</v>
      </c>
      <c r="X29" s="13">
        <f t="shared" si="2"/>
        <v>2049</v>
      </c>
    </row>
    <row r="30" spans="1:24" ht="12.75" customHeight="1" x14ac:dyDescent="0.3">
      <c r="A30" s="21"/>
      <c r="B30" s="59"/>
      <c r="C30" s="65"/>
      <c r="D30" s="13" t="s">
        <v>14</v>
      </c>
      <c r="E30" s="13">
        <f t="shared" ref="E30:W30" si="8">SUM(E28:E29)</f>
        <v>220</v>
      </c>
      <c r="F30" s="13">
        <f t="shared" si="8"/>
        <v>231</v>
      </c>
      <c r="G30" s="13">
        <f t="shared" si="8"/>
        <v>232</v>
      </c>
      <c r="H30" s="13">
        <f t="shared" si="8"/>
        <v>236</v>
      </c>
      <c r="I30" s="13">
        <f t="shared" si="8"/>
        <v>211</v>
      </c>
      <c r="J30" s="13">
        <f t="shared" si="8"/>
        <v>227</v>
      </c>
      <c r="K30" s="13">
        <f t="shared" si="8"/>
        <v>225</v>
      </c>
      <c r="L30" s="13">
        <f t="shared" si="8"/>
        <v>195</v>
      </c>
      <c r="M30" s="13">
        <f t="shared" si="8"/>
        <v>233</v>
      </c>
      <c r="N30" s="13">
        <f t="shared" si="8"/>
        <v>218</v>
      </c>
      <c r="O30" s="13">
        <f t="shared" si="8"/>
        <v>208</v>
      </c>
      <c r="P30" s="13">
        <f t="shared" si="8"/>
        <v>185</v>
      </c>
      <c r="Q30" s="13">
        <f t="shared" si="8"/>
        <v>220</v>
      </c>
      <c r="R30" s="13">
        <f t="shared" si="8"/>
        <v>175</v>
      </c>
      <c r="S30" s="13">
        <f t="shared" si="8"/>
        <v>210</v>
      </c>
      <c r="T30" s="13">
        <f t="shared" si="8"/>
        <v>205</v>
      </c>
      <c r="U30" s="13">
        <f t="shared" si="8"/>
        <v>198</v>
      </c>
      <c r="V30" s="13">
        <f t="shared" si="8"/>
        <v>181</v>
      </c>
      <c r="W30" s="13">
        <f t="shared" si="8"/>
        <v>186</v>
      </c>
      <c r="X30" s="13">
        <f t="shared" si="2"/>
        <v>3996</v>
      </c>
    </row>
    <row r="31" spans="1:24" ht="12.75" customHeight="1" x14ac:dyDescent="0.3">
      <c r="A31" s="54"/>
      <c r="B31" s="48"/>
      <c r="C31" s="48"/>
      <c r="D31" s="49"/>
      <c r="E31" s="15"/>
      <c r="F31" s="15"/>
      <c r="G31" s="15"/>
      <c r="H31" s="15"/>
      <c r="I31" s="15"/>
      <c r="J31" s="15"/>
      <c r="K31" s="15"/>
      <c r="L31" s="15"/>
      <c r="M31" s="15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3"/>
    </row>
    <row r="32" spans="1:24" ht="12.75" customHeight="1" x14ac:dyDescent="0.3">
      <c r="A32" s="24" t="s">
        <v>25</v>
      </c>
      <c r="B32" s="55" t="s">
        <v>26</v>
      </c>
      <c r="C32" s="48"/>
      <c r="D32" s="49"/>
      <c r="E32" s="13"/>
      <c r="F32" s="13"/>
      <c r="G32" s="13"/>
      <c r="H32" s="13"/>
      <c r="I32" s="13"/>
      <c r="J32" s="13"/>
      <c r="K32" s="13"/>
      <c r="L32" s="13"/>
      <c r="M32" s="13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3"/>
    </row>
    <row r="33" spans="1:24" ht="12.75" customHeight="1" x14ac:dyDescent="0.3">
      <c r="A33" s="15">
        <v>1</v>
      </c>
      <c r="B33" s="61" t="s">
        <v>27</v>
      </c>
      <c r="C33" s="48"/>
      <c r="D33" s="49"/>
      <c r="E33" s="15">
        <v>298</v>
      </c>
      <c r="F33" s="15">
        <v>299</v>
      </c>
      <c r="G33" s="15">
        <v>295</v>
      </c>
      <c r="H33" s="15">
        <v>299</v>
      </c>
      <c r="I33" s="15">
        <v>290</v>
      </c>
      <c r="J33" s="15">
        <v>303</v>
      </c>
      <c r="K33" s="15">
        <v>301</v>
      </c>
      <c r="L33" s="15">
        <v>258</v>
      </c>
      <c r="M33" s="15">
        <v>299</v>
      </c>
      <c r="N33" s="15">
        <v>302</v>
      </c>
      <c r="O33" s="15">
        <v>292</v>
      </c>
      <c r="P33" s="15">
        <v>219</v>
      </c>
      <c r="Q33" s="15">
        <v>293</v>
      </c>
      <c r="R33" s="15">
        <v>221</v>
      </c>
      <c r="S33" s="15">
        <v>276</v>
      </c>
      <c r="T33" s="15">
        <v>273</v>
      </c>
      <c r="U33" s="15">
        <v>214</v>
      </c>
      <c r="V33" s="15">
        <v>234</v>
      </c>
      <c r="W33" s="15">
        <v>248</v>
      </c>
      <c r="X33" s="13">
        <f t="shared" ref="X33:X36" si="9">SUM(E33:W33)</f>
        <v>5214</v>
      </c>
    </row>
    <row r="34" spans="1:24" ht="12.75" customHeight="1" x14ac:dyDescent="0.3">
      <c r="A34" s="15">
        <v>2</v>
      </c>
      <c r="B34" s="61" t="s">
        <v>28</v>
      </c>
      <c r="C34" s="48"/>
      <c r="D34" s="49"/>
      <c r="E34" s="13">
        <v>220</v>
      </c>
      <c r="F34" s="13">
        <v>231</v>
      </c>
      <c r="G34" s="13">
        <v>232</v>
      </c>
      <c r="H34" s="13">
        <v>236</v>
      </c>
      <c r="I34" s="13">
        <v>211</v>
      </c>
      <c r="J34" s="13">
        <v>227</v>
      </c>
      <c r="K34" s="13">
        <v>225</v>
      </c>
      <c r="L34" s="13">
        <v>195</v>
      </c>
      <c r="M34" s="13">
        <v>233</v>
      </c>
      <c r="N34" s="13">
        <v>218</v>
      </c>
      <c r="O34" s="13">
        <v>208</v>
      </c>
      <c r="P34" s="13">
        <v>185</v>
      </c>
      <c r="Q34" s="13">
        <v>220</v>
      </c>
      <c r="R34" s="13">
        <v>175</v>
      </c>
      <c r="S34" s="13">
        <v>210</v>
      </c>
      <c r="T34" s="13">
        <v>205</v>
      </c>
      <c r="U34" s="13">
        <v>198</v>
      </c>
      <c r="V34" s="13">
        <v>181</v>
      </c>
      <c r="W34" s="13">
        <v>186</v>
      </c>
      <c r="X34" s="13">
        <f t="shared" si="9"/>
        <v>3996</v>
      </c>
    </row>
    <row r="35" spans="1:24" ht="12.75" customHeight="1" x14ac:dyDescent="0.3">
      <c r="A35" s="15">
        <v>3</v>
      </c>
      <c r="B35" s="61" t="s">
        <v>29</v>
      </c>
      <c r="C35" s="48"/>
      <c r="D35" s="49"/>
      <c r="E35" s="15">
        <v>0</v>
      </c>
      <c r="F35" s="15">
        <v>0</v>
      </c>
      <c r="G35" s="15">
        <v>0</v>
      </c>
      <c r="H35" s="15">
        <v>1</v>
      </c>
      <c r="I35" s="15">
        <v>1</v>
      </c>
      <c r="J35" s="15">
        <v>0</v>
      </c>
      <c r="K35" s="15">
        <v>0</v>
      </c>
      <c r="L35" s="15">
        <v>0</v>
      </c>
      <c r="M35" s="15">
        <v>0</v>
      </c>
      <c r="N35" s="15">
        <v>1</v>
      </c>
      <c r="O35" s="15">
        <v>1</v>
      </c>
      <c r="P35" s="15">
        <v>0</v>
      </c>
      <c r="Q35" s="15">
        <v>1</v>
      </c>
      <c r="R35" s="15">
        <v>0</v>
      </c>
      <c r="S35" s="15">
        <v>0</v>
      </c>
      <c r="T35" s="15">
        <v>0</v>
      </c>
      <c r="U35" s="15">
        <v>0</v>
      </c>
      <c r="V35" s="15">
        <v>1</v>
      </c>
      <c r="W35" s="15">
        <v>0</v>
      </c>
      <c r="X35" s="13">
        <f t="shared" si="9"/>
        <v>6</v>
      </c>
    </row>
    <row r="36" spans="1:24" ht="12.75" customHeight="1" x14ac:dyDescent="0.3">
      <c r="A36" s="15">
        <v>4</v>
      </c>
      <c r="B36" s="61" t="s">
        <v>30</v>
      </c>
      <c r="C36" s="48"/>
      <c r="D36" s="49"/>
      <c r="E36" s="13">
        <f t="shared" ref="E36:W36" si="10">E33-(E34+E35)</f>
        <v>78</v>
      </c>
      <c r="F36" s="13">
        <f t="shared" si="10"/>
        <v>68</v>
      </c>
      <c r="G36" s="13">
        <f t="shared" si="10"/>
        <v>63</v>
      </c>
      <c r="H36" s="13">
        <f t="shared" si="10"/>
        <v>62</v>
      </c>
      <c r="I36" s="13">
        <f t="shared" si="10"/>
        <v>78</v>
      </c>
      <c r="J36" s="13">
        <f t="shared" si="10"/>
        <v>76</v>
      </c>
      <c r="K36" s="13">
        <f t="shared" si="10"/>
        <v>76</v>
      </c>
      <c r="L36" s="13">
        <f t="shared" si="10"/>
        <v>63</v>
      </c>
      <c r="M36" s="13">
        <f t="shared" si="10"/>
        <v>66</v>
      </c>
      <c r="N36" s="13">
        <f t="shared" si="10"/>
        <v>83</v>
      </c>
      <c r="O36" s="13">
        <f t="shared" si="10"/>
        <v>83</v>
      </c>
      <c r="P36" s="13">
        <f t="shared" si="10"/>
        <v>34</v>
      </c>
      <c r="Q36" s="13">
        <f t="shared" si="10"/>
        <v>72</v>
      </c>
      <c r="R36" s="13">
        <f t="shared" si="10"/>
        <v>46</v>
      </c>
      <c r="S36" s="13">
        <f t="shared" si="10"/>
        <v>66</v>
      </c>
      <c r="T36" s="13">
        <f t="shared" si="10"/>
        <v>68</v>
      </c>
      <c r="U36" s="13">
        <f t="shared" si="10"/>
        <v>16</v>
      </c>
      <c r="V36" s="13">
        <f t="shared" si="10"/>
        <v>52</v>
      </c>
      <c r="W36" s="13">
        <f t="shared" si="10"/>
        <v>62</v>
      </c>
      <c r="X36" s="13">
        <f t="shared" si="9"/>
        <v>1212</v>
      </c>
    </row>
    <row r="37" spans="1:24" ht="12.75" customHeight="1" x14ac:dyDescent="0.3">
      <c r="A37" s="54"/>
      <c r="B37" s="48"/>
      <c r="C37" s="48"/>
      <c r="D37" s="48"/>
      <c r="E37" s="54"/>
      <c r="F37" s="48"/>
      <c r="G37" s="48"/>
      <c r="H37" s="48"/>
      <c r="I37" s="49"/>
      <c r="J37" s="15"/>
      <c r="K37" s="15"/>
      <c r="L37" s="15"/>
      <c r="M37" s="15"/>
      <c r="N37" s="42"/>
      <c r="O37" s="45"/>
      <c r="P37" s="45"/>
      <c r="Q37" s="45"/>
      <c r="R37" s="45"/>
      <c r="S37" s="45"/>
      <c r="T37" s="45"/>
      <c r="U37" s="45"/>
      <c r="V37" s="45"/>
      <c r="W37" s="45"/>
      <c r="X37" s="43"/>
    </row>
    <row r="38" spans="1:24" ht="12.75" customHeight="1" x14ac:dyDescent="0.3">
      <c r="A38" s="25" t="s">
        <v>31</v>
      </c>
      <c r="B38" s="55" t="s">
        <v>32</v>
      </c>
      <c r="C38" s="48"/>
      <c r="D38" s="49"/>
      <c r="E38" s="13"/>
      <c r="F38" s="13"/>
      <c r="G38" s="13"/>
      <c r="H38" s="13"/>
      <c r="I38" s="13"/>
      <c r="J38" s="13"/>
      <c r="K38" s="13"/>
      <c r="L38" s="13"/>
      <c r="M38" s="13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3"/>
    </row>
    <row r="39" spans="1:24" ht="12.75" customHeight="1" x14ac:dyDescent="0.3">
      <c r="A39" s="19"/>
      <c r="B39" s="51" t="s">
        <v>33</v>
      </c>
      <c r="C39" s="53"/>
      <c r="D39" s="15" t="s">
        <v>12</v>
      </c>
      <c r="E39" s="15">
        <v>0</v>
      </c>
      <c r="F39" s="15">
        <v>0</v>
      </c>
      <c r="G39" s="15">
        <v>5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/>
      <c r="U39" s="15"/>
      <c r="V39" s="15">
        <v>4</v>
      </c>
      <c r="W39" s="15"/>
      <c r="X39" s="13">
        <f t="shared" ref="X39:X41" si="11">SUM(E39:W39)</f>
        <v>9</v>
      </c>
    </row>
    <row r="40" spans="1:24" ht="12.75" customHeight="1" x14ac:dyDescent="0.3">
      <c r="A40" s="20"/>
      <c r="B40" s="56"/>
      <c r="C40" s="57"/>
      <c r="D40" s="15" t="s">
        <v>13</v>
      </c>
      <c r="E40" s="15">
        <v>0</v>
      </c>
      <c r="F40" s="15">
        <v>0</v>
      </c>
      <c r="G40" s="15">
        <v>5</v>
      </c>
      <c r="H40" s="15">
        <v>5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2</v>
      </c>
      <c r="Q40" s="15">
        <v>0</v>
      </c>
      <c r="R40" s="15">
        <v>2</v>
      </c>
      <c r="S40" s="15">
        <v>0</v>
      </c>
      <c r="T40" s="15"/>
      <c r="U40" s="15"/>
      <c r="V40" s="15">
        <v>2</v>
      </c>
      <c r="W40" s="15"/>
      <c r="X40" s="13">
        <f t="shared" si="11"/>
        <v>16</v>
      </c>
    </row>
    <row r="41" spans="1:24" ht="12.75" customHeight="1" x14ac:dyDescent="0.3">
      <c r="A41" s="24"/>
      <c r="B41" s="58"/>
      <c r="C41" s="59"/>
      <c r="D41" s="13" t="s">
        <v>14</v>
      </c>
      <c r="E41" s="13">
        <f t="shared" ref="E41:W41" si="12">SUM(E39:E40)</f>
        <v>0</v>
      </c>
      <c r="F41" s="13">
        <f t="shared" si="12"/>
        <v>0</v>
      </c>
      <c r="G41" s="13">
        <f t="shared" si="12"/>
        <v>10</v>
      </c>
      <c r="H41" s="13">
        <f t="shared" si="12"/>
        <v>5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0</v>
      </c>
      <c r="P41" s="13">
        <f t="shared" si="12"/>
        <v>2</v>
      </c>
      <c r="Q41" s="13">
        <f t="shared" si="12"/>
        <v>0</v>
      </c>
      <c r="R41" s="13">
        <f t="shared" si="12"/>
        <v>2</v>
      </c>
      <c r="S41" s="13">
        <f t="shared" si="12"/>
        <v>0</v>
      </c>
      <c r="T41" s="13">
        <f t="shared" si="12"/>
        <v>0</v>
      </c>
      <c r="U41" s="13">
        <f t="shared" si="12"/>
        <v>0</v>
      </c>
      <c r="V41" s="13">
        <f t="shared" si="12"/>
        <v>6</v>
      </c>
      <c r="W41" s="13">
        <f t="shared" si="12"/>
        <v>0</v>
      </c>
      <c r="X41" s="13">
        <f t="shared" si="11"/>
        <v>25</v>
      </c>
    </row>
    <row r="42" spans="1:24" ht="12.75" customHeight="1" x14ac:dyDescent="0.3">
      <c r="A42" s="60"/>
      <c r="B42" s="58"/>
      <c r="C42" s="58"/>
      <c r="D42" s="59"/>
      <c r="E42" s="54"/>
      <c r="F42" s="48"/>
      <c r="G42" s="48"/>
      <c r="H42" s="48"/>
      <c r="I42" s="49"/>
      <c r="J42" s="15"/>
      <c r="K42" s="15"/>
      <c r="L42" s="15"/>
      <c r="M42" s="15"/>
      <c r="N42" s="42"/>
      <c r="O42" s="15"/>
      <c r="P42" s="42"/>
      <c r="Q42" s="15"/>
      <c r="R42" s="42"/>
      <c r="S42" s="15"/>
      <c r="T42" s="42"/>
      <c r="U42" s="15"/>
      <c r="V42" s="42"/>
      <c r="W42" s="15"/>
      <c r="X42" s="13"/>
    </row>
    <row r="43" spans="1:24" ht="12.75" customHeight="1" x14ac:dyDescent="0.3">
      <c r="A43" s="25" t="s">
        <v>34</v>
      </c>
      <c r="B43" s="55" t="s">
        <v>35</v>
      </c>
      <c r="C43" s="48"/>
      <c r="D43" s="49"/>
      <c r="E43" s="18"/>
      <c r="F43" s="13"/>
      <c r="G43" s="13"/>
      <c r="H43" s="13"/>
      <c r="I43" s="13"/>
      <c r="J43" s="13"/>
      <c r="K43" s="13"/>
      <c r="L43" s="13"/>
      <c r="M43" s="13"/>
      <c r="N43" s="44"/>
      <c r="O43" s="13"/>
      <c r="P43" s="44"/>
      <c r="Q43" s="13"/>
      <c r="R43" s="44"/>
      <c r="S43" s="13"/>
      <c r="T43" s="44"/>
      <c r="U43" s="13"/>
      <c r="V43" s="44"/>
      <c r="W43" s="13"/>
      <c r="X43" s="13"/>
    </row>
    <row r="44" spans="1:24" ht="12.75" customHeight="1" x14ac:dyDescent="0.3">
      <c r="A44" s="51" t="s">
        <v>36</v>
      </c>
      <c r="B44" s="52"/>
      <c r="C44" s="52"/>
      <c r="D44" s="53"/>
      <c r="E44" s="16"/>
      <c r="F44" s="15"/>
      <c r="G44" s="15"/>
      <c r="H44" s="15"/>
      <c r="I44" s="15"/>
      <c r="J44" s="15"/>
      <c r="K44" s="15"/>
      <c r="L44" s="15"/>
      <c r="M44" s="15"/>
      <c r="N44" s="42"/>
      <c r="O44" s="15"/>
      <c r="P44" s="42"/>
      <c r="Q44" s="15"/>
      <c r="R44" s="42"/>
      <c r="S44" s="15"/>
      <c r="T44" s="42"/>
      <c r="U44" s="15"/>
      <c r="V44" s="42"/>
      <c r="W44" s="15"/>
      <c r="X44" s="13"/>
    </row>
    <row r="45" spans="1:24" ht="12.75" customHeight="1" x14ac:dyDescent="0.3">
      <c r="A45" s="19" t="s">
        <v>37</v>
      </c>
      <c r="B45" s="26" t="s">
        <v>17</v>
      </c>
      <c r="C45" s="50" t="s">
        <v>38</v>
      </c>
      <c r="D45" s="49"/>
      <c r="E45" s="15">
        <v>8</v>
      </c>
      <c r="F45" s="15">
        <v>6</v>
      </c>
      <c r="G45" s="15">
        <v>6</v>
      </c>
      <c r="H45" s="15">
        <v>9</v>
      </c>
      <c r="I45" s="15">
        <v>6</v>
      </c>
      <c r="J45" s="15">
        <v>9</v>
      </c>
      <c r="K45" s="15">
        <v>3</v>
      </c>
      <c r="L45" s="15">
        <v>12</v>
      </c>
      <c r="M45" s="15">
        <v>13</v>
      </c>
      <c r="N45" s="15">
        <v>8</v>
      </c>
      <c r="O45" s="15">
        <v>6</v>
      </c>
      <c r="P45" s="15">
        <v>1</v>
      </c>
      <c r="Q45" s="15">
        <v>7</v>
      </c>
      <c r="R45" s="15">
        <v>3</v>
      </c>
      <c r="S45" s="15">
        <v>10</v>
      </c>
      <c r="T45" s="15">
        <v>4</v>
      </c>
      <c r="U45" s="15">
        <v>1</v>
      </c>
      <c r="V45" s="15">
        <v>2</v>
      </c>
      <c r="W45" s="15">
        <v>2</v>
      </c>
      <c r="X45" s="13">
        <f t="shared" ref="X45:X182" si="13">SUM(E45:W45)</f>
        <v>116</v>
      </c>
    </row>
    <row r="46" spans="1:24" ht="12.75" customHeight="1" x14ac:dyDescent="0.3">
      <c r="A46" s="19" t="s">
        <v>39</v>
      </c>
      <c r="B46" s="27">
        <v>1</v>
      </c>
      <c r="C46" s="28" t="s">
        <v>40</v>
      </c>
      <c r="D46" s="29"/>
      <c r="E46" s="15">
        <v>10</v>
      </c>
      <c r="F46" s="15">
        <v>12</v>
      </c>
      <c r="G46" s="15">
        <v>10</v>
      </c>
      <c r="H46" s="15">
        <v>4</v>
      </c>
      <c r="I46" s="15">
        <v>4</v>
      </c>
      <c r="J46" s="15">
        <v>11</v>
      </c>
      <c r="K46" s="15">
        <v>2</v>
      </c>
      <c r="L46" s="15">
        <v>3</v>
      </c>
      <c r="M46" s="15">
        <v>15</v>
      </c>
      <c r="N46" s="15">
        <v>4</v>
      </c>
      <c r="O46" s="15">
        <v>7</v>
      </c>
      <c r="P46" s="15">
        <v>2</v>
      </c>
      <c r="Q46" s="15">
        <v>16</v>
      </c>
      <c r="R46" s="15">
        <v>21</v>
      </c>
      <c r="S46" s="15">
        <v>6</v>
      </c>
      <c r="T46" s="15">
        <v>14</v>
      </c>
      <c r="U46" s="15">
        <v>3</v>
      </c>
      <c r="V46" s="15">
        <v>6</v>
      </c>
      <c r="W46" s="15">
        <v>1</v>
      </c>
      <c r="X46" s="13">
        <f t="shared" si="13"/>
        <v>151</v>
      </c>
    </row>
    <row r="47" spans="1:24" ht="12.75" customHeight="1" x14ac:dyDescent="0.3">
      <c r="A47" s="14"/>
      <c r="B47" s="27">
        <v>2</v>
      </c>
      <c r="C47" s="28" t="s">
        <v>41</v>
      </c>
      <c r="D47" s="29"/>
      <c r="E47" s="15">
        <v>0</v>
      </c>
      <c r="F47" s="15">
        <v>6</v>
      </c>
      <c r="G47" s="15">
        <v>7</v>
      </c>
      <c r="H47" s="15">
        <v>5</v>
      </c>
      <c r="I47" s="15">
        <v>25</v>
      </c>
      <c r="J47" s="15">
        <v>20</v>
      </c>
      <c r="K47" s="15">
        <v>10</v>
      </c>
      <c r="L47" s="15">
        <v>12</v>
      </c>
      <c r="M47" s="15">
        <v>4</v>
      </c>
      <c r="N47" s="15">
        <v>13</v>
      </c>
      <c r="O47" s="15">
        <v>17</v>
      </c>
      <c r="P47" s="15">
        <v>1</v>
      </c>
      <c r="Q47" s="15">
        <v>4</v>
      </c>
      <c r="R47" s="15">
        <v>2</v>
      </c>
      <c r="S47" s="15">
        <v>20</v>
      </c>
      <c r="T47" s="15">
        <v>8</v>
      </c>
      <c r="U47" s="15">
        <v>3</v>
      </c>
      <c r="V47" s="15">
        <v>4</v>
      </c>
      <c r="W47" s="15">
        <v>1</v>
      </c>
      <c r="X47" s="13">
        <f t="shared" si="13"/>
        <v>162</v>
      </c>
    </row>
    <row r="48" spans="1:24" ht="12.75" customHeight="1" x14ac:dyDescent="0.3">
      <c r="A48" s="14"/>
      <c r="B48" s="27">
        <v>3</v>
      </c>
      <c r="C48" s="28" t="s">
        <v>42</v>
      </c>
      <c r="D48" s="29"/>
      <c r="E48" s="15">
        <v>0</v>
      </c>
      <c r="F48" s="15">
        <v>11</v>
      </c>
      <c r="G48" s="15">
        <v>17</v>
      </c>
      <c r="H48" s="15">
        <v>8</v>
      </c>
      <c r="I48" s="15">
        <v>9</v>
      </c>
      <c r="J48" s="15">
        <v>10</v>
      </c>
      <c r="K48" s="15">
        <v>11</v>
      </c>
      <c r="L48" s="15">
        <v>18</v>
      </c>
      <c r="M48" s="15">
        <v>24</v>
      </c>
      <c r="N48" s="15">
        <v>28</v>
      </c>
      <c r="O48" s="15">
        <v>23</v>
      </c>
      <c r="P48" s="15">
        <v>0</v>
      </c>
      <c r="Q48" s="15">
        <v>10</v>
      </c>
      <c r="R48" s="15">
        <v>9</v>
      </c>
      <c r="S48" s="15">
        <v>14</v>
      </c>
      <c r="T48" s="15">
        <v>9</v>
      </c>
      <c r="U48" s="15">
        <v>6</v>
      </c>
      <c r="V48" s="15">
        <v>3</v>
      </c>
      <c r="W48" s="15">
        <v>1</v>
      </c>
      <c r="X48" s="13">
        <f t="shared" si="13"/>
        <v>211</v>
      </c>
    </row>
    <row r="49" spans="1:24" ht="12.75" customHeight="1" x14ac:dyDescent="0.3">
      <c r="A49" s="14"/>
      <c r="B49" s="27">
        <v>4</v>
      </c>
      <c r="C49" s="28" t="s">
        <v>43</v>
      </c>
      <c r="D49" s="29"/>
      <c r="E49" s="15">
        <v>2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2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3">
        <f t="shared" si="13"/>
        <v>5</v>
      </c>
    </row>
    <row r="50" spans="1:24" ht="12.75" customHeight="1" x14ac:dyDescent="0.3">
      <c r="A50" s="14"/>
      <c r="B50" s="27">
        <v>5</v>
      </c>
      <c r="C50" s="28" t="s">
        <v>44</v>
      </c>
      <c r="D50" s="29"/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3">
        <f t="shared" si="13"/>
        <v>0</v>
      </c>
    </row>
    <row r="51" spans="1:24" ht="12.75" customHeight="1" x14ac:dyDescent="0.3">
      <c r="A51" s="14"/>
      <c r="B51" s="27">
        <v>6</v>
      </c>
      <c r="C51" s="28" t="s">
        <v>45</v>
      </c>
      <c r="D51" s="29"/>
      <c r="E51" s="15">
        <v>3</v>
      </c>
      <c r="F51" s="15">
        <v>3</v>
      </c>
      <c r="G51" s="15">
        <v>5</v>
      </c>
      <c r="H51" s="15">
        <v>9</v>
      </c>
      <c r="I51" s="15">
        <v>4</v>
      </c>
      <c r="J51" s="15">
        <v>0</v>
      </c>
      <c r="K51" s="15">
        <v>2</v>
      </c>
      <c r="L51" s="15">
        <v>2</v>
      </c>
      <c r="M51" s="15">
        <v>0</v>
      </c>
      <c r="N51" s="15">
        <v>5</v>
      </c>
      <c r="O51" s="15">
        <v>6</v>
      </c>
      <c r="P51" s="15">
        <v>0</v>
      </c>
      <c r="Q51" s="15">
        <v>39</v>
      </c>
      <c r="R51" s="15">
        <v>21</v>
      </c>
      <c r="S51" s="15">
        <v>3</v>
      </c>
      <c r="T51" s="15">
        <v>0</v>
      </c>
      <c r="U51" s="15">
        <v>0</v>
      </c>
      <c r="V51" s="15">
        <v>1</v>
      </c>
      <c r="W51" s="15">
        <v>3</v>
      </c>
      <c r="X51" s="13">
        <f t="shared" si="13"/>
        <v>106</v>
      </c>
    </row>
    <row r="52" spans="1:24" ht="12.75" customHeight="1" x14ac:dyDescent="0.3">
      <c r="A52" s="15" t="s">
        <v>15</v>
      </c>
      <c r="B52" s="47" t="s">
        <v>46</v>
      </c>
      <c r="C52" s="48"/>
      <c r="D52" s="49"/>
      <c r="E52" s="34">
        <f t="shared" ref="E52:W52" si="14">SUM(E45:E51)</f>
        <v>23</v>
      </c>
      <c r="F52" s="34">
        <f t="shared" si="14"/>
        <v>38</v>
      </c>
      <c r="G52" s="34">
        <f t="shared" si="14"/>
        <v>45</v>
      </c>
      <c r="H52" s="34">
        <f t="shared" si="14"/>
        <v>35</v>
      </c>
      <c r="I52" s="34">
        <f t="shared" si="14"/>
        <v>48</v>
      </c>
      <c r="J52" s="34">
        <f t="shared" si="14"/>
        <v>50</v>
      </c>
      <c r="K52" s="34">
        <f t="shared" si="14"/>
        <v>28</v>
      </c>
      <c r="L52" s="34">
        <f t="shared" si="14"/>
        <v>47</v>
      </c>
      <c r="M52" s="34">
        <f t="shared" si="14"/>
        <v>58</v>
      </c>
      <c r="N52" s="34">
        <f t="shared" si="14"/>
        <v>59</v>
      </c>
      <c r="O52" s="34">
        <f t="shared" si="14"/>
        <v>59</v>
      </c>
      <c r="P52" s="34">
        <f t="shared" si="14"/>
        <v>4</v>
      </c>
      <c r="Q52" s="34">
        <f t="shared" si="14"/>
        <v>76</v>
      </c>
      <c r="R52" s="34">
        <f t="shared" si="14"/>
        <v>56</v>
      </c>
      <c r="S52" s="34">
        <f t="shared" si="14"/>
        <v>53</v>
      </c>
      <c r="T52" s="34">
        <f t="shared" si="14"/>
        <v>35</v>
      </c>
      <c r="U52" s="34">
        <f t="shared" si="14"/>
        <v>13</v>
      </c>
      <c r="V52" s="34">
        <f t="shared" si="14"/>
        <v>16</v>
      </c>
      <c r="W52" s="34">
        <f t="shared" si="14"/>
        <v>8</v>
      </c>
      <c r="X52" s="13">
        <f t="shared" si="13"/>
        <v>751</v>
      </c>
    </row>
    <row r="53" spans="1:24" ht="12.75" customHeight="1" x14ac:dyDescent="0.3">
      <c r="A53" s="35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13">
        <f t="shared" si="13"/>
        <v>0</v>
      </c>
    </row>
    <row r="54" spans="1:24" ht="12.75" customHeight="1" x14ac:dyDescent="0.3">
      <c r="A54" s="19" t="s">
        <v>37</v>
      </c>
      <c r="B54" s="26" t="s">
        <v>19</v>
      </c>
      <c r="C54" s="50" t="s">
        <v>47</v>
      </c>
      <c r="D54" s="49"/>
      <c r="E54" s="15">
        <v>4</v>
      </c>
      <c r="F54" s="15">
        <v>10</v>
      </c>
      <c r="G54" s="15">
        <v>12</v>
      </c>
      <c r="H54" s="15">
        <v>5</v>
      </c>
      <c r="I54" s="15">
        <v>5</v>
      </c>
      <c r="J54" s="15">
        <v>13</v>
      </c>
      <c r="K54" s="15">
        <v>12</v>
      </c>
      <c r="L54" s="15">
        <v>13</v>
      </c>
      <c r="M54" s="15">
        <v>18</v>
      </c>
      <c r="N54" s="15">
        <v>10</v>
      </c>
      <c r="O54" s="15">
        <v>8</v>
      </c>
      <c r="P54" s="15">
        <v>4</v>
      </c>
      <c r="Q54" s="15">
        <v>5</v>
      </c>
      <c r="R54" s="15">
        <v>8</v>
      </c>
      <c r="S54" s="15">
        <v>14</v>
      </c>
      <c r="T54" s="15">
        <v>13</v>
      </c>
      <c r="U54" s="15">
        <v>10</v>
      </c>
      <c r="V54" s="15">
        <v>9</v>
      </c>
      <c r="W54" s="15">
        <v>3</v>
      </c>
      <c r="X54" s="13">
        <f t="shared" si="13"/>
        <v>176</v>
      </c>
    </row>
    <row r="55" spans="1:24" ht="15" customHeight="1" x14ac:dyDescent="0.3">
      <c r="A55" s="19" t="s">
        <v>39</v>
      </c>
      <c r="B55" s="27">
        <v>1</v>
      </c>
      <c r="C55" s="28" t="s">
        <v>48</v>
      </c>
      <c r="D55" s="29"/>
      <c r="E55" s="15">
        <v>3</v>
      </c>
      <c r="F55" s="15">
        <v>5</v>
      </c>
      <c r="G55" s="15">
        <v>5</v>
      </c>
      <c r="H55" s="15">
        <v>0</v>
      </c>
      <c r="I55" s="15">
        <v>0</v>
      </c>
      <c r="J55" s="15">
        <v>1</v>
      </c>
      <c r="K55" s="15">
        <v>3</v>
      </c>
      <c r="L55" s="15">
        <v>2</v>
      </c>
      <c r="M55" s="15">
        <v>6</v>
      </c>
      <c r="N55" s="15">
        <v>6</v>
      </c>
      <c r="O55" s="15">
        <v>5</v>
      </c>
      <c r="P55" s="15">
        <v>0</v>
      </c>
      <c r="Q55" s="15">
        <v>1</v>
      </c>
      <c r="R55" s="15">
        <v>4</v>
      </c>
      <c r="S55" s="15">
        <v>2</v>
      </c>
      <c r="T55" s="15">
        <v>6</v>
      </c>
      <c r="U55" s="15">
        <v>1</v>
      </c>
      <c r="V55" s="15">
        <v>0</v>
      </c>
      <c r="W55" s="15">
        <v>0</v>
      </c>
      <c r="X55" s="13">
        <f t="shared" si="13"/>
        <v>50</v>
      </c>
    </row>
    <row r="56" spans="1:24" ht="12.75" customHeight="1" x14ac:dyDescent="0.3">
      <c r="A56" s="14"/>
      <c r="B56" s="27">
        <v>2</v>
      </c>
      <c r="C56" s="28" t="s">
        <v>49</v>
      </c>
      <c r="D56" s="29"/>
      <c r="E56" s="15">
        <v>1</v>
      </c>
      <c r="F56" s="15">
        <v>2</v>
      </c>
      <c r="G56" s="15">
        <v>1</v>
      </c>
      <c r="H56" s="15">
        <v>1</v>
      </c>
      <c r="I56" s="15">
        <v>2</v>
      </c>
      <c r="J56" s="15">
        <v>2</v>
      </c>
      <c r="K56" s="15">
        <v>0</v>
      </c>
      <c r="L56" s="15">
        <v>1</v>
      </c>
      <c r="M56" s="15">
        <v>6</v>
      </c>
      <c r="N56" s="15">
        <v>1</v>
      </c>
      <c r="O56" s="15">
        <v>5</v>
      </c>
      <c r="P56" s="15">
        <v>0</v>
      </c>
      <c r="Q56" s="15">
        <v>0</v>
      </c>
      <c r="R56" s="15">
        <v>1</v>
      </c>
      <c r="S56" s="15">
        <v>5</v>
      </c>
      <c r="T56" s="15">
        <v>3</v>
      </c>
      <c r="U56" s="15">
        <v>3</v>
      </c>
      <c r="V56" s="15">
        <v>1</v>
      </c>
      <c r="W56" s="15">
        <v>1</v>
      </c>
      <c r="X56" s="13">
        <f t="shared" si="13"/>
        <v>36</v>
      </c>
    </row>
    <row r="57" spans="1:24" ht="12.75" customHeight="1" x14ac:dyDescent="0.3">
      <c r="A57" s="14"/>
      <c r="B57" s="27">
        <v>3</v>
      </c>
      <c r="C57" s="28" t="s">
        <v>50</v>
      </c>
      <c r="D57" s="29"/>
      <c r="E57" s="15">
        <v>0</v>
      </c>
      <c r="F57" s="15">
        <v>2</v>
      </c>
      <c r="G57" s="15">
        <v>1</v>
      </c>
      <c r="H57" s="15">
        <v>3</v>
      </c>
      <c r="I57" s="15">
        <v>0</v>
      </c>
      <c r="J57" s="15">
        <v>2</v>
      </c>
      <c r="K57" s="15">
        <v>4</v>
      </c>
      <c r="L57" s="15">
        <v>3</v>
      </c>
      <c r="M57" s="15">
        <v>0</v>
      </c>
      <c r="N57" s="15">
        <v>2</v>
      </c>
      <c r="O57" s="15">
        <v>2</v>
      </c>
      <c r="P57" s="15">
        <v>1</v>
      </c>
      <c r="Q57" s="15">
        <v>2</v>
      </c>
      <c r="R57" s="15">
        <v>0</v>
      </c>
      <c r="S57" s="15">
        <v>2</v>
      </c>
      <c r="T57" s="15">
        <v>0</v>
      </c>
      <c r="U57" s="15">
        <v>1</v>
      </c>
      <c r="V57" s="15">
        <v>0</v>
      </c>
      <c r="W57" s="15">
        <v>0</v>
      </c>
      <c r="X57" s="13">
        <f t="shared" si="13"/>
        <v>25</v>
      </c>
    </row>
    <row r="58" spans="1:24" ht="12.75" customHeight="1" x14ac:dyDescent="0.3">
      <c r="A58" s="14"/>
      <c r="B58" s="27">
        <v>4</v>
      </c>
      <c r="C58" s="28" t="s">
        <v>51</v>
      </c>
      <c r="D58" s="29"/>
      <c r="E58" s="15">
        <v>2</v>
      </c>
      <c r="F58" s="15">
        <v>1</v>
      </c>
      <c r="G58" s="15">
        <v>1</v>
      </c>
      <c r="H58" s="15">
        <v>1</v>
      </c>
      <c r="I58" s="15">
        <v>0</v>
      </c>
      <c r="J58" s="15">
        <v>2</v>
      </c>
      <c r="K58" s="15">
        <v>1</v>
      </c>
      <c r="L58" s="15">
        <v>2</v>
      </c>
      <c r="M58" s="15">
        <v>0</v>
      </c>
      <c r="N58" s="15">
        <v>1</v>
      </c>
      <c r="O58" s="15">
        <v>1</v>
      </c>
      <c r="P58" s="15">
        <v>0</v>
      </c>
      <c r="Q58" s="15">
        <v>2</v>
      </c>
      <c r="R58" s="15">
        <v>2</v>
      </c>
      <c r="S58" s="15">
        <v>1</v>
      </c>
      <c r="T58" s="15">
        <v>2</v>
      </c>
      <c r="U58" s="15">
        <v>0</v>
      </c>
      <c r="V58" s="15">
        <v>0</v>
      </c>
      <c r="W58" s="15">
        <v>0</v>
      </c>
      <c r="X58" s="13">
        <f t="shared" si="13"/>
        <v>19</v>
      </c>
    </row>
    <row r="59" spans="1:24" ht="12.75" customHeight="1" x14ac:dyDescent="0.3">
      <c r="A59" s="14"/>
      <c r="B59" s="27">
        <v>5</v>
      </c>
      <c r="C59" s="28" t="s">
        <v>52</v>
      </c>
      <c r="D59" s="29"/>
      <c r="E59" s="15">
        <v>1</v>
      </c>
      <c r="F59" s="15">
        <v>0</v>
      </c>
      <c r="G59" s="15">
        <v>1</v>
      </c>
      <c r="H59" s="15">
        <v>1</v>
      </c>
      <c r="I59" s="15">
        <v>1</v>
      </c>
      <c r="J59" s="15">
        <v>0</v>
      </c>
      <c r="K59" s="15">
        <v>0</v>
      </c>
      <c r="L59" s="15">
        <v>0</v>
      </c>
      <c r="M59" s="15">
        <v>1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1</v>
      </c>
      <c r="T59" s="15">
        <v>0</v>
      </c>
      <c r="U59" s="15">
        <v>1</v>
      </c>
      <c r="V59" s="15">
        <v>0</v>
      </c>
      <c r="W59" s="15">
        <v>0</v>
      </c>
      <c r="X59" s="13">
        <f t="shared" si="13"/>
        <v>7</v>
      </c>
    </row>
    <row r="60" spans="1:24" ht="12.75" customHeight="1" x14ac:dyDescent="0.3">
      <c r="A60" s="14"/>
      <c r="B60" s="27">
        <v>6</v>
      </c>
      <c r="C60" s="28" t="s">
        <v>53</v>
      </c>
      <c r="D60" s="29"/>
      <c r="E60" s="15">
        <v>2</v>
      </c>
      <c r="F60" s="15">
        <v>1</v>
      </c>
      <c r="G60" s="15">
        <v>0</v>
      </c>
      <c r="H60" s="15">
        <v>0</v>
      </c>
      <c r="I60" s="15">
        <v>3</v>
      </c>
      <c r="J60" s="15">
        <v>18</v>
      </c>
      <c r="K60" s="15">
        <v>12</v>
      </c>
      <c r="L60" s="15">
        <v>1</v>
      </c>
      <c r="M60" s="15">
        <v>0</v>
      </c>
      <c r="N60" s="15">
        <v>3</v>
      </c>
      <c r="O60" s="15">
        <v>1</v>
      </c>
      <c r="P60" s="15">
        <v>0</v>
      </c>
      <c r="Q60" s="15">
        <v>1</v>
      </c>
      <c r="R60" s="15">
        <v>0</v>
      </c>
      <c r="S60" s="15">
        <v>1</v>
      </c>
      <c r="T60" s="15">
        <v>2</v>
      </c>
      <c r="U60" s="15">
        <v>0</v>
      </c>
      <c r="V60" s="15">
        <v>0</v>
      </c>
      <c r="W60" s="15">
        <v>0</v>
      </c>
      <c r="X60" s="13">
        <f t="shared" si="13"/>
        <v>45</v>
      </c>
    </row>
    <row r="61" spans="1:24" ht="12.75" customHeight="1" x14ac:dyDescent="0.3">
      <c r="A61" s="15" t="s">
        <v>15</v>
      </c>
      <c r="B61" s="47" t="s">
        <v>46</v>
      </c>
      <c r="C61" s="48"/>
      <c r="D61" s="49"/>
      <c r="E61" s="34">
        <f t="shared" ref="E61:W61" si="15">SUM(E54:E60)</f>
        <v>13</v>
      </c>
      <c r="F61" s="34">
        <f t="shared" si="15"/>
        <v>21</v>
      </c>
      <c r="G61" s="34">
        <f t="shared" si="15"/>
        <v>21</v>
      </c>
      <c r="H61" s="34">
        <f t="shared" si="15"/>
        <v>11</v>
      </c>
      <c r="I61" s="34">
        <f t="shared" si="15"/>
        <v>11</v>
      </c>
      <c r="J61" s="34">
        <f t="shared" si="15"/>
        <v>38</v>
      </c>
      <c r="K61" s="34">
        <f t="shared" si="15"/>
        <v>32</v>
      </c>
      <c r="L61" s="34">
        <f t="shared" si="15"/>
        <v>22</v>
      </c>
      <c r="M61" s="34">
        <f t="shared" si="15"/>
        <v>31</v>
      </c>
      <c r="N61" s="34">
        <f t="shared" si="15"/>
        <v>23</v>
      </c>
      <c r="O61" s="34">
        <f t="shared" si="15"/>
        <v>22</v>
      </c>
      <c r="P61" s="34">
        <f t="shared" si="15"/>
        <v>5</v>
      </c>
      <c r="Q61" s="34">
        <f t="shared" si="15"/>
        <v>11</v>
      </c>
      <c r="R61" s="34">
        <f t="shared" si="15"/>
        <v>15</v>
      </c>
      <c r="S61" s="34">
        <f t="shared" si="15"/>
        <v>26</v>
      </c>
      <c r="T61" s="34">
        <f t="shared" si="15"/>
        <v>26</v>
      </c>
      <c r="U61" s="34">
        <f t="shared" si="15"/>
        <v>16</v>
      </c>
      <c r="V61" s="34">
        <f t="shared" si="15"/>
        <v>10</v>
      </c>
      <c r="W61" s="34">
        <f t="shared" si="15"/>
        <v>4</v>
      </c>
      <c r="X61" s="13">
        <f t="shared" si="13"/>
        <v>358</v>
      </c>
    </row>
    <row r="62" spans="1:24" ht="12.75" customHeight="1" x14ac:dyDescent="0.3">
      <c r="A62" s="35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13">
        <f t="shared" si="13"/>
        <v>0</v>
      </c>
    </row>
    <row r="63" spans="1:24" ht="12.75" customHeight="1" x14ac:dyDescent="0.3">
      <c r="A63" s="19" t="s">
        <v>37</v>
      </c>
      <c r="B63" s="26" t="s">
        <v>21</v>
      </c>
      <c r="C63" s="50" t="s">
        <v>54</v>
      </c>
      <c r="D63" s="49"/>
      <c r="E63" s="15">
        <v>5</v>
      </c>
      <c r="F63" s="15">
        <v>4</v>
      </c>
      <c r="G63" s="15">
        <v>8</v>
      </c>
      <c r="H63" s="15">
        <v>8</v>
      </c>
      <c r="I63" s="15">
        <v>15</v>
      </c>
      <c r="J63" s="15">
        <v>18</v>
      </c>
      <c r="K63" s="15">
        <v>15</v>
      </c>
      <c r="L63" s="15">
        <v>12</v>
      </c>
      <c r="M63" s="15">
        <v>13</v>
      </c>
      <c r="N63" s="15">
        <v>8</v>
      </c>
      <c r="O63" s="15">
        <v>5</v>
      </c>
      <c r="P63" s="15">
        <v>26</v>
      </c>
      <c r="Q63" s="15">
        <v>7</v>
      </c>
      <c r="R63" s="15">
        <v>9</v>
      </c>
      <c r="S63" s="15">
        <v>11</v>
      </c>
      <c r="T63" s="15">
        <v>6</v>
      </c>
      <c r="U63" s="15">
        <v>18</v>
      </c>
      <c r="V63" s="15">
        <v>9</v>
      </c>
      <c r="W63" s="15">
        <v>2</v>
      </c>
      <c r="X63" s="13">
        <f t="shared" si="13"/>
        <v>199</v>
      </c>
    </row>
    <row r="64" spans="1:24" ht="12.75" customHeight="1" x14ac:dyDescent="0.3">
      <c r="A64" s="19" t="s">
        <v>39</v>
      </c>
      <c r="B64" s="27">
        <v>1</v>
      </c>
      <c r="C64" s="28" t="s">
        <v>55</v>
      </c>
      <c r="D64" s="29"/>
      <c r="E64" s="15">
        <v>13</v>
      </c>
      <c r="F64" s="15">
        <v>4</v>
      </c>
      <c r="G64" s="15">
        <v>3</v>
      </c>
      <c r="H64" s="15">
        <v>3</v>
      </c>
      <c r="I64" s="15">
        <v>29</v>
      </c>
      <c r="J64" s="15">
        <v>37</v>
      </c>
      <c r="K64" s="15">
        <v>34</v>
      </c>
      <c r="L64" s="15">
        <v>17</v>
      </c>
      <c r="M64" s="15">
        <v>4</v>
      </c>
      <c r="N64" s="15">
        <v>9</v>
      </c>
      <c r="O64" s="15">
        <v>5</v>
      </c>
      <c r="P64" s="15">
        <v>125</v>
      </c>
      <c r="Q64" s="15">
        <v>3</v>
      </c>
      <c r="R64" s="15">
        <v>5</v>
      </c>
      <c r="S64" s="15">
        <v>4</v>
      </c>
      <c r="T64" s="15">
        <v>2</v>
      </c>
      <c r="U64" s="15">
        <v>9</v>
      </c>
      <c r="V64" s="15">
        <v>20</v>
      </c>
      <c r="W64" s="15">
        <v>1</v>
      </c>
      <c r="X64" s="13">
        <f t="shared" si="13"/>
        <v>327</v>
      </c>
    </row>
    <row r="65" spans="1:24" ht="12.75" customHeight="1" x14ac:dyDescent="0.3">
      <c r="A65" s="14"/>
      <c r="B65" s="27">
        <v>2</v>
      </c>
      <c r="C65" s="28" t="s">
        <v>56</v>
      </c>
      <c r="D65" s="29"/>
      <c r="E65" s="15">
        <v>54</v>
      </c>
      <c r="F65" s="15">
        <v>76</v>
      </c>
      <c r="G65" s="15">
        <v>55</v>
      </c>
      <c r="H65" s="15">
        <v>32</v>
      </c>
      <c r="I65" s="15">
        <v>33</v>
      </c>
      <c r="J65" s="15">
        <v>16</v>
      </c>
      <c r="K65" s="15">
        <v>39</v>
      </c>
      <c r="L65" s="15">
        <v>22</v>
      </c>
      <c r="M65" s="15">
        <v>62</v>
      </c>
      <c r="N65" s="15">
        <v>62</v>
      </c>
      <c r="O65" s="15">
        <v>64</v>
      </c>
      <c r="P65" s="15">
        <v>6</v>
      </c>
      <c r="Q65" s="15">
        <v>66</v>
      </c>
      <c r="R65" s="15">
        <v>52</v>
      </c>
      <c r="S65" s="15">
        <v>46</v>
      </c>
      <c r="T65" s="15">
        <v>45</v>
      </c>
      <c r="U65" s="15">
        <v>83</v>
      </c>
      <c r="V65" s="15">
        <v>73</v>
      </c>
      <c r="W65" s="15">
        <v>52</v>
      </c>
      <c r="X65" s="13">
        <f t="shared" si="13"/>
        <v>938</v>
      </c>
    </row>
    <row r="66" spans="1:24" ht="12.75" customHeight="1" x14ac:dyDescent="0.3">
      <c r="A66" s="14"/>
      <c r="B66" s="27">
        <v>3</v>
      </c>
      <c r="C66" s="28" t="s">
        <v>57</v>
      </c>
      <c r="D66" s="29"/>
      <c r="E66" s="15">
        <v>1</v>
      </c>
      <c r="F66" s="15">
        <v>2</v>
      </c>
      <c r="G66" s="15">
        <v>1</v>
      </c>
      <c r="H66" s="15">
        <v>1</v>
      </c>
      <c r="I66" s="15">
        <v>3</v>
      </c>
      <c r="J66" s="15">
        <v>6</v>
      </c>
      <c r="K66" s="15">
        <v>15</v>
      </c>
      <c r="L66" s="15">
        <v>0</v>
      </c>
      <c r="M66" s="15">
        <v>0</v>
      </c>
      <c r="N66" s="15">
        <v>2</v>
      </c>
      <c r="O66" s="15">
        <v>2</v>
      </c>
      <c r="P66" s="15">
        <v>2</v>
      </c>
      <c r="Q66" s="15">
        <v>6</v>
      </c>
      <c r="R66" s="15">
        <v>2</v>
      </c>
      <c r="S66" s="15">
        <v>0</v>
      </c>
      <c r="T66" s="15">
        <v>2</v>
      </c>
      <c r="U66" s="15">
        <v>1</v>
      </c>
      <c r="V66" s="15">
        <v>1</v>
      </c>
      <c r="W66" s="15">
        <v>0</v>
      </c>
      <c r="X66" s="13">
        <f t="shared" si="13"/>
        <v>47</v>
      </c>
    </row>
    <row r="67" spans="1:24" ht="15" customHeight="1" x14ac:dyDescent="0.3">
      <c r="A67" s="14"/>
      <c r="B67" s="27">
        <v>4</v>
      </c>
      <c r="C67" s="28" t="s">
        <v>58</v>
      </c>
      <c r="D67" s="29"/>
      <c r="E67" s="15">
        <v>2</v>
      </c>
      <c r="F67" s="15">
        <v>6</v>
      </c>
      <c r="G67" s="15">
        <v>3</v>
      </c>
      <c r="H67" s="15">
        <v>1</v>
      </c>
      <c r="I67" s="15">
        <v>0</v>
      </c>
      <c r="J67" s="15">
        <v>5</v>
      </c>
      <c r="K67" s="15">
        <v>9</v>
      </c>
      <c r="L67" s="15">
        <v>1</v>
      </c>
      <c r="M67" s="15">
        <v>1</v>
      </c>
      <c r="N67" s="15">
        <v>3</v>
      </c>
      <c r="O67" s="15">
        <v>1</v>
      </c>
      <c r="P67" s="15">
        <v>1</v>
      </c>
      <c r="Q67" s="15">
        <v>1</v>
      </c>
      <c r="R67" s="15">
        <v>2</v>
      </c>
      <c r="S67" s="15">
        <v>4</v>
      </c>
      <c r="T67" s="15">
        <v>3</v>
      </c>
      <c r="U67" s="15">
        <v>0</v>
      </c>
      <c r="V67" s="15">
        <v>0</v>
      </c>
      <c r="W67" s="15">
        <v>0</v>
      </c>
      <c r="X67" s="13">
        <f t="shared" si="13"/>
        <v>43</v>
      </c>
    </row>
    <row r="68" spans="1:24" ht="12.75" customHeight="1" x14ac:dyDescent="0.3">
      <c r="A68" s="14"/>
      <c r="B68" s="27">
        <v>5</v>
      </c>
      <c r="C68" s="28" t="s">
        <v>59</v>
      </c>
      <c r="D68" s="29"/>
      <c r="E68" s="15">
        <v>0</v>
      </c>
      <c r="F68" s="15">
        <v>0</v>
      </c>
      <c r="G68" s="15">
        <v>1</v>
      </c>
      <c r="H68" s="15">
        <v>0</v>
      </c>
      <c r="I68" s="15">
        <v>0</v>
      </c>
      <c r="J68" s="15">
        <v>1</v>
      </c>
      <c r="K68" s="15">
        <v>0</v>
      </c>
      <c r="L68" s="15">
        <v>0</v>
      </c>
      <c r="M68" s="15">
        <v>1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1</v>
      </c>
      <c r="U68" s="15">
        <v>0</v>
      </c>
      <c r="V68" s="15">
        <v>0</v>
      </c>
      <c r="W68" s="15">
        <v>0</v>
      </c>
      <c r="X68" s="13">
        <f t="shared" si="13"/>
        <v>4</v>
      </c>
    </row>
    <row r="69" spans="1:24" ht="12.75" customHeight="1" x14ac:dyDescent="0.3">
      <c r="A69" s="14"/>
      <c r="B69" s="27">
        <v>6</v>
      </c>
      <c r="C69" s="28" t="s">
        <v>60</v>
      </c>
      <c r="D69" s="29"/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1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3">
        <f t="shared" si="13"/>
        <v>1</v>
      </c>
    </row>
    <row r="70" spans="1:24" ht="12.75" customHeight="1" x14ac:dyDescent="0.3">
      <c r="A70" s="15" t="s">
        <v>15</v>
      </c>
      <c r="B70" s="47" t="s">
        <v>46</v>
      </c>
      <c r="C70" s="48"/>
      <c r="D70" s="49"/>
      <c r="E70" s="34">
        <f t="shared" ref="E70:W70" si="16">SUM(E63:E69)</f>
        <v>75</v>
      </c>
      <c r="F70" s="34">
        <f t="shared" si="16"/>
        <v>92</v>
      </c>
      <c r="G70" s="34">
        <f t="shared" si="16"/>
        <v>71</v>
      </c>
      <c r="H70" s="34">
        <f t="shared" si="16"/>
        <v>45</v>
      </c>
      <c r="I70" s="34">
        <f t="shared" si="16"/>
        <v>80</v>
      </c>
      <c r="J70" s="34">
        <f t="shared" si="16"/>
        <v>83</v>
      </c>
      <c r="K70" s="34">
        <f t="shared" si="16"/>
        <v>112</v>
      </c>
      <c r="L70" s="34">
        <f t="shared" si="16"/>
        <v>52</v>
      </c>
      <c r="M70" s="34">
        <f t="shared" si="16"/>
        <v>81</v>
      </c>
      <c r="N70" s="34">
        <f t="shared" si="16"/>
        <v>84</v>
      </c>
      <c r="O70" s="34">
        <f t="shared" si="16"/>
        <v>78</v>
      </c>
      <c r="P70" s="34">
        <f t="shared" si="16"/>
        <v>160</v>
      </c>
      <c r="Q70" s="34">
        <f t="shared" si="16"/>
        <v>83</v>
      </c>
      <c r="R70" s="34">
        <f t="shared" si="16"/>
        <v>70</v>
      </c>
      <c r="S70" s="34">
        <f t="shared" si="16"/>
        <v>65</v>
      </c>
      <c r="T70" s="34">
        <f t="shared" si="16"/>
        <v>59</v>
      </c>
      <c r="U70" s="34">
        <f t="shared" si="16"/>
        <v>111</v>
      </c>
      <c r="V70" s="34">
        <f t="shared" si="16"/>
        <v>103</v>
      </c>
      <c r="W70" s="34">
        <f t="shared" si="16"/>
        <v>55</v>
      </c>
      <c r="X70" s="13">
        <f t="shared" si="13"/>
        <v>1559</v>
      </c>
    </row>
    <row r="71" spans="1:24" ht="12.75" customHeight="1" x14ac:dyDescent="0.3">
      <c r="A71" s="35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13">
        <f t="shared" si="13"/>
        <v>0</v>
      </c>
    </row>
    <row r="72" spans="1:24" ht="12.75" customHeight="1" x14ac:dyDescent="0.3">
      <c r="A72" s="19" t="s">
        <v>37</v>
      </c>
      <c r="B72" s="26" t="s">
        <v>23</v>
      </c>
      <c r="C72" s="50" t="s">
        <v>61</v>
      </c>
      <c r="D72" s="49"/>
      <c r="E72" s="15">
        <v>0</v>
      </c>
      <c r="F72" s="15">
        <v>0</v>
      </c>
      <c r="G72" s="15">
        <v>3</v>
      </c>
      <c r="H72" s="15">
        <v>0</v>
      </c>
      <c r="I72" s="15">
        <v>1</v>
      </c>
      <c r="J72" s="15">
        <v>0</v>
      </c>
      <c r="K72" s="15">
        <v>1</v>
      </c>
      <c r="L72" s="15">
        <v>3</v>
      </c>
      <c r="M72" s="15">
        <v>0</v>
      </c>
      <c r="N72" s="15">
        <v>1</v>
      </c>
      <c r="O72" s="15">
        <v>2</v>
      </c>
      <c r="P72" s="15">
        <v>3</v>
      </c>
      <c r="Q72" s="15">
        <v>2</v>
      </c>
      <c r="R72" s="15">
        <v>0</v>
      </c>
      <c r="S72" s="15">
        <v>2</v>
      </c>
      <c r="T72" s="15">
        <v>3</v>
      </c>
      <c r="U72" s="15">
        <v>3</v>
      </c>
      <c r="V72" s="15">
        <v>2</v>
      </c>
      <c r="W72" s="15">
        <v>2</v>
      </c>
      <c r="X72" s="13">
        <f t="shared" si="13"/>
        <v>28</v>
      </c>
    </row>
    <row r="73" spans="1:24" ht="12.75" customHeight="1" x14ac:dyDescent="0.3">
      <c r="A73" s="19" t="s">
        <v>39</v>
      </c>
      <c r="B73" s="27">
        <v>1</v>
      </c>
      <c r="C73" s="28" t="s">
        <v>62</v>
      </c>
      <c r="D73" s="29"/>
      <c r="E73" s="15">
        <v>2</v>
      </c>
      <c r="F73" s="15">
        <v>3</v>
      </c>
      <c r="G73" s="15">
        <v>1</v>
      </c>
      <c r="H73" s="15">
        <v>4</v>
      </c>
      <c r="I73" s="15">
        <v>1</v>
      </c>
      <c r="J73" s="15">
        <v>0</v>
      </c>
      <c r="K73" s="15">
        <v>1</v>
      </c>
      <c r="L73" s="15">
        <v>3</v>
      </c>
      <c r="M73" s="15">
        <v>1</v>
      </c>
      <c r="N73" s="15">
        <v>0</v>
      </c>
      <c r="O73" s="15">
        <v>2</v>
      </c>
      <c r="P73" s="15">
        <v>1</v>
      </c>
      <c r="Q73" s="15">
        <v>0</v>
      </c>
      <c r="R73" s="15">
        <v>2</v>
      </c>
      <c r="S73" s="15">
        <v>2</v>
      </c>
      <c r="T73" s="15">
        <v>0</v>
      </c>
      <c r="U73" s="15">
        <v>2</v>
      </c>
      <c r="V73" s="15">
        <v>1</v>
      </c>
      <c r="W73" s="15">
        <v>0</v>
      </c>
      <c r="X73" s="13">
        <f t="shared" si="13"/>
        <v>26</v>
      </c>
    </row>
    <row r="74" spans="1:24" ht="12.75" customHeight="1" x14ac:dyDescent="0.3">
      <c r="A74" s="14"/>
      <c r="B74" s="27">
        <v>2</v>
      </c>
      <c r="C74" s="28" t="s">
        <v>63</v>
      </c>
      <c r="D74" s="29"/>
      <c r="E74" s="15">
        <v>0</v>
      </c>
      <c r="F74" s="15">
        <v>0</v>
      </c>
      <c r="G74" s="15">
        <v>0</v>
      </c>
      <c r="H74" s="15">
        <v>0</v>
      </c>
      <c r="I74" s="15">
        <v>2</v>
      </c>
      <c r="J74" s="15">
        <v>0</v>
      </c>
      <c r="K74" s="15">
        <v>0</v>
      </c>
      <c r="L74" s="15">
        <v>2</v>
      </c>
      <c r="M74" s="15">
        <v>0</v>
      </c>
      <c r="N74" s="15">
        <v>0</v>
      </c>
      <c r="O74" s="15">
        <v>0</v>
      </c>
      <c r="P74" s="15">
        <v>0</v>
      </c>
      <c r="Q74" s="15">
        <v>1</v>
      </c>
      <c r="R74" s="15">
        <v>1</v>
      </c>
      <c r="S74" s="15">
        <v>2</v>
      </c>
      <c r="T74" s="15">
        <v>0</v>
      </c>
      <c r="U74" s="15">
        <v>0</v>
      </c>
      <c r="V74" s="15">
        <v>0</v>
      </c>
      <c r="W74" s="15">
        <v>0</v>
      </c>
      <c r="X74" s="13">
        <f t="shared" si="13"/>
        <v>8</v>
      </c>
    </row>
    <row r="75" spans="1:24" ht="12.75" customHeight="1" x14ac:dyDescent="0.3">
      <c r="A75" s="14"/>
      <c r="B75" s="27">
        <v>3</v>
      </c>
      <c r="C75" s="28" t="s">
        <v>64</v>
      </c>
      <c r="D75" s="29"/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1</v>
      </c>
      <c r="M75" s="15">
        <v>1</v>
      </c>
      <c r="N75" s="15">
        <v>1</v>
      </c>
      <c r="O75" s="15">
        <v>0</v>
      </c>
      <c r="P75" s="15">
        <v>0</v>
      </c>
      <c r="Q75" s="15">
        <v>1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1</v>
      </c>
      <c r="X75" s="13">
        <f t="shared" si="13"/>
        <v>5</v>
      </c>
    </row>
    <row r="76" spans="1:24" ht="12.75" customHeight="1" x14ac:dyDescent="0.3">
      <c r="A76" s="14"/>
      <c r="B76" s="27">
        <v>4</v>
      </c>
      <c r="C76" s="28" t="s">
        <v>65</v>
      </c>
      <c r="D76" s="29"/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1</v>
      </c>
      <c r="M76" s="15">
        <v>1</v>
      </c>
      <c r="N76" s="15">
        <v>0</v>
      </c>
      <c r="O76" s="15">
        <v>1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3">
        <f t="shared" si="13"/>
        <v>3</v>
      </c>
    </row>
    <row r="77" spans="1:24" ht="12.75" customHeight="1" x14ac:dyDescent="0.3">
      <c r="A77" s="14"/>
      <c r="B77" s="27">
        <v>5</v>
      </c>
      <c r="C77" s="28" t="s">
        <v>66</v>
      </c>
      <c r="D77" s="29"/>
      <c r="E77" s="15">
        <v>1</v>
      </c>
      <c r="F77" s="15">
        <v>0</v>
      </c>
      <c r="G77" s="15">
        <v>0</v>
      </c>
      <c r="H77" s="15">
        <v>0</v>
      </c>
      <c r="I77" s="15">
        <v>0</v>
      </c>
      <c r="J77" s="15">
        <v>1</v>
      </c>
      <c r="K77" s="15">
        <v>2</v>
      </c>
      <c r="L77" s="15">
        <v>1</v>
      </c>
      <c r="M77" s="15">
        <v>0</v>
      </c>
      <c r="N77" s="15">
        <v>1</v>
      </c>
      <c r="O77" s="15">
        <v>1</v>
      </c>
      <c r="P77" s="15">
        <v>0</v>
      </c>
      <c r="Q77" s="15">
        <v>4</v>
      </c>
      <c r="R77" s="15">
        <v>0</v>
      </c>
      <c r="S77" s="15">
        <v>1</v>
      </c>
      <c r="T77" s="15">
        <v>0</v>
      </c>
      <c r="U77" s="15">
        <v>0</v>
      </c>
      <c r="V77" s="15">
        <v>2</v>
      </c>
      <c r="W77" s="15">
        <v>1</v>
      </c>
      <c r="X77" s="13">
        <f t="shared" si="13"/>
        <v>15</v>
      </c>
    </row>
    <row r="78" spans="1:24" ht="12.75" customHeight="1" x14ac:dyDescent="0.3">
      <c r="A78" s="14"/>
      <c r="B78" s="27">
        <v>6</v>
      </c>
      <c r="C78" s="28" t="s">
        <v>67</v>
      </c>
      <c r="D78" s="29"/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1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1</v>
      </c>
      <c r="W78" s="15">
        <v>0</v>
      </c>
      <c r="X78" s="13">
        <f t="shared" si="13"/>
        <v>2</v>
      </c>
    </row>
    <row r="79" spans="1:24" ht="15" customHeight="1" x14ac:dyDescent="0.3">
      <c r="A79" s="15" t="s">
        <v>15</v>
      </c>
      <c r="B79" s="47" t="s">
        <v>46</v>
      </c>
      <c r="C79" s="48"/>
      <c r="D79" s="49"/>
      <c r="E79" s="34">
        <f t="shared" ref="E79:W79" si="17">SUM(E72:E78)</f>
        <v>3</v>
      </c>
      <c r="F79" s="34">
        <f t="shared" si="17"/>
        <v>3</v>
      </c>
      <c r="G79" s="34">
        <f t="shared" si="17"/>
        <v>4</v>
      </c>
      <c r="H79" s="34">
        <f t="shared" si="17"/>
        <v>4</v>
      </c>
      <c r="I79" s="34">
        <f t="shared" si="17"/>
        <v>4</v>
      </c>
      <c r="J79" s="34">
        <f t="shared" si="17"/>
        <v>1</v>
      </c>
      <c r="K79" s="34">
        <f t="shared" si="17"/>
        <v>4</v>
      </c>
      <c r="L79" s="34">
        <f t="shared" si="17"/>
        <v>12</v>
      </c>
      <c r="M79" s="34">
        <f t="shared" si="17"/>
        <v>3</v>
      </c>
      <c r="N79" s="34">
        <f t="shared" si="17"/>
        <v>3</v>
      </c>
      <c r="O79" s="34">
        <f t="shared" si="17"/>
        <v>6</v>
      </c>
      <c r="P79" s="34">
        <f t="shared" si="17"/>
        <v>4</v>
      </c>
      <c r="Q79" s="34">
        <f t="shared" si="17"/>
        <v>8</v>
      </c>
      <c r="R79" s="34">
        <f t="shared" si="17"/>
        <v>3</v>
      </c>
      <c r="S79" s="34">
        <f t="shared" si="17"/>
        <v>7</v>
      </c>
      <c r="T79" s="34">
        <f t="shared" si="17"/>
        <v>3</v>
      </c>
      <c r="U79" s="34">
        <f t="shared" si="17"/>
        <v>5</v>
      </c>
      <c r="V79" s="34">
        <f t="shared" si="17"/>
        <v>6</v>
      </c>
      <c r="W79" s="34">
        <f t="shared" si="17"/>
        <v>4</v>
      </c>
      <c r="X79" s="13">
        <f t="shared" si="13"/>
        <v>87</v>
      </c>
    </row>
    <row r="80" spans="1:24" ht="12.75" customHeight="1" x14ac:dyDescent="0.3">
      <c r="A80" s="35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13">
        <f t="shared" si="13"/>
        <v>0</v>
      </c>
    </row>
    <row r="81" spans="1:24" ht="12.75" customHeight="1" x14ac:dyDescent="0.3">
      <c r="A81" s="19" t="s">
        <v>37</v>
      </c>
      <c r="B81" s="26" t="s">
        <v>68</v>
      </c>
      <c r="C81" s="50" t="s">
        <v>69</v>
      </c>
      <c r="D81" s="49"/>
      <c r="E81" s="15">
        <v>1</v>
      </c>
      <c r="F81" s="15">
        <v>0</v>
      </c>
      <c r="G81" s="15">
        <v>0</v>
      </c>
      <c r="H81" s="15">
        <v>1</v>
      </c>
      <c r="I81" s="15">
        <v>0</v>
      </c>
      <c r="J81" s="15">
        <v>0</v>
      </c>
      <c r="K81" s="15">
        <v>0</v>
      </c>
      <c r="L81" s="15">
        <v>2</v>
      </c>
      <c r="M81" s="15">
        <v>0</v>
      </c>
      <c r="N81" s="15">
        <v>0</v>
      </c>
      <c r="O81" s="15">
        <v>0</v>
      </c>
      <c r="P81" s="15">
        <v>0</v>
      </c>
      <c r="Q81" s="15">
        <v>1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3">
        <f t="shared" si="13"/>
        <v>5</v>
      </c>
    </row>
    <row r="82" spans="1:24" ht="12.75" customHeight="1" x14ac:dyDescent="0.3">
      <c r="A82" s="19" t="s">
        <v>39</v>
      </c>
      <c r="B82" s="27">
        <v>1</v>
      </c>
      <c r="C82" s="28" t="s">
        <v>70</v>
      </c>
      <c r="D82" s="29"/>
      <c r="E82" s="15">
        <v>0</v>
      </c>
      <c r="F82" s="15">
        <v>0</v>
      </c>
      <c r="G82" s="15">
        <v>2</v>
      </c>
      <c r="H82" s="15">
        <v>1</v>
      </c>
      <c r="I82" s="15">
        <v>4</v>
      </c>
      <c r="J82" s="15">
        <v>3</v>
      </c>
      <c r="K82" s="15">
        <v>0</v>
      </c>
      <c r="L82" s="15">
        <v>7</v>
      </c>
      <c r="M82" s="15">
        <v>0</v>
      </c>
      <c r="N82" s="15">
        <v>0</v>
      </c>
      <c r="O82" s="15">
        <v>0</v>
      </c>
      <c r="P82" s="15">
        <v>0</v>
      </c>
      <c r="Q82" s="15">
        <v>1</v>
      </c>
      <c r="R82" s="15">
        <v>0</v>
      </c>
      <c r="S82" s="15">
        <v>1</v>
      </c>
      <c r="T82" s="15">
        <v>0</v>
      </c>
      <c r="U82" s="15">
        <v>0</v>
      </c>
      <c r="V82" s="15">
        <v>1</v>
      </c>
      <c r="W82" s="15">
        <v>0</v>
      </c>
      <c r="X82" s="13">
        <f t="shared" si="13"/>
        <v>20</v>
      </c>
    </row>
    <row r="83" spans="1:24" ht="12.75" customHeight="1" x14ac:dyDescent="0.3">
      <c r="A83" s="14"/>
      <c r="B83" s="27">
        <v>2</v>
      </c>
      <c r="C83" s="28" t="s">
        <v>71</v>
      </c>
      <c r="D83" s="29"/>
      <c r="E83" s="15">
        <v>0</v>
      </c>
      <c r="F83" s="15">
        <v>0</v>
      </c>
      <c r="G83" s="15">
        <v>1</v>
      </c>
      <c r="H83" s="15">
        <v>0</v>
      </c>
      <c r="I83" s="15">
        <v>0</v>
      </c>
      <c r="J83" s="15">
        <v>1</v>
      </c>
      <c r="K83" s="15">
        <v>0</v>
      </c>
      <c r="L83" s="15">
        <v>1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3">
        <f t="shared" si="13"/>
        <v>3</v>
      </c>
    </row>
    <row r="84" spans="1:24" ht="12.75" customHeight="1" x14ac:dyDescent="0.3">
      <c r="A84" s="14"/>
      <c r="B84" s="27">
        <v>3</v>
      </c>
      <c r="C84" s="28" t="s">
        <v>72</v>
      </c>
      <c r="D84" s="29"/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3">
        <f t="shared" si="13"/>
        <v>0</v>
      </c>
    </row>
    <row r="85" spans="1:24" ht="12.75" customHeight="1" x14ac:dyDescent="0.3">
      <c r="A85" s="14"/>
      <c r="B85" s="27">
        <v>4</v>
      </c>
      <c r="C85" s="28" t="s">
        <v>73</v>
      </c>
      <c r="D85" s="29"/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1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3">
        <f t="shared" si="13"/>
        <v>1</v>
      </c>
    </row>
    <row r="86" spans="1:24" ht="12.75" customHeight="1" x14ac:dyDescent="0.3">
      <c r="A86" s="14"/>
      <c r="B86" s="27">
        <v>5</v>
      </c>
      <c r="C86" s="28" t="s">
        <v>74</v>
      </c>
      <c r="D86" s="29"/>
      <c r="E86" s="15">
        <v>1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2</v>
      </c>
      <c r="V86" s="15">
        <v>0</v>
      </c>
      <c r="W86" s="15">
        <v>0</v>
      </c>
      <c r="X86" s="13">
        <f t="shared" si="13"/>
        <v>3</v>
      </c>
    </row>
    <row r="87" spans="1:24" ht="12.75" customHeight="1" x14ac:dyDescent="0.3">
      <c r="A87" s="14"/>
      <c r="B87" s="27">
        <v>6</v>
      </c>
      <c r="C87" s="28" t="s">
        <v>75</v>
      </c>
      <c r="D87" s="29"/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3">
        <f t="shared" si="13"/>
        <v>0</v>
      </c>
    </row>
    <row r="88" spans="1:24" ht="12.75" customHeight="1" x14ac:dyDescent="0.3">
      <c r="A88" s="15" t="s">
        <v>15</v>
      </c>
      <c r="B88" s="47" t="s">
        <v>46</v>
      </c>
      <c r="C88" s="48"/>
      <c r="D88" s="49"/>
      <c r="E88" s="34">
        <f t="shared" ref="E88:W88" si="18">SUM(E81:E87)</f>
        <v>2</v>
      </c>
      <c r="F88" s="34">
        <f t="shared" si="18"/>
        <v>0</v>
      </c>
      <c r="G88" s="34">
        <f t="shared" si="18"/>
        <v>3</v>
      </c>
      <c r="H88" s="34">
        <f t="shared" si="18"/>
        <v>2</v>
      </c>
      <c r="I88" s="34">
        <f t="shared" si="18"/>
        <v>4</v>
      </c>
      <c r="J88" s="34">
        <f t="shared" si="18"/>
        <v>4</v>
      </c>
      <c r="K88" s="34">
        <f t="shared" si="18"/>
        <v>0</v>
      </c>
      <c r="L88" s="34">
        <f t="shared" si="18"/>
        <v>10</v>
      </c>
      <c r="M88" s="34">
        <f t="shared" si="18"/>
        <v>0</v>
      </c>
      <c r="N88" s="34">
        <f t="shared" si="18"/>
        <v>1</v>
      </c>
      <c r="O88" s="34">
        <f t="shared" si="18"/>
        <v>0</v>
      </c>
      <c r="P88" s="34">
        <f t="shared" si="18"/>
        <v>0</v>
      </c>
      <c r="Q88" s="34">
        <f t="shared" si="18"/>
        <v>2</v>
      </c>
      <c r="R88" s="34">
        <f t="shared" si="18"/>
        <v>0</v>
      </c>
      <c r="S88" s="34">
        <f t="shared" si="18"/>
        <v>1</v>
      </c>
      <c r="T88" s="34">
        <f t="shared" si="18"/>
        <v>0</v>
      </c>
      <c r="U88" s="34">
        <f t="shared" si="18"/>
        <v>2</v>
      </c>
      <c r="V88" s="34">
        <f t="shared" si="18"/>
        <v>1</v>
      </c>
      <c r="W88" s="34">
        <f t="shared" si="18"/>
        <v>0</v>
      </c>
      <c r="X88" s="13">
        <f t="shared" si="13"/>
        <v>32</v>
      </c>
    </row>
    <row r="89" spans="1:24" ht="12.75" customHeight="1" x14ac:dyDescent="0.3">
      <c r="A89" s="35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13">
        <f t="shared" si="13"/>
        <v>0</v>
      </c>
    </row>
    <row r="90" spans="1:24" ht="12.75" customHeight="1" x14ac:dyDescent="0.3">
      <c r="A90" s="19" t="s">
        <v>37</v>
      </c>
      <c r="B90" s="26" t="s">
        <v>76</v>
      </c>
      <c r="C90" s="50" t="s">
        <v>77</v>
      </c>
      <c r="D90" s="49"/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1</v>
      </c>
      <c r="T90" s="15">
        <v>0</v>
      </c>
      <c r="U90" s="15">
        <v>2</v>
      </c>
      <c r="V90" s="15">
        <v>2</v>
      </c>
      <c r="W90" s="15">
        <v>4</v>
      </c>
      <c r="X90" s="13">
        <f t="shared" si="13"/>
        <v>9</v>
      </c>
    </row>
    <row r="91" spans="1:24" ht="15" customHeight="1" x14ac:dyDescent="0.3">
      <c r="A91" s="19"/>
      <c r="B91" s="27">
        <v>1</v>
      </c>
      <c r="C91" s="28" t="s">
        <v>78</v>
      </c>
      <c r="D91" s="37"/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2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3">
        <f t="shared" si="13"/>
        <v>2</v>
      </c>
    </row>
    <row r="92" spans="1:24" ht="12.75" customHeight="1" x14ac:dyDescent="0.3">
      <c r="A92" s="19"/>
      <c r="B92" s="27">
        <v>2</v>
      </c>
      <c r="C92" s="28" t="s">
        <v>79</v>
      </c>
      <c r="D92" s="37"/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3">
        <f t="shared" si="13"/>
        <v>0</v>
      </c>
    </row>
    <row r="93" spans="1:24" ht="12.75" customHeight="1" x14ac:dyDescent="0.3">
      <c r="A93" s="19" t="s">
        <v>39</v>
      </c>
      <c r="B93" s="27">
        <v>3</v>
      </c>
      <c r="C93" s="28" t="s">
        <v>80</v>
      </c>
      <c r="D93" s="37"/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3">
        <f t="shared" si="13"/>
        <v>0</v>
      </c>
    </row>
    <row r="94" spans="1:24" ht="12.75" customHeight="1" x14ac:dyDescent="0.3">
      <c r="A94" s="15" t="s">
        <v>15</v>
      </c>
      <c r="B94" s="47" t="s">
        <v>46</v>
      </c>
      <c r="C94" s="48"/>
      <c r="D94" s="49"/>
      <c r="E94" s="34">
        <f t="shared" ref="E94:W94" si="19">SUM(E90:E93)</f>
        <v>0</v>
      </c>
      <c r="F94" s="34">
        <f t="shared" si="19"/>
        <v>0</v>
      </c>
      <c r="G94" s="34">
        <f t="shared" si="19"/>
        <v>0</v>
      </c>
      <c r="H94" s="34">
        <f t="shared" si="19"/>
        <v>0</v>
      </c>
      <c r="I94" s="34">
        <f t="shared" si="19"/>
        <v>0</v>
      </c>
      <c r="J94" s="34">
        <f t="shared" si="19"/>
        <v>2</v>
      </c>
      <c r="K94" s="34">
        <f t="shared" si="19"/>
        <v>0</v>
      </c>
      <c r="L94" s="34">
        <f t="shared" si="19"/>
        <v>0</v>
      </c>
      <c r="M94" s="34">
        <f t="shared" si="19"/>
        <v>0</v>
      </c>
      <c r="N94" s="34">
        <f t="shared" si="19"/>
        <v>0</v>
      </c>
      <c r="O94" s="34">
        <f t="shared" si="19"/>
        <v>0</v>
      </c>
      <c r="P94" s="34">
        <f t="shared" si="19"/>
        <v>0</v>
      </c>
      <c r="Q94" s="34">
        <f t="shared" si="19"/>
        <v>0</v>
      </c>
      <c r="R94" s="34">
        <f t="shared" si="19"/>
        <v>0</v>
      </c>
      <c r="S94" s="34">
        <f t="shared" si="19"/>
        <v>1</v>
      </c>
      <c r="T94" s="34">
        <f t="shared" si="19"/>
        <v>0</v>
      </c>
      <c r="U94" s="34">
        <f t="shared" si="19"/>
        <v>2</v>
      </c>
      <c r="V94" s="34">
        <f t="shared" si="19"/>
        <v>2</v>
      </c>
      <c r="W94" s="34">
        <f t="shared" si="19"/>
        <v>4</v>
      </c>
      <c r="X94" s="13">
        <f t="shared" si="13"/>
        <v>11</v>
      </c>
    </row>
    <row r="95" spans="1:24" ht="12.75" customHeight="1" x14ac:dyDescent="0.3">
      <c r="A95" s="35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13">
        <f t="shared" si="13"/>
        <v>0</v>
      </c>
    </row>
    <row r="96" spans="1:24" ht="12.75" customHeight="1" x14ac:dyDescent="0.3">
      <c r="A96" s="19" t="s">
        <v>37</v>
      </c>
      <c r="B96" s="26" t="s">
        <v>81</v>
      </c>
      <c r="C96" s="50" t="s">
        <v>82</v>
      </c>
      <c r="D96" s="49"/>
      <c r="E96" s="15">
        <v>0</v>
      </c>
      <c r="F96" s="15">
        <v>1</v>
      </c>
      <c r="G96" s="15">
        <v>0</v>
      </c>
      <c r="H96" s="15">
        <v>0</v>
      </c>
      <c r="I96" s="15">
        <v>0</v>
      </c>
      <c r="J96" s="15">
        <v>0</v>
      </c>
      <c r="K96" s="15">
        <v>1</v>
      </c>
      <c r="L96" s="15">
        <v>1</v>
      </c>
      <c r="M96" s="15">
        <v>0</v>
      </c>
      <c r="N96" s="15">
        <v>0</v>
      </c>
      <c r="O96" s="15">
        <v>0</v>
      </c>
      <c r="P96" s="15">
        <v>1</v>
      </c>
      <c r="Q96" s="15">
        <v>1</v>
      </c>
      <c r="R96" s="15">
        <v>1</v>
      </c>
      <c r="S96" s="15">
        <v>0</v>
      </c>
      <c r="T96" s="15">
        <v>1</v>
      </c>
      <c r="U96" s="15">
        <v>0</v>
      </c>
      <c r="V96" s="15">
        <v>0</v>
      </c>
      <c r="W96" s="15">
        <v>0</v>
      </c>
      <c r="X96" s="13">
        <f t="shared" si="13"/>
        <v>7</v>
      </c>
    </row>
    <row r="97" spans="1:24" ht="12.75" customHeight="1" x14ac:dyDescent="0.3">
      <c r="A97" s="19" t="s">
        <v>39</v>
      </c>
      <c r="B97" s="27">
        <v>1</v>
      </c>
      <c r="C97" s="28" t="s">
        <v>83</v>
      </c>
      <c r="D97" s="29"/>
      <c r="E97" s="15">
        <v>0</v>
      </c>
      <c r="F97" s="15">
        <v>0</v>
      </c>
      <c r="G97" s="15">
        <v>0</v>
      </c>
      <c r="H97" s="15">
        <v>1</v>
      </c>
      <c r="I97" s="15">
        <v>1</v>
      </c>
      <c r="J97" s="15">
        <v>0</v>
      </c>
      <c r="K97" s="15">
        <v>1</v>
      </c>
      <c r="L97" s="15">
        <v>0</v>
      </c>
      <c r="M97" s="15">
        <v>0</v>
      </c>
      <c r="N97" s="15">
        <v>1</v>
      </c>
      <c r="O97" s="15">
        <v>0</v>
      </c>
      <c r="P97" s="15">
        <v>1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3">
        <f t="shared" si="13"/>
        <v>5</v>
      </c>
    </row>
    <row r="98" spans="1:24" ht="12.75" customHeight="1" x14ac:dyDescent="0.3">
      <c r="A98" s="19"/>
      <c r="B98" s="27">
        <v>2</v>
      </c>
      <c r="C98" s="28" t="s">
        <v>84</v>
      </c>
      <c r="D98" s="29"/>
      <c r="E98" s="15">
        <v>0</v>
      </c>
      <c r="F98" s="15">
        <v>0</v>
      </c>
      <c r="G98" s="15">
        <v>0</v>
      </c>
      <c r="H98" s="15">
        <v>0</v>
      </c>
      <c r="I98" s="15">
        <v>1</v>
      </c>
      <c r="J98" s="15">
        <v>0</v>
      </c>
      <c r="K98" s="15">
        <v>1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3">
        <f t="shared" si="13"/>
        <v>2</v>
      </c>
    </row>
    <row r="99" spans="1:24" ht="12.75" customHeight="1" x14ac:dyDescent="0.3">
      <c r="A99" s="15" t="s">
        <v>15</v>
      </c>
      <c r="B99" s="47" t="s">
        <v>46</v>
      </c>
      <c r="C99" s="48"/>
      <c r="D99" s="49"/>
      <c r="E99" s="34">
        <f t="shared" ref="E99:W99" si="20">SUM(E96:E98)</f>
        <v>0</v>
      </c>
      <c r="F99" s="34">
        <f t="shared" si="20"/>
        <v>1</v>
      </c>
      <c r="G99" s="34">
        <f t="shared" si="20"/>
        <v>0</v>
      </c>
      <c r="H99" s="34">
        <f t="shared" si="20"/>
        <v>1</v>
      </c>
      <c r="I99" s="34">
        <f t="shared" si="20"/>
        <v>2</v>
      </c>
      <c r="J99" s="34">
        <f t="shared" si="20"/>
        <v>0</v>
      </c>
      <c r="K99" s="34">
        <f t="shared" si="20"/>
        <v>3</v>
      </c>
      <c r="L99" s="34">
        <f t="shared" si="20"/>
        <v>1</v>
      </c>
      <c r="M99" s="34">
        <f t="shared" si="20"/>
        <v>0</v>
      </c>
      <c r="N99" s="34">
        <f t="shared" si="20"/>
        <v>1</v>
      </c>
      <c r="O99" s="34">
        <f t="shared" si="20"/>
        <v>0</v>
      </c>
      <c r="P99" s="34">
        <f t="shared" si="20"/>
        <v>2</v>
      </c>
      <c r="Q99" s="34">
        <f t="shared" si="20"/>
        <v>1</v>
      </c>
      <c r="R99" s="34">
        <f t="shared" si="20"/>
        <v>1</v>
      </c>
      <c r="S99" s="34">
        <f t="shared" si="20"/>
        <v>0</v>
      </c>
      <c r="T99" s="34">
        <f t="shared" si="20"/>
        <v>1</v>
      </c>
      <c r="U99" s="34">
        <f t="shared" si="20"/>
        <v>0</v>
      </c>
      <c r="V99" s="34">
        <f t="shared" si="20"/>
        <v>0</v>
      </c>
      <c r="W99" s="34">
        <f t="shared" si="20"/>
        <v>0</v>
      </c>
      <c r="X99" s="13">
        <f t="shared" si="13"/>
        <v>14</v>
      </c>
    </row>
    <row r="100" spans="1:24" ht="12.75" customHeight="1" x14ac:dyDescent="0.3">
      <c r="A100" s="35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13">
        <f t="shared" si="13"/>
        <v>0</v>
      </c>
    </row>
    <row r="101" spans="1:24" ht="12.75" customHeight="1" x14ac:dyDescent="0.3">
      <c r="A101" s="19" t="s">
        <v>37</v>
      </c>
      <c r="B101" s="26" t="s">
        <v>85</v>
      </c>
      <c r="C101" s="50" t="s">
        <v>86</v>
      </c>
      <c r="D101" s="49"/>
      <c r="E101" s="15">
        <v>1</v>
      </c>
      <c r="F101" s="15">
        <v>2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3</v>
      </c>
      <c r="M101" s="15">
        <v>0</v>
      </c>
      <c r="N101" s="15">
        <v>2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3">
        <f t="shared" si="13"/>
        <v>8</v>
      </c>
    </row>
    <row r="102" spans="1:24" ht="12.75" customHeight="1" x14ac:dyDescent="0.3">
      <c r="A102" s="19" t="s">
        <v>39</v>
      </c>
      <c r="B102" s="27">
        <v>1</v>
      </c>
      <c r="C102" s="28" t="s">
        <v>87</v>
      </c>
      <c r="D102" s="29"/>
      <c r="E102" s="15">
        <v>4</v>
      </c>
      <c r="F102" s="15">
        <v>0</v>
      </c>
      <c r="G102" s="15">
        <v>3</v>
      </c>
      <c r="H102" s="15">
        <v>0</v>
      </c>
      <c r="I102" s="15">
        <v>0</v>
      </c>
      <c r="J102" s="15">
        <v>0</v>
      </c>
      <c r="K102" s="15">
        <v>0</v>
      </c>
      <c r="L102" s="15">
        <v>1</v>
      </c>
      <c r="M102" s="15">
        <v>1</v>
      </c>
      <c r="N102" s="15">
        <v>1</v>
      </c>
      <c r="O102" s="15">
        <v>0</v>
      </c>
      <c r="P102" s="15">
        <v>0</v>
      </c>
      <c r="Q102" s="15">
        <v>1</v>
      </c>
      <c r="R102" s="15">
        <v>0</v>
      </c>
      <c r="S102" s="15">
        <v>0</v>
      </c>
      <c r="T102" s="15">
        <v>0</v>
      </c>
      <c r="U102" s="15">
        <v>0</v>
      </c>
      <c r="V102" s="15">
        <v>1</v>
      </c>
      <c r="W102" s="15">
        <v>1</v>
      </c>
      <c r="X102" s="13">
        <f t="shared" si="13"/>
        <v>13</v>
      </c>
    </row>
    <row r="103" spans="1:24" ht="15" customHeight="1" x14ac:dyDescent="0.3">
      <c r="A103" s="14"/>
      <c r="B103" s="27">
        <v>2</v>
      </c>
      <c r="C103" s="28" t="s">
        <v>88</v>
      </c>
      <c r="D103" s="29"/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3">
        <f t="shared" si="13"/>
        <v>0</v>
      </c>
    </row>
    <row r="104" spans="1:24" ht="12.75" customHeight="1" x14ac:dyDescent="0.3">
      <c r="A104" s="14"/>
      <c r="B104" s="27">
        <v>3</v>
      </c>
      <c r="C104" s="28" t="s">
        <v>89</v>
      </c>
      <c r="D104" s="29"/>
      <c r="E104" s="15">
        <v>1</v>
      </c>
      <c r="F104" s="15">
        <v>0</v>
      </c>
      <c r="G104" s="15">
        <v>0</v>
      </c>
      <c r="H104" s="15">
        <v>0</v>
      </c>
      <c r="I104" s="15">
        <v>1</v>
      </c>
      <c r="J104" s="15">
        <v>2</v>
      </c>
      <c r="K104" s="15">
        <v>3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3">
        <f t="shared" si="13"/>
        <v>7</v>
      </c>
    </row>
    <row r="105" spans="1:24" ht="12.75" customHeight="1" x14ac:dyDescent="0.3">
      <c r="A105" s="14"/>
      <c r="B105" s="27">
        <v>4</v>
      </c>
      <c r="C105" s="28" t="s">
        <v>90</v>
      </c>
      <c r="D105" s="29"/>
      <c r="E105" s="15">
        <v>0</v>
      </c>
      <c r="F105" s="15">
        <v>0</v>
      </c>
      <c r="G105" s="15">
        <v>0</v>
      </c>
      <c r="H105" s="15">
        <v>0</v>
      </c>
      <c r="I105" s="15">
        <v>1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1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3">
        <f t="shared" si="13"/>
        <v>2</v>
      </c>
    </row>
    <row r="106" spans="1:24" ht="12.75" customHeight="1" x14ac:dyDescent="0.3">
      <c r="A106" s="14"/>
      <c r="B106" s="27">
        <v>5</v>
      </c>
      <c r="C106" s="28" t="s">
        <v>91</v>
      </c>
      <c r="D106" s="29"/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3">
        <f t="shared" si="13"/>
        <v>0</v>
      </c>
    </row>
    <row r="107" spans="1:24" ht="12.75" customHeight="1" x14ac:dyDescent="0.3">
      <c r="A107" s="14"/>
      <c r="B107" s="27">
        <v>6</v>
      </c>
      <c r="C107" s="28" t="s">
        <v>92</v>
      </c>
      <c r="D107" s="29"/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3">
        <f t="shared" si="13"/>
        <v>0</v>
      </c>
    </row>
    <row r="108" spans="1:24" ht="12.75" customHeight="1" x14ac:dyDescent="0.3">
      <c r="A108" s="15" t="s">
        <v>15</v>
      </c>
      <c r="B108" s="47" t="s">
        <v>46</v>
      </c>
      <c r="C108" s="48"/>
      <c r="D108" s="49"/>
      <c r="E108" s="34">
        <f t="shared" ref="E108:W108" si="21">SUM(E101:E107)</f>
        <v>6</v>
      </c>
      <c r="F108" s="34">
        <f t="shared" si="21"/>
        <v>2</v>
      </c>
      <c r="G108" s="34">
        <f t="shared" si="21"/>
        <v>3</v>
      </c>
      <c r="H108" s="34">
        <f t="shared" si="21"/>
        <v>0</v>
      </c>
      <c r="I108" s="34">
        <f t="shared" si="21"/>
        <v>2</v>
      </c>
      <c r="J108" s="34">
        <f t="shared" si="21"/>
        <v>2</v>
      </c>
      <c r="K108" s="34">
        <f t="shared" si="21"/>
        <v>3</v>
      </c>
      <c r="L108" s="34">
        <f t="shared" si="21"/>
        <v>4</v>
      </c>
      <c r="M108" s="34">
        <f t="shared" si="21"/>
        <v>1</v>
      </c>
      <c r="N108" s="34">
        <f t="shared" si="21"/>
        <v>3</v>
      </c>
      <c r="O108" s="34">
        <f t="shared" si="21"/>
        <v>0</v>
      </c>
      <c r="P108" s="34">
        <f t="shared" si="21"/>
        <v>0</v>
      </c>
      <c r="Q108" s="34">
        <f t="shared" si="21"/>
        <v>1</v>
      </c>
      <c r="R108" s="34">
        <f t="shared" si="21"/>
        <v>1</v>
      </c>
      <c r="S108" s="34">
        <f t="shared" si="21"/>
        <v>0</v>
      </c>
      <c r="T108" s="34">
        <f t="shared" si="21"/>
        <v>0</v>
      </c>
      <c r="U108" s="34">
        <f t="shared" si="21"/>
        <v>0</v>
      </c>
      <c r="V108" s="34">
        <f t="shared" si="21"/>
        <v>1</v>
      </c>
      <c r="W108" s="34">
        <f t="shared" si="21"/>
        <v>1</v>
      </c>
      <c r="X108" s="13">
        <f t="shared" si="13"/>
        <v>30</v>
      </c>
    </row>
    <row r="109" spans="1:24" ht="12.75" customHeight="1" x14ac:dyDescent="0.3">
      <c r="A109" s="35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13">
        <f t="shared" si="13"/>
        <v>0</v>
      </c>
    </row>
    <row r="110" spans="1:24" ht="12.75" customHeight="1" x14ac:dyDescent="0.3">
      <c r="A110" s="19" t="s">
        <v>37</v>
      </c>
      <c r="B110" s="26" t="s">
        <v>93</v>
      </c>
      <c r="C110" s="50" t="s">
        <v>94</v>
      </c>
      <c r="D110" s="49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3">
        <f t="shared" si="13"/>
        <v>0</v>
      </c>
    </row>
    <row r="111" spans="1:24" ht="12.75" customHeight="1" x14ac:dyDescent="0.3">
      <c r="A111" s="19"/>
      <c r="B111" s="26">
        <v>1</v>
      </c>
      <c r="C111" s="28" t="s">
        <v>95</v>
      </c>
      <c r="D111" s="37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3">
        <f t="shared" si="13"/>
        <v>0</v>
      </c>
    </row>
    <row r="112" spans="1:24" ht="12.75" customHeight="1" x14ac:dyDescent="0.3">
      <c r="A112" s="19"/>
      <c r="B112" s="26">
        <v>2</v>
      </c>
      <c r="C112" s="28" t="s">
        <v>96</v>
      </c>
      <c r="D112" s="37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3">
        <f t="shared" si="13"/>
        <v>0</v>
      </c>
    </row>
    <row r="113" spans="1:26" ht="12.75" customHeight="1" x14ac:dyDescent="0.3">
      <c r="A113" s="19"/>
      <c r="B113" s="26">
        <v>3</v>
      </c>
      <c r="C113" s="28" t="s">
        <v>97</v>
      </c>
      <c r="D113" s="37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3">
        <f t="shared" si="13"/>
        <v>0</v>
      </c>
    </row>
    <row r="114" spans="1:26" ht="12.75" customHeight="1" x14ac:dyDescent="0.3">
      <c r="A114" s="19" t="s">
        <v>39</v>
      </c>
      <c r="B114" s="27">
        <v>4</v>
      </c>
      <c r="C114" s="28" t="s">
        <v>98</v>
      </c>
      <c r="D114" s="29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3">
        <f t="shared" si="13"/>
        <v>0</v>
      </c>
    </row>
    <row r="115" spans="1:26" ht="12.75" customHeight="1" x14ac:dyDescent="0.3">
      <c r="A115" s="15" t="s">
        <v>15</v>
      </c>
      <c r="B115" s="47" t="s">
        <v>46</v>
      </c>
      <c r="C115" s="48"/>
      <c r="D115" s="49"/>
      <c r="E115" s="34">
        <f t="shared" ref="E115:W115" si="22">SUM(E110:E114)</f>
        <v>0</v>
      </c>
      <c r="F115" s="34">
        <f t="shared" si="22"/>
        <v>0</v>
      </c>
      <c r="G115" s="34">
        <f t="shared" si="22"/>
        <v>0</v>
      </c>
      <c r="H115" s="34">
        <f t="shared" si="22"/>
        <v>0</v>
      </c>
      <c r="I115" s="34">
        <f t="shared" si="22"/>
        <v>0</v>
      </c>
      <c r="J115" s="34">
        <f t="shared" si="22"/>
        <v>0</v>
      </c>
      <c r="K115" s="34">
        <f t="shared" si="22"/>
        <v>0</v>
      </c>
      <c r="L115" s="34">
        <f t="shared" si="22"/>
        <v>0</v>
      </c>
      <c r="M115" s="34">
        <f t="shared" si="22"/>
        <v>0</v>
      </c>
      <c r="N115" s="34">
        <f t="shared" si="22"/>
        <v>0</v>
      </c>
      <c r="O115" s="34">
        <f t="shared" si="22"/>
        <v>0</v>
      </c>
      <c r="P115" s="34">
        <f t="shared" si="22"/>
        <v>0</v>
      </c>
      <c r="Q115" s="34">
        <f t="shared" si="22"/>
        <v>0</v>
      </c>
      <c r="R115" s="34">
        <f t="shared" si="22"/>
        <v>0</v>
      </c>
      <c r="S115" s="34">
        <f t="shared" si="22"/>
        <v>0</v>
      </c>
      <c r="T115" s="34">
        <f t="shared" si="22"/>
        <v>0</v>
      </c>
      <c r="U115" s="34">
        <f t="shared" si="22"/>
        <v>0</v>
      </c>
      <c r="V115" s="34">
        <f t="shared" si="22"/>
        <v>0</v>
      </c>
      <c r="W115" s="34">
        <f t="shared" si="22"/>
        <v>0</v>
      </c>
      <c r="X115" s="13">
        <f t="shared" si="13"/>
        <v>0</v>
      </c>
    </row>
    <row r="116" spans="1:26" ht="12.75" customHeight="1" x14ac:dyDescent="0.3">
      <c r="A116" s="35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13">
        <f t="shared" si="13"/>
        <v>0</v>
      </c>
    </row>
    <row r="117" spans="1:26" ht="12.75" customHeight="1" x14ac:dyDescent="0.3">
      <c r="A117" s="19" t="s">
        <v>37</v>
      </c>
      <c r="B117" s="26" t="s">
        <v>99</v>
      </c>
      <c r="C117" s="50" t="s">
        <v>100</v>
      </c>
      <c r="D117" s="49"/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1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/>
      <c r="U117" s="15"/>
      <c r="V117" s="15"/>
      <c r="W117" s="15"/>
      <c r="X117" s="13">
        <f t="shared" si="13"/>
        <v>1</v>
      </c>
      <c r="Y117" s="5"/>
      <c r="Z117" s="5"/>
    </row>
    <row r="118" spans="1:26" ht="12.75" customHeight="1" x14ac:dyDescent="0.3">
      <c r="A118" s="19" t="s">
        <v>39</v>
      </c>
      <c r="B118" s="27">
        <v>1</v>
      </c>
      <c r="C118" s="28" t="s">
        <v>101</v>
      </c>
      <c r="D118" s="29"/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1</v>
      </c>
      <c r="P118" s="15">
        <v>0</v>
      </c>
      <c r="Q118" s="15">
        <v>0</v>
      </c>
      <c r="R118" s="15">
        <v>0</v>
      </c>
      <c r="S118" s="15">
        <v>0</v>
      </c>
      <c r="T118" s="15"/>
      <c r="U118" s="15"/>
      <c r="V118" s="15"/>
      <c r="W118" s="15"/>
      <c r="X118" s="13">
        <f t="shared" si="13"/>
        <v>1</v>
      </c>
      <c r="Y118" s="5"/>
      <c r="Z118" s="5"/>
    </row>
    <row r="119" spans="1:26" ht="12.75" customHeight="1" x14ac:dyDescent="0.3">
      <c r="A119" s="14"/>
      <c r="B119" s="27">
        <v>2</v>
      </c>
      <c r="C119" s="28" t="s">
        <v>102</v>
      </c>
      <c r="D119" s="29"/>
      <c r="E119" s="15">
        <v>0</v>
      </c>
      <c r="F119" s="15">
        <v>1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/>
      <c r="U119" s="15"/>
      <c r="V119" s="15"/>
      <c r="W119" s="15"/>
      <c r="X119" s="13">
        <f t="shared" si="13"/>
        <v>1</v>
      </c>
      <c r="Y119" s="5"/>
      <c r="Z119" s="5"/>
    </row>
    <row r="120" spans="1:26" ht="12.75" customHeight="1" x14ac:dyDescent="0.3">
      <c r="A120" s="14"/>
      <c r="B120" s="27">
        <v>3</v>
      </c>
      <c r="C120" s="28" t="s">
        <v>103</v>
      </c>
      <c r="D120" s="29"/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/>
      <c r="U120" s="15"/>
      <c r="V120" s="15"/>
      <c r="W120" s="15"/>
      <c r="X120" s="13">
        <f t="shared" si="13"/>
        <v>0</v>
      </c>
      <c r="Y120" s="5"/>
      <c r="Z120" s="5"/>
    </row>
    <row r="121" spans="1:26" ht="12.75" customHeight="1" x14ac:dyDescent="0.3">
      <c r="A121" s="14"/>
      <c r="B121" s="27">
        <v>4</v>
      </c>
      <c r="C121" s="28" t="s">
        <v>104</v>
      </c>
      <c r="D121" s="29"/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/>
      <c r="U121" s="15"/>
      <c r="V121" s="15"/>
      <c r="W121" s="15"/>
      <c r="X121" s="13">
        <f t="shared" si="13"/>
        <v>0</v>
      </c>
      <c r="Y121" s="5"/>
      <c r="Z121" s="5"/>
    </row>
    <row r="122" spans="1:26" ht="12.75" customHeight="1" x14ac:dyDescent="0.3">
      <c r="A122" s="14"/>
      <c r="B122" s="27">
        <v>5</v>
      </c>
      <c r="C122" s="28" t="s">
        <v>105</v>
      </c>
      <c r="D122" s="29"/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/>
      <c r="U122" s="15"/>
      <c r="V122" s="15"/>
      <c r="W122" s="15"/>
      <c r="X122" s="13">
        <f t="shared" si="13"/>
        <v>0</v>
      </c>
      <c r="Y122" s="5"/>
      <c r="Z122" s="5"/>
    </row>
    <row r="123" spans="1:26" ht="12.75" customHeight="1" x14ac:dyDescent="0.3">
      <c r="A123" s="14"/>
      <c r="B123" s="27">
        <v>6</v>
      </c>
      <c r="C123" s="28" t="s">
        <v>106</v>
      </c>
      <c r="D123" s="29"/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1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/>
      <c r="U123" s="15"/>
      <c r="V123" s="15"/>
      <c r="W123" s="15"/>
      <c r="X123" s="13">
        <f t="shared" si="13"/>
        <v>1</v>
      </c>
      <c r="Y123" s="5"/>
      <c r="Z123" s="5"/>
    </row>
    <row r="124" spans="1:26" ht="12.75" customHeight="1" x14ac:dyDescent="0.3">
      <c r="A124" s="15" t="s">
        <v>15</v>
      </c>
      <c r="B124" s="47" t="s">
        <v>46</v>
      </c>
      <c r="C124" s="48"/>
      <c r="D124" s="49"/>
      <c r="E124" s="34">
        <f t="shared" ref="E124:W124" si="23">SUM(E117:E123)</f>
        <v>0</v>
      </c>
      <c r="F124" s="34">
        <f t="shared" si="23"/>
        <v>1</v>
      </c>
      <c r="G124" s="34">
        <f t="shared" si="23"/>
        <v>0</v>
      </c>
      <c r="H124" s="34">
        <f t="shared" si="23"/>
        <v>0</v>
      </c>
      <c r="I124" s="34">
        <f t="shared" si="23"/>
        <v>0</v>
      </c>
      <c r="J124" s="34">
        <f t="shared" si="23"/>
        <v>1</v>
      </c>
      <c r="K124" s="34">
        <f t="shared" si="23"/>
        <v>0</v>
      </c>
      <c r="L124" s="34">
        <f t="shared" si="23"/>
        <v>0</v>
      </c>
      <c r="M124" s="34">
        <f t="shared" si="23"/>
        <v>0</v>
      </c>
      <c r="N124" s="34">
        <f t="shared" si="23"/>
        <v>1</v>
      </c>
      <c r="O124" s="34">
        <f t="shared" si="23"/>
        <v>1</v>
      </c>
      <c r="P124" s="34">
        <f t="shared" si="23"/>
        <v>0</v>
      </c>
      <c r="Q124" s="34">
        <f t="shared" si="23"/>
        <v>0</v>
      </c>
      <c r="R124" s="34">
        <f t="shared" si="23"/>
        <v>0</v>
      </c>
      <c r="S124" s="34">
        <f t="shared" si="23"/>
        <v>0</v>
      </c>
      <c r="T124" s="34">
        <f t="shared" si="23"/>
        <v>0</v>
      </c>
      <c r="U124" s="34">
        <f t="shared" si="23"/>
        <v>0</v>
      </c>
      <c r="V124" s="34">
        <f t="shared" si="23"/>
        <v>0</v>
      </c>
      <c r="W124" s="34">
        <f t="shared" si="23"/>
        <v>0</v>
      </c>
      <c r="X124" s="13">
        <f t="shared" si="13"/>
        <v>4</v>
      </c>
      <c r="Y124" s="5"/>
      <c r="Z124" s="5"/>
    </row>
    <row r="125" spans="1:26" ht="12.75" customHeight="1" x14ac:dyDescent="0.3">
      <c r="A125" s="35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13">
        <f t="shared" si="13"/>
        <v>0</v>
      </c>
      <c r="Y125" s="5"/>
      <c r="Z125" s="5"/>
    </row>
    <row r="126" spans="1:26" ht="12.75" customHeight="1" x14ac:dyDescent="0.3">
      <c r="A126" s="19" t="s">
        <v>37</v>
      </c>
      <c r="B126" s="26" t="s">
        <v>107</v>
      </c>
      <c r="C126" s="50" t="s">
        <v>108</v>
      </c>
      <c r="D126" s="49"/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1</v>
      </c>
      <c r="O126" s="15">
        <v>1</v>
      </c>
      <c r="P126" s="15">
        <v>0</v>
      </c>
      <c r="Q126" s="15">
        <v>0</v>
      </c>
      <c r="R126" s="15">
        <v>0</v>
      </c>
      <c r="S126" s="15">
        <v>0</v>
      </c>
      <c r="T126" s="15"/>
      <c r="U126" s="15"/>
      <c r="V126" s="15"/>
      <c r="W126" s="15"/>
      <c r="X126" s="13">
        <f t="shared" si="13"/>
        <v>2</v>
      </c>
      <c r="Y126" s="5"/>
      <c r="Z126" s="5"/>
    </row>
    <row r="127" spans="1:26" ht="15" customHeight="1" x14ac:dyDescent="0.3">
      <c r="A127" s="19" t="s">
        <v>39</v>
      </c>
      <c r="B127" s="27"/>
      <c r="C127" s="28"/>
      <c r="D127" s="29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3">
        <f t="shared" si="13"/>
        <v>0</v>
      </c>
      <c r="Y127" s="5"/>
      <c r="Z127" s="5"/>
    </row>
    <row r="128" spans="1:26" ht="12.75" customHeight="1" x14ac:dyDescent="0.3">
      <c r="A128" s="15" t="s">
        <v>15</v>
      </c>
      <c r="B128" s="47" t="s">
        <v>46</v>
      </c>
      <c r="C128" s="48"/>
      <c r="D128" s="49"/>
      <c r="E128" s="34">
        <f t="shared" ref="E128:W128" si="24">SUM(E126:E127)</f>
        <v>0</v>
      </c>
      <c r="F128" s="34">
        <f t="shared" si="24"/>
        <v>0</v>
      </c>
      <c r="G128" s="34">
        <f t="shared" si="24"/>
        <v>0</v>
      </c>
      <c r="H128" s="34">
        <f t="shared" si="24"/>
        <v>0</v>
      </c>
      <c r="I128" s="34">
        <f t="shared" si="24"/>
        <v>0</v>
      </c>
      <c r="J128" s="34">
        <f t="shared" si="24"/>
        <v>0</v>
      </c>
      <c r="K128" s="34">
        <f t="shared" si="24"/>
        <v>0</v>
      </c>
      <c r="L128" s="34">
        <f t="shared" si="24"/>
        <v>0</v>
      </c>
      <c r="M128" s="34">
        <f t="shared" si="24"/>
        <v>0</v>
      </c>
      <c r="N128" s="34">
        <f t="shared" si="24"/>
        <v>1</v>
      </c>
      <c r="O128" s="34">
        <f t="shared" si="24"/>
        <v>1</v>
      </c>
      <c r="P128" s="34">
        <f t="shared" si="24"/>
        <v>0</v>
      </c>
      <c r="Q128" s="34">
        <f t="shared" si="24"/>
        <v>0</v>
      </c>
      <c r="R128" s="34">
        <f t="shared" si="24"/>
        <v>0</v>
      </c>
      <c r="S128" s="34">
        <f t="shared" si="24"/>
        <v>0</v>
      </c>
      <c r="T128" s="34">
        <f t="shared" si="24"/>
        <v>0</v>
      </c>
      <c r="U128" s="34">
        <f t="shared" si="24"/>
        <v>0</v>
      </c>
      <c r="V128" s="34">
        <f t="shared" si="24"/>
        <v>0</v>
      </c>
      <c r="W128" s="34">
        <f t="shared" si="24"/>
        <v>0</v>
      </c>
      <c r="X128" s="13">
        <f t="shared" si="13"/>
        <v>2</v>
      </c>
      <c r="Y128" s="5"/>
      <c r="Z128" s="5"/>
    </row>
    <row r="129" spans="1:26" ht="12.75" customHeight="1" x14ac:dyDescent="0.3">
      <c r="A129" s="35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13">
        <f t="shared" si="13"/>
        <v>0</v>
      </c>
      <c r="Y129" s="5"/>
      <c r="Z129" s="5"/>
    </row>
    <row r="130" spans="1:26" ht="12.75" customHeight="1" x14ac:dyDescent="0.3">
      <c r="A130" s="19" t="s">
        <v>37</v>
      </c>
      <c r="B130" s="26" t="s">
        <v>109</v>
      </c>
      <c r="C130" s="50" t="s">
        <v>110</v>
      </c>
      <c r="D130" s="49"/>
      <c r="E130" s="15">
        <v>0</v>
      </c>
      <c r="F130" s="15">
        <v>1</v>
      </c>
      <c r="G130" s="15">
        <v>0</v>
      </c>
      <c r="H130" s="15">
        <v>0</v>
      </c>
      <c r="I130" s="15">
        <v>2</v>
      </c>
      <c r="J130" s="15">
        <v>2</v>
      </c>
      <c r="K130" s="15">
        <v>0</v>
      </c>
      <c r="L130" s="15">
        <v>1</v>
      </c>
      <c r="M130" s="15">
        <v>1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2</v>
      </c>
      <c r="T130" s="15"/>
      <c r="U130" s="15"/>
      <c r="V130" s="15"/>
      <c r="W130" s="15"/>
      <c r="X130" s="13">
        <f t="shared" si="13"/>
        <v>9</v>
      </c>
      <c r="Y130" s="1"/>
      <c r="Z130" s="1"/>
    </row>
    <row r="131" spans="1:26" ht="12.75" customHeight="1" x14ac:dyDescent="0.3">
      <c r="A131" s="19" t="s">
        <v>39</v>
      </c>
      <c r="B131" s="27">
        <v>1</v>
      </c>
      <c r="C131" s="28" t="s">
        <v>111</v>
      </c>
      <c r="D131" s="29"/>
      <c r="E131" s="15">
        <v>3</v>
      </c>
      <c r="F131" s="15">
        <v>2</v>
      </c>
      <c r="G131" s="15">
        <v>3</v>
      </c>
      <c r="H131" s="15">
        <v>1</v>
      </c>
      <c r="I131" s="15">
        <v>2</v>
      </c>
      <c r="J131" s="15">
        <v>1</v>
      </c>
      <c r="K131" s="15">
        <v>2</v>
      </c>
      <c r="L131" s="15">
        <v>0</v>
      </c>
      <c r="M131" s="15">
        <v>1</v>
      </c>
      <c r="N131" s="15">
        <v>0</v>
      </c>
      <c r="O131" s="15">
        <v>3</v>
      </c>
      <c r="P131" s="15">
        <v>0</v>
      </c>
      <c r="Q131" s="15">
        <v>2</v>
      </c>
      <c r="R131" s="15">
        <v>0</v>
      </c>
      <c r="S131" s="15">
        <v>1</v>
      </c>
      <c r="T131" s="15"/>
      <c r="U131" s="15"/>
      <c r="V131" s="15"/>
      <c r="W131" s="15"/>
      <c r="X131" s="13">
        <f t="shared" si="13"/>
        <v>21</v>
      </c>
      <c r="Y131" s="31"/>
      <c r="Z131" s="31"/>
    </row>
    <row r="132" spans="1:26" ht="12.75" customHeight="1" x14ac:dyDescent="0.3">
      <c r="A132" s="14"/>
      <c r="B132" s="27">
        <v>2</v>
      </c>
      <c r="C132" s="28" t="s">
        <v>112</v>
      </c>
      <c r="D132" s="29"/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2</v>
      </c>
      <c r="K132" s="15">
        <v>0</v>
      </c>
      <c r="L132" s="15">
        <v>1</v>
      </c>
      <c r="M132" s="15">
        <v>0</v>
      </c>
      <c r="N132" s="15">
        <v>2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/>
      <c r="U132" s="15"/>
      <c r="V132" s="15"/>
      <c r="W132" s="15"/>
      <c r="X132" s="13">
        <f t="shared" si="13"/>
        <v>5</v>
      </c>
      <c r="Y132" s="5"/>
      <c r="Z132" s="5"/>
    </row>
    <row r="133" spans="1:26" ht="12.75" customHeight="1" x14ac:dyDescent="0.3">
      <c r="A133" s="14"/>
      <c r="B133" s="27">
        <v>3</v>
      </c>
      <c r="C133" s="28" t="s">
        <v>113</v>
      </c>
      <c r="D133" s="29"/>
      <c r="E133" s="15">
        <v>0</v>
      </c>
      <c r="F133" s="15">
        <v>0</v>
      </c>
      <c r="G133" s="15">
        <v>0</v>
      </c>
      <c r="H133" s="15">
        <v>1</v>
      </c>
      <c r="I133" s="15">
        <v>1</v>
      </c>
      <c r="J133" s="15">
        <v>1</v>
      </c>
      <c r="K133" s="15">
        <v>0</v>
      </c>
      <c r="L133" s="15">
        <v>0</v>
      </c>
      <c r="M133" s="15">
        <v>1</v>
      </c>
      <c r="N133" s="15">
        <v>1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/>
      <c r="U133" s="15"/>
      <c r="V133" s="15"/>
      <c r="W133" s="15"/>
      <c r="X133" s="13">
        <f t="shared" si="13"/>
        <v>5</v>
      </c>
      <c r="Y133" s="5"/>
      <c r="Z133" s="5"/>
    </row>
    <row r="134" spans="1:26" ht="12.75" customHeight="1" x14ac:dyDescent="0.3">
      <c r="A134" s="14"/>
      <c r="B134" s="27">
        <v>4</v>
      </c>
      <c r="C134" s="28" t="s">
        <v>114</v>
      </c>
      <c r="D134" s="29"/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/>
      <c r="U134" s="15"/>
      <c r="V134" s="15"/>
      <c r="W134" s="15"/>
      <c r="X134" s="13">
        <f t="shared" si="13"/>
        <v>0</v>
      </c>
      <c r="Y134" s="5"/>
      <c r="Z134" s="5"/>
    </row>
    <row r="135" spans="1:26" ht="12.75" customHeight="1" x14ac:dyDescent="0.3">
      <c r="A135" s="15" t="s">
        <v>15</v>
      </c>
      <c r="B135" s="47" t="s">
        <v>46</v>
      </c>
      <c r="C135" s="48"/>
      <c r="D135" s="49"/>
      <c r="E135" s="34">
        <f t="shared" ref="E135:W135" si="25">SUM(E130:E134)</f>
        <v>3</v>
      </c>
      <c r="F135" s="34">
        <f t="shared" si="25"/>
        <v>3</v>
      </c>
      <c r="G135" s="34">
        <f t="shared" si="25"/>
        <v>3</v>
      </c>
      <c r="H135" s="34">
        <f t="shared" si="25"/>
        <v>2</v>
      </c>
      <c r="I135" s="34">
        <f t="shared" si="25"/>
        <v>5</v>
      </c>
      <c r="J135" s="34">
        <f t="shared" si="25"/>
        <v>6</v>
      </c>
      <c r="K135" s="34">
        <f t="shared" si="25"/>
        <v>2</v>
      </c>
      <c r="L135" s="34">
        <f t="shared" si="25"/>
        <v>2</v>
      </c>
      <c r="M135" s="34">
        <f t="shared" si="25"/>
        <v>3</v>
      </c>
      <c r="N135" s="34">
        <f t="shared" si="25"/>
        <v>3</v>
      </c>
      <c r="O135" s="34">
        <f t="shared" si="25"/>
        <v>3</v>
      </c>
      <c r="P135" s="34">
        <f t="shared" si="25"/>
        <v>0</v>
      </c>
      <c r="Q135" s="34">
        <f t="shared" si="25"/>
        <v>2</v>
      </c>
      <c r="R135" s="34">
        <f t="shared" si="25"/>
        <v>0</v>
      </c>
      <c r="S135" s="34">
        <f t="shared" si="25"/>
        <v>3</v>
      </c>
      <c r="T135" s="34">
        <f t="shared" si="25"/>
        <v>0</v>
      </c>
      <c r="U135" s="34">
        <f t="shared" si="25"/>
        <v>0</v>
      </c>
      <c r="V135" s="34">
        <f t="shared" si="25"/>
        <v>0</v>
      </c>
      <c r="W135" s="34">
        <f t="shared" si="25"/>
        <v>0</v>
      </c>
      <c r="X135" s="13">
        <f t="shared" si="13"/>
        <v>40</v>
      </c>
      <c r="Y135" s="5"/>
      <c r="Z135" s="5"/>
    </row>
    <row r="136" spans="1:26" ht="12.75" customHeight="1" x14ac:dyDescent="0.3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13">
        <f t="shared" si="13"/>
        <v>0</v>
      </c>
      <c r="Y136" s="5"/>
      <c r="Z136" s="5"/>
    </row>
    <row r="137" spans="1:26" ht="12.75" customHeight="1" x14ac:dyDescent="0.3">
      <c r="A137" s="19" t="s">
        <v>37</v>
      </c>
      <c r="B137" s="26" t="s">
        <v>115</v>
      </c>
      <c r="C137" s="50" t="s">
        <v>116</v>
      </c>
      <c r="D137" s="49"/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1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/>
      <c r="U137" s="15"/>
      <c r="V137" s="15"/>
      <c r="W137" s="15">
        <v>1</v>
      </c>
      <c r="X137" s="13">
        <f t="shared" si="13"/>
        <v>2</v>
      </c>
      <c r="Y137" s="5"/>
      <c r="Z137" s="5"/>
    </row>
    <row r="138" spans="1:26" ht="12.75" customHeight="1" x14ac:dyDescent="0.3">
      <c r="A138" s="19" t="s">
        <v>39</v>
      </c>
      <c r="B138" s="27">
        <v>1</v>
      </c>
      <c r="C138" s="28" t="s">
        <v>117</v>
      </c>
      <c r="D138" s="29"/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/>
      <c r="U138" s="15"/>
      <c r="V138" s="15"/>
      <c r="W138" s="15"/>
      <c r="X138" s="13">
        <f t="shared" si="13"/>
        <v>0</v>
      </c>
      <c r="Y138" s="5"/>
      <c r="Z138" s="5"/>
    </row>
    <row r="139" spans="1:26" ht="15" customHeight="1" x14ac:dyDescent="0.3">
      <c r="A139" s="14"/>
      <c r="B139" s="27">
        <v>2</v>
      </c>
      <c r="C139" s="28" t="s">
        <v>118</v>
      </c>
      <c r="D139" s="29"/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/>
      <c r="U139" s="15"/>
      <c r="V139" s="15"/>
      <c r="W139" s="15"/>
      <c r="X139" s="13">
        <f t="shared" si="13"/>
        <v>0</v>
      </c>
      <c r="Y139" s="5"/>
      <c r="Z139" s="5"/>
    </row>
    <row r="140" spans="1:26" ht="12.75" customHeight="1" x14ac:dyDescent="0.3">
      <c r="A140" s="14"/>
      <c r="B140" s="27">
        <v>3</v>
      </c>
      <c r="C140" s="28" t="s">
        <v>119</v>
      </c>
      <c r="D140" s="29"/>
      <c r="E140" s="15">
        <v>0</v>
      </c>
      <c r="F140" s="15">
        <v>0</v>
      </c>
      <c r="G140" s="15">
        <v>0</v>
      </c>
      <c r="H140" s="15">
        <v>1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/>
      <c r="U140" s="15"/>
      <c r="V140" s="15"/>
      <c r="W140" s="15"/>
      <c r="X140" s="13">
        <f t="shared" si="13"/>
        <v>1</v>
      </c>
      <c r="Y140" s="5"/>
      <c r="Z140" s="5"/>
    </row>
    <row r="141" spans="1:26" ht="12.75" customHeight="1" x14ac:dyDescent="0.3">
      <c r="A141" s="14"/>
      <c r="B141" s="27">
        <v>4</v>
      </c>
      <c r="C141" s="28" t="s">
        <v>120</v>
      </c>
      <c r="D141" s="29"/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1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/>
      <c r="U141" s="15"/>
      <c r="V141" s="15"/>
      <c r="W141" s="15"/>
      <c r="X141" s="13">
        <f t="shared" si="13"/>
        <v>1</v>
      </c>
      <c r="Y141" s="1"/>
      <c r="Z141" s="1"/>
    </row>
    <row r="142" spans="1:26" ht="12.75" customHeight="1" x14ac:dyDescent="0.3">
      <c r="A142" s="14"/>
      <c r="B142" s="27">
        <v>5</v>
      </c>
      <c r="C142" s="28" t="s">
        <v>121</v>
      </c>
      <c r="D142" s="29"/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/>
      <c r="U142" s="15"/>
      <c r="V142" s="15"/>
      <c r="W142" s="15"/>
      <c r="X142" s="13">
        <f t="shared" si="13"/>
        <v>0</v>
      </c>
      <c r="Y142" s="31"/>
      <c r="Z142" s="31"/>
    </row>
    <row r="143" spans="1:26" ht="12.75" customHeight="1" x14ac:dyDescent="0.3">
      <c r="A143" s="14"/>
      <c r="B143" s="27">
        <v>6</v>
      </c>
      <c r="C143" s="28" t="s">
        <v>122</v>
      </c>
      <c r="D143" s="29"/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/>
      <c r="U143" s="15"/>
      <c r="V143" s="15"/>
      <c r="W143" s="15"/>
      <c r="X143" s="13">
        <f t="shared" si="13"/>
        <v>0</v>
      </c>
      <c r="Y143" s="5"/>
      <c r="Z143" s="5"/>
    </row>
    <row r="144" spans="1:26" ht="12.75" customHeight="1" x14ac:dyDescent="0.3">
      <c r="A144" s="15" t="s">
        <v>15</v>
      </c>
      <c r="B144" s="47" t="s">
        <v>46</v>
      </c>
      <c r="C144" s="48"/>
      <c r="D144" s="49"/>
      <c r="E144" s="34">
        <f t="shared" ref="E144:W144" si="26">SUM(E137:E143)</f>
        <v>0</v>
      </c>
      <c r="F144" s="34">
        <f t="shared" si="26"/>
        <v>0</v>
      </c>
      <c r="G144" s="34">
        <f t="shared" si="26"/>
        <v>0</v>
      </c>
      <c r="H144" s="34">
        <f t="shared" si="26"/>
        <v>1</v>
      </c>
      <c r="I144" s="34">
        <f t="shared" si="26"/>
        <v>0</v>
      </c>
      <c r="J144" s="34">
        <f t="shared" si="26"/>
        <v>0</v>
      </c>
      <c r="K144" s="34">
        <f t="shared" si="26"/>
        <v>1</v>
      </c>
      <c r="L144" s="34">
        <f t="shared" si="26"/>
        <v>0</v>
      </c>
      <c r="M144" s="34">
        <f t="shared" si="26"/>
        <v>1</v>
      </c>
      <c r="N144" s="34">
        <f t="shared" si="26"/>
        <v>0</v>
      </c>
      <c r="O144" s="34">
        <f t="shared" si="26"/>
        <v>0</v>
      </c>
      <c r="P144" s="34">
        <f t="shared" si="26"/>
        <v>0</v>
      </c>
      <c r="Q144" s="34">
        <f t="shared" si="26"/>
        <v>0</v>
      </c>
      <c r="R144" s="34">
        <f t="shared" si="26"/>
        <v>0</v>
      </c>
      <c r="S144" s="34">
        <f t="shared" si="26"/>
        <v>0</v>
      </c>
      <c r="T144" s="34">
        <f t="shared" si="26"/>
        <v>0</v>
      </c>
      <c r="U144" s="34">
        <f t="shared" si="26"/>
        <v>0</v>
      </c>
      <c r="V144" s="34">
        <f t="shared" si="26"/>
        <v>0</v>
      </c>
      <c r="W144" s="34">
        <f t="shared" si="26"/>
        <v>1</v>
      </c>
      <c r="X144" s="13">
        <f t="shared" si="13"/>
        <v>4</v>
      </c>
      <c r="Y144" s="5"/>
      <c r="Z144" s="5"/>
    </row>
    <row r="145" spans="1:26" ht="12.75" customHeight="1" x14ac:dyDescent="0.3">
      <c r="A145" s="35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13">
        <f t="shared" si="13"/>
        <v>0</v>
      </c>
      <c r="Y145" s="5"/>
      <c r="Z145" s="5"/>
    </row>
    <row r="146" spans="1:26" ht="12.75" customHeight="1" x14ac:dyDescent="0.3">
      <c r="A146" s="19" t="s">
        <v>37</v>
      </c>
      <c r="B146" s="26" t="s">
        <v>123</v>
      </c>
      <c r="C146" s="50" t="s">
        <v>124</v>
      </c>
      <c r="D146" s="49"/>
      <c r="E146" s="15">
        <v>2</v>
      </c>
      <c r="F146" s="15">
        <v>3</v>
      </c>
      <c r="G146" s="15">
        <v>2</v>
      </c>
      <c r="H146" s="15">
        <v>6</v>
      </c>
      <c r="I146" s="15">
        <v>2</v>
      </c>
      <c r="J146" s="15">
        <v>1</v>
      </c>
      <c r="K146" s="15">
        <v>3</v>
      </c>
      <c r="L146" s="15">
        <v>7</v>
      </c>
      <c r="M146" s="15">
        <v>1</v>
      </c>
      <c r="N146" s="15">
        <v>2</v>
      </c>
      <c r="O146" s="15">
        <v>4</v>
      </c>
      <c r="P146" s="15">
        <v>1</v>
      </c>
      <c r="Q146" s="15">
        <v>2</v>
      </c>
      <c r="R146" s="15">
        <v>2</v>
      </c>
      <c r="S146" s="15">
        <v>2</v>
      </c>
      <c r="T146" s="15">
        <v>4</v>
      </c>
      <c r="U146" s="15">
        <v>4</v>
      </c>
      <c r="V146" s="15">
        <v>2</v>
      </c>
      <c r="W146" s="15">
        <v>8</v>
      </c>
      <c r="X146" s="13">
        <f t="shared" si="13"/>
        <v>58</v>
      </c>
      <c r="Y146" s="5"/>
      <c r="Z146" s="5"/>
    </row>
    <row r="147" spans="1:26" ht="12.75" customHeight="1" x14ac:dyDescent="0.3">
      <c r="A147" s="19" t="s">
        <v>39</v>
      </c>
      <c r="B147" s="27">
        <v>1</v>
      </c>
      <c r="C147" s="28" t="s">
        <v>125</v>
      </c>
      <c r="D147" s="29"/>
      <c r="E147" s="15">
        <v>34</v>
      </c>
      <c r="F147" s="15">
        <v>16</v>
      </c>
      <c r="G147" s="15">
        <v>46</v>
      </c>
      <c r="H147" s="15">
        <v>105</v>
      </c>
      <c r="I147" s="15">
        <v>18</v>
      </c>
      <c r="J147" s="15">
        <v>8</v>
      </c>
      <c r="K147" s="15">
        <v>16</v>
      </c>
      <c r="L147" s="15">
        <v>13</v>
      </c>
      <c r="M147" s="15">
        <v>23</v>
      </c>
      <c r="N147" s="15">
        <v>8</v>
      </c>
      <c r="O147" s="15">
        <v>5</v>
      </c>
      <c r="P147" s="15">
        <v>2</v>
      </c>
      <c r="Q147" s="15">
        <v>5</v>
      </c>
      <c r="R147" s="15">
        <v>1</v>
      </c>
      <c r="S147" s="15">
        <v>6</v>
      </c>
      <c r="T147" s="15">
        <v>28</v>
      </c>
      <c r="U147" s="15">
        <v>8</v>
      </c>
      <c r="V147" s="15">
        <v>1</v>
      </c>
      <c r="W147" s="15">
        <v>0</v>
      </c>
      <c r="X147" s="13">
        <f t="shared" si="13"/>
        <v>343</v>
      </c>
      <c r="Y147" s="5"/>
      <c r="Z147" s="5"/>
    </row>
    <row r="148" spans="1:26" ht="12.75" customHeight="1" x14ac:dyDescent="0.3">
      <c r="A148" s="14"/>
      <c r="B148" s="27">
        <v>2</v>
      </c>
      <c r="C148" s="28" t="s">
        <v>126</v>
      </c>
      <c r="D148" s="29"/>
      <c r="E148" s="15">
        <v>0</v>
      </c>
      <c r="F148" s="15">
        <v>0</v>
      </c>
      <c r="G148" s="15">
        <v>1</v>
      </c>
      <c r="H148" s="15">
        <v>1</v>
      </c>
      <c r="I148" s="15">
        <v>0</v>
      </c>
      <c r="J148" s="15">
        <v>0</v>
      </c>
      <c r="K148" s="15">
        <v>0</v>
      </c>
      <c r="L148" s="15">
        <v>0</v>
      </c>
      <c r="M148" s="15">
        <v>1</v>
      </c>
      <c r="N148" s="15">
        <v>1</v>
      </c>
      <c r="O148" s="15">
        <v>0</v>
      </c>
      <c r="P148" s="15">
        <v>0</v>
      </c>
      <c r="Q148" s="15">
        <v>0</v>
      </c>
      <c r="R148" s="15">
        <v>0</v>
      </c>
      <c r="S148" s="15">
        <v>2</v>
      </c>
      <c r="T148" s="15">
        <v>2</v>
      </c>
      <c r="U148" s="15">
        <v>1</v>
      </c>
      <c r="V148" s="15">
        <v>0</v>
      </c>
      <c r="W148" s="15">
        <v>1</v>
      </c>
      <c r="X148" s="13">
        <f t="shared" si="13"/>
        <v>10</v>
      </c>
      <c r="Y148" s="5"/>
      <c r="Z148" s="5"/>
    </row>
    <row r="149" spans="1:26" ht="12.75" customHeight="1" x14ac:dyDescent="0.3">
      <c r="A149" s="14"/>
      <c r="B149" s="27">
        <v>3</v>
      </c>
      <c r="C149" s="28" t="s">
        <v>127</v>
      </c>
      <c r="D149" s="29"/>
      <c r="E149" s="15">
        <v>0</v>
      </c>
      <c r="F149" s="15">
        <v>0</v>
      </c>
      <c r="G149" s="15">
        <v>2</v>
      </c>
      <c r="H149" s="15">
        <v>0</v>
      </c>
      <c r="I149" s="15">
        <v>1</v>
      </c>
      <c r="J149" s="15">
        <v>0</v>
      </c>
      <c r="K149" s="15">
        <v>0</v>
      </c>
      <c r="L149" s="15">
        <v>0</v>
      </c>
      <c r="M149" s="15">
        <v>0</v>
      </c>
      <c r="N149" s="15">
        <v>1</v>
      </c>
      <c r="O149" s="15">
        <v>1</v>
      </c>
      <c r="P149" s="15">
        <v>0</v>
      </c>
      <c r="Q149" s="15">
        <v>0</v>
      </c>
      <c r="R149" s="15">
        <v>0</v>
      </c>
      <c r="S149" s="15">
        <v>0</v>
      </c>
      <c r="T149" s="15">
        <v>6</v>
      </c>
      <c r="U149" s="15">
        <v>0</v>
      </c>
      <c r="V149" s="15">
        <v>0</v>
      </c>
      <c r="W149" s="15">
        <v>0</v>
      </c>
      <c r="X149" s="13">
        <f t="shared" si="13"/>
        <v>11</v>
      </c>
      <c r="Y149" s="5"/>
      <c r="Z149" s="5"/>
    </row>
    <row r="150" spans="1:26" ht="12.75" customHeight="1" x14ac:dyDescent="0.3">
      <c r="A150" s="14"/>
      <c r="B150" s="27">
        <v>4</v>
      </c>
      <c r="C150" s="28" t="s">
        <v>128</v>
      </c>
      <c r="D150" s="29"/>
      <c r="E150" s="15">
        <v>1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1</v>
      </c>
      <c r="V150" s="15">
        <v>0</v>
      </c>
      <c r="W150" s="15">
        <v>2</v>
      </c>
      <c r="X150" s="13">
        <f t="shared" si="13"/>
        <v>4</v>
      </c>
      <c r="Y150" s="5"/>
      <c r="Z150" s="5"/>
    </row>
    <row r="151" spans="1:26" ht="12.75" customHeight="1" x14ac:dyDescent="0.3">
      <c r="A151" s="14"/>
      <c r="B151" s="27">
        <v>5</v>
      </c>
      <c r="C151" s="28" t="s">
        <v>129</v>
      </c>
      <c r="D151" s="29"/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1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1</v>
      </c>
      <c r="V151" s="15">
        <v>0</v>
      </c>
      <c r="W151" s="15">
        <v>1</v>
      </c>
      <c r="X151" s="13">
        <f t="shared" si="13"/>
        <v>3</v>
      </c>
      <c r="Y151" s="1"/>
      <c r="Z151" s="1"/>
    </row>
    <row r="152" spans="1:26" ht="12.75" customHeight="1" x14ac:dyDescent="0.3">
      <c r="A152" s="14"/>
      <c r="B152" s="27">
        <v>6</v>
      </c>
      <c r="C152" s="28" t="s">
        <v>130</v>
      </c>
      <c r="D152" s="29"/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2</v>
      </c>
      <c r="N152" s="15">
        <v>4</v>
      </c>
      <c r="O152" s="15">
        <v>2</v>
      </c>
      <c r="P152" s="15">
        <v>0</v>
      </c>
      <c r="Q152" s="15">
        <v>2</v>
      </c>
      <c r="R152" s="15">
        <v>3</v>
      </c>
      <c r="S152" s="15">
        <v>10</v>
      </c>
      <c r="T152" s="15">
        <v>23</v>
      </c>
      <c r="U152" s="15">
        <v>9</v>
      </c>
      <c r="V152" s="15">
        <v>23</v>
      </c>
      <c r="W152" s="15">
        <v>57</v>
      </c>
      <c r="X152" s="13">
        <f t="shared" si="13"/>
        <v>135</v>
      </c>
      <c r="Y152" s="31"/>
      <c r="Z152" s="31"/>
    </row>
    <row r="153" spans="1:26" ht="12.75" customHeight="1" x14ac:dyDescent="0.3">
      <c r="A153" s="15" t="s">
        <v>15</v>
      </c>
      <c r="B153" s="47" t="s">
        <v>46</v>
      </c>
      <c r="C153" s="48"/>
      <c r="D153" s="49"/>
      <c r="E153" s="34">
        <f t="shared" ref="E153:W153" si="27">SUM(E146:E152)</f>
        <v>37</v>
      </c>
      <c r="F153" s="34">
        <f t="shared" si="27"/>
        <v>19</v>
      </c>
      <c r="G153" s="34">
        <f t="shared" si="27"/>
        <v>51</v>
      </c>
      <c r="H153" s="34">
        <f t="shared" si="27"/>
        <v>112</v>
      </c>
      <c r="I153" s="34">
        <f t="shared" si="27"/>
        <v>21</v>
      </c>
      <c r="J153" s="34">
        <f t="shared" si="27"/>
        <v>9</v>
      </c>
      <c r="K153" s="34">
        <f t="shared" si="27"/>
        <v>19</v>
      </c>
      <c r="L153" s="34">
        <f t="shared" si="27"/>
        <v>20</v>
      </c>
      <c r="M153" s="34">
        <f t="shared" si="27"/>
        <v>27</v>
      </c>
      <c r="N153" s="34">
        <f t="shared" si="27"/>
        <v>17</v>
      </c>
      <c r="O153" s="34">
        <f t="shared" si="27"/>
        <v>12</v>
      </c>
      <c r="P153" s="34">
        <f t="shared" si="27"/>
        <v>3</v>
      </c>
      <c r="Q153" s="34">
        <f t="shared" si="27"/>
        <v>9</v>
      </c>
      <c r="R153" s="34">
        <f t="shared" si="27"/>
        <v>6</v>
      </c>
      <c r="S153" s="34">
        <f t="shared" si="27"/>
        <v>20</v>
      </c>
      <c r="T153" s="34">
        <f t="shared" si="27"/>
        <v>63</v>
      </c>
      <c r="U153" s="34">
        <f t="shared" si="27"/>
        <v>24</v>
      </c>
      <c r="V153" s="34">
        <f t="shared" si="27"/>
        <v>26</v>
      </c>
      <c r="W153" s="34">
        <f t="shared" si="27"/>
        <v>69</v>
      </c>
      <c r="X153" s="13">
        <f t="shared" si="13"/>
        <v>564</v>
      </c>
      <c r="Y153" s="5"/>
      <c r="Z153" s="5"/>
    </row>
    <row r="154" spans="1:26" ht="12.75" customHeight="1" x14ac:dyDescent="0.3">
      <c r="A154" s="35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13">
        <f t="shared" si="13"/>
        <v>0</v>
      </c>
      <c r="Y154" s="5"/>
      <c r="Z154" s="5"/>
    </row>
    <row r="155" spans="1:26" ht="12.75" customHeight="1" x14ac:dyDescent="0.3">
      <c r="A155" s="19" t="s">
        <v>37</v>
      </c>
      <c r="B155" s="26" t="s">
        <v>131</v>
      </c>
      <c r="C155" s="50" t="s">
        <v>132</v>
      </c>
      <c r="D155" s="49"/>
      <c r="E155" s="15">
        <v>2</v>
      </c>
      <c r="F155" s="15">
        <v>0</v>
      </c>
      <c r="G155" s="15">
        <v>1</v>
      </c>
      <c r="H155" s="15">
        <v>1</v>
      </c>
      <c r="I155" s="15">
        <v>2</v>
      </c>
      <c r="J155" s="15">
        <v>0</v>
      </c>
      <c r="K155" s="15">
        <v>1</v>
      </c>
      <c r="L155" s="15">
        <v>1</v>
      </c>
      <c r="M155" s="15">
        <v>3</v>
      </c>
      <c r="N155" s="15">
        <v>0</v>
      </c>
      <c r="O155" s="15">
        <v>0</v>
      </c>
      <c r="P155" s="15">
        <v>0</v>
      </c>
      <c r="Q155" s="15">
        <v>4</v>
      </c>
      <c r="R155" s="15">
        <v>1</v>
      </c>
      <c r="S155" s="15">
        <v>1</v>
      </c>
      <c r="T155" s="15">
        <v>2</v>
      </c>
      <c r="U155" s="15">
        <v>1</v>
      </c>
      <c r="V155" s="15"/>
      <c r="W155" s="15">
        <v>2</v>
      </c>
      <c r="X155" s="13">
        <f t="shared" si="13"/>
        <v>22</v>
      </c>
      <c r="Y155" s="5"/>
      <c r="Z155" s="5"/>
    </row>
    <row r="156" spans="1:26" ht="12.75" customHeight="1" x14ac:dyDescent="0.3">
      <c r="A156" s="19" t="s">
        <v>39</v>
      </c>
      <c r="B156" s="27"/>
      <c r="C156" s="28" t="s">
        <v>133</v>
      </c>
      <c r="D156" s="29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3">
        <f t="shared" si="13"/>
        <v>0</v>
      </c>
      <c r="Y156" s="5"/>
      <c r="Z156" s="5"/>
    </row>
    <row r="157" spans="1:26" ht="12.75" customHeight="1" x14ac:dyDescent="0.3">
      <c r="A157" s="15" t="s">
        <v>15</v>
      </c>
      <c r="B157" s="47" t="s">
        <v>46</v>
      </c>
      <c r="C157" s="48"/>
      <c r="D157" s="49"/>
      <c r="E157" s="34">
        <f t="shared" ref="E157:W157" si="28">SUM(E155:E156)</f>
        <v>2</v>
      </c>
      <c r="F157" s="34">
        <f t="shared" si="28"/>
        <v>0</v>
      </c>
      <c r="G157" s="34">
        <f t="shared" si="28"/>
        <v>1</v>
      </c>
      <c r="H157" s="34">
        <f t="shared" si="28"/>
        <v>1</v>
      </c>
      <c r="I157" s="34">
        <f t="shared" si="28"/>
        <v>2</v>
      </c>
      <c r="J157" s="34">
        <f t="shared" si="28"/>
        <v>0</v>
      </c>
      <c r="K157" s="34">
        <f t="shared" si="28"/>
        <v>1</v>
      </c>
      <c r="L157" s="34">
        <f t="shared" si="28"/>
        <v>1</v>
      </c>
      <c r="M157" s="34">
        <f t="shared" si="28"/>
        <v>3</v>
      </c>
      <c r="N157" s="34">
        <f t="shared" si="28"/>
        <v>0</v>
      </c>
      <c r="O157" s="34">
        <f t="shared" si="28"/>
        <v>0</v>
      </c>
      <c r="P157" s="34">
        <f t="shared" si="28"/>
        <v>0</v>
      </c>
      <c r="Q157" s="34">
        <f t="shared" si="28"/>
        <v>4</v>
      </c>
      <c r="R157" s="34">
        <f t="shared" si="28"/>
        <v>1</v>
      </c>
      <c r="S157" s="34">
        <f t="shared" si="28"/>
        <v>1</v>
      </c>
      <c r="T157" s="34">
        <f t="shared" si="28"/>
        <v>2</v>
      </c>
      <c r="U157" s="34">
        <f t="shared" si="28"/>
        <v>1</v>
      </c>
      <c r="V157" s="34">
        <f t="shared" si="28"/>
        <v>0</v>
      </c>
      <c r="W157" s="34">
        <f t="shared" si="28"/>
        <v>2</v>
      </c>
      <c r="X157" s="13">
        <f t="shared" si="13"/>
        <v>22</v>
      </c>
      <c r="Y157" s="5"/>
      <c r="Z157" s="5"/>
    </row>
    <row r="158" spans="1:26" ht="12.75" customHeight="1" x14ac:dyDescent="0.3">
      <c r="A158" s="35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13">
        <f t="shared" si="13"/>
        <v>0</v>
      </c>
      <c r="Y158" s="5"/>
      <c r="Z158" s="5"/>
    </row>
    <row r="159" spans="1:26" ht="12.75" customHeight="1" x14ac:dyDescent="0.3">
      <c r="A159" s="19" t="s">
        <v>37</v>
      </c>
      <c r="B159" s="26" t="s">
        <v>134</v>
      </c>
      <c r="C159" s="50" t="s">
        <v>135</v>
      </c>
      <c r="D159" s="49"/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1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2</v>
      </c>
      <c r="T159" s="15">
        <v>1</v>
      </c>
      <c r="U159" s="15">
        <v>0</v>
      </c>
      <c r="V159" s="15">
        <v>0</v>
      </c>
      <c r="W159" s="15">
        <v>0</v>
      </c>
      <c r="X159" s="13">
        <f t="shared" si="13"/>
        <v>4</v>
      </c>
      <c r="Y159" s="5"/>
      <c r="Z159" s="5"/>
    </row>
    <row r="160" spans="1:26" ht="12.75" customHeight="1" x14ac:dyDescent="0.3">
      <c r="A160" s="19"/>
      <c r="B160" s="27">
        <v>1</v>
      </c>
      <c r="C160" s="28" t="s">
        <v>136</v>
      </c>
      <c r="D160" s="37"/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3">
        <f t="shared" si="13"/>
        <v>0</v>
      </c>
      <c r="Y160" s="5"/>
      <c r="Z160" s="5"/>
    </row>
    <row r="161" spans="1:26" ht="12.75" customHeight="1" x14ac:dyDescent="0.3">
      <c r="A161" s="19"/>
      <c r="B161" s="27">
        <v>2</v>
      </c>
      <c r="C161" s="28" t="s">
        <v>137</v>
      </c>
      <c r="D161" s="37"/>
      <c r="E161" s="15">
        <v>1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2</v>
      </c>
      <c r="L161" s="15">
        <v>0</v>
      </c>
      <c r="M161" s="15">
        <v>1</v>
      </c>
      <c r="N161" s="15">
        <v>0</v>
      </c>
      <c r="O161" s="15">
        <v>0</v>
      </c>
      <c r="P161" s="15">
        <v>0</v>
      </c>
      <c r="Q161" s="15">
        <v>0</v>
      </c>
      <c r="R161" s="15">
        <v>1</v>
      </c>
      <c r="S161" s="15">
        <v>0</v>
      </c>
      <c r="T161" s="15">
        <v>0</v>
      </c>
      <c r="U161" s="15">
        <v>1</v>
      </c>
      <c r="V161" s="15">
        <v>0</v>
      </c>
      <c r="W161" s="15">
        <v>0</v>
      </c>
      <c r="X161" s="13">
        <f t="shared" si="13"/>
        <v>6</v>
      </c>
      <c r="Y161" s="5"/>
      <c r="Z161" s="5"/>
    </row>
    <row r="162" spans="1:26" ht="12.75" customHeight="1" x14ac:dyDescent="0.3">
      <c r="A162" s="19" t="s">
        <v>39</v>
      </c>
      <c r="B162" s="27">
        <v>3</v>
      </c>
      <c r="C162" s="28" t="s">
        <v>138</v>
      </c>
      <c r="D162" s="37"/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1</v>
      </c>
      <c r="W162" s="15">
        <v>0</v>
      </c>
      <c r="X162" s="13">
        <f t="shared" si="13"/>
        <v>1</v>
      </c>
      <c r="Y162" s="5"/>
      <c r="Z162" s="5"/>
    </row>
    <row r="163" spans="1:26" ht="15" customHeight="1" x14ac:dyDescent="0.3">
      <c r="A163" s="15" t="s">
        <v>15</v>
      </c>
      <c r="B163" s="47" t="s">
        <v>46</v>
      </c>
      <c r="C163" s="48"/>
      <c r="D163" s="49"/>
      <c r="E163" s="34">
        <f t="shared" ref="E163:W163" si="29">SUM(E159:E162)</f>
        <v>1</v>
      </c>
      <c r="F163" s="34">
        <f t="shared" si="29"/>
        <v>0</v>
      </c>
      <c r="G163" s="34">
        <f t="shared" si="29"/>
        <v>0</v>
      </c>
      <c r="H163" s="34">
        <f t="shared" si="29"/>
        <v>0</v>
      </c>
      <c r="I163" s="34">
        <f t="shared" si="29"/>
        <v>0</v>
      </c>
      <c r="J163" s="34">
        <f t="shared" si="29"/>
        <v>0</v>
      </c>
      <c r="K163" s="34">
        <f t="shared" si="29"/>
        <v>2</v>
      </c>
      <c r="L163" s="34">
        <f t="shared" si="29"/>
        <v>0</v>
      </c>
      <c r="M163" s="34">
        <f t="shared" si="29"/>
        <v>2</v>
      </c>
      <c r="N163" s="34">
        <f t="shared" si="29"/>
        <v>0</v>
      </c>
      <c r="O163" s="34">
        <f t="shared" si="29"/>
        <v>0</v>
      </c>
      <c r="P163" s="34">
        <f t="shared" si="29"/>
        <v>0</v>
      </c>
      <c r="Q163" s="34">
        <f t="shared" si="29"/>
        <v>0</v>
      </c>
      <c r="R163" s="34">
        <f t="shared" si="29"/>
        <v>1</v>
      </c>
      <c r="S163" s="34">
        <f t="shared" si="29"/>
        <v>2</v>
      </c>
      <c r="T163" s="34">
        <f t="shared" si="29"/>
        <v>1</v>
      </c>
      <c r="U163" s="34">
        <f t="shared" si="29"/>
        <v>1</v>
      </c>
      <c r="V163" s="34">
        <f t="shared" si="29"/>
        <v>1</v>
      </c>
      <c r="W163" s="34">
        <f t="shared" si="29"/>
        <v>0</v>
      </c>
      <c r="X163" s="13">
        <f t="shared" si="13"/>
        <v>11</v>
      </c>
      <c r="Y163" s="5"/>
      <c r="Z163" s="5"/>
    </row>
    <row r="164" spans="1:26" ht="12.75" customHeight="1" x14ac:dyDescent="0.3">
      <c r="A164" s="35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13">
        <f t="shared" si="13"/>
        <v>0</v>
      </c>
      <c r="Y164" s="5"/>
      <c r="Z164" s="5"/>
    </row>
    <row r="165" spans="1:26" ht="12.75" customHeight="1" x14ac:dyDescent="0.3">
      <c r="A165" s="19" t="s">
        <v>37</v>
      </c>
      <c r="B165" s="26" t="s">
        <v>139</v>
      </c>
      <c r="C165" s="50" t="s">
        <v>140</v>
      </c>
      <c r="D165" s="49"/>
      <c r="E165" s="15">
        <v>5</v>
      </c>
      <c r="F165" s="15">
        <v>11</v>
      </c>
      <c r="G165" s="15">
        <v>1</v>
      </c>
      <c r="H165" s="15">
        <v>1</v>
      </c>
      <c r="I165" s="15">
        <v>2</v>
      </c>
      <c r="J165" s="15">
        <v>0</v>
      </c>
      <c r="K165" s="15">
        <v>0</v>
      </c>
      <c r="L165" s="15">
        <v>2</v>
      </c>
      <c r="M165" s="15">
        <v>0</v>
      </c>
      <c r="N165" s="15">
        <v>3</v>
      </c>
      <c r="O165" s="15">
        <v>1</v>
      </c>
      <c r="P165" s="15">
        <v>1</v>
      </c>
      <c r="Q165" s="15">
        <v>0</v>
      </c>
      <c r="R165" s="15">
        <v>0</v>
      </c>
      <c r="S165" s="15">
        <v>3</v>
      </c>
      <c r="T165" s="15">
        <v>0</v>
      </c>
      <c r="U165" s="15">
        <v>1</v>
      </c>
      <c r="V165" s="15">
        <v>0</v>
      </c>
      <c r="W165" s="15">
        <v>1</v>
      </c>
      <c r="X165" s="13">
        <f t="shared" si="13"/>
        <v>32</v>
      </c>
      <c r="Y165" s="1"/>
      <c r="Z165" s="1"/>
    </row>
    <row r="166" spans="1:26" ht="12.75" customHeight="1" x14ac:dyDescent="0.3">
      <c r="A166" s="19" t="s">
        <v>39</v>
      </c>
      <c r="B166" s="27">
        <v>1</v>
      </c>
      <c r="C166" s="28" t="s">
        <v>141</v>
      </c>
      <c r="D166" s="29"/>
      <c r="E166" s="15">
        <v>27</v>
      </c>
      <c r="F166" s="15">
        <v>32</v>
      </c>
      <c r="G166" s="15">
        <v>15</v>
      </c>
      <c r="H166" s="15">
        <v>6</v>
      </c>
      <c r="I166" s="15">
        <v>5</v>
      </c>
      <c r="J166" s="15">
        <v>20</v>
      </c>
      <c r="K166" s="15">
        <v>5</v>
      </c>
      <c r="L166" s="15">
        <v>5</v>
      </c>
      <c r="M166" s="15">
        <v>11</v>
      </c>
      <c r="N166" s="15">
        <v>8</v>
      </c>
      <c r="O166" s="15">
        <v>7</v>
      </c>
      <c r="P166" s="15">
        <v>0</v>
      </c>
      <c r="Q166" s="15">
        <v>7</v>
      </c>
      <c r="R166" s="15">
        <v>4</v>
      </c>
      <c r="S166" s="15">
        <v>8</v>
      </c>
      <c r="T166" s="15">
        <v>3</v>
      </c>
      <c r="U166" s="15">
        <v>5</v>
      </c>
      <c r="V166" s="15">
        <v>4</v>
      </c>
      <c r="W166" s="15">
        <v>1</v>
      </c>
      <c r="X166" s="13">
        <f t="shared" si="13"/>
        <v>173</v>
      </c>
      <c r="Y166" s="31"/>
      <c r="Z166" s="31"/>
    </row>
    <row r="167" spans="1:26" ht="12.75" customHeight="1" x14ac:dyDescent="0.3">
      <c r="A167" s="14"/>
      <c r="B167" s="27">
        <v>2</v>
      </c>
      <c r="C167" s="28" t="s">
        <v>142</v>
      </c>
      <c r="D167" s="29"/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1</v>
      </c>
      <c r="M167" s="15">
        <v>0</v>
      </c>
      <c r="N167" s="15">
        <v>0</v>
      </c>
      <c r="O167" s="15">
        <v>1</v>
      </c>
      <c r="P167" s="15">
        <v>0</v>
      </c>
      <c r="Q167" s="15">
        <v>0</v>
      </c>
      <c r="R167" s="15">
        <v>0</v>
      </c>
      <c r="S167" s="15">
        <v>1</v>
      </c>
      <c r="T167" s="15">
        <v>3</v>
      </c>
      <c r="U167" s="15">
        <v>0</v>
      </c>
      <c r="V167" s="15">
        <v>1</v>
      </c>
      <c r="W167" s="15">
        <v>22</v>
      </c>
      <c r="X167" s="13">
        <f t="shared" si="13"/>
        <v>29</v>
      </c>
      <c r="Y167" s="5"/>
      <c r="Z167" s="5"/>
    </row>
    <row r="168" spans="1:26" ht="12.75" customHeight="1" x14ac:dyDescent="0.3">
      <c r="A168" s="14"/>
      <c r="B168" s="27">
        <v>3</v>
      </c>
      <c r="C168" s="28" t="s">
        <v>143</v>
      </c>
      <c r="D168" s="29"/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1</v>
      </c>
      <c r="T168" s="15">
        <v>0</v>
      </c>
      <c r="U168" s="15">
        <v>0</v>
      </c>
      <c r="V168" s="15">
        <v>0</v>
      </c>
      <c r="W168" s="15">
        <v>0</v>
      </c>
      <c r="X168" s="13">
        <f t="shared" si="13"/>
        <v>1</v>
      </c>
      <c r="Y168" s="5"/>
      <c r="Z168" s="5"/>
    </row>
    <row r="169" spans="1:26" ht="12.75" customHeight="1" x14ac:dyDescent="0.3">
      <c r="A169" s="14"/>
      <c r="B169" s="27">
        <v>4</v>
      </c>
      <c r="C169" s="28" t="s">
        <v>144</v>
      </c>
      <c r="D169" s="29"/>
      <c r="E169" s="15">
        <v>0</v>
      </c>
      <c r="F169" s="15">
        <v>1</v>
      </c>
      <c r="G169" s="15">
        <v>0</v>
      </c>
      <c r="H169" s="15">
        <v>0</v>
      </c>
      <c r="I169" s="15">
        <v>0</v>
      </c>
      <c r="J169" s="15">
        <v>0</v>
      </c>
      <c r="K169" s="15">
        <v>1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1</v>
      </c>
      <c r="W169" s="15">
        <v>0</v>
      </c>
      <c r="X169" s="13">
        <f t="shared" si="13"/>
        <v>3</v>
      </c>
      <c r="Y169" s="5"/>
      <c r="Z169" s="5"/>
    </row>
    <row r="170" spans="1:26" ht="12.75" customHeight="1" x14ac:dyDescent="0.3">
      <c r="A170" s="14"/>
      <c r="B170" s="27">
        <v>5</v>
      </c>
      <c r="C170" s="28" t="s">
        <v>145</v>
      </c>
      <c r="D170" s="29"/>
      <c r="E170" s="15">
        <v>1</v>
      </c>
      <c r="F170" s="15">
        <v>0</v>
      </c>
      <c r="G170" s="15">
        <v>1</v>
      </c>
      <c r="H170" s="15">
        <v>0</v>
      </c>
      <c r="I170" s="15">
        <v>0</v>
      </c>
      <c r="J170" s="15">
        <v>0</v>
      </c>
      <c r="K170" s="15">
        <v>1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3">
        <f t="shared" si="13"/>
        <v>3</v>
      </c>
      <c r="Y170" s="5"/>
      <c r="Z170" s="5"/>
    </row>
    <row r="171" spans="1:26" ht="12.75" customHeight="1" x14ac:dyDescent="0.3">
      <c r="A171" s="14"/>
      <c r="B171" s="27">
        <v>6</v>
      </c>
      <c r="C171" s="28" t="s">
        <v>146</v>
      </c>
      <c r="D171" s="29"/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1</v>
      </c>
      <c r="V171" s="15">
        <v>0</v>
      </c>
      <c r="W171" s="15">
        <v>0</v>
      </c>
      <c r="X171" s="13">
        <f t="shared" si="13"/>
        <v>1</v>
      </c>
      <c r="Y171" s="5"/>
      <c r="Z171" s="5"/>
    </row>
    <row r="172" spans="1:26" ht="12.75" customHeight="1" x14ac:dyDescent="0.3">
      <c r="A172" s="15" t="s">
        <v>15</v>
      </c>
      <c r="B172" s="47" t="s">
        <v>46</v>
      </c>
      <c r="C172" s="48"/>
      <c r="D172" s="49"/>
      <c r="E172" s="46">
        <f t="shared" ref="E172:W172" si="30">SUM(E165:E171)</f>
        <v>33</v>
      </c>
      <c r="F172" s="46">
        <f t="shared" si="30"/>
        <v>44</v>
      </c>
      <c r="G172" s="46">
        <f t="shared" si="30"/>
        <v>17</v>
      </c>
      <c r="H172" s="46">
        <f t="shared" si="30"/>
        <v>7</v>
      </c>
      <c r="I172" s="46">
        <f t="shared" si="30"/>
        <v>7</v>
      </c>
      <c r="J172" s="46">
        <f t="shared" si="30"/>
        <v>20</v>
      </c>
      <c r="K172" s="46">
        <f t="shared" si="30"/>
        <v>7</v>
      </c>
      <c r="L172" s="46">
        <f t="shared" si="30"/>
        <v>8</v>
      </c>
      <c r="M172" s="46">
        <f t="shared" si="30"/>
        <v>11</v>
      </c>
      <c r="N172" s="46">
        <f t="shared" si="30"/>
        <v>11</v>
      </c>
      <c r="O172" s="46">
        <f t="shared" si="30"/>
        <v>9</v>
      </c>
      <c r="P172" s="46">
        <f t="shared" si="30"/>
        <v>1</v>
      </c>
      <c r="Q172" s="46">
        <f t="shared" si="30"/>
        <v>7</v>
      </c>
      <c r="R172" s="46">
        <f t="shared" si="30"/>
        <v>4</v>
      </c>
      <c r="S172" s="46">
        <f t="shared" si="30"/>
        <v>13</v>
      </c>
      <c r="T172" s="46">
        <f t="shared" si="30"/>
        <v>6</v>
      </c>
      <c r="U172" s="46">
        <f t="shared" si="30"/>
        <v>7</v>
      </c>
      <c r="V172" s="46">
        <f t="shared" si="30"/>
        <v>6</v>
      </c>
      <c r="W172" s="46">
        <f t="shared" si="30"/>
        <v>24</v>
      </c>
      <c r="X172" s="13">
        <f t="shared" si="13"/>
        <v>242</v>
      </c>
      <c r="Y172" s="5"/>
      <c r="Z172" s="5"/>
    </row>
    <row r="173" spans="1:26" ht="12.75" customHeight="1" x14ac:dyDescent="0.3">
      <c r="A173" s="35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13">
        <f t="shared" si="13"/>
        <v>0</v>
      </c>
      <c r="Y173" s="5"/>
      <c r="Z173" s="5"/>
    </row>
    <row r="174" spans="1:26" ht="12.75" customHeight="1" x14ac:dyDescent="0.3">
      <c r="A174" s="19" t="s">
        <v>37</v>
      </c>
      <c r="B174" s="26" t="s">
        <v>147</v>
      </c>
      <c r="C174" s="50" t="s">
        <v>148</v>
      </c>
      <c r="D174" s="49"/>
      <c r="E174" s="15">
        <v>0</v>
      </c>
      <c r="F174" s="15">
        <v>0</v>
      </c>
      <c r="G174" s="15">
        <v>0</v>
      </c>
      <c r="H174" s="15">
        <v>0</v>
      </c>
      <c r="I174" s="15">
        <v>1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1</v>
      </c>
      <c r="P174" s="15">
        <v>0</v>
      </c>
      <c r="Q174" s="15">
        <v>0</v>
      </c>
      <c r="R174" s="15">
        <v>0</v>
      </c>
      <c r="S174" s="15">
        <v>0</v>
      </c>
      <c r="T174" s="15"/>
      <c r="U174" s="15"/>
      <c r="V174" s="15"/>
      <c r="W174" s="15"/>
      <c r="X174" s="13">
        <f t="shared" si="13"/>
        <v>2</v>
      </c>
      <c r="Y174" s="5"/>
      <c r="Z174" s="5"/>
    </row>
    <row r="175" spans="1:26" ht="15" customHeight="1" x14ac:dyDescent="0.3">
      <c r="A175" s="19"/>
      <c r="B175" s="27">
        <v>1</v>
      </c>
      <c r="C175" s="28" t="s">
        <v>149</v>
      </c>
      <c r="D175" s="37"/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/>
      <c r="U175" s="15"/>
      <c r="V175" s="15"/>
      <c r="W175" s="15"/>
      <c r="X175" s="13">
        <f t="shared" si="13"/>
        <v>0</v>
      </c>
      <c r="Y175" s="5"/>
      <c r="Z175" s="5"/>
    </row>
    <row r="176" spans="1:26" ht="12.75" customHeight="1" x14ac:dyDescent="0.3">
      <c r="A176" s="19" t="s">
        <v>39</v>
      </c>
      <c r="B176" s="27">
        <v>2</v>
      </c>
      <c r="C176" s="28" t="s">
        <v>150</v>
      </c>
      <c r="D176" s="29"/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/>
      <c r="U176" s="15"/>
      <c r="V176" s="15"/>
      <c r="W176" s="15"/>
      <c r="X176" s="13">
        <f t="shared" si="13"/>
        <v>0</v>
      </c>
      <c r="Y176" s="1"/>
      <c r="Z176" s="1"/>
    </row>
    <row r="177" spans="1:26" ht="12.75" customHeight="1" x14ac:dyDescent="0.3">
      <c r="A177" s="15" t="s">
        <v>15</v>
      </c>
      <c r="B177" s="47" t="s">
        <v>46</v>
      </c>
      <c r="C177" s="48"/>
      <c r="D177" s="49"/>
      <c r="E177" s="34">
        <f t="shared" ref="E177:W177" si="31">SUM(E174:E176)</f>
        <v>0</v>
      </c>
      <c r="F177" s="34">
        <f t="shared" si="31"/>
        <v>0</v>
      </c>
      <c r="G177" s="34">
        <f t="shared" si="31"/>
        <v>0</v>
      </c>
      <c r="H177" s="34">
        <f t="shared" si="31"/>
        <v>0</v>
      </c>
      <c r="I177" s="34">
        <f t="shared" si="31"/>
        <v>1</v>
      </c>
      <c r="J177" s="34">
        <f t="shared" si="31"/>
        <v>0</v>
      </c>
      <c r="K177" s="34">
        <f t="shared" si="31"/>
        <v>0</v>
      </c>
      <c r="L177" s="34">
        <f t="shared" si="31"/>
        <v>0</v>
      </c>
      <c r="M177" s="34">
        <f t="shared" si="31"/>
        <v>0</v>
      </c>
      <c r="N177" s="34">
        <f t="shared" si="31"/>
        <v>0</v>
      </c>
      <c r="O177" s="34">
        <f t="shared" si="31"/>
        <v>1</v>
      </c>
      <c r="P177" s="34">
        <f t="shared" si="31"/>
        <v>0</v>
      </c>
      <c r="Q177" s="34">
        <f t="shared" si="31"/>
        <v>0</v>
      </c>
      <c r="R177" s="34">
        <f t="shared" si="31"/>
        <v>0</v>
      </c>
      <c r="S177" s="34">
        <f t="shared" si="31"/>
        <v>0</v>
      </c>
      <c r="T177" s="34">
        <f t="shared" si="31"/>
        <v>0</v>
      </c>
      <c r="U177" s="34">
        <f t="shared" si="31"/>
        <v>0</v>
      </c>
      <c r="V177" s="34">
        <f t="shared" si="31"/>
        <v>0</v>
      </c>
      <c r="W177" s="34">
        <f t="shared" si="31"/>
        <v>0</v>
      </c>
      <c r="X177" s="13">
        <f t="shared" si="13"/>
        <v>2</v>
      </c>
    </row>
    <row r="178" spans="1:26" ht="12.75" customHeight="1" x14ac:dyDescent="0.3">
      <c r="A178" s="60"/>
      <c r="B178" s="58"/>
      <c r="C178" s="58"/>
      <c r="D178" s="5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3">
        <f t="shared" si="13"/>
        <v>0</v>
      </c>
      <c r="Y178" s="5"/>
      <c r="Z178" s="5"/>
    </row>
    <row r="179" spans="1:26" ht="12.75" customHeight="1" x14ac:dyDescent="0.3">
      <c r="A179" s="25" t="s">
        <v>151</v>
      </c>
      <c r="B179" s="55" t="s">
        <v>152</v>
      </c>
      <c r="C179" s="48"/>
      <c r="D179" s="49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3">
        <f t="shared" si="13"/>
        <v>0</v>
      </c>
      <c r="Y179" s="5"/>
      <c r="Z179" s="5"/>
    </row>
    <row r="180" spans="1:26" ht="12.75" customHeight="1" x14ac:dyDescent="0.3">
      <c r="A180" s="25"/>
      <c r="B180" s="38" t="s">
        <v>153</v>
      </c>
      <c r="C180" s="72" t="s">
        <v>154</v>
      </c>
      <c r="D180" s="49"/>
      <c r="E180" s="15">
        <f>E52+E61+E70+E79+E88+E94+E99+E108+E115+E124+E128+E135+E144+E153+E157+E163+E172+E177</f>
        <v>198</v>
      </c>
      <c r="F180" s="15">
        <f t="shared" ref="F180:X180" si="32">F52+F61+F70+F79+F88+F94+F99+F108+F115+F124+F128+F135+F144+F153+F157+F163+F172+F177</f>
        <v>224</v>
      </c>
      <c r="G180" s="15">
        <f t="shared" si="32"/>
        <v>219</v>
      </c>
      <c r="H180" s="15">
        <f t="shared" si="32"/>
        <v>221</v>
      </c>
      <c r="I180" s="15">
        <f t="shared" si="32"/>
        <v>187</v>
      </c>
      <c r="J180" s="15">
        <f t="shared" si="32"/>
        <v>216</v>
      </c>
      <c r="K180" s="15">
        <f t="shared" si="32"/>
        <v>214</v>
      </c>
      <c r="L180" s="15">
        <f t="shared" si="32"/>
        <v>179</v>
      </c>
      <c r="M180" s="15">
        <f t="shared" si="32"/>
        <v>221</v>
      </c>
      <c r="N180" s="15">
        <f t="shared" si="32"/>
        <v>207</v>
      </c>
      <c r="O180" s="15">
        <f t="shared" si="32"/>
        <v>192</v>
      </c>
      <c r="P180" s="15">
        <f t="shared" si="32"/>
        <v>179</v>
      </c>
      <c r="Q180" s="15">
        <f t="shared" si="32"/>
        <v>204</v>
      </c>
      <c r="R180" s="15">
        <f t="shared" si="32"/>
        <v>158</v>
      </c>
      <c r="S180" s="15">
        <f t="shared" si="32"/>
        <v>192</v>
      </c>
      <c r="T180" s="15">
        <f t="shared" si="32"/>
        <v>196</v>
      </c>
      <c r="U180" s="15">
        <f t="shared" si="32"/>
        <v>182</v>
      </c>
      <c r="V180" s="15">
        <f t="shared" si="32"/>
        <v>172</v>
      </c>
      <c r="W180" s="15">
        <f t="shared" si="32"/>
        <v>172</v>
      </c>
      <c r="X180" s="15">
        <f t="shared" si="32"/>
        <v>3733</v>
      </c>
      <c r="Y180" s="5"/>
      <c r="Z180" s="5"/>
    </row>
    <row r="181" spans="1:26" ht="12.75" customHeight="1" x14ac:dyDescent="0.3">
      <c r="A181" s="21"/>
      <c r="B181" s="38" t="s">
        <v>155</v>
      </c>
      <c r="C181" s="72" t="s">
        <v>156</v>
      </c>
      <c r="D181" s="49"/>
      <c r="E181" s="15">
        <v>22</v>
      </c>
      <c r="F181" s="15">
        <v>7</v>
      </c>
      <c r="G181" s="15">
        <v>13</v>
      </c>
      <c r="H181" s="15">
        <v>15</v>
      </c>
      <c r="I181" s="15">
        <v>24</v>
      </c>
      <c r="J181" s="15">
        <v>11</v>
      </c>
      <c r="K181" s="15">
        <v>11</v>
      </c>
      <c r="L181" s="15">
        <v>16</v>
      </c>
      <c r="M181" s="15">
        <v>12</v>
      </c>
      <c r="N181" s="15">
        <v>11</v>
      </c>
      <c r="O181" s="15">
        <v>16</v>
      </c>
      <c r="P181" s="15">
        <v>6</v>
      </c>
      <c r="Q181" s="15">
        <v>16</v>
      </c>
      <c r="R181" s="15">
        <v>17</v>
      </c>
      <c r="S181" s="15">
        <v>18</v>
      </c>
      <c r="T181" s="15">
        <v>9</v>
      </c>
      <c r="U181" s="15">
        <v>16</v>
      </c>
      <c r="V181" s="15">
        <v>9</v>
      </c>
      <c r="W181" s="15">
        <v>14</v>
      </c>
      <c r="X181" s="13">
        <f t="shared" si="13"/>
        <v>263</v>
      </c>
      <c r="Y181" s="5"/>
      <c r="Z181" s="5"/>
    </row>
    <row r="182" spans="1:26" ht="12.75" customHeight="1" x14ac:dyDescent="0.3">
      <c r="A182" s="24"/>
      <c r="B182" s="38" t="s">
        <v>157</v>
      </c>
      <c r="C182" s="72" t="s">
        <v>158</v>
      </c>
      <c r="D182" s="49"/>
      <c r="E182" s="18">
        <f t="shared" ref="E182:W182" si="33">SUM(E180:E181)</f>
        <v>220</v>
      </c>
      <c r="F182" s="18">
        <f t="shared" si="33"/>
        <v>231</v>
      </c>
      <c r="G182" s="18">
        <f t="shared" si="33"/>
        <v>232</v>
      </c>
      <c r="H182" s="18">
        <f t="shared" si="33"/>
        <v>236</v>
      </c>
      <c r="I182" s="18">
        <f t="shared" si="33"/>
        <v>211</v>
      </c>
      <c r="J182" s="18">
        <f t="shared" si="33"/>
        <v>227</v>
      </c>
      <c r="K182" s="18">
        <f t="shared" si="33"/>
        <v>225</v>
      </c>
      <c r="L182" s="18">
        <f t="shared" si="33"/>
        <v>195</v>
      </c>
      <c r="M182" s="18">
        <f t="shared" si="33"/>
        <v>233</v>
      </c>
      <c r="N182" s="18">
        <f t="shared" si="33"/>
        <v>218</v>
      </c>
      <c r="O182" s="18">
        <f t="shared" si="33"/>
        <v>208</v>
      </c>
      <c r="P182" s="18">
        <f t="shared" si="33"/>
        <v>185</v>
      </c>
      <c r="Q182" s="18">
        <f t="shared" si="33"/>
        <v>220</v>
      </c>
      <c r="R182" s="18">
        <f t="shared" si="33"/>
        <v>175</v>
      </c>
      <c r="S182" s="18">
        <f t="shared" si="33"/>
        <v>210</v>
      </c>
      <c r="T182" s="18">
        <f t="shared" si="33"/>
        <v>205</v>
      </c>
      <c r="U182" s="18">
        <f t="shared" si="33"/>
        <v>198</v>
      </c>
      <c r="V182" s="18">
        <f t="shared" si="33"/>
        <v>181</v>
      </c>
      <c r="W182" s="18">
        <f t="shared" si="33"/>
        <v>186</v>
      </c>
      <c r="X182" s="13">
        <f t="shared" si="13"/>
        <v>3996</v>
      </c>
      <c r="Y182" s="5"/>
      <c r="Z182" s="5"/>
    </row>
    <row r="183" spans="1:26" ht="12.75" customHeight="1" x14ac:dyDescent="0.3"/>
    <row r="184" spans="1:26" ht="12.75" customHeight="1" x14ac:dyDescent="0.3"/>
    <row r="185" spans="1:26" ht="12.75" customHeight="1" x14ac:dyDescent="0.3"/>
    <row r="186" spans="1:26" ht="12.75" customHeight="1" x14ac:dyDescent="0.3"/>
    <row r="187" spans="1:26" ht="12.75" customHeight="1" x14ac:dyDescent="0.3"/>
    <row r="188" spans="1:26" ht="12.75" customHeight="1" x14ac:dyDescent="0.3"/>
    <row r="189" spans="1:26" ht="12.75" customHeight="1" x14ac:dyDescent="0.3"/>
    <row r="190" spans="1:26" ht="12.75" customHeight="1" x14ac:dyDescent="0.3"/>
    <row r="191" spans="1:26" ht="12.75" customHeight="1" x14ac:dyDescent="0.3"/>
    <row r="192" spans="1:26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70">
    <mergeCell ref="B108:D108"/>
    <mergeCell ref="C110:D110"/>
    <mergeCell ref="B115:D115"/>
    <mergeCell ref="C117:D117"/>
    <mergeCell ref="B124:D124"/>
    <mergeCell ref="C126:D126"/>
    <mergeCell ref="B128:D128"/>
    <mergeCell ref="C130:D130"/>
    <mergeCell ref="B135:D135"/>
    <mergeCell ref="C137:D137"/>
    <mergeCell ref="B144:D144"/>
    <mergeCell ref="C146:D146"/>
    <mergeCell ref="B153:D153"/>
    <mergeCell ref="C155:D155"/>
    <mergeCell ref="A178:D178"/>
    <mergeCell ref="B179:D179"/>
    <mergeCell ref="C180:D180"/>
    <mergeCell ref="C181:D181"/>
    <mergeCell ref="C182:D182"/>
    <mergeCell ref="B157:D157"/>
    <mergeCell ref="C159:D159"/>
    <mergeCell ref="B163:D163"/>
    <mergeCell ref="C165:D165"/>
    <mergeCell ref="B172:D172"/>
    <mergeCell ref="C174:D174"/>
    <mergeCell ref="B177:D177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C101:D101"/>
    <mergeCell ref="B88:D88"/>
    <mergeCell ref="C90:D90"/>
    <mergeCell ref="B94:D94"/>
    <mergeCell ref="C96:D96"/>
    <mergeCell ref="B99:D99"/>
  </mergeCells>
  <conditionalFormatting sqref="E34:T34">
    <cfRule type="expression" dxfId="66" priority="2">
      <formula>E34&lt;&gt;E64</formula>
    </cfRule>
  </conditionalFormatting>
  <conditionalFormatting sqref="E14:W15">
    <cfRule type="containsBlanks" dxfId="65" priority="3">
      <formula>LEN(TRIM(E14))=0</formula>
    </cfRule>
  </conditionalFormatting>
  <conditionalFormatting sqref="E19:W20">
    <cfRule type="containsBlanks" dxfId="64" priority="4">
      <formula>LEN(TRIM(E19))=0</formula>
    </cfRule>
  </conditionalFormatting>
  <conditionalFormatting sqref="E22:W23 E25:W26 E33:W33 E35:W35 E39:W40">
    <cfRule type="containsBlanks" dxfId="63" priority="5">
      <formula>LEN(TRIM(E22))=0</formula>
    </cfRule>
  </conditionalFormatting>
  <conditionalFormatting sqref="E30:W30">
    <cfRule type="expression" dxfId="62" priority="6">
      <formula>E30&lt;&gt;E47</formula>
    </cfRule>
    <cfRule type="expression" dxfId="61" priority="7">
      <formula>E30&lt;&gt;E34</formula>
    </cfRule>
  </conditionalFormatting>
  <conditionalFormatting sqref="E34:W34">
    <cfRule type="expression" dxfId="60" priority="8">
      <formula>E30&lt;&gt;E34</formula>
    </cfRule>
    <cfRule type="expression" dxfId="59" priority="9">
      <formula>E30=E34</formula>
    </cfRule>
    <cfRule type="expression" dxfId="58" priority="10">
      <formula>E34&lt;&gt;E30</formula>
    </cfRule>
  </conditionalFormatting>
  <conditionalFormatting sqref="E45:W51">
    <cfRule type="containsBlanks" dxfId="57" priority="12">
      <formula>LEN(TRIM(E45))=0</formula>
    </cfRule>
  </conditionalFormatting>
  <conditionalFormatting sqref="E54:W60">
    <cfRule type="containsBlanks" dxfId="56" priority="13">
      <formula>LEN(TRIM(E54))=0</formula>
    </cfRule>
  </conditionalFormatting>
  <conditionalFormatting sqref="E63:W69">
    <cfRule type="containsBlanks" dxfId="55" priority="14">
      <formula>LEN(TRIM(E63))=0</formula>
    </cfRule>
  </conditionalFormatting>
  <conditionalFormatting sqref="E72:W78">
    <cfRule type="containsBlanks" dxfId="54" priority="15">
      <formula>LEN(TRIM(E72))=0</formula>
    </cfRule>
  </conditionalFormatting>
  <conditionalFormatting sqref="E81:W87">
    <cfRule type="containsBlanks" dxfId="53" priority="16">
      <formula>LEN(TRIM(E81))=0</formula>
    </cfRule>
  </conditionalFormatting>
  <conditionalFormatting sqref="E90:W93">
    <cfRule type="containsBlanks" dxfId="52" priority="17">
      <formula>LEN(TRIM(E90))=0</formula>
    </cfRule>
  </conditionalFormatting>
  <conditionalFormatting sqref="E96:W98">
    <cfRule type="containsBlanks" dxfId="51" priority="18">
      <formula>LEN(TRIM(E96))=0</formula>
    </cfRule>
  </conditionalFormatting>
  <conditionalFormatting sqref="E101:W107">
    <cfRule type="containsBlanks" dxfId="50" priority="19">
      <formula>LEN(TRIM(E101))=0</formula>
    </cfRule>
  </conditionalFormatting>
  <conditionalFormatting sqref="E110:W114">
    <cfRule type="containsBlanks" dxfId="49" priority="20">
      <formula>LEN(TRIM(E110))=0</formula>
    </cfRule>
  </conditionalFormatting>
  <conditionalFormatting sqref="E117:W123">
    <cfRule type="containsBlanks" dxfId="48" priority="21">
      <formula>LEN(TRIM(E117))=0</formula>
    </cfRule>
  </conditionalFormatting>
  <conditionalFormatting sqref="E126:W127">
    <cfRule type="containsBlanks" dxfId="47" priority="22">
      <formula>LEN(TRIM(E126))=0</formula>
    </cfRule>
  </conditionalFormatting>
  <conditionalFormatting sqref="E130:W134">
    <cfRule type="containsBlanks" dxfId="46" priority="23">
      <formula>LEN(TRIM(E130))=0</formula>
    </cfRule>
  </conditionalFormatting>
  <conditionalFormatting sqref="E137:W143">
    <cfRule type="containsBlanks" dxfId="45" priority="24">
      <formula>LEN(TRIM(E137))=0</formula>
    </cfRule>
  </conditionalFormatting>
  <conditionalFormatting sqref="E146:W152">
    <cfRule type="containsBlanks" dxfId="44" priority="25">
      <formula>LEN(TRIM(E146))=0</formula>
    </cfRule>
  </conditionalFormatting>
  <conditionalFormatting sqref="E155:W156">
    <cfRule type="containsBlanks" dxfId="43" priority="26">
      <formula>LEN(TRIM(E155))=0</formula>
    </cfRule>
  </conditionalFormatting>
  <conditionalFormatting sqref="E159:W162">
    <cfRule type="containsBlanks" dxfId="42" priority="27">
      <formula>LEN(TRIM(E159))=0</formula>
    </cfRule>
  </conditionalFormatting>
  <conditionalFormatting sqref="E165:W172">
    <cfRule type="containsBlanks" dxfId="41" priority="28">
      <formula>LEN(TRIM(E165))=0</formula>
    </cfRule>
  </conditionalFormatting>
  <conditionalFormatting sqref="E174:W176">
    <cfRule type="containsBlanks" dxfId="40" priority="29">
      <formula>LEN(TRIM(E174))=0</formula>
    </cfRule>
  </conditionalFormatting>
  <conditionalFormatting sqref="E181:W181">
    <cfRule type="containsBlanks" dxfId="39" priority="30">
      <formula>LEN(TRIM(E181))=0</formula>
    </cfRule>
  </conditionalFormatting>
  <conditionalFormatting sqref="E182:W182">
    <cfRule type="expression" dxfId="38" priority="31">
      <formula>E182&lt;&gt;E30</formula>
    </cfRule>
    <cfRule type="expression" dxfId="37" priority="32">
      <formula>E182&lt;&gt;E34</formula>
    </cfRule>
  </conditionalFormatting>
  <conditionalFormatting sqref="U34:W34">
    <cfRule type="expression" dxfId="36" priority="11">
      <formula>U34&lt;&gt;U47</formula>
    </cfRule>
  </conditionalFormatting>
  <conditionalFormatting sqref="E180:X180">
    <cfRule type="containsBlanks" dxfId="1" priority="1">
      <formula>LEN(TRIM(E180))=0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R1000"/>
  <sheetViews>
    <sheetView topLeftCell="A169" workbookViewId="0">
      <selection activeCell="E180" sqref="E180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41" width="8.69921875" customWidth="1"/>
    <col min="42" max="42" width="13.296875" customWidth="1"/>
    <col min="43" max="44" width="8.69921875" customWidth="1"/>
  </cols>
  <sheetData>
    <row r="1" spans="1:42" ht="12.75" customHeight="1" x14ac:dyDescent="0.3"/>
    <row r="2" spans="1:42" ht="12.75" customHeight="1" x14ac:dyDescent="0.3">
      <c r="C2" s="8" t="s">
        <v>0</v>
      </c>
      <c r="D2" s="8" t="s">
        <v>1</v>
      </c>
    </row>
    <row r="3" spans="1:42" ht="12.75" customHeight="1" x14ac:dyDescent="0.3">
      <c r="C3" s="8" t="s">
        <v>2</v>
      </c>
      <c r="D3" s="8" t="s">
        <v>3</v>
      </c>
    </row>
    <row r="4" spans="1:42" ht="12.75" customHeight="1" x14ac:dyDescent="0.3">
      <c r="C4" s="8" t="s">
        <v>4</v>
      </c>
      <c r="D4" s="8" t="s">
        <v>5</v>
      </c>
    </row>
    <row r="5" spans="1:42" ht="12.75" customHeight="1" x14ac:dyDescent="0.3">
      <c r="C5" s="8"/>
      <c r="D5" s="8"/>
    </row>
    <row r="6" spans="1:42" ht="12.75" customHeight="1" x14ac:dyDescent="0.3">
      <c r="C6" s="8"/>
      <c r="D6" s="8"/>
    </row>
    <row r="7" spans="1:42" ht="12.75" customHeight="1" x14ac:dyDescent="0.3">
      <c r="C7" s="8"/>
      <c r="D7" s="8"/>
    </row>
    <row r="8" spans="1:42" ht="12.75" customHeight="1" x14ac:dyDescent="0.3">
      <c r="C8" s="8"/>
      <c r="D8" s="8"/>
    </row>
    <row r="9" spans="1:42" ht="12.75" customHeight="1" x14ac:dyDescent="0.3">
      <c r="C9" s="8" t="s">
        <v>159</v>
      </c>
      <c r="D9" s="8" t="s">
        <v>212</v>
      </c>
    </row>
    <row r="10" spans="1:42" ht="12.75" customHeight="1" x14ac:dyDescent="0.3"/>
    <row r="11" spans="1:42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AB11" s="2"/>
    </row>
    <row r="12" spans="1:42" ht="12.75" customHeight="1" x14ac:dyDescent="0.3">
      <c r="A12" s="13" t="s">
        <v>6</v>
      </c>
      <c r="B12" s="55" t="s">
        <v>7</v>
      </c>
      <c r="C12" s="48"/>
      <c r="D12" s="49"/>
      <c r="E12" s="73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74" t="s">
        <v>8</v>
      </c>
    </row>
    <row r="13" spans="1:42" ht="12.75" customHeight="1" x14ac:dyDescent="0.3">
      <c r="A13" s="15" t="s">
        <v>9</v>
      </c>
      <c r="B13" s="61" t="s">
        <v>10</v>
      </c>
      <c r="C13" s="48"/>
      <c r="D13" s="49"/>
      <c r="E13" s="13" t="s">
        <v>160</v>
      </c>
      <c r="F13" s="13" t="s">
        <v>161</v>
      </c>
      <c r="G13" s="13" t="s">
        <v>162</v>
      </c>
      <c r="H13" s="13" t="s">
        <v>163</v>
      </c>
      <c r="I13" s="13" t="s">
        <v>164</v>
      </c>
      <c r="J13" s="13" t="s">
        <v>165</v>
      </c>
      <c r="K13" s="13" t="s">
        <v>166</v>
      </c>
      <c r="L13" s="13" t="s">
        <v>167</v>
      </c>
      <c r="M13" s="13" t="s">
        <v>168</v>
      </c>
      <c r="N13" s="13" t="s">
        <v>169</v>
      </c>
      <c r="O13" s="13" t="s">
        <v>170</v>
      </c>
      <c r="P13" s="13" t="s">
        <v>171</v>
      </c>
      <c r="Q13" s="13" t="s">
        <v>172</v>
      </c>
      <c r="R13" s="13" t="s">
        <v>173</v>
      </c>
      <c r="S13" s="13" t="s">
        <v>174</v>
      </c>
      <c r="T13" s="13" t="s">
        <v>175</v>
      </c>
      <c r="U13" s="13" t="s">
        <v>176</v>
      </c>
      <c r="V13" s="13" t="s">
        <v>177</v>
      </c>
      <c r="W13" s="13" t="s">
        <v>178</v>
      </c>
      <c r="X13" s="13" t="s">
        <v>179</v>
      </c>
      <c r="Y13" s="13" t="s">
        <v>180</v>
      </c>
      <c r="Z13" s="13" t="s">
        <v>181</v>
      </c>
      <c r="AA13" s="13" t="s">
        <v>182</v>
      </c>
      <c r="AB13" s="13" t="s">
        <v>183</v>
      </c>
      <c r="AC13" s="13" t="s">
        <v>184</v>
      </c>
      <c r="AD13" s="13" t="s">
        <v>185</v>
      </c>
      <c r="AE13" s="13" t="s">
        <v>186</v>
      </c>
      <c r="AF13" s="13" t="s">
        <v>187</v>
      </c>
      <c r="AG13" s="13" t="s">
        <v>188</v>
      </c>
      <c r="AH13" s="13" t="s">
        <v>189</v>
      </c>
      <c r="AI13" s="13" t="s">
        <v>190</v>
      </c>
      <c r="AJ13" s="13" t="s">
        <v>191</v>
      </c>
      <c r="AK13" s="13" t="s">
        <v>192</v>
      </c>
      <c r="AL13" s="13" t="s">
        <v>193</v>
      </c>
      <c r="AM13" s="13" t="s">
        <v>194</v>
      </c>
      <c r="AN13" s="13" t="s">
        <v>195</v>
      </c>
      <c r="AO13" s="13" t="s">
        <v>196</v>
      </c>
      <c r="AP13" s="65"/>
    </row>
    <row r="14" spans="1:42" ht="12.75" customHeight="1" x14ac:dyDescent="0.3">
      <c r="A14" s="14"/>
      <c r="B14" s="70" t="s">
        <v>11</v>
      </c>
      <c r="C14" s="53"/>
      <c r="D14" s="15" t="s">
        <v>12</v>
      </c>
      <c r="E14" s="15">
        <v>140</v>
      </c>
      <c r="F14" s="15">
        <v>142</v>
      </c>
      <c r="G14" s="15">
        <v>114</v>
      </c>
      <c r="H14" s="15">
        <v>129</v>
      </c>
      <c r="I14" s="15">
        <v>133</v>
      </c>
      <c r="J14" s="15">
        <v>103</v>
      </c>
      <c r="K14" s="15">
        <v>111</v>
      </c>
      <c r="L14" s="15">
        <v>97</v>
      </c>
      <c r="M14" s="15">
        <v>146</v>
      </c>
      <c r="N14" s="15">
        <v>140</v>
      </c>
      <c r="O14" s="15">
        <v>143</v>
      </c>
      <c r="P14" s="15">
        <v>89</v>
      </c>
      <c r="Q14" s="15">
        <v>139</v>
      </c>
      <c r="R14" s="15">
        <v>117</v>
      </c>
      <c r="S14" s="15">
        <v>137</v>
      </c>
      <c r="T14" s="15">
        <v>122</v>
      </c>
      <c r="U14" s="15">
        <v>123</v>
      </c>
      <c r="V14" s="15">
        <v>143</v>
      </c>
      <c r="W14" s="15">
        <v>142</v>
      </c>
      <c r="X14" s="15">
        <v>147</v>
      </c>
      <c r="Y14" s="15">
        <v>133</v>
      </c>
      <c r="Z14" s="15">
        <v>143</v>
      </c>
      <c r="AA14" s="15">
        <v>142</v>
      </c>
      <c r="AB14" s="15">
        <v>140</v>
      </c>
      <c r="AC14" s="15">
        <v>138</v>
      </c>
      <c r="AD14" s="15">
        <v>136</v>
      </c>
      <c r="AE14" s="15">
        <v>136</v>
      </c>
      <c r="AF14" s="15">
        <v>152</v>
      </c>
      <c r="AG14" s="15">
        <v>123</v>
      </c>
      <c r="AH14" s="15">
        <v>133</v>
      </c>
      <c r="AI14" s="15">
        <v>134</v>
      </c>
      <c r="AJ14" s="15">
        <v>143</v>
      </c>
      <c r="AK14" s="15">
        <v>135</v>
      </c>
      <c r="AL14" s="15">
        <v>127</v>
      </c>
      <c r="AM14" s="15">
        <v>143</v>
      </c>
      <c r="AN14" s="15">
        <v>119</v>
      </c>
      <c r="AO14" s="15">
        <v>124</v>
      </c>
      <c r="AP14" s="13">
        <f>SUM(E14:AO14)</f>
        <v>4858</v>
      </c>
    </row>
    <row r="15" spans="1:42" ht="12.75" customHeight="1" x14ac:dyDescent="0.3">
      <c r="A15" s="14"/>
      <c r="B15" s="71"/>
      <c r="C15" s="57"/>
      <c r="D15" s="15" t="s">
        <v>13</v>
      </c>
      <c r="E15" s="15">
        <v>138</v>
      </c>
      <c r="F15" s="15">
        <v>140</v>
      </c>
      <c r="G15" s="15">
        <v>121</v>
      </c>
      <c r="H15" s="15">
        <v>126</v>
      </c>
      <c r="I15" s="15">
        <v>147</v>
      </c>
      <c r="J15" s="15">
        <v>118</v>
      </c>
      <c r="K15" s="15">
        <v>110</v>
      </c>
      <c r="L15" s="15">
        <v>103</v>
      </c>
      <c r="M15" s="15">
        <v>152</v>
      </c>
      <c r="N15" s="15">
        <v>153</v>
      </c>
      <c r="O15" s="15">
        <v>147</v>
      </c>
      <c r="P15" s="15">
        <v>113</v>
      </c>
      <c r="Q15" s="15">
        <v>137</v>
      </c>
      <c r="R15" s="15">
        <v>135</v>
      </c>
      <c r="S15" s="15">
        <v>134</v>
      </c>
      <c r="T15" s="15">
        <v>119</v>
      </c>
      <c r="U15" s="15">
        <v>133</v>
      </c>
      <c r="V15" s="15">
        <v>140</v>
      </c>
      <c r="W15" s="15">
        <v>138</v>
      </c>
      <c r="X15" s="15">
        <v>143</v>
      </c>
      <c r="Y15" s="15">
        <v>144</v>
      </c>
      <c r="Z15" s="15">
        <v>132</v>
      </c>
      <c r="AA15" s="15">
        <v>127</v>
      </c>
      <c r="AB15" s="15">
        <v>137</v>
      </c>
      <c r="AC15" s="15">
        <v>137</v>
      </c>
      <c r="AD15" s="15">
        <v>143</v>
      </c>
      <c r="AE15" s="15">
        <v>134</v>
      </c>
      <c r="AF15" s="15">
        <v>137</v>
      </c>
      <c r="AG15" s="15">
        <v>141</v>
      </c>
      <c r="AH15" s="15">
        <v>144</v>
      </c>
      <c r="AI15" s="15">
        <v>150</v>
      </c>
      <c r="AJ15" s="15">
        <v>143</v>
      </c>
      <c r="AK15" s="15">
        <v>132</v>
      </c>
      <c r="AL15" s="15">
        <v>117</v>
      </c>
      <c r="AM15" s="15">
        <v>154</v>
      </c>
      <c r="AN15" s="15">
        <v>129</v>
      </c>
      <c r="AO15" s="15">
        <v>121</v>
      </c>
      <c r="AP15" s="13">
        <f t="shared" ref="AP14:AP16" si="0">SUM(E15:AO15)</f>
        <v>4969</v>
      </c>
    </row>
    <row r="16" spans="1:42" ht="12.75" customHeight="1" x14ac:dyDescent="0.3">
      <c r="A16" s="17"/>
      <c r="B16" s="69"/>
      <c r="C16" s="59"/>
      <c r="D16" s="13" t="s">
        <v>14</v>
      </c>
      <c r="E16" s="13">
        <f t="shared" ref="E16:AO16" si="1">SUM(E14:E15)</f>
        <v>278</v>
      </c>
      <c r="F16" s="13">
        <f t="shared" si="1"/>
        <v>282</v>
      </c>
      <c r="G16" s="13">
        <f t="shared" si="1"/>
        <v>235</v>
      </c>
      <c r="H16" s="13">
        <f t="shared" si="1"/>
        <v>255</v>
      </c>
      <c r="I16" s="13">
        <f t="shared" si="1"/>
        <v>280</v>
      </c>
      <c r="J16" s="13">
        <f t="shared" si="1"/>
        <v>221</v>
      </c>
      <c r="K16" s="13">
        <f t="shared" si="1"/>
        <v>221</v>
      </c>
      <c r="L16" s="13">
        <f t="shared" si="1"/>
        <v>200</v>
      </c>
      <c r="M16" s="13">
        <f t="shared" si="1"/>
        <v>298</v>
      </c>
      <c r="N16" s="13">
        <f t="shared" si="1"/>
        <v>293</v>
      </c>
      <c r="O16" s="13">
        <f t="shared" si="1"/>
        <v>290</v>
      </c>
      <c r="P16" s="13">
        <f t="shared" si="1"/>
        <v>202</v>
      </c>
      <c r="Q16" s="13">
        <f t="shared" si="1"/>
        <v>276</v>
      </c>
      <c r="R16" s="13">
        <f t="shared" si="1"/>
        <v>252</v>
      </c>
      <c r="S16" s="13">
        <f t="shared" si="1"/>
        <v>271</v>
      </c>
      <c r="T16" s="13">
        <f t="shared" si="1"/>
        <v>241</v>
      </c>
      <c r="U16" s="13">
        <f t="shared" si="1"/>
        <v>256</v>
      </c>
      <c r="V16" s="13">
        <f t="shared" si="1"/>
        <v>283</v>
      </c>
      <c r="W16" s="13">
        <f t="shared" si="1"/>
        <v>280</v>
      </c>
      <c r="X16" s="13">
        <f t="shared" si="1"/>
        <v>290</v>
      </c>
      <c r="Y16" s="13">
        <f t="shared" si="1"/>
        <v>277</v>
      </c>
      <c r="Z16" s="13">
        <f t="shared" si="1"/>
        <v>275</v>
      </c>
      <c r="AA16" s="13">
        <f t="shared" si="1"/>
        <v>269</v>
      </c>
      <c r="AB16" s="13">
        <f t="shared" si="1"/>
        <v>277</v>
      </c>
      <c r="AC16" s="13">
        <f t="shared" si="1"/>
        <v>275</v>
      </c>
      <c r="AD16" s="13">
        <f t="shared" si="1"/>
        <v>279</v>
      </c>
      <c r="AE16" s="13">
        <f t="shared" si="1"/>
        <v>270</v>
      </c>
      <c r="AF16" s="13">
        <f t="shared" si="1"/>
        <v>289</v>
      </c>
      <c r="AG16" s="13">
        <f t="shared" si="1"/>
        <v>264</v>
      </c>
      <c r="AH16" s="13">
        <f t="shared" si="1"/>
        <v>277</v>
      </c>
      <c r="AI16" s="13">
        <f t="shared" si="1"/>
        <v>284</v>
      </c>
      <c r="AJ16" s="13">
        <f t="shared" si="1"/>
        <v>286</v>
      </c>
      <c r="AK16" s="13">
        <f t="shared" si="1"/>
        <v>267</v>
      </c>
      <c r="AL16" s="13">
        <f t="shared" si="1"/>
        <v>244</v>
      </c>
      <c r="AM16" s="13">
        <f t="shared" si="1"/>
        <v>297</v>
      </c>
      <c r="AN16" s="13">
        <f t="shared" si="1"/>
        <v>248</v>
      </c>
      <c r="AO16" s="13">
        <f t="shared" si="1"/>
        <v>245</v>
      </c>
      <c r="AP16" s="13">
        <f t="shared" si="0"/>
        <v>9827</v>
      </c>
    </row>
    <row r="17" spans="1:42" ht="12.75" customHeight="1" x14ac:dyDescent="0.3">
      <c r="A17" s="54"/>
      <c r="B17" s="48"/>
      <c r="C17" s="48"/>
      <c r="D17" s="49"/>
      <c r="E17" s="15"/>
      <c r="F17" s="15"/>
      <c r="G17" s="15"/>
      <c r="H17" s="15"/>
      <c r="I17" s="15"/>
      <c r="J17" s="15"/>
      <c r="K17" s="15"/>
      <c r="L17" s="15"/>
      <c r="M17" s="15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3"/>
    </row>
    <row r="18" spans="1:42" ht="12.75" customHeight="1" x14ac:dyDescent="0.3">
      <c r="A18" s="19" t="s">
        <v>15</v>
      </c>
      <c r="B18" s="61" t="s">
        <v>16</v>
      </c>
      <c r="C18" s="48"/>
      <c r="D18" s="49"/>
      <c r="E18" s="15"/>
      <c r="F18" s="15"/>
      <c r="G18" s="15"/>
      <c r="H18" s="15"/>
      <c r="I18" s="15"/>
      <c r="J18" s="15"/>
      <c r="K18" s="15"/>
      <c r="L18" s="15"/>
      <c r="M18" s="15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3"/>
    </row>
    <row r="19" spans="1:42" ht="12.75" customHeight="1" x14ac:dyDescent="0.3">
      <c r="A19" s="19"/>
      <c r="B19" s="62" t="s">
        <v>17</v>
      </c>
      <c r="C19" s="63" t="s">
        <v>18</v>
      </c>
      <c r="D19" s="15" t="s">
        <v>12</v>
      </c>
      <c r="E19" s="15">
        <v>106</v>
      </c>
      <c r="F19" s="15">
        <v>100</v>
      </c>
      <c r="G19" s="15">
        <v>86</v>
      </c>
      <c r="H19" s="15">
        <v>104</v>
      </c>
      <c r="I19" s="15">
        <v>102</v>
      </c>
      <c r="J19" s="15">
        <v>79</v>
      </c>
      <c r="K19" s="15">
        <v>90</v>
      </c>
      <c r="L19" s="15">
        <v>74</v>
      </c>
      <c r="M19" s="15">
        <v>105</v>
      </c>
      <c r="N19" s="15">
        <v>109</v>
      </c>
      <c r="O19" s="15">
        <v>89</v>
      </c>
      <c r="P19" s="15">
        <v>75</v>
      </c>
      <c r="Q19" s="15">
        <v>107</v>
      </c>
      <c r="R19" s="15">
        <v>87</v>
      </c>
      <c r="S19" s="15">
        <v>110</v>
      </c>
      <c r="T19" s="15">
        <v>85</v>
      </c>
      <c r="U19" s="15">
        <v>91</v>
      </c>
      <c r="V19" s="15">
        <v>108</v>
      </c>
      <c r="W19" s="15">
        <v>95</v>
      </c>
      <c r="X19" s="15">
        <v>112</v>
      </c>
      <c r="Y19" s="15">
        <v>87</v>
      </c>
      <c r="Z19" s="15">
        <v>99</v>
      </c>
      <c r="AA19" s="15">
        <v>97</v>
      </c>
      <c r="AB19" s="15">
        <v>101</v>
      </c>
      <c r="AC19" s="15">
        <v>102</v>
      </c>
      <c r="AD19" s="15">
        <v>104</v>
      </c>
      <c r="AE19" s="15">
        <v>93</v>
      </c>
      <c r="AF19" s="15">
        <v>117</v>
      </c>
      <c r="AG19" s="15">
        <v>64</v>
      </c>
      <c r="AH19" s="15">
        <v>98</v>
      </c>
      <c r="AI19" s="15">
        <v>107</v>
      </c>
      <c r="AJ19" s="15">
        <v>113</v>
      </c>
      <c r="AK19" s="15">
        <v>105</v>
      </c>
      <c r="AL19" s="15">
        <v>89</v>
      </c>
      <c r="AM19" s="15">
        <v>103</v>
      </c>
      <c r="AN19" s="15">
        <v>98</v>
      </c>
      <c r="AO19" s="15">
        <v>104</v>
      </c>
      <c r="AP19" s="13">
        <f t="shared" ref="AP19:AP30" si="2">SUM(E19:AO19)</f>
        <v>3595</v>
      </c>
    </row>
    <row r="20" spans="1:42" ht="12.75" customHeight="1" x14ac:dyDescent="0.3">
      <c r="A20" s="20"/>
      <c r="B20" s="57"/>
      <c r="C20" s="64"/>
      <c r="D20" s="15" t="s">
        <v>13</v>
      </c>
      <c r="E20" s="15">
        <v>113</v>
      </c>
      <c r="F20" s="15">
        <v>107</v>
      </c>
      <c r="G20" s="15">
        <v>93</v>
      </c>
      <c r="H20" s="15">
        <v>104</v>
      </c>
      <c r="I20" s="15">
        <v>114</v>
      </c>
      <c r="J20" s="15">
        <v>94</v>
      </c>
      <c r="K20" s="15">
        <v>91</v>
      </c>
      <c r="L20" s="15">
        <v>83</v>
      </c>
      <c r="M20" s="15">
        <v>122</v>
      </c>
      <c r="N20" s="15">
        <v>121</v>
      </c>
      <c r="O20" s="15">
        <v>115</v>
      </c>
      <c r="P20" s="15">
        <v>101</v>
      </c>
      <c r="Q20" s="15">
        <v>113</v>
      </c>
      <c r="R20" s="15">
        <v>99</v>
      </c>
      <c r="S20" s="15">
        <v>102</v>
      </c>
      <c r="T20" s="15">
        <v>94</v>
      </c>
      <c r="U20" s="15">
        <v>95</v>
      </c>
      <c r="V20" s="15">
        <v>108</v>
      </c>
      <c r="W20" s="15">
        <v>109</v>
      </c>
      <c r="X20" s="15">
        <v>113</v>
      </c>
      <c r="Y20" s="15">
        <v>116</v>
      </c>
      <c r="Z20" s="15">
        <v>99</v>
      </c>
      <c r="AA20" s="15">
        <v>98</v>
      </c>
      <c r="AB20" s="15">
        <v>103</v>
      </c>
      <c r="AC20" s="15">
        <v>110</v>
      </c>
      <c r="AD20" s="15">
        <v>108</v>
      </c>
      <c r="AE20" s="15">
        <v>95</v>
      </c>
      <c r="AF20" s="15">
        <v>112</v>
      </c>
      <c r="AG20" s="15">
        <v>140</v>
      </c>
      <c r="AH20" s="15">
        <v>112</v>
      </c>
      <c r="AI20" s="15">
        <v>114</v>
      </c>
      <c r="AJ20" s="15">
        <v>117</v>
      </c>
      <c r="AK20" s="15">
        <v>92</v>
      </c>
      <c r="AL20" s="15">
        <v>92</v>
      </c>
      <c r="AM20" s="15">
        <v>107</v>
      </c>
      <c r="AN20" s="15">
        <v>106</v>
      </c>
      <c r="AO20" s="15">
        <v>104</v>
      </c>
      <c r="AP20" s="13">
        <f t="shared" si="2"/>
        <v>3916</v>
      </c>
    </row>
    <row r="21" spans="1:42" ht="12.75" customHeight="1" x14ac:dyDescent="0.3">
      <c r="A21" s="21"/>
      <c r="B21" s="59"/>
      <c r="C21" s="65"/>
      <c r="D21" s="13" t="s">
        <v>14</v>
      </c>
      <c r="E21" s="13">
        <f t="shared" ref="E21:AO21" si="3">SUM(E19:E20)</f>
        <v>219</v>
      </c>
      <c r="F21" s="13">
        <f t="shared" si="3"/>
        <v>207</v>
      </c>
      <c r="G21" s="13">
        <f t="shared" si="3"/>
        <v>179</v>
      </c>
      <c r="H21" s="13">
        <f t="shared" si="3"/>
        <v>208</v>
      </c>
      <c r="I21" s="13">
        <f t="shared" si="3"/>
        <v>216</v>
      </c>
      <c r="J21" s="13">
        <f t="shared" si="3"/>
        <v>173</v>
      </c>
      <c r="K21" s="13">
        <f t="shared" si="3"/>
        <v>181</v>
      </c>
      <c r="L21" s="13">
        <f t="shared" si="3"/>
        <v>157</v>
      </c>
      <c r="M21" s="13">
        <f t="shared" si="3"/>
        <v>227</v>
      </c>
      <c r="N21" s="13">
        <f t="shared" si="3"/>
        <v>230</v>
      </c>
      <c r="O21" s="13">
        <f t="shared" si="3"/>
        <v>204</v>
      </c>
      <c r="P21" s="13">
        <f t="shared" si="3"/>
        <v>176</v>
      </c>
      <c r="Q21" s="13">
        <f t="shared" si="3"/>
        <v>220</v>
      </c>
      <c r="R21" s="13">
        <f t="shared" si="3"/>
        <v>186</v>
      </c>
      <c r="S21" s="13">
        <f t="shared" si="3"/>
        <v>212</v>
      </c>
      <c r="T21" s="13">
        <f t="shared" si="3"/>
        <v>179</v>
      </c>
      <c r="U21" s="13">
        <f t="shared" si="3"/>
        <v>186</v>
      </c>
      <c r="V21" s="13">
        <f t="shared" si="3"/>
        <v>216</v>
      </c>
      <c r="W21" s="13">
        <f t="shared" si="3"/>
        <v>204</v>
      </c>
      <c r="X21" s="13">
        <f t="shared" si="3"/>
        <v>225</v>
      </c>
      <c r="Y21" s="13">
        <f t="shared" si="3"/>
        <v>203</v>
      </c>
      <c r="Z21" s="13">
        <f t="shared" si="3"/>
        <v>198</v>
      </c>
      <c r="AA21" s="13">
        <f t="shared" si="3"/>
        <v>195</v>
      </c>
      <c r="AB21" s="13">
        <f t="shared" si="3"/>
        <v>204</v>
      </c>
      <c r="AC21" s="13">
        <f t="shared" si="3"/>
        <v>212</v>
      </c>
      <c r="AD21" s="13">
        <f t="shared" si="3"/>
        <v>212</v>
      </c>
      <c r="AE21" s="13">
        <f t="shared" si="3"/>
        <v>188</v>
      </c>
      <c r="AF21" s="13">
        <f t="shared" si="3"/>
        <v>229</v>
      </c>
      <c r="AG21" s="13">
        <f t="shared" si="3"/>
        <v>204</v>
      </c>
      <c r="AH21" s="13">
        <f t="shared" si="3"/>
        <v>210</v>
      </c>
      <c r="AI21" s="13">
        <f t="shared" si="3"/>
        <v>221</v>
      </c>
      <c r="AJ21" s="13">
        <f t="shared" si="3"/>
        <v>230</v>
      </c>
      <c r="AK21" s="13">
        <f t="shared" si="3"/>
        <v>197</v>
      </c>
      <c r="AL21" s="13">
        <f t="shared" si="3"/>
        <v>181</v>
      </c>
      <c r="AM21" s="13">
        <f t="shared" si="3"/>
        <v>210</v>
      </c>
      <c r="AN21" s="13">
        <f t="shared" si="3"/>
        <v>204</v>
      </c>
      <c r="AO21" s="13">
        <f t="shared" si="3"/>
        <v>208</v>
      </c>
      <c r="AP21" s="13">
        <f t="shared" si="2"/>
        <v>7511</v>
      </c>
    </row>
    <row r="22" spans="1:42" ht="12.75" customHeight="1" x14ac:dyDescent="0.3">
      <c r="A22" s="20"/>
      <c r="B22" s="62" t="s">
        <v>19</v>
      </c>
      <c r="C22" s="63" t="s">
        <v>20</v>
      </c>
      <c r="D22" s="15" t="s">
        <v>12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1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1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/>
      <c r="AJ22" s="15"/>
      <c r="AK22" s="15"/>
      <c r="AL22" s="15"/>
      <c r="AM22" s="15"/>
      <c r="AN22" s="15"/>
      <c r="AO22" s="15"/>
      <c r="AP22" s="13">
        <f t="shared" si="2"/>
        <v>2</v>
      </c>
    </row>
    <row r="23" spans="1:42" ht="12.75" customHeight="1" x14ac:dyDescent="0.3">
      <c r="A23" s="20"/>
      <c r="B23" s="57"/>
      <c r="C23" s="64"/>
      <c r="D23" s="15" t="s">
        <v>13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/>
      <c r="AJ23" s="15"/>
      <c r="AK23" s="15"/>
      <c r="AL23" s="15"/>
      <c r="AM23" s="15"/>
      <c r="AN23" s="15"/>
      <c r="AO23" s="15"/>
      <c r="AP23" s="13">
        <f t="shared" si="2"/>
        <v>0</v>
      </c>
    </row>
    <row r="24" spans="1:42" ht="12.75" customHeight="1" x14ac:dyDescent="0.3">
      <c r="A24" s="21"/>
      <c r="B24" s="59"/>
      <c r="C24" s="65"/>
      <c r="D24" s="13" t="s">
        <v>14</v>
      </c>
      <c r="E24" s="13">
        <f t="shared" ref="E24:AO24" si="4">SUM(E22:E23)</f>
        <v>0</v>
      </c>
      <c r="F24" s="13">
        <f t="shared" si="4"/>
        <v>0</v>
      </c>
      <c r="G24" s="13">
        <f t="shared" si="4"/>
        <v>0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1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0</v>
      </c>
      <c r="T24" s="13">
        <f t="shared" si="4"/>
        <v>0</v>
      </c>
      <c r="U24" s="13">
        <f t="shared" si="4"/>
        <v>0</v>
      </c>
      <c r="V24" s="13">
        <f t="shared" si="4"/>
        <v>0</v>
      </c>
      <c r="W24" s="13">
        <f t="shared" si="4"/>
        <v>1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4"/>
        <v>0</v>
      </c>
      <c r="AC24" s="13">
        <f t="shared" si="4"/>
        <v>0</v>
      </c>
      <c r="AD24" s="13">
        <f t="shared" si="4"/>
        <v>0</v>
      </c>
      <c r="AE24" s="13">
        <f t="shared" si="4"/>
        <v>0</v>
      </c>
      <c r="AF24" s="13">
        <f t="shared" si="4"/>
        <v>0</v>
      </c>
      <c r="AG24" s="13">
        <f t="shared" si="4"/>
        <v>0</v>
      </c>
      <c r="AH24" s="13">
        <f t="shared" si="4"/>
        <v>0</v>
      </c>
      <c r="AI24" s="13">
        <f t="shared" si="4"/>
        <v>0</v>
      </c>
      <c r="AJ24" s="13">
        <f t="shared" si="4"/>
        <v>0</v>
      </c>
      <c r="AK24" s="13">
        <f t="shared" si="4"/>
        <v>0</v>
      </c>
      <c r="AL24" s="13">
        <f t="shared" si="4"/>
        <v>0</v>
      </c>
      <c r="AM24" s="13">
        <f t="shared" si="4"/>
        <v>0</v>
      </c>
      <c r="AN24" s="13">
        <f t="shared" si="4"/>
        <v>0</v>
      </c>
      <c r="AO24" s="13">
        <f t="shared" si="4"/>
        <v>0</v>
      </c>
      <c r="AP24" s="13">
        <f t="shared" si="2"/>
        <v>2</v>
      </c>
    </row>
    <row r="25" spans="1:42" ht="12.75" customHeight="1" x14ac:dyDescent="0.3">
      <c r="A25" s="20"/>
      <c r="B25" s="62" t="s">
        <v>21</v>
      </c>
      <c r="C25" s="63" t="s">
        <v>22</v>
      </c>
      <c r="D25" s="15" t="s">
        <v>12</v>
      </c>
      <c r="E25" s="15">
        <v>0</v>
      </c>
      <c r="F25" s="15">
        <v>0</v>
      </c>
      <c r="G25" s="15">
        <v>0</v>
      </c>
      <c r="H25" s="15">
        <v>2</v>
      </c>
      <c r="I25" s="15">
        <v>1</v>
      </c>
      <c r="J25" s="15">
        <v>1</v>
      </c>
      <c r="K25" s="15">
        <v>0</v>
      </c>
      <c r="L25" s="15">
        <v>1</v>
      </c>
      <c r="M25" s="15">
        <v>1</v>
      </c>
      <c r="N25" s="15">
        <v>1</v>
      </c>
      <c r="O25" s="15">
        <v>1</v>
      </c>
      <c r="P25" s="15">
        <v>0</v>
      </c>
      <c r="Q25" s="15">
        <v>1</v>
      </c>
      <c r="R25" s="15">
        <v>0</v>
      </c>
      <c r="S25" s="15">
        <v>0</v>
      </c>
      <c r="T25" s="15">
        <v>1</v>
      </c>
      <c r="U25" s="15">
        <v>0</v>
      </c>
      <c r="V25" s="15">
        <v>3</v>
      </c>
      <c r="W25" s="15">
        <v>0</v>
      </c>
      <c r="X25" s="15">
        <v>1</v>
      </c>
      <c r="Y25" s="15">
        <v>0</v>
      </c>
      <c r="Z25" s="15">
        <v>1</v>
      </c>
      <c r="AA25" s="15">
        <v>5</v>
      </c>
      <c r="AB25" s="15">
        <v>2</v>
      </c>
      <c r="AC25" s="15">
        <v>0</v>
      </c>
      <c r="AD25" s="15">
        <v>1</v>
      </c>
      <c r="AE25" s="15">
        <v>1</v>
      </c>
      <c r="AF25" s="15">
        <v>0</v>
      </c>
      <c r="AG25" s="15">
        <v>0</v>
      </c>
      <c r="AH25" s="15">
        <v>1</v>
      </c>
      <c r="AI25" s="15">
        <v>0</v>
      </c>
      <c r="AJ25" s="15">
        <v>2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3">
        <f t="shared" si="2"/>
        <v>27</v>
      </c>
    </row>
    <row r="26" spans="1:42" ht="12.75" customHeight="1" x14ac:dyDescent="0.3">
      <c r="A26" s="20"/>
      <c r="B26" s="57"/>
      <c r="C26" s="64"/>
      <c r="D26" s="15" t="s">
        <v>13</v>
      </c>
      <c r="E26" s="15">
        <v>0</v>
      </c>
      <c r="F26" s="15">
        <v>0</v>
      </c>
      <c r="G26" s="15">
        <v>0</v>
      </c>
      <c r="H26" s="15">
        <v>0</v>
      </c>
      <c r="I26" s="15">
        <v>1</v>
      </c>
      <c r="J26" s="15">
        <v>0</v>
      </c>
      <c r="K26" s="15">
        <v>0</v>
      </c>
      <c r="L26" s="15">
        <v>0</v>
      </c>
      <c r="M26" s="15">
        <v>2</v>
      </c>
      <c r="N26" s="15">
        <v>3</v>
      </c>
      <c r="O26" s="15">
        <v>0</v>
      </c>
      <c r="P26" s="15">
        <v>0</v>
      </c>
      <c r="Q26" s="15">
        <v>1</v>
      </c>
      <c r="R26" s="15">
        <v>0</v>
      </c>
      <c r="S26" s="15">
        <v>2</v>
      </c>
      <c r="T26" s="15">
        <v>2</v>
      </c>
      <c r="U26" s="15">
        <v>0</v>
      </c>
      <c r="V26" s="15">
        <v>0</v>
      </c>
      <c r="W26" s="15">
        <v>1</v>
      </c>
      <c r="X26" s="15">
        <v>0</v>
      </c>
      <c r="Y26" s="15">
        <v>0</v>
      </c>
      <c r="Z26" s="15">
        <v>1</v>
      </c>
      <c r="AA26" s="15">
        <v>1</v>
      </c>
      <c r="AB26" s="15">
        <v>3</v>
      </c>
      <c r="AC26" s="15">
        <v>0</v>
      </c>
      <c r="AD26" s="15">
        <v>1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1</v>
      </c>
      <c r="AK26" s="15">
        <v>1</v>
      </c>
      <c r="AL26" s="15">
        <v>0</v>
      </c>
      <c r="AM26" s="15">
        <v>3</v>
      </c>
      <c r="AN26" s="15">
        <v>0</v>
      </c>
      <c r="AO26" s="15">
        <v>0</v>
      </c>
      <c r="AP26" s="13">
        <f t="shared" si="2"/>
        <v>23</v>
      </c>
    </row>
    <row r="27" spans="1:42" ht="12.75" customHeight="1" x14ac:dyDescent="0.3">
      <c r="A27" s="21"/>
      <c r="B27" s="59"/>
      <c r="C27" s="65"/>
      <c r="D27" s="13" t="s">
        <v>14</v>
      </c>
      <c r="E27" s="13">
        <f t="shared" ref="E27:AO27" si="5">SUM(E25:E26)</f>
        <v>0</v>
      </c>
      <c r="F27" s="13">
        <f t="shared" si="5"/>
        <v>0</v>
      </c>
      <c r="G27" s="13">
        <f t="shared" si="5"/>
        <v>0</v>
      </c>
      <c r="H27" s="13">
        <f t="shared" si="5"/>
        <v>2</v>
      </c>
      <c r="I27" s="13">
        <f t="shared" si="5"/>
        <v>2</v>
      </c>
      <c r="J27" s="13">
        <f t="shared" si="5"/>
        <v>1</v>
      </c>
      <c r="K27" s="13">
        <f t="shared" si="5"/>
        <v>0</v>
      </c>
      <c r="L27" s="13">
        <f t="shared" si="5"/>
        <v>1</v>
      </c>
      <c r="M27" s="13">
        <f t="shared" si="5"/>
        <v>3</v>
      </c>
      <c r="N27" s="13">
        <f t="shared" si="5"/>
        <v>4</v>
      </c>
      <c r="O27" s="13">
        <f t="shared" si="5"/>
        <v>1</v>
      </c>
      <c r="P27" s="13">
        <f t="shared" si="5"/>
        <v>0</v>
      </c>
      <c r="Q27" s="13">
        <f t="shared" si="5"/>
        <v>2</v>
      </c>
      <c r="R27" s="13">
        <f t="shared" si="5"/>
        <v>0</v>
      </c>
      <c r="S27" s="13">
        <f t="shared" si="5"/>
        <v>2</v>
      </c>
      <c r="T27" s="13">
        <f t="shared" si="5"/>
        <v>3</v>
      </c>
      <c r="U27" s="13">
        <f t="shared" si="5"/>
        <v>0</v>
      </c>
      <c r="V27" s="13">
        <f t="shared" si="5"/>
        <v>3</v>
      </c>
      <c r="W27" s="13">
        <f t="shared" si="5"/>
        <v>1</v>
      </c>
      <c r="X27" s="13">
        <f t="shared" si="5"/>
        <v>1</v>
      </c>
      <c r="Y27" s="13">
        <f t="shared" si="5"/>
        <v>0</v>
      </c>
      <c r="Z27" s="13">
        <f t="shared" si="5"/>
        <v>2</v>
      </c>
      <c r="AA27" s="13">
        <f t="shared" si="5"/>
        <v>6</v>
      </c>
      <c r="AB27" s="13">
        <f t="shared" si="5"/>
        <v>5</v>
      </c>
      <c r="AC27" s="13">
        <f t="shared" si="5"/>
        <v>0</v>
      </c>
      <c r="AD27" s="13">
        <f t="shared" si="5"/>
        <v>2</v>
      </c>
      <c r="AE27" s="13">
        <f t="shared" si="5"/>
        <v>1</v>
      </c>
      <c r="AF27" s="13">
        <f t="shared" si="5"/>
        <v>0</v>
      </c>
      <c r="AG27" s="13">
        <f t="shared" si="5"/>
        <v>0</v>
      </c>
      <c r="AH27" s="13">
        <f t="shared" si="5"/>
        <v>1</v>
      </c>
      <c r="AI27" s="13">
        <f t="shared" si="5"/>
        <v>0</v>
      </c>
      <c r="AJ27" s="13">
        <f t="shared" si="5"/>
        <v>3</v>
      </c>
      <c r="AK27" s="13">
        <f t="shared" si="5"/>
        <v>1</v>
      </c>
      <c r="AL27" s="13">
        <f t="shared" si="5"/>
        <v>0</v>
      </c>
      <c r="AM27" s="13">
        <f t="shared" si="5"/>
        <v>3</v>
      </c>
      <c r="AN27" s="13">
        <f t="shared" si="5"/>
        <v>0</v>
      </c>
      <c r="AO27" s="13">
        <f t="shared" si="5"/>
        <v>0</v>
      </c>
      <c r="AP27" s="13">
        <f t="shared" si="2"/>
        <v>50</v>
      </c>
    </row>
    <row r="28" spans="1:42" ht="12.75" customHeight="1" x14ac:dyDescent="0.3">
      <c r="A28" s="21"/>
      <c r="B28" s="66" t="s">
        <v>23</v>
      </c>
      <c r="C28" s="67" t="s">
        <v>24</v>
      </c>
      <c r="D28" s="13" t="s">
        <v>12</v>
      </c>
      <c r="E28" s="13">
        <f t="shared" ref="E28:AO28" si="6">SUM(E19,E22,E25)</f>
        <v>106</v>
      </c>
      <c r="F28" s="13">
        <f t="shared" si="6"/>
        <v>100</v>
      </c>
      <c r="G28" s="13">
        <f t="shared" si="6"/>
        <v>86</v>
      </c>
      <c r="H28" s="13">
        <f t="shared" si="6"/>
        <v>106</v>
      </c>
      <c r="I28" s="13">
        <f t="shared" si="6"/>
        <v>103</v>
      </c>
      <c r="J28" s="13">
        <f t="shared" si="6"/>
        <v>80</v>
      </c>
      <c r="K28" s="13">
        <f t="shared" si="6"/>
        <v>90</v>
      </c>
      <c r="L28" s="13">
        <f t="shared" si="6"/>
        <v>76</v>
      </c>
      <c r="M28" s="13">
        <f t="shared" si="6"/>
        <v>106</v>
      </c>
      <c r="N28" s="13">
        <f t="shared" si="6"/>
        <v>110</v>
      </c>
      <c r="O28" s="13">
        <f t="shared" si="6"/>
        <v>90</v>
      </c>
      <c r="P28" s="13">
        <f t="shared" si="6"/>
        <v>75</v>
      </c>
      <c r="Q28" s="13">
        <f t="shared" si="6"/>
        <v>108</v>
      </c>
      <c r="R28" s="13">
        <f t="shared" si="6"/>
        <v>87</v>
      </c>
      <c r="S28" s="13">
        <f t="shared" si="6"/>
        <v>110</v>
      </c>
      <c r="T28" s="13">
        <f t="shared" si="6"/>
        <v>86</v>
      </c>
      <c r="U28" s="13">
        <f t="shared" si="6"/>
        <v>91</v>
      </c>
      <c r="V28" s="13">
        <f t="shared" si="6"/>
        <v>111</v>
      </c>
      <c r="W28" s="13">
        <f t="shared" si="6"/>
        <v>96</v>
      </c>
      <c r="X28" s="13">
        <f t="shared" si="6"/>
        <v>113</v>
      </c>
      <c r="Y28" s="13">
        <f t="shared" si="6"/>
        <v>87</v>
      </c>
      <c r="Z28" s="13">
        <f t="shared" si="6"/>
        <v>100</v>
      </c>
      <c r="AA28" s="13">
        <f t="shared" si="6"/>
        <v>102</v>
      </c>
      <c r="AB28" s="13">
        <f t="shared" si="6"/>
        <v>103</v>
      </c>
      <c r="AC28" s="13">
        <f t="shared" si="6"/>
        <v>102</v>
      </c>
      <c r="AD28" s="13">
        <f t="shared" si="6"/>
        <v>105</v>
      </c>
      <c r="AE28" s="13">
        <f t="shared" si="6"/>
        <v>94</v>
      </c>
      <c r="AF28" s="13">
        <f t="shared" si="6"/>
        <v>117</v>
      </c>
      <c r="AG28" s="13">
        <f t="shared" si="6"/>
        <v>64</v>
      </c>
      <c r="AH28" s="13">
        <f t="shared" si="6"/>
        <v>99</v>
      </c>
      <c r="AI28" s="13">
        <f t="shared" si="6"/>
        <v>107</v>
      </c>
      <c r="AJ28" s="13">
        <f t="shared" si="6"/>
        <v>115</v>
      </c>
      <c r="AK28" s="13">
        <f t="shared" si="6"/>
        <v>105</v>
      </c>
      <c r="AL28" s="13">
        <f t="shared" si="6"/>
        <v>89</v>
      </c>
      <c r="AM28" s="13">
        <f t="shared" si="6"/>
        <v>103</v>
      </c>
      <c r="AN28" s="13">
        <f t="shared" si="6"/>
        <v>98</v>
      </c>
      <c r="AO28" s="13">
        <f t="shared" si="6"/>
        <v>104</v>
      </c>
      <c r="AP28" s="13">
        <f t="shared" si="2"/>
        <v>3624</v>
      </c>
    </row>
    <row r="29" spans="1:42" ht="12.75" customHeight="1" x14ac:dyDescent="0.3">
      <c r="A29" s="21"/>
      <c r="B29" s="57"/>
      <c r="C29" s="64"/>
      <c r="D29" s="13" t="s">
        <v>13</v>
      </c>
      <c r="E29" s="13">
        <f t="shared" ref="E29:AO29" si="7">SUM(E20,E23,E26)</f>
        <v>113</v>
      </c>
      <c r="F29" s="13">
        <f t="shared" si="7"/>
        <v>107</v>
      </c>
      <c r="G29" s="13">
        <f t="shared" si="7"/>
        <v>93</v>
      </c>
      <c r="H29" s="13">
        <f t="shared" si="7"/>
        <v>104</v>
      </c>
      <c r="I29" s="13">
        <f t="shared" si="7"/>
        <v>115</v>
      </c>
      <c r="J29" s="13">
        <f t="shared" si="7"/>
        <v>94</v>
      </c>
      <c r="K29" s="13">
        <f t="shared" si="7"/>
        <v>91</v>
      </c>
      <c r="L29" s="13">
        <f t="shared" si="7"/>
        <v>83</v>
      </c>
      <c r="M29" s="13">
        <f t="shared" si="7"/>
        <v>124</v>
      </c>
      <c r="N29" s="13">
        <f t="shared" si="7"/>
        <v>124</v>
      </c>
      <c r="O29" s="13">
        <f t="shared" si="7"/>
        <v>115</v>
      </c>
      <c r="P29" s="13">
        <f t="shared" si="7"/>
        <v>101</v>
      </c>
      <c r="Q29" s="13">
        <f t="shared" si="7"/>
        <v>114</v>
      </c>
      <c r="R29" s="13">
        <f t="shared" si="7"/>
        <v>99</v>
      </c>
      <c r="S29" s="13">
        <f t="shared" si="7"/>
        <v>104</v>
      </c>
      <c r="T29" s="13">
        <f t="shared" si="7"/>
        <v>96</v>
      </c>
      <c r="U29" s="13">
        <f t="shared" si="7"/>
        <v>95</v>
      </c>
      <c r="V29" s="13">
        <f t="shared" si="7"/>
        <v>108</v>
      </c>
      <c r="W29" s="13">
        <f t="shared" si="7"/>
        <v>110</v>
      </c>
      <c r="X29" s="13">
        <f t="shared" si="7"/>
        <v>113</v>
      </c>
      <c r="Y29" s="13">
        <f t="shared" si="7"/>
        <v>116</v>
      </c>
      <c r="Z29" s="13">
        <f t="shared" si="7"/>
        <v>100</v>
      </c>
      <c r="AA29" s="13">
        <f t="shared" si="7"/>
        <v>99</v>
      </c>
      <c r="AB29" s="13">
        <f t="shared" si="7"/>
        <v>106</v>
      </c>
      <c r="AC29" s="13">
        <f t="shared" si="7"/>
        <v>110</v>
      </c>
      <c r="AD29" s="13">
        <f t="shared" si="7"/>
        <v>109</v>
      </c>
      <c r="AE29" s="13">
        <f t="shared" si="7"/>
        <v>95</v>
      </c>
      <c r="AF29" s="13">
        <f t="shared" si="7"/>
        <v>112</v>
      </c>
      <c r="AG29" s="13">
        <f t="shared" si="7"/>
        <v>140</v>
      </c>
      <c r="AH29" s="13">
        <f t="shared" si="7"/>
        <v>112</v>
      </c>
      <c r="AI29" s="13">
        <f t="shared" si="7"/>
        <v>114</v>
      </c>
      <c r="AJ29" s="13">
        <f t="shared" si="7"/>
        <v>118</v>
      </c>
      <c r="AK29" s="13">
        <f t="shared" si="7"/>
        <v>93</v>
      </c>
      <c r="AL29" s="13">
        <f t="shared" si="7"/>
        <v>92</v>
      </c>
      <c r="AM29" s="13">
        <f t="shared" si="7"/>
        <v>110</v>
      </c>
      <c r="AN29" s="13">
        <f t="shared" si="7"/>
        <v>106</v>
      </c>
      <c r="AO29" s="13">
        <f t="shared" si="7"/>
        <v>104</v>
      </c>
      <c r="AP29" s="13">
        <f t="shared" si="2"/>
        <v>3939</v>
      </c>
    </row>
    <row r="30" spans="1:42" ht="12.75" customHeight="1" x14ac:dyDescent="0.3">
      <c r="A30" s="21"/>
      <c r="B30" s="59"/>
      <c r="C30" s="65"/>
      <c r="D30" s="13" t="s">
        <v>14</v>
      </c>
      <c r="E30" s="13">
        <f t="shared" ref="E30:AO30" si="8">SUM(E28:E29)</f>
        <v>219</v>
      </c>
      <c r="F30" s="13">
        <f t="shared" si="8"/>
        <v>207</v>
      </c>
      <c r="G30" s="13">
        <f t="shared" si="8"/>
        <v>179</v>
      </c>
      <c r="H30" s="13">
        <f t="shared" si="8"/>
        <v>210</v>
      </c>
      <c r="I30" s="13">
        <f t="shared" si="8"/>
        <v>218</v>
      </c>
      <c r="J30" s="13">
        <f t="shared" si="8"/>
        <v>174</v>
      </c>
      <c r="K30" s="13">
        <f t="shared" si="8"/>
        <v>181</v>
      </c>
      <c r="L30" s="13">
        <f t="shared" si="8"/>
        <v>159</v>
      </c>
      <c r="M30" s="13">
        <f t="shared" si="8"/>
        <v>230</v>
      </c>
      <c r="N30" s="13">
        <f t="shared" si="8"/>
        <v>234</v>
      </c>
      <c r="O30" s="13">
        <f t="shared" si="8"/>
        <v>205</v>
      </c>
      <c r="P30" s="13">
        <f t="shared" si="8"/>
        <v>176</v>
      </c>
      <c r="Q30" s="13">
        <f t="shared" si="8"/>
        <v>222</v>
      </c>
      <c r="R30" s="13">
        <f t="shared" si="8"/>
        <v>186</v>
      </c>
      <c r="S30" s="13">
        <f t="shared" si="8"/>
        <v>214</v>
      </c>
      <c r="T30" s="13">
        <f t="shared" si="8"/>
        <v>182</v>
      </c>
      <c r="U30" s="13">
        <f t="shared" si="8"/>
        <v>186</v>
      </c>
      <c r="V30" s="13">
        <f t="shared" si="8"/>
        <v>219</v>
      </c>
      <c r="W30" s="13">
        <f t="shared" si="8"/>
        <v>206</v>
      </c>
      <c r="X30" s="13">
        <f t="shared" si="8"/>
        <v>226</v>
      </c>
      <c r="Y30" s="13">
        <f t="shared" si="8"/>
        <v>203</v>
      </c>
      <c r="Z30" s="13">
        <f t="shared" si="8"/>
        <v>200</v>
      </c>
      <c r="AA30" s="13">
        <f t="shared" si="8"/>
        <v>201</v>
      </c>
      <c r="AB30" s="13">
        <f t="shared" si="8"/>
        <v>209</v>
      </c>
      <c r="AC30" s="13">
        <f t="shared" si="8"/>
        <v>212</v>
      </c>
      <c r="AD30" s="13">
        <f t="shared" si="8"/>
        <v>214</v>
      </c>
      <c r="AE30" s="13">
        <f t="shared" si="8"/>
        <v>189</v>
      </c>
      <c r="AF30" s="13">
        <f t="shared" si="8"/>
        <v>229</v>
      </c>
      <c r="AG30" s="13">
        <f t="shared" si="8"/>
        <v>204</v>
      </c>
      <c r="AH30" s="13">
        <f t="shared" si="8"/>
        <v>211</v>
      </c>
      <c r="AI30" s="13">
        <f t="shared" si="8"/>
        <v>221</v>
      </c>
      <c r="AJ30" s="13">
        <f t="shared" si="8"/>
        <v>233</v>
      </c>
      <c r="AK30" s="13">
        <f t="shared" si="8"/>
        <v>198</v>
      </c>
      <c r="AL30" s="13">
        <f t="shared" si="8"/>
        <v>181</v>
      </c>
      <c r="AM30" s="13">
        <f t="shared" si="8"/>
        <v>213</v>
      </c>
      <c r="AN30" s="13">
        <f t="shared" si="8"/>
        <v>204</v>
      </c>
      <c r="AO30" s="13">
        <f t="shared" si="8"/>
        <v>208</v>
      </c>
      <c r="AP30" s="13">
        <f t="shared" si="2"/>
        <v>7563</v>
      </c>
    </row>
    <row r="31" spans="1:42" ht="12.75" customHeight="1" x14ac:dyDescent="0.3">
      <c r="A31" s="54"/>
      <c r="B31" s="48"/>
      <c r="C31" s="48"/>
      <c r="D31" s="49"/>
      <c r="E31" s="15"/>
      <c r="F31" s="15"/>
      <c r="G31" s="15"/>
      <c r="H31" s="15"/>
      <c r="I31" s="15"/>
      <c r="J31" s="15"/>
      <c r="K31" s="15"/>
      <c r="L31" s="15"/>
      <c r="M31" s="15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3"/>
    </row>
    <row r="32" spans="1:42" ht="12.75" customHeight="1" x14ac:dyDescent="0.3">
      <c r="A32" s="24" t="s">
        <v>25</v>
      </c>
      <c r="B32" s="55" t="s">
        <v>26</v>
      </c>
      <c r="C32" s="48"/>
      <c r="D32" s="49"/>
      <c r="E32" s="13"/>
      <c r="F32" s="13"/>
      <c r="G32" s="13"/>
      <c r="H32" s="13"/>
      <c r="I32" s="13"/>
      <c r="J32" s="13"/>
      <c r="K32" s="13"/>
      <c r="L32" s="13"/>
      <c r="M32" s="13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3"/>
    </row>
    <row r="33" spans="1:42" ht="12.75" customHeight="1" x14ac:dyDescent="0.3">
      <c r="A33" s="15">
        <v>1</v>
      </c>
      <c r="B33" s="61" t="s">
        <v>27</v>
      </c>
      <c r="C33" s="48"/>
      <c r="D33" s="49"/>
      <c r="E33" s="15">
        <v>282</v>
      </c>
      <c r="F33" s="15">
        <v>288</v>
      </c>
      <c r="G33" s="15">
        <v>240</v>
      </c>
      <c r="H33" s="15">
        <v>261</v>
      </c>
      <c r="I33" s="15">
        <v>286</v>
      </c>
      <c r="J33" s="15">
        <v>226</v>
      </c>
      <c r="K33" s="15">
        <v>226</v>
      </c>
      <c r="L33" s="15">
        <v>202</v>
      </c>
      <c r="M33" s="15">
        <v>306</v>
      </c>
      <c r="N33" s="15">
        <v>300</v>
      </c>
      <c r="O33" s="15">
        <v>296</v>
      </c>
      <c r="P33" s="15">
        <v>207</v>
      </c>
      <c r="Q33" s="15">
        <v>282</v>
      </c>
      <c r="R33" s="15">
        <v>258</v>
      </c>
      <c r="S33" s="15">
        <v>277</v>
      </c>
      <c r="T33" s="15">
        <v>246</v>
      </c>
      <c r="U33" s="15">
        <v>262</v>
      </c>
      <c r="V33" s="15">
        <v>291</v>
      </c>
      <c r="W33" s="15">
        <v>286</v>
      </c>
      <c r="X33" s="15">
        <v>296</v>
      </c>
      <c r="Y33" s="15">
        <v>283</v>
      </c>
      <c r="Z33" s="15">
        <v>281</v>
      </c>
      <c r="AA33" s="15">
        <v>285</v>
      </c>
      <c r="AB33" s="15">
        <v>284</v>
      </c>
      <c r="AC33" s="15">
        <v>281</v>
      </c>
      <c r="AD33" s="15">
        <v>286</v>
      </c>
      <c r="AE33" s="15">
        <v>276</v>
      </c>
      <c r="AF33" s="15">
        <v>293</v>
      </c>
      <c r="AG33" s="15">
        <v>270</v>
      </c>
      <c r="AH33" s="15">
        <v>283</v>
      </c>
      <c r="AI33" s="15">
        <v>289</v>
      </c>
      <c r="AJ33" s="15">
        <v>293</v>
      </c>
      <c r="AK33" s="15">
        <v>273</v>
      </c>
      <c r="AL33" s="15">
        <v>249</v>
      </c>
      <c r="AM33" s="15">
        <v>304</v>
      </c>
      <c r="AN33" s="15">
        <v>253</v>
      </c>
      <c r="AO33" s="15">
        <v>250</v>
      </c>
      <c r="AP33" s="13">
        <f t="shared" ref="AP33:AP36" si="9">SUM(E33:AO33)</f>
        <v>10051</v>
      </c>
    </row>
    <row r="34" spans="1:42" ht="12.75" customHeight="1" x14ac:dyDescent="0.3">
      <c r="A34" s="15">
        <v>2</v>
      </c>
      <c r="B34" s="61" t="s">
        <v>28</v>
      </c>
      <c r="C34" s="48"/>
      <c r="D34" s="49"/>
      <c r="E34" s="13">
        <v>219</v>
      </c>
      <c r="F34" s="13">
        <v>207</v>
      </c>
      <c r="G34" s="13">
        <v>179</v>
      </c>
      <c r="H34" s="13">
        <v>210</v>
      </c>
      <c r="I34" s="13">
        <v>218</v>
      </c>
      <c r="J34" s="13">
        <v>174</v>
      </c>
      <c r="K34" s="13">
        <v>181</v>
      </c>
      <c r="L34" s="13">
        <v>159</v>
      </c>
      <c r="M34" s="13">
        <v>230</v>
      </c>
      <c r="N34" s="13">
        <v>234</v>
      </c>
      <c r="O34" s="13">
        <v>205</v>
      </c>
      <c r="P34" s="13">
        <v>176</v>
      </c>
      <c r="Q34" s="13">
        <v>222</v>
      </c>
      <c r="R34" s="13">
        <v>186</v>
      </c>
      <c r="S34" s="13">
        <v>214</v>
      </c>
      <c r="T34" s="13">
        <v>182</v>
      </c>
      <c r="U34" s="13">
        <v>186</v>
      </c>
      <c r="V34" s="13">
        <v>219</v>
      </c>
      <c r="W34" s="13">
        <v>206</v>
      </c>
      <c r="X34" s="13">
        <v>226</v>
      </c>
      <c r="Y34" s="13">
        <v>203</v>
      </c>
      <c r="Z34" s="13">
        <v>200</v>
      </c>
      <c r="AA34" s="13">
        <v>201</v>
      </c>
      <c r="AB34" s="13">
        <v>209</v>
      </c>
      <c r="AC34" s="13">
        <v>212</v>
      </c>
      <c r="AD34" s="13">
        <v>214</v>
      </c>
      <c r="AE34" s="13">
        <v>189</v>
      </c>
      <c r="AF34" s="13">
        <v>229</v>
      </c>
      <c r="AG34" s="13">
        <v>204</v>
      </c>
      <c r="AH34" s="13">
        <v>211</v>
      </c>
      <c r="AI34" s="13">
        <v>221</v>
      </c>
      <c r="AJ34" s="13">
        <v>233</v>
      </c>
      <c r="AK34" s="13">
        <v>198</v>
      </c>
      <c r="AL34" s="13">
        <v>181</v>
      </c>
      <c r="AM34" s="13">
        <v>213</v>
      </c>
      <c r="AN34" s="13">
        <v>204</v>
      </c>
      <c r="AO34" s="13">
        <v>208</v>
      </c>
      <c r="AP34" s="13">
        <f t="shared" si="9"/>
        <v>7563</v>
      </c>
    </row>
    <row r="35" spans="1:42" ht="12.75" customHeight="1" x14ac:dyDescent="0.3">
      <c r="A35" s="15">
        <v>3</v>
      </c>
      <c r="B35" s="61" t="s">
        <v>29</v>
      </c>
      <c r="C35" s="48"/>
      <c r="D35" s="49"/>
      <c r="E35" s="15">
        <v>0</v>
      </c>
      <c r="F35" s="15">
        <v>1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1</v>
      </c>
      <c r="P35" s="15">
        <v>0</v>
      </c>
      <c r="Q35" s="15">
        <v>0</v>
      </c>
      <c r="R35" s="15">
        <v>1</v>
      </c>
      <c r="S35" s="15">
        <v>2</v>
      </c>
      <c r="T35" s="15">
        <v>0</v>
      </c>
      <c r="U35" s="15">
        <v>2</v>
      </c>
      <c r="V35" s="15">
        <v>0</v>
      </c>
      <c r="W35" s="15">
        <v>1</v>
      </c>
      <c r="X35" s="15">
        <v>0</v>
      </c>
      <c r="Y35" s="15">
        <v>0</v>
      </c>
      <c r="Z35" s="15">
        <v>3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1</v>
      </c>
      <c r="AH35" s="15">
        <v>0</v>
      </c>
      <c r="AI35" s="15">
        <v>0</v>
      </c>
      <c r="AJ35" s="15">
        <v>1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3">
        <f t="shared" si="9"/>
        <v>13</v>
      </c>
    </row>
    <row r="36" spans="1:42" ht="12.75" customHeight="1" x14ac:dyDescent="0.3">
      <c r="A36" s="15">
        <v>4</v>
      </c>
      <c r="B36" s="61" t="s">
        <v>30</v>
      </c>
      <c r="C36" s="48"/>
      <c r="D36" s="49"/>
      <c r="E36" s="13">
        <f t="shared" ref="E36:AO36" si="10">E33-(E34+E35)</f>
        <v>63</v>
      </c>
      <c r="F36" s="13">
        <f t="shared" si="10"/>
        <v>80</v>
      </c>
      <c r="G36" s="13">
        <f t="shared" si="10"/>
        <v>61</v>
      </c>
      <c r="H36" s="13">
        <f t="shared" si="10"/>
        <v>51</v>
      </c>
      <c r="I36" s="13">
        <f t="shared" si="10"/>
        <v>68</v>
      </c>
      <c r="J36" s="13">
        <f t="shared" si="10"/>
        <v>52</v>
      </c>
      <c r="K36" s="13">
        <f t="shared" si="10"/>
        <v>45</v>
      </c>
      <c r="L36" s="13">
        <f t="shared" si="10"/>
        <v>43</v>
      </c>
      <c r="M36" s="13">
        <f t="shared" si="10"/>
        <v>76</v>
      </c>
      <c r="N36" s="13">
        <f t="shared" si="10"/>
        <v>66</v>
      </c>
      <c r="O36" s="13">
        <f t="shared" si="10"/>
        <v>90</v>
      </c>
      <c r="P36" s="13">
        <f t="shared" si="10"/>
        <v>31</v>
      </c>
      <c r="Q36" s="13">
        <f t="shared" si="10"/>
        <v>60</v>
      </c>
      <c r="R36" s="13">
        <f t="shared" si="10"/>
        <v>71</v>
      </c>
      <c r="S36" s="13">
        <f t="shared" si="10"/>
        <v>61</v>
      </c>
      <c r="T36" s="13">
        <f t="shared" si="10"/>
        <v>64</v>
      </c>
      <c r="U36" s="13">
        <f t="shared" si="10"/>
        <v>74</v>
      </c>
      <c r="V36" s="13">
        <f t="shared" si="10"/>
        <v>72</v>
      </c>
      <c r="W36" s="13">
        <f t="shared" si="10"/>
        <v>79</v>
      </c>
      <c r="X36" s="13">
        <f t="shared" si="10"/>
        <v>70</v>
      </c>
      <c r="Y36" s="13">
        <f t="shared" si="10"/>
        <v>80</v>
      </c>
      <c r="Z36" s="13">
        <f t="shared" si="10"/>
        <v>78</v>
      </c>
      <c r="AA36" s="13">
        <f t="shared" si="10"/>
        <v>84</v>
      </c>
      <c r="AB36" s="13">
        <f t="shared" si="10"/>
        <v>75</v>
      </c>
      <c r="AC36" s="13">
        <f t="shared" si="10"/>
        <v>69</v>
      </c>
      <c r="AD36" s="13">
        <f t="shared" si="10"/>
        <v>72</v>
      </c>
      <c r="AE36" s="13">
        <f t="shared" si="10"/>
        <v>87</v>
      </c>
      <c r="AF36" s="13">
        <f t="shared" si="10"/>
        <v>64</v>
      </c>
      <c r="AG36" s="13">
        <f t="shared" si="10"/>
        <v>65</v>
      </c>
      <c r="AH36" s="13">
        <f t="shared" si="10"/>
        <v>72</v>
      </c>
      <c r="AI36" s="13">
        <f t="shared" si="10"/>
        <v>68</v>
      </c>
      <c r="AJ36" s="13">
        <f t="shared" si="10"/>
        <v>59</v>
      </c>
      <c r="AK36" s="13">
        <f t="shared" si="10"/>
        <v>75</v>
      </c>
      <c r="AL36" s="13">
        <f t="shared" si="10"/>
        <v>68</v>
      </c>
      <c r="AM36" s="13">
        <f t="shared" si="10"/>
        <v>91</v>
      </c>
      <c r="AN36" s="13">
        <f t="shared" si="10"/>
        <v>49</v>
      </c>
      <c r="AO36" s="13">
        <f t="shared" si="10"/>
        <v>42</v>
      </c>
      <c r="AP36" s="13">
        <f t="shared" si="9"/>
        <v>2475</v>
      </c>
    </row>
    <row r="37" spans="1:42" ht="12.75" customHeight="1" x14ac:dyDescent="0.3">
      <c r="A37" s="54"/>
      <c r="B37" s="48"/>
      <c r="C37" s="48"/>
      <c r="D37" s="48"/>
      <c r="E37" s="54"/>
      <c r="F37" s="48"/>
      <c r="G37" s="48"/>
      <c r="H37" s="48"/>
      <c r="I37" s="49"/>
      <c r="J37" s="15"/>
      <c r="K37" s="15"/>
      <c r="L37" s="15"/>
      <c r="M37" s="15"/>
      <c r="N37" s="42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2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3"/>
    </row>
    <row r="38" spans="1:42" ht="12.75" customHeight="1" x14ac:dyDescent="0.3">
      <c r="A38" s="25" t="s">
        <v>31</v>
      </c>
      <c r="B38" s="55" t="s">
        <v>32</v>
      </c>
      <c r="C38" s="48"/>
      <c r="D38" s="49"/>
      <c r="E38" s="13"/>
      <c r="F38" s="13"/>
      <c r="G38" s="13"/>
      <c r="H38" s="13"/>
      <c r="I38" s="13"/>
      <c r="J38" s="13"/>
      <c r="K38" s="13"/>
      <c r="L38" s="13"/>
      <c r="M38" s="13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3"/>
    </row>
    <row r="39" spans="1:42" ht="12.75" customHeight="1" x14ac:dyDescent="0.3">
      <c r="A39" s="19"/>
      <c r="B39" s="51" t="s">
        <v>33</v>
      </c>
      <c r="C39" s="53"/>
      <c r="D39" s="15" t="s">
        <v>12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1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1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1</v>
      </c>
      <c r="AL39" s="15">
        <v>0</v>
      </c>
      <c r="AM39" s="15">
        <v>0</v>
      </c>
      <c r="AN39" s="15">
        <v>0</v>
      </c>
      <c r="AO39" s="15">
        <v>0</v>
      </c>
      <c r="AP39" s="13">
        <f t="shared" ref="AP39:AP41" si="11">SUM(E39:AO39)</f>
        <v>3</v>
      </c>
    </row>
    <row r="40" spans="1:42" ht="12.75" customHeight="1" x14ac:dyDescent="0.3">
      <c r="A40" s="20"/>
      <c r="B40" s="56"/>
      <c r="C40" s="57"/>
      <c r="D40" s="15" t="s">
        <v>13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1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3">
        <f t="shared" si="11"/>
        <v>1</v>
      </c>
    </row>
    <row r="41" spans="1:42" ht="12.75" customHeight="1" x14ac:dyDescent="0.3">
      <c r="A41" s="24"/>
      <c r="B41" s="58"/>
      <c r="C41" s="59"/>
      <c r="D41" s="13" t="s">
        <v>14</v>
      </c>
      <c r="E41" s="13">
        <f t="shared" ref="E41:AO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1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0</v>
      </c>
      <c r="P41" s="13">
        <f t="shared" si="12"/>
        <v>0</v>
      </c>
      <c r="Q41" s="13">
        <f t="shared" si="12"/>
        <v>0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0</v>
      </c>
      <c r="V41" s="13">
        <f t="shared" si="12"/>
        <v>0</v>
      </c>
      <c r="W41" s="13">
        <f t="shared" si="12"/>
        <v>0</v>
      </c>
      <c r="X41" s="13">
        <f t="shared" si="12"/>
        <v>0</v>
      </c>
      <c r="Y41" s="13">
        <f t="shared" si="12"/>
        <v>0</v>
      </c>
      <c r="Z41" s="13">
        <f t="shared" si="12"/>
        <v>0</v>
      </c>
      <c r="AA41" s="13">
        <f t="shared" si="12"/>
        <v>1</v>
      </c>
      <c r="AB41" s="13">
        <f t="shared" si="12"/>
        <v>0</v>
      </c>
      <c r="AC41" s="13">
        <f t="shared" si="12"/>
        <v>0</v>
      </c>
      <c r="AD41" s="13">
        <f t="shared" si="12"/>
        <v>1</v>
      </c>
      <c r="AE41" s="13">
        <f t="shared" si="12"/>
        <v>0</v>
      </c>
      <c r="AF41" s="13">
        <f t="shared" si="12"/>
        <v>0</v>
      </c>
      <c r="AG41" s="13">
        <f t="shared" si="12"/>
        <v>0</v>
      </c>
      <c r="AH41" s="13">
        <f t="shared" si="12"/>
        <v>0</v>
      </c>
      <c r="AI41" s="13">
        <f t="shared" si="12"/>
        <v>0</v>
      </c>
      <c r="AJ41" s="13">
        <f t="shared" si="12"/>
        <v>0</v>
      </c>
      <c r="AK41" s="13">
        <f t="shared" si="12"/>
        <v>1</v>
      </c>
      <c r="AL41" s="13">
        <f t="shared" si="12"/>
        <v>0</v>
      </c>
      <c r="AM41" s="13">
        <f t="shared" si="12"/>
        <v>0</v>
      </c>
      <c r="AN41" s="13">
        <f t="shared" si="12"/>
        <v>0</v>
      </c>
      <c r="AO41" s="13">
        <f t="shared" si="12"/>
        <v>0</v>
      </c>
      <c r="AP41" s="13">
        <f t="shared" si="11"/>
        <v>4</v>
      </c>
    </row>
    <row r="42" spans="1:42" ht="12.75" customHeight="1" x14ac:dyDescent="0.3">
      <c r="A42" s="60"/>
      <c r="B42" s="58"/>
      <c r="C42" s="58"/>
      <c r="D42" s="59"/>
      <c r="E42" s="54"/>
      <c r="F42" s="48"/>
      <c r="G42" s="48"/>
      <c r="H42" s="48"/>
      <c r="I42" s="49"/>
      <c r="J42" s="15"/>
      <c r="K42" s="15"/>
      <c r="L42" s="15"/>
      <c r="M42" s="15"/>
      <c r="N42" s="42"/>
      <c r="O42" s="15"/>
      <c r="P42" s="42"/>
      <c r="Q42" s="15"/>
      <c r="R42" s="42"/>
      <c r="S42" s="15"/>
      <c r="T42" s="42"/>
      <c r="U42" s="15"/>
      <c r="V42" s="42"/>
      <c r="W42" s="15"/>
      <c r="X42" s="42"/>
      <c r="Y42" s="15"/>
      <c r="Z42" s="42"/>
      <c r="AA42" s="15"/>
      <c r="AB42" s="42"/>
      <c r="AC42" s="15"/>
      <c r="AD42" s="42"/>
      <c r="AE42" s="15"/>
      <c r="AF42" s="42"/>
      <c r="AG42" s="15"/>
      <c r="AH42" s="42"/>
      <c r="AI42" s="15"/>
      <c r="AJ42" s="42"/>
      <c r="AK42" s="15"/>
      <c r="AL42" s="42"/>
      <c r="AM42" s="15"/>
      <c r="AN42" s="42"/>
      <c r="AO42" s="15"/>
      <c r="AP42" s="13"/>
    </row>
    <row r="43" spans="1:42" ht="12.75" customHeight="1" x14ac:dyDescent="0.3">
      <c r="A43" s="25" t="s">
        <v>34</v>
      </c>
      <c r="B43" s="55" t="s">
        <v>35</v>
      </c>
      <c r="C43" s="48"/>
      <c r="D43" s="49"/>
      <c r="E43" s="18"/>
      <c r="F43" s="13"/>
      <c r="G43" s="13"/>
      <c r="H43" s="13"/>
      <c r="I43" s="13"/>
      <c r="J43" s="13"/>
      <c r="K43" s="13"/>
      <c r="L43" s="13"/>
      <c r="M43" s="13"/>
      <c r="N43" s="44"/>
      <c r="O43" s="13"/>
      <c r="P43" s="44"/>
      <c r="Q43" s="13"/>
      <c r="R43" s="44"/>
      <c r="S43" s="13"/>
      <c r="T43" s="44"/>
      <c r="U43" s="13"/>
      <c r="V43" s="44"/>
      <c r="W43" s="13"/>
      <c r="X43" s="44"/>
      <c r="Y43" s="13"/>
      <c r="Z43" s="44"/>
      <c r="AA43" s="13"/>
      <c r="AB43" s="44"/>
      <c r="AC43" s="13"/>
      <c r="AD43" s="44"/>
      <c r="AE43" s="13"/>
      <c r="AF43" s="44"/>
      <c r="AG43" s="13"/>
      <c r="AH43" s="44"/>
      <c r="AI43" s="13"/>
      <c r="AJ43" s="44"/>
      <c r="AK43" s="13"/>
      <c r="AL43" s="44"/>
      <c r="AM43" s="13"/>
      <c r="AN43" s="44"/>
      <c r="AO43" s="13"/>
      <c r="AP43" s="13"/>
    </row>
    <row r="44" spans="1:42" ht="12.75" customHeight="1" x14ac:dyDescent="0.3">
      <c r="A44" s="51" t="s">
        <v>36</v>
      </c>
      <c r="B44" s="52"/>
      <c r="C44" s="52"/>
      <c r="D44" s="53"/>
      <c r="E44" s="16"/>
      <c r="F44" s="15"/>
      <c r="G44" s="15"/>
      <c r="H44" s="15"/>
      <c r="I44" s="15"/>
      <c r="J44" s="15"/>
      <c r="K44" s="15"/>
      <c r="L44" s="15"/>
      <c r="M44" s="15"/>
      <c r="N44" s="42"/>
      <c r="O44" s="15"/>
      <c r="P44" s="42"/>
      <c r="Q44" s="15"/>
      <c r="R44" s="42"/>
      <c r="S44" s="15"/>
      <c r="T44" s="42"/>
      <c r="U44" s="15"/>
      <c r="V44" s="42"/>
      <c r="W44" s="15"/>
      <c r="X44" s="42"/>
      <c r="Y44" s="15"/>
      <c r="Z44" s="42"/>
      <c r="AA44" s="15"/>
      <c r="AB44" s="42"/>
      <c r="AC44" s="15"/>
      <c r="AD44" s="42"/>
      <c r="AE44" s="15"/>
      <c r="AF44" s="42"/>
      <c r="AG44" s="15"/>
      <c r="AH44" s="42"/>
      <c r="AI44" s="15"/>
      <c r="AJ44" s="42"/>
      <c r="AK44" s="15"/>
      <c r="AL44" s="42"/>
      <c r="AM44" s="15"/>
      <c r="AN44" s="42"/>
      <c r="AO44" s="15"/>
      <c r="AP44" s="13"/>
    </row>
    <row r="45" spans="1:42" ht="12.75" customHeight="1" x14ac:dyDescent="0.3">
      <c r="A45" s="19" t="s">
        <v>37</v>
      </c>
      <c r="B45" s="26" t="s">
        <v>17</v>
      </c>
      <c r="C45" s="50" t="s">
        <v>38</v>
      </c>
      <c r="D45" s="49"/>
      <c r="E45" s="15">
        <v>7</v>
      </c>
      <c r="F45" s="15">
        <v>3</v>
      </c>
      <c r="G45" s="15">
        <v>7</v>
      </c>
      <c r="H45" s="15">
        <v>2</v>
      </c>
      <c r="I45" s="15">
        <v>13</v>
      </c>
      <c r="J45" s="15">
        <v>6</v>
      </c>
      <c r="K45" s="15">
        <v>3</v>
      </c>
      <c r="L45" s="15">
        <v>8</v>
      </c>
      <c r="M45" s="15">
        <v>2</v>
      </c>
      <c r="N45" s="15">
        <v>2</v>
      </c>
      <c r="O45" s="15">
        <v>2</v>
      </c>
      <c r="P45" s="15">
        <v>5</v>
      </c>
      <c r="Q45" s="15">
        <v>1</v>
      </c>
      <c r="R45" s="15">
        <v>5</v>
      </c>
      <c r="S45" s="15">
        <v>1</v>
      </c>
      <c r="T45" s="15">
        <v>0</v>
      </c>
      <c r="U45" s="15">
        <v>2</v>
      </c>
      <c r="V45" s="15">
        <v>1</v>
      </c>
      <c r="W45" s="15">
        <v>3</v>
      </c>
      <c r="X45" s="15">
        <v>8</v>
      </c>
      <c r="Y45" s="15">
        <v>4</v>
      </c>
      <c r="Z45" s="15">
        <v>5</v>
      </c>
      <c r="AA45" s="15">
        <v>5</v>
      </c>
      <c r="AB45" s="15">
        <v>7</v>
      </c>
      <c r="AC45" s="15">
        <v>6</v>
      </c>
      <c r="AD45" s="15">
        <v>8</v>
      </c>
      <c r="AE45" s="15">
        <v>6</v>
      </c>
      <c r="AF45" s="15">
        <v>2</v>
      </c>
      <c r="AG45" s="15">
        <v>2</v>
      </c>
      <c r="AH45" s="15">
        <v>0</v>
      </c>
      <c r="AI45" s="15">
        <v>6</v>
      </c>
      <c r="AJ45" s="15">
        <v>4</v>
      </c>
      <c r="AK45" s="15">
        <v>1</v>
      </c>
      <c r="AL45" s="15">
        <v>5</v>
      </c>
      <c r="AM45" s="15">
        <v>6</v>
      </c>
      <c r="AN45" s="15">
        <v>4</v>
      </c>
      <c r="AO45" s="15">
        <v>7</v>
      </c>
      <c r="AP45" s="13">
        <f t="shared" ref="AP45:AP182" si="13">SUM(E45:AO45)</f>
        <v>159</v>
      </c>
    </row>
    <row r="46" spans="1:42" ht="12.75" customHeight="1" x14ac:dyDescent="0.3">
      <c r="A46" s="19" t="s">
        <v>39</v>
      </c>
      <c r="B46" s="27">
        <v>1</v>
      </c>
      <c r="C46" s="28" t="s">
        <v>40</v>
      </c>
      <c r="D46" s="29"/>
      <c r="E46" s="15">
        <v>4</v>
      </c>
      <c r="F46" s="15">
        <v>3</v>
      </c>
      <c r="G46" s="15">
        <v>1</v>
      </c>
      <c r="H46" s="15">
        <v>4</v>
      </c>
      <c r="I46" s="15">
        <v>8</v>
      </c>
      <c r="J46" s="15">
        <v>3</v>
      </c>
      <c r="K46" s="15">
        <v>0</v>
      </c>
      <c r="L46" s="15">
        <v>5</v>
      </c>
      <c r="M46" s="15">
        <v>2</v>
      </c>
      <c r="N46" s="15">
        <v>10</v>
      </c>
      <c r="O46" s="15">
        <v>7</v>
      </c>
      <c r="P46" s="15">
        <v>5</v>
      </c>
      <c r="Q46" s="15">
        <v>2</v>
      </c>
      <c r="R46" s="15">
        <v>2</v>
      </c>
      <c r="S46" s="15">
        <v>5</v>
      </c>
      <c r="T46" s="15">
        <v>1</v>
      </c>
      <c r="U46" s="15">
        <v>2</v>
      </c>
      <c r="V46" s="15">
        <v>1</v>
      </c>
      <c r="W46" s="15">
        <v>3</v>
      </c>
      <c r="X46" s="15">
        <v>2</v>
      </c>
      <c r="Y46" s="15">
        <v>10</v>
      </c>
      <c r="Z46" s="15">
        <v>6</v>
      </c>
      <c r="AA46" s="15">
        <v>1</v>
      </c>
      <c r="AB46" s="15">
        <v>2</v>
      </c>
      <c r="AC46" s="15">
        <v>6</v>
      </c>
      <c r="AD46" s="15">
        <v>4</v>
      </c>
      <c r="AE46" s="15">
        <v>0</v>
      </c>
      <c r="AF46" s="15">
        <v>6</v>
      </c>
      <c r="AG46" s="15">
        <v>1</v>
      </c>
      <c r="AH46" s="15">
        <v>0</v>
      </c>
      <c r="AI46" s="15">
        <v>1</v>
      </c>
      <c r="AJ46" s="15">
        <v>0</v>
      </c>
      <c r="AK46" s="15">
        <v>0</v>
      </c>
      <c r="AL46" s="15">
        <v>1</v>
      </c>
      <c r="AM46" s="15">
        <v>2</v>
      </c>
      <c r="AN46" s="15">
        <v>0</v>
      </c>
      <c r="AO46" s="15">
        <v>2</v>
      </c>
      <c r="AP46" s="13">
        <f t="shared" si="13"/>
        <v>112</v>
      </c>
    </row>
    <row r="47" spans="1:42" ht="12.75" customHeight="1" x14ac:dyDescent="0.3">
      <c r="A47" s="14"/>
      <c r="B47" s="27">
        <v>2</v>
      </c>
      <c r="C47" s="28" t="s">
        <v>41</v>
      </c>
      <c r="D47" s="29"/>
      <c r="E47" s="15">
        <v>9</v>
      </c>
      <c r="F47" s="15">
        <v>20</v>
      </c>
      <c r="G47" s="15">
        <v>4</v>
      </c>
      <c r="H47" s="15">
        <v>14</v>
      </c>
      <c r="I47" s="15">
        <v>6</v>
      </c>
      <c r="J47" s="15">
        <v>1</v>
      </c>
      <c r="K47" s="15">
        <v>1</v>
      </c>
      <c r="L47" s="15">
        <v>1</v>
      </c>
      <c r="M47" s="15">
        <v>1</v>
      </c>
      <c r="N47" s="15">
        <v>0</v>
      </c>
      <c r="O47" s="15">
        <v>0</v>
      </c>
      <c r="P47" s="15">
        <v>0</v>
      </c>
      <c r="Q47" s="15">
        <v>1</v>
      </c>
      <c r="R47" s="15">
        <v>0</v>
      </c>
      <c r="S47" s="15">
        <v>0</v>
      </c>
      <c r="T47" s="15">
        <v>4</v>
      </c>
      <c r="U47" s="15">
        <v>1</v>
      </c>
      <c r="V47" s="15">
        <v>0</v>
      </c>
      <c r="W47" s="15">
        <v>15</v>
      </c>
      <c r="X47" s="15">
        <v>2</v>
      </c>
      <c r="Y47" s="15">
        <v>6</v>
      </c>
      <c r="Z47" s="15">
        <v>9</v>
      </c>
      <c r="AA47" s="15">
        <v>20</v>
      </c>
      <c r="AB47" s="15">
        <v>13</v>
      </c>
      <c r="AC47" s="15">
        <v>25</v>
      </c>
      <c r="AD47" s="15">
        <v>23</v>
      </c>
      <c r="AE47" s="15">
        <v>21</v>
      </c>
      <c r="AF47" s="15">
        <v>0</v>
      </c>
      <c r="AG47" s="15">
        <v>1</v>
      </c>
      <c r="AH47" s="15">
        <v>1</v>
      </c>
      <c r="AI47" s="15">
        <v>8</v>
      </c>
      <c r="AJ47" s="15">
        <v>0</v>
      </c>
      <c r="AK47" s="15">
        <v>1</v>
      </c>
      <c r="AL47" s="15">
        <v>4</v>
      </c>
      <c r="AM47" s="15">
        <v>4</v>
      </c>
      <c r="AN47" s="15">
        <v>8</v>
      </c>
      <c r="AO47" s="15">
        <v>1</v>
      </c>
      <c r="AP47" s="13">
        <f t="shared" si="13"/>
        <v>225</v>
      </c>
    </row>
    <row r="48" spans="1:42" ht="12.75" customHeight="1" x14ac:dyDescent="0.3">
      <c r="A48" s="14"/>
      <c r="B48" s="27">
        <v>3</v>
      </c>
      <c r="C48" s="28" t="s">
        <v>42</v>
      </c>
      <c r="D48" s="29"/>
      <c r="E48" s="15">
        <v>4</v>
      </c>
      <c r="F48" s="15">
        <v>1</v>
      </c>
      <c r="G48" s="15">
        <v>0</v>
      </c>
      <c r="H48" s="15">
        <v>5</v>
      </c>
      <c r="I48" s="15">
        <v>3</v>
      </c>
      <c r="J48" s="15">
        <v>3</v>
      </c>
      <c r="K48" s="15">
        <v>7</v>
      </c>
      <c r="L48" s="15">
        <v>8</v>
      </c>
      <c r="M48" s="15">
        <v>0</v>
      </c>
      <c r="N48" s="15">
        <v>1</v>
      </c>
      <c r="O48" s="15">
        <v>1</v>
      </c>
      <c r="P48" s="15">
        <v>2</v>
      </c>
      <c r="Q48" s="15">
        <v>2</v>
      </c>
      <c r="R48" s="15">
        <v>1</v>
      </c>
      <c r="S48" s="15">
        <v>1</v>
      </c>
      <c r="T48" s="15">
        <v>2</v>
      </c>
      <c r="U48" s="15">
        <v>1</v>
      </c>
      <c r="V48" s="15">
        <v>0</v>
      </c>
      <c r="W48" s="15">
        <v>0</v>
      </c>
      <c r="X48" s="15">
        <v>3</v>
      </c>
      <c r="Y48" s="15">
        <v>1</v>
      </c>
      <c r="Z48" s="15">
        <v>2</v>
      </c>
      <c r="AA48" s="15">
        <v>1</v>
      </c>
      <c r="AB48" s="15">
        <v>2</v>
      </c>
      <c r="AC48" s="15">
        <v>0</v>
      </c>
      <c r="AD48" s="15">
        <v>2</v>
      </c>
      <c r="AE48" s="15">
        <v>2</v>
      </c>
      <c r="AF48" s="15">
        <v>8</v>
      </c>
      <c r="AG48" s="15">
        <v>25</v>
      </c>
      <c r="AH48" s="15">
        <v>0</v>
      </c>
      <c r="AI48" s="15">
        <v>13</v>
      </c>
      <c r="AJ48" s="15">
        <v>1</v>
      </c>
      <c r="AK48" s="15">
        <v>6</v>
      </c>
      <c r="AL48" s="15">
        <v>20</v>
      </c>
      <c r="AM48" s="15">
        <v>4</v>
      </c>
      <c r="AN48" s="15">
        <v>4</v>
      </c>
      <c r="AO48" s="15">
        <v>1</v>
      </c>
      <c r="AP48" s="13">
        <f t="shared" si="13"/>
        <v>137</v>
      </c>
    </row>
    <row r="49" spans="1:42" ht="12.75" customHeight="1" x14ac:dyDescent="0.3">
      <c r="A49" s="14"/>
      <c r="B49" s="27">
        <v>4</v>
      </c>
      <c r="C49" s="28" t="s">
        <v>43</v>
      </c>
      <c r="D49" s="29"/>
      <c r="E49" s="15">
        <v>0</v>
      </c>
      <c r="F49" s="15">
        <v>0</v>
      </c>
      <c r="G49" s="15">
        <v>2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1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1</v>
      </c>
      <c r="AP49" s="13">
        <f t="shared" si="13"/>
        <v>5</v>
      </c>
    </row>
    <row r="50" spans="1:42" ht="12.75" customHeight="1" x14ac:dyDescent="0.3">
      <c r="A50" s="14"/>
      <c r="B50" s="27">
        <v>5</v>
      </c>
      <c r="C50" s="28" t="s">
        <v>44</v>
      </c>
      <c r="D50" s="29"/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1</v>
      </c>
      <c r="P50" s="15">
        <v>1</v>
      </c>
      <c r="Q50" s="15">
        <v>0</v>
      </c>
      <c r="R50" s="15">
        <v>0</v>
      </c>
      <c r="S50" s="15">
        <v>0</v>
      </c>
      <c r="T50" s="15">
        <v>0</v>
      </c>
      <c r="U50" s="15">
        <v>1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1</v>
      </c>
      <c r="AM50" s="15">
        <v>0</v>
      </c>
      <c r="AN50" s="15">
        <v>0</v>
      </c>
      <c r="AO50" s="15">
        <v>0</v>
      </c>
      <c r="AP50" s="13">
        <f t="shared" si="13"/>
        <v>4</v>
      </c>
    </row>
    <row r="51" spans="1:42" ht="12.75" customHeight="1" x14ac:dyDescent="0.3">
      <c r="A51" s="14"/>
      <c r="B51" s="27">
        <v>6</v>
      </c>
      <c r="C51" s="28" t="s">
        <v>45</v>
      </c>
      <c r="D51" s="29"/>
      <c r="E51" s="15">
        <v>2</v>
      </c>
      <c r="F51" s="15">
        <v>0</v>
      </c>
      <c r="G51" s="15">
        <v>3</v>
      </c>
      <c r="H51" s="15">
        <v>7</v>
      </c>
      <c r="I51" s="15">
        <v>3</v>
      </c>
      <c r="J51" s="15">
        <v>11</v>
      </c>
      <c r="K51" s="15">
        <v>8</v>
      </c>
      <c r="L51" s="15">
        <v>16</v>
      </c>
      <c r="M51" s="15">
        <v>1</v>
      </c>
      <c r="N51" s="15">
        <v>4</v>
      </c>
      <c r="O51" s="15">
        <v>18</v>
      </c>
      <c r="P51" s="15">
        <v>4</v>
      </c>
      <c r="Q51" s="15">
        <v>0</v>
      </c>
      <c r="R51" s="15">
        <v>2</v>
      </c>
      <c r="S51" s="15">
        <v>2</v>
      </c>
      <c r="T51" s="15">
        <v>0</v>
      </c>
      <c r="U51" s="15">
        <v>1</v>
      </c>
      <c r="V51" s="15">
        <v>6</v>
      </c>
      <c r="W51" s="15">
        <v>4</v>
      </c>
      <c r="X51" s="15">
        <v>52</v>
      </c>
      <c r="Y51" s="15">
        <v>6</v>
      </c>
      <c r="Z51" s="15">
        <v>9</v>
      </c>
      <c r="AA51" s="15">
        <v>11</v>
      </c>
      <c r="AB51" s="15">
        <v>2</v>
      </c>
      <c r="AC51" s="15">
        <v>12</v>
      </c>
      <c r="AD51" s="15">
        <v>1</v>
      </c>
      <c r="AE51" s="15">
        <v>4</v>
      </c>
      <c r="AF51" s="15">
        <v>6</v>
      </c>
      <c r="AG51" s="15">
        <v>4</v>
      </c>
      <c r="AH51" s="15">
        <v>1</v>
      </c>
      <c r="AI51" s="15">
        <v>0</v>
      </c>
      <c r="AJ51" s="15">
        <v>0</v>
      </c>
      <c r="AK51" s="15">
        <v>29</v>
      </c>
      <c r="AL51" s="15">
        <v>3</v>
      </c>
      <c r="AM51" s="15">
        <v>4</v>
      </c>
      <c r="AN51" s="15">
        <v>2</v>
      </c>
      <c r="AO51" s="15">
        <v>2</v>
      </c>
      <c r="AP51" s="13">
        <f t="shared" si="13"/>
        <v>240</v>
      </c>
    </row>
    <row r="52" spans="1:42" ht="12.75" customHeight="1" x14ac:dyDescent="0.3">
      <c r="A52" s="15" t="s">
        <v>15</v>
      </c>
      <c r="B52" s="47" t="s">
        <v>46</v>
      </c>
      <c r="C52" s="48"/>
      <c r="D52" s="49"/>
      <c r="E52" s="34">
        <f t="shared" ref="E52:AO52" si="14">SUM(E45:E51)</f>
        <v>26</v>
      </c>
      <c r="F52" s="34">
        <f t="shared" si="14"/>
        <v>27</v>
      </c>
      <c r="G52" s="34">
        <f t="shared" si="14"/>
        <v>17</v>
      </c>
      <c r="H52" s="34">
        <f t="shared" si="14"/>
        <v>32</v>
      </c>
      <c r="I52" s="34">
        <f t="shared" si="14"/>
        <v>33</v>
      </c>
      <c r="J52" s="34">
        <f t="shared" si="14"/>
        <v>24</v>
      </c>
      <c r="K52" s="34">
        <f t="shared" si="14"/>
        <v>19</v>
      </c>
      <c r="L52" s="34">
        <f t="shared" si="14"/>
        <v>38</v>
      </c>
      <c r="M52" s="34">
        <f t="shared" si="14"/>
        <v>6</v>
      </c>
      <c r="N52" s="34">
        <f t="shared" si="14"/>
        <v>18</v>
      </c>
      <c r="O52" s="34">
        <f t="shared" si="14"/>
        <v>29</v>
      </c>
      <c r="P52" s="34">
        <f t="shared" si="14"/>
        <v>17</v>
      </c>
      <c r="Q52" s="34">
        <f t="shared" si="14"/>
        <v>6</v>
      </c>
      <c r="R52" s="34">
        <f t="shared" si="14"/>
        <v>10</v>
      </c>
      <c r="S52" s="34">
        <f t="shared" si="14"/>
        <v>9</v>
      </c>
      <c r="T52" s="34">
        <f t="shared" si="14"/>
        <v>7</v>
      </c>
      <c r="U52" s="34">
        <f t="shared" si="14"/>
        <v>8</v>
      </c>
      <c r="V52" s="34">
        <f t="shared" si="14"/>
        <v>8</v>
      </c>
      <c r="W52" s="34">
        <f t="shared" si="14"/>
        <v>25</v>
      </c>
      <c r="X52" s="34">
        <f t="shared" si="14"/>
        <v>67</v>
      </c>
      <c r="Y52" s="34">
        <f t="shared" si="14"/>
        <v>27</v>
      </c>
      <c r="Z52" s="34">
        <f t="shared" si="14"/>
        <v>31</v>
      </c>
      <c r="AA52" s="34">
        <f t="shared" si="14"/>
        <v>38</v>
      </c>
      <c r="AB52" s="34">
        <f t="shared" si="14"/>
        <v>27</v>
      </c>
      <c r="AC52" s="34">
        <f t="shared" si="14"/>
        <v>49</v>
      </c>
      <c r="AD52" s="34">
        <f t="shared" si="14"/>
        <v>38</v>
      </c>
      <c r="AE52" s="34">
        <f t="shared" si="14"/>
        <v>33</v>
      </c>
      <c r="AF52" s="34">
        <f t="shared" si="14"/>
        <v>22</v>
      </c>
      <c r="AG52" s="34">
        <f t="shared" si="14"/>
        <v>33</v>
      </c>
      <c r="AH52" s="34">
        <f t="shared" si="14"/>
        <v>2</v>
      </c>
      <c r="AI52" s="34">
        <f t="shared" si="14"/>
        <v>28</v>
      </c>
      <c r="AJ52" s="34">
        <f t="shared" si="14"/>
        <v>5</v>
      </c>
      <c r="AK52" s="34">
        <f t="shared" si="14"/>
        <v>37</v>
      </c>
      <c r="AL52" s="34">
        <f t="shared" si="14"/>
        <v>34</v>
      </c>
      <c r="AM52" s="34">
        <f t="shared" si="14"/>
        <v>20</v>
      </c>
      <c r="AN52" s="34">
        <f t="shared" si="14"/>
        <v>18</v>
      </c>
      <c r="AO52" s="34">
        <f t="shared" si="14"/>
        <v>14</v>
      </c>
      <c r="AP52" s="13">
        <f t="shared" si="13"/>
        <v>882</v>
      </c>
    </row>
    <row r="53" spans="1:42" ht="12.75" customHeight="1" x14ac:dyDescent="0.3">
      <c r="A53" s="35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13">
        <f t="shared" si="13"/>
        <v>0</v>
      </c>
    </row>
    <row r="54" spans="1:42" ht="12.75" customHeight="1" x14ac:dyDescent="0.3">
      <c r="A54" s="19" t="s">
        <v>37</v>
      </c>
      <c r="B54" s="26" t="s">
        <v>19</v>
      </c>
      <c r="C54" s="50" t="s">
        <v>47</v>
      </c>
      <c r="D54" s="49"/>
      <c r="E54" s="15">
        <v>12</v>
      </c>
      <c r="F54" s="15">
        <v>5</v>
      </c>
      <c r="G54" s="15">
        <v>6</v>
      </c>
      <c r="H54" s="15">
        <v>9</v>
      </c>
      <c r="I54" s="15">
        <v>7</v>
      </c>
      <c r="J54" s="15">
        <v>4</v>
      </c>
      <c r="K54" s="15">
        <v>6</v>
      </c>
      <c r="L54" s="15">
        <v>7</v>
      </c>
      <c r="M54" s="15">
        <v>3</v>
      </c>
      <c r="N54" s="15">
        <v>5</v>
      </c>
      <c r="O54" s="15">
        <v>13</v>
      </c>
      <c r="P54" s="15">
        <v>3</v>
      </c>
      <c r="Q54" s="15">
        <v>7</v>
      </c>
      <c r="R54" s="15">
        <v>5</v>
      </c>
      <c r="S54" s="15">
        <v>4</v>
      </c>
      <c r="T54" s="15">
        <v>8</v>
      </c>
      <c r="U54" s="15">
        <v>4</v>
      </c>
      <c r="V54" s="15">
        <v>5</v>
      </c>
      <c r="W54" s="15">
        <v>7</v>
      </c>
      <c r="X54" s="15">
        <v>4</v>
      </c>
      <c r="Y54" s="15">
        <v>6</v>
      </c>
      <c r="Z54" s="15">
        <v>8</v>
      </c>
      <c r="AA54" s="15">
        <v>9</v>
      </c>
      <c r="AB54" s="15">
        <v>4</v>
      </c>
      <c r="AC54" s="15">
        <v>5</v>
      </c>
      <c r="AD54" s="15">
        <v>8</v>
      </c>
      <c r="AE54" s="15">
        <v>10</v>
      </c>
      <c r="AF54" s="15">
        <v>5</v>
      </c>
      <c r="AG54" s="15">
        <v>7</v>
      </c>
      <c r="AH54" s="15">
        <v>0</v>
      </c>
      <c r="AI54" s="15">
        <v>4</v>
      </c>
      <c r="AJ54" s="15">
        <v>6</v>
      </c>
      <c r="AK54" s="15">
        <v>6</v>
      </c>
      <c r="AL54" s="15">
        <v>4</v>
      </c>
      <c r="AM54" s="15">
        <v>6</v>
      </c>
      <c r="AN54" s="15">
        <v>5</v>
      </c>
      <c r="AO54" s="15">
        <v>5</v>
      </c>
      <c r="AP54" s="13">
        <f t="shared" si="13"/>
        <v>222</v>
      </c>
    </row>
    <row r="55" spans="1:42" ht="15" customHeight="1" x14ac:dyDescent="0.3">
      <c r="A55" s="19" t="s">
        <v>39</v>
      </c>
      <c r="B55" s="27">
        <v>1</v>
      </c>
      <c r="C55" s="28" t="s">
        <v>48</v>
      </c>
      <c r="D55" s="29"/>
      <c r="E55" s="15">
        <v>2</v>
      </c>
      <c r="F55" s="15">
        <v>1</v>
      </c>
      <c r="G55" s="15">
        <v>3</v>
      </c>
      <c r="H55" s="15">
        <v>4</v>
      </c>
      <c r="I55" s="15">
        <v>3</v>
      </c>
      <c r="J55" s="15">
        <v>1</v>
      </c>
      <c r="K55" s="15">
        <v>1</v>
      </c>
      <c r="L55" s="15">
        <v>4</v>
      </c>
      <c r="M55" s="15">
        <v>3</v>
      </c>
      <c r="N55" s="15">
        <v>4</v>
      </c>
      <c r="O55" s="15">
        <v>4</v>
      </c>
      <c r="P55" s="15">
        <v>6</v>
      </c>
      <c r="Q55" s="15">
        <v>6</v>
      </c>
      <c r="R55" s="15">
        <v>2</v>
      </c>
      <c r="S55" s="15">
        <v>0</v>
      </c>
      <c r="T55" s="15">
        <v>2</v>
      </c>
      <c r="U55" s="15">
        <v>2</v>
      </c>
      <c r="V55" s="15">
        <v>2</v>
      </c>
      <c r="W55" s="15">
        <v>45</v>
      </c>
      <c r="X55" s="15">
        <v>3</v>
      </c>
      <c r="Y55" s="15">
        <v>3</v>
      </c>
      <c r="Z55" s="15">
        <v>4</v>
      </c>
      <c r="AA55" s="15">
        <v>9</v>
      </c>
      <c r="AB55" s="15">
        <v>2</v>
      </c>
      <c r="AC55" s="15">
        <v>17</v>
      </c>
      <c r="AD55" s="15">
        <v>10</v>
      </c>
      <c r="AE55" s="15">
        <v>8</v>
      </c>
      <c r="AF55" s="15">
        <v>5</v>
      </c>
      <c r="AG55" s="15">
        <v>7</v>
      </c>
      <c r="AH55" s="15">
        <v>0</v>
      </c>
      <c r="AI55" s="15">
        <v>1</v>
      </c>
      <c r="AJ55" s="15">
        <v>0</v>
      </c>
      <c r="AK55" s="15">
        <v>6</v>
      </c>
      <c r="AL55" s="15">
        <v>3</v>
      </c>
      <c r="AM55" s="15">
        <v>2</v>
      </c>
      <c r="AN55" s="15">
        <v>2</v>
      </c>
      <c r="AO55" s="15">
        <v>0</v>
      </c>
      <c r="AP55" s="13">
        <f t="shared" si="13"/>
        <v>177</v>
      </c>
    </row>
    <row r="56" spans="1:42" ht="12.75" customHeight="1" x14ac:dyDescent="0.3">
      <c r="A56" s="14"/>
      <c r="B56" s="27">
        <v>2</v>
      </c>
      <c r="C56" s="28" t="s">
        <v>49</v>
      </c>
      <c r="D56" s="29"/>
      <c r="E56" s="15">
        <v>2</v>
      </c>
      <c r="F56" s="15">
        <v>1</v>
      </c>
      <c r="G56" s="15">
        <v>3</v>
      </c>
      <c r="H56" s="15">
        <v>0</v>
      </c>
      <c r="I56" s="15">
        <v>1</v>
      </c>
      <c r="J56" s="15">
        <v>0</v>
      </c>
      <c r="K56" s="15">
        <v>2</v>
      </c>
      <c r="L56" s="15">
        <v>0</v>
      </c>
      <c r="M56" s="15">
        <v>1</v>
      </c>
      <c r="N56" s="15">
        <v>3</v>
      </c>
      <c r="O56" s="15">
        <v>4</v>
      </c>
      <c r="P56" s="15">
        <v>0</v>
      </c>
      <c r="Q56" s="15">
        <v>0</v>
      </c>
      <c r="R56" s="15">
        <v>1</v>
      </c>
      <c r="S56" s="15">
        <v>2</v>
      </c>
      <c r="T56" s="15">
        <v>1</v>
      </c>
      <c r="U56" s="15">
        <v>0</v>
      </c>
      <c r="V56" s="15">
        <v>2</v>
      </c>
      <c r="W56" s="15">
        <v>0</v>
      </c>
      <c r="X56" s="15">
        <v>1</v>
      </c>
      <c r="Y56" s="15">
        <v>0</v>
      </c>
      <c r="Z56" s="15">
        <v>1</v>
      </c>
      <c r="AA56" s="15">
        <v>3</v>
      </c>
      <c r="AB56" s="15">
        <v>3</v>
      </c>
      <c r="AC56" s="15">
        <v>3</v>
      </c>
      <c r="AD56" s="15">
        <v>0</v>
      </c>
      <c r="AE56" s="15">
        <v>1</v>
      </c>
      <c r="AF56" s="15">
        <v>1</v>
      </c>
      <c r="AG56" s="15">
        <v>3</v>
      </c>
      <c r="AH56" s="15">
        <v>0</v>
      </c>
      <c r="AI56" s="15">
        <v>0</v>
      </c>
      <c r="AJ56" s="15">
        <v>0</v>
      </c>
      <c r="AK56" s="15">
        <v>2</v>
      </c>
      <c r="AL56" s="15">
        <v>1</v>
      </c>
      <c r="AM56" s="15">
        <v>3</v>
      </c>
      <c r="AN56" s="15">
        <v>0</v>
      </c>
      <c r="AO56" s="15">
        <v>0</v>
      </c>
      <c r="AP56" s="13">
        <f t="shared" si="13"/>
        <v>45</v>
      </c>
    </row>
    <row r="57" spans="1:42" ht="12.75" customHeight="1" x14ac:dyDescent="0.3">
      <c r="A57" s="14"/>
      <c r="B57" s="27">
        <v>3</v>
      </c>
      <c r="C57" s="28" t="s">
        <v>50</v>
      </c>
      <c r="D57" s="29"/>
      <c r="E57" s="15">
        <v>1</v>
      </c>
      <c r="F57" s="15">
        <v>0</v>
      </c>
      <c r="G57" s="15">
        <v>0</v>
      </c>
      <c r="H57" s="15">
        <v>0</v>
      </c>
      <c r="I57" s="15">
        <v>0</v>
      </c>
      <c r="J57" s="15">
        <v>2</v>
      </c>
      <c r="K57" s="15">
        <v>0</v>
      </c>
      <c r="L57" s="15">
        <v>0</v>
      </c>
      <c r="M57" s="15">
        <v>1</v>
      </c>
      <c r="N57" s="15">
        <v>1</v>
      </c>
      <c r="O57" s="15">
        <v>3</v>
      </c>
      <c r="P57" s="15">
        <v>0</v>
      </c>
      <c r="Q57" s="15">
        <v>0</v>
      </c>
      <c r="R57" s="15">
        <v>1</v>
      </c>
      <c r="S57" s="15">
        <v>0</v>
      </c>
      <c r="T57" s="15">
        <v>1</v>
      </c>
      <c r="U57" s="15">
        <v>0</v>
      </c>
      <c r="V57" s="15">
        <v>1</v>
      </c>
      <c r="W57" s="15">
        <v>3</v>
      </c>
      <c r="X57" s="15">
        <v>1</v>
      </c>
      <c r="Y57" s="15">
        <v>0</v>
      </c>
      <c r="Z57" s="15">
        <v>0</v>
      </c>
      <c r="AA57" s="15">
        <v>1</v>
      </c>
      <c r="AB57" s="15">
        <v>0</v>
      </c>
      <c r="AC57" s="15">
        <v>2</v>
      </c>
      <c r="AD57" s="15">
        <v>4</v>
      </c>
      <c r="AE57" s="15">
        <v>1</v>
      </c>
      <c r="AF57" s="15">
        <v>1</v>
      </c>
      <c r="AG57" s="15">
        <v>0</v>
      </c>
      <c r="AH57" s="15">
        <v>0</v>
      </c>
      <c r="AI57" s="15">
        <v>0</v>
      </c>
      <c r="AJ57" s="15">
        <v>2</v>
      </c>
      <c r="AK57" s="15">
        <v>1</v>
      </c>
      <c r="AL57" s="15">
        <v>2</v>
      </c>
      <c r="AM57" s="15">
        <v>0</v>
      </c>
      <c r="AN57" s="15">
        <v>0</v>
      </c>
      <c r="AO57" s="15">
        <v>0</v>
      </c>
      <c r="AP57" s="13">
        <f t="shared" si="13"/>
        <v>29</v>
      </c>
    </row>
    <row r="58" spans="1:42" ht="12.75" customHeight="1" x14ac:dyDescent="0.3">
      <c r="A58" s="14"/>
      <c r="B58" s="27">
        <v>4</v>
      </c>
      <c r="C58" s="28" t="s">
        <v>51</v>
      </c>
      <c r="D58" s="29"/>
      <c r="E58" s="15">
        <v>1</v>
      </c>
      <c r="F58" s="15">
        <v>3</v>
      </c>
      <c r="G58" s="15">
        <v>2</v>
      </c>
      <c r="H58" s="15">
        <v>1</v>
      </c>
      <c r="I58" s="15">
        <v>0</v>
      </c>
      <c r="J58" s="15">
        <v>3</v>
      </c>
      <c r="K58" s="15">
        <v>1</v>
      </c>
      <c r="L58" s="15">
        <v>3</v>
      </c>
      <c r="M58" s="15">
        <v>2</v>
      </c>
      <c r="N58" s="15">
        <v>1</v>
      </c>
      <c r="O58" s="15">
        <v>4</v>
      </c>
      <c r="P58" s="15">
        <v>0</v>
      </c>
      <c r="Q58" s="15">
        <v>4</v>
      </c>
      <c r="R58" s="15">
        <v>0</v>
      </c>
      <c r="S58" s="15">
        <v>0</v>
      </c>
      <c r="T58" s="15">
        <v>0</v>
      </c>
      <c r="U58" s="15">
        <v>2</v>
      </c>
      <c r="V58" s="15">
        <v>2</v>
      </c>
      <c r="W58" s="15">
        <v>0</v>
      </c>
      <c r="X58" s="15">
        <v>1</v>
      </c>
      <c r="Y58" s="15">
        <v>0</v>
      </c>
      <c r="Z58" s="15">
        <v>0</v>
      </c>
      <c r="AA58" s="15">
        <v>0</v>
      </c>
      <c r="AB58" s="15">
        <v>2</v>
      </c>
      <c r="AC58" s="15">
        <v>1</v>
      </c>
      <c r="AD58" s="15">
        <v>0</v>
      </c>
      <c r="AE58" s="15">
        <v>2</v>
      </c>
      <c r="AF58" s="15">
        <v>0</v>
      </c>
      <c r="AG58" s="15">
        <v>0</v>
      </c>
      <c r="AH58" s="15">
        <v>3</v>
      </c>
      <c r="AI58" s="15">
        <v>0</v>
      </c>
      <c r="AJ58" s="15">
        <v>0</v>
      </c>
      <c r="AK58" s="15">
        <v>1</v>
      </c>
      <c r="AL58" s="15">
        <v>4</v>
      </c>
      <c r="AM58" s="15">
        <v>2</v>
      </c>
      <c r="AN58" s="15">
        <v>0</v>
      </c>
      <c r="AO58" s="15">
        <v>1</v>
      </c>
      <c r="AP58" s="13">
        <f t="shared" si="13"/>
        <v>46</v>
      </c>
    </row>
    <row r="59" spans="1:42" ht="12.75" customHeight="1" x14ac:dyDescent="0.3">
      <c r="A59" s="14"/>
      <c r="B59" s="27">
        <v>5</v>
      </c>
      <c r="C59" s="28" t="s">
        <v>52</v>
      </c>
      <c r="D59" s="29"/>
      <c r="E59" s="15">
        <v>1</v>
      </c>
      <c r="F59" s="15">
        <v>1</v>
      </c>
      <c r="G59" s="15">
        <v>2</v>
      </c>
      <c r="H59" s="15">
        <v>0</v>
      </c>
      <c r="I59" s="15">
        <v>0</v>
      </c>
      <c r="J59" s="15">
        <v>0</v>
      </c>
      <c r="K59" s="15">
        <v>1</v>
      </c>
      <c r="L59" s="15">
        <v>2</v>
      </c>
      <c r="M59" s="15">
        <v>0</v>
      </c>
      <c r="N59" s="15">
        <v>1</v>
      </c>
      <c r="O59" s="15">
        <v>0</v>
      </c>
      <c r="P59" s="15">
        <v>0</v>
      </c>
      <c r="Q59" s="15">
        <v>1</v>
      </c>
      <c r="R59" s="15">
        <v>1</v>
      </c>
      <c r="S59" s="15">
        <v>0</v>
      </c>
      <c r="T59" s="15">
        <v>1</v>
      </c>
      <c r="U59" s="15">
        <v>0</v>
      </c>
      <c r="V59" s="15">
        <v>0</v>
      </c>
      <c r="W59" s="15">
        <v>1</v>
      </c>
      <c r="X59" s="15">
        <v>1</v>
      </c>
      <c r="Y59" s="15">
        <v>0</v>
      </c>
      <c r="Z59" s="15">
        <v>2</v>
      </c>
      <c r="AA59" s="15">
        <v>0</v>
      </c>
      <c r="AB59" s="15">
        <v>0</v>
      </c>
      <c r="AC59" s="15">
        <v>1</v>
      </c>
      <c r="AD59" s="15">
        <v>1</v>
      </c>
      <c r="AE59" s="15">
        <v>1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1</v>
      </c>
      <c r="AN59" s="15">
        <v>0</v>
      </c>
      <c r="AO59" s="15">
        <v>0</v>
      </c>
      <c r="AP59" s="13">
        <f t="shared" si="13"/>
        <v>19</v>
      </c>
    </row>
    <row r="60" spans="1:42" ht="12.75" customHeight="1" x14ac:dyDescent="0.3">
      <c r="A60" s="14"/>
      <c r="B60" s="27">
        <v>6</v>
      </c>
      <c r="C60" s="28" t="s">
        <v>53</v>
      </c>
      <c r="D60" s="29"/>
      <c r="E60" s="15">
        <v>3</v>
      </c>
      <c r="F60" s="15">
        <v>0</v>
      </c>
      <c r="G60" s="15">
        <v>0</v>
      </c>
      <c r="H60" s="15">
        <v>0</v>
      </c>
      <c r="I60" s="15">
        <v>1</v>
      </c>
      <c r="J60" s="15">
        <v>0</v>
      </c>
      <c r="K60" s="15">
        <v>0</v>
      </c>
      <c r="L60" s="15">
        <v>0</v>
      </c>
      <c r="M60" s="15">
        <v>0</v>
      </c>
      <c r="N60" s="15">
        <v>1</v>
      </c>
      <c r="O60" s="15">
        <v>1</v>
      </c>
      <c r="P60" s="15">
        <v>0</v>
      </c>
      <c r="Q60" s="15">
        <v>1</v>
      </c>
      <c r="R60" s="15">
        <v>0</v>
      </c>
      <c r="S60" s="15">
        <v>0</v>
      </c>
      <c r="T60" s="15">
        <v>0</v>
      </c>
      <c r="U60" s="15">
        <v>0</v>
      </c>
      <c r="V60" s="15">
        <v>1</v>
      </c>
      <c r="W60" s="15">
        <v>0</v>
      </c>
      <c r="X60" s="15">
        <v>2</v>
      </c>
      <c r="Y60" s="15">
        <v>0</v>
      </c>
      <c r="Z60" s="15">
        <v>0</v>
      </c>
      <c r="AA60" s="15">
        <v>1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1</v>
      </c>
      <c r="AL60" s="15">
        <v>2</v>
      </c>
      <c r="AM60" s="15">
        <v>1</v>
      </c>
      <c r="AN60" s="15">
        <v>0</v>
      </c>
      <c r="AO60" s="15">
        <v>0</v>
      </c>
      <c r="AP60" s="13">
        <f t="shared" si="13"/>
        <v>15</v>
      </c>
    </row>
    <row r="61" spans="1:42" ht="12.75" customHeight="1" x14ac:dyDescent="0.3">
      <c r="A61" s="15" t="s">
        <v>15</v>
      </c>
      <c r="B61" s="47" t="s">
        <v>46</v>
      </c>
      <c r="C61" s="48"/>
      <c r="D61" s="49"/>
      <c r="E61" s="34">
        <f t="shared" ref="E61:AO61" si="15">SUM(E54:E60)</f>
        <v>22</v>
      </c>
      <c r="F61" s="34">
        <f t="shared" si="15"/>
        <v>11</v>
      </c>
      <c r="G61" s="34">
        <f t="shared" si="15"/>
        <v>16</v>
      </c>
      <c r="H61" s="34">
        <f t="shared" si="15"/>
        <v>14</v>
      </c>
      <c r="I61" s="34">
        <f t="shared" si="15"/>
        <v>12</v>
      </c>
      <c r="J61" s="34">
        <f t="shared" si="15"/>
        <v>10</v>
      </c>
      <c r="K61" s="34">
        <f t="shared" si="15"/>
        <v>11</v>
      </c>
      <c r="L61" s="34">
        <f t="shared" si="15"/>
        <v>16</v>
      </c>
      <c r="M61" s="34">
        <f t="shared" si="15"/>
        <v>10</v>
      </c>
      <c r="N61" s="34">
        <f t="shared" si="15"/>
        <v>16</v>
      </c>
      <c r="O61" s="34">
        <f t="shared" si="15"/>
        <v>29</v>
      </c>
      <c r="P61" s="34">
        <f t="shared" si="15"/>
        <v>9</v>
      </c>
      <c r="Q61" s="34">
        <f t="shared" si="15"/>
        <v>19</v>
      </c>
      <c r="R61" s="34">
        <f t="shared" si="15"/>
        <v>10</v>
      </c>
      <c r="S61" s="34">
        <f t="shared" si="15"/>
        <v>6</v>
      </c>
      <c r="T61" s="34">
        <f t="shared" si="15"/>
        <v>13</v>
      </c>
      <c r="U61" s="34">
        <f t="shared" si="15"/>
        <v>8</v>
      </c>
      <c r="V61" s="34">
        <f t="shared" si="15"/>
        <v>13</v>
      </c>
      <c r="W61" s="34">
        <f t="shared" si="15"/>
        <v>56</v>
      </c>
      <c r="X61" s="34">
        <f t="shared" si="15"/>
        <v>13</v>
      </c>
      <c r="Y61" s="34">
        <f t="shared" si="15"/>
        <v>9</v>
      </c>
      <c r="Z61" s="34">
        <f t="shared" si="15"/>
        <v>15</v>
      </c>
      <c r="AA61" s="34">
        <f t="shared" si="15"/>
        <v>23</v>
      </c>
      <c r="AB61" s="34">
        <f t="shared" si="15"/>
        <v>11</v>
      </c>
      <c r="AC61" s="34">
        <f t="shared" si="15"/>
        <v>29</v>
      </c>
      <c r="AD61" s="34">
        <f t="shared" si="15"/>
        <v>23</v>
      </c>
      <c r="AE61" s="34">
        <f t="shared" si="15"/>
        <v>23</v>
      </c>
      <c r="AF61" s="34">
        <f t="shared" si="15"/>
        <v>12</v>
      </c>
      <c r="AG61" s="34">
        <f t="shared" si="15"/>
        <v>17</v>
      </c>
      <c r="AH61" s="34">
        <f t="shared" si="15"/>
        <v>3</v>
      </c>
      <c r="AI61" s="34">
        <f t="shared" si="15"/>
        <v>5</v>
      </c>
      <c r="AJ61" s="34">
        <f t="shared" si="15"/>
        <v>8</v>
      </c>
      <c r="AK61" s="34">
        <f t="shared" si="15"/>
        <v>17</v>
      </c>
      <c r="AL61" s="34">
        <f t="shared" si="15"/>
        <v>16</v>
      </c>
      <c r="AM61" s="34">
        <f t="shared" si="15"/>
        <v>15</v>
      </c>
      <c r="AN61" s="34">
        <f t="shared" si="15"/>
        <v>7</v>
      </c>
      <c r="AO61" s="34">
        <f t="shared" si="15"/>
        <v>6</v>
      </c>
      <c r="AP61" s="13">
        <f t="shared" si="13"/>
        <v>553</v>
      </c>
    </row>
    <row r="62" spans="1:42" ht="12.75" customHeight="1" x14ac:dyDescent="0.3">
      <c r="A62" s="35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13">
        <f t="shared" si="13"/>
        <v>0</v>
      </c>
    </row>
    <row r="63" spans="1:42" ht="12.75" customHeight="1" x14ac:dyDescent="0.3">
      <c r="A63" s="19" t="s">
        <v>37</v>
      </c>
      <c r="B63" s="26" t="s">
        <v>21</v>
      </c>
      <c r="C63" s="50" t="s">
        <v>54</v>
      </c>
      <c r="D63" s="49"/>
      <c r="E63" s="15">
        <v>11</v>
      </c>
      <c r="F63" s="15">
        <v>6</v>
      </c>
      <c r="G63" s="15">
        <v>6</v>
      </c>
      <c r="H63" s="15">
        <v>12</v>
      </c>
      <c r="I63" s="15">
        <v>11</v>
      </c>
      <c r="J63" s="15">
        <v>2</v>
      </c>
      <c r="K63" s="15">
        <v>3</v>
      </c>
      <c r="L63" s="15">
        <v>10</v>
      </c>
      <c r="M63" s="15">
        <v>25</v>
      </c>
      <c r="N63" s="15">
        <v>19</v>
      </c>
      <c r="O63" s="15">
        <v>15</v>
      </c>
      <c r="P63" s="15">
        <v>10</v>
      </c>
      <c r="Q63" s="15">
        <v>4</v>
      </c>
      <c r="R63" s="15">
        <v>10</v>
      </c>
      <c r="S63" s="15">
        <v>8</v>
      </c>
      <c r="T63" s="15">
        <v>8</v>
      </c>
      <c r="U63" s="15">
        <v>14</v>
      </c>
      <c r="V63" s="15">
        <v>14</v>
      </c>
      <c r="W63" s="15">
        <v>2</v>
      </c>
      <c r="X63" s="15">
        <v>11</v>
      </c>
      <c r="Y63" s="15">
        <v>6</v>
      </c>
      <c r="Z63" s="15">
        <v>11</v>
      </c>
      <c r="AA63" s="15">
        <v>11</v>
      </c>
      <c r="AB63" s="15">
        <v>11</v>
      </c>
      <c r="AC63" s="15">
        <v>2</v>
      </c>
      <c r="AD63" s="15">
        <v>18</v>
      </c>
      <c r="AE63" s="15">
        <v>9</v>
      </c>
      <c r="AF63" s="15">
        <v>20</v>
      </c>
      <c r="AG63" s="15">
        <v>28</v>
      </c>
      <c r="AH63" s="15">
        <v>3</v>
      </c>
      <c r="AI63" s="15">
        <v>7</v>
      </c>
      <c r="AJ63" s="15">
        <v>2</v>
      </c>
      <c r="AK63" s="15">
        <v>6</v>
      </c>
      <c r="AL63" s="15">
        <v>13</v>
      </c>
      <c r="AM63" s="15">
        <v>20</v>
      </c>
      <c r="AN63" s="15">
        <v>16</v>
      </c>
      <c r="AO63" s="15">
        <v>12</v>
      </c>
      <c r="AP63" s="13">
        <f t="shared" si="13"/>
        <v>396</v>
      </c>
    </row>
    <row r="64" spans="1:42" ht="12.75" customHeight="1" x14ac:dyDescent="0.3">
      <c r="A64" s="19" t="s">
        <v>39</v>
      </c>
      <c r="B64" s="27">
        <v>1</v>
      </c>
      <c r="C64" s="28" t="s">
        <v>55</v>
      </c>
      <c r="D64" s="29"/>
      <c r="E64" s="15">
        <v>25</v>
      </c>
      <c r="F64" s="15">
        <v>23</v>
      </c>
      <c r="G64" s="15">
        <v>7</v>
      </c>
      <c r="H64" s="15">
        <v>9</v>
      </c>
      <c r="I64" s="15">
        <v>5</v>
      </c>
      <c r="J64" s="15">
        <v>5</v>
      </c>
      <c r="K64" s="15">
        <v>4</v>
      </c>
      <c r="L64" s="15">
        <v>5</v>
      </c>
      <c r="M64" s="15">
        <v>36</v>
      </c>
      <c r="N64" s="15">
        <v>59</v>
      </c>
      <c r="O64" s="15">
        <v>6</v>
      </c>
      <c r="P64" s="15">
        <v>9</v>
      </c>
      <c r="Q64" s="15">
        <v>27</v>
      </c>
      <c r="R64" s="15">
        <v>8</v>
      </c>
      <c r="S64" s="15">
        <v>11</v>
      </c>
      <c r="T64" s="15">
        <v>12</v>
      </c>
      <c r="U64" s="15">
        <v>86</v>
      </c>
      <c r="V64" s="15">
        <v>5</v>
      </c>
      <c r="W64" s="15">
        <v>1</v>
      </c>
      <c r="X64" s="15">
        <v>8</v>
      </c>
      <c r="Y64" s="15">
        <v>16</v>
      </c>
      <c r="Z64" s="15">
        <v>10</v>
      </c>
      <c r="AA64" s="15">
        <v>7</v>
      </c>
      <c r="AB64" s="15">
        <v>28</v>
      </c>
      <c r="AC64" s="15">
        <v>9</v>
      </c>
      <c r="AD64" s="15">
        <v>10</v>
      </c>
      <c r="AE64" s="15">
        <v>27</v>
      </c>
      <c r="AF64" s="15">
        <v>105</v>
      </c>
      <c r="AG64" s="15">
        <v>70</v>
      </c>
      <c r="AH64" s="15">
        <v>3</v>
      </c>
      <c r="AI64" s="15">
        <v>6</v>
      </c>
      <c r="AJ64" s="15">
        <v>1</v>
      </c>
      <c r="AK64" s="15">
        <v>26</v>
      </c>
      <c r="AL64" s="15">
        <v>28</v>
      </c>
      <c r="AM64" s="15">
        <v>57</v>
      </c>
      <c r="AN64" s="15">
        <v>69</v>
      </c>
      <c r="AO64" s="15">
        <v>52</v>
      </c>
      <c r="AP64" s="13">
        <f t="shared" si="13"/>
        <v>875</v>
      </c>
    </row>
    <row r="65" spans="1:42" ht="12.75" customHeight="1" x14ac:dyDescent="0.3">
      <c r="A65" s="14"/>
      <c r="B65" s="27">
        <v>2</v>
      </c>
      <c r="C65" s="28" t="s">
        <v>56</v>
      </c>
      <c r="D65" s="29"/>
      <c r="E65" s="15">
        <v>53</v>
      </c>
      <c r="F65" s="15">
        <v>13</v>
      </c>
      <c r="G65" s="15">
        <v>19</v>
      </c>
      <c r="H65" s="15">
        <v>13</v>
      </c>
      <c r="I65" s="15">
        <v>22</v>
      </c>
      <c r="J65" s="15">
        <v>17</v>
      </c>
      <c r="K65" s="15">
        <v>42</v>
      </c>
      <c r="L65" s="15">
        <v>44</v>
      </c>
      <c r="M65" s="15">
        <v>7</v>
      </c>
      <c r="N65" s="15">
        <v>17</v>
      </c>
      <c r="O65" s="15">
        <v>9</v>
      </c>
      <c r="P65" s="15">
        <v>3</v>
      </c>
      <c r="Q65" s="15">
        <v>7</v>
      </c>
      <c r="R65" s="15">
        <v>4</v>
      </c>
      <c r="S65" s="15">
        <v>8</v>
      </c>
      <c r="T65" s="15">
        <v>46</v>
      </c>
      <c r="U65" s="15">
        <v>2</v>
      </c>
      <c r="V65" s="15">
        <v>6</v>
      </c>
      <c r="W65" s="15">
        <v>15</v>
      </c>
      <c r="X65" s="15">
        <v>4</v>
      </c>
      <c r="Y65" s="15">
        <v>8</v>
      </c>
      <c r="Z65" s="15">
        <v>30</v>
      </c>
      <c r="AA65" s="15">
        <v>27</v>
      </c>
      <c r="AB65" s="15">
        <v>5</v>
      </c>
      <c r="AC65" s="15">
        <v>4</v>
      </c>
      <c r="AD65" s="15">
        <v>8</v>
      </c>
      <c r="AE65" s="15">
        <v>10</v>
      </c>
      <c r="AF65" s="15">
        <v>2</v>
      </c>
      <c r="AG65" s="15">
        <v>2</v>
      </c>
      <c r="AH65" s="15">
        <v>4</v>
      </c>
      <c r="AI65" s="15">
        <v>8</v>
      </c>
      <c r="AJ65" s="15">
        <v>116</v>
      </c>
      <c r="AK65" s="15">
        <v>16</v>
      </c>
      <c r="AL65" s="15">
        <v>9</v>
      </c>
      <c r="AM65" s="15">
        <v>17</v>
      </c>
      <c r="AN65" s="15">
        <v>7</v>
      </c>
      <c r="AO65" s="15">
        <v>50</v>
      </c>
      <c r="AP65" s="13">
        <f t="shared" si="13"/>
        <v>674</v>
      </c>
    </row>
    <row r="66" spans="1:42" ht="12.75" customHeight="1" x14ac:dyDescent="0.3">
      <c r="A66" s="14"/>
      <c r="B66" s="27">
        <v>3</v>
      </c>
      <c r="C66" s="28" t="s">
        <v>57</v>
      </c>
      <c r="D66" s="29"/>
      <c r="E66" s="15">
        <v>1</v>
      </c>
      <c r="F66" s="15">
        <v>5</v>
      </c>
      <c r="G66" s="15">
        <v>35</v>
      </c>
      <c r="H66" s="15">
        <v>68</v>
      </c>
      <c r="I66" s="15">
        <v>89</v>
      </c>
      <c r="J66" s="15">
        <v>0</v>
      </c>
      <c r="K66" s="15">
        <v>0</v>
      </c>
      <c r="L66" s="15">
        <v>0</v>
      </c>
      <c r="M66" s="15">
        <v>5</v>
      </c>
      <c r="N66" s="15">
        <v>2</v>
      </c>
      <c r="O66" s="15">
        <v>2</v>
      </c>
      <c r="P66" s="15">
        <v>1</v>
      </c>
      <c r="Q66" s="15">
        <v>2</v>
      </c>
      <c r="R66" s="15">
        <v>1</v>
      </c>
      <c r="S66" s="15">
        <v>1</v>
      </c>
      <c r="T66" s="15">
        <v>1</v>
      </c>
      <c r="U66" s="15">
        <v>2</v>
      </c>
      <c r="V66" s="15">
        <v>9</v>
      </c>
      <c r="W66" s="15">
        <v>6</v>
      </c>
      <c r="X66" s="15">
        <v>5</v>
      </c>
      <c r="Y66" s="15">
        <v>0</v>
      </c>
      <c r="Z66" s="15">
        <v>2</v>
      </c>
      <c r="AA66" s="15">
        <v>1</v>
      </c>
      <c r="AB66" s="15">
        <v>2</v>
      </c>
      <c r="AC66" s="15">
        <v>1</v>
      </c>
      <c r="AD66" s="15">
        <v>1</v>
      </c>
      <c r="AE66" s="15">
        <v>3</v>
      </c>
      <c r="AF66" s="15">
        <v>0</v>
      </c>
      <c r="AG66" s="15">
        <v>2</v>
      </c>
      <c r="AH66" s="15">
        <v>0</v>
      </c>
      <c r="AI66" s="15">
        <v>1</v>
      </c>
      <c r="AJ66" s="15">
        <v>1</v>
      </c>
      <c r="AK66" s="15">
        <v>44</v>
      </c>
      <c r="AL66" s="15">
        <v>6</v>
      </c>
      <c r="AM66" s="15">
        <v>0</v>
      </c>
      <c r="AN66" s="15">
        <v>3</v>
      </c>
      <c r="AO66" s="15">
        <v>0</v>
      </c>
      <c r="AP66" s="13">
        <f t="shared" si="13"/>
        <v>302</v>
      </c>
    </row>
    <row r="67" spans="1:42" ht="15" customHeight="1" x14ac:dyDescent="0.3">
      <c r="A67" s="14"/>
      <c r="B67" s="27">
        <v>4</v>
      </c>
      <c r="C67" s="28" t="s">
        <v>58</v>
      </c>
      <c r="D67" s="29"/>
      <c r="E67" s="15">
        <v>0</v>
      </c>
      <c r="F67" s="15">
        <v>0</v>
      </c>
      <c r="G67" s="15">
        <v>0</v>
      </c>
      <c r="H67" s="15">
        <v>0</v>
      </c>
      <c r="I67" s="15">
        <v>1</v>
      </c>
      <c r="J67" s="15">
        <v>0</v>
      </c>
      <c r="K67" s="15">
        <v>0</v>
      </c>
      <c r="L67" s="15">
        <v>0</v>
      </c>
      <c r="M67" s="15">
        <v>42</v>
      </c>
      <c r="N67" s="15">
        <v>8</v>
      </c>
      <c r="O67" s="15">
        <v>3</v>
      </c>
      <c r="P67" s="15">
        <v>1</v>
      </c>
      <c r="Q67" s="15">
        <v>2</v>
      </c>
      <c r="R67" s="15">
        <v>3</v>
      </c>
      <c r="S67" s="15">
        <v>0</v>
      </c>
      <c r="T67" s="15">
        <v>0</v>
      </c>
      <c r="U67" s="15">
        <v>4</v>
      </c>
      <c r="V67" s="15">
        <v>0</v>
      </c>
      <c r="W67" s="15">
        <v>8</v>
      </c>
      <c r="X67" s="15">
        <v>4</v>
      </c>
      <c r="Y67" s="15">
        <v>2</v>
      </c>
      <c r="Z67" s="15">
        <v>0</v>
      </c>
      <c r="AA67" s="15">
        <v>2</v>
      </c>
      <c r="AB67" s="15">
        <v>2</v>
      </c>
      <c r="AC67" s="15">
        <v>1</v>
      </c>
      <c r="AD67" s="15">
        <v>8</v>
      </c>
      <c r="AE67" s="15">
        <v>0</v>
      </c>
      <c r="AF67" s="15">
        <v>3</v>
      </c>
      <c r="AG67" s="15">
        <v>0</v>
      </c>
      <c r="AH67" s="15">
        <v>0</v>
      </c>
      <c r="AI67" s="15">
        <v>0</v>
      </c>
      <c r="AJ67" s="15">
        <v>0</v>
      </c>
      <c r="AK67" s="15">
        <v>2</v>
      </c>
      <c r="AL67" s="15">
        <v>4</v>
      </c>
      <c r="AM67" s="15">
        <v>5</v>
      </c>
      <c r="AN67" s="15">
        <v>0</v>
      </c>
      <c r="AO67" s="15">
        <v>6</v>
      </c>
      <c r="AP67" s="13">
        <f t="shared" si="13"/>
        <v>111</v>
      </c>
    </row>
    <row r="68" spans="1:42" ht="12.75" customHeight="1" x14ac:dyDescent="0.3">
      <c r="A68" s="14"/>
      <c r="B68" s="27">
        <v>5</v>
      </c>
      <c r="C68" s="28" t="s">
        <v>59</v>
      </c>
      <c r="D68" s="29"/>
      <c r="E68" s="15">
        <v>1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1</v>
      </c>
      <c r="T68" s="15">
        <v>0</v>
      </c>
      <c r="U68" s="15">
        <v>1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1</v>
      </c>
      <c r="AG68" s="15">
        <v>2</v>
      </c>
      <c r="AH68" s="15">
        <v>1</v>
      </c>
      <c r="AI68" s="15">
        <v>0</v>
      </c>
      <c r="AJ68" s="15">
        <v>0</v>
      </c>
      <c r="AK68" s="15">
        <v>0</v>
      </c>
      <c r="AL68" s="15">
        <v>0</v>
      </c>
      <c r="AM68" s="15">
        <v>1</v>
      </c>
      <c r="AN68" s="15">
        <v>1</v>
      </c>
      <c r="AO68" s="15">
        <v>1</v>
      </c>
      <c r="AP68" s="13">
        <f t="shared" si="13"/>
        <v>10</v>
      </c>
    </row>
    <row r="69" spans="1:42" ht="12.75" customHeight="1" x14ac:dyDescent="0.3">
      <c r="A69" s="14"/>
      <c r="B69" s="27">
        <v>6</v>
      </c>
      <c r="C69" s="28" t="s">
        <v>60</v>
      </c>
      <c r="D69" s="29"/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1</v>
      </c>
      <c r="K69" s="15">
        <v>1</v>
      </c>
      <c r="L69" s="15">
        <v>0</v>
      </c>
      <c r="M69" s="15">
        <v>2</v>
      </c>
      <c r="N69" s="15">
        <v>11</v>
      </c>
      <c r="O69" s="15">
        <v>5</v>
      </c>
      <c r="P69" s="15">
        <v>0</v>
      </c>
      <c r="Q69" s="15">
        <v>0</v>
      </c>
      <c r="R69" s="15">
        <v>1</v>
      </c>
      <c r="S69" s="15">
        <v>2</v>
      </c>
      <c r="T69" s="15">
        <v>0</v>
      </c>
      <c r="U69" s="15">
        <v>4</v>
      </c>
      <c r="V69" s="15">
        <v>21</v>
      </c>
      <c r="W69" s="15">
        <v>1</v>
      </c>
      <c r="X69" s="15">
        <v>0</v>
      </c>
      <c r="Y69" s="15">
        <v>0</v>
      </c>
      <c r="Z69" s="15">
        <v>1</v>
      </c>
      <c r="AA69" s="15">
        <v>3</v>
      </c>
      <c r="AB69" s="15">
        <v>0</v>
      </c>
      <c r="AC69" s="15">
        <v>1</v>
      </c>
      <c r="AD69" s="15">
        <v>1</v>
      </c>
      <c r="AE69" s="15">
        <v>0</v>
      </c>
      <c r="AF69" s="15">
        <v>7</v>
      </c>
      <c r="AG69" s="15">
        <v>1</v>
      </c>
      <c r="AH69" s="15">
        <v>0</v>
      </c>
      <c r="AI69" s="15">
        <v>1</v>
      </c>
      <c r="AJ69" s="15">
        <v>1</v>
      </c>
      <c r="AK69" s="15">
        <v>1</v>
      </c>
      <c r="AL69" s="15">
        <v>0</v>
      </c>
      <c r="AM69" s="15">
        <v>0</v>
      </c>
      <c r="AN69" s="15">
        <v>0</v>
      </c>
      <c r="AO69" s="15">
        <v>0</v>
      </c>
      <c r="AP69" s="13">
        <f t="shared" si="13"/>
        <v>66</v>
      </c>
    </row>
    <row r="70" spans="1:42" ht="12.75" customHeight="1" x14ac:dyDescent="0.3">
      <c r="A70" s="15" t="s">
        <v>15</v>
      </c>
      <c r="B70" s="47" t="s">
        <v>46</v>
      </c>
      <c r="C70" s="48"/>
      <c r="D70" s="49"/>
      <c r="E70" s="34">
        <f t="shared" ref="E70:AO70" si="16">SUM(E63:E69)</f>
        <v>91</v>
      </c>
      <c r="F70" s="34">
        <f t="shared" si="16"/>
        <v>47</v>
      </c>
      <c r="G70" s="34">
        <f t="shared" si="16"/>
        <v>67</v>
      </c>
      <c r="H70" s="34">
        <f t="shared" si="16"/>
        <v>102</v>
      </c>
      <c r="I70" s="34">
        <f t="shared" si="16"/>
        <v>128</v>
      </c>
      <c r="J70" s="34">
        <f t="shared" si="16"/>
        <v>25</v>
      </c>
      <c r="K70" s="34">
        <f t="shared" si="16"/>
        <v>50</v>
      </c>
      <c r="L70" s="34">
        <f t="shared" si="16"/>
        <v>59</v>
      </c>
      <c r="M70" s="34">
        <f t="shared" si="16"/>
        <v>117</v>
      </c>
      <c r="N70" s="34">
        <f t="shared" si="16"/>
        <v>116</v>
      </c>
      <c r="O70" s="34">
        <f t="shared" si="16"/>
        <v>40</v>
      </c>
      <c r="P70" s="34">
        <f t="shared" si="16"/>
        <v>24</v>
      </c>
      <c r="Q70" s="34">
        <f t="shared" si="16"/>
        <v>42</v>
      </c>
      <c r="R70" s="34">
        <f t="shared" si="16"/>
        <v>27</v>
      </c>
      <c r="S70" s="34">
        <f t="shared" si="16"/>
        <v>31</v>
      </c>
      <c r="T70" s="34">
        <f t="shared" si="16"/>
        <v>67</v>
      </c>
      <c r="U70" s="34">
        <f t="shared" si="16"/>
        <v>113</v>
      </c>
      <c r="V70" s="34">
        <f t="shared" si="16"/>
        <v>55</v>
      </c>
      <c r="W70" s="34">
        <f t="shared" si="16"/>
        <v>33</v>
      </c>
      <c r="X70" s="34">
        <f t="shared" si="16"/>
        <v>32</v>
      </c>
      <c r="Y70" s="34">
        <f t="shared" si="16"/>
        <v>32</v>
      </c>
      <c r="Z70" s="34">
        <f t="shared" si="16"/>
        <v>54</v>
      </c>
      <c r="AA70" s="34">
        <f t="shared" si="16"/>
        <v>51</v>
      </c>
      <c r="AB70" s="34">
        <f t="shared" si="16"/>
        <v>48</v>
      </c>
      <c r="AC70" s="34">
        <f t="shared" si="16"/>
        <v>18</v>
      </c>
      <c r="AD70" s="34">
        <f t="shared" si="16"/>
        <v>46</v>
      </c>
      <c r="AE70" s="34">
        <f t="shared" si="16"/>
        <v>49</v>
      </c>
      <c r="AF70" s="34">
        <f t="shared" si="16"/>
        <v>138</v>
      </c>
      <c r="AG70" s="34">
        <f t="shared" si="16"/>
        <v>105</v>
      </c>
      <c r="AH70" s="34">
        <f t="shared" si="16"/>
        <v>11</v>
      </c>
      <c r="AI70" s="34">
        <f t="shared" si="16"/>
        <v>23</v>
      </c>
      <c r="AJ70" s="34">
        <f t="shared" si="16"/>
        <v>121</v>
      </c>
      <c r="AK70" s="34">
        <f t="shared" si="16"/>
        <v>95</v>
      </c>
      <c r="AL70" s="34">
        <f t="shared" si="16"/>
        <v>60</v>
      </c>
      <c r="AM70" s="34">
        <f t="shared" si="16"/>
        <v>100</v>
      </c>
      <c r="AN70" s="34">
        <f t="shared" si="16"/>
        <v>96</v>
      </c>
      <c r="AO70" s="34">
        <f t="shared" si="16"/>
        <v>121</v>
      </c>
      <c r="AP70" s="13">
        <f t="shared" si="13"/>
        <v>2434</v>
      </c>
    </row>
    <row r="71" spans="1:42" ht="12.75" customHeight="1" x14ac:dyDescent="0.3">
      <c r="A71" s="35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13">
        <f t="shared" si="13"/>
        <v>0</v>
      </c>
    </row>
    <row r="72" spans="1:42" ht="12.75" customHeight="1" x14ac:dyDescent="0.3">
      <c r="A72" s="19" t="s">
        <v>37</v>
      </c>
      <c r="B72" s="26" t="s">
        <v>23</v>
      </c>
      <c r="C72" s="50" t="s">
        <v>61</v>
      </c>
      <c r="D72" s="49"/>
      <c r="E72" s="15">
        <v>3</v>
      </c>
      <c r="F72" s="15">
        <v>4</v>
      </c>
      <c r="G72" s="15">
        <v>8</v>
      </c>
      <c r="H72" s="15">
        <v>4</v>
      </c>
      <c r="I72" s="15">
        <v>1</v>
      </c>
      <c r="J72" s="15">
        <v>3</v>
      </c>
      <c r="K72" s="15">
        <v>1</v>
      </c>
      <c r="L72" s="15">
        <v>1</v>
      </c>
      <c r="M72" s="15">
        <v>5</v>
      </c>
      <c r="N72" s="15">
        <v>2</v>
      </c>
      <c r="O72" s="15">
        <v>3</v>
      </c>
      <c r="P72" s="15">
        <v>7</v>
      </c>
      <c r="Q72" s="15">
        <v>1</v>
      </c>
      <c r="R72" s="15">
        <v>1</v>
      </c>
      <c r="S72" s="15">
        <v>3</v>
      </c>
      <c r="T72" s="15">
        <v>2</v>
      </c>
      <c r="U72" s="15">
        <v>1</v>
      </c>
      <c r="V72" s="15">
        <v>1</v>
      </c>
      <c r="W72" s="15">
        <v>2</v>
      </c>
      <c r="X72" s="15">
        <v>1</v>
      </c>
      <c r="Y72" s="15">
        <v>1</v>
      </c>
      <c r="Z72" s="15">
        <v>1</v>
      </c>
      <c r="AA72" s="15">
        <v>3</v>
      </c>
      <c r="AB72" s="15">
        <v>2</v>
      </c>
      <c r="AC72" s="15">
        <v>9</v>
      </c>
      <c r="AD72" s="15">
        <v>3</v>
      </c>
      <c r="AE72" s="15">
        <v>0</v>
      </c>
      <c r="AF72" s="15">
        <v>0</v>
      </c>
      <c r="AG72" s="15">
        <v>3</v>
      </c>
      <c r="AH72" s="15">
        <v>5</v>
      </c>
      <c r="AI72" s="15">
        <v>4</v>
      </c>
      <c r="AJ72" s="15">
        <v>2</v>
      </c>
      <c r="AK72" s="15">
        <v>3</v>
      </c>
      <c r="AL72" s="15">
        <v>10</v>
      </c>
      <c r="AM72" s="15">
        <v>8</v>
      </c>
      <c r="AN72" s="15">
        <v>9</v>
      </c>
      <c r="AO72" s="15">
        <v>1</v>
      </c>
      <c r="AP72" s="13">
        <f t="shared" si="13"/>
        <v>118</v>
      </c>
    </row>
    <row r="73" spans="1:42" ht="12.75" customHeight="1" x14ac:dyDescent="0.3">
      <c r="A73" s="19" t="s">
        <v>39</v>
      </c>
      <c r="B73" s="27">
        <v>1</v>
      </c>
      <c r="C73" s="28" t="s">
        <v>62</v>
      </c>
      <c r="D73" s="29"/>
      <c r="E73" s="15">
        <v>15</v>
      </c>
      <c r="F73" s="15">
        <v>14</v>
      </c>
      <c r="G73" s="15">
        <v>34</v>
      </c>
      <c r="H73" s="15">
        <v>23</v>
      </c>
      <c r="I73" s="15">
        <v>7</v>
      </c>
      <c r="J73" s="15">
        <v>10</v>
      </c>
      <c r="K73" s="15">
        <v>5</v>
      </c>
      <c r="L73" s="15">
        <v>9</v>
      </c>
      <c r="M73" s="15">
        <v>1</v>
      </c>
      <c r="N73" s="15">
        <v>0</v>
      </c>
      <c r="O73" s="15">
        <v>0</v>
      </c>
      <c r="P73" s="15">
        <v>8</v>
      </c>
      <c r="Q73" s="15">
        <v>1</v>
      </c>
      <c r="R73" s="15">
        <v>1</v>
      </c>
      <c r="S73" s="15">
        <v>2</v>
      </c>
      <c r="T73" s="15">
        <v>0</v>
      </c>
      <c r="U73" s="15">
        <v>1</v>
      </c>
      <c r="V73" s="15">
        <v>8</v>
      </c>
      <c r="W73" s="15">
        <v>5</v>
      </c>
      <c r="X73" s="15">
        <v>4</v>
      </c>
      <c r="Y73" s="15">
        <v>3</v>
      </c>
      <c r="Z73" s="15">
        <v>0</v>
      </c>
      <c r="AA73" s="15">
        <v>3</v>
      </c>
      <c r="AB73" s="15">
        <v>2</v>
      </c>
      <c r="AC73" s="15">
        <v>5</v>
      </c>
      <c r="AD73" s="15">
        <v>8</v>
      </c>
      <c r="AE73" s="15">
        <v>3</v>
      </c>
      <c r="AF73" s="15">
        <v>3</v>
      </c>
      <c r="AG73" s="15">
        <v>8</v>
      </c>
      <c r="AH73" s="15">
        <v>36</v>
      </c>
      <c r="AI73" s="15">
        <v>21</v>
      </c>
      <c r="AJ73" s="15">
        <v>18</v>
      </c>
      <c r="AK73" s="15">
        <v>4</v>
      </c>
      <c r="AL73" s="15">
        <v>5</v>
      </c>
      <c r="AM73" s="15">
        <v>7</v>
      </c>
      <c r="AN73" s="15">
        <v>1</v>
      </c>
      <c r="AO73" s="15">
        <v>1</v>
      </c>
      <c r="AP73" s="13">
        <f t="shared" si="13"/>
        <v>276</v>
      </c>
    </row>
    <row r="74" spans="1:42" ht="12.75" customHeight="1" x14ac:dyDescent="0.3">
      <c r="A74" s="14"/>
      <c r="B74" s="27">
        <v>2</v>
      </c>
      <c r="C74" s="28" t="s">
        <v>63</v>
      </c>
      <c r="D74" s="29"/>
      <c r="E74" s="15">
        <v>1</v>
      </c>
      <c r="F74" s="15">
        <v>1</v>
      </c>
      <c r="G74" s="15">
        <v>0</v>
      </c>
      <c r="H74" s="15">
        <v>1</v>
      </c>
      <c r="I74" s="15">
        <v>1</v>
      </c>
      <c r="J74" s="15">
        <v>1</v>
      </c>
      <c r="K74" s="15">
        <v>0</v>
      </c>
      <c r="L74" s="15">
        <v>0</v>
      </c>
      <c r="M74" s="15">
        <v>2</v>
      </c>
      <c r="N74" s="15">
        <v>0</v>
      </c>
      <c r="O74" s="15">
        <v>2</v>
      </c>
      <c r="P74" s="15">
        <v>1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2</v>
      </c>
      <c r="Y74" s="15">
        <v>0</v>
      </c>
      <c r="Z74" s="15">
        <v>0</v>
      </c>
      <c r="AA74" s="15">
        <v>1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1</v>
      </c>
      <c r="AJ74" s="15">
        <v>0</v>
      </c>
      <c r="AK74" s="15">
        <v>0</v>
      </c>
      <c r="AL74" s="15">
        <v>0</v>
      </c>
      <c r="AM74" s="15">
        <v>2</v>
      </c>
      <c r="AN74" s="15">
        <v>0</v>
      </c>
      <c r="AO74" s="15">
        <v>0</v>
      </c>
      <c r="AP74" s="13">
        <f t="shared" si="13"/>
        <v>16</v>
      </c>
    </row>
    <row r="75" spans="1:42" ht="12.75" customHeight="1" x14ac:dyDescent="0.3">
      <c r="A75" s="14"/>
      <c r="B75" s="27">
        <v>3</v>
      </c>
      <c r="C75" s="28" t="s">
        <v>64</v>
      </c>
      <c r="D75" s="29"/>
      <c r="E75" s="15">
        <v>1</v>
      </c>
      <c r="F75" s="15">
        <v>1</v>
      </c>
      <c r="G75" s="15">
        <v>1</v>
      </c>
      <c r="H75" s="15">
        <v>0</v>
      </c>
      <c r="I75" s="15">
        <v>3</v>
      </c>
      <c r="J75" s="15">
        <v>0</v>
      </c>
      <c r="K75" s="15">
        <v>0</v>
      </c>
      <c r="L75" s="15">
        <v>0</v>
      </c>
      <c r="M75" s="15">
        <v>0</v>
      </c>
      <c r="N75" s="15">
        <v>1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2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2</v>
      </c>
      <c r="AE75" s="15">
        <v>1</v>
      </c>
      <c r="AF75" s="15">
        <v>0</v>
      </c>
      <c r="AG75" s="15">
        <v>0</v>
      </c>
      <c r="AH75" s="15">
        <v>1</v>
      </c>
      <c r="AI75" s="15">
        <v>0</v>
      </c>
      <c r="AJ75" s="15">
        <v>1</v>
      </c>
      <c r="AK75" s="15">
        <v>1</v>
      </c>
      <c r="AL75" s="15">
        <v>0</v>
      </c>
      <c r="AM75" s="15">
        <v>0</v>
      </c>
      <c r="AN75" s="15">
        <v>0</v>
      </c>
      <c r="AO75" s="15">
        <v>0</v>
      </c>
      <c r="AP75" s="13">
        <f t="shared" si="13"/>
        <v>15</v>
      </c>
    </row>
    <row r="76" spans="1:42" ht="12.75" customHeight="1" x14ac:dyDescent="0.3">
      <c r="A76" s="14"/>
      <c r="B76" s="27">
        <v>4</v>
      </c>
      <c r="C76" s="28" t="s">
        <v>65</v>
      </c>
      <c r="D76" s="29"/>
      <c r="E76" s="15">
        <v>0</v>
      </c>
      <c r="F76" s="15">
        <v>0</v>
      </c>
      <c r="G76" s="15">
        <v>0</v>
      </c>
      <c r="H76" s="15">
        <v>0</v>
      </c>
      <c r="I76" s="15">
        <v>3</v>
      </c>
      <c r="J76" s="15">
        <v>0</v>
      </c>
      <c r="K76" s="15">
        <v>1</v>
      </c>
      <c r="L76" s="15">
        <v>0</v>
      </c>
      <c r="M76" s="15">
        <v>2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1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1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1</v>
      </c>
      <c r="AK76" s="15">
        <v>1</v>
      </c>
      <c r="AL76" s="15">
        <v>0</v>
      </c>
      <c r="AM76" s="15">
        <v>0</v>
      </c>
      <c r="AN76" s="15">
        <v>0</v>
      </c>
      <c r="AO76" s="15">
        <v>0</v>
      </c>
      <c r="AP76" s="13">
        <f t="shared" si="13"/>
        <v>10</v>
      </c>
    </row>
    <row r="77" spans="1:42" ht="12.75" customHeight="1" x14ac:dyDescent="0.3">
      <c r="A77" s="14"/>
      <c r="B77" s="27">
        <v>5</v>
      </c>
      <c r="C77" s="28" t="s">
        <v>66</v>
      </c>
      <c r="D77" s="29"/>
      <c r="E77" s="15">
        <v>0</v>
      </c>
      <c r="F77" s="15">
        <v>0</v>
      </c>
      <c r="G77" s="15">
        <v>5</v>
      </c>
      <c r="H77" s="15">
        <v>2</v>
      </c>
      <c r="I77" s="15">
        <v>0</v>
      </c>
      <c r="J77" s="15">
        <v>0</v>
      </c>
      <c r="K77" s="15">
        <v>2</v>
      </c>
      <c r="L77" s="15">
        <v>0</v>
      </c>
      <c r="M77" s="15">
        <v>6</v>
      </c>
      <c r="N77" s="15">
        <v>2</v>
      </c>
      <c r="O77" s="15">
        <v>2</v>
      </c>
      <c r="P77" s="15">
        <v>34</v>
      </c>
      <c r="Q77" s="15">
        <v>1</v>
      </c>
      <c r="R77" s="15">
        <v>4</v>
      </c>
      <c r="S77" s="15">
        <v>0</v>
      </c>
      <c r="T77" s="15">
        <v>1</v>
      </c>
      <c r="U77" s="15">
        <v>7</v>
      </c>
      <c r="V77" s="15">
        <v>9</v>
      </c>
      <c r="W77" s="15">
        <v>1</v>
      </c>
      <c r="X77" s="15">
        <v>5</v>
      </c>
      <c r="Y77" s="15">
        <v>5</v>
      </c>
      <c r="Z77" s="15">
        <v>2</v>
      </c>
      <c r="AA77" s="15">
        <v>13</v>
      </c>
      <c r="AB77" s="15">
        <v>1</v>
      </c>
      <c r="AC77" s="15">
        <v>3</v>
      </c>
      <c r="AD77" s="15">
        <v>12</v>
      </c>
      <c r="AE77" s="15">
        <v>0</v>
      </c>
      <c r="AF77" s="15">
        <v>1</v>
      </c>
      <c r="AG77" s="15">
        <v>0</v>
      </c>
      <c r="AH77" s="15">
        <v>1</v>
      </c>
      <c r="AI77" s="15">
        <v>12</v>
      </c>
      <c r="AJ77" s="15">
        <v>1</v>
      </c>
      <c r="AK77" s="15">
        <v>10</v>
      </c>
      <c r="AL77" s="15">
        <v>4</v>
      </c>
      <c r="AM77" s="15">
        <v>1</v>
      </c>
      <c r="AN77" s="15">
        <v>15</v>
      </c>
      <c r="AO77" s="15">
        <v>2</v>
      </c>
      <c r="AP77" s="13">
        <f t="shared" si="13"/>
        <v>164</v>
      </c>
    </row>
    <row r="78" spans="1:42" ht="12.75" customHeight="1" x14ac:dyDescent="0.3">
      <c r="A78" s="14"/>
      <c r="B78" s="27">
        <v>6</v>
      </c>
      <c r="C78" s="28" t="s">
        <v>67</v>
      </c>
      <c r="D78" s="29"/>
      <c r="E78" s="15">
        <v>0</v>
      </c>
      <c r="F78" s="15">
        <v>0</v>
      </c>
      <c r="G78" s="15">
        <v>0</v>
      </c>
      <c r="H78" s="15">
        <v>2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1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3">
        <f t="shared" si="13"/>
        <v>3</v>
      </c>
    </row>
    <row r="79" spans="1:42" ht="15" customHeight="1" x14ac:dyDescent="0.3">
      <c r="A79" s="15" t="s">
        <v>15</v>
      </c>
      <c r="B79" s="47" t="s">
        <v>46</v>
      </c>
      <c r="C79" s="48"/>
      <c r="D79" s="49"/>
      <c r="E79" s="34">
        <f t="shared" ref="E79:AO79" si="17">SUM(E72:E78)</f>
        <v>20</v>
      </c>
      <c r="F79" s="34">
        <f t="shared" si="17"/>
        <v>20</v>
      </c>
      <c r="G79" s="34">
        <f t="shared" si="17"/>
        <v>48</v>
      </c>
      <c r="H79" s="34">
        <f t="shared" si="17"/>
        <v>32</v>
      </c>
      <c r="I79" s="34">
        <f t="shared" si="17"/>
        <v>15</v>
      </c>
      <c r="J79" s="34">
        <f t="shared" si="17"/>
        <v>14</v>
      </c>
      <c r="K79" s="34">
        <f t="shared" si="17"/>
        <v>9</v>
      </c>
      <c r="L79" s="34">
        <f t="shared" si="17"/>
        <v>10</v>
      </c>
      <c r="M79" s="34">
        <f t="shared" si="17"/>
        <v>16</v>
      </c>
      <c r="N79" s="34">
        <f t="shared" si="17"/>
        <v>5</v>
      </c>
      <c r="O79" s="34">
        <f t="shared" si="17"/>
        <v>7</v>
      </c>
      <c r="P79" s="34">
        <f t="shared" si="17"/>
        <v>50</v>
      </c>
      <c r="Q79" s="34">
        <f t="shared" si="17"/>
        <v>3</v>
      </c>
      <c r="R79" s="34">
        <f t="shared" si="17"/>
        <v>6</v>
      </c>
      <c r="S79" s="34">
        <f t="shared" si="17"/>
        <v>6</v>
      </c>
      <c r="T79" s="34">
        <f t="shared" si="17"/>
        <v>3</v>
      </c>
      <c r="U79" s="34">
        <f t="shared" si="17"/>
        <v>9</v>
      </c>
      <c r="V79" s="34">
        <f t="shared" si="17"/>
        <v>18</v>
      </c>
      <c r="W79" s="34">
        <f t="shared" si="17"/>
        <v>8</v>
      </c>
      <c r="X79" s="34">
        <f t="shared" si="17"/>
        <v>14</v>
      </c>
      <c r="Y79" s="34">
        <f t="shared" si="17"/>
        <v>9</v>
      </c>
      <c r="Z79" s="34">
        <f t="shared" si="17"/>
        <v>3</v>
      </c>
      <c r="AA79" s="34">
        <f t="shared" si="17"/>
        <v>20</v>
      </c>
      <c r="AB79" s="34">
        <f t="shared" si="17"/>
        <v>5</v>
      </c>
      <c r="AC79" s="34">
        <f t="shared" si="17"/>
        <v>18</v>
      </c>
      <c r="AD79" s="34">
        <f t="shared" si="17"/>
        <v>25</v>
      </c>
      <c r="AE79" s="34">
        <f t="shared" si="17"/>
        <v>4</v>
      </c>
      <c r="AF79" s="34">
        <f t="shared" si="17"/>
        <v>4</v>
      </c>
      <c r="AG79" s="34">
        <f t="shared" si="17"/>
        <v>11</v>
      </c>
      <c r="AH79" s="34">
        <f t="shared" si="17"/>
        <v>43</v>
      </c>
      <c r="AI79" s="34">
        <f t="shared" si="17"/>
        <v>38</v>
      </c>
      <c r="AJ79" s="34">
        <f t="shared" si="17"/>
        <v>24</v>
      </c>
      <c r="AK79" s="34">
        <f t="shared" si="17"/>
        <v>19</v>
      </c>
      <c r="AL79" s="34">
        <f t="shared" si="17"/>
        <v>19</v>
      </c>
      <c r="AM79" s="34">
        <f t="shared" si="17"/>
        <v>18</v>
      </c>
      <c r="AN79" s="34">
        <f t="shared" si="17"/>
        <v>25</v>
      </c>
      <c r="AO79" s="34">
        <f t="shared" si="17"/>
        <v>4</v>
      </c>
      <c r="AP79" s="13">
        <f t="shared" si="13"/>
        <v>602</v>
      </c>
    </row>
    <row r="80" spans="1:42" ht="12.75" customHeight="1" x14ac:dyDescent="0.3">
      <c r="A80" s="35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13">
        <f t="shared" si="13"/>
        <v>0</v>
      </c>
    </row>
    <row r="81" spans="1:42" ht="12.75" customHeight="1" x14ac:dyDescent="0.3">
      <c r="A81" s="19" t="s">
        <v>37</v>
      </c>
      <c r="B81" s="26" t="s">
        <v>68</v>
      </c>
      <c r="C81" s="50" t="s">
        <v>69</v>
      </c>
      <c r="D81" s="49"/>
      <c r="E81" s="15">
        <v>1</v>
      </c>
      <c r="F81" s="15">
        <v>2</v>
      </c>
      <c r="G81" s="15">
        <v>1</v>
      </c>
      <c r="H81" s="15">
        <v>0</v>
      </c>
      <c r="I81" s="15">
        <v>1</v>
      </c>
      <c r="J81" s="15">
        <v>0</v>
      </c>
      <c r="K81" s="15">
        <v>1</v>
      </c>
      <c r="L81" s="15">
        <v>2</v>
      </c>
      <c r="M81" s="15">
        <v>2</v>
      </c>
      <c r="N81" s="15">
        <v>1</v>
      </c>
      <c r="O81" s="15">
        <v>1</v>
      </c>
      <c r="P81" s="15">
        <v>0</v>
      </c>
      <c r="Q81" s="15">
        <v>0</v>
      </c>
      <c r="R81" s="15">
        <v>0</v>
      </c>
      <c r="S81" s="15">
        <v>2</v>
      </c>
      <c r="T81" s="15">
        <v>0</v>
      </c>
      <c r="U81" s="15">
        <v>0</v>
      </c>
      <c r="V81" s="15">
        <v>0</v>
      </c>
      <c r="W81" s="15">
        <v>0</v>
      </c>
      <c r="X81" s="15">
        <v>1</v>
      </c>
      <c r="Y81" s="15">
        <v>1</v>
      </c>
      <c r="Z81" s="15">
        <v>0</v>
      </c>
      <c r="AA81" s="15">
        <v>1</v>
      </c>
      <c r="AB81" s="15">
        <v>2</v>
      </c>
      <c r="AC81" s="15">
        <v>0</v>
      </c>
      <c r="AD81" s="15">
        <v>0</v>
      </c>
      <c r="AE81" s="15">
        <v>4</v>
      </c>
      <c r="AF81" s="15">
        <v>1</v>
      </c>
      <c r="AG81" s="15">
        <v>1</v>
      </c>
      <c r="AH81" s="15">
        <v>0</v>
      </c>
      <c r="AI81" s="15">
        <v>0</v>
      </c>
      <c r="AJ81" s="15">
        <v>0</v>
      </c>
      <c r="AK81" s="15">
        <v>0</v>
      </c>
      <c r="AL81" s="15">
        <v>3</v>
      </c>
      <c r="AM81" s="15">
        <v>0</v>
      </c>
      <c r="AN81" s="15">
        <v>0</v>
      </c>
      <c r="AO81" s="15">
        <v>0</v>
      </c>
      <c r="AP81" s="13">
        <f t="shared" si="13"/>
        <v>28</v>
      </c>
    </row>
    <row r="82" spans="1:42" ht="12.75" customHeight="1" x14ac:dyDescent="0.3">
      <c r="A82" s="19" t="s">
        <v>39</v>
      </c>
      <c r="B82" s="27">
        <v>1</v>
      </c>
      <c r="C82" s="28" t="s">
        <v>70</v>
      </c>
      <c r="D82" s="29"/>
      <c r="E82" s="15">
        <v>6</v>
      </c>
      <c r="F82" s="15">
        <v>5</v>
      </c>
      <c r="G82" s="15">
        <v>0</v>
      </c>
      <c r="H82" s="15">
        <v>1</v>
      </c>
      <c r="I82" s="15">
        <v>1</v>
      </c>
      <c r="J82" s="15">
        <v>0</v>
      </c>
      <c r="K82" s="15">
        <v>0</v>
      </c>
      <c r="L82" s="15">
        <v>0</v>
      </c>
      <c r="M82" s="15">
        <v>2</v>
      </c>
      <c r="N82" s="15">
        <v>2</v>
      </c>
      <c r="O82" s="15">
        <v>0</v>
      </c>
      <c r="P82" s="15">
        <v>2</v>
      </c>
      <c r="Q82" s="15">
        <v>0</v>
      </c>
      <c r="R82" s="15">
        <v>6</v>
      </c>
      <c r="S82" s="15">
        <v>3</v>
      </c>
      <c r="T82" s="15">
        <v>0</v>
      </c>
      <c r="U82" s="15">
        <v>0</v>
      </c>
      <c r="V82" s="15">
        <v>3</v>
      </c>
      <c r="W82" s="15">
        <v>7</v>
      </c>
      <c r="X82" s="15">
        <v>10</v>
      </c>
      <c r="Y82" s="15">
        <v>1</v>
      </c>
      <c r="Z82" s="15">
        <v>3</v>
      </c>
      <c r="AA82" s="15">
        <v>5</v>
      </c>
      <c r="AB82" s="15">
        <v>23</v>
      </c>
      <c r="AC82" s="15">
        <v>4</v>
      </c>
      <c r="AD82" s="15">
        <v>14</v>
      </c>
      <c r="AE82" s="15">
        <v>18</v>
      </c>
      <c r="AF82" s="15">
        <v>21</v>
      </c>
      <c r="AG82" s="15">
        <v>5</v>
      </c>
      <c r="AH82" s="15">
        <v>0</v>
      </c>
      <c r="AI82" s="15">
        <v>2</v>
      </c>
      <c r="AJ82" s="15">
        <v>0</v>
      </c>
      <c r="AK82" s="15">
        <v>2</v>
      </c>
      <c r="AL82" s="15">
        <v>1</v>
      </c>
      <c r="AM82" s="15">
        <v>0</v>
      </c>
      <c r="AN82" s="15">
        <v>3</v>
      </c>
      <c r="AO82" s="15">
        <v>1</v>
      </c>
      <c r="AP82" s="13">
        <f t="shared" si="13"/>
        <v>151</v>
      </c>
    </row>
    <row r="83" spans="1:42" ht="12.75" customHeight="1" x14ac:dyDescent="0.3">
      <c r="A83" s="14"/>
      <c r="B83" s="27">
        <v>2</v>
      </c>
      <c r="C83" s="28" t="s">
        <v>71</v>
      </c>
      <c r="D83" s="29"/>
      <c r="E83" s="15">
        <v>0</v>
      </c>
      <c r="F83" s="15">
        <v>1</v>
      </c>
      <c r="G83" s="15">
        <v>1</v>
      </c>
      <c r="H83" s="15">
        <v>0</v>
      </c>
      <c r="I83" s="15">
        <v>0</v>
      </c>
      <c r="J83" s="15">
        <v>1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3">
        <f t="shared" si="13"/>
        <v>3</v>
      </c>
    </row>
    <row r="84" spans="1:42" ht="12.75" customHeight="1" x14ac:dyDescent="0.3">
      <c r="A84" s="14"/>
      <c r="B84" s="27">
        <v>3</v>
      </c>
      <c r="C84" s="28" t="s">
        <v>72</v>
      </c>
      <c r="D84" s="29"/>
      <c r="E84" s="15">
        <v>0</v>
      </c>
      <c r="F84" s="15">
        <v>0</v>
      </c>
      <c r="G84" s="15">
        <v>0</v>
      </c>
      <c r="H84" s="15">
        <v>0</v>
      </c>
      <c r="I84" s="15">
        <v>1</v>
      </c>
      <c r="J84" s="15">
        <v>0</v>
      </c>
      <c r="K84" s="15">
        <v>0</v>
      </c>
      <c r="L84" s="15">
        <v>0</v>
      </c>
      <c r="M84" s="15">
        <v>1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4</v>
      </c>
      <c r="AM84" s="15">
        <v>0</v>
      </c>
      <c r="AN84" s="15">
        <v>1</v>
      </c>
      <c r="AO84" s="15">
        <v>0</v>
      </c>
      <c r="AP84" s="13">
        <f t="shared" si="13"/>
        <v>7</v>
      </c>
    </row>
    <row r="85" spans="1:42" ht="12.75" customHeight="1" x14ac:dyDescent="0.3">
      <c r="A85" s="14"/>
      <c r="B85" s="27">
        <v>4</v>
      </c>
      <c r="C85" s="28" t="s">
        <v>73</v>
      </c>
      <c r="D85" s="29"/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2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1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1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1</v>
      </c>
      <c r="AL85" s="15">
        <v>3</v>
      </c>
      <c r="AM85" s="15">
        <v>0</v>
      </c>
      <c r="AN85" s="15">
        <v>1</v>
      </c>
      <c r="AO85" s="15">
        <v>0</v>
      </c>
      <c r="AP85" s="13">
        <f t="shared" si="13"/>
        <v>9</v>
      </c>
    </row>
    <row r="86" spans="1:42" ht="12.75" customHeight="1" x14ac:dyDescent="0.3">
      <c r="A86" s="14"/>
      <c r="B86" s="27">
        <v>5</v>
      </c>
      <c r="C86" s="28" t="s">
        <v>74</v>
      </c>
      <c r="D86" s="29"/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1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1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3">
        <f t="shared" si="13"/>
        <v>2</v>
      </c>
    </row>
    <row r="87" spans="1:42" ht="12.75" customHeight="1" x14ac:dyDescent="0.3">
      <c r="A87" s="14"/>
      <c r="B87" s="27">
        <v>6</v>
      </c>
      <c r="C87" s="28" t="s">
        <v>75</v>
      </c>
      <c r="D87" s="29"/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1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1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1</v>
      </c>
      <c r="AG87" s="15">
        <v>0</v>
      </c>
      <c r="AH87" s="15">
        <v>1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3">
        <f t="shared" si="13"/>
        <v>4</v>
      </c>
    </row>
    <row r="88" spans="1:42" ht="12.75" customHeight="1" x14ac:dyDescent="0.3">
      <c r="A88" s="15" t="s">
        <v>15</v>
      </c>
      <c r="B88" s="47" t="s">
        <v>46</v>
      </c>
      <c r="C88" s="48"/>
      <c r="D88" s="49"/>
      <c r="E88" s="34">
        <f t="shared" ref="E88:AO88" si="18">SUM(E81:E87)</f>
        <v>7</v>
      </c>
      <c r="F88" s="34">
        <f t="shared" si="18"/>
        <v>8</v>
      </c>
      <c r="G88" s="34">
        <f t="shared" si="18"/>
        <v>2</v>
      </c>
      <c r="H88" s="34">
        <f t="shared" si="18"/>
        <v>1</v>
      </c>
      <c r="I88" s="34">
        <f t="shared" si="18"/>
        <v>3</v>
      </c>
      <c r="J88" s="34">
        <f t="shared" si="18"/>
        <v>1</v>
      </c>
      <c r="K88" s="34">
        <f t="shared" si="18"/>
        <v>1</v>
      </c>
      <c r="L88" s="34">
        <f t="shared" si="18"/>
        <v>2</v>
      </c>
      <c r="M88" s="34">
        <f t="shared" si="18"/>
        <v>8</v>
      </c>
      <c r="N88" s="34">
        <f t="shared" si="18"/>
        <v>3</v>
      </c>
      <c r="O88" s="34">
        <f t="shared" si="18"/>
        <v>1</v>
      </c>
      <c r="P88" s="34">
        <f t="shared" si="18"/>
        <v>2</v>
      </c>
      <c r="Q88" s="34">
        <f t="shared" si="18"/>
        <v>0</v>
      </c>
      <c r="R88" s="34">
        <f t="shared" si="18"/>
        <v>6</v>
      </c>
      <c r="S88" s="34">
        <f t="shared" si="18"/>
        <v>6</v>
      </c>
      <c r="T88" s="34">
        <f t="shared" si="18"/>
        <v>0</v>
      </c>
      <c r="U88" s="34">
        <f t="shared" si="18"/>
        <v>0</v>
      </c>
      <c r="V88" s="34">
        <f t="shared" si="18"/>
        <v>3</v>
      </c>
      <c r="W88" s="34">
        <f t="shared" si="18"/>
        <v>7</v>
      </c>
      <c r="X88" s="34">
        <f t="shared" si="18"/>
        <v>11</v>
      </c>
      <c r="Y88" s="34">
        <f t="shared" si="18"/>
        <v>3</v>
      </c>
      <c r="Z88" s="34">
        <f t="shared" si="18"/>
        <v>4</v>
      </c>
      <c r="AA88" s="34">
        <f t="shared" si="18"/>
        <v>6</v>
      </c>
      <c r="AB88" s="34">
        <f t="shared" si="18"/>
        <v>26</v>
      </c>
      <c r="AC88" s="34">
        <f t="shared" si="18"/>
        <v>4</v>
      </c>
      <c r="AD88" s="34">
        <f t="shared" si="18"/>
        <v>14</v>
      </c>
      <c r="AE88" s="34">
        <f t="shared" si="18"/>
        <v>22</v>
      </c>
      <c r="AF88" s="34">
        <f t="shared" si="18"/>
        <v>23</v>
      </c>
      <c r="AG88" s="34">
        <f t="shared" si="18"/>
        <v>6</v>
      </c>
      <c r="AH88" s="34">
        <f t="shared" si="18"/>
        <v>1</v>
      </c>
      <c r="AI88" s="34">
        <f t="shared" si="18"/>
        <v>3</v>
      </c>
      <c r="AJ88" s="34">
        <f t="shared" si="18"/>
        <v>0</v>
      </c>
      <c r="AK88" s="34">
        <f t="shared" si="18"/>
        <v>3</v>
      </c>
      <c r="AL88" s="34">
        <f t="shared" si="18"/>
        <v>11</v>
      </c>
      <c r="AM88" s="34">
        <f t="shared" si="18"/>
        <v>0</v>
      </c>
      <c r="AN88" s="34">
        <f t="shared" si="18"/>
        <v>5</v>
      </c>
      <c r="AO88" s="34">
        <f t="shared" si="18"/>
        <v>1</v>
      </c>
      <c r="AP88" s="13">
        <f t="shared" si="13"/>
        <v>204</v>
      </c>
    </row>
    <row r="89" spans="1:42" ht="12.75" customHeight="1" x14ac:dyDescent="0.3">
      <c r="A89" s="35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13">
        <f t="shared" si="13"/>
        <v>0</v>
      </c>
    </row>
    <row r="90" spans="1:42" ht="12.75" customHeight="1" x14ac:dyDescent="0.3">
      <c r="A90" s="19" t="s">
        <v>37</v>
      </c>
      <c r="B90" s="26" t="s">
        <v>76</v>
      </c>
      <c r="C90" s="50" t="s">
        <v>77</v>
      </c>
      <c r="D90" s="49"/>
      <c r="E90" s="15">
        <v>0</v>
      </c>
      <c r="F90" s="15">
        <v>1</v>
      </c>
      <c r="G90" s="15">
        <v>0</v>
      </c>
      <c r="H90" s="15">
        <v>0</v>
      </c>
      <c r="I90" s="15">
        <v>2</v>
      </c>
      <c r="J90" s="15">
        <v>1</v>
      </c>
      <c r="K90" s="15">
        <v>0</v>
      </c>
      <c r="L90" s="15">
        <v>0</v>
      </c>
      <c r="M90" s="15">
        <v>0</v>
      </c>
      <c r="N90" s="15">
        <v>1</v>
      </c>
      <c r="O90" s="15">
        <v>2</v>
      </c>
      <c r="P90" s="15">
        <v>0</v>
      </c>
      <c r="Q90" s="15">
        <v>1</v>
      </c>
      <c r="R90" s="15">
        <v>1</v>
      </c>
      <c r="S90" s="15">
        <v>1</v>
      </c>
      <c r="T90" s="15">
        <v>0</v>
      </c>
      <c r="U90" s="15">
        <v>0</v>
      </c>
      <c r="V90" s="15">
        <v>1</v>
      </c>
      <c r="W90" s="15">
        <v>1</v>
      </c>
      <c r="X90" s="15">
        <v>6</v>
      </c>
      <c r="Y90" s="15">
        <v>1</v>
      </c>
      <c r="Z90" s="15">
        <v>9</v>
      </c>
      <c r="AA90" s="15">
        <v>0</v>
      </c>
      <c r="AB90" s="15">
        <v>0</v>
      </c>
      <c r="AC90" s="15">
        <v>0</v>
      </c>
      <c r="AD90" s="15">
        <v>0</v>
      </c>
      <c r="AE90" s="15">
        <v>2</v>
      </c>
      <c r="AF90" s="15">
        <v>0</v>
      </c>
      <c r="AG90" s="15">
        <v>2</v>
      </c>
      <c r="AH90" s="15">
        <v>1</v>
      </c>
      <c r="AI90" s="15">
        <v>1</v>
      </c>
      <c r="AJ90" s="15">
        <v>0</v>
      </c>
      <c r="AK90" s="15">
        <v>0</v>
      </c>
      <c r="AL90" s="15">
        <v>0</v>
      </c>
      <c r="AM90" s="15">
        <v>0</v>
      </c>
      <c r="AN90" s="15">
        <v>1</v>
      </c>
      <c r="AO90" s="15">
        <v>4</v>
      </c>
      <c r="AP90" s="13">
        <f t="shared" si="13"/>
        <v>39</v>
      </c>
    </row>
    <row r="91" spans="1:42" ht="15" customHeight="1" x14ac:dyDescent="0.3">
      <c r="A91" s="19"/>
      <c r="B91" s="27">
        <v>1</v>
      </c>
      <c r="C91" s="28" t="s">
        <v>78</v>
      </c>
      <c r="D91" s="37"/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1</v>
      </c>
      <c r="T91" s="15">
        <v>0</v>
      </c>
      <c r="U91" s="15">
        <v>1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1</v>
      </c>
      <c r="AM91" s="15">
        <v>0</v>
      </c>
      <c r="AN91" s="15">
        <v>0</v>
      </c>
      <c r="AO91" s="15">
        <v>0</v>
      </c>
      <c r="AP91" s="13">
        <f t="shared" si="13"/>
        <v>3</v>
      </c>
    </row>
    <row r="92" spans="1:42" ht="12.75" customHeight="1" x14ac:dyDescent="0.3">
      <c r="A92" s="19"/>
      <c r="B92" s="27">
        <v>2</v>
      </c>
      <c r="C92" s="28" t="s">
        <v>79</v>
      </c>
      <c r="D92" s="37"/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1</v>
      </c>
      <c r="P92" s="15">
        <v>0</v>
      </c>
      <c r="Q92" s="15">
        <v>0</v>
      </c>
      <c r="R92" s="15">
        <v>0</v>
      </c>
      <c r="S92" s="15">
        <v>0</v>
      </c>
      <c r="T92" s="15">
        <v>2</v>
      </c>
      <c r="U92" s="15">
        <v>0</v>
      </c>
      <c r="V92" s="15">
        <v>1</v>
      </c>
      <c r="W92" s="15">
        <v>0</v>
      </c>
      <c r="X92" s="15">
        <v>1</v>
      </c>
      <c r="Y92" s="15">
        <v>0</v>
      </c>
      <c r="Z92" s="15">
        <v>1</v>
      </c>
      <c r="AA92" s="15">
        <v>0</v>
      </c>
      <c r="AB92" s="15">
        <v>0</v>
      </c>
      <c r="AC92" s="15">
        <v>1</v>
      </c>
      <c r="AD92" s="15">
        <v>1</v>
      </c>
      <c r="AE92" s="15">
        <v>0</v>
      </c>
      <c r="AF92" s="15">
        <v>0</v>
      </c>
      <c r="AG92" s="15">
        <v>1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3">
        <f t="shared" si="13"/>
        <v>9</v>
      </c>
    </row>
    <row r="93" spans="1:42" ht="12.75" customHeight="1" x14ac:dyDescent="0.3">
      <c r="A93" s="19" t="s">
        <v>39</v>
      </c>
      <c r="B93" s="27">
        <v>3</v>
      </c>
      <c r="C93" s="28" t="s">
        <v>80</v>
      </c>
      <c r="D93" s="37"/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1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1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1</v>
      </c>
      <c r="Y93" s="15">
        <v>0</v>
      </c>
      <c r="Z93" s="15">
        <v>0</v>
      </c>
      <c r="AA93" s="15">
        <v>0</v>
      </c>
      <c r="AB93" s="15">
        <v>1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3">
        <f t="shared" si="13"/>
        <v>4</v>
      </c>
    </row>
    <row r="94" spans="1:42" ht="12.75" customHeight="1" x14ac:dyDescent="0.3">
      <c r="A94" s="15" t="s">
        <v>15</v>
      </c>
      <c r="B94" s="47" t="s">
        <v>46</v>
      </c>
      <c r="C94" s="48"/>
      <c r="D94" s="49"/>
      <c r="E94" s="34">
        <f t="shared" ref="E94:AO94" si="19">SUM(E90:E93)</f>
        <v>0</v>
      </c>
      <c r="F94" s="34">
        <f t="shared" si="19"/>
        <v>1</v>
      </c>
      <c r="G94" s="34">
        <f t="shared" si="19"/>
        <v>0</v>
      </c>
      <c r="H94" s="34">
        <f t="shared" si="19"/>
        <v>0</v>
      </c>
      <c r="I94" s="34">
        <f t="shared" si="19"/>
        <v>2</v>
      </c>
      <c r="J94" s="34">
        <f t="shared" si="19"/>
        <v>1</v>
      </c>
      <c r="K94" s="34">
        <f t="shared" si="19"/>
        <v>1</v>
      </c>
      <c r="L94" s="34">
        <f t="shared" si="19"/>
        <v>0</v>
      </c>
      <c r="M94" s="34">
        <f t="shared" si="19"/>
        <v>0</v>
      </c>
      <c r="N94" s="34">
        <f t="shared" si="19"/>
        <v>1</v>
      </c>
      <c r="O94" s="34">
        <f t="shared" si="19"/>
        <v>3</v>
      </c>
      <c r="P94" s="34">
        <f t="shared" si="19"/>
        <v>0</v>
      </c>
      <c r="Q94" s="34">
        <f t="shared" si="19"/>
        <v>2</v>
      </c>
      <c r="R94" s="34">
        <f t="shared" si="19"/>
        <v>1</v>
      </c>
      <c r="S94" s="34">
        <f t="shared" si="19"/>
        <v>2</v>
      </c>
      <c r="T94" s="34">
        <f t="shared" si="19"/>
        <v>2</v>
      </c>
      <c r="U94" s="34">
        <f t="shared" si="19"/>
        <v>1</v>
      </c>
      <c r="V94" s="34">
        <f t="shared" si="19"/>
        <v>2</v>
      </c>
      <c r="W94" s="34">
        <f t="shared" si="19"/>
        <v>1</v>
      </c>
      <c r="X94" s="34">
        <f t="shared" si="19"/>
        <v>8</v>
      </c>
      <c r="Y94" s="34">
        <f t="shared" si="19"/>
        <v>1</v>
      </c>
      <c r="Z94" s="34">
        <f t="shared" si="19"/>
        <v>10</v>
      </c>
      <c r="AA94" s="34">
        <f t="shared" si="19"/>
        <v>0</v>
      </c>
      <c r="AB94" s="34">
        <f t="shared" si="19"/>
        <v>1</v>
      </c>
      <c r="AC94" s="34">
        <f t="shared" si="19"/>
        <v>1</v>
      </c>
      <c r="AD94" s="34">
        <f t="shared" si="19"/>
        <v>1</v>
      </c>
      <c r="AE94" s="34">
        <f t="shared" si="19"/>
        <v>2</v>
      </c>
      <c r="AF94" s="34">
        <f t="shared" si="19"/>
        <v>0</v>
      </c>
      <c r="AG94" s="34">
        <f t="shared" si="19"/>
        <v>3</v>
      </c>
      <c r="AH94" s="34">
        <f t="shared" si="19"/>
        <v>1</v>
      </c>
      <c r="AI94" s="34">
        <f t="shared" si="19"/>
        <v>1</v>
      </c>
      <c r="AJ94" s="34">
        <f t="shared" si="19"/>
        <v>0</v>
      </c>
      <c r="AK94" s="34">
        <f t="shared" si="19"/>
        <v>0</v>
      </c>
      <c r="AL94" s="34">
        <f t="shared" si="19"/>
        <v>1</v>
      </c>
      <c r="AM94" s="34">
        <f t="shared" si="19"/>
        <v>0</v>
      </c>
      <c r="AN94" s="34">
        <f t="shared" si="19"/>
        <v>1</v>
      </c>
      <c r="AO94" s="34">
        <f t="shared" si="19"/>
        <v>4</v>
      </c>
      <c r="AP94" s="13">
        <f t="shared" si="13"/>
        <v>55</v>
      </c>
    </row>
    <row r="95" spans="1:42" ht="12.75" customHeight="1" x14ac:dyDescent="0.3">
      <c r="A95" s="35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13">
        <f t="shared" si="13"/>
        <v>0</v>
      </c>
    </row>
    <row r="96" spans="1:42" ht="12.75" customHeight="1" x14ac:dyDescent="0.3">
      <c r="A96" s="19" t="s">
        <v>37</v>
      </c>
      <c r="B96" s="26" t="s">
        <v>81</v>
      </c>
      <c r="C96" s="50" t="s">
        <v>82</v>
      </c>
      <c r="D96" s="49"/>
      <c r="E96" s="15">
        <v>0</v>
      </c>
      <c r="F96" s="15">
        <v>1</v>
      </c>
      <c r="G96" s="15">
        <v>0</v>
      </c>
      <c r="H96" s="15">
        <v>1</v>
      </c>
      <c r="I96" s="15">
        <v>1</v>
      </c>
      <c r="J96" s="15">
        <v>1</v>
      </c>
      <c r="K96" s="15">
        <v>0</v>
      </c>
      <c r="L96" s="15">
        <v>0</v>
      </c>
      <c r="M96" s="15">
        <v>1</v>
      </c>
      <c r="N96" s="15">
        <v>0</v>
      </c>
      <c r="O96" s="15">
        <v>1</v>
      </c>
      <c r="P96" s="15">
        <v>1</v>
      </c>
      <c r="Q96" s="15">
        <v>0</v>
      </c>
      <c r="R96" s="15">
        <v>1</v>
      </c>
      <c r="S96" s="15">
        <v>0</v>
      </c>
      <c r="T96" s="15">
        <v>0</v>
      </c>
      <c r="U96" s="15">
        <v>0</v>
      </c>
      <c r="V96" s="15">
        <v>1</v>
      </c>
      <c r="W96" s="15">
        <v>0</v>
      </c>
      <c r="X96" s="15">
        <v>0</v>
      </c>
      <c r="Y96" s="15">
        <v>0</v>
      </c>
      <c r="Z96" s="15">
        <v>1</v>
      </c>
      <c r="AA96" s="15">
        <v>1</v>
      </c>
      <c r="AB96" s="15">
        <v>0</v>
      </c>
      <c r="AC96" s="15">
        <v>0</v>
      </c>
      <c r="AD96" s="15">
        <v>0</v>
      </c>
      <c r="AE96" s="15">
        <v>0</v>
      </c>
      <c r="AF96" s="15">
        <v>1</v>
      </c>
      <c r="AG96" s="15">
        <v>0</v>
      </c>
      <c r="AH96" s="15">
        <v>1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1</v>
      </c>
      <c r="AO96" s="15">
        <v>0</v>
      </c>
      <c r="AP96" s="13">
        <f t="shared" si="13"/>
        <v>14</v>
      </c>
    </row>
    <row r="97" spans="1:42" ht="12.75" customHeight="1" x14ac:dyDescent="0.3">
      <c r="A97" s="19" t="s">
        <v>39</v>
      </c>
      <c r="B97" s="27">
        <v>1</v>
      </c>
      <c r="C97" s="28" t="s">
        <v>83</v>
      </c>
      <c r="D97" s="29"/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1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1</v>
      </c>
      <c r="U97" s="15">
        <v>0</v>
      </c>
      <c r="V97" s="15">
        <v>1</v>
      </c>
      <c r="W97" s="15">
        <v>9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1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3">
        <f t="shared" si="13"/>
        <v>13</v>
      </c>
    </row>
    <row r="98" spans="1:42" ht="12.75" customHeight="1" x14ac:dyDescent="0.3">
      <c r="A98" s="19"/>
      <c r="B98" s="27">
        <v>2</v>
      </c>
      <c r="C98" s="28" t="s">
        <v>84</v>
      </c>
      <c r="D98" s="29"/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3">
        <f t="shared" si="13"/>
        <v>0</v>
      </c>
    </row>
    <row r="99" spans="1:42" ht="12.75" customHeight="1" x14ac:dyDescent="0.3">
      <c r="A99" s="15" t="s">
        <v>15</v>
      </c>
      <c r="B99" s="47" t="s">
        <v>46</v>
      </c>
      <c r="C99" s="48"/>
      <c r="D99" s="49"/>
      <c r="E99" s="34">
        <f t="shared" ref="E99:AO99" si="20">SUM(E96:E98)</f>
        <v>0</v>
      </c>
      <c r="F99" s="34">
        <f t="shared" si="20"/>
        <v>1</v>
      </c>
      <c r="G99" s="34">
        <f t="shared" si="20"/>
        <v>0</v>
      </c>
      <c r="H99" s="34">
        <f t="shared" si="20"/>
        <v>1</v>
      </c>
      <c r="I99" s="34">
        <f t="shared" si="20"/>
        <v>1</v>
      </c>
      <c r="J99" s="34">
        <f t="shared" si="20"/>
        <v>2</v>
      </c>
      <c r="K99" s="34">
        <f t="shared" si="20"/>
        <v>0</v>
      </c>
      <c r="L99" s="34">
        <f t="shared" si="20"/>
        <v>0</v>
      </c>
      <c r="M99" s="34">
        <f t="shared" si="20"/>
        <v>1</v>
      </c>
      <c r="N99" s="34">
        <f t="shared" si="20"/>
        <v>0</v>
      </c>
      <c r="O99" s="34">
        <f t="shared" si="20"/>
        <v>1</v>
      </c>
      <c r="P99" s="34">
        <f t="shared" si="20"/>
        <v>1</v>
      </c>
      <c r="Q99" s="34">
        <f t="shared" si="20"/>
        <v>0</v>
      </c>
      <c r="R99" s="34">
        <f t="shared" si="20"/>
        <v>1</v>
      </c>
      <c r="S99" s="34">
        <f t="shared" si="20"/>
        <v>0</v>
      </c>
      <c r="T99" s="34">
        <f t="shared" si="20"/>
        <v>1</v>
      </c>
      <c r="U99" s="34">
        <f t="shared" si="20"/>
        <v>0</v>
      </c>
      <c r="V99" s="34">
        <f t="shared" si="20"/>
        <v>2</v>
      </c>
      <c r="W99" s="34">
        <f t="shared" si="20"/>
        <v>9</v>
      </c>
      <c r="X99" s="34">
        <f t="shared" si="20"/>
        <v>0</v>
      </c>
      <c r="Y99" s="34">
        <f t="shared" si="20"/>
        <v>0</v>
      </c>
      <c r="Z99" s="34">
        <f t="shared" si="20"/>
        <v>1</v>
      </c>
      <c r="AA99" s="34">
        <f t="shared" si="20"/>
        <v>1</v>
      </c>
      <c r="AB99" s="34">
        <f t="shared" si="20"/>
        <v>0</v>
      </c>
      <c r="AC99" s="34">
        <f t="shared" si="20"/>
        <v>1</v>
      </c>
      <c r="AD99" s="34">
        <f t="shared" si="20"/>
        <v>0</v>
      </c>
      <c r="AE99" s="34">
        <f t="shared" si="20"/>
        <v>0</v>
      </c>
      <c r="AF99" s="34">
        <f t="shared" si="20"/>
        <v>1</v>
      </c>
      <c r="AG99" s="34">
        <f t="shared" si="20"/>
        <v>0</v>
      </c>
      <c r="AH99" s="34">
        <f t="shared" si="20"/>
        <v>1</v>
      </c>
      <c r="AI99" s="34">
        <f t="shared" si="20"/>
        <v>0</v>
      </c>
      <c r="AJ99" s="34">
        <f t="shared" si="20"/>
        <v>0</v>
      </c>
      <c r="AK99" s="34">
        <f t="shared" si="20"/>
        <v>0</v>
      </c>
      <c r="AL99" s="34">
        <f t="shared" si="20"/>
        <v>0</v>
      </c>
      <c r="AM99" s="34">
        <f t="shared" si="20"/>
        <v>0</v>
      </c>
      <c r="AN99" s="34">
        <f t="shared" si="20"/>
        <v>1</v>
      </c>
      <c r="AO99" s="34">
        <f t="shared" si="20"/>
        <v>0</v>
      </c>
      <c r="AP99" s="13">
        <f t="shared" si="13"/>
        <v>27</v>
      </c>
    </row>
    <row r="100" spans="1:42" ht="12.75" customHeight="1" x14ac:dyDescent="0.3">
      <c r="A100" s="35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13">
        <f t="shared" si="13"/>
        <v>0</v>
      </c>
    </row>
    <row r="101" spans="1:42" ht="12.75" customHeight="1" x14ac:dyDescent="0.3">
      <c r="A101" s="19" t="s">
        <v>37</v>
      </c>
      <c r="B101" s="26" t="s">
        <v>85</v>
      </c>
      <c r="C101" s="50" t="s">
        <v>86</v>
      </c>
      <c r="D101" s="49"/>
      <c r="E101" s="15">
        <v>0</v>
      </c>
      <c r="F101" s="15">
        <v>1</v>
      </c>
      <c r="G101" s="15">
        <v>0</v>
      </c>
      <c r="H101" s="15">
        <v>1</v>
      </c>
      <c r="I101" s="15">
        <v>0</v>
      </c>
      <c r="J101" s="15">
        <v>1</v>
      </c>
      <c r="K101" s="15">
        <v>0</v>
      </c>
      <c r="L101" s="15">
        <v>0</v>
      </c>
      <c r="M101" s="15">
        <v>0</v>
      </c>
      <c r="N101" s="15">
        <v>1</v>
      </c>
      <c r="O101" s="15">
        <v>0</v>
      </c>
      <c r="P101" s="15">
        <v>0</v>
      </c>
      <c r="Q101" s="15">
        <v>0</v>
      </c>
      <c r="R101" s="15">
        <v>0</v>
      </c>
      <c r="S101" s="15">
        <v>2</v>
      </c>
      <c r="T101" s="15">
        <v>0</v>
      </c>
      <c r="U101" s="15">
        <v>0</v>
      </c>
      <c r="V101" s="15">
        <v>1</v>
      </c>
      <c r="W101" s="15">
        <v>0</v>
      </c>
      <c r="X101" s="15">
        <v>2</v>
      </c>
      <c r="Y101" s="15">
        <v>0</v>
      </c>
      <c r="Z101" s="15">
        <v>0</v>
      </c>
      <c r="AA101" s="15">
        <v>2</v>
      </c>
      <c r="AB101" s="15">
        <v>0</v>
      </c>
      <c r="AC101" s="15">
        <v>1</v>
      </c>
      <c r="AD101" s="15">
        <v>0</v>
      </c>
      <c r="AE101" s="15">
        <v>0</v>
      </c>
      <c r="AF101" s="15">
        <v>5</v>
      </c>
      <c r="AG101" s="15">
        <v>0</v>
      </c>
      <c r="AH101" s="15">
        <v>0</v>
      </c>
      <c r="AI101" s="15">
        <v>1</v>
      </c>
      <c r="AJ101" s="15">
        <v>0</v>
      </c>
      <c r="AK101" s="15">
        <v>1</v>
      </c>
      <c r="AL101" s="15">
        <v>0</v>
      </c>
      <c r="AM101" s="15">
        <v>0</v>
      </c>
      <c r="AN101" s="15">
        <v>0</v>
      </c>
      <c r="AO101" s="15">
        <v>0</v>
      </c>
      <c r="AP101" s="13">
        <f t="shared" si="13"/>
        <v>19</v>
      </c>
    </row>
    <row r="102" spans="1:42" ht="12.75" customHeight="1" x14ac:dyDescent="0.3">
      <c r="A102" s="19" t="s">
        <v>39</v>
      </c>
      <c r="B102" s="27">
        <v>1</v>
      </c>
      <c r="C102" s="28" t="s">
        <v>87</v>
      </c>
      <c r="D102" s="29"/>
      <c r="E102" s="15">
        <v>0</v>
      </c>
      <c r="F102" s="15">
        <v>1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2</v>
      </c>
      <c r="O102" s="15">
        <v>1</v>
      </c>
      <c r="P102" s="15">
        <v>0</v>
      </c>
      <c r="Q102" s="15">
        <v>0</v>
      </c>
      <c r="R102" s="15">
        <v>3</v>
      </c>
      <c r="S102" s="15">
        <v>0</v>
      </c>
      <c r="T102" s="15">
        <v>3</v>
      </c>
      <c r="U102" s="15">
        <v>0</v>
      </c>
      <c r="V102" s="15">
        <v>3</v>
      </c>
      <c r="W102" s="15">
        <v>1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2</v>
      </c>
      <c r="AG102" s="15">
        <v>1</v>
      </c>
      <c r="AH102" s="15">
        <v>0</v>
      </c>
      <c r="AI102" s="15">
        <v>1</v>
      </c>
      <c r="AJ102" s="15">
        <v>0</v>
      </c>
      <c r="AK102" s="15">
        <v>1</v>
      </c>
      <c r="AL102" s="15">
        <v>0</v>
      </c>
      <c r="AM102" s="15">
        <v>0</v>
      </c>
      <c r="AN102" s="15">
        <v>0</v>
      </c>
      <c r="AO102" s="15">
        <v>1</v>
      </c>
      <c r="AP102" s="13">
        <f t="shared" si="13"/>
        <v>20</v>
      </c>
    </row>
    <row r="103" spans="1:42" ht="15" customHeight="1" x14ac:dyDescent="0.3">
      <c r="A103" s="14"/>
      <c r="B103" s="27">
        <v>2</v>
      </c>
      <c r="C103" s="28" t="s">
        <v>88</v>
      </c>
      <c r="D103" s="29"/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1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1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1</v>
      </c>
      <c r="AN103" s="15">
        <v>0</v>
      </c>
      <c r="AO103" s="15">
        <v>0</v>
      </c>
      <c r="AP103" s="13">
        <f t="shared" si="13"/>
        <v>3</v>
      </c>
    </row>
    <row r="104" spans="1:42" ht="12.75" customHeight="1" x14ac:dyDescent="0.3">
      <c r="A104" s="14"/>
      <c r="B104" s="27">
        <v>3</v>
      </c>
      <c r="C104" s="28" t="s">
        <v>89</v>
      </c>
      <c r="D104" s="29"/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1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1</v>
      </c>
      <c r="S104" s="15">
        <v>0</v>
      </c>
      <c r="T104" s="15">
        <v>0</v>
      </c>
      <c r="U104" s="15">
        <v>1</v>
      </c>
      <c r="V104" s="15">
        <v>1</v>
      </c>
      <c r="W104" s="15">
        <v>0</v>
      </c>
      <c r="X104" s="15">
        <v>2</v>
      </c>
      <c r="Y104" s="15">
        <v>13</v>
      </c>
      <c r="Z104" s="15">
        <v>0</v>
      </c>
      <c r="AA104" s="15">
        <v>1</v>
      </c>
      <c r="AB104" s="15">
        <v>0</v>
      </c>
      <c r="AC104" s="15">
        <v>1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3">
        <f t="shared" si="13"/>
        <v>21</v>
      </c>
    </row>
    <row r="105" spans="1:42" ht="12.75" customHeight="1" x14ac:dyDescent="0.3">
      <c r="A105" s="14"/>
      <c r="B105" s="27">
        <v>4</v>
      </c>
      <c r="C105" s="28" t="s">
        <v>90</v>
      </c>
      <c r="D105" s="29"/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2</v>
      </c>
      <c r="R105" s="15">
        <v>0</v>
      </c>
      <c r="S105" s="15">
        <v>0</v>
      </c>
      <c r="T105" s="15">
        <v>0</v>
      </c>
      <c r="U105" s="15">
        <v>0</v>
      </c>
      <c r="V105" s="15">
        <v>1</v>
      </c>
      <c r="W105" s="15">
        <v>1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1</v>
      </c>
      <c r="AO105" s="15">
        <v>1</v>
      </c>
      <c r="AP105" s="13">
        <f t="shared" si="13"/>
        <v>6</v>
      </c>
    </row>
    <row r="106" spans="1:42" ht="12.75" customHeight="1" x14ac:dyDescent="0.3">
      <c r="A106" s="14"/>
      <c r="B106" s="27">
        <v>5</v>
      </c>
      <c r="C106" s="28" t="s">
        <v>91</v>
      </c>
      <c r="D106" s="29"/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1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3">
        <f t="shared" si="13"/>
        <v>1</v>
      </c>
    </row>
    <row r="107" spans="1:42" ht="12.75" customHeight="1" x14ac:dyDescent="0.3">
      <c r="A107" s="14"/>
      <c r="B107" s="27">
        <v>6</v>
      </c>
      <c r="C107" s="28" t="s">
        <v>92</v>
      </c>
      <c r="D107" s="29"/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3">
        <f t="shared" si="13"/>
        <v>0</v>
      </c>
    </row>
    <row r="108" spans="1:42" ht="12.75" customHeight="1" x14ac:dyDescent="0.3">
      <c r="A108" s="15" t="s">
        <v>15</v>
      </c>
      <c r="B108" s="47" t="s">
        <v>46</v>
      </c>
      <c r="C108" s="48"/>
      <c r="D108" s="49"/>
      <c r="E108" s="34">
        <f t="shared" ref="E108:AO108" si="21">SUM(E101:E107)</f>
        <v>0</v>
      </c>
      <c r="F108" s="34">
        <f t="shared" si="21"/>
        <v>2</v>
      </c>
      <c r="G108" s="34">
        <f t="shared" si="21"/>
        <v>0</v>
      </c>
      <c r="H108" s="34">
        <f t="shared" si="21"/>
        <v>1</v>
      </c>
      <c r="I108" s="34">
        <f t="shared" si="21"/>
        <v>0</v>
      </c>
      <c r="J108" s="34">
        <f t="shared" si="21"/>
        <v>1</v>
      </c>
      <c r="K108" s="34">
        <f t="shared" si="21"/>
        <v>0</v>
      </c>
      <c r="L108" s="34">
        <f t="shared" si="21"/>
        <v>1</v>
      </c>
      <c r="M108" s="34">
        <f t="shared" si="21"/>
        <v>0</v>
      </c>
      <c r="N108" s="34">
        <f t="shared" si="21"/>
        <v>3</v>
      </c>
      <c r="O108" s="34">
        <f t="shared" si="21"/>
        <v>1</v>
      </c>
      <c r="P108" s="34">
        <f t="shared" si="21"/>
        <v>0</v>
      </c>
      <c r="Q108" s="34">
        <f t="shared" si="21"/>
        <v>2</v>
      </c>
      <c r="R108" s="34">
        <f t="shared" si="21"/>
        <v>4</v>
      </c>
      <c r="S108" s="34">
        <f t="shared" si="21"/>
        <v>3</v>
      </c>
      <c r="T108" s="34">
        <f t="shared" si="21"/>
        <v>3</v>
      </c>
      <c r="U108" s="34">
        <f t="shared" si="21"/>
        <v>1</v>
      </c>
      <c r="V108" s="34">
        <f t="shared" si="21"/>
        <v>7</v>
      </c>
      <c r="W108" s="34">
        <f t="shared" si="21"/>
        <v>2</v>
      </c>
      <c r="X108" s="34">
        <f t="shared" si="21"/>
        <v>4</v>
      </c>
      <c r="Y108" s="34">
        <f t="shared" si="21"/>
        <v>13</v>
      </c>
      <c r="Z108" s="34">
        <f t="shared" si="21"/>
        <v>0</v>
      </c>
      <c r="AA108" s="34">
        <f t="shared" si="21"/>
        <v>3</v>
      </c>
      <c r="AB108" s="34">
        <f t="shared" si="21"/>
        <v>1</v>
      </c>
      <c r="AC108" s="34">
        <f t="shared" si="21"/>
        <v>2</v>
      </c>
      <c r="AD108" s="34">
        <f t="shared" si="21"/>
        <v>0</v>
      </c>
      <c r="AE108" s="34">
        <f t="shared" si="21"/>
        <v>0</v>
      </c>
      <c r="AF108" s="34">
        <f t="shared" si="21"/>
        <v>7</v>
      </c>
      <c r="AG108" s="34">
        <f t="shared" si="21"/>
        <v>1</v>
      </c>
      <c r="AH108" s="34">
        <f t="shared" si="21"/>
        <v>0</v>
      </c>
      <c r="AI108" s="34">
        <f t="shared" si="21"/>
        <v>2</v>
      </c>
      <c r="AJ108" s="34">
        <f t="shared" si="21"/>
        <v>0</v>
      </c>
      <c r="AK108" s="34">
        <f t="shared" si="21"/>
        <v>2</v>
      </c>
      <c r="AL108" s="34">
        <f t="shared" si="21"/>
        <v>0</v>
      </c>
      <c r="AM108" s="34">
        <f t="shared" si="21"/>
        <v>1</v>
      </c>
      <c r="AN108" s="34">
        <f t="shared" si="21"/>
        <v>1</v>
      </c>
      <c r="AO108" s="34">
        <f t="shared" si="21"/>
        <v>2</v>
      </c>
      <c r="AP108" s="13">
        <f t="shared" si="13"/>
        <v>70</v>
      </c>
    </row>
    <row r="109" spans="1:42" ht="12.75" customHeight="1" x14ac:dyDescent="0.3">
      <c r="A109" s="35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13">
        <f t="shared" si="13"/>
        <v>0</v>
      </c>
    </row>
    <row r="110" spans="1:42" ht="12.75" customHeight="1" x14ac:dyDescent="0.3">
      <c r="A110" s="19" t="s">
        <v>37</v>
      </c>
      <c r="B110" s="26" t="s">
        <v>93</v>
      </c>
      <c r="C110" s="50" t="s">
        <v>94</v>
      </c>
      <c r="D110" s="49"/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1</v>
      </c>
      <c r="O110" s="15">
        <v>0</v>
      </c>
      <c r="P110" s="15">
        <v>0</v>
      </c>
      <c r="Q110" s="15">
        <v>1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3">
        <f t="shared" si="13"/>
        <v>2</v>
      </c>
    </row>
    <row r="111" spans="1:42" ht="12.75" customHeight="1" x14ac:dyDescent="0.3">
      <c r="A111" s="19"/>
      <c r="B111" s="26">
        <v>1</v>
      </c>
      <c r="C111" s="28" t="s">
        <v>95</v>
      </c>
      <c r="D111" s="37"/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1</v>
      </c>
      <c r="AM111" s="15">
        <v>0</v>
      </c>
      <c r="AN111" s="15">
        <v>0</v>
      </c>
      <c r="AO111" s="15">
        <v>0</v>
      </c>
      <c r="AP111" s="13">
        <f t="shared" si="13"/>
        <v>1</v>
      </c>
    </row>
    <row r="112" spans="1:42" ht="12.75" customHeight="1" x14ac:dyDescent="0.3">
      <c r="A112" s="19"/>
      <c r="B112" s="26">
        <v>2</v>
      </c>
      <c r="C112" s="28" t="s">
        <v>96</v>
      </c>
      <c r="D112" s="37"/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2</v>
      </c>
      <c r="AM112" s="15">
        <v>1</v>
      </c>
      <c r="AN112" s="15">
        <v>0</v>
      </c>
      <c r="AO112" s="15">
        <v>0</v>
      </c>
      <c r="AP112" s="13">
        <f t="shared" si="13"/>
        <v>3</v>
      </c>
    </row>
    <row r="113" spans="1:44" ht="12.75" customHeight="1" x14ac:dyDescent="0.3">
      <c r="A113" s="19"/>
      <c r="B113" s="26">
        <v>3</v>
      </c>
      <c r="C113" s="28" t="s">
        <v>97</v>
      </c>
      <c r="D113" s="37"/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3">
        <f t="shared" si="13"/>
        <v>0</v>
      </c>
    </row>
    <row r="114" spans="1:44" ht="12.75" customHeight="1" x14ac:dyDescent="0.3">
      <c r="A114" s="19" t="s">
        <v>39</v>
      </c>
      <c r="B114" s="27">
        <v>4</v>
      </c>
      <c r="C114" s="28" t="s">
        <v>98</v>
      </c>
      <c r="D114" s="29"/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3">
        <f t="shared" si="13"/>
        <v>0</v>
      </c>
    </row>
    <row r="115" spans="1:44" ht="12.75" customHeight="1" x14ac:dyDescent="0.3">
      <c r="A115" s="15" t="s">
        <v>15</v>
      </c>
      <c r="B115" s="47" t="s">
        <v>46</v>
      </c>
      <c r="C115" s="48"/>
      <c r="D115" s="49"/>
      <c r="E115" s="34">
        <f t="shared" ref="E115:AO115" si="22">SUM(E110:E114)</f>
        <v>0</v>
      </c>
      <c r="F115" s="34">
        <f t="shared" si="22"/>
        <v>0</v>
      </c>
      <c r="G115" s="34">
        <f t="shared" si="22"/>
        <v>0</v>
      </c>
      <c r="H115" s="34">
        <f t="shared" si="22"/>
        <v>0</v>
      </c>
      <c r="I115" s="34">
        <f t="shared" si="22"/>
        <v>0</v>
      </c>
      <c r="J115" s="34">
        <f t="shared" si="22"/>
        <v>0</v>
      </c>
      <c r="K115" s="34">
        <f t="shared" si="22"/>
        <v>0</v>
      </c>
      <c r="L115" s="34">
        <f t="shared" si="22"/>
        <v>0</v>
      </c>
      <c r="M115" s="34">
        <f t="shared" si="22"/>
        <v>0</v>
      </c>
      <c r="N115" s="34">
        <f t="shared" si="22"/>
        <v>1</v>
      </c>
      <c r="O115" s="34">
        <f t="shared" si="22"/>
        <v>0</v>
      </c>
      <c r="P115" s="34">
        <f t="shared" si="22"/>
        <v>0</v>
      </c>
      <c r="Q115" s="34">
        <f t="shared" si="22"/>
        <v>1</v>
      </c>
      <c r="R115" s="34">
        <f t="shared" si="22"/>
        <v>0</v>
      </c>
      <c r="S115" s="34">
        <f t="shared" si="22"/>
        <v>0</v>
      </c>
      <c r="T115" s="34">
        <f t="shared" si="22"/>
        <v>0</v>
      </c>
      <c r="U115" s="34">
        <f t="shared" si="22"/>
        <v>0</v>
      </c>
      <c r="V115" s="34">
        <f t="shared" si="22"/>
        <v>0</v>
      </c>
      <c r="W115" s="34">
        <f t="shared" si="22"/>
        <v>0</v>
      </c>
      <c r="X115" s="34">
        <f t="shared" si="22"/>
        <v>0</v>
      </c>
      <c r="Y115" s="34">
        <f t="shared" si="22"/>
        <v>0</v>
      </c>
      <c r="Z115" s="34">
        <f t="shared" si="22"/>
        <v>0</v>
      </c>
      <c r="AA115" s="34">
        <f t="shared" si="22"/>
        <v>0</v>
      </c>
      <c r="AB115" s="34">
        <f t="shared" si="22"/>
        <v>0</v>
      </c>
      <c r="AC115" s="34">
        <f t="shared" si="22"/>
        <v>0</v>
      </c>
      <c r="AD115" s="34">
        <f t="shared" si="22"/>
        <v>0</v>
      </c>
      <c r="AE115" s="34">
        <f t="shared" si="22"/>
        <v>0</v>
      </c>
      <c r="AF115" s="34">
        <f t="shared" si="22"/>
        <v>0</v>
      </c>
      <c r="AG115" s="34">
        <f t="shared" si="22"/>
        <v>0</v>
      </c>
      <c r="AH115" s="34">
        <f t="shared" si="22"/>
        <v>0</v>
      </c>
      <c r="AI115" s="34">
        <f t="shared" si="22"/>
        <v>0</v>
      </c>
      <c r="AJ115" s="34">
        <f t="shared" si="22"/>
        <v>0</v>
      </c>
      <c r="AK115" s="34">
        <f t="shared" si="22"/>
        <v>0</v>
      </c>
      <c r="AL115" s="34">
        <f t="shared" si="22"/>
        <v>3</v>
      </c>
      <c r="AM115" s="34">
        <f t="shared" si="22"/>
        <v>1</v>
      </c>
      <c r="AN115" s="34">
        <f t="shared" si="22"/>
        <v>0</v>
      </c>
      <c r="AO115" s="34">
        <f t="shared" si="22"/>
        <v>0</v>
      </c>
      <c r="AP115" s="13">
        <f t="shared" si="13"/>
        <v>6</v>
      </c>
    </row>
    <row r="116" spans="1:44" ht="12.75" customHeight="1" x14ac:dyDescent="0.3">
      <c r="A116" s="35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13">
        <f t="shared" si="13"/>
        <v>0</v>
      </c>
    </row>
    <row r="117" spans="1:44" ht="12.75" customHeight="1" x14ac:dyDescent="0.3">
      <c r="A117" s="19" t="s">
        <v>37</v>
      </c>
      <c r="B117" s="26" t="s">
        <v>99</v>
      </c>
      <c r="C117" s="50" t="s">
        <v>100</v>
      </c>
      <c r="D117" s="49"/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1</v>
      </c>
      <c r="Q117" s="15">
        <v>2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0</v>
      </c>
      <c r="AO117" s="15">
        <v>0</v>
      </c>
      <c r="AP117" s="13">
        <f t="shared" si="13"/>
        <v>3</v>
      </c>
      <c r="AQ117" s="5"/>
      <c r="AR117" s="5"/>
    </row>
    <row r="118" spans="1:44" ht="12.75" customHeight="1" x14ac:dyDescent="0.3">
      <c r="A118" s="19" t="s">
        <v>39</v>
      </c>
      <c r="B118" s="27">
        <v>1</v>
      </c>
      <c r="C118" s="28" t="s">
        <v>101</v>
      </c>
      <c r="D118" s="29"/>
      <c r="E118" s="15">
        <v>1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1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3">
        <f t="shared" si="13"/>
        <v>2</v>
      </c>
      <c r="AQ118" s="5"/>
      <c r="AR118" s="5"/>
    </row>
    <row r="119" spans="1:44" ht="12.75" customHeight="1" x14ac:dyDescent="0.3">
      <c r="A119" s="14"/>
      <c r="B119" s="27">
        <v>2</v>
      </c>
      <c r="C119" s="28" t="s">
        <v>102</v>
      </c>
      <c r="D119" s="29"/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1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3">
        <f t="shared" si="13"/>
        <v>1</v>
      </c>
      <c r="AQ119" s="5"/>
      <c r="AR119" s="5"/>
    </row>
    <row r="120" spans="1:44" ht="12.75" customHeight="1" x14ac:dyDescent="0.3">
      <c r="A120" s="14"/>
      <c r="B120" s="27">
        <v>3</v>
      </c>
      <c r="C120" s="28" t="s">
        <v>103</v>
      </c>
      <c r="D120" s="29"/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3">
        <f t="shared" si="13"/>
        <v>0</v>
      </c>
      <c r="AQ120" s="5"/>
      <c r="AR120" s="5"/>
    </row>
    <row r="121" spans="1:44" ht="12.75" customHeight="1" x14ac:dyDescent="0.3">
      <c r="A121" s="14"/>
      <c r="B121" s="27">
        <v>4</v>
      </c>
      <c r="C121" s="28" t="s">
        <v>104</v>
      </c>
      <c r="D121" s="29"/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3">
        <f t="shared" si="13"/>
        <v>0</v>
      </c>
      <c r="AQ121" s="5"/>
      <c r="AR121" s="5"/>
    </row>
    <row r="122" spans="1:44" ht="12.75" customHeight="1" x14ac:dyDescent="0.3">
      <c r="A122" s="14"/>
      <c r="B122" s="27">
        <v>5</v>
      </c>
      <c r="C122" s="28" t="s">
        <v>105</v>
      </c>
      <c r="D122" s="29"/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3">
        <f t="shared" si="13"/>
        <v>0</v>
      </c>
      <c r="AQ122" s="5"/>
      <c r="AR122" s="5"/>
    </row>
    <row r="123" spans="1:44" ht="12.75" customHeight="1" x14ac:dyDescent="0.3">
      <c r="A123" s="14"/>
      <c r="B123" s="27">
        <v>6</v>
      </c>
      <c r="C123" s="28" t="s">
        <v>106</v>
      </c>
      <c r="D123" s="29"/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3">
        <f t="shared" si="13"/>
        <v>0</v>
      </c>
      <c r="AQ123" s="5"/>
      <c r="AR123" s="5"/>
    </row>
    <row r="124" spans="1:44" ht="12.75" customHeight="1" x14ac:dyDescent="0.3">
      <c r="A124" s="15" t="s">
        <v>15</v>
      </c>
      <c r="B124" s="47" t="s">
        <v>46</v>
      </c>
      <c r="C124" s="48"/>
      <c r="D124" s="49"/>
      <c r="E124" s="34">
        <f t="shared" ref="E124:AO124" si="23">SUM(E117:E123)</f>
        <v>1</v>
      </c>
      <c r="F124" s="34">
        <f t="shared" si="23"/>
        <v>0</v>
      </c>
      <c r="G124" s="34">
        <f t="shared" si="23"/>
        <v>0</v>
      </c>
      <c r="H124" s="34">
        <f t="shared" si="23"/>
        <v>0</v>
      </c>
      <c r="I124" s="34">
        <f t="shared" si="23"/>
        <v>0</v>
      </c>
      <c r="J124" s="34">
        <f t="shared" si="23"/>
        <v>0</v>
      </c>
      <c r="K124" s="34">
        <f t="shared" si="23"/>
        <v>0</v>
      </c>
      <c r="L124" s="34">
        <f t="shared" si="23"/>
        <v>0</v>
      </c>
      <c r="M124" s="34">
        <f t="shared" si="23"/>
        <v>0</v>
      </c>
      <c r="N124" s="34">
        <f t="shared" si="23"/>
        <v>0</v>
      </c>
      <c r="O124" s="34">
        <f t="shared" si="23"/>
        <v>0</v>
      </c>
      <c r="P124" s="34">
        <f t="shared" si="23"/>
        <v>1</v>
      </c>
      <c r="Q124" s="34">
        <f t="shared" si="23"/>
        <v>2</v>
      </c>
      <c r="R124" s="34">
        <f t="shared" si="23"/>
        <v>0</v>
      </c>
      <c r="S124" s="34">
        <f t="shared" si="23"/>
        <v>0</v>
      </c>
      <c r="T124" s="34">
        <f t="shared" si="23"/>
        <v>0</v>
      </c>
      <c r="U124" s="34">
        <f t="shared" si="23"/>
        <v>0</v>
      </c>
      <c r="V124" s="34">
        <f t="shared" si="23"/>
        <v>0</v>
      </c>
      <c r="W124" s="34">
        <f t="shared" si="23"/>
        <v>0</v>
      </c>
      <c r="X124" s="34">
        <f t="shared" si="23"/>
        <v>0</v>
      </c>
      <c r="Y124" s="34">
        <f t="shared" si="23"/>
        <v>0</v>
      </c>
      <c r="Z124" s="34">
        <f t="shared" si="23"/>
        <v>0</v>
      </c>
      <c r="AA124" s="34">
        <f t="shared" si="23"/>
        <v>0</v>
      </c>
      <c r="AB124" s="34">
        <f t="shared" si="23"/>
        <v>0</v>
      </c>
      <c r="AC124" s="34">
        <f t="shared" si="23"/>
        <v>1</v>
      </c>
      <c r="AD124" s="34">
        <f t="shared" si="23"/>
        <v>0</v>
      </c>
      <c r="AE124" s="34">
        <f t="shared" si="23"/>
        <v>0</v>
      </c>
      <c r="AF124" s="34">
        <f t="shared" si="23"/>
        <v>0</v>
      </c>
      <c r="AG124" s="34">
        <f t="shared" si="23"/>
        <v>0</v>
      </c>
      <c r="AH124" s="34">
        <f t="shared" si="23"/>
        <v>1</v>
      </c>
      <c r="AI124" s="34">
        <f t="shared" si="23"/>
        <v>0</v>
      </c>
      <c r="AJ124" s="34">
        <f t="shared" si="23"/>
        <v>0</v>
      </c>
      <c r="AK124" s="34">
        <f t="shared" si="23"/>
        <v>0</v>
      </c>
      <c r="AL124" s="34">
        <f t="shared" si="23"/>
        <v>0</v>
      </c>
      <c r="AM124" s="34">
        <f t="shared" si="23"/>
        <v>0</v>
      </c>
      <c r="AN124" s="34">
        <f t="shared" si="23"/>
        <v>0</v>
      </c>
      <c r="AO124" s="34">
        <f t="shared" si="23"/>
        <v>0</v>
      </c>
      <c r="AP124" s="13">
        <f t="shared" si="13"/>
        <v>6</v>
      </c>
      <c r="AQ124" s="5"/>
      <c r="AR124" s="5"/>
    </row>
    <row r="125" spans="1:44" ht="12.75" customHeight="1" x14ac:dyDescent="0.3">
      <c r="A125" s="35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13">
        <f t="shared" si="13"/>
        <v>0</v>
      </c>
      <c r="AQ125" s="5"/>
      <c r="AR125" s="5"/>
    </row>
    <row r="126" spans="1:44" ht="12.75" customHeight="1" x14ac:dyDescent="0.3">
      <c r="A126" s="19" t="s">
        <v>37</v>
      </c>
      <c r="B126" s="26" t="s">
        <v>107</v>
      </c>
      <c r="C126" s="50" t="s">
        <v>108</v>
      </c>
      <c r="D126" s="49"/>
      <c r="E126" s="15">
        <v>0</v>
      </c>
      <c r="F126" s="15">
        <v>0</v>
      </c>
      <c r="G126" s="15">
        <v>1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1</v>
      </c>
      <c r="N126" s="15">
        <v>3</v>
      </c>
      <c r="O126" s="15">
        <v>0</v>
      </c>
      <c r="P126" s="15">
        <v>0</v>
      </c>
      <c r="Q126" s="15">
        <v>0</v>
      </c>
      <c r="R126" s="15">
        <v>0</v>
      </c>
      <c r="S126" s="15">
        <v>1</v>
      </c>
      <c r="T126" s="15">
        <v>0</v>
      </c>
      <c r="U126" s="15">
        <v>0</v>
      </c>
      <c r="V126" s="15">
        <v>0</v>
      </c>
      <c r="W126" s="15">
        <v>0</v>
      </c>
      <c r="X126" s="15">
        <v>1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1</v>
      </c>
      <c r="AI126" s="15"/>
      <c r="AJ126" s="15"/>
      <c r="AK126" s="15"/>
      <c r="AL126" s="15"/>
      <c r="AM126" s="15">
        <v>1</v>
      </c>
      <c r="AN126" s="15"/>
      <c r="AO126" s="15"/>
      <c r="AP126" s="13">
        <f t="shared" si="13"/>
        <v>9</v>
      </c>
      <c r="AQ126" s="5"/>
      <c r="AR126" s="5"/>
    </row>
    <row r="127" spans="1:44" ht="15" customHeight="1" x14ac:dyDescent="0.3">
      <c r="A127" s="19" t="s">
        <v>39</v>
      </c>
      <c r="B127" s="27"/>
      <c r="C127" s="28"/>
      <c r="D127" s="29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3">
        <f t="shared" si="13"/>
        <v>0</v>
      </c>
      <c r="AQ127" s="5"/>
      <c r="AR127" s="5"/>
    </row>
    <row r="128" spans="1:44" ht="12.75" customHeight="1" x14ac:dyDescent="0.3">
      <c r="A128" s="15" t="s">
        <v>15</v>
      </c>
      <c r="B128" s="47" t="s">
        <v>46</v>
      </c>
      <c r="C128" s="48"/>
      <c r="D128" s="49"/>
      <c r="E128" s="34">
        <f t="shared" ref="E128:AO128" si="24">SUM(E126:E127)</f>
        <v>0</v>
      </c>
      <c r="F128" s="34">
        <f t="shared" si="24"/>
        <v>0</v>
      </c>
      <c r="G128" s="34">
        <f t="shared" si="24"/>
        <v>1</v>
      </c>
      <c r="H128" s="34">
        <f t="shared" si="24"/>
        <v>0</v>
      </c>
      <c r="I128" s="34">
        <f t="shared" si="24"/>
        <v>0</v>
      </c>
      <c r="J128" s="34">
        <f t="shared" si="24"/>
        <v>0</v>
      </c>
      <c r="K128" s="34">
        <f t="shared" si="24"/>
        <v>0</v>
      </c>
      <c r="L128" s="34">
        <f t="shared" si="24"/>
        <v>0</v>
      </c>
      <c r="M128" s="34">
        <f t="shared" si="24"/>
        <v>1</v>
      </c>
      <c r="N128" s="34">
        <f t="shared" si="24"/>
        <v>3</v>
      </c>
      <c r="O128" s="34">
        <f t="shared" si="24"/>
        <v>0</v>
      </c>
      <c r="P128" s="34">
        <f t="shared" si="24"/>
        <v>0</v>
      </c>
      <c r="Q128" s="34">
        <f t="shared" si="24"/>
        <v>0</v>
      </c>
      <c r="R128" s="34">
        <f t="shared" si="24"/>
        <v>0</v>
      </c>
      <c r="S128" s="34">
        <f t="shared" si="24"/>
        <v>1</v>
      </c>
      <c r="T128" s="34">
        <f t="shared" si="24"/>
        <v>0</v>
      </c>
      <c r="U128" s="34">
        <f t="shared" si="24"/>
        <v>0</v>
      </c>
      <c r="V128" s="34">
        <f t="shared" si="24"/>
        <v>0</v>
      </c>
      <c r="W128" s="34">
        <f t="shared" si="24"/>
        <v>0</v>
      </c>
      <c r="X128" s="34">
        <f t="shared" si="24"/>
        <v>1</v>
      </c>
      <c r="Y128" s="34">
        <f t="shared" si="24"/>
        <v>0</v>
      </c>
      <c r="Z128" s="34">
        <f t="shared" si="24"/>
        <v>0</v>
      </c>
      <c r="AA128" s="34">
        <f t="shared" si="24"/>
        <v>0</v>
      </c>
      <c r="AB128" s="34">
        <f t="shared" si="24"/>
        <v>0</v>
      </c>
      <c r="AC128" s="34">
        <f t="shared" si="24"/>
        <v>0</v>
      </c>
      <c r="AD128" s="34">
        <f t="shared" si="24"/>
        <v>0</v>
      </c>
      <c r="AE128" s="34">
        <f t="shared" si="24"/>
        <v>0</v>
      </c>
      <c r="AF128" s="34">
        <f t="shared" si="24"/>
        <v>0</v>
      </c>
      <c r="AG128" s="34">
        <f t="shared" si="24"/>
        <v>0</v>
      </c>
      <c r="AH128" s="34">
        <f t="shared" si="24"/>
        <v>1</v>
      </c>
      <c r="AI128" s="34">
        <f t="shared" si="24"/>
        <v>0</v>
      </c>
      <c r="AJ128" s="34">
        <f t="shared" si="24"/>
        <v>0</v>
      </c>
      <c r="AK128" s="34">
        <f t="shared" si="24"/>
        <v>0</v>
      </c>
      <c r="AL128" s="34">
        <f t="shared" si="24"/>
        <v>0</v>
      </c>
      <c r="AM128" s="34">
        <f t="shared" si="24"/>
        <v>1</v>
      </c>
      <c r="AN128" s="34">
        <f t="shared" si="24"/>
        <v>0</v>
      </c>
      <c r="AO128" s="34">
        <f t="shared" si="24"/>
        <v>0</v>
      </c>
      <c r="AP128" s="13">
        <f t="shared" si="13"/>
        <v>9</v>
      </c>
      <c r="AQ128" s="5"/>
      <c r="AR128" s="5"/>
    </row>
    <row r="129" spans="1:44" ht="12.75" customHeight="1" x14ac:dyDescent="0.3">
      <c r="A129" s="35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13">
        <f t="shared" si="13"/>
        <v>0</v>
      </c>
      <c r="AQ129" s="5"/>
      <c r="AR129" s="5"/>
    </row>
    <row r="130" spans="1:44" ht="12.75" customHeight="1" x14ac:dyDescent="0.3">
      <c r="A130" s="19" t="s">
        <v>37</v>
      </c>
      <c r="B130" s="26" t="s">
        <v>109</v>
      </c>
      <c r="C130" s="50" t="s">
        <v>110</v>
      </c>
      <c r="D130" s="49"/>
      <c r="E130" s="15">
        <v>0</v>
      </c>
      <c r="F130" s="15">
        <v>2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1</v>
      </c>
      <c r="O130" s="15">
        <v>2</v>
      </c>
      <c r="P130" s="15">
        <v>2</v>
      </c>
      <c r="Q130" s="15">
        <v>0</v>
      </c>
      <c r="R130" s="15">
        <v>0</v>
      </c>
      <c r="S130" s="15">
        <v>2</v>
      </c>
      <c r="T130" s="15">
        <v>0</v>
      </c>
      <c r="U130" s="15">
        <v>0</v>
      </c>
      <c r="V130" s="15">
        <v>0</v>
      </c>
      <c r="W130" s="15">
        <v>1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1</v>
      </c>
      <c r="AE130" s="15">
        <v>1</v>
      </c>
      <c r="AF130" s="15">
        <v>2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2</v>
      </c>
      <c r="AM130" s="15">
        <v>2</v>
      </c>
      <c r="AN130" s="15">
        <v>0</v>
      </c>
      <c r="AO130" s="15">
        <v>2</v>
      </c>
      <c r="AP130" s="13">
        <f t="shared" si="13"/>
        <v>20</v>
      </c>
      <c r="AQ130" s="1"/>
      <c r="AR130" s="1"/>
    </row>
    <row r="131" spans="1:44" ht="12.75" customHeight="1" x14ac:dyDescent="0.3">
      <c r="A131" s="19" t="s">
        <v>39</v>
      </c>
      <c r="B131" s="27">
        <v>1</v>
      </c>
      <c r="C131" s="28" t="s">
        <v>111</v>
      </c>
      <c r="D131" s="29"/>
      <c r="E131" s="15">
        <v>1</v>
      </c>
      <c r="F131" s="15">
        <v>2</v>
      </c>
      <c r="G131" s="15">
        <v>1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1</v>
      </c>
      <c r="N131" s="15">
        <v>0</v>
      </c>
      <c r="O131" s="15">
        <v>1</v>
      </c>
      <c r="P131" s="15">
        <v>1</v>
      </c>
      <c r="Q131" s="15">
        <v>2</v>
      </c>
      <c r="R131" s="15">
        <v>3</v>
      </c>
      <c r="S131" s="15">
        <v>15</v>
      </c>
      <c r="T131" s="15">
        <v>1</v>
      </c>
      <c r="U131" s="15">
        <v>1</v>
      </c>
      <c r="V131" s="15">
        <v>0</v>
      </c>
      <c r="W131" s="15">
        <v>2</v>
      </c>
      <c r="X131" s="15">
        <v>1</v>
      </c>
      <c r="Y131" s="15">
        <v>0</v>
      </c>
      <c r="Z131" s="15">
        <v>2</v>
      </c>
      <c r="AA131" s="15">
        <v>9</v>
      </c>
      <c r="AB131" s="15">
        <v>5</v>
      </c>
      <c r="AC131" s="15">
        <v>0</v>
      </c>
      <c r="AD131" s="15">
        <v>0</v>
      </c>
      <c r="AE131" s="15">
        <v>3</v>
      </c>
      <c r="AF131" s="15">
        <v>1</v>
      </c>
      <c r="AG131" s="15">
        <v>1</v>
      </c>
      <c r="AH131" s="15">
        <v>0</v>
      </c>
      <c r="AI131" s="15">
        <v>0</v>
      </c>
      <c r="AJ131" s="15">
        <v>0</v>
      </c>
      <c r="AK131" s="15">
        <v>2</v>
      </c>
      <c r="AL131" s="15">
        <v>3</v>
      </c>
      <c r="AM131" s="15">
        <v>5</v>
      </c>
      <c r="AN131" s="15">
        <v>0</v>
      </c>
      <c r="AO131" s="15">
        <v>0</v>
      </c>
      <c r="AP131" s="13">
        <f t="shared" si="13"/>
        <v>63</v>
      </c>
      <c r="AQ131" s="31"/>
      <c r="AR131" s="31"/>
    </row>
    <row r="132" spans="1:44" ht="12.75" customHeight="1" x14ac:dyDescent="0.3">
      <c r="A132" s="14"/>
      <c r="B132" s="27">
        <v>2</v>
      </c>
      <c r="C132" s="28" t="s">
        <v>112</v>
      </c>
      <c r="D132" s="29"/>
      <c r="E132" s="15">
        <v>1</v>
      </c>
      <c r="F132" s="15">
        <v>0</v>
      </c>
      <c r="G132" s="15">
        <v>1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1</v>
      </c>
      <c r="U132" s="15">
        <v>0</v>
      </c>
      <c r="V132" s="15">
        <v>0</v>
      </c>
      <c r="W132" s="15">
        <v>0</v>
      </c>
      <c r="X132" s="15">
        <v>0</v>
      </c>
      <c r="Y132" s="15">
        <v>1</v>
      </c>
      <c r="Z132" s="15">
        <v>0</v>
      </c>
      <c r="AA132" s="15">
        <v>1</v>
      </c>
      <c r="AB132" s="15">
        <v>0</v>
      </c>
      <c r="AC132" s="15">
        <v>0</v>
      </c>
      <c r="AD132" s="15">
        <v>1</v>
      </c>
      <c r="AE132" s="15">
        <v>0</v>
      </c>
      <c r="AF132" s="15">
        <v>1</v>
      </c>
      <c r="AG132" s="15">
        <v>0</v>
      </c>
      <c r="AH132" s="15">
        <v>0</v>
      </c>
      <c r="AI132" s="15">
        <v>1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3">
        <f t="shared" si="13"/>
        <v>8</v>
      </c>
      <c r="AQ132" s="5"/>
      <c r="AR132" s="5"/>
    </row>
    <row r="133" spans="1:44" ht="12.75" customHeight="1" x14ac:dyDescent="0.3">
      <c r="A133" s="14"/>
      <c r="B133" s="27">
        <v>3</v>
      </c>
      <c r="C133" s="28" t="s">
        <v>113</v>
      </c>
      <c r="D133" s="29"/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2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1</v>
      </c>
      <c r="X133" s="15">
        <v>0</v>
      </c>
      <c r="Y133" s="15">
        <v>1</v>
      </c>
      <c r="Z133" s="15">
        <v>1</v>
      </c>
      <c r="AA133" s="15">
        <v>1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1</v>
      </c>
      <c r="AM133" s="15">
        <v>0</v>
      </c>
      <c r="AN133" s="15">
        <v>0</v>
      </c>
      <c r="AO133" s="15">
        <v>0</v>
      </c>
      <c r="AP133" s="13">
        <f t="shared" si="13"/>
        <v>7</v>
      </c>
      <c r="AQ133" s="5"/>
      <c r="AR133" s="5"/>
    </row>
    <row r="134" spans="1:44" ht="12.75" customHeight="1" x14ac:dyDescent="0.3">
      <c r="A134" s="14"/>
      <c r="B134" s="27">
        <v>4</v>
      </c>
      <c r="C134" s="28" t="s">
        <v>114</v>
      </c>
      <c r="D134" s="29"/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1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3">
        <f t="shared" si="13"/>
        <v>1</v>
      </c>
      <c r="AQ134" s="5"/>
      <c r="AR134" s="5"/>
    </row>
    <row r="135" spans="1:44" ht="12.75" customHeight="1" x14ac:dyDescent="0.3">
      <c r="A135" s="15" t="s">
        <v>15</v>
      </c>
      <c r="B135" s="47" t="s">
        <v>46</v>
      </c>
      <c r="C135" s="48"/>
      <c r="D135" s="49"/>
      <c r="E135" s="34">
        <f t="shared" ref="E135:AO135" si="25">SUM(E130:E134)</f>
        <v>2</v>
      </c>
      <c r="F135" s="34">
        <f t="shared" si="25"/>
        <v>4</v>
      </c>
      <c r="G135" s="34">
        <f t="shared" si="25"/>
        <v>2</v>
      </c>
      <c r="H135" s="34">
        <f t="shared" si="25"/>
        <v>0</v>
      </c>
      <c r="I135" s="34">
        <f t="shared" si="25"/>
        <v>0</v>
      </c>
      <c r="J135" s="34">
        <f t="shared" si="25"/>
        <v>0</v>
      </c>
      <c r="K135" s="34">
        <f t="shared" si="25"/>
        <v>0</v>
      </c>
      <c r="L135" s="34">
        <f t="shared" si="25"/>
        <v>2</v>
      </c>
      <c r="M135" s="34">
        <f t="shared" si="25"/>
        <v>1</v>
      </c>
      <c r="N135" s="34">
        <f t="shared" si="25"/>
        <v>1</v>
      </c>
      <c r="O135" s="34">
        <f t="shared" si="25"/>
        <v>3</v>
      </c>
      <c r="P135" s="34">
        <f t="shared" si="25"/>
        <v>3</v>
      </c>
      <c r="Q135" s="34">
        <f t="shared" si="25"/>
        <v>2</v>
      </c>
      <c r="R135" s="34">
        <f t="shared" si="25"/>
        <v>3</v>
      </c>
      <c r="S135" s="34">
        <f t="shared" si="25"/>
        <v>17</v>
      </c>
      <c r="T135" s="34">
        <f t="shared" si="25"/>
        <v>2</v>
      </c>
      <c r="U135" s="34">
        <f t="shared" si="25"/>
        <v>1</v>
      </c>
      <c r="V135" s="34">
        <f t="shared" si="25"/>
        <v>0</v>
      </c>
      <c r="W135" s="34">
        <f t="shared" si="25"/>
        <v>4</v>
      </c>
      <c r="X135" s="34">
        <f t="shared" si="25"/>
        <v>1</v>
      </c>
      <c r="Y135" s="34">
        <f t="shared" si="25"/>
        <v>3</v>
      </c>
      <c r="Z135" s="34">
        <f t="shared" si="25"/>
        <v>3</v>
      </c>
      <c r="AA135" s="34">
        <f t="shared" si="25"/>
        <v>11</v>
      </c>
      <c r="AB135" s="34">
        <f t="shared" si="25"/>
        <v>5</v>
      </c>
      <c r="AC135" s="34">
        <f t="shared" si="25"/>
        <v>0</v>
      </c>
      <c r="AD135" s="34">
        <f t="shared" si="25"/>
        <v>2</v>
      </c>
      <c r="AE135" s="34">
        <f t="shared" si="25"/>
        <v>4</v>
      </c>
      <c r="AF135" s="34">
        <f t="shared" si="25"/>
        <v>4</v>
      </c>
      <c r="AG135" s="34">
        <f t="shared" si="25"/>
        <v>1</v>
      </c>
      <c r="AH135" s="34">
        <f t="shared" si="25"/>
        <v>0</v>
      </c>
      <c r="AI135" s="34">
        <f t="shared" si="25"/>
        <v>1</v>
      </c>
      <c r="AJ135" s="34">
        <f t="shared" si="25"/>
        <v>0</v>
      </c>
      <c r="AK135" s="34">
        <f t="shared" si="25"/>
        <v>2</v>
      </c>
      <c r="AL135" s="34">
        <f t="shared" si="25"/>
        <v>6</v>
      </c>
      <c r="AM135" s="34">
        <f t="shared" si="25"/>
        <v>7</v>
      </c>
      <c r="AN135" s="34">
        <f t="shared" si="25"/>
        <v>0</v>
      </c>
      <c r="AO135" s="34">
        <f t="shared" si="25"/>
        <v>2</v>
      </c>
      <c r="AP135" s="13">
        <f t="shared" si="13"/>
        <v>99</v>
      </c>
      <c r="AQ135" s="5"/>
      <c r="AR135" s="5"/>
    </row>
    <row r="136" spans="1:44" ht="12.75" customHeight="1" x14ac:dyDescent="0.3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13">
        <f t="shared" si="13"/>
        <v>0</v>
      </c>
      <c r="AQ136" s="5"/>
      <c r="AR136" s="5"/>
    </row>
    <row r="137" spans="1:44" ht="12.75" customHeight="1" x14ac:dyDescent="0.3">
      <c r="A137" s="19" t="s">
        <v>37</v>
      </c>
      <c r="B137" s="26" t="s">
        <v>115</v>
      </c>
      <c r="C137" s="50" t="s">
        <v>116</v>
      </c>
      <c r="D137" s="49"/>
      <c r="E137" s="15">
        <v>0</v>
      </c>
      <c r="F137" s="15">
        <v>1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1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1</v>
      </c>
      <c r="X137" s="15">
        <v>0</v>
      </c>
      <c r="Y137" s="15">
        <v>0</v>
      </c>
      <c r="Z137" s="15">
        <v>0</v>
      </c>
      <c r="AA137" s="15">
        <v>0</v>
      </c>
      <c r="AB137" s="15">
        <v>1</v>
      </c>
      <c r="AC137" s="15">
        <v>0</v>
      </c>
      <c r="AD137" s="15">
        <v>1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3">
        <f t="shared" si="13"/>
        <v>5</v>
      </c>
      <c r="AQ137" s="5"/>
      <c r="AR137" s="5"/>
    </row>
    <row r="138" spans="1:44" ht="12.75" customHeight="1" x14ac:dyDescent="0.3">
      <c r="A138" s="19" t="s">
        <v>39</v>
      </c>
      <c r="B138" s="27">
        <v>1</v>
      </c>
      <c r="C138" s="28" t="s">
        <v>117</v>
      </c>
      <c r="D138" s="29"/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1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3">
        <f t="shared" si="13"/>
        <v>1</v>
      </c>
      <c r="AQ138" s="5"/>
      <c r="AR138" s="5"/>
    </row>
    <row r="139" spans="1:44" ht="15" customHeight="1" x14ac:dyDescent="0.3">
      <c r="A139" s="14"/>
      <c r="B139" s="27">
        <v>2</v>
      </c>
      <c r="C139" s="28" t="s">
        <v>118</v>
      </c>
      <c r="D139" s="29"/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1</v>
      </c>
      <c r="U139" s="15">
        <v>0</v>
      </c>
      <c r="V139" s="15">
        <v>0</v>
      </c>
      <c r="W139" s="15">
        <v>0</v>
      </c>
      <c r="X139" s="15">
        <v>0</v>
      </c>
      <c r="Y139" s="15">
        <v>1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O139" s="15">
        <v>0</v>
      </c>
      <c r="AP139" s="13">
        <f t="shared" si="13"/>
        <v>2</v>
      </c>
      <c r="AQ139" s="5"/>
      <c r="AR139" s="5"/>
    </row>
    <row r="140" spans="1:44" ht="12.75" customHeight="1" x14ac:dyDescent="0.3">
      <c r="A140" s="14"/>
      <c r="B140" s="27">
        <v>3</v>
      </c>
      <c r="C140" s="28" t="s">
        <v>119</v>
      </c>
      <c r="D140" s="29"/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3">
        <f t="shared" si="13"/>
        <v>0</v>
      </c>
      <c r="AQ140" s="5"/>
      <c r="AR140" s="5"/>
    </row>
    <row r="141" spans="1:44" ht="12.75" customHeight="1" x14ac:dyDescent="0.3">
      <c r="A141" s="14"/>
      <c r="B141" s="27">
        <v>4</v>
      </c>
      <c r="C141" s="28" t="s">
        <v>120</v>
      </c>
      <c r="D141" s="29"/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3">
        <f t="shared" si="13"/>
        <v>0</v>
      </c>
      <c r="AQ141" s="1"/>
      <c r="AR141" s="1"/>
    </row>
    <row r="142" spans="1:44" ht="12.75" customHeight="1" x14ac:dyDescent="0.3">
      <c r="A142" s="14"/>
      <c r="B142" s="27">
        <v>5</v>
      </c>
      <c r="C142" s="28" t="s">
        <v>121</v>
      </c>
      <c r="D142" s="29"/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3">
        <f t="shared" si="13"/>
        <v>0</v>
      </c>
      <c r="AQ142" s="31"/>
      <c r="AR142" s="31"/>
    </row>
    <row r="143" spans="1:44" ht="12.75" customHeight="1" x14ac:dyDescent="0.3">
      <c r="A143" s="14"/>
      <c r="B143" s="27">
        <v>6</v>
      </c>
      <c r="C143" s="28" t="s">
        <v>122</v>
      </c>
      <c r="D143" s="29"/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3">
        <f t="shared" si="13"/>
        <v>0</v>
      </c>
      <c r="AQ143" s="5"/>
      <c r="AR143" s="5"/>
    </row>
    <row r="144" spans="1:44" ht="12.75" customHeight="1" x14ac:dyDescent="0.3">
      <c r="A144" s="15" t="s">
        <v>15</v>
      </c>
      <c r="B144" s="47" t="s">
        <v>46</v>
      </c>
      <c r="C144" s="48"/>
      <c r="D144" s="49"/>
      <c r="E144" s="34">
        <f t="shared" ref="E144:AO144" si="26">SUM(E137:E143)</f>
        <v>0</v>
      </c>
      <c r="F144" s="34">
        <f t="shared" si="26"/>
        <v>1</v>
      </c>
      <c r="G144" s="34">
        <f t="shared" si="26"/>
        <v>0</v>
      </c>
      <c r="H144" s="34">
        <f t="shared" si="26"/>
        <v>0</v>
      </c>
      <c r="I144" s="34">
        <f t="shared" si="26"/>
        <v>0</v>
      </c>
      <c r="J144" s="34">
        <f t="shared" si="26"/>
        <v>0</v>
      </c>
      <c r="K144" s="34">
        <f t="shared" si="26"/>
        <v>0</v>
      </c>
      <c r="L144" s="34">
        <f t="shared" si="26"/>
        <v>1</v>
      </c>
      <c r="M144" s="34">
        <f t="shared" si="26"/>
        <v>0</v>
      </c>
      <c r="N144" s="34">
        <f t="shared" si="26"/>
        <v>0</v>
      </c>
      <c r="O144" s="34">
        <f t="shared" si="26"/>
        <v>0</v>
      </c>
      <c r="P144" s="34">
        <f t="shared" si="26"/>
        <v>0</v>
      </c>
      <c r="Q144" s="34">
        <f t="shared" si="26"/>
        <v>0</v>
      </c>
      <c r="R144" s="34">
        <f t="shared" si="26"/>
        <v>0</v>
      </c>
      <c r="S144" s="34">
        <f t="shared" si="26"/>
        <v>0</v>
      </c>
      <c r="T144" s="34">
        <f t="shared" si="26"/>
        <v>1</v>
      </c>
      <c r="U144" s="34">
        <f t="shared" si="26"/>
        <v>0</v>
      </c>
      <c r="V144" s="34">
        <f t="shared" si="26"/>
        <v>0</v>
      </c>
      <c r="W144" s="34">
        <f t="shared" si="26"/>
        <v>2</v>
      </c>
      <c r="X144" s="34">
        <f t="shared" si="26"/>
        <v>0</v>
      </c>
      <c r="Y144" s="34">
        <f t="shared" si="26"/>
        <v>1</v>
      </c>
      <c r="Z144" s="34">
        <f t="shared" si="26"/>
        <v>0</v>
      </c>
      <c r="AA144" s="34">
        <f t="shared" si="26"/>
        <v>0</v>
      </c>
      <c r="AB144" s="34">
        <f t="shared" si="26"/>
        <v>1</v>
      </c>
      <c r="AC144" s="34">
        <f t="shared" si="26"/>
        <v>0</v>
      </c>
      <c r="AD144" s="34">
        <f t="shared" si="26"/>
        <v>1</v>
      </c>
      <c r="AE144" s="34">
        <f t="shared" si="26"/>
        <v>0</v>
      </c>
      <c r="AF144" s="34">
        <f t="shared" si="26"/>
        <v>0</v>
      </c>
      <c r="AG144" s="34">
        <f t="shared" si="26"/>
        <v>0</v>
      </c>
      <c r="AH144" s="34">
        <f t="shared" si="26"/>
        <v>0</v>
      </c>
      <c r="AI144" s="34">
        <f t="shared" si="26"/>
        <v>0</v>
      </c>
      <c r="AJ144" s="34">
        <f t="shared" si="26"/>
        <v>0</v>
      </c>
      <c r="AK144" s="34">
        <f t="shared" si="26"/>
        <v>0</v>
      </c>
      <c r="AL144" s="34">
        <f t="shared" si="26"/>
        <v>0</v>
      </c>
      <c r="AM144" s="34">
        <f t="shared" si="26"/>
        <v>0</v>
      </c>
      <c r="AN144" s="34">
        <f t="shared" si="26"/>
        <v>0</v>
      </c>
      <c r="AO144" s="34">
        <f t="shared" si="26"/>
        <v>0</v>
      </c>
      <c r="AP144" s="13">
        <f t="shared" si="13"/>
        <v>8</v>
      </c>
      <c r="AQ144" s="5"/>
      <c r="AR144" s="5"/>
    </row>
    <row r="145" spans="1:44" ht="12.75" customHeight="1" x14ac:dyDescent="0.3">
      <c r="A145" s="35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13">
        <f t="shared" si="13"/>
        <v>0</v>
      </c>
      <c r="AQ145" s="5"/>
      <c r="AR145" s="5"/>
    </row>
    <row r="146" spans="1:44" ht="12.75" customHeight="1" x14ac:dyDescent="0.3">
      <c r="A146" s="19" t="s">
        <v>37</v>
      </c>
      <c r="B146" s="26" t="s">
        <v>123</v>
      </c>
      <c r="C146" s="50" t="s">
        <v>124</v>
      </c>
      <c r="D146" s="49"/>
      <c r="E146" s="15">
        <v>3</v>
      </c>
      <c r="F146" s="15">
        <v>12</v>
      </c>
      <c r="G146" s="15">
        <v>3</v>
      </c>
      <c r="H146" s="15">
        <v>3</v>
      </c>
      <c r="I146" s="15">
        <v>0</v>
      </c>
      <c r="J146" s="15">
        <v>2</v>
      </c>
      <c r="K146" s="15">
        <v>7</v>
      </c>
      <c r="L146" s="15">
        <v>3</v>
      </c>
      <c r="M146" s="15">
        <v>5</v>
      </c>
      <c r="N146" s="15">
        <v>5</v>
      </c>
      <c r="O146" s="15">
        <v>6</v>
      </c>
      <c r="P146" s="15">
        <v>6</v>
      </c>
      <c r="Q146" s="15">
        <v>3</v>
      </c>
      <c r="R146" s="15">
        <v>10</v>
      </c>
      <c r="S146" s="15">
        <v>5</v>
      </c>
      <c r="T146" s="15">
        <v>5</v>
      </c>
      <c r="U146" s="15">
        <v>6</v>
      </c>
      <c r="V146" s="15">
        <v>13</v>
      </c>
      <c r="W146" s="15">
        <v>5</v>
      </c>
      <c r="X146" s="15">
        <v>2</v>
      </c>
      <c r="Y146" s="15">
        <v>6</v>
      </c>
      <c r="Z146" s="15">
        <v>6</v>
      </c>
      <c r="AA146" s="15">
        <v>3</v>
      </c>
      <c r="AB146" s="15">
        <v>4</v>
      </c>
      <c r="AC146" s="15">
        <v>3</v>
      </c>
      <c r="AD146" s="15">
        <v>4</v>
      </c>
      <c r="AE146" s="15">
        <v>1</v>
      </c>
      <c r="AF146" s="15">
        <v>0</v>
      </c>
      <c r="AG146" s="15">
        <v>3</v>
      </c>
      <c r="AH146" s="15">
        <v>3</v>
      </c>
      <c r="AI146" s="15">
        <v>8</v>
      </c>
      <c r="AJ146" s="15">
        <v>9</v>
      </c>
      <c r="AK146" s="15">
        <v>0</v>
      </c>
      <c r="AL146" s="15">
        <v>1</v>
      </c>
      <c r="AM146" s="15">
        <v>3</v>
      </c>
      <c r="AN146" s="15">
        <v>8</v>
      </c>
      <c r="AO146" s="15">
        <v>3</v>
      </c>
      <c r="AP146" s="13">
        <f t="shared" si="13"/>
        <v>169</v>
      </c>
      <c r="AQ146" s="5"/>
      <c r="AR146" s="5"/>
    </row>
    <row r="147" spans="1:44" ht="12.75" customHeight="1" x14ac:dyDescent="0.3">
      <c r="A147" s="19" t="s">
        <v>39</v>
      </c>
      <c r="B147" s="27">
        <v>1</v>
      </c>
      <c r="C147" s="28" t="s">
        <v>125</v>
      </c>
      <c r="D147" s="29"/>
      <c r="E147" s="15">
        <v>27</v>
      </c>
      <c r="F147" s="15">
        <v>53</v>
      </c>
      <c r="G147" s="15">
        <v>5</v>
      </c>
      <c r="H147" s="15">
        <v>12</v>
      </c>
      <c r="I147" s="15">
        <v>0</v>
      </c>
      <c r="J147" s="15">
        <v>63</v>
      </c>
      <c r="K147" s="15">
        <v>22</v>
      </c>
      <c r="L147" s="15">
        <v>2</v>
      </c>
      <c r="M147" s="15">
        <v>42</v>
      </c>
      <c r="N147" s="15">
        <v>28</v>
      </c>
      <c r="O147" s="15">
        <v>27</v>
      </c>
      <c r="P147" s="15">
        <v>32</v>
      </c>
      <c r="Q147" s="15">
        <v>16</v>
      </c>
      <c r="R147" s="15">
        <v>68</v>
      </c>
      <c r="S147" s="15">
        <v>56</v>
      </c>
      <c r="T147" s="15">
        <v>23</v>
      </c>
      <c r="U147" s="15">
        <v>27</v>
      </c>
      <c r="V147" s="15">
        <v>55</v>
      </c>
      <c r="W147" s="15">
        <v>21</v>
      </c>
      <c r="X147" s="15">
        <v>7</v>
      </c>
      <c r="Y147" s="15">
        <v>6</v>
      </c>
      <c r="Z147" s="15">
        <v>3</v>
      </c>
      <c r="AA147" s="15">
        <v>9</v>
      </c>
      <c r="AB147" s="15">
        <v>32</v>
      </c>
      <c r="AC147" s="15">
        <v>36</v>
      </c>
      <c r="AD147" s="15">
        <v>14</v>
      </c>
      <c r="AE147" s="15">
        <v>8</v>
      </c>
      <c r="AF147" s="15">
        <v>0</v>
      </c>
      <c r="AG147" s="15">
        <v>8</v>
      </c>
      <c r="AH147" s="15">
        <v>51</v>
      </c>
      <c r="AI147" s="15">
        <v>36</v>
      </c>
      <c r="AJ147" s="15">
        <v>58</v>
      </c>
      <c r="AK147" s="15">
        <v>3</v>
      </c>
      <c r="AL147" s="15">
        <v>0</v>
      </c>
      <c r="AM147" s="15">
        <v>2</v>
      </c>
      <c r="AN147" s="15">
        <v>2</v>
      </c>
      <c r="AO147" s="15">
        <v>1</v>
      </c>
      <c r="AP147" s="13">
        <f t="shared" si="13"/>
        <v>855</v>
      </c>
      <c r="AQ147" s="5"/>
      <c r="AR147" s="5"/>
    </row>
    <row r="148" spans="1:44" ht="12.75" customHeight="1" x14ac:dyDescent="0.3">
      <c r="A148" s="14"/>
      <c r="B148" s="27">
        <v>2</v>
      </c>
      <c r="C148" s="28" t="s">
        <v>126</v>
      </c>
      <c r="D148" s="29"/>
      <c r="E148" s="15">
        <v>1</v>
      </c>
      <c r="F148" s="15">
        <v>1</v>
      </c>
      <c r="G148" s="15">
        <v>2</v>
      </c>
      <c r="H148" s="15">
        <v>1</v>
      </c>
      <c r="I148" s="15">
        <v>0</v>
      </c>
      <c r="J148" s="15">
        <v>0</v>
      </c>
      <c r="K148" s="15">
        <v>0</v>
      </c>
      <c r="L148" s="15">
        <v>1</v>
      </c>
      <c r="M148" s="15">
        <v>0</v>
      </c>
      <c r="N148" s="15">
        <v>3</v>
      </c>
      <c r="O148" s="15">
        <v>1</v>
      </c>
      <c r="P148" s="15">
        <v>0</v>
      </c>
      <c r="Q148" s="15">
        <v>1</v>
      </c>
      <c r="R148" s="15">
        <v>3</v>
      </c>
      <c r="S148" s="15">
        <v>0</v>
      </c>
      <c r="T148" s="15">
        <v>1</v>
      </c>
      <c r="U148" s="15">
        <v>2</v>
      </c>
      <c r="V148" s="15">
        <v>1</v>
      </c>
      <c r="W148" s="15">
        <v>0</v>
      </c>
      <c r="X148" s="15">
        <v>0</v>
      </c>
      <c r="Y148" s="15">
        <v>2</v>
      </c>
      <c r="Z148" s="15">
        <v>0</v>
      </c>
      <c r="AA148" s="15">
        <v>2</v>
      </c>
      <c r="AB148" s="15">
        <v>1</v>
      </c>
      <c r="AC148" s="15">
        <v>0</v>
      </c>
      <c r="AD148" s="15">
        <v>2</v>
      </c>
      <c r="AE148" s="15">
        <v>1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2</v>
      </c>
      <c r="AL148" s="15">
        <v>0</v>
      </c>
      <c r="AM148" s="15">
        <v>0</v>
      </c>
      <c r="AN148" s="15">
        <v>1</v>
      </c>
      <c r="AO148" s="15">
        <v>1</v>
      </c>
      <c r="AP148" s="13">
        <f t="shared" si="13"/>
        <v>30</v>
      </c>
      <c r="AQ148" s="5"/>
      <c r="AR148" s="5"/>
    </row>
    <row r="149" spans="1:44" ht="12.75" customHeight="1" x14ac:dyDescent="0.3">
      <c r="A149" s="14"/>
      <c r="B149" s="27">
        <v>3</v>
      </c>
      <c r="C149" s="28" t="s">
        <v>127</v>
      </c>
      <c r="D149" s="29"/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1</v>
      </c>
      <c r="K149" s="15">
        <v>0</v>
      </c>
      <c r="L149" s="15">
        <v>1</v>
      </c>
      <c r="M149" s="15">
        <v>2</v>
      </c>
      <c r="N149" s="15">
        <v>0</v>
      </c>
      <c r="O149" s="15">
        <v>2</v>
      </c>
      <c r="P149" s="15">
        <v>4</v>
      </c>
      <c r="Q149" s="15">
        <v>0</v>
      </c>
      <c r="R149" s="15">
        <v>0</v>
      </c>
      <c r="S149" s="15">
        <v>0</v>
      </c>
      <c r="T149" s="15">
        <v>0</v>
      </c>
      <c r="U149" s="15">
        <v>1</v>
      </c>
      <c r="V149" s="15">
        <v>5</v>
      </c>
      <c r="W149" s="15">
        <v>0</v>
      </c>
      <c r="X149" s="15">
        <v>0</v>
      </c>
      <c r="Y149" s="15">
        <v>1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3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3</v>
      </c>
      <c r="AM149" s="15">
        <v>1</v>
      </c>
      <c r="AN149" s="15">
        <v>1</v>
      </c>
      <c r="AO149" s="15">
        <v>0</v>
      </c>
      <c r="AP149" s="13">
        <f t="shared" si="13"/>
        <v>25</v>
      </c>
      <c r="AQ149" s="5"/>
      <c r="AR149" s="5"/>
    </row>
    <row r="150" spans="1:44" ht="12.75" customHeight="1" x14ac:dyDescent="0.3">
      <c r="A150" s="14"/>
      <c r="B150" s="27">
        <v>4</v>
      </c>
      <c r="C150" s="28" t="s">
        <v>128</v>
      </c>
      <c r="D150" s="29"/>
      <c r="E150" s="15">
        <v>0</v>
      </c>
      <c r="F150" s="15">
        <v>1</v>
      </c>
      <c r="G150" s="15">
        <v>1</v>
      </c>
      <c r="H150" s="15">
        <v>0</v>
      </c>
      <c r="I150" s="15">
        <v>0</v>
      </c>
      <c r="J150" s="15">
        <v>1</v>
      </c>
      <c r="K150" s="15">
        <v>0</v>
      </c>
      <c r="L150" s="15">
        <v>0</v>
      </c>
      <c r="M150" s="15">
        <v>1</v>
      </c>
      <c r="N150" s="15">
        <v>0</v>
      </c>
      <c r="O150" s="15">
        <v>0</v>
      </c>
      <c r="P150" s="15">
        <v>0</v>
      </c>
      <c r="Q150" s="15">
        <v>0</v>
      </c>
      <c r="R150" s="15">
        <v>1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1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1</v>
      </c>
      <c r="AL150" s="15">
        <v>0</v>
      </c>
      <c r="AM150" s="15">
        <v>0</v>
      </c>
      <c r="AN150" s="15">
        <v>0</v>
      </c>
      <c r="AO150" s="15">
        <v>0</v>
      </c>
      <c r="AP150" s="13">
        <f t="shared" si="13"/>
        <v>7</v>
      </c>
      <c r="AQ150" s="5"/>
      <c r="AR150" s="5"/>
    </row>
    <row r="151" spans="1:44" ht="12.75" customHeight="1" x14ac:dyDescent="0.3">
      <c r="A151" s="14"/>
      <c r="B151" s="27">
        <v>5</v>
      </c>
      <c r="C151" s="28" t="s">
        <v>129</v>
      </c>
      <c r="D151" s="29"/>
      <c r="E151" s="15">
        <v>0</v>
      </c>
      <c r="F151" s="15">
        <v>0</v>
      </c>
      <c r="G151" s="15">
        <v>1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1</v>
      </c>
      <c r="Q151" s="15">
        <v>1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>
        <v>0</v>
      </c>
      <c r="AM151" s="15">
        <v>0</v>
      </c>
      <c r="AN151" s="15">
        <v>0</v>
      </c>
      <c r="AO151" s="15">
        <v>0</v>
      </c>
      <c r="AP151" s="13">
        <f t="shared" si="13"/>
        <v>3</v>
      </c>
      <c r="AQ151" s="1"/>
      <c r="AR151" s="1"/>
    </row>
    <row r="152" spans="1:44" ht="12.75" customHeight="1" x14ac:dyDescent="0.3">
      <c r="A152" s="14"/>
      <c r="B152" s="27">
        <v>6</v>
      </c>
      <c r="C152" s="28" t="s">
        <v>130</v>
      </c>
      <c r="D152" s="29"/>
      <c r="E152" s="15">
        <v>2</v>
      </c>
      <c r="F152" s="15">
        <v>1</v>
      </c>
      <c r="G152" s="15">
        <v>2</v>
      </c>
      <c r="H152" s="15">
        <v>1</v>
      </c>
      <c r="I152" s="15">
        <v>0</v>
      </c>
      <c r="J152" s="15">
        <v>17</v>
      </c>
      <c r="K152" s="15">
        <v>39</v>
      </c>
      <c r="L152" s="15">
        <v>11</v>
      </c>
      <c r="M152" s="15">
        <v>2</v>
      </c>
      <c r="N152" s="15">
        <v>6</v>
      </c>
      <c r="O152" s="15">
        <v>4</v>
      </c>
      <c r="P152" s="15">
        <v>13</v>
      </c>
      <c r="Q152" s="15">
        <v>112</v>
      </c>
      <c r="R152" s="15">
        <v>0</v>
      </c>
      <c r="S152" s="15">
        <v>0</v>
      </c>
      <c r="T152" s="15">
        <v>0</v>
      </c>
      <c r="U152" s="15">
        <v>1</v>
      </c>
      <c r="V152" s="15">
        <v>4</v>
      </c>
      <c r="W152" s="15">
        <v>9</v>
      </c>
      <c r="X152" s="15">
        <v>6</v>
      </c>
      <c r="Y152" s="15">
        <v>36</v>
      </c>
      <c r="Z152" s="15">
        <v>23</v>
      </c>
      <c r="AA152" s="15">
        <v>1</v>
      </c>
      <c r="AB152" s="15">
        <v>4</v>
      </c>
      <c r="AC152" s="15">
        <v>3</v>
      </c>
      <c r="AD152" s="15">
        <v>17</v>
      </c>
      <c r="AE152" s="15">
        <v>7</v>
      </c>
      <c r="AF152" s="15">
        <v>4</v>
      </c>
      <c r="AG152" s="15">
        <v>7</v>
      </c>
      <c r="AH152" s="15">
        <v>37</v>
      </c>
      <c r="AI152" s="15">
        <v>55</v>
      </c>
      <c r="AJ152" s="15">
        <v>1</v>
      </c>
      <c r="AK152" s="15">
        <v>4</v>
      </c>
      <c r="AL152" s="15">
        <v>15</v>
      </c>
      <c r="AM152" s="15">
        <v>14</v>
      </c>
      <c r="AN152" s="15">
        <v>20</v>
      </c>
      <c r="AO152" s="15">
        <v>28</v>
      </c>
      <c r="AP152" s="13">
        <f t="shared" si="13"/>
        <v>506</v>
      </c>
      <c r="AQ152" s="31"/>
      <c r="AR152" s="31"/>
    </row>
    <row r="153" spans="1:44" ht="12.75" customHeight="1" x14ac:dyDescent="0.3">
      <c r="A153" s="15" t="s">
        <v>15</v>
      </c>
      <c r="B153" s="47" t="s">
        <v>46</v>
      </c>
      <c r="C153" s="48"/>
      <c r="D153" s="49"/>
      <c r="E153" s="34">
        <f t="shared" ref="E153:AO153" si="27">SUM(E146:E152)</f>
        <v>33</v>
      </c>
      <c r="F153" s="34">
        <f t="shared" si="27"/>
        <v>68</v>
      </c>
      <c r="G153" s="34">
        <f t="shared" si="27"/>
        <v>14</v>
      </c>
      <c r="H153" s="34">
        <f t="shared" si="27"/>
        <v>17</v>
      </c>
      <c r="I153" s="34">
        <f t="shared" si="27"/>
        <v>0</v>
      </c>
      <c r="J153" s="34">
        <f t="shared" si="27"/>
        <v>84</v>
      </c>
      <c r="K153" s="34">
        <f t="shared" si="27"/>
        <v>68</v>
      </c>
      <c r="L153" s="34">
        <f t="shared" si="27"/>
        <v>18</v>
      </c>
      <c r="M153" s="34">
        <f t="shared" si="27"/>
        <v>52</v>
      </c>
      <c r="N153" s="34">
        <f t="shared" si="27"/>
        <v>42</v>
      </c>
      <c r="O153" s="34">
        <f t="shared" si="27"/>
        <v>40</v>
      </c>
      <c r="P153" s="34">
        <f t="shared" si="27"/>
        <v>56</v>
      </c>
      <c r="Q153" s="34">
        <f t="shared" si="27"/>
        <v>133</v>
      </c>
      <c r="R153" s="34">
        <f t="shared" si="27"/>
        <v>82</v>
      </c>
      <c r="S153" s="34">
        <f t="shared" si="27"/>
        <v>61</v>
      </c>
      <c r="T153" s="34">
        <f t="shared" si="27"/>
        <v>29</v>
      </c>
      <c r="U153" s="34">
        <f t="shared" si="27"/>
        <v>37</v>
      </c>
      <c r="V153" s="34">
        <f t="shared" si="27"/>
        <v>78</v>
      </c>
      <c r="W153" s="34">
        <f t="shared" si="27"/>
        <v>35</v>
      </c>
      <c r="X153" s="34">
        <f t="shared" si="27"/>
        <v>16</v>
      </c>
      <c r="Y153" s="34">
        <f t="shared" si="27"/>
        <v>51</v>
      </c>
      <c r="Z153" s="34">
        <f t="shared" si="27"/>
        <v>32</v>
      </c>
      <c r="AA153" s="34">
        <f t="shared" si="27"/>
        <v>15</v>
      </c>
      <c r="AB153" s="34">
        <f t="shared" si="27"/>
        <v>41</v>
      </c>
      <c r="AC153" s="34">
        <f t="shared" si="27"/>
        <v>42</v>
      </c>
      <c r="AD153" s="34">
        <f t="shared" si="27"/>
        <v>37</v>
      </c>
      <c r="AE153" s="34">
        <f t="shared" si="27"/>
        <v>20</v>
      </c>
      <c r="AF153" s="34">
        <f t="shared" si="27"/>
        <v>4</v>
      </c>
      <c r="AG153" s="34">
        <f t="shared" si="27"/>
        <v>18</v>
      </c>
      <c r="AH153" s="34">
        <f t="shared" si="27"/>
        <v>91</v>
      </c>
      <c r="AI153" s="34">
        <f t="shared" si="27"/>
        <v>99</v>
      </c>
      <c r="AJ153" s="34">
        <f t="shared" si="27"/>
        <v>68</v>
      </c>
      <c r="AK153" s="34">
        <f t="shared" si="27"/>
        <v>10</v>
      </c>
      <c r="AL153" s="34">
        <f t="shared" si="27"/>
        <v>19</v>
      </c>
      <c r="AM153" s="34">
        <f t="shared" si="27"/>
        <v>20</v>
      </c>
      <c r="AN153" s="34">
        <f t="shared" si="27"/>
        <v>32</v>
      </c>
      <c r="AO153" s="34">
        <f t="shared" si="27"/>
        <v>33</v>
      </c>
      <c r="AP153" s="13">
        <f t="shared" si="13"/>
        <v>1595</v>
      </c>
      <c r="AQ153" s="5"/>
      <c r="AR153" s="5"/>
    </row>
    <row r="154" spans="1:44" ht="12.75" customHeight="1" x14ac:dyDescent="0.3">
      <c r="A154" s="35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13">
        <f t="shared" si="13"/>
        <v>0</v>
      </c>
      <c r="AQ154" s="5"/>
      <c r="AR154" s="5"/>
    </row>
    <row r="155" spans="1:44" ht="12.75" customHeight="1" x14ac:dyDescent="0.3">
      <c r="A155" s="19" t="s">
        <v>37</v>
      </c>
      <c r="B155" s="26" t="s">
        <v>131</v>
      </c>
      <c r="C155" s="50" t="s">
        <v>132</v>
      </c>
      <c r="D155" s="49"/>
      <c r="E155" s="15">
        <v>0</v>
      </c>
      <c r="F155" s="15">
        <v>1</v>
      </c>
      <c r="G155" s="15">
        <v>0</v>
      </c>
      <c r="H155" s="15">
        <v>0</v>
      </c>
      <c r="I155" s="15">
        <v>0</v>
      </c>
      <c r="J155" s="15">
        <v>0</v>
      </c>
      <c r="K155" s="15">
        <v>1</v>
      </c>
      <c r="L155" s="15">
        <v>0</v>
      </c>
      <c r="M155" s="15">
        <v>1</v>
      </c>
      <c r="N155" s="15">
        <v>2</v>
      </c>
      <c r="O155" s="15">
        <v>4</v>
      </c>
      <c r="P155" s="15">
        <v>1</v>
      </c>
      <c r="Q155" s="15">
        <v>0</v>
      </c>
      <c r="R155" s="15">
        <v>0</v>
      </c>
      <c r="S155" s="15">
        <v>1</v>
      </c>
      <c r="T155" s="15">
        <v>0</v>
      </c>
      <c r="U155" s="15">
        <v>1</v>
      </c>
      <c r="V155" s="15">
        <v>3</v>
      </c>
      <c r="W155" s="15">
        <v>1</v>
      </c>
      <c r="X155" s="15">
        <v>1</v>
      </c>
      <c r="Y155" s="15">
        <v>0</v>
      </c>
      <c r="Z155" s="15">
        <v>3</v>
      </c>
      <c r="AA155" s="15">
        <v>3</v>
      </c>
      <c r="AB155" s="15">
        <v>2</v>
      </c>
      <c r="AC155" s="15">
        <v>1</v>
      </c>
      <c r="AD155" s="15">
        <v>1</v>
      </c>
      <c r="AE155" s="15">
        <v>1</v>
      </c>
      <c r="AF155" s="15">
        <v>2</v>
      </c>
      <c r="AG155" s="15">
        <v>1</v>
      </c>
      <c r="AH155" s="15">
        <v>1</v>
      </c>
      <c r="AI155" s="15">
        <v>0</v>
      </c>
      <c r="AJ155" s="15">
        <v>0</v>
      </c>
      <c r="AK155" s="15">
        <v>4</v>
      </c>
      <c r="AL155" s="15">
        <v>1</v>
      </c>
      <c r="AM155" s="15">
        <v>0</v>
      </c>
      <c r="AN155" s="15">
        <v>1</v>
      </c>
      <c r="AO155" s="15">
        <v>0</v>
      </c>
      <c r="AP155" s="13">
        <f t="shared" si="13"/>
        <v>38</v>
      </c>
      <c r="AQ155" s="5"/>
      <c r="AR155" s="5"/>
    </row>
    <row r="156" spans="1:44" ht="12.75" customHeight="1" x14ac:dyDescent="0.3">
      <c r="A156" s="19" t="s">
        <v>39</v>
      </c>
      <c r="B156" s="27"/>
      <c r="C156" s="28" t="s">
        <v>133</v>
      </c>
      <c r="D156" s="29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3">
        <f t="shared" si="13"/>
        <v>0</v>
      </c>
      <c r="AQ156" s="5"/>
      <c r="AR156" s="5"/>
    </row>
    <row r="157" spans="1:44" ht="12.75" customHeight="1" x14ac:dyDescent="0.3">
      <c r="A157" s="15" t="s">
        <v>15</v>
      </c>
      <c r="B157" s="47" t="s">
        <v>46</v>
      </c>
      <c r="C157" s="48"/>
      <c r="D157" s="49"/>
      <c r="E157" s="34">
        <f t="shared" ref="E157:AO157" si="28">SUM(E155:E156)</f>
        <v>0</v>
      </c>
      <c r="F157" s="34">
        <f t="shared" si="28"/>
        <v>1</v>
      </c>
      <c r="G157" s="34">
        <f t="shared" si="28"/>
        <v>0</v>
      </c>
      <c r="H157" s="34">
        <f t="shared" si="28"/>
        <v>0</v>
      </c>
      <c r="I157" s="34">
        <f t="shared" si="28"/>
        <v>0</v>
      </c>
      <c r="J157" s="34">
        <f t="shared" si="28"/>
        <v>0</v>
      </c>
      <c r="K157" s="34">
        <f t="shared" si="28"/>
        <v>1</v>
      </c>
      <c r="L157" s="34">
        <f t="shared" si="28"/>
        <v>0</v>
      </c>
      <c r="M157" s="34">
        <f t="shared" si="28"/>
        <v>1</v>
      </c>
      <c r="N157" s="34">
        <f t="shared" si="28"/>
        <v>2</v>
      </c>
      <c r="O157" s="34">
        <f t="shared" si="28"/>
        <v>4</v>
      </c>
      <c r="P157" s="34">
        <f t="shared" si="28"/>
        <v>1</v>
      </c>
      <c r="Q157" s="34">
        <f t="shared" si="28"/>
        <v>0</v>
      </c>
      <c r="R157" s="34">
        <f t="shared" si="28"/>
        <v>0</v>
      </c>
      <c r="S157" s="34">
        <f t="shared" si="28"/>
        <v>1</v>
      </c>
      <c r="T157" s="34">
        <f t="shared" si="28"/>
        <v>0</v>
      </c>
      <c r="U157" s="34">
        <f t="shared" si="28"/>
        <v>1</v>
      </c>
      <c r="V157" s="34">
        <f t="shared" si="28"/>
        <v>3</v>
      </c>
      <c r="W157" s="34">
        <f t="shared" si="28"/>
        <v>1</v>
      </c>
      <c r="X157" s="34">
        <f t="shared" si="28"/>
        <v>1</v>
      </c>
      <c r="Y157" s="34">
        <f t="shared" si="28"/>
        <v>0</v>
      </c>
      <c r="Z157" s="34">
        <f t="shared" si="28"/>
        <v>3</v>
      </c>
      <c r="AA157" s="34">
        <f t="shared" si="28"/>
        <v>3</v>
      </c>
      <c r="AB157" s="34">
        <f t="shared" si="28"/>
        <v>2</v>
      </c>
      <c r="AC157" s="34">
        <f t="shared" si="28"/>
        <v>1</v>
      </c>
      <c r="AD157" s="34">
        <f t="shared" si="28"/>
        <v>1</v>
      </c>
      <c r="AE157" s="34">
        <f t="shared" si="28"/>
        <v>1</v>
      </c>
      <c r="AF157" s="34">
        <f t="shared" si="28"/>
        <v>2</v>
      </c>
      <c r="AG157" s="34">
        <f t="shared" si="28"/>
        <v>1</v>
      </c>
      <c r="AH157" s="34">
        <f t="shared" si="28"/>
        <v>1</v>
      </c>
      <c r="AI157" s="34">
        <f t="shared" si="28"/>
        <v>0</v>
      </c>
      <c r="AJ157" s="34">
        <f t="shared" si="28"/>
        <v>0</v>
      </c>
      <c r="AK157" s="34">
        <f t="shared" si="28"/>
        <v>4</v>
      </c>
      <c r="AL157" s="34">
        <f t="shared" si="28"/>
        <v>1</v>
      </c>
      <c r="AM157" s="34">
        <f t="shared" si="28"/>
        <v>0</v>
      </c>
      <c r="AN157" s="34">
        <f t="shared" si="28"/>
        <v>1</v>
      </c>
      <c r="AO157" s="34">
        <f t="shared" si="28"/>
        <v>0</v>
      </c>
      <c r="AP157" s="13">
        <f t="shared" si="13"/>
        <v>38</v>
      </c>
      <c r="AQ157" s="5"/>
      <c r="AR157" s="5"/>
    </row>
    <row r="158" spans="1:44" ht="12.75" customHeight="1" x14ac:dyDescent="0.3">
      <c r="A158" s="35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13">
        <f t="shared" si="13"/>
        <v>0</v>
      </c>
      <c r="AQ158" s="5"/>
      <c r="AR158" s="5"/>
    </row>
    <row r="159" spans="1:44" ht="12.75" customHeight="1" x14ac:dyDescent="0.3">
      <c r="A159" s="19" t="s">
        <v>37</v>
      </c>
      <c r="B159" s="26" t="s">
        <v>134</v>
      </c>
      <c r="C159" s="50" t="s">
        <v>135</v>
      </c>
      <c r="D159" s="49"/>
      <c r="E159" s="15">
        <v>0</v>
      </c>
      <c r="F159" s="15">
        <v>1</v>
      </c>
      <c r="G159" s="15">
        <v>0</v>
      </c>
      <c r="H159" s="15">
        <v>1</v>
      </c>
      <c r="I159" s="15">
        <v>0</v>
      </c>
      <c r="J159" s="15">
        <v>0</v>
      </c>
      <c r="K159" s="15">
        <v>1</v>
      </c>
      <c r="L159" s="15">
        <v>1</v>
      </c>
      <c r="M159" s="15">
        <v>0</v>
      </c>
      <c r="N159" s="15">
        <v>0</v>
      </c>
      <c r="O159" s="15">
        <v>3</v>
      </c>
      <c r="P159" s="15">
        <v>0</v>
      </c>
      <c r="Q159" s="15">
        <v>0</v>
      </c>
      <c r="R159" s="15">
        <v>1</v>
      </c>
      <c r="S159" s="15">
        <v>2</v>
      </c>
      <c r="T159" s="15">
        <v>0</v>
      </c>
      <c r="U159" s="15">
        <v>1</v>
      </c>
      <c r="V159" s="15">
        <v>1</v>
      </c>
      <c r="W159" s="15">
        <v>0</v>
      </c>
      <c r="X159" s="15">
        <v>2</v>
      </c>
      <c r="Y159" s="15">
        <v>0</v>
      </c>
      <c r="Z159" s="15">
        <v>1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O159" s="15">
        <v>0</v>
      </c>
      <c r="AP159" s="13">
        <f t="shared" si="13"/>
        <v>15</v>
      </c>
      <c r="AQ159" s="5"/>
      <c r="AR159" s="5"/>
    </row>
    <row r="160" spans="1:44" ht="12.75" customHeight="1" x14ac:dyDescent="0.3">
      <c r="A160" s="19"/>
      <c r="B160" s="27">
        <v>1</v>
      </c>
      <c r="C160" s="28" t="s">
        <v>136</v>
      </c>
      <c r="D160" s="37"/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1</v>
      </c>
      <c r="N160" s="15">
        <v>0</v>
      </c>
      <c r="O160" s="15">
        <v>2</v>
      </c>
      <c r="P160" s="15">
        <v>0</v>
      </c>
      <c r="Q160" s="15">
        <v>1</v>
      </c>
      <c r="R160" s="15">
        <v>1</v>
      </c>
      <c r="S160" s="15">
        <v>1</v>
      </c>
      <c r="T160" s="15">
        <v>0</v>
      </c>
      <c r="U160" s="15">
        <v>0</v>
      </c>
      <c r="V160" s="15">
        <v>2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1</v>
      </c>
      <c r="AC160" s="15">
        <v>0</v>
      </c>
      <c r="AD160" s="15">
        <v>1</v>
      </c>
      <c r="AE160" s="15">
        <v>0</v>
      </c>
      <c r="AF160" s="15">
        <v>0</v>
      </c>
      <c r="AG160" s="15">
        <v>0</v>
      </c>
      <c r="AH160" s="15">
        <v>0</v>
      </c>
      <c r="AI160" s="15">
        <v>1</v>
      </c>
      <c r="AJ160" s="15">
        <v>0</v>
      </c>
      <c r="AK160" s="15">
        <v>0</v>
      </c>
      <c r="AL160" s="15">
        <v>1</v>
      </c>
      <c r="AM160" s="15">
        <v>0</v>
      </c>
      <c r="AN160" s="15">
        <v>0</v>
      </c>
      <c r="AO160" s="15">
        <v>0</v>
      </c>
      <c r="AP160" s="13">
        <f t="shared" si="13"/>
        <v>12</v>
      </c>
      <c r="AQ160" s="5"/>
      <c r="AR160" s="5"/>
    </row>
    <row r="161" spans="1:44" ht="12.75" customHeight="1" x14ac:dyDescent="0.3">
      <c r="A161" s="19"/>
      <c r="B161" s="27">
        <v>2</v>
      </c>
      <c r="C161" s="28" t="s">
        <v>137</v>
      </c>
      <c r="D161" s="37"/>
      <c r="E161" s="15">
        <v>0</v>
      </c>
      <c r="F161" s="15">
        <v>0</v>
      </c>
      <c r="G161" s="15">
        <v>0</v>
      </c>
      <c r="H161" s="15">
        <v>0</v>
      </c>
      <c r="I161" s="15">
        <v>2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9</v>
      </c>
      <c r="P161" s="15">
        <v>1</v>
      </c>
      <c r="Q161" s="15">
        <v>0</v>
      </c>
      <c r="R161" s="15">
        <v>1</v>
      </c>
      <c r="S161" s="15">
        <v>1</v>
      </c>
      <c r="T161" s="15">
        <v>5</v>
      </c>
      <c r="U161" s="15">
        <v>0</v>
      </c>
      <c r="V161" s="15">
        <v>0</v>
      </c>
      <c r="W161" s="15">
        <v>1</v>
      </c>
      <c r="X161" s="15">
        <v>11</v>
      </c>
      <c r="Y161" s="15">
        <v>0</v>
      </c>
      <c r="Z161" s="15">
        <v>0</v>
      </c>
      <c r="AA161" s="15">
        <v>0</v>
      </c>
      <c r="AB161" s="15">
        <v>4</v>
      </c>
      <c r="AC161" s="15">
        <v>1</v>
      </c>
      <c r="AD161" s="15">
        <v>0</v>
      </c>
      <c r="AE161" s="15">
        <v>5</v>
      </c>
      <c r="AF161" s="15">
        <v>0</v>
      </c>
      <c r="AG161" s="15">
        <v>1</v>
      </c>
      <c r="AH161" s="15">
        <v>0</v>
      </c>
      <c r="AI161" s="15">
        <v>1</v>
      </c>
      <c r="AJ161" s="15">
        <v>0</v>
      </c>
      <c r="AK161" s="15">
        <v>0</v>
      </c>
      <c r="AL161" s="15">
        <v>0</v>
      </c>
      <c r="AM161" s="15">
        <v>0</v>
      </c>
      <c r="AN161" s="15">
        <v>0</v>
      </c>
      <c r="AO161" s="15">
        <v>2</v>
      </c>
      <c r="AP161" s="13">
        <f t="shared" si="13"/>
        <v>45</v>
      </c>
      <c r="AQ161" s="5"/>
      <c r="AR161" s="5"/>
    </row>
    <row r="162" spans="1:44" ht="12.75" customHeight="1" x14ac:dyDescent="0.3">
      <c r="A162" s="19" t="s">
        <v>39</v>
      </c>
      <c r="B162" s="27">
        <v>3</v>
      </c>
      <c r="C162" s="28" t="s">
        <v>138</v>
      </c>
      <c r="D162" s="37"/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1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1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3">
        <f t="shared" si="13"/>
        <v>2</v>
      </c>
      <c r="AQ162" s="5"/>
      <c r="AR162" s="5"/>
    </row>
    <row r="163" spans="1:44" ht="15" customHeight="1" x14ac:dyDescent="0.3">
      <c r="A163" s="15" t="s">
        <v>15</v>
      </c>
      <c r="B163" s="47" t="s">
        <v>46</v>
      </c>
      <c r="C163" s="48"/>
      <c r="D163" s="49"/>
      <c r="E163" s="34">
        <f t="shared" ref="E163:AO163" si="29">SUM(E159:E162)</f>
        <v>0</v>
      </c>
      <c r="F163" s="34">
        <f t="shared" si="29"/>
        <v>1</v>
      </c>
      <c r="G163" s="34">
        <f t="shared" si="29"/>
        <v>0</v>
      </c>
      <c r="H163" s="34">
        <f t="shared" si="29"/>
        <v>1</v>
      </c>
      <c r="I163" s="34">
        <f t="shared" si="29"/>
        <v>2</v>
      </c>
      <c r="J163" s="34">
        <f t="shared" si="29"/>
        <v>0</v>
      </c>
      <c r="K163" s="34">
        <f t="shared" si="29"/>
        <v>1</v>
      </c>
      <c r="L163" s="34">
        <f t="shared" si="29"/>
        <v>1</v>
      </c>
      <c r="M163" s="34">
        <f t="shared" si="29"/>
        <v>1</v>
      </c>
      <c r="N163" s="34">
        <f t="shared" si="29"/>
        <v>0</v>
      </c>
      <c r="O163" s="34">
        <f t="shared" si="29"/>
        <v>14</v>
      </c>
      <c r="P163" s="34">
        <f t="shared" si="29"/>
        <v>1</v>
      </c>
      <c r="Q163" s="34">
        <f t="shared" si="29"/>
        <v>1</v>
      </c>
      <c r="R163" s="34">
        <f t="shared" si="29"/>
        <v>3</v>
      </c>
      <c r="S163" s="34">
        <f t="shared" si="29"/>
        <v>4</v>
      </c>
      <c r="T163" s="34">
        <f t="shared" si="29"/>
        <v>6</v>
      </c>
      <c r="U163" s="34">
        <f t="shared" si="29"/>
        <v>1</v>
      </c>
      <c r="V163" s="34">
        <f t="shared" si="29"/>
        <v>3</v>
      </c>
      <c r="W163" s="34">
        <f t="shared" si="29"/>
        <v>1</v>
      </c>
      <c r="X163" s="34">
        <f t="shared" si="29"/>
        <v>13</v>
      </c>
      <c r="Y163" s="34">
        <f t="shared" si="29"/>
        <v>0</v>
      </c>
      <c r="Z163" s="34">
        <f t="shared" si="29"/>
        <v>1</v>
      </c>
      <c r="AA163" s="34">
        <f t="shared" si="29"/>
        <v>0</v>
      </c>
      <c r="AB163" s="34">
        <f t="shared" si="29"/>
        <v>5</v>
      </c>
      <c r="AC163" s="34">
        <f t="shared" si="29"/>
        <v>1</v>
      </c>
      <c r="AD163" s="34">
        <f t="shared" si="29"/>
        <v>1</v>
      </c>
      <c r="AE163" s="34">
        <f t="shared" si="29"/>
        <v>5</v>
      </c>
      <c r="AF163" s="34">
        <f t="shared" si="29"/>
        <v>0</v>
      </c>
      <c r="AG163" s="34">
        <f t="shared" si="29"/>
        <v>2</v>
      </c>
      <c r="AH163" s="34">
        <f t="shared" si="29"/>
        <v>0</v>
      </c>
      <c r="AI163" s="34">
        <f t="shared" si="29"/>
        <v>2</v>
      </c>
      <c r="AJ163" s="34">
        <f t="shared" si="29"/>
        <v>0</v>
      </c>
      <c r="AK163" s="34">
        <f t="shared" si="29"/>
        <v>0</v>
      </c>
      <c r="AL163" s="34">
        <f t="shared" si="29"/>
        <v>1</v>
      </c>
      <c r="AM163" s="34">
        <f t="shared" si="29"/>
        <v>0</v>
      </c>
      <c r="AN163" s="34">
        <f t="shared" si="29"/>
        <v>0</v>
      </c>
      <c r="AO163" s="34">
        <f t="shared" si="29"/>
        <v>2</v>
      </c>
      <c r="AP163" s="13">
        <f t="shared" si="13"/>
        <v>74</v>
      </c>
      <c r="AQ163" s="5"/>
      <c r="AR163" s="5"/>
    </row>
    <row r="164" spans="1:44" ht="12.75" customHeight="1" x14ac:dyDescent="0.3">
      <c r="A164" s="35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13">
        <f t="shared" si="13"/>
        <v>0</v>
      </c>
      <c r="AQ164" s="5"/>
      <c r="AR164" s="5"/>
    </row>
    <row r="165" spans="1:44" ht="12.75" customHeight="1" x14ac:dyDescent="0.3">
      <c r="A165" s="19" t="s">
        <v>37</v>
      </c>
      <c r="B165" s="26" t="s">
        <v>139</v>
      </c>
      <c r="C165" s="50" t="s">
        <v>140</v>
      </c>
      <c r="D165" s="49"/>
      <c r="E165" s="15">
        <v>3</v>
      </c>
      <c r="F165" s="15">
        <v>1</v>
      </c>
      <c r="G165" s="15">
        <v>1</v>
      </c>
      <c r="H165" s="15">
        <v>0</v>
      </c>
      <c r="I165" s="15">
        <v>1</v>
      </c>
      <c r="J165" s="15">
        <v>0</v>
      </c>
      <c r="K165" s="15">
        <v>0</v>
      </c>
      <c r="L165" s="15">
        <v>3</v>
      </c>
      <c r="M165" s="15">
        <v>0</v>
      </c>
      <c r="N165" s="15">
        <v>3</v>
      </c>
      <c r="O165" s="15">
        <v>0</v>
      </c>
      <c r="P165" s="15">
        <v>0</v>
      </c>
      <c r="Q165" s="15">
        <v>0</v>
      </c>
      <c r="R165" s="15">
        <v>5</v>
      </c>
      <c r="S165" s="15">
        <v>3</v>
      </c>
      <c r="T165" s="15">
        <v>0</v>
      </c>
      <c r="U165" s="15">
        <v>0</v>
      </c>
      <c r="V165" s="15">
        <v>3</v>
      </c>
      <c r="W165" s="15">
        <v>2</v>
      </c>
      <c r="X165" s="15">
        <v>3</v>
      </c>
      <c r="Y165" s="15">
        <v>4</v>
      </c>
      <c r="Z165" s="15">
        <v>3</v>
      </c>
      <c r="AA165" s="15">
        <v>3</v>
      </c>
      <c r="AB165" s="15">
        <v>1</v>
      </c>
      <c r="AC165" s="15">
        <v>6</v>
      </c>
      <c r="AD165" s="15">
        <v>0</v>
      </c>
      <c r="AE165" s="15">
        <v>2</v>
      </c>
      <c r="AF165" s="15">
        <v>1</v>
      </c>
      <c r="AG165" s="15">
        <v>1</v>
      </c>
      <c r="AH165" s="15">
        <v>0</v>
      </c>
      <c r="AI165" s="15">
        <v>1</v>
      </c>
      <c r="AJ165" s="15">
        <v>0</v>
      </c>
      <c r="AK165" s="15">
        <v>1</v>
      </c>
      <c r="AL165" s="15">
        <v>1</v>
      </c>
      <c r="AM165" s="15">
        <v>0</v>
      </c>
      <c r="AN165" s="15">
        <v>0</v>
      </c>
      <c r="AO165" s="15">
        <v>0</v>
      </c>
      <c r="AP165" s="13">
        <f t="shared" si="13"/>
        <v>52</v>
      </c>
      <c r="AQ165" s="1"/>
      <c r="AR165" s="1"/>
    </row>
    <row r="166" spans="1:44" ht="12.75" customHeight="1" x14ac:dyDescent="0.3">
      <c r="A166" s="19" t="s">
        <v>39</v>
      </c>
      <c r="B166" s="27">
        <v>1</v>
      </c>
      <c r="C166" s="28" t="s">
        <v>141</v>
      </c>
      <c r="D166" s="29"/>
      <c r="E166" s="15">
        <v>0</v>
      </c>
      <c r="F166" s="15">
        <v>2</v>
      </c>
      <c r="G166" s="15">
        <v>3</v>
      </c>
      <c r="H166" s="15">
        <v>3</v>
      </c>
      <c r="I166" s="15">
        <v>2</v>
      </c>
      <c r="J166" s="15">
        <v>2</v>
      </c>
      <c r="K166" s="15">
        <v>4</v>
      </c>
      <c r="L166" s="15">
        <v>0</v>
      </c>
      <c r="M166" s="15">
        <v>0</v>
      </c>
      <c r="N166" s="15">
        <v>7</v>
      </c>
      <c r="O166" s="15">
        <v>2</v>
      </c>
      <c r="P166" s="15">
        <v>0</v>
      </c>
      <c r="Q166" s="15">
        <v>0</v>
      </c>
      <c r="R166" s="15">
        <v>8</v>
      </c>
      <c r="S166" s="15">
        <v>1</v>
      </c>
      <c r="T166" s="15">
        <v>1</v>
      </c>
      <c r="U166" s="15">
        <v>0</v>
      </c>
      <c r="V166" s="15">
        <v>0</v>
      </c>
      <c r="W166" s="15">
        <v>0</v>
      </c>
      <c r="X166" s="15">
        <v>5</v>
      </c>
      <c r="Y166" s="15">
        <v>4</v>
      </c>
      <c r="Z166" s="15">
        <v>1</v>
      </c>
      <c r="AA166" s="15">
        <v>0</v>
      </c>
      <c r="AB166" s="15">
        <v>0</v>
      </c>
      <c r="AC166" s="15">
        <v>1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2</v>
      </c>
      <c r="AJ166" s="15">
        <v>1</v>
      </c>
      <c r="AK166" s="15">
        <v>0</v>
      </c>
      <c r="AL166" s="15">
        <v>1</v>
      </c>
      <c r="AM166" s="15">
        <v>2</v>
      </c>
      <c r="AN166" s="15">
        <v>2</v>
      </c>
      <c r="AO166" s="15">
        <v>2</v>
      </c>
      <c r="AP166" s="13">
        <f t="shared" si="13"/>
        <v>56</v>
      </c>
      <c r="AQ166" s="31"/>
      <c r="AR166" s="31"/>
    </row>
    <row r="167" spans="1:44" ht="12.75" customHeight="1" x14ac:dyDescent="0.3">
      <c r="A167" s="14"/>
      <c r="B167" s="27">
        <v>2</v>
      </c>
      <c r="C167" s="28" t="s">
        <v>142</v>
      </c>
      <c r="D167" s="29"/>
      <c r="E167" s="15">
        <v>2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2</v>
      </c>
      <c r="P167" s="15">
        <v>1</v>
      </c>
      <c r="Q167" s="15">
        <v>0</v>
      </c>
      <c r="R167" s="15">
        <v>5</v>
      </c>
      <c r="S167" s="15">
        <v>45</v>
      </c>
      <c r="T167" s="15">
        <v>36</v>
      </c>
      <c r="U167" s="15">
        <v>0</v>
      </c>
      <c r="V167" s="15">
        <v>2</v>
      </c>
      <c r="W167" s="15">
        <v>5</v>
      </c>
      <c r="X167" s="15">
        <v>0</v>
      </c>
      <c r="Y167" s="15">
        <v>7</v>
      </c>
      <c r="Z167" s="15">
        <v>0</v>
      </c>
      <c r="AA167" s="15">
        <v>7</v>
      </c>
      <c r="AB167" s="15">
        <v>9</v>
      </c>
      <c r="AC167" s="15">
        <v>14</v>
      </c>
      <c r="AD167" s="15">
        <v>20</v>
      </c>
      <c r="AE167" s="15">
        <v>9</v>
      </c>
      <c r="AF167" s="15">
        <v>0</v>
      </c>
      <c r="AG167" s="15">
        <v>0</v>
      </c>
      <c r="AH167" s="15">
        <v>33</v>
      </c>
      <c r="AI167" s="15">
        <v>2</v>
      </c>
      <c r="AJ167" s="15">
        <v>0</v>
      </c>
      <c r="AK167" s="15">
        <v>0</v>
      </c>
      <c r="AL167" s="15">
        <v>3</v>
      </c>
      <c r="AM167" s="15">
        <v>3</v>
      </c>
      <c r="AN167" s="15">
        <v>1</v>
      </c>
      <c r="AO167" s="15">
        <v>1</v>
      </c>
      <c r="AP167" s="13">
        <f t="shared" si="13"/>
        <v>207</v>
      </c>
      <c r="AQ167" s="5"/>
      <c r="AR167" s="5"/>
    </row>
    <row r="168" spans="1:44" ht="12.75" customHeight="1" x14ac:dyDescent="0.3">
      <c r="A168" s="14"/>
      <c r="B168" s="27">
        <v>3</v>
      </c>
      <c r="C168" s="28" t="s">
        <v>143</v>
      </c>
      <c r="D168" s="29"/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3">
        <f t="shared" si="13"/>
        <v>0</v>
      </c>
      <c r="AQ168" s="5"/>
      <c r="AR168" s="5"/>
    </row>
    <row r="169" spans="1:44" ht="12.75" customHeight="1" x14ac:dyDescent="0.3">
      <c r="A169" s="14"/>
      <c r="B169" s="27">
        <v>4</v>
      </c>
      <c r="C169" s="28" t="s">
        <v>144</v>
      </c>
      <c r="D169" s="29"/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1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1</v>
      </c>
      <c r="AB169" s="15">
        <v>0</v>
      </c>
      <c r="AC169" s="15">
        <v>1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1</v>
      </c>
      <c r="AO169" s="15">
        <v>0</v>
      </c>
      <c r="AP169" s="13">
        <f t="shared" si="13"/>
        <v>4</v>
      </c>
      <c r="AQ169" s="5"/>
      <c r="AR169" s="5"/>
    </row>
    <row r="170" spans="1:44" ht="12.75" customHeight="1" x14ac:dyDescent="0.3">
      <c r="A170" s="14"/>
      <c r="B170" s="27">
        <v>5</v>
      </c>
      <c r="C170" s="28" t="s">
        <v>145</v>
      </c>
      <c r="D170" s="29"/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1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2</v>
      </c>
      <c r="W170" s="15">
        <v>0</v>
      </c>
      <c r="X170" s="15">
        <v>0</v>
      </c>
      <c r="Y170" s="15">
        <v>0</v>
      </c>
      <c r="Z170" s="15">
        <v>2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3">
        <f t="shared" si="13"/>
        <v>5</v>
      </c>
      <c r="AQ170" s="5"/>
      <c r="AR170" s="5"/>
    </row>
    <row r="171" spans="1:44" ht="12.75" customHeight="1" x14ac:dyDescent="0.3">
      <c r="A171" s="14"/>
      <c r="B171" s="27">
        <v>6</v>
      </c>
      <c r="C171" s="28" t="s">
        <v>146</v>
      </c>
      <c r="D171" s="29"/>
      <c r="E171" s="15">
        <v>0</v>
      </c>
      <c r="F171" s="15">
        <v>0</v>
      </c>
      <c r="G171" s="15">
        <v>0</v>
      </c>
      <c r="H171" s="15">
        <v>0</v>
      </c>
      <c r="I171" s="15">
        <v>1</v>
      </c>
      <c r="J171" s="15">
        <v>2</v>
      </c>
      <c r="K171" s="15">
        <v>9</v>
      </c>
      <c r="L171" s="15">
        <v>1</v>
      </c>
      <c r="M171" s="15">
        <v>6</v>
      </c>
      <c r="N171" s="15">
        <v>6</v>
      </c>
      <c r="O171" s="15">
        <v>0</v>
      </c>
      <c r="P171" s="15">
        <v>1</v>
      </c>
      <c r="Q171" s="15">
        <v>1</v>
      </c>
      <c r="R171" s="15">
        <v>1</v>
      </c>
      <c r="S171" s="15">
        <v>0</v>
      </c>
      <c r="T171" s="15">
        <v>2</v>
      </c>
      <c r="U171" s="15">
        <v>1</v>
      </c>
      <c r="V171" s="15">
        <v>5</v>
      </c>
      <c r="W171" s="15">
        <v>3</v>
      </c>
      <c r="X171" s="15">
        <v>10</v>
      </c>
      <c r="Y171" s="15">
        <v>24</v>
      </c>
      <c r="Z171" s="15">
        <v>17</v>
      </c>
      <c r="AA171" s="15">
        <v>7</v>
      </c>
      <c r="AB171" s="15">
        <v>17</v>
      </c>
      <c r="AC171" s="15">
        <v>5</v>
      </c>
      <c r="AD171" s="15">
        <v>0</v>
      </c>
      <c r="AE171" s="15">
        <v>5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3">
        <f t="shared" si="13"/>
        <v>124</v>
      </c>
      <c r="AQ171" s="5"/>
      <c r="AR171" s="5"/>
    </row>
    <row r="172" spans="1:44" ht="12.75" customHeight="1" x14ac:dyDescent="0.3">
      <c r="A172" s="15" t="s">
        <v>15</v>
      </c>
      <c r="B172" s="47" t="s">
        <v>46</v>
      </c>
      <c r="C172" s="48"/>
      <c r="D172" s="49"/>
      <c r="E172" s="46">
        <f t="shared" ref="E172:AO172" si="30">SUM(E165:E171)</f>
        <v>5</v>
      </c>
      <c r="F172" s="46">
        <f t="shared" si="30"/>
        <v>3</v>
      </c>
      <c r="G172" s="46">
        <f t="shared" si="30"/>
        <v>4</v>
      </c>
      <c r="H172" s="46">
        <f t="shared" si="30"/>
        <v>3</v>
      </c>
      <c r="I172" s="46">
        <f t="shared" si="30"/>
        <v>4</v>
      </c>
      <c r="J172" s="46">
        <f t="shared" si="30"/>
        <v>4</v>
      </c>
      <c r="K172" s="46">
        <f t="shared" si="30"/>
        <v>13</v>
      </c>
      <c r="L172" s="46">
        <f t="shared" si="30"/>
        <v>4</v>
      </c>
      <c r="M172" s="46">
        <f t="shared" si="30"/>
        <v>7</v>
      </c>
      <c r="N172" s="46">
        <f t="shared" si="30"/>
        <v>16</v>
      </c>
      <c r="O172" s="46">
        <f t="shared" si="30"/>
        <v>4</v>
      </c>
      <c r="P172" s="46">
        <f t="shared" si="30"/>
        <v>2</v>
      </c>
      <c r="Q172" s="46">
        <f t="shared" si="30"/>
        <v>1</v>
      </c>
      <c r="R172" s="46">
        <f t="shared" si="30"/>
        <v>19</v>
      </c>
      <c r="S172" s="46">
        <f t="shared" si="30"/>
        <v>50</v>
      </c>
      <c r="T172" s="46">
        <f t="shared" si="30"/>
        <v>39</v>
      </c>
      <c r="U172" s="46">
        <f t="shared" si="30"/>
        <v>1</v>
      </c>
      <c r="V172" s="46">
        <f t="shared" si="30"/>
        <v>12</v>
      </c>
      <c r="W172" s="46">
        <f t="shared" si="30"/>
        <v>10</v>
      </c>
      <c r="X172" s="46">
        <f t="shared" si="30"/>
        <v>18</v>
      </c>
      <c r="Y172" s="46">
        <f t="shared" si="30"/>
        <v>39</v>
      </c>
      <c r="Z172" s="46">
        <f t="shared" si="30"/>
        <v>23</v>
      </c>
      <c r="AA172" s="46">
        <f t="shared" si="30"/>
        <v>18</v>
      </c>
      <c r="AB172" s="46">
        <f t="shared" si="30"/>
        <v>27</v>
      </c>
      <c r="AC172" s="46">
        <f t="shared" si="30"/>
        <v>27</v>
      </c>
      <c r="AD172" s="46">
        <f t="shared" si="30"/>
        <v>20</v>
      </c>
      <c r="AE172" s="46">
        <f t="shared" si="30"/>
        <v>16</v>
      </c>
      <c r="AF172" s="46">
        <f t="shared" si="30"/>
        <v>1</v>
      </c>
      <c r="AG172" s="46">
        <f t="shared" si="30"/>
        <v>1</v>
      </c>
      <c r="AH172" s="46">
        <f t="shared" si="30"/>
        <v>33</v>
      </c>
      <c r="AI172" s="46">
        <f t="shared" si="30"/>
        <v>5</v>
      </c>
      <c r="AJ172" s="46">
        <f t="shared" si="30"/>
        <v>1</v>
      </c>
      <c r="AK172" s="46">
        <f t="shared" si="30"/>
        <v>1</v>
      </c>
      <c r="AL172" s="46">
        <f t="shared" si="30"/>
        <v>5</v>
      </c>
      <c r="AM172" s="46">
        <f t="shared" si="30"/>
        <v>5</v>
      </c>
      <c r="AN172" s="46">
        <f t="shared" si="30"/>
        <v>4</v>
      </c>
      <c r="AO172" s="46">
        <f t="shared" si="30"/>
        <v>3</v>
      </c>
      <c r="AP172" s="13">
        <f t="shared" si="13"/>
        <v>448</v>
      </c>
      <c r="AQ172" s="5"/>
      <c r="AR172" s="5"/>
    </row>
    <row r="173" spans="1:44" ht="12.75" customHeight="1" x14ac:dyDescent="0.3">
      <c r="A173" s="35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13">
        <f t="shared" si="13"/>
        <v>0</v>
      </c>
      <c r="AQ173" s="5"/>
      <c r="AR173" s="5"/>
    </row>
    <row r="174" spans="1:44" ht="12.75" customHeight="1" x14ac:dyDescent="0.3">
      <c r="A174" s="19" t="s">
        <v>37</v>
      </c>
      <c r="B174" s="26" t="s">
        <v>147</v>
      </c>
      <c r="C174" s="50" t="s">
        <v>148</v>
      </c>
      <c r="D174" s="49"/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1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3">
        <f t="shared" si="13"/>
        <v>1</v>
      </c>
      <c r="AQ174" s="5"/>
      <c r="AR174" s="5"/>
    </row>
    <row r="175" spans="1:44" ht="15" customHeight="1" x14ac:dyDescent="0.3">
      <c r="A175" s="19"/>
      <c r="B175" s="27">
        <v>1</v>
      </c>
      <c r="C175" s="28" t="s">
        <v>149</v>
      </c>
      <c r="D175" s="37"/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1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1</v>
      </c>
      <c r="AB175" s="15">
        <v>0</v>
      </c>
      <c r="AC175" s="15">
        <v>1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5">
        <v>0</v>
      </c>
      <c r="AP175" s="13">
        <f t="shared" si="13"/>
        <v>3</v>
      </c>
      <c r="AQ175" s="5"/>
      <c r="AR175" s="5"/>
    </row>
    <row r="176" spans="1:44" ht="12.75" customHeight="1" x14ac:dyDescent="0.3">
      <c r="A176" s="19" t="s">
        <v>39</v>
      </c>
      <c r="B176" s="27">
        <v>2</v>
      </c>
      <c r="C176" s="28" t="s">
        <v>150</v>
      </c>
      <c r="D176" s="29"/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1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2</v>
      </c>
      <c r="Z176" s="15">
        <v>0</v>
      </c>
      <c r="AA176" s="15">
        <v>0</v>
      </c>
      <c r="AB176" s="15">
        <v>0</v>
      </c>
      <c r="AC176" s="15">
        <v>1</v>
      </c>
      <c r="AD176" s="15">
        <v>0</v>
      </c>
      <c r="AE176" s="15">
        <v>0</v>
      </c>
      <c r="AF176" s="15">
        <v>1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3">
        <f t="shared" si="13"/>
        <v>5</v>
      </c>
      <c r="AQ176" s="1"/>
      <c r="AR176" s="1"/>
    </row>
    <row r="177" spans="1:44" ht="12.75" customHeight="1" x14ac:dyDescent="0.3">
      <c r="A177" s="15" t="s">
        <v>15</v>
      </c>
      <c r="B177" s="47" t="s">
        <v>46</v>
      </c>
      <c r="C177" s="48"/>
      <c r="D177" s="49"/>
      <c r="E177" s="34">
        <f t="shared" ref="E177:AO177" si="31">SUM(E174:E176)</f>
        <v>0</v>
      </c>
      <c r="F177" s="34">
        <f t="shared" si="31"/>
        <v>0</v>
      </c>
      <c r="G177" s="34">
        <f t="shared" si="31"/>
        <v>0</v>
      </c>
      <c r="H177" s="34">
        <f t="shared" si="31"/>
        <v>0</v>
      </c>
      <c r="I177" s="34">
        <f t="shared" si="31"/>
        <v>0</v>
      </c>
      <c r="J177" s="34">
        <f t="shared" si="31"/>
        <v>0</v>
      </c>
      <c r="K177" s="34">
        <f t="shared" si="31"/>
        <v>0</v>
      </c>
      <c r="L177" s="34">
        <f t="shared" si="31"/>
        <v>0</v>
      </c>
      <c r="M177" s="34">
        <f t="shared" si="31"/>
        <v>0</v>
      </c>
      <c r="N177" s="34">
        <f t="shared" si="31"/>
        <v>1</v>
      </c>
      <c r="O177" s="34">
        <f t="shared" si="31"/>
        <v>0</v>
      </c>
      <c r="P177" s="34">
        <f t="shared" si="31"/>
        <v>0</v>
      </c>
      <c r="Q177" s="34">
        <f t="shared" si="31"/>
        <v>0</v>
      </c>
      <c r="R177" s="34">
        <f t="shared" si="31"/>
        <v>0</v>
      </c>
      <c r="S177" s="34">
        <f t="shared" si="31"/>
        <v>1</v>
      </c>
      <c r="T177" s="34">
        <f t="shared" si="31"/>
        <v>0</v>
      </c>
      <c r="U177" s="34">
        <f t="shared" si="31"/>
        <v>0</v>
      </c>
      <c r="V177" s="34">
        <f t="shared" si="31"/>
        <v>0</v>
      </c>
      <c r="W177" s="34">
        <f t="shared" si="31"/>
        <v>0</v>
      </c>
      <c r="X177" s="34">
        <f t="shared" si="31"/>
        <v>0</v>
      </c>
      <c r="Y177" s="34">
        <f t="shared" si="31"/>
        <v>2</v>
      </c>
      <c r="Z177" s="34">
        <f t="shared" si="31"/>
        <v>0</v>
      </c>
      <c r="AA177" s="34">
        <f t="shared" si="31"/>
        <v>1</v>
      </c>
      <c r="AB177" s="34">
        <f t="shared" si="31"/>
        <v>0</v>
      </c>
      <c r="AC177" s="34">
        <f t="shared" si="31"/>
        <v>2</v>
      </c>
      <c r="AD177" s="34">
        <f t="shared" si="31"/>
        <v>0</v>
      </c>
      <c r="AE177" s="34">
        <f t="shared" si="31"/>
        <v>0</v>
      </c>
      <c r="AF177" s="34">
        <f t="shared" si="31"/>
        <v>1</v>
      </c>
      <c r="AG177" s="34">
        <f t="shared" si="31"/>
        <v>1</v>
      </c>
      <c r="AH177" s="34">
        <f t="shared" si="31"/>
        <v>0</v>
      </c>
      <c r="AI177" s="34">
        <f t="shared" si="31"/>
        <v>0</v>
      </c>
      <c r="AJ177" s="34">
        <f t="shared" si="31"/>
        <v>0</v>
      </c>
      <c r="AK177" s="34">
        <f t="shared" si="31"/>
        <v>0</v>
      </c>
      <c r="AL177" s="34">
        <f t="shared" si="31"/>
        <v>0</v>
      </c>
      <c r="AM177" s="34">
        <f t="shared" si="31"/>
        <v>0</v>
      </c>
      <c r="AN177" s="34">
        <f t="shared" si="31"/>
        <v>0</v>
      </c>
      <c r="AO177" s="34">
        <f t="shared" si="31"/>
        <v>0</v>
      </c>
      <c r="AP177" s="13">
        <f t="shared" si="13"/>
        <v>9</v>
      </c>
    </row>
    <row r="178" spans="1:44" ht="12.75" customHeight="1" x14ac:dyDescent="0.3">
      <c r="A178" s="60"/>
      <c r="B178" s="58"/>
      <c r="C178" s="58"/>
      <c r="D178" s="5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3">
        <f t="shared" si="13"/>
        <v>0</v>
      </c>
      <c r="AQ178" s="5"/>
      <c r="AR178" s="5"/>
    </row>
    <row r="179" spans="1:44" ht="12.75" customHeight="1" x14ac:dyDescent="0.3">
      <c r="A179" s="25" t="s">
        <v>151</v>
      </c>
      <c r="B179" s="55" t="s">
        <v>152</v>
      </c>
      <c r="C179" s="48"/>
      <c r="D179" s="49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3">
        <f t="shared" si="13"/>
        <v>0</v>
      </c>
      <c r="AQ179" s="5"/>
      <c r="AR179" s="5"/>
    </row>
    <row r="180" spans="1:44" ht="12.75" customHeight="1" x14ac:dyDescent="0.3">
      <c r="A180" s="25"/>
      <c r="B180" s="38" t="s">
        <v>153</v>
      </c>
      <c r="C180" s="72" t="s">
        <v>154</v>
      </c>
      <c r="D180" s="49"/>
      <c r="E180" s="15">
        <f>E52+E61+E70+E79+E88+E94+E99+E108+E115+E124+E128+E135+E144+E153+E157+E163+E172+E177</f>
        <v>207</v>
      </c>
      <c r="F180" s="15">
        <f t="shared" ref="F180:AP180" si="32">F52+F61+F70+F79+F88+F94+F99+F108+F115+F124+F128+F135+F144+F153+F157+F163+F172+F177</f>
        <v>195</v>
      </c>
      <c r="G180" s="15">
        <f t="shared" si="32"/>
        <v>171</v>
      </c>
      <c r="H180" s="15">
        <f t="shared" si="32"/>
        <v>204</v>
      </c>
      <c r="I180" s="15">
        <f t="shared" si="32"/>
        <v>200</v>
      </c>
      <c r="J180" s="15">
        <f t="shared" si="32"/>
        <v>166</v>
      </c>
      <c r="K180" s="15">
        <f t="shared" si="32"/>
        <v>174</v>
      </c>
      <c r="L180" s="15">
        <f t="shared" si="32"/>
        <v>152</v>
      </c>
      <c r="M180" s="15">
        <f t="shared" si="32"/>
        <v>221</v>
      </c>
      <c r="N180" s="15">
        <f t="shared" si="32"/>
        <v>228</v>
      </c>
      <c r="O180" s="15">
        <f t="shared" si="32"/>
        <v>176</v>
      </c>
      <c r="P180" s="15">
        <f t="shared" si="32"/>
        <v>167</v>
      </c>
      <c r="Q180" s="15">
        <f t="shared" si="32"/>
        <v>214</v>
      </c>
      <c r="R180" s="15">
        <f t="shared" si="32"/>
        <v>172</v>
      </c>
      <c r="S180" s="15">
        <f t="shared" si="32"/>
        <v>198</v>
      </c>
      <c r="T180" s="15">
        <f t="shared" si="32"/>
        <v>173</v>
      </c>
      <c r="U180" s="15">
        <f t="shared" si="32"/>
        <v>181</v>
      </c>
      <c r="V180" s="15">
        <f t="shared" si="32"/>
        <v>204</v>
      </c>
      <c r="W180" s="15">
        <f t="shared" si="32"/>
        <v>194</v>
      </c>
      <c r="X180" s="15">
        <f t="shared" si="32"/>
        <v>199</v>
      </c>
      <c r="Y180" s="15">
        <f t="shared" si="32"/>
        <v>190</v>
      </c>
      <c r="Z180" s="15">
        <f t="shared" si="32"/>
        <v>180</v>
      </c>
      <c r="AA180" s="15">
        <f t="shared" si="32"/>
        <v>190</v>
      </c>
      <c r="AB180" s="15">
        <f t="shared" si="32"/>
        <v>200</v>
      </c>
      <c r="AC180" s="15">
        <f t="shared" si="32"/>
        <v>196</v>
      </c>
      <c r="AD180" s="15">
        <f t="shared" si="32"/>
        <v>209</v>
      </c>
      <c r="AE180" s="15">
        <f t="shared" si="32"/>
        <v>179</v>
      </c>
      <c r="AF180" s="15">
        <f t="shared" si="32"/>
        <v>219</v>
      </c>
      <c r="AG180" s="15">
        <f t="shared" si="32"/>
        <v>200</v>
      </c>
      <c r="AH180" s="15">
        <f t="shared" si="32"/>
        <v>189</v>
      </c>
      <c r="AI180" s="15">
        <f t="shared" si="32"/>
        <v>207</v>
      </c>
      <c r="AJ180" s="15">
        <f t="shared" si="32"/>
        <v>227</v>
      </c>
      <c r="AK180" s="15">
        <f t="shared" si="32"/>
        <v>190</v>
      </c>
      <c r="AL180" s="15">
        <f t="shared" si="32"/>
        <v>176</v>
      </c>
      <c r="AM180" s="15">
        <f t="shared" si="32"/>
        <v>188</v>
      </c>
      <c r="AN180" s="15">
        <f t="shared" si="32"/>
        <v>191</v>
      </c>
      <c r="AO180" s="15">
        <f t="shared" si="32"/>
        <v>192</v>
      </c>
      <c r="AP180" s="15">
        <f t="shared" si="32"/>
        <v>7119</v>
      </c>
      <c r="AQ180" s="5"/>
      <c r="AR180" s="5"/>
    </row>
    <row r="181" spans="1:44" ht="12.75" customHeight="1" x14ac:dyDescent="0.3">
      <c r="A181" s="21"/>
      <c r="B181" s="38" t="s">
        <v>155</v>
      </c>
      <c r="C181" s="72" t="s">
        <v>156</v>
      </c>
      <c r="D181" s="49"/>
      <c r="E181" s="15">
        <v>12</v>
      </c>
      <c r="F181" s="15">
        <v>12</v>
      </c>
      <c r="G181" s="15">
        <v>8</v>
      </c>
      <c r="H181" s="15">
        <v>6</v>
      </c>
      <c r="I181" s="15">
        <v>18</v>
      </c>
      <c r="J181" s="15">
        <v>8</v>
      </c>
      <c r="K181" s="15">
        <v>7</v>
      </c>
      <c r="L181" s="15">
        <v>7</v>
      </c>
      <c r="M181" s="15">
        <v>9</v>
      </c>
      <c r="N181" s="15">
        <v>6</v>
      </c>
      <c r="O181" s="15">
        <v>29</v>
      </c>
      <c r="P181" s="15">
        <v>9</v>
      </c>
      <c r="Q181" s="15">
        <v>8</v>
      </c>
      <c r="R181" s="15">
        <v>14</v>
      </c>
      <c r="S181" s="15">
        <v>16</v>
      </c>
      <c r="T181" s="15">
        <v>9</v>
      </c>
      <c r="U181" s="15">
        <v>5</v>
      </c>
      <c r="V181" s="15">
        <v>15</v>
      </c>
      <c r="W181" s="15">
        <v>12</v>
      </c>
      <c r="X181" s="15">
        <v>27</v>
      </c>
      <c r="Y181" s="15">
        <v>13</v>
      </c>
      <c r="Z181" s="15">
        <v>20</v>
      </c>
      <c r="AA181" s="15">
        <v>11</v>
      </c>
      <c r="AB181" s="15">
        <v>9</v>
      </c>
      <c r="AC181" s="15">
        <v>16</v>
      </c>
      <c r="AD181" s="15">
        <v>5</v>
      </c>
      <c r="AE181" s="15">
        <v>10</v>
      </c>
      <c r="AF181" s="15">
        <v>10</v>
      </c>
      <c r="AG181" s="15">
        <v>4</v>
      </c>
      <c r="AH181" s="15">
        <v>22</v>
      </c>
      <c r="AI181" s="15">
        <v>14</v>
      </c>
      <c r="AJ181" s="15">
        <v>6</v>
      </c>
      <c r="AK181" s="15">
        <v>8</v>
      </c>
      <c r="AL181" s="15">
        <v>5</v>
      </c>
      <c r="AM181" s="15">
        <v>25</v>
      </c>
      <c r="AN181" s="15">
        <v>13</v>
      </c>
      <c r="AO181" s="15">
        <v>16</v>
      </c>
      <c r="AP181" s="13">
        <f t="shared" si="13"/>
        <v>444</v>
      </c>
      <c r="AQ181" s="5"/>
      <c r="AR181" s="5"/>
    </row>
    <row r="182" spans="1:44" ht="12.75" customHeight="1" x14ac:dyDescent="0.3">
      <c r="A182" s="24"/>
      <c r="B182" s="38" t="s">
        <v>157</v>
      </c>
      <c r="C182" s="72" t="s">
        <v>158</v>
      </c>
      <c r="D182" s="49"/>
      <c r="E182" s="18">
        <f t="shared" ref="E182:AO182" si="33">SUM(E180:E181)</f>
        <v>219</v>
      </c>
      <c r="F182" s="18">
        <f t="shared" si="33"/>
        <v>207</v>
      </c>
      <c r="G182" s="18">
        <f t="shared" si="33"/>
        <v>179</v>
      </c>
      <c r="H182" s="18">
        <f t="shared" si="33"/>
        <v>210</v>
      </c>
      <c r="I182" s="18">
        <f t="shared" si="33"/>
        <v>218</v>
      </c>
      <c r="J182" s="18">
        <f t="shared" si="33"/>
        <v>174</v>
      </c>
      <c r="K182" s="18">
        <f t="shared" si="33"/>
        <v>181</v>
      </c>
      <c r="L182" s="18">
        <f t="shared" si="33"/>
        <v>159</v>
      </c>
      <c r="M182" s="18">
        <f t="shared" si="33"/>
        <v>230</v>
      </c>
      <c r="N182" s="18">
        <f t="shared" si="33"/>
        <v>234</v>
      </c>
      <c r="O182" s="18">
        <f t="shared" si="33"/>
        <v>205</v>
      </c>
      <c r="P182" s="18">
        <f t="shared" si="33"/>
        <v>176</v>
      </c>
      <c r="Q182" s="18">
        <f t="shared" si="33"/>
        <v>222</v>
      </c>
      <c r="R182" s="18">
        <f t="shared" si="33"/>
        <v>186</v>
      </c>
      <c r="S182" s="18">
        <f t="shared" si="33"/>
        <v>214</v>
      </c>
      <c r="T182" s="18">
        <f t="shared" si="33"/>
        <v>182</v>
      </c>
      <c r="U182" s="18">
        <f t="shared" si="33"/>
        <v>186</v>
      </c>
      <c r="V182" s="18">
        <f t="shared" si="33"/>
        <v>219</v>
      </c>
      <c r="W182" s="18">
        <f t="shared" si="33"/>
        <v>206</v>
      </c>
      <c r="X182" s="18">
        <f t="shared" si="33"/>
        <v>226</v>
      </c>
      <c r="Y182" s="18">
        <f t="shared" si="33"/>
        <v>203</v>
      </c>
      <c r="Z182" s="18">
        <f t="shared" si="33"/>
        <v>200</v>
      </c>
      <c r="AA182" s="18">
        <f t="shared" si="33"/>
        <v>201</v>
      </c>
      <c r="AB182" s="18">
        <f t="shared" si="33"/>
        <v>209</v>
      </c>
      <c r="AC182" s="18">
        <f t="shared" si="33"/>
        <v>212</v>
      </c>
      <c r="AD182" s="18">
        <f t="shared" si="33"/>
        <v>214</v>
      </c>
      <c r="AE182" s="18">
        <f t="shared" si="33"/>
        <v>189</v>
      </c>
      <c r="AF182" s="18">
        <f t="shared" si="33"/>
        <v>229</v>
      </c>
      <c r="AG182" s="18">
        <f t="shared" si="33"/>
        <v>204</v>
      </c>
      <c r="AH182" s="18">
        <f t="shared" si="33"/>
        <v>211</v>
      </c>
      <c r="AI182" s="18">
        <f t="shared" si="33"/>
        <v>221</v>
      </c>
      <c r="AJ182" s="18">
        <f t="shared" si="33"/>
        <v>233</v>
      </c>
      <c r="AK182" s="18">
        <f t="shared" si="33"/>
        <v>198</v>
      </c>
      <c r="AL182" s="18">
        <f t="shared" si="33"/>
        <v>181</v>
      </c>
      <c r="AM182" s="18">
        <f t="shared" si="33"/>
        <v>213</v>
      </c>
      <c r="AN182" s="18">
        <f t="shared" si="33"/>
        <v>204</v>
      </c>
      <c r="AO182" s="18">
        <f t="shared" si="33"/>
        <v>208</v>
      </c>
      <c r="AP182" s="13">
        <f t="shared" si="13"/>
        <v>7563</v>
      </c>
      <c r="AQ182" s="5"/>
      <c r="AR182" s="5"/>
    </row>
    <row r="183" spans="1:44" ht="12.75" customHeight="1" x14ac:dyDescent="0.3"/>
    <row r="184" spans="1:44" ht="12.75" customHeight="1" x14ac:dyDescent="0.3"/>
    <row r="185" spans="1:44" ht="12.75" customHeight="1" x14ac:dyDescent="0.3"/>
    <row r="186" spans="1:44" ht="12.75" customHeight="1" x14ac:dyDescent="0.3"/>
    <row r="187" spans="1:44" ht="12.75" customHeight="1" x14ac:dyDescent="0.3"/>
    <row r="188" spans="1:44" ht="12.75" customHeight="1" x14ac:dyDescent="0.3"/>
    <row r="189" spans="1:44" ht="12.75" customHeight="1" x14ac:dyDescent="0.3"/>
    <row r="190" spans="1:44" ht="12.75" customHeight="1" x14ac:dyDescent="0.3"/>
    <row r="191" spans="1:44" ht="12.75" customHeight="1" x14ac:dyDescent="0.3"/>
    <row r="192" spans="1:44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70">
    <mergeCell ref="B108:D108"/>
    <mergeCell ref="C110:D110"/>
    <mergeCell ref="B115:D115"/>
    <mergeCell ref="C117:D117"/>
    <mergeCell ref="B124:D124"/>
    <mergeCell ref="C126:D126"/>
    <mergeCell ref="B128:D128"/>
    <mergeCell ref="C130:D130"/>
    <mergeCell ref="B135:D135"/>
    <mergeCell ref="C137:D137"/>
    <mergeCell ref="B144:D144"/>
    <mergeCell ref="C146:D146"/>
    <mergeCell ref="B153:D153"/>
    <mergeCell ref="C155:D155"/>
    <mergeCell ref="A178:D178"/>
    <mergeCell ref="B179:D179"/>
    <mergeCell ref="C180:D180"/>
    <mergeCell ref="C181:D181"/>
    <mergeCell ref="C182:D182"/>
    <mergeCell ref="B157:D157"/>
    <mergeCell ref="C159:D159"/>
    <mergeCell ref="B163:D163"/>
    <mergeCell ref="C165:D165"/>
    <mergeCell ref="B172:D172"/>
    <mergeCell ref="C174:D174"/>
    <mergeCell ref="B177:D177"/>
    <mergeCell ref="B12:D12"/>
    <mergeCell ref="E12:AO12"/>
    <mergeCell ref="AP12:A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C101:D101"/>
    <mergeCell ref="B88:D88"/>
    <mergeCell ref="C90:D90"/>
    <mergeCell ref="B94:D94"/>
    <mergeCell ref="C96:D96"/>
    <mergeCell ref="B99:D99"/>
  </mergeCells>
  <conditionalFormatting sqref="E34:T34 AB34:AH34">
    <cfRule type="expression" dxfId="35" priority="2">
      <formula>E34&lt;&gt;E64</formula>
    </cfRule>
  </conditionalFormatting>
  <conditionalFormatting sqref="E14:AO15">
    <cfRule type="containsBlanks" dxfId="34" priority="3">
      <formula>LEN(TRIM(E14))=0</formula>
    </cfRule>
  </conditionalFormatting>
  <conditionalFormatting sqref="E19:AO20">
    <cfRule type="containsBlanks" dxfId="33" priority="4">
      <formula>LEN(TRIM(E19))=0</formula>
    </cfRule>
  </conditionalFormatting>
  <conditionalFormatting sqref="E22:AO23 E25:AO26 E33:AO33 E35:AO35 E39:AO40">
    <cfRule type="containsBlanks" dxfId="32" priority="5">
      <formula>LEN(TRIM(E22))=0</formula>
    </cfRule>
  </conditionalFormatting>
  <conditionalFormatting sqref="E30:AO30">
    <cfRule type="expression" dxfId="31" priority="6">
      <formula>E30&lt;&gt;E47</formula>
    </cfRule>
    <cfRule type="expression" dxfId="30" priority="7">
      <formula>E30&lt;&gt;E34</formula>
    </cfRule>
  </conditionalFormatting>
  <conditionalFormatting sqref="E34:AO34">
    <cfRule type="expression" dxfId="29" priority="8">
      <formula>E30&lt;&gt;E34</formula>
    </cfRule>
    <cfRule type="expression" dxfId="28" priority="9">
      <formula>E30=E34</formula>
    </cfRule>
    <cfRule type="expression" dxfId="27" priority="10">
      <formula>E34&lt;&gt;E30</formula>
    </cfRule>
  </conditionalFormatting>
  <conditionalFormatting sqref="E45:AO51">
    <cfRule type="containsBlanks" dxfId="26" priority="13">
      <formula>LEN(TRIM(E45))=0</formula>
    </cfRule>
  </conditionalFormatting>
  <conditionalFormatting sqref="E54:AO60">
    <cfRule type="containsBlanks" dxfId="25" priority="14">
      <formula>LEN(TRIM(E54))=0</formula>
    </cfRule>
  </conditionalFormatting>
  <conditionalFormatting sqref="E63:AO69">
    <cfRule type="containsBlanks" dxfId="24" priority="15">
      <formula>LEN(TRIM(E63))=0</formula>
    </cfRule>
  </conditionalFormatting>
  <conditionalFormatting sqref="E72:AO78">
    <cfRule type="containsBlanks" dxfId="23" priority="16">
      <formula>LEN(TRIM(E72))=0</formula>
    </cfRule>
  </conditionalFormatting>
  <conditionalFormatting sqref="E81:AO87">
    <cfRule type="containsBlanks" dxfId="22" priority="17">
      <formula>LEN(TRIM(E81))=0</formula>
    </cfRule>
  </conditionalFormatting>
  <conditionalFormatting sqref="E90:AO93">
    <cfRule type="containsBlanks" dxfId="21" priority="18">
      <formula>LEN(TRIM(E90))=0</formula>
    </cfRule>
  </conditionalFormatting>
  <conditionalFormatting sqref="E96:AO98">
    <cfRule type="containsBlanks" dxfId="20" priority="19">
      <formula>LEN(TRIM(E96))=0</formula>
    </cfRule>
  </conditionalFormatting>
  <conditionalFormatting sqref="E101:AO107">
    <cfRule type="containsBlanks" dxfId="19" priority="20">
      <formula>LEN(TRIM(E101))=0</formula>
    </cfRule>
  </conditionalFormatting>
  <conditionalFormatting sqref="E110:AO114">
    <cfRule type="containsBlanks" dxfId="18" priority="21">
      <formula>LEN(TRIM(E110))=0</formula>
    </cfRule>
  </conditionalFormatting>
  <conditionalFormatting sqref="E117:AO123">
    <cfRule type="containsBlanks" dxfId="17" priority="22">
      <formula>LEN(TRIM(E117))=0</formula>
    </cfRule>
  </conditionalFormatting>
  <conditionalFormatting sqref="E126:AO127">
    <cfRule type="containsBlanks" dxfId="16" priority="23">
      <formula>LEN(TRIM(E126))=0</formula>
    </cfRule>
  </conditionalFormatting>
  <conditionalFormatting sqref="E130:AO134">
    <cfRule type="containsBlanks" dxfId="15" priority="24">
      <formula>LEN(TRIM(E130))=0</formula>
    </cfRule>
  </conditionalFormatting>
  <conditionalFormatting sqref="E137:AO143">
    <cfRule type="containsBlanks" dxfId="14" priority="25">
      <formula>LEN(TRIM(E137))=0</formula>
    </cfRule>
  </conditionalFormatting>
  <conditionalFormatting sqref="E146:AO152">
    <cfRule type="containsBlanks" dxfId="13" priority="26">
      <formula>LEN(TRIM(E146))=0</formula>
    </cfRule>
  </conditionalFormatting>
  <conditionalFormatting sqref="E155:AO156">
    <cfRule type="containsBlanks" dxfId="12" priority="27">
      <formula>LEN(TRIM(E155))=0</formula>
    </cfRule>
  </conditionalFormatting>
  <conditionalFormatting sqref="E159:AO162">
    <cfRule type="containsBlanks" dxfId="11" priority="28">
      <formula>LEN(TRIM(E159))=0</formula>
    </cfRule>
  </conditionalFormatting>
  <conditionalFormatting sqref="E165:AO172">
    <cfRule type="containsBlanks" dxfId="10" priority="29">
      <formula>LEN(TRIM(E165))=0</formula>
    </cfRule>
  </conditionalFormatting>
  <conditionalFormatting sqref="E174:AO176">
    <cfRule type="containsBlanks" dxfId="9" priority="30">
      <formula>LEN(TRIM(E174))=0</formula>
    </cfRule>
  </conditionalFormatting>
  <conditionalFormatting sqref="E181:AO181">
    <cfRule type="containsBlanks" dxfId="8" priority="31">
      <formula>LEN(TRIM(E181))=0</formula>
    </cfRule>
  </conditionalFormatting>
  <conditionalFormatting sqref="E182:AO182">
    <cfRule type="expression" dxfId="7" priority="32">
      <formula>E182&lt;&gt;E30</formula>
    </cfRule>
    <cfRule type="expression" dxfId="6" priority="33">
      <formula>E182&lt;&gt;E34</formula>
    </cfRule>
  </conditionalFormatting>
  <conditionalFormatting sqref="U34:AA34">
    <cfRule type="expression" dxfId="5" priority="11">
      <formula>U34&lt;&gt;U47</formula>
    </cfRule>
  </conditionalFormatting>
  <conditionalFormatting sqref="AI34:AO34">
    <cfRule type="expression" dxfId="4" priority="12">
      <formula>AI34&lt;&gt;AI47</formula>
    </cfRule>
  </conditionalFormatting>
  <conditionalFormatting sqref="E180:AP180">
    <cfRule type="containsBlanks" dxfId="2" priority="1">
      <formula>LEN(TRIM(E180))=0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DPRD KAB</vt:lpstr>
      <vt:lpstr>GAMBIRAN</vt:lpstr>
      <vt:lpstr>JAJAG</vt:lpstr>
      <vt:lpstr>PURWODADI</vt:lpstr>
      <vt:lpstr>WRINGINAGUNG</vt:lpstr>
      <vt:lpstr>WRINGINREJO</vt:lpstr>
      <vt:lpstr>YOSOMULYO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Eko Budi Hartanto</cp:lastModifiedBy>
  <dcterms:created xsi:type="dcterms:W3CDTF">2026-01-14T02:26:01Z</dcterms:created>
  <dcterms:modified xsi:type="dcterms:W3CDTF">2026-02-02T04:19:49Z</dcterms:modified>
</cp:coreProperties>
</file>