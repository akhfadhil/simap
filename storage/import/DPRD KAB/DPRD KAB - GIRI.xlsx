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\EXCEL PEMILU 2024\GIRI\"/>
    </mc:Choice>
  </mc:AlternateContent>
  <xr:revisionPtr revIDLastSave="0" documentId="13_ncr:1_{DC7AA91A-C146-41FD-8B59-0A156A9270F9}" xr6:coauthVersionLast="47" xr6:coauthVersionMax="47" xr10:uidLastSave="{00000000-0000-0000-0000-000000000000}"/>
  <bookViews>
    <workbookView xWindow="0" yWindow="6435" windowWidth="21600" windowHeight="6172" tabRatio="810" activeTab="3" xr2:uid="{F263E089-6C93-4E6F-AA5B-BD89F8333161}"/>
  </bookViews>
  <sheets>
    <sheet name="DPRD KABUPATEN" sheetId="1" r:id="rId1"/>
    <sheet name="BOYOLANGU" sheetId="9" r:id="rId2"/>
    <sheet name="GIRI" sheetId="10" r:id="rId3"/>
    <sheet name="GROGOL" sheetId="11" r:id="rId4"/>
    <sheet name="JAMBESARI" sheetId="15" r:id="rId5"/>
    <sheet name="MOJOPANGGUNG" sheetId="16" r:id="rId6"/>
    <sheet name="PENATABAN" sheetId="1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1" i="11" l="1"/>
  <c r="F181" i="11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V121" i="17" l="1"/>
  <c r="V120" i="17"/>
  <c r="V119" i="17"/>
  <c r="V118" i="17"/>
  <c r="V117" i="17"/>
  <c r="V116" i="17"/>
  <c r="V115" i="17"/>
  <c r="V121" i="16"/>
  <c r="V120" i="16"/>
  <c r="V119" i="16"/>
  <c r="V118" i="16"/>
  <c r="V117" i="16"/>
  <c r="V116" i="16"/>
  <c r="V115" i="16"/>
  <c r="O121" i="15"/>
  <c r="O120" i="15"/>
  <c r="O119" i="15"/>
  <c r="O118" i="15"/>
  <c r="O117" i="15"/>
  <c r="O116" i="15"/>
  <c r="O115" i="15"/>
  <c r="V121" i="11"/>
  <c r="V120" i="11"/>
  <c r="V119" i="11"/>
  <c r="V118" i="11"/>
  <c r="V117" i="11"/>
  <c r="V116" i="11"/>
  <c r="V115" i="11"/>
  <c r="V121" i="10"/>
  <c r="V120" i="10"/>
  <c r="V119" i="10"/>
  <c r="V118" i="10"/>
  <c r="V117" i="10"/>
  <c r="V116" i="10"/>
  <c r="V115" i="10"/>
  <c r="U121" i="9"/>
  <c r="U120" i="9"/>
  <c r="U119" i="9"/>
  <c r="U118" i="9"/>
  <c r="U117" i="9"/>
  <c r="U116" i="9"/>
  <c r="U115" i="9"/>
  <c r="E122" i="9"/>
  <c r="T113" i="9"/>
  <c r="U81" i="9"/>
  <c r="S176" i="17"/>
  <c r="S171" i="17"/>
  <c r="S162" i="17"/>
  <c r="S156" i="17"/>
  <c r="S151" i="17"/>
  <c r="S142" i="17"/>
  <c r="S134" i="17"/>
  <c r="S125" i="17"/>
  <c r="S122" i="17"/>
  <c r="S113" i="17"/>
  <c r="S107" i="17"/>
  <c r="S98" i="17"/>
  <c r="S91" i="17"/>
  <c r="S79" i="17"/>
  <c r="S70" i="17"/>
  <c r="S52" i="17"/>
  <c r="S41" i="17"/>
  <c r="S36" i="17"/>
  <c r="S29" i="17"/>
  <c r="S28" i="17"/>
  <c r="S27" i="17"/>
  <c r="S24" i="17"/>
  <c r="S21" i="17"/>
  <c r="S16" i="17"/>
  <c r="Q176" i="16"/>
  <c r="P176" i="16"/>
  <c r="O176" i="16"/>
  <c r="Q171" i="16"/>
  <c r="P171" i="16"/>
  <c r="O171" i="16"/>
  <c r="Q162" i="16"/>
  <c r="P162" i="16"/>
  <c r="O162" i="16"/>
  <c r="Q156" i="16"/>
  <c r="P156" i="16"/>
  <c r="O156" i="16"/>
  <c r="Q151" i="16"/>
  <c r="P151" i="16"/>
  <c r="O151" i="16"/>
  <c r="Q142" i="16"/>
  <c r="P142" i="16"/>
  <c r="O142" i="16"/>
  <c r="Q134" i="16"/>
  <c r="P134" i="16"/>
  <c r="O134" i="16"/>
  <c r="Q125" i="16"/>
  <c r="P125" i="16"/>
  <c r="O125" i="16"/>
  <c r="Q122" i="16"/>
  <c r="P122" i="16"/>
  <c r="O122" i="16"/>
  <c r="Q113" i="16"/>
  <c r="P113" i="16"/>
  <c r="O113" i="16"/>
  <c r="Q107" i="16"/>
  <c r="P107" i="16"/>
  <c r="O107" i="16"/>
  <c r="Q98" i="16"/>
  <c r="P98" i="16"/>
  <c r="O98" i="16"/>
  <c r="Q91" i="16"/>
  <c r="P91" i="16"/>
  <c r="O91" i="16"/>
  <c r="Q88" i="16"/>
  <c r="P88" i="16"/>
  <c r="O88" i="16"/>
  <c r="Q79" i="16"/>
  <c r="P79" i="16"/>
  <c r="O79" i="16"/>
  <c r="Q70" i="16"/>
  <c r="P70" i="16"/>
  <c r="O70" i="16"/>
  <c r="Q61" i="16"/>
  <c r="P61" i="16"/>
  <c r="O61" i="16"/>
  <c r="Q52" i="16"/>
  <c r="P52" i="16"/>
  <c r="O52" i="16"/>
  <c r="Q41" i="16"/>
  <c r="P41" i="16"/>
  <c r="O41" i="16"/>
  <c r="Q36" i="16"/>
  <c r="P36" i="16"/>
  <c r="O36" i="16"/>
  <c r="Q29" i="16"/>
  <c r="P29" i="16"/>
  <c r="O29" i="16"/>
  <c r="Q28" i="16"/>
  <c r="P28" i="16"/>
  <c r="O28" i="16"/>
  <c r="Q27" i="16"/>
  <c r="P27" i="16"/>
  <c r="O27" i="16"/>
  <c r="Q24" i="16"/>
  <c r="P24" i="16"/>
  <c r="O24" i="16"/>
  <c r="Q21" i="16"/>
  <c r="P21" i="16"/>
  <c r="O21" i="16"/>
  <c r="Q16" i="16"/>
  <c r="P16" i="16"/>
  <c r="O16" i="16"/>
  <c r="L176" i="15"/>
  <c r="L171" i="15"/>
  <c r="L162" i="15"/>
  <c r="L156" i="15"/>
  <c r="L151" i="15"/>
  <c r="L142" i="15"/>
  <c r="L134" i="15"/>
  <c r="L125" i="15"/>
  <c r="L122" i="15"/>
  <c r="L113" i="15"/>
  <c r="L107" i="15"/>
  <c r="L98" i="15"/>
  <c r="L91" i="15"/>
  <c r="L88" i="15"/>
  <c r="L79" i="15"/>
  <c r="L70" i="15"/>
  <c r="L61" i="15"/>
  <c r="L52" i="15"/>
  <c r="L41" i="15"/>
  <c r="L36" i="15"/>
  <c r="L29" i="15"/>
  <c r="L28" i="15"/>
  <c r="L27" i="15"/>
  <c r="L24" i="15"/>
  <c r="L21" i="15"/>
  <c r="L16" i="15"/>
  <c r="R176" i="11"/>
  <c r="Q176" i="11"/>
  <c r="R171" i="11"/>
  <c r="Q171" i="11"/>
  <c r="R162" i="11"/>
  <c r="Q162" i="11"/>
  <c r="R156" i="11"/>
  <c r="Q156" i="11"/>
  <c r="R151" i="11"/>
  <c r="Q151" i="11"/>
  <c r="R142" i="11"/>
  <c r="Q142" i="11"/>
  <c r="R134" i="11"/>
  <c r="Q134" i="11"/>
  <c r="R125" i="11"/>
  <c r="Q125" i="11"/>
  <c r="R122" i="11"/>
  <c r="Q122" i="11"/>
  <c r="R113" i="11"/>
  <c r="Q113" i="11"/>
  <c r="R107" i="11"/>
  <c r="Q107" i="11"/>
  <c r="R98" i="11"/>
  <c r="Q98" i="11"/>
  <c r="R91" i="11"/>
  <c r="Q91" i="11"/>
  <c r="R88" i="11"/>
  <c r="Q88" i="11"/>
  <c r="R79" i="11"/>
  <c r="Q79" i="11"/>
  <c r="R70" i="11"/>
  <c r="Q70" i="11"/>
  <c r="R61" i="11"/>
  <c r="Q61" i="11"/>
  <c r="R52" i="11"/>
  <c r="Q52" i="11"/>
  <c r="R41" i="11"/>
  <c r="Q41" i="11"/>
  <c r="R36" i="11"/>
  <c r="Q36" i="11"/>
  <c r="R29" i="11"/>
  <c r="Q29" i="11"/>
  <c r="R28" i="11"/>
  <c r="Q28" i="11"/>
  <c r="R27" i="11"/>
  <c r="Q27" i="11"/>
  <c r="R24" i="11"/>
  <c r="Q24" i="11"/>
  <c r="R21" i="11"/>
  <c r="Q21" i="11"/>
  <c r="R16" i="11"/>
  <c r="Q16" i="11"/>
  <c r="Q176" i="10"/>
  <c r="P176" i="10"/>
  <c r="O176" i="10"/>
  <c r="Q171" i="10"/>
  <c r="P171" i="10"/>
  <c r="O171" i="10"/>
  <c r="Q162" i="10"/>
  <c r="P162" i="10"/>
  <c r="O162" i="10"/>
  <c r="Q156" i="10"/>
  <c r="P156" i="10"/>
  <c r="O156" i="10"/>
  <c r="Q151" i="10"/>
  <c r="P151" i="10"/>
  <c r="O151" i="10"/>
  <c r="Q142" i="10"/>
  <c r="P142" i="10"/>
  <c r="O142" i="10"/>
  <c r="Q134" i="10"/>
  <c r="P134" i="10"/>
  <c r="O134" i="10"/>
  <c r="Q125" i="10"/>
  <c r="P125" i="10"/>
  <c r="O125" i="10"/>
  <c r="Q122" i="10"/>
  <c r="P122" i="10"/>
  <c r="O122" i="10"/>
  <c r="Q113" i="10"/>
  <c r="P113" i="10"/>
  <c r="O113" i="10"/>
  <c r="Q107" i="10"/>
  <c r="P107" i="10"/>
  <c r="O107" i="10"/>
  <c r="Q98" i="10"/>
  <c r="P98" i="10"/>
  <c r="O98" i="10"/>
  <c r="Q91" i="10"/>
  <c r="P91" i="10"/>
  <c r="O91" i="10"/>
  <c r="Q88" i="10"/>
  <c r="P88" i="10"/>
  <c r="O88" i="10"/>
  <c r="Q79" i="10"/>
  <c r="P79" i="10"/>
  <c r="O79" i="10"/>
  <c r="Q70" i="10"/>
  <c r="P70" i="10"/>
  <c r="O70" i="10"/>
  <c r="Q61" i="10"/>
  <c r="P61" i="10"/>
  <c r="O61" i="10"/>
  <c r="Q52" i="10"/>
  <c r="P52" i="10"/>
  <c r="O52" i="10"/>
  <c r="Q41" i="10"/>
  <c r="P41" i="10"/>
  <c r="O41" i="10"/>
  <c r="Q36" i="10"/>
  <c r="P36" i="10"/>
  <c r="O36" i="10"/>
  <c r="Q29" i="10"/>
  <c r="P29" i="10"/>
  <c r="O29" i="10"/>
  <c r="Q28" i="10"/>
  <c r="P28" i="10"/>
  <c r="O28" i="10"/>
  <c r="Q27" i="10"/>
  <c r="P27" i="10"/>
  <c r="O27" i="10"/>
  <c r="Q24" i="10"/>
  <c r="P24" i="10"/>
  <c r="O24" i="10"/>
  <c r="Q21" i="10"/>
  <c r="P21" i="10"/>
  <c r="O21" i="10"/>
  <c r="Q16" i="10"/>
  <c r="P16" i="10"/>
  <c r="O16" i="10"/>
  <c r="T16" i="9"/>
  <c r="T21" i="9"/>
  <c r="T24" i="9"/>
  <c r="T27" i="9"/>
  <c r="T28" i="9"/>
  <c r="T29" i="9"/>
  <c r="T36" i="9"/>
  <c r="T41" i="9"/>
  <c r="T52" i="9"/>
  <c r="T61" i="9"/>
  <c r="T70" i="9"/>
  <c r="T79" i="9"/>
  <c r="T88" i="9"/>
  <c r="T91" i="9"/>
  <c r="T98" i="9"/>
  <c r="T107" i="9"/>
  <c r="T122" i="9"/>
  <c r="T125" i="9"/>
  <c r="T134" i="9"/>
  <c r="T142" i="9"/>
  <c r="T151" i="9"/>
  <c r="T156" i="9"/>
  <c r="T162" i="9"/>
  <c r="T171" i="9"/>
  <c r="T176" i="9"/>
  <c r="P176" i="17"/>
  <c r="O176" i="17"/>
  <c r="N176" i="17"/>
  <c r="P171" i="17"/>
  <c r="O171" i="17"/>
  <c r="N171" i="17"/>
  <c r="P162" i="17"/>
  <c r="O162" i="17"/>
  <c r="N162" i="17"/>
  <c r="P156" i="17"/>
  <c r="O156" i="17"/>
  <c r="N156" i="17"/>
  <c r="P151" i="17"/>
  <c r="O151" i="17"/>
  <c r="N151" i="17"/>
  <c r="P142" i="17"/>
  <c r="O142" i="17"/>
  <c r="N142" i="17"/>
  <c r="P134" i="17"/>
  <c r="O134" i="17"/>
  <c r="N134" i="17"/>
  <c r="P125" i="17"/>
  <c r="O125" i="17"/>
  <c r="N125" i="17"/>
  <c r="P122" i="17"/>
  <c r="O122" i="17"/>
  <c r="N122" i="17"/>
  <c r="P113" i="17"/>
  <c r="O113" i="17"/>
  <c r="N113" i="17"/>
  <c r="P107" i="17"/>
  <c r="O107" i="17"/>
  <c r="N107" i="17"/>
  <c r="P98" i="17"/>
  <c r="O98" i="17"/>
  <c r="N98" i="17"/>
  <c r="P91" i="17"/>
  <c r="O91" i="17"/>
  <c r="N91" i="17"/>
  <c r="P79" i="17"/>
  <c r="O79" i="17"/>
  <c r="N79" i="17"/>
  <c r="P70" i="17"/>
  <c r="O70" i="17"/>
  <c r="N70" i="17"/>
  <c r="P52" i="17"/>
  <c r="O52" i="17"/>
  <c r="N52" i="17"/>
  <c r="P41" i="17"/>
  <c r="O41" i="17"/>
  <c r="N41" i="17"/>
  <c r="P36" i="17"/>
  <c r="O36" i="17"/>
  <c r="N36" i="17"/>
  <c r="P29" i="17"/>
  <c r="O29" i="17"/>
  <c r="N29" i="17"/>
  <c r="P28" i="17"/>
  <c r="O28" i="17"/>
  <c r="N28" i="17"/>
  <c r="P27" i="17"/>
  <c r="O27" i="17"/>
  <c r="N27" i="17"/>
  <c r="P24" i="17"/>
  <c r="O24" i="17"/>
  <c r="N24" i="17"/>
  <c r="P21" i="17"/>
  <c r="O21" i="17"/>
  <c r="N21" i="17"/>
  <c r="P16" i="17"/>
  <c r="O16" i="17"/>
  <c r="N16" i="17"/>
  <c r="L30" i="15" l="1"/>
  <c r="S30" i="17"/>
  <c r="T30" i="9"/>
  <c r="Q179" i="11"/>
  <c r="Q181" i="11" s="1"/>
  <c r="R179" i="11"/>
  <c r="R181" i="11" s="1"/>
  <c r="S179" i="17"/>
  <c r="S181" i="17" s="1"/>
  <c r="O30" i="10"/>
  <c r="P30" i="10"/>
  <c r="O30" i="16"/>
  <c r="P30" i="16"/>
  <c r="Q30" i="16"/>
  <c r="Q30" i="10"/>
  <c r="N30" i="17"/>
  <c r="Q179" i="10"/>
  <c r="Q181" i="10" s="1"/>
  <c r="P179" i="10"/>
  <c r="P181" i="10" s="1"/>
  <c r="O179" i="16"/>
  <c r="O181" i="16" s="1"/>
  <c r="P179" i="16"/>
  <c r="P181" i="16" s="1"/>
  <c r="L179" i="15"/>
  <c r="L181" i="15" s="1"/>
  <c r="Q179" i="16"/>
  <c r="Q181" i="16" s="1"/>
  <c r="Q30" i="11"/>
  <c r="R30" i="11"/>
  <c r="O179" i="10"/>
  <c r="O181" i="10" s="1"/>
  <c r="E115" i="1"/>
  <c r="E116" i="1"/>
  <c r="E117" i="1"/>
  <c r="E118" i="1"/>
  <c r="E120" i="1"/>
  <c r="E121" i="1"/>
  <c r="O30" i="17"/>
  <c r="P30" i="17"/>
  <c r="N179" i="17"/>
  <c r="N181" i="17" s="1"/>
  <c r="O179" i="17"/>
  <c r="O181" i="17" s="1"/>
  <c r="P179" i="17"/>
  <c r="P181" i="17" s="1"/>
  <c r="T179" i="9"/>
  <c r="T181" i="9" s="1"/>
  <c r="S176" i="9"/>
  <c r="R176" i="9"/>
  <c r="Q176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U176" i="10"/>
  <c r="T176" i="10"/>
  <c r="S176" i="10"/>
  <c r="R176" i="10"/>
  <c r="N176" i="10"/>
  <c r="M176" i="10"/>
  <c r="L176" i="10"/>
  <c r="K176" i="10"/>
  <c r="J176" i="10"/>
  <c r="I176" i="10"/>
  <c r="H176" i="10"/>
  <c r="G176" i="10"/>
  <c r="F176" i="10"/>
  <c r="E176" i="10"/>
  <c r="U176" i="11"/>
  <c r="T176" i="11"/>
  <c r="S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N176" i="15"/>
  <c r="M176" i="15"/>
  <c r="K176" i="15"/>
  <c r="J176" i="15"/>
  <c r="I176" i="15"/>
  <c r="H176" i="15"/>
  <c r="G176" i="15"/>
  <c r="F176" i="15"/>
  <c r="E176" i="15"/>
  <c r="U176" i="16"/>
  <c r="T176" i="16"/>
  <c r="S176" i="16"/>
  <c r="R176" i="16"/>
  <c r="N176" i="16"/>
  <c r="M176" i="16"/>
  <c r="L176" i="16"/>
  <c r="K176" i="16"/>
  <c r="J176" i="16"/>
  <c r="I176" i="16"/>
  <c r="H176" i="16"/>
  <c r="G176" i="16"/>
  <c r="F176" i="16"/>
  <c r="E176" i="16"/>
  <c r="U176" i="17"/>
  <c r="T176" i="17"/>
  <c r="R176" i="17"/>
  <c r="Q176" i="17"/>
  <c r="M176" i="17"/>
  <c r="L176" i="17"/>
  <c r="K176" i="17"/>
  <c r="J176" i="17"/>
  <c r="I176" i="17"/>
  <c r="H176" i="17"/>
  <c r="G176" i="17"/>
  <c r="F176" i="17"/>
  <c r="E176" i="17"/>
  <c r="S171" i="9"/>
  <c r="R171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U171" i="10"/>
  <c r="T171" i="10"/>
  <c r="S171" i="10"/>
  <c r="R171" i="10"/>
  <c r="N171" i="10"/>
  <c r="M171" i="10"/>
  <c r="L171" i="10"/>
  <c r="K171" i="10"/>
  <c r="J171" i="10"/>
  <c r="I171" i="10"/>
  <c r="H171" i="10"/>
  <c r="G171" i="10"/>
  <c r="F171" i="10"/>
  <c r="E171" i="10"/>
  <c r="U171" i="11"/>
  <c r="T171" i="11"/>
  <c r="S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N171" i="15"/>
  <c r="M171" i="15"/>
  <c r="K171" i="15"/>
  <c r="J171" i="15"/>
  <c r="I171" i="15"/>
  <c r="H171" i="15"/>
  <c r="G171" i="15"/>
  <c r="F171" i="15"/>
  <c r="E171" i="15"/>
  <c r="U171" i="16"/>
  <c r="T171" i="16"/>
  <c r="S171" i="16"/>
  <c r="R171" i="16"/>
  <c r="N171" i="16"/>
  <c r="M171" i="16"/>
  <c r="L171" i="16"/>
  <c r="K171" i="16"/>
  <c r="J171" i="16"/>
  <c r="I171" i="16"/>
  <c r="H171" i="16"/>
  <c r="G171" i="16"/>
  <c r="F171" i="16"/>
  <c r="E171" i="16"/>
  <c r="U171" i="17"/>
  <c r="T171" i="17"/>
  <c r="R171" i="17"/>
  <c r="Q171" i="17"/>
  <c r="M171" i="17"/>
  <c r="L171" i="17"/>
  <c r="K171" i="17"/>
  <c r="J171" i="17"/>
  <c r="I171" i="17"/>
  <c r="H171" i="17"/>
  <c r="G171" i="17"/>
  <c r="F171" i="17"/>
  <c r="E171" i="17"/>
  <c r="S162" i="9"/>
  <c r="R162" i="9"/>
  <c r="Q162" i="9"/>
  <c r="P162" i="9"/>
  <c r="O162" i="9"/>
  <c r="N162" i="9"/>
  <c r="M162" i="9"/>
  <c r="L162" i="9"/>
  <c r="K162" i="9"/>
  <c r="J162" i="9"/>
  <c r="I162" i="9"/>
  <c r="H162" i="9"/>
  <c r="G162" i="9"/>
  <c r="F162" i="9"/>
  <c r="E162" i="9"/>
  <c r="U162" i="10"/>
  <c r="T162" i="10"/>
  <c r="S162" i="10"/>
  <c r="R162" i="10"/>
  <c r="N162" i="10"/>
  <c r="M162" i="10"/>
  <c r="L162" i="10"/>
  <c r="K162" i="10"/>
  <c r="J162" i="10"/>
  <c r="I162" i="10"/>
  <c r="H162" i="10"/>
  <c r="G162" i="10"/>
  <c r="F162" i="10"/>
  <c r="E162" i="10"/>
  <c r="U162" i="11"/>
  <c r="T162" i="11"/>
  <c r="S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N162" i="15"/>
  <c r="M162" i="15"/>
  <c r="K162" i="15"/>
  <c r="J162" i="15"/>
  <c r="I162" i="15"/>
  <c r="H162" i="15"/>
  <c r="G162" i="15"/>
  <c r="F162" i="15"/>
  <c r="E162" i="15"/>
  <c r="U162" i="16"/>
  <c r="T162" i="16"/>
  <c r="S162" i="16"/>
  <c r="R162" i="16"/>
  <c r="N162" i="16"/>
  <c r="M162" i="16"/>
  <c r="L162" i="16"/>
  <c r="K162" i="16"/>
  <c r="J162" i="16"/>
  <c r="I162" i="16"/>
  <c r="H162" i="16"/>
  <c r="G162" i="16"/>
  <c r="F162" i="16"/>
  <c r="E162" i="16"/>
  <c r="U162" i="17"/>
  <c r="T162" i="17"/>
  <c r="R162" i="17"/>
  <c r="Q162" i="17"/>
  <c r="M162" i="17"/>
  <c r="L162" i="17"/>
  <c r="K162" i="17"/>
  <c r="J162" i="17"/>
  <c r="I162" i="17"/>
  <c r="H162" i="17"/>
  <c r="G162" i="17"/>
  <c r="F162" i="17"/>
  <c r="E162" i="17"/>
  <c r="S156" i="9"/>
  <c r="R156" i="9"/>
  <c r="Q156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U156" i="10"/>
  <c r="T156" i="10"/>
  <c r="S156" i="10"/>
  <c r="R156" i="10"/>
  <c r="N156" i="10"/>
  <c r="M156" i="10"/>
  <c r="L156" i="10"/>
  <c r="K156" i="10"/>
  <c r="J156" i="10"/>
  <c r="I156" i="10"/>
  <c r="H156" i="10"/>
  <c r="G156" i="10"/>
  <c r="F156" i="10"/>
  <c r="E156" i="10"/>
  <c r="U156" i="11"/>
  <c r="T156" i="11"/>
  <c r="S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N156" i="15"/>
  <c r="M156" i="15"/>
  <c r="K156" i="15"/>
  <c r="J156" i="15"/>
  <c r="I156" i="15"/>
  <c r="H156" i="15"/>
  <c r="G156" i="15"/>
  <c r="F156" i="15"/>
  <c r="E156" i="15"/>
  <c r="U156" i="16"/>
  <c r="T156" i="16"/>
  <c r="S156" i="16"/>
  <c r="R156" i="16"/>
  <c r="N156" i="16"/>
  <c r="M156" i="16"/>
  <c r="L156" i="16"/>
  <c r="K156" i="16"/>
  <c r="J156" i="16"/>
  <c r="I156" i="16"/>
  <c r="H156" i="16"/>
  <c r="G156" i="16"/>
  <c r="F156" i="16"/>
  <c r="E156" i="16"/>
  <c r="U156" i="17"/>
  <c r="T156" i="17"/>
  <c r="R156" i="17"/>
  <c r="Q156" i="17"/>
  <c r="M156" i="17"/>
  <c r="L156" i="17"/>
  <c r="K156" i="17"/>
  <c r="J156" i="17"/>
  <c r="I156" i="17"/>
  <c r="H156" i="17"/>
  <c r="G156" i="17"/>
  <c r="F156" i="17"/>
  <c r="E156" i="17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U151" i="10"/>
  <c r="T151" i="10"/>
  <c r="S151" i="10"/>
  <c r="R151" i="10"/>
  <c r="N151" i="10"/>
  <c r="M151" i="10"/>
  <c r="L151" i="10"/>
  <c r="K151" i="10"/>
  <c r="J151" i="10"/>
  <c r="I151" i="10"/>
  <c r="H151" i="10"/>
  <c r="G151" i="10"/>
  <c r="F151" i="10"/>
  <c r="E151" i="10"/>
  <c r="U151" i="11"/>
  <c r="T151" i="11"/>
  <c r="S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N151" i="15"/>
  <c r="M151" i="15"/>
  <c r="K151" i="15"/>
  <c r="J151" i="15"/>
  <c r="I151" i="15"/>
  <c r="H151" i="15"/>
  <c r="G151" i="15"/>
  <c r="F151" i="15"/>
  <c r="E151" i="15"/>
  <c r="U151" i="16"/>
  <c r="T151" i="16"/>
  <c r="S151" i="16"/>
  <c r="R151" i="16"/>
  <c r="N151" i="16"/>
  <c r="M151" i="16"/>
  <c r="L151" i="16"/>
  <c r="K151" i="16"/>
  <c r="J151" i="16"/>
  <c r="I151" i="16"/>
  <c r="H151" i="16"/>
  <c r="G151" i="16"/>
  <c r="F151" i="16"/>
  <c r="E151" i="16"/>
  <c r="U151" i="17"/>
  <c r="T151" i="17"/>
  <c r="R151" i="17"/>
  <c r="Q151" i="17"/>
  <c r="M151" i="17"/>
  <c r="L151" i="17"/>
  <c r="K151" i="17"/>
  <c r="J151" i="17"/>
  <c r="I151" i="17"/>
  <c r="H151" i="17"/>
  <c r="G151" i="17"/>
  <c r="F151" i="17"/>
  <c r="E151" i="17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U142" i="10"/>
  <c r="T142" i="10"/>
  <c r="S142" i="10"/>
  <c r="R142" i="10"/>
  <c r="N142" i="10"/>
  <c r="M142" i="10"/>
  <c r="L142" i="10"/>
  <c r="K142" i="10"/>
  <c r="J142" i="10"/>
  <c r="I142" i="10"/>
  <c r="H142" i="10"/>
  <c r="G142" i="10"/>
  <c r="F142" i="10"/>
  <c r="E142" i="10"/>
  <c r="U142" i="11"/>
  <c r="T142" i="11"/>
  <c r="S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N142" i="15"/>
  <c r="M142" i="15"/>
  <c r="K142" i="15"/>
  <c r="J142" i="15"/>
  <c r="I142" i="15"/>
  <c r="H142" i="15"/>
  <c r="G142" i="15"/>
  <c r="F142" i="15"/>
  <c r="E142" i="15"/>
  <c r="U142" i="16"/>
  <c r="T142" i="16"/>
  <c r="S142" i="16"/>
  <c r="R142" i="16"/>
  <c r="N142" i="16"/>
  <c r="M142" i="16"/>
  <c r="L142" i="16"/>
  <c r="K142" i="16"/>
  <c r="J142" i="16"/>
  <c r="I142" i="16"/>
  <c r="H142" i="16"/>
  <c r="G142" i="16"/>
  <c r="F142" i="16"/>
  <c r="E142" i="16"/>
  <c r="U142" i="17"/>
  <c r="T142" i="17"/>
  <c r="R142" i="17"/>
  <c r="Q142" i="17"/>
  <c r="M142" i="17"/>
  <c r="L142" i="17"/>
  <c r="K142" i="17"/>
  <c r="J142" i="17"/>
  <c r="I142" i="17"/>
  <c r="H142" i="17"/>
  <c r="G142" i="17"/>
  <c r="F142" i="17"/>
  <c r="E142" i="17"/>
  <c r="S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U134" i="10"/>
  <c r="T134" i="10"/>
  <c r="S134" i="10"/>
  <c r="R134" i="10"/>
  <c r="N134" i="10"/>
  <c r="M134" i="10"/>
  <c r="L134" i="10"/>
  <c r="K134" i="10"/>
  <c r="J134" i="10"/>
  <c r="I134" i="10"/>
  <c r="H134" i="10"/>
  <c r="G134" i="10"/>
  <c r="F134" i="10"/>
  <c r="E134" i="10"/>
  <c r="U134" i="11"/>
  <c r="T134" i="11"/>
  <c r="S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N134" i="15"/>
  <c r="M134" i="15"/>
  <c r="K134" i="15"/>
  <c r="J134" i="15"/>
  <c r="I134" i="15"/>
  <c r="H134" i="15"/>
  <c r="G134" i="15"/>
  <c r="F134" i="15"/>
  <c r="E134" i="15"/>
  <c r="U134" i="16"/>
  <c r="T134" i="16"/>
  <c r="S134" i="16"/>
  <c r="R134" i="16"/>
  <c r="N134" i="16"/>
  <c r="M134" i="16"/>
  <c r="L134" i="16"/>
  <c r="K134" i="16"/>
  <c r="J134" i="16"/>
  <c r="I134" i="16"/>
  <c r="H134" i="16"/>
  <c r="G134" i="16"/>
  <c r="F134" i="16"/>
  <c r="E134" i="16"/>
  <c r="U134" i="17"/>
  <c r="T134" i="17"/>
  <c r="R134" i="17"/>
  <c r="Q134" i="17"/>
  <c r="M134" i="17"/>
  <c r="L134" i="17"/>
  <c r="K134" i="17"/>
  <c r="J134" i="17"/>
  <c r="I134" i="17"/>
  <c r="H134" i="17"/>
  <c r="G134" i="17"/>
  <c r="F134" i="17"/>
  <c r="E134" i="17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U125" i="10"/>
  <c r="T125" i="10"/>
  <c r="S125" i="10"/>
  <c r="R125" i="10"/>
  <c r="N125" i="10"/>
  <c r="M125" i="10"/>
  <c r="L125" i="10"/>
  <c r="K125" i="10"/>
  <c r="J125" i="10"/>
  <c r="I125" i="10"/>
  <c r="H125" i="10"/>
  <c r="G125" i="10"/>
  <c r="F125" i="10"/>
  <c r="E125" i="10"/>
  <c r="U125" i="11"/>
  <c r="T125" i="11"/>
  <c r="S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N125" i="15"/>
  <c r="M125" i="15"/>
  <c r="K125" i="15"/>
  <c r="J125" i="15"/>
  <c r="I125" i="15"/>
  <c r="H125" i="15"/>
  <c r="G125" i="15"/>
  <c r="F125" i="15"/>
  <c r="E125" i="15"/>
  <c r="U125" i="16"/>
  <c r="T125" i="16"/>
  <c r="S125" i="16"/>
  <c r="R125" i="16"/>
  <c r="N125" i="16"/>
  <c r="M125" i="16"/>
  <c r="L125" i="16"/>
  <c r="K125" i="16"/>
  <c r="J125" i="16"/>
  <c r="I125" i="16"/>
  <c r="H125" i="16"/>
  <c r="G125" i="16"/>
  <c r="F125" i="16"/>
  <c r="E125" i="16"/>
  <c r="U125" i="17"/>
  <c r="T125" i="17"/>
  <c r="R125" i="17"/>
  <c r="Q125" i="17"/>
  <c r="M125" i="17"/>
  <c r="L125" i="17"/>
  <c r="K125" i="17"/>
  <c r="J125" i="17"/>
  <c r="I125" i="17"/>
  <c r="H125" i="17"/>
  <c r="G125" i="17"/>
  <c r="F125" i="17"/>
  <c r="E125" i="17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U122" i="10"/>
  <c r="T122" i="10"/>
  <c r="S122" i="10"/>
  <c r="R122" i="10"/>
  <c r="N122" i="10"/>
  <c r="M122" i="10"/>
  <c r="L122" i="10"/>
  <c r="K122" i="10"/>
  <c r="J122" i="10"/>
  <c r="I122" i="10"/>
  <c r="H122" i="10"/>
  <c r="G122" i="10"/>
  <c r="F122" i="10"/>
  <c r="E122" i="10"/>
  <c r="U122" i="11"/>
  <c r="T122" i="11"/>
  <c r="S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N122" i="15"/>
  <c r="M122" i="15"/>
  <c r="K122" i="15"/>
  <c r="J122" i="15"/>
  <c r="I122" i="15"/>
  <c r="H122" i="15"/>
  <c r="G122" i="15"/>
  <c r="F122" i="15"/>
  <c r="E122" i="15"/>
  <c r="U122" i="16"/>
  <c r="T122" i="16"/>
  <c r="S122" i="16"/>
  <c r="R122" i="16"/>
  <c r="N122" i="16"/>
  <c r="M122" i="16"/>
  <c r="L122" i="16"/>
  <c r="K122" i="16"/>
  <c r="J122" i="16"/>
  <c r="I122" i="16"/>
  <c r="H122" i="16"/>
  <c r="G122" i="16"/>
  <c r="F122" i="16"/>
  <c r="E122" i="16"/>
  <c r="U122" i="17"/>
  <c r="T122" i="17"/>
  <c r="R122" i="17"/>
  <c r="Q122" i="17"/>
  <c r="M122" i="17"/>
  <c r="L122" i="17"/>
  <c r="K122" i="17"/>
  <c r="J122" i="17"/>
  <c r="I122" i="17"/>
  <c r="H122" i="17"/>
  <c r="G122" i="17"/>
  <c r="F122" i="17"/>
  <c r="E122" i="17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U113" i="10"/>
  <c r="T113" i="10"/>
  <c r="S113" i="10"/>
  <c r="R113" i="10"/>
  <c r="N113" i="10"/>
  <c r="M113" i="10"/>
  <c r="L113" i="10"/>
  <c r="K113" i="10"/>
  <c r="J113" i="10"/>
  <c r="I113" i="10"/>
  <c r="H113" i="10"/>
  <c r="G113" i="10"/>
  <c r="F113" i="10"/>
  <c r="E113" i="10"/>
  <c r="U113" i="11"/>
  <c r="T113" i="11"/>
  <c r="S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N113" i="15"/>
  <c r="M113" i="15"/>
  <c r="K113" i="15"/>
  <c r="J113" i="15"/>
  <c r="I113" i="15"/>
  <c r="H113" i="15"/>
  <c r="G113" i="15"/>
  <c r="F113" i="15"/>
  <c r="E113" i="15"/>
  <c r="U113" i="16"/>
  <c r="T113" i="16"/>
  <c r="S113" i="16"/>
  <c r="R113" i="16"/>
  <c r="N113" i="16"/>
  <c r="M113" i="16"/>
  <c r="L113" i="16"/>
  <c r="K113" i="16"/>
  <c r="J113" i="16"/>
  <c r="I113" i="16"/>
  <c r="H113" i="16"/>
  <c r="G113" i="16"/>
  <c r="F113" i="16"/>
  <c r="E113" i="16"/>
  <c r="U113" i="17"/>
  <c r="T113" i="17"/>
  <c r="R113" i="17"/>
  <c r="Q113" i="17"/>
  <c r="M113" i="17"/>
  <c r="L113" i="17"/>
  <c r="K113" i="17"/>
  <c r="J113" i="17"/>
  <c r="I113" i="17"/>
  <c r="H113" i="17"/>
  <c r="G113" i="17"/>
  <c r="F113" i="17"/>
  <c r="E113" i="17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U107" i="10"/>
  <c r="T107" i="10"/>
  <c r="S107" i="10"/>
  <c r="R107" i="10"/>
  <c r="N107" i="10"/>
  <c r="M107" i="10"/>
  <c r="L107" i="10"/>
  <c r="K107" i="10"/>
  <c r="J107" i="10"/>
  <c r="I107" i="10"/>
  <c r="H107" i="10"/>
  <c r="G107" i="10"/>
  <c r="F107" i="10"/>
  <c r="E107" i="10"/>
  <c r="U107" i="11"/>
  <c r="T107" i="11"/>
  <c r="S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N107" i="15"/>
  <c r="M107" i="15"/>
  <c r="K107" i="15"/>
  <c r="J107" i="15"/>
  <c r="I107" i="15"/>
  <c r="H107" i="15"/>
  <c r="G107" i="15"/>
  <c r="F107" i="15"/>
  <c r="E107" i="15"/>
  <c r="U107" i="16"/>
  <c r="T107" i="16"/>
  <c r="S107" i="16"/>
  <c r="R107" i="16"/>
  <c r="N107" i="16"/>
  <c r="M107" i="16"/>
  <c r="L107" i="16"/>
  <c r="K107" i="16"/>
  <c r="J107" i="16"/>
  <c r="I107" i="16"/>
  <c r="H107" i="16"/>
  <c r="G107" i="16"/>
  <c r="F107" i="16"/>
  <c r="E107" i="16"/>
  <c r="U107" i="17"/>
  <c r="T107" i="17"/>
  <c r="R107" i="17"/>
  <c r="Q107" i="17"/>
  <c r="M107" i="17"/>
  <c r="L107" i="17"/>
  <c r="K107" i="17"/>
  <c r="J107" i="17"/>
  <c r="I107" i="17"/>
  <c r="H107" i="17"/>
  <c r="G107" i="17"/>
  <c r="F107" i="17"/>
  <c r="E107" i="17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U98" i="10"/>
  <c r="T98" i="10"/>
  <c r="S98" i="10"/>
  <c r="R98" i="10"/>
  <c r="N98" i="10"/>
  <c r="M98" i="10"/>
  <c r="L98" i="10"/>
  <c r="K98" i="10"/>
  <c r="J98" i="10"/>
  <c r="I98" i="10"/>
  <c r="H98" i="10"/>
  <c r="G98" i="10"/>
  <c r="F98" i="10"/>
  <c r="E98" i="10"/>
  <c r="U98" i="11"/>
  <c r="T98" i="11"/>
  <c r="S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N98" i="15"/>
  <c r="M98" i="15"/>
  <c r="K98" i="15"/>
  <c r="J98" i="15"/>
  <c r="I98" i="15"/>
  <c r="H98" i="15"/>
  <c r="G98" i="15"/>
  <c r="F98" i="15"/>
  <c r="E98" i="15"/>
  <c r="U98" i="16"/>
  <c r="T98" i="16"/>
  <c r="S98" i="16"/>
  <c r="R98" i="16"/>
  <c r="N98" i="16"/>
  <c r="M98" i="16"/>
  <c r="L98" i="16"/>
  <c r="K98" i="16"/>
  <c r="J98" i="16"/>
  <c r="I98" i="16"/>
  <c r="H98" i="16"/>
  <c r="G98" i="16"/>
  <c r="F98" i="16"/>
  <c r="E98" i="16"/>
  <c r="U98" i="17"/>
  <c r="T98" i="17"/>
  <c r="R98" i="17"/>
  <c r="Q98" i="17"/>
  <c r="M98" i="17"/>
  <c r="L98" i="17"/>
  <c r="K98" i="17"/>
  <c r="J98" i="17"/>
  <c r="I98" i="17"/>
  <c r="H98" i="17"/>
  <c r="G98" i="17"/>
  <c r="F98" i="17"/>
  <c r="E98" i="17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U91" i="10"/>
  <c r="T91" i="10"/>
  <c r="S91" i="10"/>
  <c r="R91" i="10"/>
  <c r="N91" i="10"/>
  <c r="M91" i="10"/>
  <c r="L91" i="10"/>
  <c r="K91" i="10"/>
  <c r="J91" i="10"/>
  <c r="I91" i="10"/>
  <c r="H91" i="10"/>
  <c r="G91" i="10"/>
  <c r="F91" i="10"/>
  <c r="E91" i="10"/>
  <c r="U91" i="11"/>
  <c r="T91" i="11"/>
  <c r="S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N91" i="15"/>
  <c r="M91" i="15"/>
  <c r="K91" i="15"/>
  <c r="J91" i="15"/>
  <c r="I91" i="15"/>
  <c r="H91" i="15"/>
  <c r="G91" i="15"/>
  <c r="F91" i="15"/>
  <c r="E91" i="15"/>
  <c r="U91" i="16"/>
  <c r="T91" i="16"/>
  <c r="S91" i="16"/>
  <c r="R91" i="16"/>
  <c r="N91" i="16"/>
  <c r="M91" i="16"/>
  <c r="L91" i="16"/>
  <c r="K91" i="16"/>
  <c r="J91" i="16"/>
  <c r="I91" i="16"/>
  <c r="H91" i="16"/>
  <c r="G91" i="16"/>
  <c r="F91" i="16"/>
  <c r="E91" i="16"/>
  <c r="U91" i="17"/>
  <c r="T91" i="17"/>
  <c r="R91" i="17"/>
  <c r="Q91" i="17"/>
  <c r="M91" i="17"/>
  <c r="L91" i="17"/>
  <c r="K91" i="17"/>
  <c r="J91" i="17"/>
  <c r="I91" i="17"/>
  <c r="H91" i="17"/>
  <c r="G91" i="17"/>
  <c r="F91" i="17"/>
  <c r="E91" i="17"/>
  <c r="U88" i="10"/>
  <c r="T88" i="10"/>
  <c r="S88" i="10"/>
  <c r="R88" i="10"/>
  <c r="N88" i="10"/>
  <c r="M88" i="10"/>
  <c r="L88" i="10"/>
  <c r="K88" i="10"/>
  <c r="J88" i="10"/>
  <c r="I88" i="10"/>
  <c r="H88" i="10"/>
  <c r="G88" i="10"/>
  <c r="F88" i="10"/>
  <c r="E88" i="10"/>
  <c r="U88" i="11"/>
  <c r="T88" i="11"/>
  <c r="S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N88" i="15"/>
  <c r="M88" i="15"/>
  <c r="K88" i="15"/>
  <c r="J88" i="15"/>
  <c r="I88" i="15"/>
  <c r="H88" i="15"/>
  <c r="G88" i="15"/>
  <c r="F88" i="15"/>
  <c r="E88" i="15"/>
  <c r="U88" i="16"/>
  <c r="T88" i="16"/>
  <c r="S88" i="16"/>
  <c r="R88" i="16"/>
  <c r="N88" i="16"/>
  <c r="M88" i="16"/>
  <c r="L88" i="16"/>
  <c r="K88" i="16"/>
  <c r="J88" i="16"/>
  <c r="I88" i="16"/>
  <c r="H88" i="16"/>
  <c r="G88" i="16"/>
  <c r="F88" i="16"/>
  <c r="E88" i="16"/>
  <c r="U88" i="17"/>
  <c r="T88" i="17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U79" i="10"/>
  <c r="T79" i="10"/>
  <c r="S79" i="10"/>
  <c r="R79" i="10"/>
  <c r="N79" i="10"/>
  <c r="M79" i="10"/>
  <c r="L79" i="10"/>
  <c r="K79" i="10"/>
  <c r="J79" i="10"/>
  <c r="I79" i="10"/>
  <c r="H79" i="10"/>
  <c r="G79" i="10"/>
  <c r="F79" i="10"/>
  <c r="E79" i="10"/>
  <c r="U79" i="11"/>
  <c r="T79" i="11"/>
  <c r="S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N79" i="15"/>
  <c r="M79" i="15"/>
  <c r="K79" i="15"/>
  <c r="J79" i="15"/>
  <c r="I79" i="15"/>
  <c r="H79" i="15"/>
  <c r="G79" i="15"/>
  <c r="F79" i="15"/>
  <c r="E79" i="15"/>
  <c r="U79" i="16"/>
  <c r="T79" i="16"/>
  <c r="S79" i="16"/>
  <c r="R79" i="16"/>
  <c r="N79" i="16"/>
  <c r="M79" i="16"/>
  <c r="L79" i="16"/>
  <c r="K79" i="16"/>
  <c r="J79" i="16"/>
  <c r="I79" i="16"/>
  <c r="H79" i="16"/>
  <c r="G79" i="16"/>
  <c r="F79" i="16"/>
  <c r="E79" i="16"/>
  <c r="U79" i="17"/>
  <c r="T79" i="17"/>
  <c r="R79" i="17"/>
  <c r="Q79" i="17"/>
  <c r="M79" i="17"/>
  <c r="L79" i="17"/>
  <c r="K79" i="17"/>
  <c r="J79" i="17"/>
  <c r="I79" i="17"/>
  <c r="H79" i="17"/>
  <c r="G79" i="17"/>
  <c r="F79" i="17"/>
  <c r="E79" i="17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U70" i="10"/>
  <c r="T70" i="10"/>
  <c r="S70" i="10"/>
  <c r="R70" i="10"/>
  <c r="N70" i="10"/>
  <c r="M70" i="10"/>
  <c r="L70" i="10"/>
  <c r="K70" i="10"/>
  <c r="J70" i="10"/>
  <c r="I70" i="10"/>
  <c r="H70" i="10"/>
  <c r="G70" i="10"/>
  <c r="F70" i="10"/>
  <c r="E70" i="10"/>
  <c r="U70" i="11"/>
  <c r="T70" i="11"/>
  <c r="S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N70" i="15"/>
  <c r="M70" i="15"/>
  <c r="K70" i="15"/>
  <c r="J70" i="15"/>
  <c r="I70" i="15"/>
  <c r="H70" i="15"/>
  <c r="G70" i="15"/>
  <c r="F70" i="15"/>
  <c r="E70" i="15"/>
  <c r="U70" i="16"/>
  <c r="T70" i="16"/>
  <c r="S70" i="16"/>
  <c r="R70" i="16"/>
  <c r="N70" i="16"/>
  <c r="M70" i="16"/>
  <c r="L70" i="16"/>
  <c r="K70" i="16"/>
  <c r="J70" i="16"/>
  <c r="I70" i="16"/>
  <c r="H70" i="16"/>
  <c r="G70" i="16"/>
  <c r="F70" i="16"/>
  <c r="E70" i="16"/>
  <c r="U70" i="17"/>
  <c r="T70" i="17"/>
  <c r="R70" i="17"/>
  <c r="Q70" i="17"/>
  <c r="M70" i="17"/>
  <c r="L70" i="17"/>
  <c r="K70" i="17"/>
  <c r="J70" i="17"/>
  <c r="I70" i="17"/>
  <c r="H70" i="17"/>
  <c r="G70" i="17"/>
  <c r="F70" i="17"/>
  <c r="E70" i="17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U61" i="10"/>
  <c r="T61" i="10"/>
  <c r="S61" i="10"/>
  <c r="R61" i="10"/>
  <c r="N61" i="10"/>
  <c r="M61" i="10"/>
  <c r="L61" i="10"/>
  <c r="K61" i="10"/>
  <c r="J61" i="10"/>
  <c r="I61" i="10"/>
  <c r="H61" i="10"/>
  <c r="G61" i="10"/>
  <c r="F61" i="10"/>
  <c r="E61" i="10"/>
  <c r="U61" i="11"/>
  <c r="T61" i="11"/>
  <c r="S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N61" i="15"/>
  <c r="M61" i="15"/>
  <c r="K61" i="15"/>
  <c r="J61" i="15"/>
  <c r="I61" i="15"/>
  <c r="H61" i="15"/>
  <c r="G61" i="15"/>
  <c r="F61" i="15"/>
  <c r="E61" i="15"/>
  <c r="U61" i="16"/>
  <c r="T61" i="16"/>
  <c r="S61" i="16"/>
  <c r="R61" i="16"/>
  <c r="N61" i="16"/>
  <c r="M61" i="16"/>
  <c r="L61" i="16"/>
  <c r="K61" i="16"/>
  <c r="J61" i="16"/>
  <c r="I61" i="16"/>
  <c r="H61" i="16"/>
  <c r="G61" i="16"/>
  <c r="F61" i="16"/>
  <c r="E61" i="16"/>
  <c r="U61" i="17"/>
  <c r="T61" i="17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U52" i="10"/>
  <c r="T52" i="10"/>
  <c r="S52" i="10"/>
  <c r="R52" i="10"/>
  <c r="N52" i="10"/>
  <c r="M52" i="10"/>
  <c r="L52" i="10"/>
  <c r="K52" i="10"/>
  <c r="J52" i="10"/>
  <c r="I52" i="10"/>
  <c r="H52" i="10"/>
  <c r="G52" i="10"/>
  <c r="F52" i="10"/>
  <c r="U52" i="11"/>
  <c r="T52" i="11"/>
  <c r="S52" i="11"/>
  <c r="P52" i="11"/>
  <c r="O52" i="11"/>
  <c r="N52" i="11"/>
  <c r="M52" i="11"/>
  <c r="L52" i="11"/>
  <c r="K52" i="11"/>
  <c r="J52" i="11"/>
  <c r="I52" i="11"/>
  <c r="H52" i="11"/>
  <c r="G52" i="11"/>
  <c r="F52" i="11"/>
  <c r="N52" i="15"/>
  <c r="M52" i="15"/>
  <c r="K52" i="15"/>
  <c r="J52" i="15"/>
  <c r="I52" i="15"/>
  <c r="H52" i="15"/>
  <c r="G52" i="15"/>
  <c r="F52" i="15"/>
  <c r="U52" i="16"/>
  <c r="T52" i="16"/>
  <c r="S52" i="16"/>
  <c r="R52" i="16"/>
  <c r="N52" i="16"/>
  <c r="M52" i="16"/>
  <c r="L52" i="16"/>
  <c r="K52" i="16"/>
  <c r="J52" i="16"/>
  <c r="I52" i="16"/>
  <c r="H52" i="16"/>
  <c r="G52" i="16"/>
  <c r="F52" i="16"/>
  <c r="U52" i="17"/>
  <c r="T52" i="17"/>
  <c r="R52" i="17"/>
  <c r="Q52" i="17"/>
  <c r="M52" i="17"/>
  <c r="L52" i="17"/>
  <c r="K52" i="17"/>
  <c r="J52" i="17"/>
  <c r="I52" i="17"/>
  <c r="H52" i="17"/>
  <c r="G52" i="17"/>
  <c r="F52" i="17"/>
  <c r="E52" i="9"/>
  <c r="E52" i="10"/>
  <c r="E52" i="11"/>
  <c r="E52" i="15"/>
  <c r="E52" i="16"/>
  <c r="E52" i="17"/>
  <c r="V112" i="17" l="1"/>
  <c r="V175" i="16"/>
  <c r="V112" i="16"/>
  <c r="V97" i="16"/>
  <c r="O112" i="15"/>
  <c r="R179" i="16" l="1"/>
  <c r="R181" i="16" s="1"/>
  <c r="N179" i="16"/>
  <c r="N181" i="16" s="1"/>
  <c r="T179" i="16"/>
  <c r="T181" i="16" s="1"/>
  <c r="S179" i="16"/>
  <c r="S181" i="16" s="1"/>
  <c r="M179" i="16"/>
  <c r="M181" i="16" s="1"/>
  <c r="L179" i="16"/>
  <c r="L181" i="16" s="1"/>
  <c r="T41" i="16"/>
  <c r="S41" i="16"/>
  <c r="R41" i="16"/>
  <c r="N41" i="16"/>
  <c r="M41" i="16"/>
  <c r="L41" i="16"/>
  <c r="T36" i="16"/>
  <c r="S36" i="16"/>
  <c r="R36" i="16"/>
  <c r="N36" i="16"/>
  <c r="M36" i="16"/>
  <c r="L36" i="16"/>
  <c r="T29" i="16"/>
  <c r="S29" i="16"/>
  <c r="R29" i="16"/>
  <c r="N29" i="16"/>
  <c r="M29" i="16"/>
  <c r="L29" i="16"/>
  <c r="T28" i="16"/>
  <c r="S28" i="16"/>
  <c r="R28" i="16"/>
  <c r="N28" i="16"/>
  <c r="M28" i="16"/>
  <c r="L28" i="16"/>
  <c r="T27" i="16"/>
  <c r="S27" i="16"/>
  <c r="R27" i="16"/>
  <c r="N27" i="16"/>
  <c r="M27" i="16"/>
  <c r="L27" i="16"/>
  <c r="T24" i="16"/>
  <c r="S24" i="16"/>
  <c r="R24" i="16"/>
  <c r="N24" i="16"/>
  <c r="M24" i="16"/>
  <c r="L24" i="16"/>
  <c r="T21" i="16"/>
  <c r="S21" i="16"/>
  <c r="R21" i="16"/>
  <c r="N21" i="16"/>
  <c r="M21" i="16"/>
  <c r="L21" i="16"/>
  <c r="T16" i="16"/>
  <c r="S16" i="16"/>
  <c r="R16" i="16"/>
  <c r="N16" i="16"/>
  <c r="M16" i="16"/>
  <c r="L16" i="16"/>
  <c r="T179" i="10"/>
  <c r="T181" i="10" s="1"/>
  <c r="S179" i="10"/>
  <c r="S181" i="10" s="1"/>
  <c r="T41" i="10"/>
  <c r="S41" i="10"/>
  <c r="T36" i="10"/>
  <c r="S36" i="10"/>
  <c r="T29" i="10"/>
  <c r="S29" i="10"/>
  <c r="T28" i="10"/>
  <c r="S28" i="10"/>
  <c r="T27" i="10"/>
  <c r="S27" i="10"/>
  <c r="T24" i="10"/>
  <c r="S24" i="10"/>
  <c r="T21" i="10"/>
  <c r="S21" i="10"/>
  <c r="T16" i="10"/>
  <c r="S16" i="10"/>
  <c r="K41" i="10"/>
  <c r="J41" i="10"/>
  <c r="I41" i="10"/>
  <c r="H41" i="10"/>
  <c r="G41" i="10"/>
  <c r="F41" i="10"/>
  <c r="K36" i="10"/>
  <c r="J36" i="10"/>
  <c r="I36" i="10"/>
  <c r="H36" i="10"/>
  <c r="G36" i="10"/>
  <c r="F36" i="10"/>
  <c r="K29" i="10"/>
  <c r="J29" i="10"/>
  <c r="I29" i="10"/>
  <c r="H29" i="10"/>
  <c r="G29" i="10"/>
  <c r="F29" i="10"/>
  <c r="K28" i="10"/>
  <c r="J28" i="10"/>
  <c r="I28" i="10"/>
  <c r="H28" i="10"/>
  <c r="G28" i="10"/>
  <c r="F28" i="10"/>
  <c r="K27" i="10"/>
  <c r="J27" i="10"/>
  <c r="I27" i="10"/>
  <c r="H27" i="10"/>
  <c r="G27" i="10"/>
  <c r="F27" i="10"/>
  <c r="K24" i="10"/>
  <c r="J24" i="10"/>
  <c r="I24" i="10"/>
  <c r="H24" i="10"/>
  <c r="G24" i="10"/>
  <c r="F24" i="10"/>
  <c r="K21" i="10"/>
  <c r="J21" i="10"/>
  <c r="I21" i="10"/>
  <c r="H21" i="10"/>
  <c r="G21" i="10"/>
  <c r="F21" i="10"/>
  <c r="K16" i="10"/>
  <c r="J16" i="10"/>
  <c r="I16" i="10"/>
  <c r="H16" i="10"/>
  <c r="G16" i="10"/>
  <c r="F16" i="10"/>
  <c r="P179" i="9"/>
  <c r="P181" i="9" s="1"/>
  <c r="S41" i="9"/>
  <c r="R41" i="9"/>
  <c r="Q41" i="9"/>
  <c r="P41" i="9"/>
  <c r="S36" i="9"/>
  <c r="R36" i="9"/>
  <c r="Q36" i="9"/>
  <c r="P36" i="9"/>
  <c r="S29" i="9"/>
  <c r="R29" i="9"/>
  <c r="Q29" i="9"/>
  <c r="P29" i="9"/>
  <c r="S28" i="9"/>
  <c r="R28" i="9"/>
  <c r="Q28" i="9"/>
  <c r="P28" i="9"/>
  <c r="S27" i="9"/>
  <c r="R27" i="9"/>
  <c r="Q27" i="9"/>
  <c r="P27" i="9"/>
  <c r="S24" i="9"/>
  <c r="R24" i="9"/>
  <c r="Q24" i="9"/>
  <c r="P24" i="9"/>
  <c r="S21" i="9"/>
  <c r="R21" i="9"/>
  <c r="Q21" i="9"/>
  <c r="P21" i="9"/>
  <c r="S16" i="9"/>
  <c r="R16" i="9"/>
  <c r="Q16" i="9"/>
  <c r="P16" i="9"/>
  <c r="N41" i="9"/>
  <c r="M41" i="9"/>
  <c r="L41" i="9"/>
  <c r="K41" i="9"/>
  <c r="J41" i="9"/>
  <c r="I41" i="9"/>
  <c r="H41" i="9"/>
  <c r="G41" i="9"/>
  <c r="F41" i="9"/>
  <c r="N36" i="9"/>
  <c r="M36" i="9"/>
  <c r="L36" i="9"/>
  <c r="K36" i="9"/>
  <c r="J36" i="9"/>
  <c r="I36" i="9"/>
  <c r="H36" i="9"/>
  <c r="G36" i="9"/>
  <c r="F36" i="9"/>
  <c r="N29" i="9"/>
  <c r="M29" i="9"/>
  <c r="L29" i="9"/>
  <c r="K29" i="9"/>
  <c r="J29" i="9"/>
  <c r="I29" i="9"/>
  <c r="H29" i="9"/>
  <c r="G29" i="9"/>
  <c r="F29" i="9"/>
  <c r="N28" i="9"/>
  <c r="M28" i="9"/>
  <c r="L28" i="9"/>
  <c r="K28" i="9"/>
  <c r="J28" i="9"/>
  <c r="I28" i="9"/>
  <c r="H28" i="9"/>
  <c r="G28" i="9"/>
  <c r="F28" i="9"/>
  <c r="N27" i="9"/>
  <c r="M27" i="9"/>
  <c r="L27" i="9"/>
  <c r="K27" i="9"/>
  <c r="J27" i="9"/>
  <c r="I27" i="9"/>
  <c r="H27" i="9"/>
  <c r="G27" i="9"/>
  <c r="F27" i="9"/>
  <c r="N24" i="9"/>
  <c r="M24" i="9"/>
  <c r="L24" i="9"/>
  <c r="K24" i="9"/>
  <c r="J24" i="9"/>
  <c r="I24" i="9"/>
  <c r="H24" i="9"/>
  <c r="G24" i="9"/>
  <c r="F24" i="9"/>
  <c r="N21" i="9"/>
  <c r="M21" i="9"/>
  <c r="L21" i="9"/>
  <c r="K21" i="9"/>
  <c r="J21" i="9"/>
  <c r="I21" i="9"/>
  <c r="H21" i="9"/>
  <c r="G21" i="9"/>
  <c r="F21" i="9"/>
  <c r="N16" i="9"/>
  <c r="M16" i="9"/>
  <c r="L16" i="9"/>
  <c r="K16" i="9"/>
  <c r="J16" i="9"/>
  <c r="I16" i="9"/>
  <c r="H16" i="9"/>
  <c r="G16" i="9"/>
  <c r="F16" i="9"/>
  <c r="F30" i="10" l="1"/>
  <c r="L30" i="16"/>
  <c r="G30" i="10"/>
  <c r="M30" i="16"/>
  <c r="K30" i="9"/>
  <c r="L30" i="9"/>
  <c r="R30" i="16"/>
  <c r="N30" i="16"/>
  <c r="S30" i="16"/>
  <c r="T30" i="16"/>
  <c r="I30" i="10"/>
  <c r="H30" i="10"/>
  <c r="J30" i="10"/>
  <c r="K30" i="10"/>
  <c r="M30" i="9"/>
  <c r="N30" i="9"/>
  <c r="S30" i="10"/>
  <c r="T30" i="10"/>
  <c r="F179" i="10"/>
  <c r="F181" i="10" s="1"/>
  <c r="G179" i="10"/>
  <c r="G181" i="10" s="1"/>
  <c r="I179" i="10"/>
  <c r="I181" i="10" s="1"/>
  <c r="J179" i="10"/>
  <c r="J181" i="10" s="1"/>
  <c r="H179" i="10"/>
  <c r="H181" i="10" s="1"/>
  <c r="K179" i="10"/>
  <c r="K181" i="10" s="1"/>
  <c r="P30" i="9"/>
  <c r="R30" i="9"/>
  <c r="S30" i="9"/>
  <c r="G30" i="9"/>
  <c r="I30" i="9"/>
  <c r="R179" i="9"/>
  <c r="R181" i="9" s="1"/>
  <c r="Q30" i="9"/>
  <c r="F30" i="9"/>
  <c r="H30" i="9"/>
  <c r="S179" i="9"/>
  <c r="S181" i="9" s="1"/>
  <c r="Q179" i="9"/>
  <c r="Q181" i="9" s="1"/>
  <c r="F179" i="9"/>
  <c r="F181" i="9" s="1"/>
  <c r="G179" i="9"/>
  <c r="G181" i="9" s="1"/>
  <c r="H179" i="9"/>
  <c r="H181" i="9" s="1"/>
  <c r="J179" i="9"/>
  <c r="J181" i="9" s="1"/>
  <c r="J30" i="9"/>
  <c r="K179" i="9"/>
  <c r="K181" i="9" s="1"/>
  <c r="L179" i="9"/>
  <c r="L181" i="9" s="1"/>
  <c r="N179" i="9"/>
  <c r="N181" i="9" s="1"/>
  <c r="M179" i="9"/>
  <c r="M181" i="9" s="1"/>
  <c r="I179" i="9"/>
  <c r="I181" i="9" s="1"/>
  <c r="U41" i="11"/>
  <c r="T41" i="11"/>
  <c r="S41" i="11"/>
  <c r="P41" i="11"/>
  <c r="U36" i="11"/>
  <c r="T36" i="11"/>
  <c r="S36" i="11"/>
  <c r="P36" i="11"/>
  <c r="U29" i="11"/>
  <c r="T29" i="11"/>
  <c r="S29" i="11"/>
  <c r="P29" i="11"/>
  <c r="U28" i="11"/>
  <c r="T28" i="11"/>
  <c r="S28" i="11"/>
  <c r="P28" i="11"/>
  <c r="U27" i="11"/>
  <c r="T27" i="11"/>
  <c r="S27" i="11"/>
  <c r="P27" i="11"/>
  <c r="U24" i="11"/>
  <c r="T24" i="11"/>
  <c r="S24" i="11"/>
  <c r="P24" i="11"/>
  <c r="U21" i="11"/>
  <c r="T21" i="11"/>
  <c r="S21" i="11"/>
  <c r="P21" i="11"/>
  <c r="U16" i="11"/>
  <c r="T16" i="11"/>
  <c r="S16" i="11"/>
  <c r="P16" i="11"/>
  <c r="V180" i="17"/>
  <c r="V175" i="17"/>
  <c r="V174" i="17"/>
  <c r="V173" i="17"/>
  <c r="V170" i="17"/>
  <c r="V169" i="17"/>
  <c r="V168" i="17"/>
  <c r="V167" i="17"/>
  <c r="V166" i="17"/>
  <c r="V165" i="17"/>
  <c r="V164" i="17"/>
  <c r="V161" i="17"/>
  <c r="V160" i="17"/>
  <c r="V159" i="17"/>
  <c r="V158" i="17"/>
  <c r="V155" i="17"/>
  <c r="V154" i="17"/>
  <c r="V153" i="17"/>
  <c r="V150" i="17"/>
  <c r="V149" i="17"/>
  <c r="V148" i="17"/>
  <c r="V147" i="17"/>
  <c r="V146" i="17"/>
  <c r="V145" i="17"/>
  <c r="V144" i="17"/>
  <c r="V141" i="17"/>
  <c r="V140" i="17"/>
  <c r="V139" i="17"/>
  <c r="V138" i="17"/>
  <c r="V137" i="17"/>
  <c r="V136" i="17"/>
  <c r="V133" i="17"/>
  <c r="V132" i="17"/>
  <c r="V131" i="17"/>
  <c r="V130" i="17"/>
  <c r="V129" i="17"/>
  <c r="V128" i="17"/>
  <c r="V127" i="17"/>
  <c r="V124" i="17"/>
  <c r="V111" i="17"/>
  <c r="V110" i="17"/>
  <c r="V109" i="17"/>
  <c r="V106" i="17"/>
  <c r="V105" i="17"/>
  <c r="V104" i="17"/>
  <c r="V103" i="17"/>
  <c r="V102" i="17"/>
  <c r="V101" i="17"/>
  <c r="V100" i="17"/>
  <c r="V97" i="17"/>
  <c r="V96" i="17"/>
  <c r="V95" i="17"/>
  <c r="V94" i="17"/>
  <c r="V93" i="17"/>
  <c r="V90" i="17"/>
  <c r="V87" i="17"/>
  <c r="V86" i="17"/>
  <c r="V85" i="17"/>
  <c r="V84" i="17"/>
  <c r="V83" i="17"/>
  <c r="V82" i="17"/>
  <c r="V81" i="17"/>
  <c r="V78" i="17"/>
  <c r="V77" i="17"/>
  <c r="V76" i="17"/>
  <c r="V75" i="17"/>
  <c r="V74" i="17"/>
  <c r="V73" i="17"/>
  <c r="V72" i="17"/>
  <c r="V69" i="17"/>
  <c r="V68" i="17"/>
  <c r="V67" i="17"/>
  <c r="V66" i="17"/>
  <c r="V65" i="17"/>
  <c r="V64" i="17"/>
  <c r="V63" i="17"/>
  <c r="V60" i="17"/>
  <c r="V59" i="17"/>
  <c r="V58" i="17"/>
  <c r="V57" i="17"/>
  <c r="V56" i="17"/>
  <c r="V55" i="17"/>
  <c r="V54" i="17"/>
  <c r="V51" i="17"/>
  <c r="V50" i="17"/>
  <c r="V49" i="17"/>
  <c r="V48" i="17"/>
  <c r="V47" i="17"/>
  <c r="V46" i="17"/>
  <c r="V45" i="17"/>
  <c r="U41" i="17"/>
  <c r="T41" i="17"/>
  <c r="R41" i="17"/>
  <c r="Q41" i="17"/>
  <c r="M41" i="17"/>
  <c r="L41" i="17"/>
  <c r="K41" i="17"/>
  <c r="J41" i="17"/>
  <c r="I41" i="17"/>
  <c r="H41" i="17"/>
  <c r="G41" i="17"/>
  <c r="F41" i="17"/>
  <c r="E41" i="17"/>
  <c r="V40" i="17"/>
  <c r="V39" i="17"/>
  <c r="U36" i="17"/>
  <c r="T36" i="17"/>
  <c r="R36" i="17"/>
  <c r="Q36" i="17"/>
  <c r="M36" i="17"/>
  <c r="L36" i="17"/>
  <c r="K36" i="17"/>
  <c r="J36" i="17"/>
  <c r="I36" i="17"/>
  <c r="H36" i="17"/>
  <c r="G36" i="17"/>
  <c r="F36" i="17"/>
  <c r="E36" i="17"/>
  <c r="V35" i="17"/>
  <c r="V34" i="17"/>
  <c r="V33" i="17"/>
  <c r="U29" i="17"/>
  <c r="T29" i="17"/>
  <c r="R29" i="17"/>
  <c r="Q29" i="17"/>
  <c r="M29" i="17"/>
  <c r="L29" i="17"/>
  <c r="K29" i="17"/>
  <c r="J29" i="17"/>
  <c r="I29" i="17"/>
  <c r="H29" i="17"/>
  <c r="G29" i="17"/>
  <c r="F29" i="17"/>
  <c r="E29" i="17"/>
  <c r="U28" i="17"/>
  <c r="T28" i="17"/>
  <c r="R28" i="17"/>
  <c r="Q28" i="17"/>
  <c r="M28" i="17"/>
  <c r="L28" i="17"/>
  <c r="K28" i="17"/>
  <c r="J28" i="17"/>
  <c r="I28" i="17"/>
  <c r="H28" i="17"/>
  <c r="G28" i="17"/>
  <c r="F28" i="17"/>
  <c r="E28" i="17"/>
  <c r="U27" i="17"/>
  <c r="T27" i="17"/>
  <c r="R27" i="17"/>
  <c r="Q27" i="17"/>
  <c r="M27" i="17"/>
  <c r="L27" i="17"/>
  <c r="K27" i="17"/>
  <c r="J27" i="17"/>
  <c r="I27" i="17"/>
  <c r="H27" i="17"/>
  <c r="G27" i="17"/>
  <c r="F27" i="17"/>
  <c r="E27" i="17"/>
  <c r="V26" i="17"/>
  <c r="V25" i="17"/>
  <c r="U24" i="17"/>
  <c r="T24" i="17"/>
  <c r="R24" i="17"/>
  <c r="Q24" i="17"/>
  <c r="M24" i="17"/>
  <c r="L24" i="17"/>
  <c r="K24" i="17"/>
  <c r="J24" i="17"/>
  <c r="I24" i="17"/>
  <c r="H24" i="17"/>
  <c r="G24" i="17"/>
  <c r="F24" i="17"/>
  <c r="E24" i="17"/>
  <c r="V23" i="17"/>
  <c r="V22" i="17"/>
  <c r="U21" i="17"/>
  <c r="T21" i="17"/>
  <c r="R21" i="17"/>
  <c r="Q21" i="17"/>
  <c r="M21" i="17"/>
  <c r="L21" i="17"/>
  <c r="K21" i="17"/>
  <c r="J21" i="17"/>
  <c r="I21" i="17"/>
  <c r="H21" i="17"/>
  <c r="G21" i="17"/>
  <c r="F21" i="17"/>
  <c r="E21" i="17"/>
  <c r="V20" i="17"/>
  <c r="V19" i="17"/>
  <c r="U16" i="17"/>
  <c r="T16" i="17"/>
  <c r="R16" i="17"/>
  <c r="Q16" i="17"/>
  <c r="M16" i="17"/>
  <c r="L16" i="17"/>
  <c r="K16" i="17"/>
  <c r="J16" i="17"/>
  <c r="I16" i="17"/>
  <c r="H16" i="17"/>
  <c r="G16" i="17"/>
  <c r="F16" i="17"/>
  <c r="E16" i="17"/>
  <c r="V15" i="17"/>
  <c r="V14" i="17"/>
  <c r="V180" i="16"/>
  <c r="V174" i="16"/>
  <c r="V173" i="16"/>
  <c r="V170" i="16"/>
  <c r="V169" i="16"/>
  <c r="V168" i="16"/>
  <c r="V167" i="16"/>
  <c r="V166" i="16"/>
  <c r="V165" i="16"/>
  <c r="V164" i="16"/>
  <c r="V161" i="16"/>
  <c r="V160" i="16"/>
  <c r="V159" i="16"/>
  <c r="V158" i="16"/>
  <c r="V155" i="16"/>
  <c r="V154" i="16"/>
  <c r="V153" i="16"/>
  <c r="V150" i="16"/>
  <c r="V149" i="16"/>
  <c r="V148" i="16"/>
  <c r="V147" i="16"/>
  <c r="V146" i="16"/>
  <c r="V145" i="16"/>
  <c r="V144" i="16"/>
  <c r="V141" i="16"/>
  <c r="V140" i="16"/>
  <c r="V139" i="16"/>
  <c r="V138" i="16"/>
  <c r="V137" i="16"/>
  <c r="V136" i="16"/>
  <c r="V133" i="16"/>
  <c r="V132" i="16"/>
  <c r="V131" i="16"/>
  <c r="V130" i="16"/>
  <c r="V129" i="16"/>
  <c r="V128" i="16"/>
  <c r="V127" i="16"/>
  <c r="V124" i="16"/>
  <c r="V111" i="16"/>
  <c r="V110" i="16"/>
  <c r="V109" i="16"/>
  <c r="V106" i="16"/>
  <c r="V105" i="16"/>
  <c r="V104" i="16"/>
  <c r="V103" i="16"/>
  <c r="V102" i="16"/>
  <c r="V101" i="16"/>
  <c r="V100" i="16"/>
  <c r="V96" i="16"/>
  <c r="V95" i="16"/>
  <c r="V94" i="16"/>
  <c r="V93" i="16"/>
  <c r="V90" i="16"/>
  <c r="V87" i="16"/>
  <c r="V86" i="16"/>
  <c r="V85" i="16"/>
  <c r="V84" i="16"/>
  <c r="V83" i="16"/>
  <c r="V82" i="16"/>
  <c r="V81" i="16"/>
  <c r="V78" i="16"/>
  <c r="V77" i="16"/>
  <c r="V76" i="16"/>
  <c r="V75" i="16"/>
  <c r="V74" i="16"/>
  <c r="V73" i="16"/>
  <c r="V72" i="16"/>
  <c r="V69" i="16"/>
  <c r="V68" i="16"/>
  <c r="V67" i="16"/>
  <c r="V66" i="16"/>
  <c r="V65" i="16"/>
  <c r="V64" i="16"/>
  <c r="V63" i="16"/>
  <c r="V60" i="16"/>
  <c r="V59" i="16"/>
  <c r="V58" i="16"/>
  <c r="V57" i="16"/>
  <c r="V56" i="16"/>
  <c r="V55" i="16"/>
  <c r="V54" i="16"/>
  <c r="V51" i="16"/>
  <c r="V50" i="16"/>
  <c r="V49" i="16"/>
  <c r="V48" i="16"/>
  <c r="V47" i="16"/>
  <c r="V46" i="16"/>
  <c r="V45" i="16"/>
  <c r="U41" i="16"/>
  <c r="K41" i="16"/>
  <c r="J41" i="16"/>
  <c r="I41" i="16"/>
  <c r="H41" i="16"/>
  <c r="G41" i="16"/>
  <c r="F41" i="16"/>
  <c r="E41" i="16"/>
  <c r="V40" i="16"/>
  <c r="V39" i="16"/>
  <c r="U36" i="16"/>
  <c r="K36" i="16"/>
  <c r="J36" i="16"/>
  <c r="I36" i="16"/>
  <c r="H36" i="16"/>
  <c r="G36" i="16"/>
  <c r="F36" i="16"/>
  <c r="E36" i="16"/>
  <c r="V35" i="16"/>
  <c r="V34" i="16"/>
  <c r="V33" i="16"/>
  <c r="U29" i="16"/>
  <c r="K29" i="16"/>
  <c r="J29" i="16"/>
  <c r="I29" i="16"/>
  <c r="H29" i="16"/>
  <c r="G29" i="16"/>
  <c r="F29" i="16"/>
  <c r="E29" i="16"/>
  <c r="U28" i="16"/>
  <c r="K28" i="16"/>
  <c r="J28" i="16"/>
  <c r="I28" i="16"/>
  <c r="H28" i="16"/>
  <c r="G28" i="16"/>
  <c r="F28" i="16"/>
  <c r="E28" i="16"/>
  <c r="U27" i="16"/>
  <c r="K27" i="16"/>
  <c r="J27" i="16"/>
  <c r="I27" i="16"/>
  <c r="H27" i="16"/>
  <c r="G27" i="16"/>
  <c r="F27" i="16"/>
  <c r="E27" i="16"/>
  <c r="V26" i="16"/>
  <c r="V25" i="16"/>
  <c r="U24" i="16"/>
  <c r="K24" i="16"/>
  <c r="J24" i="16"/>
  <c r="I24" i="16"/>
  <c r="H24" i="16"/>
  <c r="G24" i="16"/>
  <c r="F24" i="16"/>
  <c r="E24" i="16"/>
  <c r="V23" i="16"/>
  <c r="V22" i="16"/>
  <c r="U21" i="16"/>
  <c r="K21" i="16"/>
  <c r="J21" i="16"/>
  <c r="I21" i="16"/>
  <c r="H21" i="16"/>
  <c r="G21" i="16"/>
  <c r="F21" i="16"/>
  <c r="E21" i="16"/>
  <c r="V20" i="16"/>
  <c r="V19" i="16"/>
  <c r="U16" i="16"/>
  <c r="K16" i="16"/>
  <c r="J16" i="16"/>
  <c r="I16" i="16"/>
  <c r="H16" i="16"/>
  <c r="G16" i="16"/>
  <c r="F16" i="16"/>
  <c r="E16" i="16"/>
  <c r="V15" i="16"/>
  <c r="V14" i="16"/>
  <c r="O180" i="15"/>
  <c r="O175" i="15"/>
  <c r="O174" i="15"/>
  <c r="O173" i="15"/>
  <c r="O170" i="15"/>
  <c r="O169" i="15"/>
  <c r="O168" i="15"/>
  <c r="O167" i="15"/>
  <c r="O166" i="15"/>
  <c r="O165" i="15"/>
  <c r="O164" i="15"/>
  <c r="O161" i="15"/>
  <c r="O160" i="15"/>
  <c r="O159" i="15"/>
  <c r="O158" i="15"/>
  <c r="O155" i="15"/>
  <c r="O154" i="15"/>
  <c r="O153" i="15"/>
  <c r="O150" i="15"/>
  <c r="O149" i="15"/>
  <c r="O148" i="15"/>
  <c r="O147" i="15"/>
  <c r="O146" i="15"/>
  <c r="O145" i="15"/>
  <c r="O144" i="15"/>
  <c r="O141" i="15"/>
  <c r="O140" i="15"/>
  <c r="O139" i="15"/>
  <c r="O138" i="15"/>
  <c r="O137" i="15"/>
  <c r="O136" i="15"/>
  <c r="O133" i="15"/>
  <c r="O132" i="15"/>
  <c r="O131" i="15"/>
  <c r="O130" i="15"/>
  <c r="O129" i="15"/>
  <c r="O128" i="15"/>
  <c r="O127" i="15"/>
  <c r="O124" i="15"/>
  <c r="O111" i="15"/>
  <c r="O110" i="15"/>
  <c r="O109" i="15"/>
  <c r="O106" i="15"/>
  <c r="O105" i="15"/>
  <c r="O104" i="15"/>
  <c r="O103" i="15"/>
  <c r="O102" i="15"/>
  <c r="O101" i="15"/>
  <c r="O100" i="15"/>
  <c r="O97" i="15"/>
  <c r="O96" i="15"/>
  <c r="O95" i="15"/>
  <c r="O94" i="15"/>
  <c r="O93" i="15"/>
  <c r="O90" i="15"/>
  <c r="O87" i="15"/>
  <c r="O86" i="15"/>
  <c r="O85" i="15"/>
  <c r="O84" i="15"/>
  <c r="O83" i="15"/>
  <c r="O82" i="15"/>
  <c r="O81" i="15"/>
  <c r="O78" i="15"/>
  <c r="O77" i="15"/>
  <c r="O76" i="15"/>
  <c r="O75" i="15"/>
  <c r="O74" i="15"/>
  <c r="O73" i="15"/>
  <c r="O72" i="15"/>
  <c r="O69" i="15"/>
  <c r="O68" i="15"/>
  <c r="O67" i="15"/>
  <c r="O66" i="15"/>
  <c r="O65" i="15"/>
  <c r="O64" i="15"/>
  <c r="O63" i="15"/>
  <c r="O60" i="15"/>
  <c r="O59" i="15"/>
  <c r="O58" i="15"/>
  <c r="O57" i="15"/>
  <c r="O56" i="15"/>
  <c r="O55" i="15"/>
  <c r="O54" i="15"/>
  <c r="O51" i="15"/>
  <c r="O50" i="15"/>
  <c r="O49" i="15"/>
  <c r="O48" i="15"/>
  <c r="O47" i="15"/>
  <c r="O46" i="15"/>
  <c r="O45" i="15"/>
  <c r="N41" i="15"/>
  <c r="M41" i="15"/>
  <c r="K41" i="15"/>
  <c r="J41" i="15"/>
  <c r="I41" i="15"/>
  <c r="H41" i="15"/>
  <c r="G41" i="15"/>
  <c r="F41" i="15"/>
  <c r="E41" i="15"/>
  <c r="O40" i="15"/>
  <c r="O39" i="15"/>
  <c r="N36" i="15"/>
  <c r="M36" i="15"/>
  <c r="K36" i="15"/>
  <c r="J36" i="15"/>
  <c r="I36" i="15"/>
  <c r="H36" i="15"/>
  <c r="G36" i="15"/>
  <c r="F36" i="15"/>
  <c r="E36" i="15"/>
  <c r="O35" i="15"/>
  <c r="O34" i="15"/>
  <c r="O33" i="15"/>
  <c r="N29" i="15"/>
  <c r="M29" i="15"/>
  <c r="K29" i="15"/>
  <c r="J29" i="15"/>
  <c r="I29" i="15"/>
  <c r="H29" i="15"/>
  <c r="G29" i="15"/>
  <c r="F29" i="15"/>
  <c r="E29" i="15"/>
  <c r="N28" i="15"/>
  <c r="M28" i="15"/>
  <c r="K28" i="15"/>
  <c r="J28" i="15"/>
  <c r="I28" i="15"/>
  <c r="H28" i="15"/>
  <c r="G28" i="15"/>
  <c r="F28" i="15"/>
  <c r="E28" i="15"/>
  <c r="N27" i="15"/>
  <c r="M27" i="15"/>
  <c r="K27" i="15"/>
  <c r="J27" i="15"/>
  <c r="I27" i="15"/>
  <c r="H27" i="15"/>
  <c r="G27" i="15"/>
  <c r="F27" i="15"/>
  <c r="E27" i="15"/>
  <c r="O26" i="15"/>
  <c r="O25" i="15"/>
  <c r="N24" i="15"/>
  <c r="M24" i="15"/>
  <c r="K24" i="15"/>
  <c r="J24" i="15"/>
  <c r="I24" i="15"/>
  <c r="H24" i="15"/>
  <c r="G24" i="15"/>
  <c r="F24" i="15"/>
  <c r="E24" i="15"/>
  <c r="O23" i="15"/>
  <c r="O22" i="15"/>
  <c r="N21" i="15"/>
  <c r="M21" i="15"/>
  <c r="K21" i="15"/>
  <c r="J21" i="15"/>
  <c r="I21" i="15"/>
  <c r="H21" i="15"/>
  <c r="G21" i="15"/>
  <c r="F21" i="15"/>
  <c r="E21" i="15"/>
  <c r="O20" i="15"/>
  <c r="O19" i="15"/>
  <c r="N16" i="15"/>
  <c r="M16" i="15"/>
  <c r="K16" i="15"/>
  <c r="J16" i="15"/>
  <c r="I16" i="15"/>
  <c r="H16" i="15"/>
  <c r="G16" i="15"/>
  <c r="F16" i="15"/>
  <c r="E16" i="15"/>
  <c r="O15" i="15"/>
  <c r="O14" i="15"/>
  <c r="V97" i="11"/>
  <c r="V97" i="10"/>
  <c r="U97" i="9"/>
  <c r="V91" i="17" l="1"/>
  <c r="V125" i="16"/>
  <c r="V125" i="17"/>
  <c r="V113" i="17"/>
  <c r="V156" i="16"/>
  <c r="O176" i="15"/>
  <c r="V156" i="17"/>
  <c r="O113" i="15"/>
  <c r="V98" i="16"/>
  <c r="O107" i="15"/>
  <c r="E97" i="1"/>
  <c r="O125" i="15"/>
  <c r="O151" i="15"/>
  <c r="O134" i="15"/>
  <c r="O61" i="15"/>
  <c r="L30" i="17"/>
  <c r="M30" i="17"/>
  <c r="R30" i="17"/>
  <c r="T30" i="17"/>
  <c r="U30" i="17"/>
  <c r="V142" i="17"/>
  <c r="V52" i="17"/>
  <c r="V162" i="17"/>
  <c r="G30" i="16"/>
  <c r="H30" i="16"/>
  <c r="V88" i="16"/>
  <c r="I30" i="16"/>
  <c r="J30" i="16"/>
  <c r="O70" i="15"/>
  <c r="T30" i="11"/>
  <c r="V88" i="17"/>
  <c r="V70" i="17"/>
  <c r="V107" i="17"/>
  <c r="V176" i="17"/>
  <c r="V142" i="16"/>
  <c r="V70" i="16"/>
  <c r="V113" i="16"/>
  <c r="V162" i="16"/>
  <c r="V91" i="16"/>
  <c r="E30" i="16"/>
  <c r="O88" i="15"/>
  <c r="O156" i="15"/>
  <c r="O162" i="15"/>
  <c r="O79" i="15"/>
  <c r="O98" i="15"/>
  <c r="O52" i="15"/>
  <c r="O142" i="15"/>
  <c r="O91" i="15"/>
  <c r="O171" i="15"/>
  <c r="V52" i="16"/>
  <c r="V171" i="16"/>
  <c r="V79" i="16"/>
  <c r="V151" i="16"/>
  <c r="V61" i="16"/>
  <c r="V134" i="16"/>
  <c r="V107" i="16"/>
  <c r="V176" i="16"/>
  <c r="V79" i="17"/>
  <c r="V98" i="17"/>
  <c r="I30" i="17"/>
  <c r="V171" i="17"/>
  <c r="V151" i="17"/>
  <c r="V61" i="17"/>
  <c r="V134" i="17"/>
  <c r="H179" i="17"/>
  <c r="H181" i="17" s="1"/>
  <c r="F30" i="17"/>
  <c r="G30" i="17"/>
  <c r="V24" i="16"/>
  <c r="F30" i="16"/>
  <c r="G30" i="15"/>
  <c r="H30" i="15"/>
  <c r="K30" i="15"/>
  <c r="I30" i="15"/>
  <c r="J30" i="15"/>
  <c r="P179" i="11"/>
  <c r="P181" i="11" s="1"/>
  <c r="S179" i="11"/>
  <c r="S181" i="11" s="1"/>
  <c r="T179" i="11"/>
  <c r="T181" i="11" s="1"/>
  <c r="U179" i="11"/>
  <c r="U181" i="11" s="1"/>
  <c r="U30" i="11"/>
  <c r="P30" i="11"/>
  <c r="S30" i="11"/>
  <c r="V41" i="16"/>
  <c r="V122" i="16"/>
  <c r="V21" i="16"/>
  <c r="V28" i="16"/>
  <c r="V16" i="16"/>
  <c r="U30" i="16"/>
  <c r="V36" i="16"/>
  <c r="J179" i="16"/>
  <c r="J181" i="16" s="1"/>
  <c r="E179" i="16"/>
  <c r="E181" i="16" s="1"/>
  <c r="V27" i="16"/>
  <c r="U179" i="16"/>
  <c r="U181" i="16" s="1"/>
  <c r="I179" i="16"/>
  <c r="I181" i="16" s="1"/>
  <c r="G179" i="16"/>
  <c r="G181" i="16" s="1"/>
  <c r="K30" i="16"/>
  <c r="K179" i="16"/>
  <c r="K181" i="16" s="1"/>
  <c r="F179" i="16"/>
  <c r="F181" i="16" s="1"/>
  <c r="H179" i="16"/>
  <c r="H181" i="16" s="1"/>
  <c r="F30" i="15"/>
  <c r="E30" i="15"/>
  <c r="V24" i="17"/>
  <c r="I179" i="17"/>
  <c r="I181" i="17" s="1"/>
  <c r="E179" i="17"/>
  <c r="E181" i="17" s="1"/>
  <c r="H30" i="17"/>
  <c r="F179" i="17"/>
  <c r="F181" i="17" s="1"/>
  <c r="V28" i="17"/>
  <c r="V122" i="17"/>
  <c r="V27" i="17"/>
  <c r="E30" i="17"/>
  <c r="K30" i="17"/>
  <c r="J30" i="17"/>
  <c r="J179" i="17"/>
  <c r="J181" i="17" s="1"/>
  <c r="Q30" i="17"/>
  <c r="K179" i="17"/>
  <c r="K181" i="17" s="1"/>
  <c r="L179" i="17"/>
  <c r="L181" i="17" s="1"/>
  <c r="V36" i="17"/>
  <c r="M179" i="17"/>
  <c r="M181" i="17" s="1"/>
  <c r="Q179" i="17"/>
  <c r="Q181" i="17" s="1"/>
  <c r="R179" i="17"/>
  <c r="R181" i="17" s="1"/>
  <c r="V41" i="17"/>
  <c r="T179" i="17"/>
  <c r="T181" i="17" s="1"/>
  <c r="V21" i="17"/>
  <c r="U179" i="17"/>
  <c r="U181" i="17" s="1"/>
  <c r="V16" i="17"/>
  <c r="G179" i="17"/>
  <c r="G181" i="17" s="1"/>
  <c r="V29" i="17"/>
  <c r="V29" i="16"/>
  <c r="F179" i="15"/>
  <c r="F181" i="15" s="1"/>
  <c r="G179" i="15"/>
  <c r="G181" i="15" s="1"/>
  <c r="M30" i="15"/>
  <c r="H179" i="15"/>
  <c r="H181" i="15" s="1"/>
  <c r="I179" i="15"/>
  <c r="I181" i="15" s="1"/>
  <c r="O36" i="15"/>
  <c r="O122" i="15"/>
  <c r="M179" i="15"/>
  <c r="M181" i="15" s="1"/>
  <c r="K179" i="15"/>
  <c r="K181" i="15" s="1"/>
  <c r="N30" i="15"/>
  <c r="O21" i="15"/>
  <c r="N179" i="15"/>
  <c r="N181" i="15" s="1"/>
  <c r="O41" i="15"/>
  <c r="O24" i="15"/>
  <c r="O29" i="15"/>
  <c r="J179" i="15"/>
  <c r="J181" i="15" s="1"/>
  <c r="O16" i="15"/>
  <c r="O27" i="15"/>
  <c r="E179" i="15"/>
  <c r="O28" i="15"/>
  <c r="V30" i="17" l="1"/>
  <c r="V181" i="17"/>
  <c r="V30" i="16"/>
  <c r="V181" i="16"/>
  <c r="O30" i="15"/>
  <c r="V179" i="16"/>
  <c r="V179" i="17"/>
  <c r="O179" i="15"/>
  <c r="E181" i="15"/>
  <c r="O181" i="15" s="1"/>
  <c r="V180" i="11" l="1"/>
  <c r="V175" i="11"/>
  <c r="V174" i="11"/>
  <c r="V173" i="11"/>
  <c r="V170" i="11"/>
  <c r="V169" i="11"/>
  <c r="V168" i="11"/>
  <c r="V167" i="11"/>
  <c r="V166" i="11"/>
  <c r="V165" i="11"/>
  <c r="V164" i="11"/>
  <c r="V161" i="11"/>
  <c r="V160" i="11"/>
  <c r="V159" i="11"/>
  <c r="V158" i="11"/>
  <c r="V155" i="11"/>
  <c r="V154" i="11"/>
  <c r="V153" i="11"/>
  <c r="V150" i="11"/>
  <c r="V149" i="11"/>
  <c r="V148" i="11"/>
  <c r="V147" i="11"/>
  <c r="V146" i="11"/>
  <c r="V145" i="11"/>
  <c r="V144" i="11"/>
  <c r="V141" i="11"/>
  <c r="V140" i="11"/>
  <c r="V139" i="11"/>
  <c r="V138" i="11"/>
  <c r="V137" i="11"/>
  <c r="V136" i="11"/>
  <c r="V133" i="11"/>
  <c r="V132" i="11"/>
  <c r="V131" i="11"/>
  <c r="V130" i="11"/>
  <c r="V129" i="11"/>
  <c r="V128" i="11"/>
  <c r="V127" i="11"/>
  <c r="V124" i="11"/>
  <c r="V112" i="11"/>
  <c r="V111" i="11"/>
  <c r="V110" i="11"/>
  <c r="V109" i="11"/>
  <c r="V106" i="11"/>
  <c r="V105" i="11"/>
  <c r="V104" i="11"/>
  <c r="V103" i="11"/>
  <c r="V102" i="11"/>
  <c r="V101" i="11"/>
  <c r="V100" i="11"/>
  <c r="V96" i="11"/>
  <c r="V95" i="11"/>
  <c r="V94" i="11"/>
  <c r="V93" i="11"/>
  <c r="V90" i="11"/>
  <c r="V87" i="11"/>
  <c r="V86" i="11"/>
  <c r="V85" i="11"/>
  <c r="V84" i="11"/>
  <c r="V83" i="11"/>
  <c r="V82" i="11"/>
  <c r="V81" i="11"/>
  <c r="V78" i="11"/>
  <c r="V77" i="11"/>
  <c r="V76" i="11"/>
  <c r="V75" i="11"/>
  <c r="V74" i="11"/>
  <c r="V73" i="11"/>
  <c r="V72" i="11"/>
  <c r="V69" i="11"/>
  <c r="V68" i="11"/>
  <c r="V67" i="11"/>
  <c r="V66" i="11"/>
  <c r="V65" i="11"/>
  <c r="V64" i="11"/>
  <c r="V63" i="11"/>
  <c r="V60" i="11"/>
  <c r="V59" i="11"/>
  <c r="V58" i="11"/>
  <c r="V57" i="11"/>
  <c r="V56" i="11"/>
  <c r="V55" i="11"/>
  <c r="V54" i="11"/>
  <c r="V51" i="11"/>
  <c r="V50" i="11"/>
  <c r="V49" i="11"/>
  <c r="V48" i="11"/>
  <c r="V47" i="11"/>
  <c r="V46" i="11"/>
  <c r="V45" i="11"/>
  <c r="O41" i="11"/>
  <c r="N41" i="11"/>
  <c r="M41" i="11"/>
  <c r="L41" i="11"/>
  <c r="K41" i="11"/>
  <c r="J41" i="11"/>
  <c r="I41" i="11"/>
  <c r="H41" i="11"/>
  <c r="G41" i="11"/>
  <c r="F41" i="11"/>
  <c r="E41" i="11"/>
  <c r="V40" i="11"/>
  <c r="V39" i="11"/>
  <c r="O36" i="11"/>
  <c r="N36" i="11"/>
  <c r="M36" i="11"/>
  <c r="L36" i="11"/>
  <c r="K36" i="11"/>
  <c r="J36" i="11"/>
  <c r="I36" i="11"/>
  <c r="H36" i="11"/>
  <c r="G36" i="11"/>
  <c r="F36" i="11"/>
  <c r="E36" i="11"/>
  <c r="V35" i="11"/>
  <c r="V34" i="11"/>
  <c r="V33" i="11"/>
  <c r="O29" i="11"/>
  <c r="N29" i="11"/>
  <c r="M29" i="11"/>
  <c r="L29" i="11"/>
  <c r="K29" i="11"/>
  <c r="J29" i="11"/>
  <c r="I29" i="11"/>
  <c r="H29" i="11"/>
  <c r="G29" i="11"/>
  <c r="F29" i="11"/>
  <c r="E29" i="11"/>
  <c r="O28" i="11"/>
  <c r="N28" i="11"/>
  <c r="M28" i="11"/>
  <c r="L28" i="11"/>
  <c r="K28" i="11"/>
  <c r="J28" i="11"/>
  <c r="I28" i="11"/>
  <c r="H28" i="11"/>
  <c r="G28" i="11"/>
  <c r="F28" i="11"/>
  <c r="E28" i="11"/>
  <c r="O27" i="11"/>
  <c r="N27" i="11"/>
  <c r="M27" i="11"/>
  <c r="L27" i="11"/>
  <c r="K27" i="11"/>
  <c r="J27" i="11"/>
  <c r="I27" i="11"/>
  <c r="H27" i="11"/>
  <c r="G27" i="11"/>
  <c r="F27" i="11"/>
  <c r="E27" i="11"/>
  <c r="V26" i="11"/>
  <c r="V25" i="11"/>
  <c r="O24" i="11"/>
  <c r="N24" i="11"/>
  <c r="M24" i="11"/>
  <c r="L24" i="11"/>
  <c r="K24" i="11"/>
  <c r="J24" i="11"/>
  <c r="I24" i="11"/>
  <c r="H24" i="11"/>
  <c r="G24" i="11"/>
  <c r="F24" i="11"/>
  <c r="E24" i="11"/>
  <c r="V23" i="11"/>
  <c r="V22" i="11"/>
  <c r="O21" i="11"/>
  <c r="N21" i="11"/>
  <c r="M21" i="11"/>
  <c r="L21" i="11"/>
  <c r="K21" i="11"/>
  <c r="J21" i="11"/>
  <c r="I21" i="11"/>
  <c r="H21" i="11"/>
  <c r="G21" i="11"/>
  <c r="F21" i="11"/>
  <c r="E21" i="11"/>
  <c r="V20" i="11"/>
  <c r="V19" i="11"/>
  <c r="O16" i="11"/>
  <c r="N16" i="11"/>
  <c r="M16" i="11"/>
  <c r="L16" i="11"/>
  <c r="K16" i="11"/>
  <c r="J16" i="11"/>
  <c r="I16" i="11"/>
  <c r="H16" i="11"/>
  <c r="G16" i="11"/>
  <c r="F16" i="11"/>
  <c r="E16" i="11"/>
  <c r="V15" i="11"/>
  <c r="V14" i="11"/>
  <c r="V180" i="10"/>
  <c r="V175" i="10"/>
  <c r="V174" i="10"/>
  <c r="V173" i="10"/>
  <c r="V170" i="10"/>
  <c r="V169" i="10"/>
  <c r="V168" i="10"/>
  <c r="V167" i="10"/>
  <c r="V166" i="10"/>
  <c r="V165" i="10"/>
  <c r="V164" i="10"/>
  <c r="V161" i="10"/>
  <c r="V160" i="10"/>
  <c r="V159" i="10"/>
  <c r="V158" i="10"/>
  <c r="V155" i="10"/>
  <c r="V154" i="10"/>
  <c r="V153" i="10"/>
  <c r="V150" i="10"/>
  <c r="V149" i="10"/>
  <c r="V148" i="10"/>
  <c r="V147" i="10"/>
  <c r="V146" i="10"/>
  <c r="V145" i="10"/>
  <c r="V144" i="10"/>
  <c r="V141" i="10"/>
  <c r="V140" i="10"/>
  <c r="V139" i="10"/>
  <c r="V138" i="10"/>
  <c r="V137" i="10"/>
  <c r="V136" i="10"/>
  <c r="V133" i="10"/>
  <c r="V132" i="10"/>
  <c r="V131" i="10"/>
  <c r="V130" i="10"/>
  <c r="V129" i="10"/>
  <c r="V128" i="10"/>
  <c r="V127" i="10"/>
  <c r="V124" i="10"/>
  <c r="V112" i="10"/>
  <c r="V111" i="10"/>
  <c r="V110" i="10"/>
  <c r="V109" i="10"/>
  <c r="V106" i="10"/>
  <c r="V105" i="10"/>
  <c r="V104" i="10"/>
  <c r="V103" i="10"/>
  <c r="V102" i="10"/>
  <c r="V101" i="10"/>
  <c r="V100" i="10"/>
  <c r="V96" i="10"/>
  <c r="V95" i="10"/>
  <c r="V94" i="10"/>
  <c r="V93" i="10"/>
  <c r="V90" i="10"/>
  <c r="V87" i="10"/>
  <c r="V86" i="10"/>
  <c r="V85" i="10"/>
  <c r="V84" i="10"/>
  <c r="V83" i="10"/>
  <c r="V82" i="10"/>
  <c r="V81" i="10"/>
  <c r="V78" i="10"/>
  <c r="V77" i="10"/>
  <c r="V76" i="10"/>
  <c r="V75" i="10"/>
  <c r="V74" i="10"/>
  <c r="V73" i="10"/>
  <c r="V72" i="10"/>
  <c r="V69" i="10"/>
  <c r="V68" i="10"/>
  <c r="V67" i="10"/>
  <c r="V66" i="10"/>
  <c r="V65" i="10"/>
  <c r="V64" i="10"/>
  <c r="V63" i="10"/>
  <c r="V60" i="10"/>
  <c r="V59" i="10"/>
  <c r="V58" i="10"/>
  <c r="V57" i="10"/>
  <c r="V56" i="10"/>
  <c r="V55" i="10"/>
  <c r="V54" i="10"/>
  <c r="V51" i="10"/>
  <c r="V50" i="10"/>
  <c r="V49" i="10"/>
  <c r="V48" i="10"/>
  <c r="V47" i="10"/>
  <c r="V46" i="10"/>
  <c r="V45" i="10"/>
  <c r="U41" i="10"/>
  <c r="R41" i="10"/>
  <c r="N41" i="10"/>
  <c r="M41" i="10"/>
  <c r="L41" i="10"/>
  <c r="E41" i="10"/>
  <c r="V40" i="10"/>
  <c r="V39" i="10"/>
  <c r="U36" i="10"/>
  <c r="R36" i="10"/>
  <c r="N36" i="10"/>
  <c r="M36" i="10"/>
  <c r="L36" i="10"/>
  <c r="E36" i="10"/>
  <c r="V35" i="10"/>
  <c r="V34" i="10"/>
  <c r="V33" i="10"/>
  <c r="U29" i="10"/>
  <c r="R29" i="10"/>
  <c r="N29" i="10"/>
  <c r="M29" i="10"/>
  <c r="L29" i="10"/>
  <c r="E29" i="10"/>
  <c r="U28" i="10"/>
  <c r="R28" i="10"/>
  <c r="N28" i="10"/>
  <c r="M28" i="10"/>
  <c r="L28" i="10"/>
  <c r="E28" i="10"/>
  <c r="U27" i="10"/>
  <c r="R27" i="10"/>
  <c r="N27" i="10"/>
  <c r="M27" i="10"/>
  <c r="L27" i="10"/>
  <c r="E27" i="10"/>
  <c r="V26" i="10"/>
  <c r="V25" i="10"/>
  <c r="U24" i="10"/>
  <c r="R24" i="10"/>
  <c r="N24" i="10"/>
  <c r="M24" i="10"/>
  <c r="L24" i="10"/>
  <c r="E24" i="10"/>
  <c r="V23" i="10"/>
  <c r="V22" i="10"/>
  <c r="U21" i="10"/>
  <c r="R21" i="10"/>
  <c r="N21" i="10"/>
  <c r="M21" i="10"/>
  <c r="L21" i="10"/>
  <c r="E21" i="10"/>
  <c r="V20" i="10"/>
  <c r="V19" i="10"/>
  <c r="U16" i="10"/>
  <c r="R16" i="10"/>
  <c r="N16" i="10"/>
  <c r="M16" i="10"/>
  <c r="L16" i="10"/>
  <c r="E16" i="10"/>
  <c r="V15" i="10"/>
  <c r="V14" i="10"/>
  <c r="U180" i="9"/>
  <c r="U175" i="9"/>
  <c r="U174" i="9"/>
  <c r="U173" i="9"/>
  <c r="U170" i="9"/>
  <c r="U169" i="9"/>
  <c r="U168" i="9"/>
  <c r="U167" i="9"/>
  <c r="U166" i="9"/>
  <c r="U165" i="9"/>
  <c r="U164" i="9"/>
  <c r="U161" i="9"/>
  <c r="U160" i="9"/>
  <c r="U159" i="9"/>
  <c r="U158" i="9"/>
  <c r="U155" i="9"/>
  <c r="U154" i="9"/>
  <c r="U153" i="9"/>
  <c r="U150" i="9"/>
  <c r="U149" i="9"/>
  <c r="U148" i="9"/>
  <c r="U147" i="9"/>
  <c r="U146" i="9"/>
  <c r="U145" i="9"/>
  <c r="U144" i="9"/>
  <c r="U141" i="9"/>
  <c r="U140" i="9"/>
  <c r="U139" i="9"/>
  <c r="U138" i="9"/>
  <c r="U137" i="9"/>
  <c r="U136" i="9"/>
  <c r="U133" i="9"/>
  <c r="U132" i="9"/>
  <c r="U131" i="9"/>
  <c r="U130" i="9"/>
  <c r="U129" i="9"/>
  <c r="U128" i="9"/>
  <c r="U127" i="9"/>
  <c r="U124" i="9"/>
  <c r="U112" i="9"/>
  <c r="U111" i="9"/>
  <c r="U110" i="9"/>
  <c r="U109" i="9"/>
  <c r="U106" i="9"/>
  <c r="U105" i="9"/>
  <c r="U104" i="9"/>
  <c r="U103" i="9"/>
  <c r="U102" i="9"/>
  <c r="U101" i="9"/>
  <c r="U100" i="9"/>
  <c r="U96" i="9"/>
  <c r="U95" i="9"/>
  <c r="U94" i="9"/>
  <c r="U93" i="9"/>
  <c r="U90" i="9"/>
  <c r="U87" i="9"/>
  <c r="U86" i="9"/>
  <c r="U85" i="9"/>
  <c r="U84" i="9"/>
  <c r="U83" i="9"/>
  <c r="U82" i="9"/>
  <c r="U78" i="9"/>
  <c r="U77" i="9"/>
  <c r="U76" i="9"/>
  <c r="U75" i="9"/>
  <c r="U74" i="9"/>
  <c r="U73" i="9"/>
  <c r="U72" i="9"/>
  <c r="U69" i="9"/>
  <c r="U68" i="9"/>
  <c r="U67" i="9"/>
  <c r="U66" i="9"/>
  <c r="U65" i="9"/>
  <c r="U64" i="9"/>
  <c r="U63" i="9"/>
  <c r="U60" i="9"/>
  <c r="U59" i="9"/>
  <c r="U58" i="9"/>
  <c r="U57" i="9"/>
  <c r="U56" i="9"/>
  <c r="U55" i="9"/>
  <c r="U54" i="9"/>
  <c r="U51" i="9"/>
  <c r="U50" i="9"/>
  <c r="U49" i="9"/>
  <c r="U48" i="9"/>
  <c r="U47" i="9"/>
  <c r="U46" i="9"/>
  <c r="U45" i="9"/>
  <c r="O41" i="9"/>
  <c r="E41" i="9"/>
  <c r="U40" i="9"/>
  <c r="U39" i="9"/>
  <c r="O36" i="9"/>
  <c r="E36" i="9"/>
  <c r="U35" i="9"/>
  <c r="U34" i="9"/>
  <c r="U33" i="9"/>
  <c r="O29" i="9"/>
  <c r="E29" i="9"/>
  <c r="O28" i="9"/>
  <c r="E28" i="9"/>
  <c r="O27" i="9"/>
  <c r="E27" i="9"/>
  <c r="U26" i="9"/>
  <c r="U25" i="9"/>
  <c r="O24" i="9"/>
  <c r="E24" i="9"/>
  <c r="U23" i="9"/>
  <c r="U22" i="9"/>
  <c r="O21" i="9"/>
  <c r="E21" i="9"/>
  <c r="U20" i="9"/>
  <c r="U19" i="9"/>
  <c r="O16" i="9"/>
  <c r="E16" i="9"/>
  <c r="U15" i="9"/>
  <c r="U14" i="9"/>
  <c r="V107" i="11" l="1"/>
  <c r="E174" i="1"/>
  <c r="E81" i="1"/>
  <c r="E180" i="1"/>
  <c r="E124" i="1"/>
  <c r="E125" i="1" s="1"/>
  <c r="E148" i="1"/>
  <c r="E86" i="1"/>
  <c r="E149" i="1"/>
  <c r="E175" i="1"/>
  <c r="E14" i="1"/>
  <c r="E15" i="1"/>
  <c r="V176" i="11"/>
  <c r="E33" i="1"/>
  <c r="E59" i="1"/>
  <c r="E34" i="1"/>
  <c r="E35" i="1"/>
  <c r="E105" i="1"/>
  <c r="E141" i="1"/>
  <c r="E77" i="1"/>
  <c r="I30" i="11"/>
  <c r="E39" i="1"/>
  <c r="J30" i="11"/>
  <c r="E40" i="1"/>
  <c r="E94" i="1"/>
  <c r="E132" i="1"/>
  <c r="E20" i="1"/>
  <c r="E68" i="1"/>
  <c r="E95" i="1"/>
  <c r="E133" i="1"/>
  <c r="E158" i="1"/>
  <c r="E69" i="1"/>
  <c r="E45" i="1"/>
  <c r="E22" i="1"/>
  <c r="E23" i="1"/>
  <c r="E87" i="1"/>
  <c r="E90" i="1"/>
  <c r="E91" i="1" s="1"/>
  <c r="E60" i="1"/>
  <c r="E127" i="1"/>
  <c r="E128" i="1"/>
  <c r="E65" i="1"/>
  <c r="E30" i="9"/>
  <c r="E145" i="1"/>
  <c r="E150" i="1"/>
  <c r="E64" i="1"/>
  <c r="E153" i="1"/>
  <c r="E129" i="1"/>
  <c r="E66" i="1"/>
  <c r="E130" i="1"/>
  <c r="E154" i="1"/>
  <c r="V162" i="11"/>
  <c r="E19" i="1"/>
  <c r="E67" i="1"/>
  <c r="E93" i="1"/>
  <c r="E131" i="1"/>
  <c r="E155" i="1"/>
  <c r="V52" i="11"/>
  <c r="E72" i="1"/>
  <c r="E47" i="1"/>
  <c r="E138" i="1"/>
  <c r="E96" i="1"/>
  <c r="E136" i="1"/>
  <c r="E161" i="1"/>
  <c r="E48" i="1"/>
  <c r="E74" i="1"/>
  <c r="E102" i="1"/>
  <c r="E49" i="1"/>
  <c r="E75" i="1"/>
  <c r="E103" i="1"/>
  <c r="E139" i="1"/>
  <c r="E164" i="1"/>
  <c r="E159" i="1"/>
  <c r="E160" i="1"/>
  <c r="E73" i="1"/>
  <c r="E137" i="1"/>
  <c r="E25" i="1"/>
  <c r="E50" i="1"/>
  <c r="E76" i="1"/>
  <c r="E104" i="1"/>
  <c r="E140" i="1"/>
  <c r="E165" i="1"/>
  <c r="E101" i="1"/>
  <c r="E26" i="1"/>
  <c r="E51" i="1"/>
  <c r="E166" i="1"/>
  <c r="E78" i="1"/>
  <c r="E106" i="1"/>
  <c r="E167" i="1"/>
  <c r="V88" i="11"/>
  <c r="E54" i="1"/>
  <c r="E168" i="1"/>
  <c r="V113" i="11"/>
  <c r="E63" i="1"/>
  <c r="E46" i="1"/>
  <c r="E100" i="1"/>
  <c r="E55" i="1"/>
  <c r="E82" i="1"/>
  <c r="U113" i="9"/>
  <c r="E109" i="1"/>
  <c r="E144" i="1"/>
  <c r="E169" i="1"/>
  <c r="E56" i="1"/>
  <c r="E83" i="1"/>
  <c r="E110" i="1"/>
  <c r="E170" i="1"/>
  <c r="E57" i="1"/>
  <c r="E84" i="1"/>
  <c r="E111" i="1"/>
  <c r="E146" i="1"/>
  <c r="U30" i="10"/>
  <c r="E58" i="1"/>
  <c r="E85" i="1"/>
  <c r="E112" i="1"/>
  <c r="E147" i="1"/>
  <c r="E173" i="1"/>
  <c r="V98" i="11"/>
  <c r="V134" i="11"/>
  <c r="V156" i="11"/>
  <c r="V79" i="11"/>
  <c r="V61" i="11"/>
  <c r="V142" i="10"/>
  <c r="V61" i="10"/>
  <c r="V171" i="10"/>
  <c r="V88" i="10"/>
  <c r="V113" i="10"/>
  <c r="V176" i="10"/>
  <c r="V91" i="10"/>
  <c r="V125" i="10"/>
  <c r="V98" i="10"/>
  <c r="U98" i="9"/>
  <c r="U176" i="9"/>
  <c r="U61" i="9"/>
  <c r="U142" i="9"/>
  <c r="U88" i="9"/>
  <c r="U125" i="9"/>
  <c r="U156" i="9"/>
  <c r="U171" i="9"/>
  <c r="U91" i="9"/>
  <c r="U134" i="9"/>
  <c r="U52" i="9"/>
  <c r="U79" i="9"/>
  <c r="U107" i="9"/>
  <c r="U162" i="9"/>
  <c r="U151" i="9"/>
  <c r="U70" i="9"/>
  <c r="V151" i="10"/>
  <c r="V70" i="10"/>
  <c r="V156" i="10"/>
  <c r="V52" i="10"/>
  <c r="V107" i="10"/>
  <c r="V134" i="10"/>
  <c r="V79" i="10"/>
  <c r="V162" i="10"/>
  <c r="V142" i="11"/>
  <c r="V171" i="11"/>
  <c r="V70" i="11"/>
  <c r="V91" i="11"/>
  <c r="V151" i="11"/>
  <c r="E30" i="11"/>
  <c r="V125" i="11"/>
  <c r="M30" i="11"/>
  <c r="O30" i="11"/>
  <c r="O30" i="9"/>
  <c r="I179" i="11"/>
  <c r="I181" i="11" s="1"/>
  <c r="G30" i="11"/>
  <c r="H30" i="11"/>
  <c r="F30" i="11"/>
  <c r="E30" i="10"/>
  <c r="L30" i="10"/>
  <c r="R30" i="10"/>
  <c r="L179" i="10"/>
  <c r="L181" i="10" s="1"/>
  <c r="O179" i="9"/>
  <c r="O181" i="9" s="1"/>
  <c r="U21" i="9"/>
  <c r="H179" i="11"/>
  <c r="H181" i="11" s="1"/>
  <c r="V21" i="11"/>
  <c r="K179" i="11"/>
  <c r="K181" i="11" s="1"/>
  <c r="V24" i="11"/>
  <c r="V28" i="11"/>
  <c r="L179" i="11"/>
  <c r="L181" i="11" s="1"/>
  <c r="O179" i="11"/>
  <c r="O181" i="11" s="1"/>
  <c r="E179" i="11"/>
  <c r="V16" i="11"/>
  <c r="V29" i="11"/>
  <c r="L30" i="11"/>
  <c r="V36" i="11"/>
  <c r="N30" i="11"/>
  <c r="V41" i="11"/>
  <c r="V27" i="11"/>
  <c r="N179" i="11"/>
  <c r="N181" i="11" s="1"/>
  <c r="M179" i="11"/>
  <c r="M181" i="11" s="1"/>
  <c r="G179" i="11"/>
  <c r="G181" i="11" s="1"/>
  <c r="V122" i="11"/>
  <c r="K30" i="11"/>
  <c r="J179" i="11"/>
  <c r="J181" i="11" s="1"/>
  <c r="F179" i="11"/>
  <c r="R179" i="10"/>
  <c r="R181" i="10" s="1"/>
  <c r="N179" i="10"/>
  <c r="N181" i="10" s="1"/>
  <c r="V28" i="10"/>
  <c r="M179" i="10"/>
  <c r="M181" i="10" s="1"/>
  <c r="V27" i="10"/>
  <c r="V29" i="10"/>
  <c r="U179" i="10"/>
  <c r="U181" i="10" s="1"/>
  <c r="V122" i="10"/>
  <c r="V36" i="10"/>
  <c r="V16" i="10"/>
  <c r="M30" i="10"/>
  <c r="V21" i="10"/>
  <c r="V24" i="10"/>
  <c r="V41" i="10"/>
  <c r="N30" i="10"/>
  <c r="E179" i="10"/>
  <c r="U36" i="9"/>
  <c r="U29" i="9"/>
  <c r="U24" i="9"/>
  <c r="U41" i="9"/>
  <c r="U27" i="9"/>
  <c r="U16" i="9"/>
  <c r="E119" i="1"/>
  <c r="E179" i="9"/>
  <c r="U28" i="9"/>
  <c r="E151" i="1" l="1"/>
  <c r="E107" i="1"/>
  <c r="E70" i="1"/>
  <c r="E98" i="1"/>
  <c r="E79" i="1"/>
  <c r="E61" i="1"/>
  <c r="E134" i="1"/>
  <c r="E52" i="1"/>
  <c r="E142" i="1"/>
  <c r="E156" i="1"/>
  <c r="E162" i="1"/>
  <c r="E176" i="1"/>
  <c r="E113" i="1"/>
  <c r="E171" i="1"/>
  <c r="E88" i="1"/>
  <c r="E122" i="1"/>
  <c r="U122" i="9"/>
  <c r="U30" i="9"/>
  <c r="V30" i="11"/>
  <c r="V179" i="11"/>
  <c r="V181" i="11"/>
  <c r="V30" i="10"/>
  <c r="V179" i="10"/>
  <c r="E181" i="10"/>
  <c r="V181" i="10" s="1"/>
  <c r="U179" i="9"/>
  <c r="E181" i="9"/>
  <c r="U181" i="9" s="1"/>
  <c r="E179" i="1" l="1"/>
  <c r="E181" i="1" s="1"/>
  <c r="E28" i="1"/>
  <c r="E41" i="1" l="1"/>
  <c r="E29" i="1"/>
  <c r="E27" i="1"/>
  <c r="E24" i="1"/>
  <c r="E21" i="1"/>
  <c r="E16" i="1"/>
  <c r="E30" i="1" l="1"/>
  <c r="E36" i="1" s="1"/>
</calcChain>
</file>

<file path=xl/sharedStrings.xml><?xml version="1.0" encoding="utf-8"?>
<sst xmlns="http://schemas.openxmlformats.org/spreadsheetml/2006/main" count="1821" uniqueCount="186">
  <si>
    <t>I</t>
  </si>
  <si>
    <t>DATA PEMILIH DAN PENGGUNAAN HAK PILIH</t>
  </si>
  <si>
    <t>A</t>
  </si>
  <si>
    <t xml:space="preserve">DATA PEMILIH  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</si>
  <si>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</si>
  <si>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</si>
  <si>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</si>
  <si>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</si>
  <si>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</si>
  <si>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</si>
  <si>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</si>
  <si>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</si>
  <si>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</si>
  <si>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</si>
  <si>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</si>
  <si>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</si>
  <si>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</si>
  <si>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</si>
  <si>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</si>
  <si>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</si>
  <si>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</si>
  <si>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</si>
  <si>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</si>
  <si>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</si>
  <si>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</si>
  <si>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</si>
  <si>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</si>
  <si>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</si>
  <si>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</si>
  <si>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</si>
  <si>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</si>
  <si>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</si>
  <si>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</si>
  <si>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</si>
  <si>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</si>
  <si>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</si>
  <si>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</si>
  <si>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</si>
  <si>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</si>
  <si>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</si>
  <si>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</si>
  <si>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</si>
  <si>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</si>
  <si>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</si>
  <si>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</si>
  <si>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</si>
  <si>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</si>
  <si>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</si>
  <si>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</si>
  <si>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</si>
  <si>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JUMLAH SUARA SAH PARTAI POLITIK DAN CALON (A1 + A2)</t>
  </si>
  <si>
    <t>Partai Gerakan Indonesia Raya</t>
  </si>
  <si>
    <t>Partai Demokrasi Indonesia Perjuangan</t>
  </si>
  <si>
    <t>Partai Golongan Karya</t>
  </si>
  <si>
    <t>5.</t>
  </si>
  <si>
    <t>Partai NasDem</t>
  </si>
  <si>
    <t>6.</t>
  </si>
  <si>
    <t>Partai Buruh</t>
  </si>
  <si>
    <t>7.</t>
  </si>
  <si>
    <t>Partai Gelombang Rakyat Indonesia</t>
  </si>
  <si>
    <t>8.</t>
  </si>
  <si>
    <t>Partai Keadilan Sejahtera</t>
  </si>
  <si>
    <t>9.</t>
  </si>
  <si>
    <t>Partai Kebangkitan Nusantara</t>
  </si>
  <si>
    <t>10.</t>
  </si>
  <si>
    <t>Partai Hati Nurani Rakyat</t>
  </si>
  <si>
    <t>11.</t>
  </si>
  <si>
    <t>Partai Garda Republik Indonesia</t>
  </si>
  <si>
    <t>12.</t>
  </si>
  <si>
    <t>Partai Amanat Nasional</t>
  </si>
  <si>
    <t>13.</t>
  </si>
  <si>
    <t>Partai Bulan Bintang</t>
  </si>
  <si>
    <t>14.</t>
  </si>
  <si>
    <t>Partai Demokrat</t>
  </si>
  <si>
    <t>15.</t>
  </si>
  <si>
    <t>Partai Solidaritas Indonesia</t>
  </si>
  <si>
    <t>16.</t>
  </si>
  <si>
    <t>PARTAI PERINDO</t>
  </si>
  <si>
    <t>17.</t>
  </si>
  <si>
    <t>Partai Persatuan Pembangunan</t>
  </si>
  <si>
    <t>18.</t>
  </si>
  <si>
    <t>Partai Ummat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</si>
  <si>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</si>
  <si>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</si>
  <si>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</si>
  <si>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</si>
  <si>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</si>
  <si>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</si>
  <si>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</si>
  <si>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</si>
  <si>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JUMLAH AKHIR</t>
  </si>
  <si>
    <t>Kecamatan</t>
  </si>
  <si>
    <t>Kabupaten</t>
  </si>
  <si>
    <t>BANYUWANGI</t>
  </si>
  <si>
    <t>Provinsi</t>
  </si>
  <si>
    <t>JAWA TIMUR</t>
  </si>
  <si>
    <t>Kelurahan</t>
  </si>
  <si>
    <t>BOYOLANGU</t>
  </si>
  <si>
    <t>GIRI</t>
  </si>
  <si>
    <t>GROGOL</t>
  </si>
  <si>
    <t>JAMBESARI</t>
  </si>
  <si>
    <t>MOJOPANGGUNG</t>
  </si>
  <si>
    <t>PENATABAN</t>
  </si>
  <si>
    <t>HJ. SITI MAKHROCHATIN NI’MAH, S.PD., M.M.</t>
  </si>
  <si>
    <t>A. TAUFIK</t>
  </si>
  <si>
    <t>KHOIRUL FAHMI ISKANDAR, S.PD</t>
  </si>
  <si>
    <t>AKHMAD, S.PD., M.M.</t>
  </si>
  <si>
    <t>SOFI WULANDARI, S.H.</t>
  </si>
  <si>
    <t>AL MA’ARIF</t>
  </si>
  <si>
    <t>ASRILA DISKA RIMUNDA</t>
  </si>
  <si>
    <t>ANIK MUSYAROFAH</t>
  </si>
  <si>
    <t>JOKO MISBONO</t>
  </si>
  <si>
    <t>REKTO PUSPITASARI</t>
  </si>
  <si>
    <t>AHMAD KHOMSI WAHYUDI</t>
  </si>
  <si>
    <t>ACHI RIZAL FIRDAUS</t>
  </si>
  <si>
    <t>I MADE CAHYANA NEGARA, S.E.</t>
  </si>
  <si>
    <t>AGUS WAHYU PANOTO, S.H.</t>
  </si>
  <si>
    <t>IIS SUMIYATI</t>
  </si>
  <si>
    <t>ACHMAD MUZAMMIL</t>
  </si>
  <si>
    <t>WENDRIAWANTO</t>
  </si>
  <si>
    <t>PUTRI MEGA AYU WIDIARTI</t>
  </si>
  <si>
    <t>UMI KULSUM, S.H.</t>
  </si>
  <si>
    <t>SONNY PRAKOSO INDRA, S.E.</t>
  </si>
  <si>
    <t>ERJUNA SITI FATIMAH</t>
  </si>
  <si>
    <t>SITI MARIYAM</t>
  </si>
  <si>
    <t>HERU SUKARNO, S.H.</t>
  </si>
  <si>
    <t>AHMAD MUZAYYIN</t>
  </si>
  <si>
    <t>DRS. MOH. PADIL</t>
  </si>
  <si>
    <t>ALEX WIJAYA KUSUMA</t>
  </si>
  <si>
    <t>DANY FARDA MIHMDIAT</t>
  </si>
  <si>
    <t>UNTUNG AL AKBAR</t>
  </si>
  <si>
    <t>SETYO PONCO UTOMO</t>
  </si>
  <si>
    <t>LIA ALYSTIA NINGRUM, S.PD.</t>
  </si>
  <si>
    <t>ELY SODIKIN</t>
  </si>
  <si>
    <t>BAGUS WAHONO</t>
  </si>
  <si>
    <t>ARTIS YOGYA KARTIKA</t>
  </si>
  <si>
    <t>IMAM HAKTONO</t>
  </si>
  <si>
    <t>FAISOL AZZ, A.MD.</t>
  </si>
  <si>
    <t>HAYATUL MAKIN</t>
  </si>
  <si>
    <t>SAKI HANDAYANI</t>
  </si>
  <si>
    <t>ASMAWIYANTO, A.MA.</t>
  </si>
  <si>
    <t>SANTI SETYOWATI</t>
  </si>
  <si>
    <t>SUPARNO, S.T.</t>
  </si>
  <si>
    <t>YAKUP YULIANTO</t>
  </si>
  <si>
    <t>TRIA UTAMA</t>
  </si>
  <si>
    <t>ANIS KHAFIFAH MZ</t>
  </si>
  <si>
    <t>H. HARIONO</t>
  </si>
  <si>
    <t>GOPUR BACHITAR, S.T.</t>
  </si>
  <si>
    <t>BONIMAH</t>
  </si>
  <si>
    <t>AGUS PRAYOGI</t>
  </si>
  <si>
    <t>DWI FITRIA PRATIWI</t>
  </si>
  <si>
    <t>NURUL MAKIYAH, S.PD.</t>
  </si>
  <si>
    <t>HJ. SUPRIYANTI, S.E.</t>
  </si>
  <si>
    <t>FIRMAN</t>
  </si>
  <si>
    <t>SAIFUL</t>
  </si>
  <si>
    <t>SULTAN BAUZIR</t>
  </si>
  <si>
    <t>PUTRI ANTARI</t>
  </si>
  <si>
    <t>TAUFIQ TANTOWI</t>
  </si>
  <si>
    <t>SATRA BUDI UTOMO</t>
  </si>
  <si>
    <t>DEKY ZULKARNAIN</t>
  </si>
  <si>
    <t>WINARTI, S.PD.</t>
  </si>
  <si>
    <t>DIDIT HARYANTO</t>
  </si>
  <si>
    <t>H. SRI FIDIASTUTIK</t>
  </si>
  <si>
    <t>MOH. KHOLIL ARROSYID, S.H.</t>
  </si>
  <si>
    <t>JULISETYO PUJI RAHAYU, S.SOS., S.H., M.H.</t>
  </si>
  <si>
    <t>MOH. YANI</t>
  </si>
  <si>
    <t>YUSUF KURNIAWAN</t>
  </si>
  <si>
    <t>MASIYAH KURNIAWATI YULIATIN</t>
  </si>
  <si>
    <t>MOHAMMAD SYAFRIL</t>
  </si>
  <si>
    <t>SUKIRNO</t>
  </si>
  <si>
    <t>WINDA DWI KURNIAWATI</t>
  </si>
  <si>
    <t>RADHITYA KEMARA YUSANDHI, S.E.</t>
  </si>
  <si>
    <t>HEKSA SHINTA PRATIWI</t>
  </si>
  <si>
    <t>NADYA SHARA DIVA ROSSANO</t>
  </si>
  <si>
    <t>JAENURI, S.H., M.H.</t>
  </si>
  <si>
    <t>INDRIYANI</t>
  </si>
  <si>
    <t>AHMAD KHOIRUL ANAM</t>
  </si>
  <si>
    <t>ISLAMIYAH</t>
  </si>
  <si>
    <t>BUANG HARYANTO</t>
  </si>
  <si>
    <t>SYAIFUR ROHMAN, S.PD.</t>
  </si>
  <si>
    <t>HADI SANTOSO</t>
  </si>
  <si>
    <t>ARRUUM WULAN ALFURQONI</t>
  </si>
  <si>
    <t>TPS 901</t>
  </si>
  <si>
    <t>TPS 902</t>
  </si>
  <si>
    <t>TPS 903</t>
  </si>
  <si>
    <t>TPS 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</si>
</sst>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16" xfId="0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2" borderId="0" xfId="0" applyFont="1" applyFill="1"/>
    <xf numFmtId="3" fontId="2" fillId="3" borderId="0" xfId="0" applyNumberFormat="1" applyFont="1" applyFill="1"/>
    <xf numFmtId="0" fontId="2" fillId="3" borderId="0" xfId="0" applyFont="1" applyFill="1"/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 applyAlignment="1">
      <alignment horizontal="center" vertical="center" wrapText="1"/>
    </xf>
    <xf numFmtId="0" fontId="3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3" fillId="0" borderId="4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4" xfId="0" applyFont="1" applyBorder="1" applyAlignment="1">
      <alignment vertical="center" wrapText="1"/>
    </xf>
    <xf numFmtId="0" fontId="3" fillId="0" borderId="9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3" xfId="0" applyFont="1" applyBorder="1"/>
    <xf numFmtId="0" fontId="4" fillId="0" borderId="11" xfId="0" applyFont="1" applyBorder="1" applyAlignment="1">
      <alignment horizontal="center" vertical="center"/>
    </xf>
    <xf numFmtId="0" fontId="3" fillId="0" borderId="15" xfId="0" applyFont="1" applyBorder="1"/>
    <xf numFmtId="0" fontId="4" fillId="0" borderId="14" xfId="0" applyFont="1" applyBorder="1" applyAlignment="1">
      <alignment horizontal="left" vertical="center" wrapText="1"/>
    </xf>
    <xf numFmtId="0" fontId="3" fillId="0" borderId="14" xfId="0" applyFont="1" applyBorder="1"/>
    <xf numFmtId="0" fontId="5" fillId="0" borderId="3" xfId="0" applyFont="1" applyBorder="1"/>
    <xf numFmtId="0" fontId="5" fillId="0" borderId="4" xfId="0" applyFont="1" applyBorder="1"/>
    <xf numFmtId="0" fontId="3" fillId="0" borderId="12" xfId="0" applyFont="1" applyBorder="1"/>
    <xf numFmtId="0" fontId="0" fillId="0" borderId="0" xfId="0"/>
    <xf numFmtId="0" fontId="3" fillId="0" borderId="10" xfId="0" applyFont="1" applyBorder="1"/>
    <xf numFmtId="0" fontId="4" fillId="0" borderId="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3" fillId="0" borderId="13" xfId="0" applyFont="1" applyBorder="1"/>
    <xf numFmtId="0" fontId="3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7" xfId="0" applyFont="1" applyBorder="1"/>
    <xf numFmtId="0" fontId="3" fillId="0" borderId="11" xfId="0" applyFont="1" applyBorder="1"/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168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B9F4-43D1-4EFD-BC42-FAAF0D7FB350}">
  <sheetPr>
    <outlinePr summaryBelow="0" summaryRight="0"/>
  </sheetPr>
  <dimension ref="A1:HH1224"/>
  <sheetViews>
    <sheetView zoomScaleNormal="100" workbookViewId="0">
      <selection activeCell="A52" sqref="A52:XFD54"/>
    </sheetView>
  </sheetViews>
  <sheetFormatPr defaultColWidth="0" defaultRowHeight="15" customHeight="1" zeroHeight="1" x14ac:dyDescent="0.4"/>
  <cols>
    <col min="1" max="1" width="3.5703125" customWidth="1"/>
    <col min="2" max="2" width="4" customWidth="1"/>
    <col min="3" max="3" width="64.5703125" customWidth="1"/>
    <col min="4" max="4" width="6.5703125" customWidth="1"/>
    <col min="5" max="5" width="18.85546875" customWidth="1"/>
    <col min="6" max="7" width="10.140625" customWidth="1"/>
    <col min="8" max="16" width="10.140625" hidden="1" customWidth="1"/>
    <col min="17" max="216" width="0" hidden="1" customWidth="1"/>
    <col min="217" max="16384" width="12.5703125" hidden="1"/>
  </cols>
  <sheetData>
    <row r="1" spans="1:216" ht="15" customHeight="1" x14ac:dyDescent="0.4"/>
    <row r="2" spans="1:216" ht="15" customHeight="1" x14ac:dyDescent="0.4"/>
    <row r="3" spans="1:216" ht="15" customHeight="1" x14ac:dyDescent="0.4"/>
    <row r="4" spans="1:216" ht="15" customHeight="1" x14ac:dyDescent="0.4"/>
    <row r="5" spans="1:216" ht="15.75" customHeight="1" x14ac:dyDescent="0.4">
      <c r="F5" s="1"/>
      <c r="G5" s="1"/>
      <c r="H5" s="1"/>
      <c r="I5" s="1"/>
      <c r="J5" s="1"/>
      <c r="K5" s="1"/>
      <c r="L5" s="1"/>
      <c r="M5" s="1"/>
      <c r="N5" s="1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</row>
    <row r="6" spans="1:216" ht="15.75" customHeight="1" x14ac:dyDescent="0.4">
      <c r="F6" s="1"/>
      <c r="G6" s="1"/>
      <c r="H6" s="1"/>
      <c r="I6" s="1"/>
      <c r="J6" s="1"/>
      <c r="K6" s="1"/>
      <c r="L6" s="1"/>
      <c r="M6" s="1"/>
      <c r="N6" s="1"/>
      <c r="O6" s="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</row>
    <row r="7" spans="1:216" ht="15.75" customHeight="1" x14ac:dyDescent="0.4">
      <c r="F7" s="20"/>
      <c r="G7" s="20"/>
      <c r="H7" s="20"/>
      <c r="I7" s="20"/>
      <c r="J7" s="20"/>
      <c r="K7" s="20"/>
      <c r="L7" s="20"/>
      <c r="M7" s="20"/>
      <c r="N7" s="20"/>
      <c r="O7" s="20"/>
      <c r="P7" s="32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</row>
    <row r="8" spans="1:216" ht="15.75" customHeight="1" x14ac:dyDescent="0.4">
      <c r="C8" s="43" t="s">
        <v>91</v>
      </c>
      <c r="D8" s="43" t="s">
        <v>98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</row>
    <row r="9" spans="1:216" ht="15.75" customHeight="1" x14ac:dyDescent="0.4">
      <c r="C9" s="43" t="s">
        <v>92</v>
      </c>
      <c r="D9" s="43" t="s">
        <v>93</v>
      </c>
      <c r="F9" s="1"/>
      <c r="G9" s="1"/>
      <c r="H9" s="1"/>
      <c r="I9" s="1"/>
      <c r="J9" s="1"/>
      <c r="K9" s="1"/>
      <c r="L9" s="1"/>
      <c r="M9" s="1"/>
      <c r="N9" s="1"/>
      <c r="O9" s="1"/>
      <c r="P9" s="34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</row>
    <row r="10" spans="1:216" ht="15.75" customHeight="1" x14ac:dyDescent="0.4">
      <c r="C10" s="43" t="s">
        <v>94</v>
      </c>
      <c r="D10" s="43" t="s">
        <v>95</v>
      </c>
      <c r="F10" s="20"/>
      <c r="G10" s="20"/>
      <c r="H10" s="20"/>
      <c r="I10" s="20"/>
      <c r="J10" s="20"/>
      <c r="K10" s="20"/>
      <c r="L10" s="20"/>
      <c r="M10" s="20"/>
      <c r="N10" s="20"/>
      <c r="O10" s="23"/>
      <c r="P10" s="3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</row>
    <row r="11" spans="1:216" ht="15.75" customHeight="1" x14ac:dyDescent="0.4">
      <c r="A11" s="1"/>
      <c r="B11" s="2"/>
      <c r="C11" s="2"/>
      <c r="D11" s="2"/>
      <c r="E11" s="1"/>
      <c r="F11" s="20"/>
      <c r="G11" s="20"/>
      <c r="H11" s="20"/>
      <c r="I11" s="20"/>
      <c r="J11" s="20"/>
      <c r="K11" s="20"/>
      <c r="L11" s="20"/>
      <c r="M11" s="20"/>
      <c r="N11" s="20"/>
      <c r="O11" s="23"/>
      <c r="P11" s="3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</row>
    <row r="12" spans="1:216" ht="15.75" customHeight="1" x14ac:dyDescent="0.4">
      <c r="A12" s="5" t="s">
        <v>0</v>
      </c>
      <c r="B12" s="60" t="s">
        <v>1</v>
      </c>
      <c r="C12" s="68"/>
      <c r="D12" s="51"/>
      <c r="E12" s="92" t="s">
        <v>90</v>
      </c>
      <c r="F12" s="39"/>
      <c r="G12" s="20"/>
      <c r="H12" s="20"/>
      <c r="I12" s="20"/>
      <c r="J12" s="20"/>
      <c r="K12" s="20"/>
      <c r="L12" s="20"/>
      <c r="M12" s="20"/>
      <c r="N12" s="20"/>
      <c r="O12" s="20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</row>
    <row r="13" spans="1:216" ht="15.75" customHeight="1" x14ac:dyDescent="0.4">
      <c r="A13" s="6" t="s">
        <v>2</v>
      </c>
      <c r="B13" s="78" t="s">
        <v>3</v>
      </c>
      <c r="C13" s="68"/>
      <c r="D13" s="51"/>
      <c r="E13" s="91"/>
      <c r="F13" s="39"/>
      <c r="G13" s="20"/>
      <c r="H13" s="20"/>
      <c r="I13" s="20"/>
      <c r="J13" s="20"/>
      <c r="K13" s="20"/>
      <c r="L13" s="20"/>
      <c r="M13" s="20"/>
      <c r="N13" s="20"/>
      <c r="O13" s="20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</row>
    <row r="14" spans="1:216" ht="15.75" customHeight="1" x14ac:dyDescent="0.4">
      <c r="A14" s="7"/>
      <c r="B14" s="89" t="s">
        <v>21</v>
      </c>
      <c r="C14" s="64"/>
      <c r="D14" s="6" t="s">
        <v>22</v>
      </c>
      <c r="E14" s="9">
        <f>BOYOLANGU!U14+GIRI!V14+GROGOL!V14+JAMBESARI!O14+MOJOPANGGUNG!V14+PENATABAN!V14</f>
        <v>12715</v>
      </c>
      <c r="F14" s="40"/>
      <c r="G14" s="1"/>
      <c r="H14" s="1"/>
      <c r="I14" s="1"/>
      <c r="J14" s="1"/>
      <c r="K14" s="1"/>
      <c r="L14" s="1"/>
      <c r="M14" s="1"/>
      <c r="N14" s="1"/>
      <c r="O14" s="1"/>
      <c r="P14" s="34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</row>
    <row r="15" spans="1:216" ht="15.75" customHeight="1" x14ac:dyDescent="0.4">
      <c r="A15" s="7"/>
      <c r="B15" s="90"/>
      <c r="C15" s="77"/>
      <c r="D15" s="6" t="s">
        <v>23</v>
      </c>
      <c r="E15" s="9">
        <f>BOYOLANGU!U15+GIRI!V15+GROGOL!V15+JAMBESARI!O15+MOJOPANGGUNG!V15+PENATABAN!V15</f>
        <v>12285</v>
      </c>
      <c r="F15" s="39"/>
      <c r="G15" s="20"/>
      <c r="H15" s="20"/>
      <c r="I15" s="20"/>
      <c r="J15" s="20"/>
      <c r="K15" s="20"/>
      <c r="L15" s="20"/>
      <c r="M15" s="20"/>
      <c r="N15" s="20"/>
      <c r="O15" s="20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</row>
    <row r="16" spans="1:216" ht="15.75" customHeight="1" x14ac:dyDescent="0.4">
      <c r="A16" s="8"/>
      <c r="B16" s="91"/>
      <c r="C16" s="75"/>
      <c r="D16" s="5" t="s">
        <v>24</v>
      </c>
      <c r="E16" s="25">
        <f t="shared" ref="E16" si="0">SUM(E14:E15)</f>
        <v>25000</v>
      </c>
      <c r="F16" s="39"/>
      <c r="G16" s="20"/>
      <c r="H16" s="20"/>
      <c r="I16" s="20"/>
      <c r="J16" s="20"/>
      <c r="K16" s="20"/>
      <c r="L16" s="20"/>
      <c r="M16" s="20"/>
      <c r="N16" s="20"/>
      <c r="O16" s="20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</row>
    <row r="17" spans="1:216" ht="15.75" customHeight="1" x14ac:dyDescent="0.4">
      <c r="A17" s="55"/>
      <c r="B17" s="68"/>
      <c r="C17" s="68"/>
      <c r="D17" s="51"/>
      <c r="E17" s="9"/>
      <c r="F17" s="40"/>
      <c r="G17" s="1"/>
      <c r="H17" s="1"/>
      <c r="I17" s="1"/>
      <c r="J17" s="1"/>
      <c r="K17" s="1"/>
      <c r="L17" s="1"/>
      <c r="M17" s="1"/>
      <c r="N17" s="1"/>
      <c r="O17" s="1"/>
      <c r="P17" s="34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</row>
    <row r="18" spans="1:216" ht="15.75" customHeight="1" x14ac:dyDescent="0.4">
      <c r="A18" s="11" t="s">
        <v>25</v>
      </c>
      <c r="B18" s="78" t="s">
        <v>26</v>
      </c>
      <c r="C18" s="68"/>
      <c r="D18" s="51"/>
      <c r="E18" s="9"/>
      <c r="F18" s="39"/>
      <c r="G18" s="20"/>
      <c r="H18" s="20"/>
      <c r="I18" s="20"/>
      <c r="J18" s="20"/>
      <c r="K18" s="20"/>
      <c r="L18" s="20"/>
      <c r="M18" s="20"/>
      <c r="N18" s="20"/>
      <c r="O18" s="20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</row>
    <row r="19" spans="1:216" ht="15.75" customHeight="1" x14ac:dyDescent="0.4">
      <c r="A19" s="11"/>
      <c r="B19" s="79" t="s">
        <v>27</v>
      </c>
      <c r="C19" s="80" t="s">
        <v>28</v>
      </c>
      <c r="D19" s="6" t="s">
        <v>22</v>
      </c>
      <c r="E19" s="9">
        <f>BOYOLANGU!U19+GIRI!V19+GROGOL!V19+JAMBESARI!O19+MOJOPANGGUNG!V19+PENATABAN!V19</f>
        <v>9244</v>
      </c>
      <c r="F19" s="39"/>
      <c r="G19" s="20"/>
      <c r="H19" s="20"/>
      <c r="I19" s="20"/>
      <c r="J19" s="20"/>
      <c r="K19" s="20"/>
      <c r="L19" s="20"/>
      <c r="M19" s="20"/>
      <c r="N19" s="20"/>
      <c r="O19" s="20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</row>
    <row r="20" spans="1:216" ht="15.75" customHeight="1" x14ac:dyDescent="0.4">
      <c r="A20" s="12"/>
      <c r="B20" s="77"/>
      <c r="C20" s="81"/>
      <c r="D20" s="6" t="s">
        <v>23</v>
      </c>
      <c r="E20" s="9">
        <f>BOYOLANGU!U20+GIRI!V20+GROGOL!V20+JAMBESARI!O20+MOJOPANGGUNG!V20+PENATABAN!V20</f>
        <v>10203</v>
      </c>
      <c r="F20" s="40"/>
      <c r="G20" s="1"/>
      <c r="H20" s="1"/>
      <c r="I20" s="1"/>
      <c r="J20" s="1"/>
      <c r="K20" s="1"/>
      <c r="L20" s="1"/>
      <c r="M20" s="1"/>
      <c r="N20" s="1"/>
      <c r="O20" s="1"/>
      <c r="P20" s="34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</row>
    <row r="21" spans="1:216" ht="15.75" customHeight="1" x14ac:dyDescent="0.4">
      <c r="A21" s="13"/>
      <c r="B21" s="75"/>
      <c r="C21" s="82"/>
      <c r="D21" s="5" t="s">
        <v>24</v>
      </c>
      <c r="E21" s="25">
        <f t="shared" ref="E21" si="1">SUM(E19:E20)</f>
        <v>19447</v>
      </c>
      <c r="F21" s="40"/>
      <c r="G21" s="1"/>
      <c r="H21" s="1"/>
      <c r="I21" s="1"/>
      <c r="J21" s="1"/>
      <c r="K21" s="1"/>
      <c r="L21" s="1"/>
      <c r="M21" s="1"/>
      <c r="N21" s="1"/>
      <c r="O21" s="1"/>
      <c r="P21" s="34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</row>
    <row r="22" spans="1:216" ht="15.75" customHeight="1" x14ac:dyDescent="0.4">
      <c r="A22" s="12"/>
      <c r="B22" s="79" t="s">
        <v>29</v>
      </c>
      <c r="C22" s="80" t="s">
        <v>30</v>
      </c>
      <c r="D22" s="6" t="s">
        <v>22</v>
      </c>
      <c r="E22" s="9">
        <f>BOYOLANGU!U22+GIRI!V22+GROGOL!V22+JAMBESARI!O22+MOJOPANGGUNG!V22+PENATABAN!V22</f>
        <v>52</v>
      </c>
      <c r="F22" s="40"/>
      <c r="G22" s="1"/>
      <c r="H22" s="1"/>
      <c r="I22" s="1"/>
      <c r="J22" s="1"/>
      <c r="K22" s="1"/>
      <c r="L22" s="1"/>
      <c r="M22" s="1"/>
      <c r="N22" s="1"/>
      <c r="O22" s="1"/>
      <c r="P22" s="34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</row>
    <row r="23" spans="1:216" ht="15.75" customHeight="1" x14ac:dyDescent="0.4">
      <c r="A23" s="12"/>
      <c r="B23" s="77"/>
      <c r="C23" s="81"/>
      <c r="D23" s="6" t="s">
        <v>23</v>
      </c>
      <c r="E23" s="9">
        <f>BOYOLANGU!U23+GIRI!V23+GROGOL!V23+JAMBESARI!O23+MOJOPANGGUNG!V23+PENATABAN!V23</f>
        <v>14</v>
      </c>
      <c r="F23" s="40"/>
      <c r="G23" s="1"/>
      <c r="H23" s="1"/>
      <c r="I23" s="1"/>
      <c r="J23" s="1"/>
      <c r="K23" s="1"/>
      <c r="L23" s="1"/>
      <c r="M23" s="1"/>
      <c r="N23" s="1"/>
      <c r="O23" s="1"/>
      <c r="P23" s="34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</row>
    <row r="24" spans="1:216" ht="15.75" customHeight="1" x14ac:dyDescent="0.4">
      <c r="A24" s="13"/>
      <c r="B24" s="75"/>
      <c r="C24" s="82"/>
      <c r="D24" s="5" t="s">
        <v>24</v>
      </c>
      <c r="E24" s="25">
        <f t="shared" ref="E24" si="2">SUM(E22:E23)</f>
        <v>66</v>
      </c>
      <c r="F24" s="39"/>
      <c r="G24" s="20"/>
      <c r="H24" s="20"/>
      <c r="I24" s="20"/>
      <c r="J24" s="20"/>
      <c r="K24" s="20"/>
      <c r="L24" s="20"/>
      <c r="M24" s="20"/>
      <c r="N24" s="20"/>
      <c r="O24" s="23"/>
      <c r="P24" s="3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</row>
    <row r="25" spans="1:216" ht="15.75" customHeight="1" x14ac:dyDescent="0.4">
      <c r="A25" s="12"/>
      <c r="B25" s="79" t="s">
        <v>31</v>
      </c>
      <c r="C25" s="80" t="s">
        <v>32</v>
      </c>
      <c r="D25" s="6" t="s">
        <v>22</v>
      </c>
      <c r="E25" s="9">
        <f>BOYOLANGU!U25+GIRI!V25+GROGOL!V25+JAMBESARI!O25+MOJOPANGGUNG!V25+PENATABAN!V25</f>
        <v>52</v>
      </c>
      <c r="F25" s="40"/>
      <c r="G25" s="1"/>
      <c r="H25" s="1"/>
      <c r="I25" s="1"/>
      <c r="J25" s="1"/>
      <c r="K25" s="1"/>
      <c r="L25" s="1"/>
      <c r="M25" s="1"/>
      <c r="N25" s="1"/>
      <c r="O25" s="3"/>
      <c r="P25" s="3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</row>
    <row r="26" spans="1:216" ht="15.75" customHeight="1" x14ac:dyDescent="0.4">
      <c r="A26" s="12"/>
      <c r="B26" s="77"/>
      <c r="C26" s="81"/>
      <c r="D26" s="6" t="s">
        <v>23</v>
      </c>
      <c r="E26" s="9">
        <f>BOYOLANGU!U26+GIRI!V26+GROGOL!V26+JAMBESARI!O26+MOJOPANGGUNG!V26+PENATABAN!V26</f>
        <v>95</v>
      </c>
      <c r="F26" s="39"/>
      <c r="G26" s="20"/>
      <c r="H26" s="20"/>
      <c r="I26" s="20"/>
      <c r="J26" s="20"/>
      <c r="K26" s="20"/>
      <c r="L26" s="20"/>
      <c r="M26" s="20"/>
      <c r="N26" s="20"/>
      <c r="O26" s="20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</row>
    <row r="27" spans="1:216" ht="15.75" customHeight="1" x14ac:dyDescent="0.4">
      <c r="A27" s="13"/>
      <c r="B27" s="75"/>
      <c r="C27" s="82"/>
      <c r="D27" s="5" t="s">
        <v>24</v>
      </c>
      <c r="E27" s="25">
        <f t="shared" ref="E27" si="3">SUM(E25:E26)</f>
        <v>147</v>
      </c>
      <c r="F27" s="40"/>
      <c r="G27" s="1"/>
      <c r="H27" s="1"/>
      <c r="I27" s="1"/>
      <c r="J27" s="1"/>
      <c r="K27" s="1"/>
      <c r="L27" s="1"/>
      <c r="M27" s="1"/>
      <c r="N27" s="1"/>
      <c r="O27" s="1"/>
      <c r="P27" s="34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</row>
    <row r="28" spans="1:216" ht="15.75" customHeight="1" x14ac:dyDescent="0.4">
      <c r="A28" s="13"/>
      <c r="B28" s="83" t="s">
        <v>33</v>
      </c>
      <c r="C28" s="84" t="s">
        <v>34</v>
      </c>
      <c r="D28" s="5" t="s">
        <v>22</v>
      </c>
      <c r="E28" s="25">
        <f t="shared" ref="E28:E29" si="4">E19+E22+E25</f>
        <v>9348</v>
      </c>
      <c r="F28" s="39"/>
      <c r="G28" s="20"/>
      <c r="H28" s="20"/>
      <c r="I28" s="20"/>
      <c r="J28" s="20"/>
      <c r="K28" s="20"/>
      <c r="L28" s="20"/>
      <c r="M28" s="20"/>
      <c r="N28" s="20"/>
      <c r="O28" s="20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</row>
    <row r="29" spans="1:216" ht="15.75" customHeight="1" x14ac:dyDescent="0.4">
      <c r="A29" s="13"/>
      <c r="B29" s="77"/>
      <c r="C29" s="81"/>
      <c r="D29" s="5" t="s">
        <v>23</v>
      </c>
      <c r="E29" s="25">
        <f t="shared" si="4"/>
        <v>10312</v>
      </c>
      <c r="F29" s="40"/>
      <c r="G29" s="1"/>
      <c r="H29" s="1"/>
      <c r="I29" s="1"/>
      <c r="J29" s="1"/>
      <c r="K29" s="1"/>
      <c r="L29" s="1"/>
      <c r="M29" s="1"/>
      <c r="N29" s="1"/>
      <c r="O29" s="1"/>
      <c r="P29" s="34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</row>
    <row r="30" spans="1:216" ht="15.75" customHeight="1" x14ac:dyDescent="0.4">
      <c r="A30" s="13"/>
      <c r="B30" s="75"/>
      <c r="C30" s="82"/>
      <c r="D30" s="5" t="s">
        <v>24</v>
      </c>
      <c r="E30" s="25">
        <f t="shared" ref="E30" si="5">SUM(E28:E29)</f>
        <v>19660</v>
      </c>
      <c r="F30" s="41"/>
      <c r="G30" s="30"/>
      <c r="H30" s="30"/>
      <c r="I30" s="30"/>
      <c r="J30" s="30"/>
      <c r="K30" s="20"/>
      <c r="L30" s="20"/>
      <c r="M30" s="20"/>
      <c r="N30" s="20"/>
      <c r="O30" s="23"/>
      <c r="P30" s="35"/>
      <c r="Q30" s="30"/>
      <c r="R30" s="30"/>
      <c r="S30" s="30"/>
      <c r="T30" s="30"/>
      <c r="U30" s="4"/>
      <c r="V30" s="4"/>
      <c r="W30" s="4"/>
      <c r="X30" s="30"/>
      <c r="Y30" s="30"/>
      <c r="Z30" s="30"/>
      <c r="AA30" s="30"/>
      <c r="AB30" s="4"/>
      <c r="AC30" s="4"/>
      <c r="AD30" s="4"/>
      <c r="AE30" s="4"/>
      <c r="AF30" s="4"/>
      <c r="AG30" s="4"/>
      <c r="AH30" s="4"/>
      <c r="AI30" s="30"/>
      <c r="AJ30" s="30"/>
      <c r="AK30" s="30"/>
      <c r="AL30" s="30"/>
      <c r="AM30" s="4"/>
      <c r="AN30" s="4"/>
      <c r="AO30" s="4"/>
      <c r="AP30" s="4"/>
      <c r="AQ30" s="4"/>
      <c r="AR30" s="4"/>
      <c r="AS30" s="4"/>
      <c r="AT30" s="30"/>
      <c r="AU30" s="30"/>
      <c r="AV30" s="30"/>
      <c r="AW30" s="30"/>
      <c r="AX30" s="4"/>
      <c r="AY30" s="4"/>
      <c r="AZ30" s="4"/>
      <c r="BA30" s="4"/>
      <c r="BB30" s="4"/>
      <c r="BC30" s="4"/>
      <c r="BD30" s="4"/>
      <c r="BE30" s="4"/>
      <c r="BF30" s="30"/>
      <c r="BG30" s="30"/>
      <c r="BH30" s="30"/>
      <c r="BI30" s="30"/>
      <c r="BJ30" s="4"/>
      <c r="BK30" s="4"/>
      <c r="BL30" s="30"/>
      <c r="BM30" s="30"/>
      <c r="BN30" s="30"/>
      <c r="BO30" s="30"/>
      <c r="BP30" s="4"/>
      <c r="BQ30" s="4"/>
      <c r="BR30" s="4"/>
      <c r="BS30" s="30"/>
      <c r="BT30" s="30"/>
      <c r="BU30" s="30"/>
      <c r="BV30" s="30"/>
      <c r="BW30" s="4"/>
      <c r="BX30" s="4"/>
      <c r="BY30" s="4"/>
      <c r="BZ30" s="4"/>
      <c r="CA30" s="4"/>
      <c r="CB30" s="30"/>
      <c r="CC30" s="30"/>
      <c r="CD30" s="30"/>
      <c r="CE30" s="30"/>
      <c r="CF30" s="4"/>
      <c r="CG30" s="4"/>
      <c r="CH30" s="30"/>
      <c r="CI30" s="30"/>
      <c r="CJ30" s="30"/>
      <c r="CK30" s="30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30"/>
      <c r="DA30" s="30"/>
      <c r="DB30" s="30"/>
      <c r="DC30" s="30"/>
      <c r="DD30" s="4"/>
      <c r="DE30" s="4"/>
      <c r="DF30" s="4"/>
      <c r="DG30" s="4"/>
      <c r="DH30" s="4"/>
      <c r="DI30" s="4"/>
      <c r="DJ30" s="4"/>
      <c r="DK30" s="4"/>
      <c r="DL30" s="30"/>
      <c r="DM30" s="30"/>
      <c r="DN30" s="30"/>
      <c r="DO30" s="30"/>
      <c r="DP30" s="4"/>
      <c r="DQ30" s="4"/>
      <c r="DR30" s="4"/>
      <c r="DS30" s="4"/>
      <c r="DT30" s="30"/>
      <c r="DU30" s="30"/>
      <c r="DV30" s="30"/>
      <c r="DW30" s="30"/>
      <c r="DX30" s="4"/>
      <c r="DY30" s="4"/>
      <c r="DZ30" s="30"/>
      <c r="EA30" s="30"/>
      <c r="EB30" s="30"/>
      <c r="EC30" s="30"/>
      <c r="ED30" s="4"/>
      <c r="EE30" s="4"/>
      <c r="EF30" s="4"/>
      <c r="EG30" s="4"/>
      <c r="EH30" s="4"/>
      <c r="EI30" s="4"/>
      <c r="EJ30" s="4"/>
      <c r="EK30" s="4"/>
      <c r="EL30" s="4"/>
      <c r="EM30" s="30"/>
      <c r="EN30" s="30"/>
      <c r="EO30" s="30"/>
      <c r="EP30" s="30"/>
      <c r="EQ30" s="4"/>
      <c r="ER30" s="4"/>
      <c r="ES30" s="4"/>
      <c r="ET30" s="4"/>
      <c r="EU30" s="4"/>
      <c r="EV30" s="4"/>
      <c r="EW30" s="4"/>
      <c r="EX30" s="4"/>
      <c r="EY30" s="4"/>
      <c r="EZ30" s="30"/>
      <c r="FA30" s="30"/>
      <c r="FB30" s="30"/>
      <c r="FC30" s="30"/>
      <c r="FD30" s="4"/>
      <c r="FE30" s="4"/>
      <c r="FF30" s="30"/>
      <c r="FG30" s="30"/>
      <c r="FH30" s="30"/>
      <c r="FI30" s="30"/>
      <c r="FJ30" s="4"/>
      <c r="FK30" s="30"/>
      <c r="FL30" s="30"/>
      <c r="FM30" s="30"/>
      <c r="FN30" s="30"/>
      <c r="FO30" s="4"/>
      <c r="FP30" s="4"/>
      <c r="FQ30" s="4"/>
      <c r="FR30" s="30"/>
      <c r="FS30" s="30"/>
      <c r="FT30" s="30"/>
      <c r="FU30" s="30"/>
      <c r="FV30" s="4"/>
      <c r="FW30" s="4"/>
      <c r="FX30" s="4"/>
      <c r="FY30" s="30"/>
      <c r="FZ30" s="30"/>
      <c r="GA30" s="4"/>
      <c r="GB30" s="30"/>
      <c r="GC30" s="30"/>
      <c r="GD30" s="30"/>
      <c r="GE30" s="30"/>
      <c r="GF30" s="4"/>
      <c r="GG30" s="4"/>
      <c r="GH30" s="4"/>
      <c r="GI30" s="4"/>
      <c r="GJ30" s="4"/>
      <c r="GK30" s="4"/>
      <c r="GL30" s="4"/>
      <c r="GM30" s="4"/>
      <c r="GN30" s="30"/>
      <c r="GO30" s="30"/>
      <c r="GP30" s="30"/>
      <c r="GQ30" s="30"/>
      <c r="GR30" s="4"/>
      <c r="GS30" s="4"/>
      <c r="GT30" s="4"/>
      <c r="GU30" s="4"/>
      <c r="GV30" s="4"/>
      <c r="GW30" s="4"/>
      <c r="GX30" s="4"/>
      <c r="GY30" s="30"/>
      <c r="GZ30" s="30"/>
      <c r="HA30" s="30"/>
      <c r="HB30" s="30"/>
      <c r="HC30" s="4"/>
      <c r="HD30" s="4"/>
      <c r="HE30" s="4"/>
      <c r="HF30" s="4"/>
      <c r="HG30" s="4"/>
      <c r="HH30" s="4"/>
    </row>
    <row r="31" spans="1:216" ht="15.75" customHeight="1" x14ac:dyDescent="0.4">
      <c r="A31" s="55"/>
      <c r="B31" s="68"/>
      <c r="C31" s="68"/>
      <c r="D31" s="51"/>
      <c r="E31" s="29"/>
      <c r="F31" s="40"/>
      <c r="G31" s="1"/>
      <c r="H31" s="1"/>
      <c r="I31" s="1"/>
      <c r="J31" s="1"/>
      <c r="K31" s="1"/>
      <c r="L31" s="1"/>
      <c r="M31" s="1"/>
      <c r="N31" s="1"/>
      <c r="O31" s="3"/>
      <c r="P31" s="3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</row>
    <row r="32" spans="1:216" ht="15.75" customHeight="1" x14ac:dyDescent="0.4">
      <c r="A32" s="14" t="s">
        <v>35</v>
      </c>
      <c r="B32" s="60" t="s">
        <v>36</v>
      </c>
      <c r="C32" s="68"/>
      <c r="D32" s="51"/>
      <c r="E32" s="25"/>
      <c r="F32" s="39"/>
      <c r="G32" s="20"/>
      <c r="H32" s="20"/>
      <c r="I32" s="20"/>
      <c r="J32" s="20"/>
      <c r="K32" s="20"/>
      <c r="L32" s="20"/>
      <c r="M32" s="20"/>
      <c r="N32" s="20"/>
      <c r="O32" s="20"/>
      <c r="P32" s="32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</row>
    <row r="33" spans="1:216" ht="15.75" customHeight="1" x14ac:dyDescent="0.4">
      <c r="A33" s="6">
        <v>1</v>
      </c>
      <c r="B33" s="78" t="s">
        <v>37</v>
      </c>
      <c r="C33" s="68"/>
      <c r="D33" s="51"/>
      <c r="E33" s="9">
        <f>BOYOLANGU!U33+GIRI!V33+GROGOL!V33+JAMBESARI!O33+MOJOPANGGUNG!V33+PENATABAN!V33</f>
        <v>25496</v>
      </c>
      <c r="F33" s="39"/>
      <c r="G33" s="20"/>
      <c r="H33" s="20"/>
      <c r="I33" s="20"/>
      <c r="J33" s="20"/>
      <c r="K33" s="20"/>
      <c r="L33" s="20"/>
      <c r="M33" s="20"/>
      <c r="N33" s="20"/>
      <c r="O33" s="20"/>
      <c r="P33" s="3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</row>
    <row r="34" spans="1:216" ht="15.75" customHeight="1" x14ac:dyDescent="0.4">
      <c r="A34" s="6">
        <v>2</v>
      </c>
      <c r="B34" s="78" t="s">
        <v>38</v>
      </c>
      <c r="C34" s="68"/>
      <c r="D34" s="51"/>
      <c r="E34" s="9">
        <f>BOYOLANGU!U34+GIRI!V34+GROGOL!V34+JAMBESARI!O34+MOJOPANGGUNG!V34+PENATABAN!V34</f>
        <v>19660</v>
      </c>
      <c r="F34" s="40"/>
      <c r="G34" s="1"/>
      <c r="H34" s="1"/>
      <c r="I34" s="1"/>
      <c r="J34" s="1"/>
      <c r="K34" s="1"/>
      <c r="L34" s="1"/>
      <c r="M34" s="1"/>
      <c r="N34" s="1"/>
      <c r="O34" s="1"/>
      <c r="P34" s="34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</row>
    <row r="35" spans="1:216" ht="15.75" customHeight="1" x14ac:dyDescent="0.4">
      <c r="A35" s="6">
        <v>3</v>
      </c>
      <c r="B35" s="78" t="s">
        <v>39</v>
      </c>
      <c r="C35" s="68"/>
      <c r="D35" s="51"/>
      <c r="E35" s="9">
        <f>BOYOLANGU!U35+GIRI!V35+GROGOL!V35+JAMBESARI!O35+MOJOPANGGUNG!V35+PENATABAN!V35</f>
        <v>45</v>
      </c>
      <c r="F35" s="41"/>
      <c r="G35" s="30"/>
      <c r="H35" s="30"/>
      <c r="I35" s="30"/>
      <c r="J35" s="30"/>
      <c r="K35" s="20"/>
      <c r="L35" s="20"/>
      <c r="M35" s="20"/>
      <c r="N35" s="20"/>
      <c r="O35" s="23"/>
      <c r="P35" s="35"/>
      <c r="Q35" s="30"/>
      <c r="R35" s="30"/>
      <c r="S35" s="30"/>
      <c r="T35" s="30"/>
      <c r="U35" s="4"/>
      <c r="V35" s="4"/>
      <c r="W35" s="4"/>
      <c r="X35" s="30"/>
      <c r="Y35" s="30"/>
      <c r="Z35" s="30"/>
      <c r="AA35" s="30"/>
      <c r="AB35" s="4"/>
      <c r="AC35" s="4"/>
      <c r="AD35" s="4"/>
      <c r="AE35" s="4"/>
      <c r="AF35" s="4"/>
      <c r="AG35" s="4"/>
      <c r="AH35" s="4"/>
      <c r="AI35" s="30"/>
      <c r="AJ35" s="30"/>
      <c r="AK35" s="30"/>
      <c r="AL35" s="30"/>
      <c r="AM35" s="4"/>
      <c r="AN35" s="4"/>
      <c r="AO35" s="4"/>
      <c r="AP35" s="4"/>
      <c r="AQ35" s="4"/>
      <c r="AR35" s="4"/>
      <c r="AS35" s="4"/>
      <c r="AT35" s="30"/>
      <c r="AU35" s="30"/>
      <c r="AV35" s="30"/>
      <c r="AW35" s="30"/>
      <c r="AX35" s="4"/>
      <c r="AY35" s="4"/>
      <c r="AZ35" s="4"/>
      <c r="BA35" s="4"/>
      <c r="BB35" s="4"/>
      <c r="BC35" s="4"/>
      <c r="BD35" s="4"/>
      <c r="BE35" s="4"/>
      <c r="BF35" s="30"/>
      <c r="BG35" s="30"/>
      <c r="BH35" s="30"/>
      <c r="BI35" s="30"/>
      <c r="BJ35" s="4"/>
      <c r="BK35" s="4"/>
      <c r="BL35" s="30"/>
      <c r="BM35" s="30"/>
      <c r="BN35" s="30"/>
      <c r="BO35" s="30"/>
      <c r="BP35" s="4"/>
      <c r="BQ35" s="4"/>
      <c r="BR35" s="4"/>
      <c r="BS35" s="30"/>
      <c r="BT35" s="30"/>
      <c r="BU35" s="30"/>
      <c r="BV35" s="30"/>
      <c r="BW35" s="4"/>
      <c r="BX35" s="4"/>
      <c r="BY35" s="4"/>
      <c r="BZ35" s="4"/>
      <c r="CA35" s="4"/>
      <c r="CB35" s="30"/>
      <c r="CC35" s="30"/>
      <c r="CD35" s="30"/>
      <c r="CE35" s="30"/>
      <c r="CF35" s="4"/>
      <c r="CG35" s="4"/>
      <c r="CH35" s="30"/>
      <c r="CI35" s="30"/>
      <c r="CJ35" s="30"/>
      <c r="CK35" s="30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30"/>
      <c r="DA35" s="30"/>
      <c r="DB35" s="30"/>
      <c r="DC35" s="30"/>
      <c r="DD35" s="4"/>
      <c r="DE35" s="4"/>
      <c r="DF35" s="4"/>
      <c r="DG35" s="4"/>
      <c r="DH35" s="4"/>
      <c r="DI35" s="4"/>
      <c r="DJ35" s="4"/>
      <c r="DK35" s="4"/>
      <c r="DL35" s="30"/>
      <c r="DM35" s="30"/>
      <c r="DN35" s="30"/>
      <c r="DO35" s="30"/>
      <c r="DP35" s="4"/>
      <c r="DQ35" s="4"/>
      <c r="DR35" s="4"/>
      <c r="DS35" s="4"/>
      <c r="DT35" s="30"/>
      <c r="DU35" s="30"/>
      <c r="DV35" s="30"/>
      <c r="DW35" s="30"/>
      <c r="DX35" s="4"/>
      <c r="DY35" s="4"/>
      <c r="DZ35" s="30"/>
      <c r="EA35" s="30"/>
      <c r="EB35" s="30"/>
      <c r="EC35" s="30"/>
      <c r="ED35" s="4"/>
      <c r="EE35" s="4"/>
      <c r="EF35" s="4"/>
      <c r="EG35" s="4"/>
      <c r="EH35" s="4"/>
      <c r="EI35" s="4"/>
      <c r="EJ35" s="4"/>
      <c r="EK35" s="4"/>
      <c r="EL35" s="4"/>
      <c r="EM35" s="30"/>
      <c r="EN35" s="30"/>
      <c r="EO35" s="30"/>
      <c r="EP35" s="30"/>
      <c r="EQ35" s="4"/>
      <c r="ER35" s="4"/>
      <c r="ES35" s="4"/>
      <c r="ET35" s="4"/>
      <c r="EU35" s="4"/>
      <c r="EV35" s="4"/>
      <c r="EW35" s="4"/>
      <c r="EX35" s="4"/>
      <c r="EY35" s="4"/>
      <c r="EZ35" s="30"/>
      <c r="FA35" s="30"/>
      <c r="FB35" s="30"/>
      <c r="FC35" s="30"/>
      <c r="FD35" s="4"/>
      <c r="FE35" s="4"/>
      <c r="FF35" s="30"/>
      <c r="FG35" s="30"/>
      <c r="FH35" s="30"/>
      <c r="FI35" s="30"/>
      <c r="FJ35" s="4"/>
      <c r="FK35" s="30"/>
      <c r="FL35" s="30"/>
      <c r="FM35" s="30"/>
      <c r="FN35" s="30"/>
      <c r="FO35" s="4"/>
      <c r="FP35" s="4"/>
      <c r="FQ35" s="4"/>
      <c r="FR35" s="30"/>
      <c r="FS35" s="30"/>
      <c r="FT35" s="30"/>
      <c r="FU35" s="30"/>
      <c r="FV35" s="4"/>
      <c r="FW35" s="4"/>
      <c r="FX35" s="4"/>
      <c r="FY35" s="30"/>
      <c r="FZ35" s="30"/>
      <c r="GA35" s="4"/>
      <c r="GB35" s="30"/>
      <c r="GC35" s="30"/>
      <c r="GD35" s="30"/>
      <c r="GE35" s="30"/>
      <c r="GF35" s="4"/>
      <c r="GG35" s="4"/>
      <c r="GH35" s="4"/>
      <c r="GI35" s="4"/>
      <c r="GJ35" s="4"/>
      <c r="GK35" s="4"/>
      <c r="GL35" s="4"/>
      <c r="GM35" s="4"/>
      <c r="GN35" s="30"/>
      <c r="GO35" s="30"/>
      <c r="GP35" s="30"/>
      <c r="GQ35" s="30"/>
      <c r="GR35" s="4"/>
      <c r="GS35" s="4"/>
      <c r="GT35" s="4"/>
      <c r="GU35" s="4"/>
      <c r="GV35" s="4"/>
      <c r="GW35" s="4"/>
      <c r="GX35" s="4"/>
      <c r="GY35" s="30"/>
      <c r="GZ35" s="30"/>
      <c r="HA35" s="30"/>
      <c r="HB35" s="30"/>
      <c r="HC35" s="4"/>
      <c r="HD35" s="4"/>
      <c r="HE35" s="4"/>
      <c r="HF35" s="4"/>
      <c r="HG35" s="4"/>
      <c r="HH35" s="4"/>
    </row>
    <row r="36" spans="1:216" ht="15.75" customHeight="1" x14ac:dyDescent="0.4">
      <c r="A36" s="6">
        <v>4</v>
      </c>
      <c r="B36" s="78" t="s">
        <v>40</v>
      </c>
      <c r="C36" s="68"/>
      <c r="D36" s="51"/>
      <c r="E36" s="25">
        <f t="shared" ref="E36" si="6">E33-(E34+E35)</f>
        <v>5791</v>
      </c>
      <c r="F36" s="40"/>
      <c r="G36" s="1"/>
      <c r="H36" s="1"/>
      <c r="I36" s="1"/>
      <c r="J36" s="1"/>
      <c r="K36" s="1"/>
      <c r="L36" s="1"/>
      <c r="M36" s="1"/>
      <c r="N36" s="1"/>
      <c r="O36" s="3"/>
      <c r="P36" s="3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</row>
    <row r="37" spans="1:216" ht="15.75" customHeight="1" x14ac:dyDescent="0.4">
      <c r="A37" s="55"/>
      <c r="B37" s="68"/>
      <c r="C37" s="68"/>
      <c r="D37" s="68"/>
      <c r="E37" s="68"/>
      <c r="F37" s="39"/>
      <c r="G37" s="20"/>
      <c r="H37" s="20"/>
      <c r="I37" s="20"/>
      <c r="J37" s="20"/>
      <c r="K37" s="20"/>
      <c r="L37" s="20"/>
      <c r="M37" s="20"/>
      <c r="N37" s="20"/>
      <c r="O37" s="23"/>
      <c r="P37" s="3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</row>
    <row r="38" spans="1:216" ht="15.75" customHeight="1" x14ac:dyDescent="0.4">
      <c r="A38" s="16" t="s">
        <v>41</v>
      </c>
      <c r="B38" s="60" t="s">
        <v>42</v>
      </c>
      <c r="C38" s="68"/>
      <c r="D38" s="51"/>
      <c r="E38" s="25"/>
      <c r="F38" s="39"/>
      <c r="G38" s="20"/>
      <c r="H38" s="20"/>
      <c r="I38" s="20"/>
      <c r="J38" s="20"/>
      <c r="K38" s="20"/>
      <c r="L38" s="20"/>
      <c r="M38" s="20"/>
      <c r="N38" s="20"/>
      <c r="O38" s="20"/>
      <c r="P38" s="32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</row>
    <row r="39" spans="1:216" ht="15.75" customHeight="1" x14ac:dyDescent="0.4">
      <c r="A39" s="11"/>
      <c r="B39" s="71" t="s">
        <v>43</v>
      </c>
      <c r="C39" s="64"/>
      <c r="D39" s="6" t="s">
        <v>22</v>
      </c>
      <c r="E39" s="9">
        <f>BOYOLANGU!U39+GIRI!V39+GROGOL!V39+JAMBESARI!O39+MOJOPANGGUNG!V39+PENATABAN!V39</f>
        <v>26</v>
      </c>
      <c r="F39" s="39"/>
      <c r="G39" s="20"/>
      <c r="H39" s="20"/>
      <c r="I39" s="20"/>
      <c r="J39" s="20"/>
      <c r="K39" s="20"/>
      <c r="L39" s="20"/>
      <c r="M39" s="20"/>
      <c r="N39" s="20"/>
      <c r="O39" s="20"/>
      <c r="P39" s="32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</row>
    <row r="40" spans="1:216" ht="15.75" customHeight="1" x14ac:dyDescent="0.4">
      <c r="A40" s="12"/>
      <c r="B40" s="76"/>
      <c r="C40" s="77"/>
      <c r="D40" s="6" t="s">
        <v>23</v>
      </c>
      <c r="E40" s="9">
        <f>BOYOLANGU!U40+GIRI!V40+GROGOL!V40+JAMBESARI!O40+MOJOPANGGUNG!V40+PENATABAN!V40</f>
        <v>20</v>
      </c>
      <c r="F40" s="39"/>
      <c r="G40" s="20"/>
      <c r="H40" s="20"/>
      <c r="I40" s="20"/>
      <c r="J40" s="20"/>
      <c r="K40" s="20"/>
      <c r="L40" s="20"/>
      <c r="M40" s="20"/>
      <c r="N40" s="20"/>
      <c r="O40" s="20"/>
      <c r="P40" s="32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</row>
    <row r="41" spans="1:216" ht="15.75" customHeight="1" x14ac:dyDescent="0.4">
      <c r="A41" s="14"/>
      <c r="B41" s="70"/>
      <c r="C41" s="75"/>
      <c r="D41" s="5" t="s">
        <v>24</v>
      </c>
      <c r="E41" s="25">
        <f t="shared" ref="E41" si="7">SUM(E39:E40)</f>
        <v>46</v>
      </c>
      <c r="F41" s="39"/>
      <c r="G41" s="20"/>
      <c r="H41" s="20"/>
      <c r="I41" s="20"/>
      <c r="J41" s="20"/>
      <c r="K41" s="20"/>
      <c r="L41" s="20"/>
      <c r="M41" s="20"/>
      <c r="N41" s="20"/>
      <c r="O41" s="20"/>
      <c r="P41" s="32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</row>
    <row r="42" spans="1:216" ht="15.75" customHeight="1" x14ac:dyDescent="0.4">
      <c r="A42" s="69"/>
      <c r="B42" s="70"/>
      <c r="C42" s="70"/>
      <c r="D42" s="75"/>
      <c r="E42" s="9"/>
      <c r="F42" s="39"/>
      <c r="G42" s="20"/>
      <c r="H42" s="20"/>
      <c r="I42" s="20"/>
      <c r="J42" s="20"/>
      <c r="K42" s="20"/>
      <c r="L42" s="20"/>
      <c r="M42" s="20"/>
      <c r="N42" s="20"/>
      <c r="O42" s="20"/>
      <c r="P42" s="32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</row>
    <row r="43" spans="1:216" ht="15.75" customHeight="1" x14ac:dyDescent="0.4">
      <c r="A43" s="16" t="s">
        <v>44</v>
      </c>
      <c r="B43" s="60" t="s">
        <v>45</v>
      </c>
      <c r="C43" s="68"/>
      <c r="D43" s="51"/>
      <c r="E43" s="25"/>
      <c r="F43" s="39"/>
      <c r="G43" s="20"/>
      <c r="H43" s="20"/>
      <c r="I43" s="20"/>
      <c r="J43" s="20"/>
      <c r="K43" s="20"/>
      <c r="L43" s="20"/>
      <c r="M43" s="20"/>
      <c r="N43" s="20"/>
      <c r="O43" s="20"/>
      <c r="P43" s="32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</row>
    <row r="44" spans="1:216" ht="15.75" customHeight="1" x14ac:dyDescent="0.4">
      <c r="A44" s="71" t="s">
        <v>46</v>
      </c>
      <c r="B44" s="72"/>
      <c r="C44" s="72"/>
      <c r="D44" s="64"/>
      <c r="E44" s="9"/>
      <c r="F44" s="39"/>
      <c r="G44" s="20"/>
      <c r="H44" s="20"/>
      <c r="I44" s="20"/>
      <c r="J44" s="20"/>
      <c r="K44" s="20"/>
      <c r="L44" s="20"/>
      <c r="M44" s="20"/>
      <c r="N44" s="20"/>
      <c r="O44" s="20"/>
      <c r="P44" s="32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</row>
    <row r="45" spans="1:216" ht="15.75" customHeight="1" x14ac:dyDescent="0.4">
      <c r="A45" s="11" t="s">
        <v>47</v>
      </c>
      <c r="B45" s="17" t="s">
        <v>27</v>
      </c>
      <c r="C45" s="50" t="s">
        <v>48</v>
      </c>
      <c r="D45" s="51"/>
      <c r="E45" s="9">
        <f>BOYOLANGU!U45+GIRI!V45+GROGOL!V45+JAMBESARI!O45+MOJOPANGGUNG!V45+PENATABAN!V45</f>
        <v>950</v>
      </c>
      <c r="F45" s="40"/>
      <c r="G45" s="1"/>
      <c r="H45" s="1"/>
      <c r="I45" s="1"/>
      <c r="J45" s="1"/>
      <c r="K45" s="1"/>
      <c r="L45" s="1"/>
      <c r="M45" s="1"/>
      <c r="N45" s="1"/>
      <c r="O45" s="1"/>
      <c r="P45" s="34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</row>
    <row r="46" spans="1:216" ht="15.75" customHeight="1" x14ac:dyDescent="0.4">
      <c r="A46" s="11" t="s">
        <v>49</v>
      </c>
      <c r="B46" s="46">
        <v>1</v>
      </c>
      <c r="C46" s="24" t="s">
        <v>103</v>
      </c>
      <c r="D46" s="47"/>
      <c r="E46" s="9">
        <f>BOYOLANGU!U46+GIRI!V46+GROGOL!V46+JAMBESARI!O46+MOJOPANGGUNG!V46+PENATABAN!V46</f>
        <v>2709</v>
      </c>
      <c r="F46" s="42"/>
      <c r="G46" s="27"/>
      <c r="H46" s="27"/>
      <c r="I46" s="27"/>
      <c r="J46" s="27"/>
      <c r="K46" s="27"/>
      <c r="L46" s="27"/>
      <c r="M46" s="27"/>
      <c r="N46" s="27"/>
      <c r="O46" s="27"/>
      <c r="P46" s="37"/>
      <c r="Q46" s="30"/>
      <c r="R46" s="30"/>
      <c r="S46" s="30"/>
      <c r="T46" s="30"/>
      <c r="U46" s="30"/>
      <c r="V46" s="30"/>
      <c r="W46" s="38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0"/>
      <c r="BM46" s="30"/>
      <c r="BN46" s="30"/>
      <c r="BO46" s="30"/>
      <c r="BP46" s="30"/>
      <c r="BQ46" s="30"/>
      <c r="BR46" s="38"/>
      <c r="BS46" s="30"/>
      <c r="BT46" s="30"/>
      <c r="BU46" s="30"/>
      <c r="BV46" s="30"/>
      <c r="BW46" s="30"/>
      <c r="BX46" s="30"/>
      <c r="BY46" s="30"/>
      <c r="BZ46" s="30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8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8"/>
      <c r="EZ46" s="38"/>
      <c r="FA46" s="38"/>
      <c r="FB46" s="38"/>
      <c r="FC46" s="38"/>
      <c r="FD46" s="38"/>
      <c r="FE46" s="38"/>
      <c r="FF46" s="30"/>
      <c r="FG46" s="30"/>
      <c r="FH46" s="30"/>
      <c r="FI46" s="30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</row>
    <row r="47" spans="1:216" ht="15.75" customHeight="1" x14ac:dyDescent="0.4">
      <c r="A47" s="7"/>
      <c r="B47" s="46">
        <v>2</v>
      </c>
      <c r="C47" s="24" t="s">
        <v>104</v>
      </c>
      <c r="D47" s="47"/>
      <c r="E47" s="9">
        <f>BOYOLANGU!U47+GIRI!V47+GROGOL!V47+JAMBESARI!O47+MOJOPANGGUNG!V47+PENATABAN!V47</f>
        <v>114</v>
      </c>
      <c r="F47" s="39"/>
      <c r="G47" s="20"/>
      <c r="H47" s="20"/>
      <c r="I47" s="20"/>
      <c r="J47" s="20"/>
      <c r="K47" s="20"/>
      <c r="L47" s="20"/>
      <c r="M47" s="20"/>
      <c r="N47" s="20"/>
      <c r="O47" s="20"/>
      <c r="P47" s="32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</row>
    <row r="48" spans="1:216" ht="15.75" customHeight="1" x14ac:dyDescent="0.4">
      <c r="A48" s="7"/>
      <c r="B48" s="46">
        <v>3</v>
      </c>
      <c r="C48" s="24" t="s">
        <v>105</v>
      </c>
      <c r="D48" s="47"/>
      <c r="E48" s="9">
        <f>BOYOLANGU!U48+GIRI!V48+GROGOL!V48+JAMBESARI!O48+MOJOPANGGUNG!V48+PENATABAN!V48</f>
        <v>87</v>
      </c>
      <c r="F48" s="39"/>
      <c r="G48" s="20"/>
      <c r="H48" s="20"/>
      <c r="I48" s="20"/>
      <c r="J48" s="20"/>
      <c r="K48" s="20"/>
      <c r="L48" s="20"/>
      <c r="M48" s="20"/>
      <c r="N48" s="20"/>
      <c r="O48" s="20"/>
      <c r="P48" s="32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</row>
    <row r="49" spans="1:216" ht="15.75" customHeight="1" x14ac:dyDescent="0.4">
      <c r="A49" s="7"/>
      <c r="B49" s="46">
        <v>4</v>
      </c>
      <c r="C49" s="24" t="s">
        <v>106</v>
      </c>
      <c r="D49" s="47"/>
      <c r="E49" s="9">
        <f>BOYOLANGU!U49+GIRI!V49+GROGOL!V49+JAMBESARI!O49+MOJOPANGGUNG!V49+PENATABAN!V49</f>
        <v>20</v>
      </c>
      <c r="F49" s="39"/>
      <c r="G49" s="20"/>
      <c r="H49" s="20"/>
      <c r="I49" s="20"/>
      <c r="J49" s="20"/>
      <c r="K49" s="20"/>
      <c r="L49" s="20"/>
      <c r="M49" s="20"/>
      <c r="N49" s="20"/>
      <c r="O49" s="20"/>
      <c r="P49" s="32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</row>
    <row r="50" spans="1:216" ht="15.75" customHeight="1" x14ac:dyDescent="0.4">
      <c r="A50" s="7"/>
      <c r="B50" s="46">
        <v>5</v>
      </c>
      <c r="C50" s="24" t="s">
        <v>107</v>
      </c>
      <c r="D50" s="47"/>
      <c r="E50" s="9">
        <f>BOYOLANGU!U50+GIRI!V50+GROGOL!V50+JAMBESARI!O50+MOJOPANGGUNG!V50+PENATABAN!V50</f>
        <v>62</v>
      </c>
      <c r="F50" s="39"/>
      <c r="G50" s="20"/>
      <c r="H50" s="20"/>
      <c r="I50" s="20"/>
      <c r="J50" s="20"/>
      <c r="K50" s="20"/>
      <c r="L50" s="20"/>
      <c r="M50" s="20"/>
      <c r="N50" s="20"/>
      <c r="O50" s="20"/>
      <c r="P50" s="32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</row>
    <row r="51" spans="1:216" ht="15.75" customHeight="1" x14ac:dyDescent="0.4">
      <c r="A51" s="7"/>
      <c r="B51" s="46">
        <v>6</v>
      </c>
      <c r="C51" s="24" t="s">
        <v>108</v>
      </c>
      <c r="D51" s="47"/>
      <c r="E51" s="9">
        <f>BOYOLANGU!U51+GIRI!V51+GROGOL!V51+JAMBESARI!O51+MOJOPANGGUNG!V51+PENATABAN!V51</f>
        <v>87</v>
      </c>
      <c r="F51" s="39"/>
      <c r="G51" s="20"/>
      <c r="H51" s="20"/>
      <c r="I51" s="20"/>
      <c r="J51" s="20"/>
      <c r="K51" s="20"/>
      <c r="L51" s="20"/>
      <c r="M51" s="20"/>
      <c r="N51" s="20"/>
      <c r="O51" s="20"/>
      <c r="P51" s="32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</row>
    <row r="52" spans="1:216" ht="15.75" customHeight="1" x14ac:dyDescent="0.4">
      <c r="A52" s="6" t="s">
        <v>25</v>
      </c>
      <c r="B52" s="52" t="s">
        <v>50</v>
      </c>
      <c r="C52" s="68"/>
      <c r="D52" s="51"/>
      <c r="E52" s="5">
        <f>SUM(E45:E51)</f>
        <v>4029</v>
      </c>
      <c r="F52" s="39"/>
      <c r="G52" s="20"/>
      <c r="H52" s="20"/>
      <c r="I52" s="20"/>
      <c r="J52" s="20"/>
      <c r="K52" s="20"/>
      <c r="L52" s="20"/>
      <c r="M52" s="20"/>
      <c r="N52" s="20"/>
      <c r="O52" s="20"/>
      <c r="P52" s="32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</row>
    <row r="53" spans="1:216" ht="15.75" customHeight="1" x14ac:dyDescent="0.4">
      <c r="A53" s="69"/>
      <c r="B53" s="70"/>
      <c r="C53" s="70"/>
      <c r="D53" s="70"/>
      <c r="E53" s="70"/>
      <c r="F53" s="39"/>
      <c r="G53" s="20"/>
      <c r="H53" s="20"/>
      <c r="I53" s="20"/>
      <c r="J53" s="20"/>
      <c r="K53" s="20"/>
      <c r="L53" s="20"/>
      <c r="M53" s="20"/>
      <c r="N53" s="20"/>
      <c r="O53" s="20"/>
      <c r="P53" s="32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</row>
    <row r="54" spans="1:216" ht="15.75" customHeight="1" x14ac:dyDescent="0.4">
      <c r="A54" s="11" t="s">
        <v>47</v>
      </c>
      <c r="B54" s="17" t="s">
        <v>29</v>
      </c>
      <c r="C54" s="50" t="s">
        <v>51</v>
      </c>
      <c r="D54" s="51"/>
      <c r="E54" s="9">
        <f>BOYOLANGU!U54+GIRI!V54+GROGOL!V54+JAMBESARI!O54+MOJOPANGGUNG!V54+PENATABAN!V54</f>
        <v>855</v>
      </c>
      <c r="F54" s="40"/>
      <c r="G54" s="1"/>
      <c r="H54" s="1"/>
      <c r="I54" s="1"/>
      <c r="J54" s="1"/>
      <c r="K54" s="1"/>
      <c r="L54" s="1"/>
      <c r="M54" s="1"/>
      <c r="N54" s="1"/>
      <c r="O54" s="1"/>
      <c r="P54" s="34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</row>
    <row r="55" spans="1:216" ht="15.75" customHeight="1" x14ac:dyDescent="0.4">
      <c r="A55" s="11" t="s">
        <v>49</v>
      </c>
      <c r="B55" s="46">
        <v>1</v>
      </c>
      <c r="C55" s="24" t="s">
        <v>109</v>
      </c>
      <c r="D55" s="47"/>
      <c r="E55" s="9">
        <f>BOYOLANGU!U55+GIRI!V55+GROGOL!V55+JAMBESARI!O55+MOJOPANGGUNG!V55+PENATABAN!V55</f>
        <v>610</v>
      </c>
      <c r="F55" s="42"/>
      <c r="G55" s="27"/>
      <c r="H55" s="27"/>
      <c r="I55" s="27"/>
      <c r="J55" s="27"/>
      <c r="K55" s="27"/>
      <c r="L55" s="27"/>
      <c r="M55" s="27"/>
      <c r="N55" s="27"/>
      <c r="O55" s="27"/>
      <c r="P55" s="37"/>
      <c r="Q55" s="30"/>
      <c r="R55" s="30"/>
      <c r="S55" s="30"/>
      <c r="T55" s="30"/>
      <c r="U55" s="30"/>
      <c r="V55" s="30"/>
      <c r="W55" s="38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0"/>
      <c r="BM55" s="30"/>
      <c r="BN55" s="30"/>
      <c r="BO55" s="30"/>
      <c r="BP55" s="30"/>
      <c r="BQ55" s="30"/>
      <c r="BR55" s="38"/>
      <c r="BS55" s="30"/>
      <c r="BT55" s="30"/>
      <c r="BU55" s="30"/>
      <c r="BV55" s="30"/>
      <c r="BW55" s="30"/>
      <c r="BX55" s="30"/>
      <c r="BY55" s="30"/>
      <c r="BZ55" s="30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8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8"/>
      <c r="EZ55" s="38"/>
      <c r="FA55" s="38"/>
      <c r="FB55" s="38"/>
      <c r="FC55" s="38"/>
      <c r="FD55" s="38"/>
      <c r="FE55" s="38"/>
      <c r="FF55" s="30"/>
      <c r="FG55" s="30"/>
      <c r="FH55" s="30"/>
      <c r="FI55" s="30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</row>
    <row r="56" spans="1:216" ht="15.75" customHeight="1" x14ac:dyDescent="0.4">
      <c r="A56" s="7"/>
      <c r="B56" s="46">
        <v>2</v>
      </c>
      <c r="C56" s="24" t="s">
        <v>110</v>
      </c>
      <c r="D56" s="47"/>
      <c r="E56" s="9">
        <f>BOYOLANGU!U56+GIRI!V56+GROGOL!V56+JAMBESARI!O56+MOJOPANGGUNG!V56+PENATABAN!V56</f>
        <v>512</v>
      </c>
      <c r="F56" s="39"/>
      <c r="G56" s="20"/>
      <c r="H56" s="20"/>
      <c r="I56" s="20"/>
      <c r="J56" s="20"/>
      <c r="K56" s="20"/>
      <c r="L56" s="20"/>
      <c r="M56" s="20"/>
      <c r="N56" s="20"/>
      <c r="O56" s="20"/>
      <c r="P56" s="32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</row>
    <row r="57" spans="1:216" ht="15.75" customHeight="1" x14ac:dyDescent="0.4">
      <c r="A57" s="7"/>
      <c r="B57" s="46">
        <v>3</v>
      </c>
      <c r="C57" s="24" t="s">
        <v>111</v>
      </c>
      <c r="D57" s="47"/>
      <c r="E57" s="9">
        <f>BOYOLANGU!U57+GIRI!V57+GROGOL!V57+JAMBESARI!O57+MOJOPANGGUNG!V57+PENATABAN!V57</f>
        <v>106</v>
      </c>
      <c r="F57" s="39"/>
      <c r="G57" s="20"/>
      <c r="H57" s="20"/>
      <c r="I57" s="20"/>
      <c r="J57" s="20"/>
      <c r="K57" s="20"/>
      <c r="L57" s="20"/>
      <c r="M57" s="20"/>
      <c r="N57" s="20"/>
      <c r="O57" s="20"/>
      <c r="P57" s="32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/>
      <c r="EX57" s="33"/>
      <c r="EY57" s="33"/>
      <c r="EZ57" s="33"/>
      <c r="FA57" s="33"/>
      <c r="FB57" s="33"/>
      <c r="FC57" s="33"/>
      <c r="FD57" s="33"/>
      <c r="FE57" s="33"/>
      <c r="FF57" s="33"/>
      <c r="FG57" s="33"/>
      <c r="FH57" s="33"/>
      <c r="FI57" s="33"/>
      <c r="FJ57" s="33"/>
      <c r="FK57" s="33"/>
      <c r="FL57" s="33"/>
      <c r="FM57" s="33"/>
      <c r="FN57" s="33"/>
      <c r="FO57" s="33"/>
      <c r="FP57" s="33"/>
      <c r="FQ57" s="33"/>
      <c r="FR57" s="33"/>
      <c r="FS57" s="33"/>
      <c r="FT57" s="33"/>
      <c r="FU57" s="33"/>
      <c r="FV57" s="33"/>
      <c r="FW57" s="33"/>
      <c r="FX57" s="33"/>
      <c r="FY57" s="33"/>
      <c r="FZ57" s="33"/>
      <c r="GA57" s="33"/>
      <c r="GB57" s="33"/>
      <c r="GC57" s="33"/>
      <c r="GD57" s="33"/>
      <c r="GE57" s="33"/>
      <c r="GF57" s="33"/>
      <c r="GG57" s="33"/>
      <c r="GH57" s="33"/>
      <c r="GI57" s="33"/>
      <c r="GJ57" s="33"/>
      <c r="GK57" s="33"/>
      <c r="GL57" s="33"/>
      <c r="GM57" s="33"/>
      <c r="GN57" s="33"/>
      <c r="GO57" s="33"/>
      <c r="GP57" s="33"/>
      <c r="GQ57" s="33"/>
      <c r="GR57" s="33"/>
      <c r="GS57" s="33"/>
      <c r="GT57" s="33"/>
      <c r="GU57" s="33"/>
      <c r="GV57" s="33"/>
      <c r="GW57" s="33"/>
      <c r="GX57" s="33"/>
      <c r="GY57" s="33"/>
      <c r="GZ57" s="33"/>
      <c r="HA57" s="33"/>
      <c r="HB57" s="33"/>
      <c r="HC57" s="33"/>
      <c r="HD57" s="33"/>
      <c r="HE57" s="33"/>
      <c r="HF57" s="33"/>
      <c r="HG57" s="33"/>
      <c r="HH57" s="33"/>
    </row>
    <row r="58" spans="1:216" ht="15.75" customHeight="1" x14ac:dyDescent="0.4">
      <c r="A58" s="7"/>
      <c r="B58" s="46">
        <v>4</v>
      </c>
      <c r="C58" s="24" t="s">
        <v>112</v>
      </c>
      <c r="D58" s="47"/>
      <c r="E58" s="9">
        <f>BOYOLANGU!U58+GIRI!V58+GROGOL!V58+JAMBESARI!O58+MOJOPANGGUNG!V58+PENATABAN!V58</f>
        <v>63</v>
      </c>
      <c r="F58" s="39"/>
      <c r="G58" s="20"/>
      <c r="H58" s="20"/>
      <c r="I58" s="20"/>
      <c r="J58" s="20"/>
      <c r="K58" s="20"/>
      <c r="L58" s="20"/>
      <c r="M58" s="20"/>
      <c r="N58" s="20"/>
      <c r="O58" s="20"/>
      <c r="P58" s="32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3"/>
      <c r="EP58" s="33"/>
      <c r="EQ58" s="33"/>
      <c r="ER58" s="33"/>
      <c r="ES58" s="33"/>
      <c r="ET58" s="33"/>
      <c r="EU58" s="33"/>
      <c r="EV58" s="33"/>
      <c r="EW58" s="33"/>
      <c r="EX58" s="33"/>
      <c r="EY58" s="33"/>
      <c r="EZ58" s="33"/>
      <c r="FA58" s="33"/>
      <c r="FB58" s="33"/>
      <c r="FC58" s="33"/>
      <c r="FD58" s="33"/>
      <c r="FE58" s="33"/>
      <c r="FF58" s="33"/>
      <c r="FG58" s="33"/>
      <c r="FH58" s="33"/>
      <c r="FI58" s="33"/>
      <c r="FJ58" s="33"/>
      <c r="FK58" s="33"/>
      <c r="FL58" s="33"/>
      <c r="FM58" s="33"/>
      <c r="FN58" s="33"/>
      <c r="FO58" s="33"/>
      <c r="FP58" s="33"/>
      <c r="FQ58" s="33"/>
      <c r="FR58" s="33"/>
      <c r="FS58" s="33"/>
      <c r="FT58" s="33"/>
      <c r="FU58" s="33"/>
      <c r="FV58" s="33"/>
      <c r="FW58" s="33"/>
      <c r="FX58" s="33"/>
      <c r="FY58" s="33"/>
      <c r="FZ58" s="33"/>
      <c r="GA58" s="33"/>
      <c r="GB58" s="33"/>
      <c r="GC58" s="33"/>
      <c r="GD58" s="33"/>
      <c r="GE58" s="33"/>
      <c r="GF58" s="33"/>
      <c r="GG58" s="33"/>
      <c r="GH58" s="33"/>
      <c r="GI58" s="33"/>
      <c r="GJ58" s="33"/>
      <c r="GK58" s="33"/>
      <c r="GL58" s="33"/>
      <c r="GM58" s="33"/>
      <c r="GN58" s="33"/>
      <c r="GO58" s="33"/>
      <c r="GP58" s="33"/>
      <c r="GQ58" s="33"/>
      <c r="GR58" s="33"/>
      <c r="GS58" s="33"/>
      <c r="GT58" s="33"/>
      <c r="GU58" s="33"/>
      <c r="GV58" s="33"/>
      <c r="GW58" s="33"/>
      <c r="GX58" s="33"/>
      <c r="GY58" s="33"/>
      <c r="GZ58" s="33"/>
      <c r="HA58" s="33"/>
      <c r="HB58" s="33"/>
      <c r="HC58" s="33"/>
      <c r="HD58" s="33"/>
      <c r="HE58" s="33"/>
      <c r="HF58" s="33"/>
      <c r="HG58" s="33"/>
      <c r="HH58" s="33"/>
    </row>
    <row r="59" spans="1:216" ht="15.75" customHeight="1" x14ac:dyDescent="0.4">
      <c r="A59" s="7"/>
      <c r="B59" s="46">
        <v>5</v>
      </c>
      <c r="C59" s="24" t="s">
        <v>113</v>
      </c>
      <c r="D59" s="47"/>
      <c r="E59" s="9">
        <f>BOYOLANGU!U59+GIRI!V59+GROGOL!V59+JAMBESARI!O59+MOJOPANGGUNG!V59+PENATABAN!V59</f>
        <v>32</v>
      </c>
      <c r="F59" s="39"/>
      <c r="G59" s="20"/>
      <c r="H59" s="20"/>
      <c r="I59" s="20"/>
      <c r="J59" s="20"/>
      <c r="K59" s="20"/>
      <c r="L59" s="20"/>
      <c r="M59" s="20"/>
      <c r="N59" s="20"/>
      <c r="O59" s="20"/>
      <c r="P59" s="32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</row>
    <row r="60" spans="1:216" ht="15.75" customHeight="1" x14ac:dyDescent="0.4">
      <c r="A60" s="7"/>
      <c r="B60" s="46">
        <v>6</v>
      </c>
      <c r="C60" s="24" t="s">
        <v>114</v>
      </c>
      <c r="D60" s="47"/>
      <c r="E60" s="9">
        <f>BOYOLANGU!U60+GIRI!V60+GROGOL!V60+JAMBESARI!O60+MOJOPANGGUNG!V60+PENATABAN!V60</f>
        <v>153</v>
      </c>
      <c r="F60" s="39"/>
      <c r="G60" s="20"/>
      <c r="H60" s="20"/>
      <c r="I60" s="20"/>
      <c r="J60" s="20"/>
      <c r="K60" s="20"/>
      <c r="L60" s="20"/>
      <c r="M60" s="20"/>
      <c r="N60" s="20"/>
      <c r="O60" s="20"/>
      <c r="P60" s="32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</row>
    <row r="61" spans="1:216" ht="15.75" customHeight="1" x14ac:dyDescent="0.4">
      <c r="A61" s="6" t="s">
        <v>25</v>
      </c>
      <c r="B61" s="52" t="s">
        <v>50</v>
      </c>
      <c r="C61" s="68"/>
      <c r="D61" s="51"/>
      <c r="E61" s="5">
        <f>SUM(E54:E60)</f>
        <v>2331</v>
      </c>
      <c r="F61" s="39"/>
      <c r="G61" s="20"/>
      <c r="H61" s="20"/>
      <c r="I61" s="20"/>
      <c r="J61" s="20"/>
      <c r="K61" s="20"/>
      <c r="L61" s="20"/>
      <c r="M61" s="20"/>
      <c r="N61" s="20"/>
      <c r="O61" s="20"/>
      <c r="P61" s="32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</row>
    <row r="62" spans="1:216" ht="15.75" customHeight="1" x14ac:dyDescent="0.4">
      <c r="A62" s="69"/>
      <c r="B62" s="70"/>
      <c r="C62" s="70"/>
      <c r="D62" s="70"/>
      <c r="E62" s="70"/>
      <c r="F62" s="39"/>
      <c r="G62" s="20"/>
      <c r="H62" s="20"/>
      <c r="I62" s="20"/>
      <c r="J62" s="20"/>
      <c r="K62" s="20"/>
      <c r="L62" s="20"/>
      <c r="M62" s="20"/>
      <c r="N62" s="20"/>
      <c r="O62" s="20"/>
      <c r="P62" s="32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33"/>
      <c r="GW62" s="33"/>
      <c r="GX62" s="33"/>
      <c r="GY62" s="33"/>
      <c r="GZ62" s="33"/>
      <c r="HA62" s="33"/>
      <c r="HB62" s="33"/>
      <c r="HC62" s="33"/>
      <c r="HD62" s="33"/>
      <c r="HE62" s="33"/>
      <c r="HF62" s="33"/>
      <c r="HG62" s="33"/>
      <c r="HH62" s="33"/>
    </row>
    <row r="63" spans="1:216" ht="15.75" customHeight="1" x14ac:dyDescent="0.4">
      <c r="A63" s="11" t="s">
        <v>47</v>
      </c>
      <c r="B63" s="17" t="s">
        <v>31</v>
      </c>
      <c r="C63" s="50" t="s">
        <v>52</v>
      </c>
      <c r="D63" s="51"/>
      <c r="E63" s="9">
        <f>BOYOLANGU!U63+GIRI!V63+GROGOL!V63+JAMBESARI!O63+MOJOPANGGUNG!V63+PENATABAN!V63</f>
        <v>676</v>
      </c>
      <c r="F63" s="40"/>
      <c r="G63" s="1"/>
      <c r="H63" s="1"/>
      <c r="I63" s="1"/>
      <c r="J63" s="1"/>
      <c r="K63" s="1"/>
      <c r="L63" s="1"/>
      <c r="M63" s="1"/>
      <c r="N63" s="1"/>
      <c r="O63" s="1"/>
      <c r="P63" s="34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  <c r="GI63" s="31"/>
      <c r="GJ63" s="31"/>
      <c r="GK63" s="31"/>
      <c r="GL63" s="31"/>
      <c r="GM63" s="31"/>
      <c r="GN63" s="31"/>
      <c r="GO63" s="31"/>
      <c r="GP63" s="31"/>
      <c r="GQ63" s="31"/>
      <c r="GR63" s="31"/>
      <c r="GS63" s="31"/>
      <c r="GT63" s="31"/>
      <c r="GU63" s="31"/>
      <c r="GV63" s="31"/>
      <c r="GW63" s="31"/>
      <c r="GX63" s="31"/>
      <c r="GY63" s="31"/>
      <c r="GZ63" s="31"/>
      <c r="HA63" s="31"/>
      <c r="HB63" s="31"/>
      <c r="HC63" s="31"/>
      <c r="HD63" s="31"/>
      <c r="HE63" s="31"/>
      <c r="HF63" s="31"/>
      <c r="HG63" s="31"/>
      <c r="HH63" s="31"/>
    </row>
    <row r="64" spans="1:216" ht="15.75" customHeight="1" x14ac:dyDescent="0.4">
      <c r="A64" s="11" t="s">
        <v>49</v>
      </c>
      <c r="B64" s="46">
        <v>1</v>
      </c>
      <c r="C64" s="24" t="s">
        <v>115</v>
      </c>
      <c r="D64" s="47"/>
      <c r="E64" s="9">
        <f>BOYOLANGU!U64+GIRI!V64+GROGOL!V64+JAMBESARI!O64+MOJOPANGGUNG!V64+PENATABAN!V64</f>
        <v>898</v>
      </c>
      <c r="F64" s="42"/>
      <c r="G64" s="27"/>
      <c r="H64" s="27"/>
      <c r="I64" s="27"/>
      <c r="J64" s="27"/>
      <c r="K64" s="27"/>
      <c r="L64" s="27"/>
      <c r="M64" s="27"/>
      <c r="N64" s="27"/>
      <c r="O64" s="27"/>
      <c r="P64" s="37"/>
      <c r="Q64" s="30"/>
      <c r="R64" s="30"/>
      <c r="S64" s="30"/>
      <c r="T64" s="30"/>
      <c r="U64" s="30"/>
      <c r="V64" s="30"/>
      <c r="W64" s="38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0"/>
      <c r="BM64" s="30"/>
      <c r="BN64" s="30"/>
      <c r="BO64" s="30"/>
      <c r="BP64" s="30"/>
      <c r="BQ64" s="30"/>
      <c r="BR64" s="38"/>
      <c r="BS64" s="30"/>
      <c r="BT64" s="30"/>
      <c r="BU64" s="30"/>
      <c r="BV64" s="30"/>
      <c r="BW64" s="30"/>
      <c r="BX64" s="30"/>
      <c r="BY64" s="30"/>
      <c r="BZ64" s="30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8"/>
      <c r="EZ64" s="38"/>
      <c r="FA64" s="38"/>
      <c r="FB64" s="38"/>
      <c r="FC64" s="38"/>
      <c r="FD64" s="38"/>
      <c r="FE64" s="38"/>
      <c r="FF64" s="30"/>
      <c r="FG64" s="30"/>
      <c r="FH64" s="30"/>
      <c r="FI64" s="30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</row>
    <row r="65" spans="1:216" ht="15.75" customHeight="1" x14ac:dyDescent="0.4">
      <c r="A65" s="7"/>
      <c r="B65" s="46">
        <v>2</v>
      </c>
      <c r="C65" s="24" t="s">
        <v>116</v>
      </c>
      <c r="D65" s="47"/>
      <c r="E65" s="9">
        <f>BOYOLANGU!U65+GIRI!V65+GROGOL!V65+JAMBESARI!O65+MOJOPANGGUNG!V65+PENATABAN!V65</f>
        <v>155</v>
      </c>
      <c r="F65" s="39"/>
      <c r="G65" s="20"/>
      <c r="H65" s="20"/>
      <c r="I65" s="20"/>
      <c r="J65" s="20"/>
      <c r="K65" s="20"/>
      <c r="L65" s="20"/>
      <c r="M65" s="20"/>
      <c r="N65" s="20"/>
      <c r="O65" s="20"/>
      <c r="P65" s="32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</row>
    <row r="66" spans="1:216" ht="15.75" customHeight="1" x14ac:dyDescent="0.4">
      <c r="A66" s="7"/>
      <c r="B66" s="46">
        <v>3</v>
      </c>
      <c r="C66" s="24" t="s">
        <v>117</v>
      </c>
      <c r="D66" s="47"/>
      <c r="E66" s="9">
        <f>BOYOLANGU!U66+GIRI!V66+GROGOL!V66+JAMBESARI!O66+MOJOPANGGUNG!V66+PENATABAN!V66</f>
        <v>139</v>
      </c>
      <c r="F66" s="39"/>
      <c r="G66" s="20"/>
      <c r="H66" s="20"/>
      <c r="I66" s="20"/>
      <c r="J66" s="20"/>
      <c r="K66" s="20"/>
      <c r="L66" s="20"/>
      <c r="M66" s="20"/>
      <c r="N66" s="20"/>
      <c r="O66" s="20"/>
      <c r="P66" s="32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  <c r="GS66" s="33"/>
      <c r="GT66" s="33"/>
      <c r="GU66" s="33"/>
      <c r="GV66" s="33"/>
      <c r="GW66" s="33"/>
      <c r="GX66" s="33"/>
      <c r="GY66" s="33"/>
      <c r="GZ66" s="33"/>
      <c r="HA66" s="33"/>
      <c r="HB66" s="33"/>
      <c r="HC66" s="33"/>
      <c r="HD66" s="33"/>
      <c r="HE66" s="33"/>
      <c r="HF66" s="33"/>
      <c r="HG66" s="33"/>
      <c r="HH66" s="33"/>
    </row>
    <row r="67" spans="1:216" ht="15.75" customHeight="1" x14ac:dyDescent="0.4">
      <c r="A67" s="7"/>
      <c r="B67" s="46">
        <v>4</v>
      </c>
      <c r="C67" s="24" t="s">
        <v>118</v>
      </c>
      <c r="D67" s="47"/>
      <c r="E67" s="9">
        <f>BOYOLANGU!U67+GIRI!V67+GROGOL!V67+JAMBESARI!O67+MOJOPANGGUNG!V67+PENATABAN!V67</f>
        <v>68</v>
      </c>
      <c r="F67" s="39"/>
      <c r="G67" s="20"/>
      <c r="H67" s="20"/>
      <c r="I67" s="20"/>
      <c r="J67" s="20"/>
      <c r="K67" s="20"/>
      <c r="L67" s="20"/>
      <c r="M67" s="20"/>
      <c r="N67" s="20"/>
      <c r="O67" s="20"/>
      <c r="P67" s="32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</row>
    <row r="68" spans="1:216" ht="15.75" customHeight="1" x14ac:dyDescent="0.4">
      <c r="A68" s="7"/>
      <c r="B68" s="46">
        <v>5</v>
      </c>
      <c r="C68" s="24" t="s">
        <v>119</v>
      </c>
      <c r="D68" s="47"/>
      <c r="E68" s="9">
        <f>BOYOLANGU!U68+GIRI!V68+GROGOL!V68+JAMBESARI!O68+MOJOPANGGUNG!V68+PENATABAN!V68</f>
        <v>1151</v>
      </c>
      <c r="F68" s="39"/>
      <c r="G68" s="20"/>
      <c r="H68" s="20"/>
      <c r="I68" s="20"/>
      <c r="J68" s="20"/>
      <c r="K68" s="20"/>
      <c r="L68" s="20"/>
      <c r="M68" s="20"/>
      <c r="N68" s="20"/>
      <c r="O68" s="20"/>
      <c r="P68" s="32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  <c r="GV68" s="33"/>
      <c r="GW68" s="33"/>
      <c r="GX68" s="33"/>
      <c r="GY68" s="33"/>
      <c r="GZ68" s="33"/>
      <c r="HA68" s="33"/>
      <c r="HB68" s="33"/>
      <c r="HC68" s="33"/>
      <c r="HD68" s="33"/>
      <c r="HE68" s="33"/>
      <c r="HF68" s="33"/>
      <c r="HG68" s="33"/>
      <c r="HH68" s="33"/>
    </row>
    <row r="69" spans="1:216" ht="15.75" customHeight="1" x14ac:dyDescent="0.4">
      <c r="A69" s="7"/>
      <c r="B69" s="46">
        <v>6</v>
      </c>
      <c r="C69" s="24" t="s">
        <v>120</v>
      </c>
      <c r="D69" s="47"/>
      <c r="E69" s="9">
        <f>BOYOLANGU!U69+GIRI!V69+GROGOL!V69+JAMBESARI!O69+MOJOPANGGUNG!V69+PENATABAN!V69</f>
        <v>57</v>
      </c>
      <c r="F69" s="39"/>
      <c r="G69" s="20"/>
      <c r="H69" s="20"/>
      <c r="I69" s="20"/>
      <c r="J69" s="20"/>
      <c r="K69" s="20"/>
      <c r="L69" s="20"/>
      <c r="M69" s="20"/>
      <c r="N69" s="20"/>
      <c r="O69" s="20"/>
      <c r="P69" s="32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  <c r="ED69" s="33"/>
      <c r="EE69" s="33"/>
      <c r="EF69" s="33"/>
      <c r="EG69" s="33"/>
      <c r="EH69" s="33"/>
      <c r="EI69" s="33"/>
      <c r="EJ69" s="33"/>
      <c r="EK69" s="33"/>
      <c r="EL69" s="33"/>
      <c r="EM69" s="33"/>
      <c r="EN69" s="33"/>
      <c r="EO69" s="33"/>
      <c r="EP69" s="33"/>
      <c r="EQ69" s="33"/>
      <c r="ER69" s="33"/>
      <c r="ES69" s="33"/>
      <c r="ET69" s="33"/>
      <c r="EU69" s="33"/>
      <c r="EV69" s="33"/>
      <c r="EW69" s="33"/>
      <c r="EX69" s="33"/>
      <c r="EY69" s="33"/>
      <c r="EZ69" s="33"/>
      <c r="FA69" s="33"/>
      <c r="FB69" s="33"/>
      <c r="FC69" s="33"/>
      <c r="FD69" s="33"/>
      <c r="FE69" s="33"/>
      <c r="FF69" s="33"/>
      <c r="FG69" s="33"/>
      <c r="FH69" s="33"/>
      <c r="FI69" s="33"/>
      <c r="FJ69" s="33"/>
      <c r="FK69" s="33"/>
      <c r="FL69" s="33"/>
      <c r="FM69" s="33"/>
      <c r="FN69" s="33"/>
      <c r="FO69" s="33"/>
      <c r="FP69" s="33"/>
      <c r="FQ69" s="33"/>
      <c r="FR69" s="33"/>
      <c r="FS69" s="33"/>
      <c r="FT69" s="33"/>
      <c r="FU69" s="33"/>
      <c r="FV69" s="33"/>
      <c r="FW69" s="33"/>
      <c r="FX69" s="33"/>
      <c r="FY69" s="33"/>
      <c r="FZ69" s="33"/>
      <c r="GA69" s="33"/>
      <c r="GB69" s="33"/>
      <c r="GC69" s="33"/>
      <c r="GD69" s="33"/>
      <c r="GE69" s="33"/>
      <c r="GF69" s="33"/>
      <c r="GG69" s="33"/>
      <c r="GH69" s="33"/>
      <c r="GI69" s="33"/>
      <c r="GJ69" s="33"/>
      <c r="GK69" s="33"/>
      <c r="GL69" s="33"/>
      <c r="GM69" s="33"/>
      <c r="GN69" s="33"/>
      <c r="GO69" s="33"/>
      <c r="GP69" s="33"/>
      <c r="GQ69" s="33"/>
      <c r="GR69" s="33"/>
      <c r="GS69" s="33"/>
      <c r="GT69" s="33"/>
      <c r="GU69" s="33"/>
      <c r="GV69" s="33"/>
      <c r="GW69" s="33"/>
      <c r="GX69" s="33"/>
      <c r="GY69" s="33"/>
      <c r="GZ69" s="33"/>
      <c r="HA69" s="33"/>
      <c r="HB69" s="33"/>
      <c r="HC69" s="33"/>
      <c r="HD69" s="33"/>
      <c r="HE69" s="33"/>
      <c r="HF69" s="33"/>
      <c r="HG69" s="33"/>
      <c r="HH69" s="33"/>
    </row>
    <row r="70" spans="1:216" ht="15.75" customHeight="1" x14ac:dyDescent="0.4">
      <c r="A70" s="6" t="s">
        <v>25</v>
      </c>
      <c r="B70" s="52" t="s">
        <v>50</v>
      </c>
      <c r="C70" s="68"/>
      <c r="D70" s="51"/>
      <c r="E70" s="5">
        <f>SUM(E63:E69)</f>
        <v>3144</v>
      </c>
      <c r="F70" s="39"/>
      <c r="G70" s="20"/>
      <c r="H70" s="20"/>
      <c r="I70" s="20"/>
      <c r="J70" s="20"/>
      <c r="K70" s="20"/>
      <c r="L70" s="20"/>
      <c r="M70" s="20"/>
      <c r="N70" s="20"/>
      <c r="O70" s="20"/>
      <c r="P70" s="32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L70" s="33"/>
      <c r="DM70" s="33"/>
      <c r="DN70" s="33"/>
      <c r="DO70" s="33"/>
      <c r="DP70" s="33"/>
      <c r="DQ70" s="33"/>
      <c r="DR70" s="33"/>
      <c r="DS70" s="33"/>
      <c r="DT70" s="33"/>
      <c r="DU70" s="33"/>
      <c r="DV70" s="33"/>
      <c r="DW70" s="33"/>
      <c r="DX70" s="33"/>
      <c r="DY70" s="33"/>
      <c r="DZ70" s="33"/>
      <c r="EA70" s="33"/>
      <c r="EB70" s="33"/>
      <c r="EC70" s="33"/>
      <c r="ED70" s="33"/>
      <c r="EE70" s="33"/>
      <c r="EF70" s="33"/>
      <c r="EG70" s="33"/>
      <c r="EH70" s="33"/>
      <c r="EI70" s="33"/>
      <c r="EJ70" s="33"/>
      <c r="EK70" s="33"/>
      <c r="EL70" s="33"/>
      <c r="EM70" s="33"/>
      <c r="EN70" s="33"/>
      <c r="EO70" s="33"/>
      <c r="EP70" s="33"/>
      <c r="EQ70" s="33"/>
      <c r="ER70" s="33"/>
      <c r="ES70" s="33"/>
      <c r="ET70" s="33"/>
      <c r="EU70" s="33"/>
      <c r="EV70" s="33"/>
      <c r="EW70" s="33"/>
      <c r="EX70" s="33"/>
      <c r="EY70" s="33"/>
      <c r="EZ70" s="33"/>
      <c r="FA70" s="33"/>
      <c r="FB70" s="33"/>
      <c r="FC70" s="33"/>
      <c r="FD70" s="33"/>
      <c r="FE70" s="33"/>
      <c r="FF70" s="33"/>
      <c r="FG70" s="33"/>
      <c r="FH70" s="33"/>
      <c r="FI70" s="33"/>
      <c r="FJ70" s="33"/>
      <c r="FK70" s="33"/>
      <c r="FL70" s="33"/>
      <c r="FM70" s="33"/>
      <c r="FN70" s="33"/>
      <c r="FO70" s="33"/>
      <c r="FP70" s="33"/>
      <c r="FQ70" s="33"/>
      <c r="FR70" s="33"/>
      <c r="FS70" s="33"/>
      <c r="FT70" s="33"/>
      <c r="FU70" s="33"/>
      <c r="FV70" s="33"/>
      <c r="FW70" s="33"/>
      <c r="FX70" s="33"/>
      <c r="FY70" s="33"/>
      <c r="FZ70" s="33"/>
      <c r="GA70" s="33"/>
      <c r="GB70" s="33"/>
      <c r="GC70" s="33"/>
      <c r="GD70" s="33"/>
      <c r="GE70" s="33"/>
      <c r="GF70" s="33"/>
      <c r="GG70" s="33"/>
      <c r="GH70" s="33"/>
      <c r="GI70" s="33"/>
      <c r="GJ70" s="33"/>
      <c r="GK70" s="33"/>
      <c r="GL70" s="33"/>
      <c r="GM70" s="33"/>
      <c r="GN70" s="33"/>
      <c r="GO70" s="33"/>
      <c r="GP70" s="33"/>
      <c r="GQ70" s="33"/>
      <c r="GR70" s="33"/>
      <c r="GS70" s="33"/>
      <c r="GT70" s="33"/>
      <c r="GU70" s="33"/>
      <c r="GV70" s="33"/>
      <c r="GW70" s="33"/>
      <c r="GX70" s="33"/>
      <c r="GY70" s="33"/>
      <c r="GZ70" s="33"/>
      <c r="HA70" s="33"/>
      <c r="HB70" s="33"/>
      <c r="HC70" s="33"/>
      <c r="HD70" s="33"/>
      <c r="HE70" s="33"/>
      <c r="HF70" s="33"/>
      <c r="HG70" s="33"/>
      <c r="HH70" s="33"/>
    </row>
    <row r="71" spans="1:216" ht="15.75" customHeight="1" x14ac:dyDescent="0.4">
      <c r="A71" s="69"/>
      <c r="B71" s="70"/>
      <c r="C71" s="70"/>
      <c r="D71" s="70"/>
      <c r="E71" s="70"/>
      <c r="F71" s="39"/>
      <c r="G71" s="20"/>
      <c r="H71" s="20"/>
      <c r="I71" s="20"/>
      <c r="J71" s="20"/>
      <c r="K71" s="20"/>
      <c r="L71" s="20"/>
      <c r="M71" s="20"/>
      <c r="N71" s="20"/>
      <c r="O71" s="20"/>
      <c r="P71" s="32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</row>
    <row r="72" spans="1:216" ht="15.75" customHeight="1" x14ac:dyDescent="0.4">
      <c r="A72" s="11" t="s">
        <v>47</v>
      </c>
      <c r="B72" s="17" t="s">
        <v>33</v>
      </c>
      <c r="C72" s="50" t="s">
        <v>53</v>
      </c>
      <c r="D72" s="51"/>
      <c r="E72" s="9">
        <f>BOYOLANGU!U72+GIRI!V72+GROGOL!V72+JAMBESARI!O72+MOJOPANGGUNG!V72+PENATABAN!V72</f>
        <v>423</v>
      </c>
      <c r="F72" s="40"/>
      <c r="G72" s="1"/>
      <c r="H72" s="1"/>
      <c r="I72" s="1"/>
      <c r="J72" s="1"/>
      <c r="K72" s="1"/>
      <c r="L72" s="1"/>
      <c r="M72" s="1"/>
      <c r="N72" s="1"/>
      <c r="O72" s="1"/>
      <c r="P72" s="34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  <c r="GI72" s="31"/>
      <c r="GJ72" s="31"/>
      <c r="GK72" s="31"/>
      <c r="GL72" s="31"/>
      <c r="GM72" s="31"/>
      <c r="GN72" s="31"/>
      <c r="GO72" s="31"/>
      <c r="GP72" s="31"/>
      <c r="GQ72" s="31"/>
      <c r="GR72" s="31"/>
      <c r="GS72" s="31"/>
      <c r="GT72" s="31"/>
      <c r="GU72" s="31"/>
      <c r="GV72" s="31"/>
      <c r="GW72" s="31"/>
      <c r="GX72" s="31"/>
      <c r="GY72" s="31"/>
      <c r="GZ72" s="31"/>
      <c r="HA72" s="31"/>
      <c r="HB72" s="31"/>
      <c r="HC72" s="31"/>
      <c r="HD72" s="31"/>
      <c r="HE72" s="31"/>
      <c r="HF72" s="31"/>
      <c r="HG72" s="31"/>
      <c r="HH72" s="31"/>
    </row>
    <row r="73" spans="1:216" ht="15.75" customHeight="1" x14ac:dyDescent="0.4">
      <c r="A73" s="11" t="s">
        <v>49</v>
      </c>
      <c r="B73" s="46">
        <v>1</v>
      </c>
      <c r="C73" s="24" t="s">
        <v>121</v>
      </c>
      <c r="D73" s="47"/>
      <c r="E73" s="9">
        <f>BOYOLANGU!U73+GIRI!V73+GROGOL!V73+JAMBESARI!O73+MOJOPANGGUNG!V73+PENATABAN!V73</f>
        <v>1649</v>
      </c>
      <c r="F73" s="42"/>
      <c r="G73" s="27"/>
      <c r="H73" s="27"/>
      <c r="I73" s="27"/>
      <c r="J73" s="27"/>
      <c r="K73" s="27"/>
      <c r="L73" s="27"/>
      <c r="M73" s="27"/>
      <c r="N73" s="27"/>
      <c r="O73" s="27"/>
      <c r="P73" s="37"/>
      <c r="Q73" s="30"/>
      <c r="R73" s="30"/>
      <c r="S73" s="30"/>
      <c r="T73" s="30"/>
      <c r="U73" s="30"/>
      <c r="V73" s="30"/>
      <c r="W73" s="38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0"/>
      <c r="BM73" s="30"/>
      <c r="BN73" s="30"/>
      <c r="BO73" s="30"/>
      <c r="BP73" s="30"/>
      <c r="BQ73" s="30"/>
      <c r="BR73" s="38"/>
      <c r="BS73" s="30"/>
      <c r="BT73" s="30"/>
      <c r="BU73" s="30"/>
      <c r="BV73" s="30"/>
      <c r="BW73" s="30"/>
      <c r="BX73" s="30"/>
      <c r="BY73" s="30"/>
      <c r="BZ73" s="30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8"/>
      <c r="EZ73" s="38"/>
      <c r="FA73" s="38"/>
      <c r="FB73" s="38"/>
      <c r="FC73" s="38"/>
      <c r="FD73" s="38"/>
      <c r="FE73" s="38"/>
      <c r="FF73" s="30"/>
      <c r="FG73" s="30"/>
      <c r="FH73" s="30"/>
      <c r="FI73" s="30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</row>
    <row r="74" spans="1:216" ht="15.75" customHeight="1" x14ac:dyDescent="0.4">
      <c r="A74" s="7"/>
      <c r="B74" s="46">
        <v>2</v>
      </c>
      <c r="C74" s="24" t="s">
        <v>122</v>
      </c>
      <c r="D74" s="47"/>
      <c r="E74" s="9">
        <f>BOYOLANGU!U74+GIRI!V74+GROGOL!V74+JAMBESARI!O74+MOJOPANGGUNG!V74+PENATABAN!V74</f>
        <v>967</v>
      </c>
      <c r="F74" s="39"/>
      <c r="G74" s="20"/>
      <c r="H74" s="20"/>
      <c r="I74" s="20"/>
      <c r="J74" s="20"/>
      <c r="K74" s="20"/>
      <c r="L74" s="20"/>
      <c r="M74" s="20"/>
      <c r="N74" s="20"/>
      <c r="O74" s="20"/>
      <c r="P74" s="32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</row>
    <row r="75" spans="1:216" ht="15.75" customHeight="1" x14ac:dyDescent="0.4">
      <c r="A75" s="7"/>
      <c r="B75" s="46">
        <v>3</v>
      </c>
      <c r="C75" s="24" t="s">
        <v>123</v>
      </c>
      <c r="D75" s="47"/>
      <c r="E75" s="9">
        <f>BOYOLANGU!U75+GIRI!V75+GROGOL!V75+JAMBESARI!O75+MOJOPANGGUNG!V75+PENATABAN!V75</f>
        <v>40</v>
      </c>
      <c r="F75" s="39"/>
      <c r="G75" s="20"/>
      <c r="H75" s="20"/>
      <c r="I75" s="20"/>
      <c r="J75" s="20"/>
      <c r="K75" s="20"/>
      <c r="L75" s="20"/>
      <c r="M75" s="20"/>
      <c r="N75" s="20"/>
      <c r="O75" s="20"/>
      <c r="P75" s="32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</row>
    <row r="76" spans="1:216" ht="15.75" customHeight="1" x14ac:dyDescent="0.4">
      <c r="A76" s="7"/>
      <c r="B76" s="46">
        <v>4</v>
      </c>
      <c r="C76" s="24" t="s">
        <v>124</v>
      </c>
      <c r="D76" s="47"/>
      <c r="E76" s="9">
        <f>BOYOLANGU!U76+GIRI!V76+GROGOL!V76+JAMBESARI!O76+MOJOPANGGUNG!V76+PENATABAN!V76</f>
        <v>18</v>
      </c>
      <c r="F76" s="39"/>
      <c r="G76" s="20"/>
      <c r="H76" s="20"/>
      <c r="I76" s="20"/>
      <c r="J76" s="20"/>
      <c r="K76" s="20"/>
      <c r="L76" s="20"/>
      <c r="M76" s="20"/>
      <c r="N76" s="20"/>
      <c r="O76" s="20"/>
      <c r="P76" s="32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  <c r="GS76" s="33"/>
      <c r="GT76" s="33"/>
      <c r="GU76" s="33"/>
      <c r="GV76" s="33"/>
      <c r="GW76" s="33"/>
      <c r="GX76" s="33"/>
      <c r="GY76" s="33"/>
      <c r="GZ76" s="33"/>
      <c r="HA76" s="33"/>
      <c r="HB76" s="33"/>
      <c r="HC76" s="33"/>
      <c r="HD76" s="33"/>
      <c r="HE76" s="33"/>
      <c r="HF76" s="33"/>
      <c r="HG76" s="33"/>
      <c r="HH76" s="33"/>
    </row>
    <row r="77" spans="1:216" ht="15.75" customHeight="1" x14ac:dyDescent="0.4">
      <c r="A77" s="7"/>
      <c r="B77" s="46">
        <v>5</v>
      </c>
      <c r="C77" s="24" t="s">
        <v>125</v>
      </c>
      <c r="D77" s="47"/>
      <c r="E77" s="9">
        <f>BOYOLANGU!U77+GIRI!V77+GROGOL!V77+JAMBESARI!O77+MOJOPANGGUNG!V77+PENATABAN!V77</f>
        <v>13</v>
      </c>
      <c r="F77" s="39"/>
      <c r="G77" s="20"/>
      <c r="H77" s="20"/>
      <c r="I77" s="20"/>
      <c r="J77" s="20"/>
      <c r="K77" s="20"/>
      <c r="L77" s="20"/>
      <c r="M77" s="20"/>
      <c r="N77" s="20"/>
      <c r="O77" s="20"/>
      <c r="P77" s="32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</row>
    <row r="78" spans="1:216" ht="15.75" customHeight="1" x14ac:dyDescent="0.4">
      <c r="A78" s="7"/>
      <c r="B78" s="46">
        <v>6</v>
      </c>
      <c r="C78" s="24" t="s">
        <v>126</v>
      </c>
      <c r="D78" s="47"/>
      <c r="E78" s="9">
        <f>BOYOLANGU!U78+GIRI!V78+GROGOL!V78+JAMBESARI!O78+MOJOPANGGUNG!V78+PENATABAN!V78</f>
        <v>10</v>
      </c>
      <c r="F78" s="39"/>
      <c r="G78" s="20"/>
      <c r="H78" s="20"/>
      <c r="I78" s="20"/>
      <c r="J78" s="20"/>
      <c r="K78" s="20"/>
      <c r="L78" s="20"/>
      <c r="M78" s="20"/>
      <c r="N78" s="20"/>
      <c r="O78" s="20"/>
      <c r="P78" s="32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  <c r="GV78" s="33"/>
      <c r="GW78" s="33"/>
      <c r="GX78" s="33"/>
      <c r="GY78" s="33"/>
      <c r="GZ78" s="33"/>
      <c r="HA78" s="33"/>
      <c r="HB78" s="33"/>
      <c r="HC78" s="33"/>
      <c r="HD78" s="33"/>
      <c r="HE78" s="33"/>
      <c r="HF78" s="33"/>
      <c r="HG78" s="33"/>
      <c r="HH78" s="33"/>
    </row>
    <row r="79" spans="1:216" ht="15.75" customHeight="1" x14ac:dyDescent="0.4">
      <c r="A79" s="6" t="s">
        <v>25</v>
      </c>
      <c r="B79" s="52" t="s">
        <v>50</v>
      </c>
      <c r="C79" s="68"/>
      <c r="D79" s="51"/>
      <c r="E79" s="5">
        <f>SUM(E72:E78)</f>
        <v>3120</v>
      </c>
      <c r="F79" s="39"/>
      <c r="G79" s="20"/>
      <c r="H79" s="20"/>
      <c r="I79" s="20"/>
      <c r="J79" s="20"/>
      <c r="K79" s="20"/>
      <c r="L79" s="20"/>
      <c r="M79" s="20"/>
      <c r="N79" s="20"/>
      <c r="O79" s="20"/>
      <c r="P79" s="32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</row>
    <row r="80" spans="1:216" ht="15.75" customHeight="1" x14ac:dyDescent="0.4">
      <c r="A80" s="69"/>
      <c r="B80" s="70"/>
      <c r="C80" s="70"/>
      <c r="D80" s="70"/>
      <c r="E80" s="70"/>
      <c r="F80" s="39"/>
      <c r="G80" s="20"/>
      <c r="H80" s="20"/>
      <c r="I80" s="20"/>
      <c r="J80" s="20"/>
      <c r="K80" s="20"/>
      <c r="L80" s="20"/>
      <c r="M80" s="20"/>
      <c r="N80" s="20"/>
      <c r="O80" s="20"/>
      <c r="P80" s="32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  <c r="GV80" s="33"/>
      <c r="GW80" s="33"/>
      <c r="GX80" s="33"/>
      <c r="GY80" s="33"/>
      <c r="GZ80" s="33"/>
      <c r="HA80" s="33"/>
      <c r="HB80" s="33"/>
      <c r="HC80" s="33"/>
      <c r="HD80" s="33"/>
      <c r="HE80" s="33"/>
      <c r="HF80" s="33"/>
      <c r="HG80" s="33"/>
      <c r="HH80" s="33"/>
    </row>
    <row r="81" spans="1:216" ht="15.75" customHeight="1" x14ac:dyDescent="0.4">
      <c r="A81" s="11" t="s">
        <v>47</v>
      </c>
      <c r="B81" s="17" t="s">
        <v>54</v>
      </c>
      <c r="C81" s="50" t="s">
        <v>55</v>
      </c>
      <c r="D81" s="51"/>
      <c r="E81" s="9">
        <f>BOYOLANGU!U81+GIRI!V81+GROGOL!V81+JAMBESARI!O81+MOJOPANGGUNG!V81+PENATABAN!V81</f>
        <v>177</v>
      </c>
      <c r="F81" s="40"/>
      <c r="G81" s="1"/>
      <c r="H81" s="1"/>
      <c r="I81" s="1"/>
      <c r="J81" s="1"/>
      <c r="K81" s="1"/>
      <c r="L81" s="1"/>
      <c r="M81" s="1"/>
      <c r="N81" s="1"/>
      <c r="O81" s="1"/>
      <c r="P81" s="34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</row>
    <row r="82" spans="1:216" ht="15.75" customHeight="1" x14ac:dyDescent="0.4">
      <c r="A82" s="11" t="s">
        <v>49</v>
      </c>
      <c r="B82" s="46">
        <v>1</v>
      </c>
      <c r="C82" s="24" t="s">
        <v>127</v>
      </c>
      <c r="D82" s="47"/>
      <c r="E82" s="9">
        <f>BOYOLANGU!U82+GIRI!V82+GROGOL!V82+JAMBESARI!O82+MOJOPANGGUNG!V82+PENATABAN!V82</f>
        <v>490</v>
      </c>
      <c r="F82" s="42"/>
      <c r="G82" s="27"/>
      <c r="H82" s="27"/>
      <c r="I82" s="27"/>
      <c r="J82" s="27"/>
      <c r="K82" s="27"/>
      <c r="L82" s="27"/>
      <c r="M82" s="27"/>
      <c r="N82" s="27"/>
      <c r="O82" s="27"/>
      <c r="P82" s="37"/>
      <c r="Q82" s="30"/>
      <c r="R82" s="30"/>
      <c r="S82" s="30"/>
      <c r="T82" s="30"/>
      <c r="U82" s="30"/>
      <c r="V82" s="30"/>
      <c r="W82" s="38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0"/>
      <c r="BM82" s="30"/>
      <c r="BN82" s="30"/>
      <c r="BO82" s="30"/>
      <c r="BP82" s="30"/>
      <c r="BQ82" s="30"/>
      <c r="BR82" s="38"/>
      <c r="BS82" s="30"/>
      <c r="BT82" s="30"/>
      <c r="BU82" s="30"/>
      <c r="BV82" s="30"/>
      <c r="BW82" s="30"/>
      <c r="BX82" s="30"/>
      <c r="BY82" s="30"/>
      <c r="BZ82" s="30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8"/>
      <c r="EZ82" s="38"/>
      <c r="FA82" s="38"/>
      <c r="FB82" s="38"/>
      <c r="FC82" s="38"/>
      <c r="FD82" s="38"/>
      <c r="FE82" s="38"/>
      <c r="FF82" s="30"/>
      <c r="FG82" s="30"/>
      <c r="FH82" s="30"/>
      <c r="FI82" s="30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</row>
    <row r="83" spans="1:216" ht="15.75" customHeight="1" x14ac:dyDescent="0.4">
      <c r="A83" s="7"/>
      <c r="B83" s="46">
        <v>2</v>
      </c>
      <c r="C83" s="24" t="s">
        <v>128</v>
      </c>
      <c r="D83" s="47"/>
      <c r="E83" s="9">
        <f>BOYOLANGU!U83+GIRI!V83+GROGOL!V83+JAMBESARI!O83+MOJOPANGGUNG!V83+PENATABAN!V83</f>
        <v>24</v>
      </c>
      <c r="F83" s="39"/>
      <c r="G83" s="20"/>
      <c r="H83" s="20"/>
      <c r="I83" s="20"/>
      <c r="J83" s="20"/>
      <c r="K83" s="20"/>
      <c r="L83" s="20"/>
      <c r="M83" s="20"/>
      <c r="N83" s="20"/>
      <c r="O83" s="20"/>
      <c r="P83" s="32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</row>
    <row r="84" spans="1:216" ht="15.75" customHeight="1" x14ac:dyDescent="0.4">
      <c r="A84" s="7"/>
      <c r="B84" s="46">
        <v>3</v>
      </c>
      <c r="C84" s="24" t="s">
        <v>129</v>
      </c>
      <c r="D84" s="47"/>
      <c r="E84" s="9">
        <f>BOYOLANGU!U84+GIRI!V84+GROGOL!V84+JAMBESARI!O84+MOJOPANGGUNG!V84+PENATABAN!V84</f>
        <v>27</v>
      </c>
      <c r="F84" s="39"/>
      <c r="G84" s="20"/>
      <c r="H84" s="20"/>
      <c r="I84" s="20"/>
      <c r="J84" s="20"/>
      <c r="K84" s="20"/>
      <c r="L84" s="20"/>
      <c r="M84" s="20"/>
      <c r="N84" s="20"/>
      <c r="O84" s="20"/>
      <c r="P84" s="32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  <c r="GS84" s="33"/>
      <c r="GT84" s="33"/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</row>
    <row r="85" spans="1:216" ht="15.75" customHeight="1" x14ac:dyDescent="0.4">
      <c r="A85" s="7"/>
      <c r="B85" s="46">
        <v>4</v>
      </c>
      <c r="C85" s="24" t="s">
        <v>130</v>
      </c>
      <c r="D85" s="47"/>
      <c r="E85" s="9">
        <f>BOYOLANGU!U85+GIRI!V85+GROGOL!V85+JAMBESARI!O85+MOJOPANGGUNG!V85+PENATABAN!V85</f>
        <v>4</v>
      </c>
      <c r="F85" s="39"/>
      <c r="G85" s="20"/>
      <c r="H85" s="20"/>
      <c r="I85" s="20"/>
      <c r="J85" s="20"/>
      <c r="K85" s="20"/>
      <c r="L85" s="20"/>
      <c r="M85" s="20"/>
      <c r="N85" s="20"/>
      <c r="O85" s="20"/>
      <c r="P85" s="32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</row>
    <row r="86" spans="1:216" ht="15.75" customHeight="1" x14ac:dyDescent="0.4">
      <c r="A86" s="7"/>
      <c r="B86" s="46">
        <v>5</v>
      </c>
      <c r="C86" s="24" t="s">
        <v>131</v>
      </c>
      <c r="D86" s="47"/>
      <c r="E86" s="9">
        <f>BOYOLANGU!U86+GIRI!V86+GROGOL!V86+JAMBESARI!O86+MOJOPANGGUNG!V86+PENATABAN!V86</f>
        <v>141</v>
      </c>
      <c r="F86" s="39"/>
      <c r="G86" s="20"/>
      <c r="H86" s="20"/>
      <c r="I86" s="20"/>
      <c r="J86" s="20"/>
      <c r="K86" s="20"/>
      <c r="L86" s="20"/>
      <c r="M86" s="20"/>
      <c r="N86" s="20"/>
      <c r="O86" s="20"/>
      <c r="P86" s="32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33"/>
      <c r="GF86" s="33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33"/>
      <c r="GX86" s="33"/>
      <c r="GY86" s="33"/>
      <c r="GZ86" s="33"/>
      <c r="HA86" s="33"/>
      <c r="HB86" s="33"/>
      <c r="HC86" s="33"/>
      <c r="HD86" s="33"/>
      <c r="HE86" s="33"/>
      <c r="HF86" s="33"/>
      <c r="HG86" s="33"/>
      <c r="HH86" s="33"/>
    </row>
    <row r="87" spans="1:216" ht="15.75" customHeight="1" x14ac:dyDescent="0.4">
      <c r="A87" s="7"/>
      <c r="B87" s="46">
        <v>6</v>
      </c>
      <c r="C87" s="24" t="s">
        <v>132</v>
      </c>
      <c r="D87" s="47"/>
      <c r="E87" s="9">
        <f>BOYOLANGU!U87+GIRI!V87+GROGOL!V87+JAMBESARI!O87+MOJOPANGGUNG!V87+PENATABAN!V87</f>
        <v>227</v>
      </c>
      <c r="F87" s="39"/>
      <c r="G87" s="20"/>
      <c r="H87" s="20"/>
      <c r="I87" s="20"/>
      <c r="J87" s="20"/>
      <c r="K87" s="20"/>
      <c r="L87" s="20"/>
      <c r="M87" s="20"/>
      <c r="N87" s="20"/>
      <c r="O87" s="20"/>
      <c r="P87" s="32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</row>
    <row r="88" spans="1:216" ht="15.75" customHeight="1" x14ac:dyDescent="0.4">
      <c r="A88" s="6" t="s">
        <v>25</v>
      </c>
      <c r="B88" s="52" t="s">
        <v>50</v>
      </c>
      <c r="C88" s="68"/>
      <c r="D88" s="51"/>
      <c r="E88" s="5">
        <f>SUM(E81:E87)</f>
        <v>1090</v>
      </c>
      <c r="F88" s="39"/>
      <c r="G88" s="20"/>
      <c r="H88" s="20"/>
      <c r="I88" s="20"/>
      <c r="J88" s="20"/>
      <c r="K88" s="20"/>
      <c r="L88" s="20"/>
      <c r="M88" s="20"/>
      <c r="N88" s="20"/>
      <c r="O88" s="20"/>
      <c r="P88" s="32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</row>
    <row r="89" spans="1:216" ht="15.75" customHeight="1" x14ac:dyDescent="0.4">
      <c r="A89" s="69"/>
      <c r="B89" s="70"/>
      <c r="C89" s="70"/>
      <c r="D89" s="70"/>
      <c r="E89" s="70"/>
      <c r="F89" s="39"/>
      <c r="G89" s="20"/>
      <c r="H89" s="20"/>
      <c r="I89" s="20"/>
      <c r="J89" s="20"/>
      <c r="K89" s="20"/>
      <c r="L89" s="20"/>
      <c r="M89" s="20"/>
      <c r="N89" s="20"/>
      <c r="O89" s="20"/>
      <c r="P89" s="32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</row>
    <row r="90" spans="1:216" ht="15.75" customHeight="1" x14ac:dyDescent="0.4">
      <c r="A90" s="11" t="s">
        <v>47</v>
      </c>
      <c r="B90" s="17" t="s">
        <v>56</v>
      </c>
      <c r="C90" s="50" t="s">
        <v>57</v>
      </c>
      <c r="D90" s="51"/>
      <c r="E90" s="9">
        <f>BOYOLANGU!U90+GIRI!V90+GROGOL!V90+JAMBESARI!O90+MOJOPANGGUNG!V90+PENATABAN!V90</f>
        <v>62</v>
      </c>
      <c r="F90" s="40"/>
      <c r="G90" s="1"/>
      <c r="H90" s="1"/>
      <c r="I90" s="1"/>
      <c r="J90" s="1"/>
      <c r="K90" s="1"/>
      <c r="L90" s="1"/>
      <c r="M90" s="1"/>
      <c r="N90" s="1"/>
      <c r="O90" s="1"/>
      <c r="P90" s="34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/>
      <c r="FQ90" s="31"/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/>
      <c r="GC90" s="31"/>
      <c r="GD90" s="31"/>
      <c r="GE90" s="31"/>
      <c r="GF90" s="31"/>
      <c r="GG90" s="31"/>
      <c r="GH90" s="31"/>
      <c r="GI90" s="31"/>
      <c r="GJ90" s="31"/>
      <c r="GK90" s="31"/>
      <c r="GL90" s="31"/>
      <c r="GM90" s="31"/>
      <c r="GN90" s="31"/>
      <c r="GO90" s="31"/>
      <c r="GP90" s="31"/>
      <c r="GQ90" s="31"/>
      <c r="GR90" s="31"/>
      <c r="GS90" s="31"/>
      <c r="GT90" s="31"/>
      <c r="GU90" s="31"/>
      <c r="GV90" s="31"/>
      <c r="GW90" s="31"/>
      <c r="GX90" s="31"/>
      <c r="GY90" s="31"/>
      <c r="GZ90" s="31"/>
      <c r="HA90" s="31"/>
      <c r="HB90" s="31"/>
      <c r="HC90" s="31"/>
      <c r="HD90" s="31"/>
      <c r="HE90" s="31"/>
      <c r="HF90" s="31"/>
      <c r="HG90" s="31"/>
      <c r="HH90" s="31"/>
    </row>
    <row r="91" spans="1:216" ht="15.75" customHeight="1" x14ac:dyDescent="0.4">
      <c r="A91" s="6" t="s">
        <v>25</v>
      </c>
      <c r="B91" s="52" t="s">
        <v>50</v>
      </c>
      <c r="C91" s="53"/>
      <c r="D91" s="54"/>
      <c r="E91" s="5">
        <f>SUM(E90:E90)</f>
        <v>62</v>
      </c>
      <c r="F91" s="42"/>
      <c r="G91" s="27"/>
      <c r="H91" s="27"/>
      <c r="I91" s="27"/>
      <c r="J91" s="27"/>
      <c r="K91" s="27"/>
      <c r="L91" s="27"/>
      <c r="M91" s="27"/>
      <c r="N91" s="27"/>
      <c r="O91" s="27"/>
      <c r="P91" s="37"/>
      <c r="Q91" s="30"/>
      <c r="R91" s="30"/>
      <c r="S91" s="30"/>
      <c r="T91" s="30"/>
      <c r="U91" s="30"/>
      <c r="V91" s="30"/>
      <c r="W91" s="38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0"/>
      <c r="BM91" s="30"/>
      <c r="BN91" s="30"/>
      <c r="BO91" s="30"/>
      <c r="BP91" s="30"/>
      <c r="BQ91" s="30"/>
      <c r="BR91" s="38"/>
      <c r="BS91" s="30"/>
      <c r="BT91" s="30"/>
      <c r="BU91" s="30"/>
      <c r="BV91" s="30"/>
      <c r="BW91" s="30"/>
      <c r="BX91" s="30"/>
      <c r="BY91" s="30"/>
      <c r="BZ91" s="30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8"/>
      <c r="EZ91" s="38"/>
      <c r="FA91" s="38"/>
      <c r="FB91" s="38"/>
      <c r="FC91" s="38"/>
      <c r="FD91" s="38"/>
      <c r="FE91" s="38"/>
      <c r="FF91" s="30"/>
      <c r="FG91" s="30"/>
      <c r="FH91" s="30"/>
      <c r="FI91" s="30"/>
      <c r="FJ91" s="38"/>
      <c r="FK91" s="38"/>
      <c r="FL91" s="38"/>
      <c r="FM91" s="38"/>
      <c r="FN91" s="38"/>
      <c r="FO91" s="38"/>
      <c r="FP91" s="38"/>
      <c r="FQ91" s="38"/>
      <c r="FR91" s="38"/>
      <c r="FS91" s="38"/>
      <c r="FT91" s="38"/>
      <c r="FU91" s="38"/>
      <c r="FV91" s="38"/>
      <c r="FW91" s="38"/>
      <c r="FX91" s="38"/>
      <c r="FY91" s="38"/>
      <c r="FZ91" s="38"/>
      <c r="GA91" s="38"/>
      <c r="GB91" s="38"/>
      <c r="GC91" s="38"/>
      <c r="GD91" s="38"/>
      <c r="GE91" s="38"/>
      <c r="GF91" s="38"/>
      <c r="GG91" s="38"/>
      <c r="GH91" s="38"/>
      <c r="GI91" s="38"/>
      <c r="GJ91" s="38"/>
      <c r="GK91" s="38"/>
      <c r="GL91" s="38"/>
      <c r="GM91" s="38"/>
      <c r="GN91" s="38"/>
      <c r="GO91" s="38"/>
      <c r="GP91" s="38"/>
      <c r="GQ91" s="38"/>
      <c r="GR91" s="38"/>
      <c r="GS91" s="38"/>
      <c r="GT91" s="38"/>
      <c r="GU91" s="38"/>
      <c r="GV91" s="38"/>
      <c r="GW91" s="38"/>
      <c r="GX91" s="38"/>
      <c r="GY91" s="38"/>
      <c r="GZ91" s="38"/>
      <c r="HA91" s="38"/>
      <c r="HB91" s="38"/>
      <c r="HC91" s="38"/>
      <c r="HD91" s="38"/>
      <c r="HE91" s="38"/>
      <c r="HF91" s="38"/>
      <c r="HG91" s="38"/>
      <c r="HH91" s="38"/>
    </row>
    <row r="92" spans="1:216" ht="15.75" customHeight="1" x14ac:dyDescent="0.4">
      <c r="A92" s="55"/>
      <c r="B92" s="56"/>
      <c r="C92" s="56"/>
      <c r="D92" s="56"/>
      <c r="E92" s="57"/>
      <c r="F92" s="39"/>
      <c r="G92" s="20"/>
      <c r="H92" s="20"/>
      <c r="I92" s="20"/>
      <c r="J92" s="20"/>
      <c r="K92" s="20"/>
      <c r="L92" s="20"/>
      <c r="M92" s="20"/>
      <c r="N92" s="20"/>
      <c r="O92" s="20"/>
      <c r="P92" s="32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</row>
    <row r="93" spans="1:216" ht="15.75" customHeight="1" x14ac:dyDescent="0.4">
      <c r="A93" s="11" t="s">
        <v>47</v>
      </c>
      <c r="B93" s="17" t="s">
        <v>58</v>
      </c>
      <c r="C93" s="50" t="s">
        <v>59</v>
      </c>
      <c r="D93" s="51"/>
      <c r="E93" s="9">
        <f>BOYOLANGU!U93+GIRI!V93+GROGOL!V93+JAMBESARI!O93+MOJOPANGGUNG!V93+PENATABAN!V93</f>
        <v>37</v>
      </c>
      <c r="F93" s="39"/>
      <c r="G93" s="20"/>
      <c r="H93" s="20"/>
      <c r="I93" s="20"/>
      <c r="J93" s="20"/>
      <c r="K93" s="20"/>
      <c r="L93" s="20"/>
      <c r="M93" s="20"/>
      <c r="N93" s="20"/>
      <c r="O93" s="20"/>
      <c r="P93" s="32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  <c r="EE93" s="33"/>
      <c r="EF93" s="33"/>
      <c r="EG93" s="33"/>
      <c r="EH93" s="33"/>
      <c r="EI93" s="33"/>
      <c r="EJ93" s="33"/>
      <c r="EK93" s="33"/>
      <c r="EL93" s="33"/>
      <c r="EM93" s="33"/>
      <c r="EN93" s="33"/>
      <c r="EO93" s="33"/>
      <c r="EP93" s="33"/>
      <c r="EQ93" s="33"/>
      <c r="ER93" s="33"/>
      <c r="ES93" s="33"/>
      <c r="ET93" s="33"/>
      <c r="EU93" s="33"/>
      <c r="EV93" s="33"/>
      <c r="EW93" s="33"/>
      <c r="EX93" s="33"/>
      <c r="EY93" s="33"/>
      <c r="EZ93" s="33"/>
      <c r="FA93" s="33"/>
      <c r="FB93" s="33"/>
      <c r="FC93" s="33"/>
      <c r="FD93" s="33"/>
      <c r="FE93" s="33"/>
      <c r="FF93" s="33"/>
      <c r="FG93" s="33"/>
      <c r="FH93" s="33"/>
      <c r="FI93" s="33"/>
      <c r="FJ93" s="33"/>
      <c r="FK93" s="33"/>
      <c r="FL93" s="33"/>
      <c r="FM93" s="33"/>
      <c r="FN93" s="33"/>
      <c r="FO93" s="33"/>
      <c r="FP93" s="33"/>
      <c r="FQ93" s="33"/>
      <c r="FR93" s="33"/>
      <c r="FS93" s="33"/>
      <c r="FT93" s="33"/>
      <c r="FU93" s="33"/>
      <c r="FV93" s="33"/>
      <c r="FW93" s="33"/>
      <c r="FX93" s="33"/>
      <c r="FY93" s="33"/>
      <c r="FZ93" s="33"/>
      <c r="GA93" s="33"/>
      <c r="GB93" s="33"/>
      <c r="GC93" s="33"/>
      <c r="GD93" s="33"/>
      <c r="GE93" s="33"/>
      <c r="GF93" s="33"/>
      <c r="GG93" s="33"/>
      <c r="GH93" s="33"/>
      <c r="GI93" s="33"/>
      <c r="GJ93" s="33"/>
      <c r="GK93" s="33"/>
      <c r="GL93" s="33"/>
      <c r="GM93" s="33"/>
      <c r="GN93" s="33"/>
      <c r="GO93" s="33"/>
      <c r="GP93" s="33"/>
      <c r="GQ93" s="33"/>
      <c r="GR93" s="33"/>
      <c r="GS93" s="33"/>
      <c r="GT93" s="33"/>
      <c r="GU93" s="33"/>
      <c r="GV93" s="33"/>
      <c r="GW93" s="33"/>
      <c r="GX93" s="33"/>
      <c r="GY93" s="33"/>
      <c r="GZ93" s="33"/>
      <c r="HA93" s="33"/>
      <c r="HB93" s="33"/>
      <c r="HC93" s="33"/>
      <c r="HD93" s="33"/>
      <c r="HE93" s="33"/>
      <c r="HF93" s="33"/>
      <c r="HG93" s="33"/>
      <c r="HH93" s="33"/>
    </row>
    <row r="94" spans="1:216" ht="15.75" customHeight="1" x14ac:dyDescent="0.4">
      <c r="A94" s="11" t="s">
        <v>49</v>
      </c>
      <c r="B94" s="46">
        <v>1</v>
      </c>
      <c r="C94" s="24" t="s">
        <v>133</v>
      </c>
      <c r="D94" s="47"/>
      <c r="E94" s="9">
        <f>BOYOLANGU!U94+GIRI!V94+GROGOL!V94+JAMBESARI!O94+MOJOPANGGUNG!V94+PENATABAN!V94</f>
        <v>17</v>
      </c>
      <c r="F94" s="39"/>
      <c r="G94" s="20"/>
      <c r="H94" s="20"/>
      <c r="I94" s="20"/>
      <c r="J94" s="20"/>
      <c r="K94" s="20"/>
      <c r="L94" s="20"/>
      <c r="M94" s="20"/>
      <c r="N94" s="20"/>
      <c r="O94" s="20"/>
      <c r="P94" s="32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  <c r="ED94" s="33"/>
      <c r="EE94" s="33"/>
      <c r="EF94" s="33"/>
      <c r="EG94" s="33"/>
      <c r="EH94" s="33"/>
      <c r="EI94" s="33"/>
      <c r="EJ94" s="33"/>
      <c r="EK94" s="33"/>
      <c r="EL94" s="33"/>
      <c r="EM94" s="33"/>
      <c r="EN94" s="33"/>
      <c r="EO94" s="33"/>
      <c r="EP94" s="33"/>
      <c r="EQ94" s="33"/>
      <c r="ER94" s="33"/>
      <c r="ES94" s="33"/>
      <c r="ET94" s="33"/>
      <c r="EU94" s="33"/>
      <c r="EV94" s="33"/>
      <c r="EW94" s="33"/>
      <c r="EX94" s="33"/>
      <c r="EY94" s="33"/>
      <c r="EZ94" s="33"/>
      <c r="FA94" s="33"/>
      <c r="FB94" s="33"/>
      <c r="FC94" s="33"/>
      <c r="FD94" s="33"/>
      <c r="FE94" s="33"/>
      <c r="FF94" s="33"/>
      <c r="FG94" s="33"/>
      <c r="FH94" s="33"/>
      <c r="FI94" s="33"/>
      <c r="FJ94" s="33"/>
      <c r="FK94" s="33"/>
      <c r="FL94" s="33"/>
      <c r="FM94" s="33"/>
      <c r="FN94" s="33"/>
      <c r="FO94" s="33"/>
      <c r="FP94" s="33"/>
      <c r="FQ94" s="33"/>
      <c r="FR94" s="33"/>
      <c r="FS94" s="33"/>
      <c r="FT94" s="33"/>
      <c r="FU94" s="33"/>
      <c r="FV94" s="33"/>
      <c r="FW94" s="33"/>
      <c r="FX94" s="33"/>
      <c r="FY94" s="33"/>
      <c r="FZ94" s="33"/>
      <c r="GA94" s="33"/>
      <c r="GB94" s="33"/>
      <c r="GC94" s="33"/>
      <c r="GD94" s="33"/>
      <c r="GE94" s="33"/>
      <c r="GF94" s="33"/>
      <c r="GG94" s="33"/>
      <c r="GH94" s="33"/>
      <c r="GI94" s="33"/>
      <c r="GJ94" s="33"/>
      <c r="GK94" s="33"/>
      <c r="GL94" s="33"/>
      <c r="GM94" s="33"/>
      <c r="GN94" s="33"/>
      <c r="GO94" s="33"/>
      <c r="GP94" s="33"/>
      <c r="GQ94" s="33"/>
      <c r="GR94" s="33"/>
      <c r="GS94" s="33"/>
      <c r="GT94" s="33"/>
      <c r="GU94" s="33"/>
      <c r="GV94" s="33"/>
      <c r="GW94" s="33"/>
      <c r="GX94" s="33"/>
      <c r="GY94" s="33"/>
      <c r="GZ94" s="33"/>
      <c r="HA94" s="33"/>
      <c r="HB94" s="33"/>
      <c r="HC94" s="33"/>
      <c r="HD94" s="33"/>
      <c r="HE94" s="33"/>
      <c r="HF94" s="33"/>
      <c r="HG94" s="33"/>
      <c r="HH94" s="33"/>
    </row>
    <row r="95" spans="1:216" ht="15.75" customHeight="1" x14ac:dyDescent="0.4">
      <c r="A95" s="7"/>
      <c r="B95" s="46">
        <v>2</v>
      </c>
      <c r="C95" s="24" t="s">
        <v>134</v>
      </c>
      <c r="D95" s="47"/>
      <c r="E95" s="9">
        <f>BOYOLANGU!U95+GIRI!V95+GROGOL!V95+JAMBESARI!O95+MOJOPANGGUNG!V95+PENATABAN!V95</f>
        <v>10</v>
      </c>
      <c r="F95" s="39"/>
      <c r="G95" s="20"/>
      <c r="H95" s="20"/>
      <c r="I95" s="20"/>
      <c r="J95" s="20"/>
      <c r="K95" s="20"/>
      <c r="L95" s="20"/>
      <c r="M95" s="20"/>
      <c r="N95" s="20"/>
      <c r="O95" s="20"/>
      <c r="P95" s="32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</row>
    <row r="96" spans="1:216" ht="15.75" customHeight="1" x14ac:dyDescent="0.4">
      <c r="A96" s="7"/>
      <c r="B96" s="46">
        <v>3</v>
      </c>
      <c r="C96" s="24" t="s">
        <v>135</v>
      </c>
      <c r="D96" s="47"/>
      <c r="E96" s="9">
        <f>BOYOLANGU!U96+GIRI!V96+GROGOL!V96+JAMBESARI!O96+MOJOPANGGUNG!V96+PENATABAN!V96</f>
        <v>5</v>
      </c>
      <c r="F96" s="39"/>
      <c r="G96" s="20"/>
      <c r="H96" s="20"/>
      <c r="I96" s="20"/>
      <c r="J96" s="20"/>
      <c r="K96" s="20"/>
      <c r="L96" s="20"/>
      <c r="M96" s="20"/>
      <c r="N96" s="20"/>
      <c r="O96" s="20"/>
      <c r="P96" s="32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  <c r="GV96" s="33"/>
      <c r="GW96" s="33"/>
      <c r="GX96" s="33"/>
      <c r="GY96" s="33"/>
      <c r="GZ96" s="33"/>
      <c r="HA96" s="33"/>
      <c r="HB96" s="33"/>
      <c r="HC96" s="33"/>
      <c r="HD96" s="33"/>
      <c r="HE96" s="33"/>
      <c r="HF96" s="33"/>
      <c r="HG96" s="33"/>
      <c r="HH96" s="33"/>
    </row>
    <row r="97" spans="1:216" ht="15.75" customHeight="1" x14ac:dyDescent="0.4">
      <c r="A97" s="7"/>
      <c r="B97" s="46">
        <v>4</v>
      </c>
      <c r="C97" s="24" t="s">
        <v>136</v>
      </c>
      <c r="D97" s="47"/>
      <c r="E97" s="9">
        <f>BOYOLANGU!U97+GIRI!V97+GROGOL!V97+JAMBESARI!O97+MOJOPANGGUNG!V97+PENATABAN!V97</f>
        <v>2</v>
      </c>
      <c r="F97" s="39"/>
      <c r="G97" s="20"/>
      <c r="H97" s="20"/>
      <c r="I97" s="20"/>
      <c r="J97" s="20"/>
      <c r="K97" s="20"/>
      <c r="L97" s="20"/>
      <c r="M97" s="20"/>
      <c r="N97" s="20"/>
      <c r="O97" s="20"/>
      <c r="P97" s="32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</row>
    <row r="98" spans="1:216" ht="15.75" customHeight="1" x14ac:dyDescent="0.4">
      <c r="A98" s="6" t="s">
        <v>25</v>
      </c>
      <c r="B98" s="52" t="s">
        <v>50</v>
      </c>
      <c r="C98" s="53"/>
      <c r="D98" s="54"/>
      <c r="E98" s="5">
        <f>SUM(E93:E97)</f>
        <v>71</v>
      </c>
      <c r="F98" s="39"/>
      <c r="G98" s="20"/>
      <c r="H98" s="20"/>
      <c r="I98" s="20"/>
      <c r="J98" s="20"/>
      <c r="K98" s="20"/>
      <c r="L98" s="20"/>
      <c r="M98" s="20"/>
      <c r="N98" s="20"/>
      <c r="O98" s="20"/>
      <c r="P98" s="32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  <c r="GV98" s="33"/>
      <c r="GW98" s="33"/>
      <c r="GX98" s="33"/>
      <c r="GY98" s="33"/>
      <c r="GZ98" s="33"/>
      <c r="HA98" s="33"/>
      <c r="HB98" s="33"/>
      <c r="HC98" s="33"/>
      <c r="HD98" s="33"/>
      <c r="HE98" s="33"/>
      <c r="HF98" s="33"/>
      <c r="HG98" s="33"/>
      <c r="HH98" s="33"/>
    </row>
    <row r="99" spans="1:216" ht="15.75" customHeight="1" x14ac:dyDescent="0.4">
      <c r="A99" s="55"/>
      <c r="B99" s="56"/>
      <c r="C99" s="56"/>
      <c r="D99" s="56"/>
      <c r="E99" s="57"/>
      <c r="F99" s="39"/>
      <c r="G99" s="20"/>
      <c r="H99" s="20"/>
      <c r="I99" s="20"/>
      <c r="J99" s="20"/>
      <c r="K99" s="20"/>
      <c r="L99" s="20"/>
      <c r="M99" s="20"/>
      <c r="N99" s="20"/>
      <c r="O99" s="20"/>
      <c r="P99" s="32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33"/>
      <c r="GF99" s="33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  <c r="GS99" s="33"/>
      <c r="GT99" s="33"/>
      <c r="GU99" s="33"/>
      <c r="GV99" s="33"/>
      <c r="GW99" s="33"/>
      <c r="GX99" s="33"/>
      <c r="GY99" s="33"/>
      <c r="GZ99" s="33"/>
      <c r="HA99" s="33"/>
      <c r="HB99" s="33"/>
      <c r="HC99" s="33"/>
      <c r="HD99" s="33"/>
      <c r="HE99" s="33"/>
      <c r="HF99" s="33"/>
      <c r="HG99" s="33"/>
      <c r="HH99" s="33"/>
    </row>
    <row r="100" spans="1:216" ht="15.75" customHeight="1" x14ac:dyDescent="0.4">
      <c r="A100" s="11" t="s">
        <v>47</v>
      </c>
      <c r="B100" s="17" t="s">
        <v>60</v>
      </c>
      <c r="C100" s="50" t="s">
        <v>61</v>
      </c>
      <c r="D100" s="51"/>
      <c r="E100" s="9">
        <f>BOYOLANGU!U100+GIRI!V100+GROGOL!V100+JAMBESARI!O100+MOJOPANGGUNG!V100+PENATABAN!V100</f>
        <v>158</v>
      </c>
      <c r="F100" s="40"/>
      <c r="G100" s="1"/>
      <c r="H100" s="1"/>
      <c r="I100" s="1"/>
      <c r="J100" s="1"/>
      <c r="K100" s="1"/>
      <c r="L100" s="1"/>
      <c r="M100" s="1"/>
      <c r="N100" s="1"/>
      <c r="O100" s="1"/>
      <c r="P100" s="34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/>
      <c r="FB100" s="31"/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  <c r="FN100" s="31"/>
      <c r="FO100" s="31"/>
      <c r="FP100" s="31"/>
      <c r="FQ100" s="31"/>
      <c r="FR100" s="31"/>
      <c r="FS100" s="31"/>
      <c r="FT100" s="31"/>
      <c r="FU100" s="31"/>
      <c r="FV100" s="31"/>
      <c r="FW100" s="31"/>
      <c r="FX100" s="31"/>
      <c r="FY100" s="31"/>
      <c r="FZ100" s="31"/>
      <c r="GA100" s="31"/>
      <c r="GB100" s="31"/>
      <c r="GC100" s="31"/>
      <c r="GD100" s="31"/>
      <c r="GE100" s="31"/>
      <c r="GF100" s="31"/>
      <c r="GG100" s="31"/>
      <c r="GH100" s="31"/>
      <c r="GI100" s="31"/>
      <c r="GJ100" s="31"/>
      <c r="GK100" s="31"/>
      <c r="GL100" s="31"/>
      <c r="GM100" s="31"/>
      <c r="GN100" s="31"/>
      <c r="GO100" s="31"/>
      <c r="GP100" s="31"/>
      <c r="GQ100" s="31"/>
      <c r="GR100" s="31"/>
      <c r="GS100" s="31"/>
      <c r="GT100" s="31"/>
      <c r="GU100" s="31"/>
      <c r="GV100" s="31"/>
      <c r="GW100" s="31"/>
      <c r="GX100" s="31"/>
      <c r="GY100" s="31"/>
      <c r="GZ100" s="31"/>
      <c r="HA100" s="31"/>
      <c r="HB100" s="31"/>
      <c r="HC100" s="31"/>
      <c r="HD100" s="31"/>
      <c r="HE100" s="31"/>
      <c r="HF100" s="31"/>
      <c r="HG100" s="31"/>
      <c r="HH100" s="31"/>
    </row>
    <row r="101" spans="1:216" ht="15.75" customHeight="1" x14ac:dyDescent="0.4">
      <c r="A101" s="11" t="s">
        <v>49</v>
      </c>
      <c r="B101" s="46">
        <v>1</v>
      </c>
      <c r="C101" s="24" t="s">
        <v>137</v>
      </c>
      <c r="D101" s="47"/>
      <c r="E101" s="9">
        <f>BOYOLANGU!U101+GIRI!V101+GROGOL!V101+JAMBESARI!O101+MOJOPANGGUNG!V101+PENATABAN!V101</f>
        <v>501</v>
      </c>
      <c r="F101" s="42"/>
      <c r="G101" s="27"/>
      <c r="H101" s="27"/>
      <c r="I101" s="27"/>
      <c r="J101" s="27"/>
      <c r="K101" s="27"/>
      <c r="L101" s="27"/>
      <c r="M101" s="27"/>
      <c r="N101" s="27"/>
      <c r="O101" s="27"/>
      <c r="P101" s="37"/>
      <c r="Q101" s="30"/>
      <c r="R101" s="30"/>
      <c r="S101" s="30"/>
      <c r="T101" s="30"/>
      <c r="U101" s="30"/>
      <c r="V101" s="30"/>
      <c r="W101" s="38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0"/>
      <c r="BM101" s="30"/>
      <c r="BN101" s="30"/>
      <c r="BO101" s="30"/>
      <c r="BP101" s="30"/>
      <c r="BQ101" s="30"/>
      <c r="BR101" s="38"/>
      <c r="BS101" s="30"/>
      <c r="BT101" s="30"/>
      <c r="BU101" s="30"/>
      <c r="BV101" s="30"/>
      <c r="BW101" s="30"/>
      <c r="BX101" s="30"/>
      <c r="BY101" s="30"/>
      <c r="BZ101" s="30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38"/>
      <c r="CQ101" s="38"/>
      <c r="CR101" s="38"/>
      <c r="CS101" s="38"/>
      <c r="CT101" s="38"/>
      <c r="CU101" s="38"/>
      <c r="CV101" s="38"/>
      <c r="CW101" s="38"/>
      <c r="CX101" s="38"/>
      <c r="CY101" s="38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/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  <c r="EH101" s="38"/>
      <c r="EI101" s="38"/>
      <c r="EJ101" s="38"/>
      <c r="EK101" s="38"/>
      <c r="EL101" s="38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8"/>
      <c r="EZ101" s="38"/>
      <c r="FA101" s="38"/>
      <c r="FB101" s="38"/>
      <c r="FC101" s="38"/>
      <c r="FD101" s="38"/>
      <c r="FE101" s="38"/>
      <c r="FF101" s="30"/>
      <c r="FG101" s="30"/>
      <c r="FH101" s="30"/>
      <c r="FI101" s="30"/>
      <c r="FJ101" s="38"/>
      <c r="FK101" s="38"/>
      <c r="FL101" s="38"/>
      <c r="FM101" s="38"/>
      <c r="FN101" s="38"/>
      <c r="FO101" s="38"/>
      <c r="FP101" s="38"/>
      <c r="FQ101" s="38"/>
      <c r="FR101" s="38"/>
      <c r="FS101" s="38"/>
      <c r="FT101" s="38"/>
      <c r="FU101" s="38"/>
      <c r="FV101" s="38"/>
      <c r="FW101" s="38"/>
      <c r="FX101" s="38"/>
      <c r="FY101" s="38"/>
      <c r="FZ101" s="38"/>
      <c r="GA101" s="38"/>
      <c r="GB101" s="38"/>
      <c r="GC101" s="38"/>
      <c r="GD101" s="38"/>
      <c r="GE101" s="38"/>
      <c r="GF101" s="38"/>
      <c r="GG101" s="38"/>
      <c r="GH101" s="38"/>
      <c r="GI101" s="38"/>
      <c r="GJ101" s="38"/>
      <c r="GK101" s="38"/>
      <c r="GL101" s="38"/>
      <c r="GM101" s="38"/>
      <c r="GN101" s="38"/>
      <c r="GO101" s="38"/>
      <c r="GP101" s="38"/>
      <c r="GQ101" s="38"/>
      <c r="GR101" s="38"/>
      <c r="GS101" s="38"/>
      <c r="GT101" s="38"/>
      <c r="GU101" s="38"/>
      <c r="GV101" s="38"/>
      <c r="GW101" s="38"/>
      <c r="GX101" s="38"/>
      <c r="GY101" s="38"/>
      <c r="GZ101" s="38"/>
      <c r="HA101" s="38"/>
      <c r="HB101" s="38"/>
      <c r="HC101" s="38"/>
      <c r="HD101" s="38"/>
      <c r="HE101" s="38"/>
      <c r="HF101" s="38"/>
      <c r="HG101" s="38"/>
      <c r="HH101" s="38"/>
    </row>
    <row r="102" spans="1:216" ht="15.75" customHeight="1" x14ac:dyDescent="0.4">
      <c r="A102" s="7"/>
      <c r="B102" s="46">
        <v>2</v>
      </c>
      <c r="C102" s="24" t="s">
        <v>138</v>
      </c>
      <c r="D102" s="47"/>
      <c r="E102" s="9">
        <f>BOYOLANGU!U102+GIRI!V102+GROGOL!V102+JAMBESARI!O102+MOJOPANGGUNG!V102+PENATABAN!V102</f>
        <v>54</v>
      </c>
      <c r="F102" s="39"/>
      <c r="G102" s="20"/>
      <c r="H102" s="20"/>
      <c r="I102" s="20"/>
      <c r="J102" s="20"/>
      <c r="K102" s="20"/>
      <c r="L102" s="20"/>
      <c r="M102" s="20"/>
      <c r="N102" s="20"/>
      <c r="O102" s="20"/>
      <c r="P102" s="32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</row>
    <row r="103" spans="1:216" ht="15.75" customHeight="1" x14ac:dyDescent="0.4">
      <c r="A103" s="7"/>
      <c r="B103" s="46">
        <v>3</v>
      </c>
      <c r="C103" s="24" t="s">
        <v>139</v>
      </c>
      <c r="D103" s="47"/>
      <c r="E103" s="9">
        <f>BOYOLANGU!U103+GIRI!V103+GROGOL!V103+JAMBESARI!O103+MOJOPANGGUNG!V103+PENATABAN!V103</f>
        <v>62</v>
      </c>
      <c r="F103" s="39"/>
      <c r="G103" s="20"/>
      <c r="H103" s="20"/>
      <c r="I103" s="20"/>
      <c r="J103" s="20"/>
      <c r="K103" s="20"/>
      <c r="L103" s="20"/>
      <c r="M103" s="20"/>
      <c r="N103" s="20"/>
      <c r="O103" s="20"/>
      <c r="P103" s="32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</row>
    <row r="104" spans="1:216" ht="15.75" customHeight="1" x14ac:dyDescent="0.4">
      <c r="A104" s="7"/>
      <c r="B104" s="46">
        <v>4</v>
      </c>
      <c r="C104" s="24" t="s">
        <v>140</v>
      </c>
      <c r="D104" s="47"/>
      <c r="E104" s="9">
        <f>BOYOLANGU!U104+GIRI!V104+GROGOL!V104+JAMBESARI!O104+MOJOPANGGUNG!V104+PENATABAN!V104</f>
        <v>11</v>
      </c>
      <c r="F104" s="39"/>
      <c r="G104" s="20"/>
      <c r="H104" s="20"/>
      <c r="I104" s="20"/>
      <c r="J104" s="20"/>
      <c r="K104" s="20"/>
      <c r="L104" s="20"/>
      <c r="M104" s="20"/>
      <c r="N104" s="20"/>
      <c r="O104" s="20"/>
      <c r="P104" s="32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/>
      <c r="GS104" s="33"/>
      <c r="GT104" s="33"/>
      <c r="GU104" s="33"/>
      <c r="GV104" s="33"/>
      <c r="GW104" s="33"/>
      <c r="GX104" s="33"/>
      <c r="GY104" s="33"/>
      <c r="GZ104" s="33"/>
      <c r="HA104" s="33"/>
      <c r="HB104" s="33"/>
      <c r="HC104" s="33"/>
      <c r="HD104" s="33"/>
      <c r="HE104" s="33"/>
      <c r="HF104" s="33"/>
      <c r="HG104" s="33"/>
      <c r="HH104" s="33"/>
    </row>
    <row r="105" spans="1:216" ht="15.75" customHeight="1" x14ac:dyDescent="0.4">
      <c r="A105" s="7"/>
      <c r="B105" s="46">
        <v>5</v>
      </c>
      <c r="C105" s="24" t="s">
        <v>141</v>
      </c>
      <c r="D105" s="47"/>
      <c r="E105" s="9">
        <f>BOYOLANGU!U105+GIRI!V105+GROGOL!V105+JAMBESARI!O105+MOJOPANGGUNG!V105+PENATABAN!V105</f>
        <v>15</v>
      </c>
      <c r="F105" s="39"/>
      <c r="G105" s="20"/>
      <c r="H105" s="20"/>
      <c r="I105" s="20"/>
      <c r="J105" s="20"/>
      <c r="K105" s="20"/>
      <c r="L105" s="20"/>
      <c r="M105" s="20"/>
      <c r="N105" s="20"/>
      <c r="O105" s="20"/>
      <c r="P105" s="32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  <c r="ED105" s="33"/>
      <c r="EE105" s="33"/>
      <c r="EF105" s="33"/>
      <c r="EG105" s="33"/>
      <c r="EH105" s="33"/>
      <c r="EI105" s="33"/>
      <c r="EJ105" s="33"/>
      <c r="EK105" s="33"/>
      <c r="EL105" s="33"/>
      <c r="EM105" s="33"/>
      <c r="EN105" s="33"/>
      <c r="EO105" s="33"/>
      <c r="EP105" s="33"/>
      <c r="EQ105" s="33"/>
      <c r="ER105" s="33"/>
      <c r="ES105" s="33"/>
      <c r="ET105" s="33"/>
      <c r="EU105" s="33"/>
      <c r="EV105" s="33"/>
      <c r="EW105" s="33"/>
      <c r="EX105" s="33"/>
      <c r="EY105" s="33"/>
      <c r="EZ105" s="33"/>
      <c r="FA105" s="33"/>
      <c r="FB105" s="33"/>
      <c r="FC105" s="33"/>
      <c r="FD105" s="33"/>
      <c r="FE105" s="33"/>
      <c r="FF105" s="33"/>
      <c r="FG105" s="33"/>
      <c r="FH105" s="33"/>
      <c r="FI105" s="33"/>
      <c r="FJ105" s="33"/>
      <c r="FK105" s="33"/>
      <c r="FL105" s="33"/>
      <c r="FM105" s="33"/>
      <c r="FN105" s="33"/>
      <c r="FO105" s="33"/>
      <c r="FP105" s="33"/>
      <c r="FQ105" s="33"/>
      <c r="FR105" s="33"/>
      <c r="FS105" s="33"/>
      <c r="FT105" s="33"/>
      <c r="FU105" s="33"/>
      <c r="FV105" s="33"/>
      <c r="FW105" s="33"/>
      <c r="FX105" s="33"/>
      <c r="FY105" s="33"/>
      <c r="FZ105" s="33"/>
      <c r="GA105" s="33"/>
      <c r="GB105" s="33"/>
      <c r="GC105" s="33"/>
      <c r="GD105" s="33"/>
      <c r="GE105" s="33"/>
      <c r="GF105" s="33"/>
      <c r="GG105" s="33"/>
      <c r="GH105" s="33"/>
      <c r="GI105" s="33"/>
      <c r="GJ105" s="33"/>
      <c r="GK105" s="33"/>
      <c r="GL105" s="33"/>
      <c r="GM105" s="33"/>
      <c r="GN105" s="33"/>
      <c r="GO105" s="33"/>
      <c r="GP105" s="33"/>
      <c r="GQ105" s="33"/>
      <c r="GR105" s="33"/>
      <c r="GS105" s="33"/>
      <c r="GT105" s="33"/>
      <c r="GU105" s="33"/>
      <c r="GV105" s="33"/>
      <c r="GW105" s="33"/>
      <c r="GX105" s="33"/>
      <c r="GY105" s="33"/>
      <c r="GZ105" s="33"/>
      <c r="HA105" s="33"/>
      <c r="HB105" s="33"/>
      <c r="HC105" s="33"/>
      <c r="HD105" s="33"/>
      <c r="HE105" s="33"/>
      <c r="HF105" s="33"/>
      <c r="HG105" s="33"/>
      <c r="HH105" s="33"/>
    </row>
    <row r="106" spans="1:216" ht="15.75" customHeight="1" x14ac:dyDescent="0.4">
      <c r="A106" s="7"/>
      <c r="B106" s="46">
        <v>6</v>
      </c>
      <c r="C106" s="24" t="s">
        <v>142</v>
      </c>
      <c r="D106" s="47"/>
      <c r="E106" s="9">
        <f>BOYOLANGU!U106+GIRI!V106+GROGOL!V106+JAMBESARI!O106+MOJOPANGGUNG!V106+PENATABAN!V106</f>
        <v>26</v>
      </c>
      <c r="F106" s="39"/>
      <c r="G106" s="20"/>
      <c r="H106" s="20"/>
      <c r="I106" s="20"/>
      <c r="J106" s="20"/>
      <c r="K106" s="20"/>
      <c r="L106" s="20"/>
      <c r="M106" s="20"/>
      <c r="N106" s="20"/>
      <c r="O106" s="20"/>
      <c r="P106" s="32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  <c r="DM106" s="33"/>
      <c r="DN106" s="33"/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  <c r="ED106" s="33"/>
      <c r="EE106" s="33"/>
      <c r="EF106" s="33"/>
      <c r="EG106" s="33"/>
      <c r="EH106" s="33"/>
      <c r="EI106" s="33"/>
      <c r="EJ106" s="33"/>
      <c r="EK106" s="33"/>
      <c r="EL106" s="33"/>
      <c r="EM106" s="33"/>
      <c r="EN106" s="33"/>
      <c r="EO106" s="33"/>
      <c r="EP106" s="33"/>
      <c r="EQ106" s="33"/>
      <c r="ER106" s="33"/>
      <c r="ES106" s="33"/>
      <c r="ET106" s="33"/>
      <c r="EU106" s="33"/>
      <c r="EV106" s="33"/>
      <c r="EW106" s="33"/>
      <c r="EX106" s="33"/>
      <c r="EY106" s="33"/>
      <c r="EZ106" s="33"/>
      <c r="FA106" s="33"/>
      <c r="FB106" s="33"/>
      <c r="FC106" s="33"/>
      <c r="FD106" s="33"/>
      <c r="FE106" s="33"/>
      <c r="FF106" s="33"/>
      <c r="FG106" s="33"/>
      <c r="FH106" s="33"/>
      <c r="FI106" s="33"/>
      <c r="FJ106" s="33"/>
      <c r="FK106" s="33"/>
      <c r="FL106" s="33"/>
      <c r="FM106" s="33"/>
      <c r="FN106" s="33"/>
      <c r="FO106" s="33"/>
      <c r="FP106" s="33"/>
      <c r="FQ106" s="33"/>
      <c r="FR106" s="33"/>
      <c r="FS106" s="33"/>
      <c r="FT106" s="33"/>
      <c r="FU106" s="33"/>
      <c r="FV106" s="33"/>
      <c r="FW106" s="33"/>
      <c r="FX106" s="33"/>
      <c r="FY106" s="33"/>
      <c r="FZ106" s="33"/>
      <c r="GA106" s="33"/>
      <c r="GB106" s="33"/>
      <c r="GC106" s="33"/>
      <c r="GD106" s="33"/>
      <c r="GE106" s="33"/>
      <c r="GF106" s="33"/>
      <c r="GG106" s="33"/>
      <c r="GH106" s="33"/>
      <c r="GI106" s="33"/>
      <c r="GJ106" s="33"/>
      <c r="GK106" s="33"/>
      <c r="GL106" s="33"/>
      <c r="GM106" s="33"/>
      <c r="GN106" s="33"/>
      <c r="GO106" s="33"/>
      <c r="GP106" s="33"/>
      <c r="GQ106" s="33"/>
      <c r="GR106" s="33"/>
      <c r="GS106" s="33"/>
      <c r="GT106" s="33"/>
      <c r="GU106" s="33"/>
      <c r="GV106" s="33"/>
      <c r="GW106" s="33"/>
      <c r="GX106" s="33"/>
      <c r="GY106" s="33"/>
      <c r="GZ106" s="33"/>
      <c r="HA106" s="33"/>
      <c r="HB106" s="33"/>
      <c r="HC106" s="33"/>
      <c r="HD106" s="33"/>
      <c r="HE106" s="33"/>
      <c r="HF106" s="33"/>
      <c r="HG106" s="33"/>
      <c r="HH106" s="33"/>
    </row>
    <row r="107" spans="1:216" ht="15.75" customHeight="1" x14ac:dyDescent="0.4">
      <c r="A107" s="6" t="s">
        <v>25</v>
      </c>
      <c r="B107" s="52" t="s">
        <v>50</v>
      </c>
      <c r="C107" s="53"/>
      <c r="D107" s="54"/>
      <c r="E107" s="5">
        <f>SUM(E100:E106)</f>
        <v>827</v>
      </c>
      <c r="F107" s="39"/>
      <c r="G107" s="20"/>
      <c r="H107" s="20"/>
      <c r="I107" s="20"/>
      <c r="J107" s="20"/>
      <c r="K107" s="20"/>
      <c r="L107" s="20"/>
      <c r="M107" s="20"/>
      <c r="N107" s="20"/>
      <c r="O107" s="20"/>
      <c r="P107" s="32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</row>
    <row r="108" spans="1:216" ht="15.75" customHeight="1" x14ac:dyDescent="0.4">
      <c r="A108" s="55"/>
      <c r="B108" s="56"/>
      <c r="C108" s="56"/>
      <c r="D108" s="56"/>
      <c r="E108" s="57"/>
      <c r="F108" s="39"/>
      <c r="G108" s="20"/>
      <c r="H108" s="20"/>
      <c r="I108" s="20"/>
      <c r="J108" s="20"/>
      <c r="K108" s="20"/>
      <c r="L108" s="20"/>
      <c r="M108" s="20"/>
      <c r="N108" s="20"/>
      <c r="O108" s="20"/>
      <c r="P108" s="32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  <c r="GB108" s="33"/>
      <c r="GC108" s="33"/>
      <c r="GD108" s="33"/>
      <c r="GE108" s="33"/>
      <c r="GF108" s="33"/>
      <c r="GG108" s="33"/>
      <c r="GH108" s="33"/>
      <c r="GI108" s="33"/>
      <c r="GJ108" s="33"/>
      <c r="GK108" s="33"/>
      <c r="GL108" s="33"/>
      <c r="GM108" s="33"/>
      <c r="GN108" s="33"/>
      <c r="GO108" s="33"/>
      <c r="GP108" s="33"/>
      <c r="GQ108" s="33"/>
      <c r="GR108" s="33"/>
      <c r="GS108" s="33"/>
      <c r="GT108" s="33"/>
      <c r="GU108" s="33"/>
      <c r="GV108" s="33"/>
      <c r="GW108" s="33"/>
      <c r="GX108" s="33"/>
      <c r="GY108" s="33"/>
      <c r="GZ108" s="33"/>
      <c r="HA108" s="33"/>
      <c r="HB108" s="33"/>
      <c r="HC108" s="33"/>
      <c r="HD108" s="33"/>
      <c r="HE108" s="33"/>
      <c r="HF108" s="33"/>
      <c r="HG108" s="33"/>
      <c r="HH108" s="33"/>
    </row>
    <row r="109" spans="1:216" ht="15.75" customHeight="1" x14ac:dyDescent="0.4">
      <c r="A109" s="11" t="s">
        <v>47</v>
      </c>
      <c r="B109" s="17" t="s">
        <v>62</v>
      </c>
      <c r="C109" s="50" t="s">
        <v>63</v>
      </c>
      <c r="D109" s="51"/>
      <c r="E109" s="9">
        <f>BOYOLANGU!U109+GIRI!V109+GROGOL!V109+JAMBESARI!O109+MOJOPANGGUNG!V109+PENATABAN!V109</f>
        <v>3</v>
      </c>
      <c r="F109" s="40"/>
      <c r="G109" s="1"/>
      <c r="H109" s="1"/>
      <c r="I109" s="1"/>
      <c r="J109" s="1"/>
      <c r="K109" s="1"/>
      <c r="L109" s="1"/>
      <c r="M109" s="1"/>
      <c r="N109" s="1"/>
      <c r="O109" s="1"/>
      <c r="P109" s="34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31"/>
      <c r="GC109" s="31"/>
      <c r="GD109" s="31"/>
      <c r="GE109" s="31"/>
      <c r="GF109" s="31"/>
      <c r="GG109" s="31"/>
      <c r="GH109" s="31"/>
      <c r="GI109" s="31"/>
      <c r="GJ109" s="31"/>
      <c r="GK109" s="31"/>
      <c r="GL109" s="31"/>
      <c r="GM109" s="31"/>
      <c r="GN109" s="31"/>
      <c r="GO109" s="31"/>
      <c r="GP109" s="31"/>
      <c r="GQ109" s="31"/>
      <c r="GR109" s="31"/>
      <c r="GS109" s="31"/>
      <c r="GT109" s="31"/>
      <c r="GU109" s="31"/>
      <c r="GV109" s="31"/>
      <c r="GW109" s="31"/>
      <c r="GX109" s="31"/>
      <c r="GY109" s="31"/>
      <c r="GZ109" s="31"/>
      <c r="HA109" s="31"/>
      <c r="HB109" s="31"/>
      <c r="HC109" s="31"/>
      <c r="HD109" s="31"/>
      <c r="HE109" s="31"/>
      <c r="HF109" s="31"/>
      <c r="HG109" s="31"/>
      <c r="HH109" s="31"/>
    </row>
    <row r="110" spans="1:216" ht="15.75" customHeight="1" x14ac:dyDescent="0.4">
      <c r="A110" s="11" t="s">
        <v>49</v>
      </c>
      <c r="B110" s="46">
        <v>1</v>
      </c>
      <c r="C110" s="24" t="s">
        <v>143</v>
      </c>
      <c r="D110" s="45"/>
      <c r="E110" s="9">
        <f>BOYOLANGU!U110+GIRI!V110+GROGOL!V110+JAMBESARI!O110+MOJOPANGGUNG!V110+PENATABAN!V110</f>
        <v>2</v>
      </c>
      <c r="F110" s="42"/>
      <c r="G110" s="27"/>
      <c r="H110" s="27"/>
      <c r="I110" s="27"/>
      <c r="J110" s="27"/>
      <c r="K110" s="27"/>
      <c r="L110" s="27"/>
      <c r="M110" s="27"/>
      <c r="N110" s="27"/>
      <c r="O110" s="27"/>
      <c r="P110" s="37"/>
      <c r="Q110" s="30"/>
      <c r="R110" s="30"/>
      <c r="S110" s="30"/>
      <c r="T110" s="30"/>
      <c r="U110" s="30"/>
      <c r="V110" s="30"/>
      <c r="W110" s="38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0"/>
      <c r="BM110" s="30"/>
      <c r="BN110" s="30"/>
      <c r="BO110" s="30"/>
      <c r="BP110" s="30"/>
      <c r="BQ110" s="30"/>
      <c r="BR110" s="38"/>
      <c r="BS110" s="30"/>
      <c r="BT110" s="30"/>
      <c r="BU110" s="30"/>
      <c r="BV110" s="30"/>
      <c r="BW110" s="30"/>
      <c r="BX110" s="30"/>
      <c r="BY110" s="30"/>
      <c r="BZ110" s="30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0"/>
      <c r="EN110" s="30"/>
      <c r="EO110" s="30"/>
      <c r="EP110" s="30"/>
      <c r="EQ110" s="30"/>
      <c r="ER110" s="30"/>
      <c r="ES110" s="30"/>
      <c r="ET110" s="30"/>
      <c r="EU110" s="30"/>
      <c r="EV110" s="30"/>
      <c r="EW110" s="30"/>
      <c r="EX110" s="30"/>
      <c r="EY110" s="38"/>
      <c r="EZ110" s="38"/>
      <c r="FA110" s="38"/>
      <c r="FB110" s="38"/>
      <c r="FC110" s="38"/>
      <c r="FD110" s="38"/>
      <c r="FE110" s="38"/>
      <c r="FF110" s="30"/>
      <c r="FG110" s="30"/>
      <c r="FH110" s="30"/>
      <c r="FI110" s="30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</row>
    <row r="111" spans="1:216" ht="15.75" customHeight="1" x14ac:dyDescent="0.4">
      <c r="A111" s="7"/>
      <c r="B111" s="46">
        <v>2</v>
      </c>
      <c r="C111" s="24" t="s">
        <v>144</v>
      </c>
      <c r="D111" s="45"/>
      <c r="E111" s="9">
        <f>BOYOLANGU!U111+GIRI!V111+GROGOL!V111+JAMBESARI!O111+MOJOPANGGUNG!V111+PENATABAN!V111</f>
        <v>2</v>
      </c>
      <c r="F111" s="39"/>
      <c r="G111" s="20"/>
      <c r="H111" s="20"/>
      <c r="I111" s="20"/>
      <c r="J111" s="20"/>
      <c r="K111" s="20"/>
      <c r="L111" s="20"/>
      <c r="M111" s="20"/>
      <c r="N111" s="20"/>
      <c r="O111" s="20"/>
      <c r="P111" s="32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</row>
    <row r="112" spans="1:216" ht="15.75" customHeight="1" x14ac:dyDescent="0.4">
      <c r="A112" s="7"/>
      <c r="B112" s="46">
        <v>3</v>
      </c>
      <c r="C112" s="24" t="s">
        <v>145</v>
      </c>
      <c r="D112" s="45"/>
      <c r="E112" s="9">
        <f>BOYOLANGU!U112+GIRI!V112+GROGOL!V112+JAMBESARI!O112+MOJOPANGGUNG!V112+PENATABAN!V112</f>
        <v>2</v>
      </c>
      <c r="F112" s="39"/>
      <c r="G112" s="20"/>
      <c r="H112" s="20"/>
      <c r="I112" s="20"/>
      <c r="J112" s="20"/>
      <c r="K112" s="20"/>
      <c r="L112" s="20"/>
      <c r="M112" s="20"/>
      <c r="N112" s="20"/>
      <c r="O112" s="20"/>
      <c r="P112" s="32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33"/>
      <c r="CY112" s="33"/>
      <c r="CZ112" s="33"/>
      <c r="DA112" s="33"/>
      <c r="DB112" s="33"/>
      <c r="DC112" s="33"/>
      <c r="DD112" s="33"/>
      <c r="DE112" s="33"/>
      <c r="DF112" s="33"/>
      <c r="DG112" s="33"/>
      <c r="DH112" s="33"/>
      <c r="DI112" s="33"/>
      <c r="DJ112" s="33"/>
      <c r="DK112" s="33"/>
      <c r="DL112" s="33"/>
      <c r="DM112" s="33"/>
      <c r="DN112" s="33"/>
      <c r="DO112" s="33"/>
      <c r="DP112" s="33"/>
      <c r="DQ112" s="33"/>
      <c r="DR112" s="33"/>
      <c r="DS112" s="33"/>
      <c r="DT112" s="33"/>
      <c r="DU112" s="33"/>
      <c r="DV112" s="33"/>
      <c r="DW112" s="33"/>
      <c r="DX112" s="33"/>
      <c r="DY112" s="33"/>
      <c r="DZ112" s="33"/>
      <c r="EA112" s="33"/>
      <c r="EB112" s="33"/>
      <c r="EC112" s="33"/>
      <c r="ED112" s="33"/>
      <c r="EE112" s="33"/>
      <c r="EF112" s="33"/>
      <c r="EG112" s="33"/>
      <c r="EH112" s="33"/>
      <c r="EI112" s="33"/>
      <c r="EJ112" s="33"/>
      <c r="EK112" s="33"/>
      <c r="EL112" s="33"/>
      <c r="EM112" s="33"/>
      <c r="EN112" s="33"/>
      <c r="EO112" s="33"/>
      <c r="EP112" s="33"/>
      <c r="EQ112" s="33"/>
      <c r="ER112" s="33"/>
      <c r="ES112" s="33"/>
      <c r="ET112" s="33"/>
      <c r="EU112" s="33"/>
      <c r="EV112" s="33"/>
      <c r="EW112" s="33"/>
      <c r="EX112" s="33"/>
      <c r="EY112" s="33"/>
      <c r="EZ112" s="33"/>
      <c r="FA112" s="33"/>
      <c r="FB112" s="33"/>
      <c r="FC112" s="33"/>
      <c r="FD112" s="33"/>
      <c r="FE112" s="33"/>
      <c r="FF112" s="33"/>
      <c r="FG112" s="33"/>
      <c r="FH112" s="33"/>
      <c r="FI112" s="33"/>
      <c r="FJ112" s="33"/>
      <c r="FK112" s="33"/>
      <c r="FL112" s="33"/>
      <c r="FM112" s="33"/>
      <c r="FN112" s="33"/>
      <c r="FO112" s="33"/>
      <c r="FP112" s="33"/>
      <c r="FQ112" s="33"/>
      <c r="FR112" s="33"/>
      <c r="FS112" s="33"/>
      <c r="FT112" s="33"/>
      <c r="FU112" s="33"/>
      <c r="FV112" s="33"/>
      <c r="FW112" s="33"/>
      <c r="FX112" s="33"/>
      <c r="FY112" s="33"/>
      <c r="FZ112" s="33"/>
      <c r="GA112" s="33"/>
      <c r="GB112" s="33"/>
      <c r="GC112" s="33"/>
      <c r="GD112" s="33"/>
      <c r="GE112" s="33"/>
      <c r="GF112" s="33"/>
      <c r="GG112" s="33"/>
      <c r="GH112" s="33"/>
      <c r="GI112" s="33"/>
      <c r="GJ112" s="33"/>
      <c r="GK112" s="33"/>
      <c r="GL112" s="33"/>
      <c r="GM112" s="33"/>
      <c r="GN112" s="33"/>
      <c r="GO112" s="33"/>
      <c r="GP112" s="33"/>
      <c r="GQ112" s="33"/>
      <c r="GR112" s="33"/>
      <c r="GS112" s="33"/>
      <c r="GT112" s="33"/>
      <c r="GU112" s="33"/>
      <c r="GV112" s="33"/>
      <c r="GW112" s="33"/>
      <c r="GX112" s="33"/>
      <c r="GY112" s="33"/>
      <c r="GZ112" s="33"/>
      <c r="HA112" s="33"/>
      <c r="HB112" s="33"/>
      <c r="HC112" s="33"/>
      <c r="HD112" s="33"/>
      <c r="HE112" s="33"/>
      <c r="HF112" s="33"/>
      <c r="HG112" s="33"/>
      <c r="HH112" s="33"/>
    </row>
    <row r="113" spans="1:216" ht="15.75" customHeight="1" x14ac:dyDescent="0.4">
      <c r="A113" s="6" t="s">
        <v>25</v>
      </c>
      <c r="B113" s="52" t="s">
        <v>50</v>
      </c>
      <c r="C113" s="53"/>
      <c r="D113" s="54"/>
      <c r="E113" s="5">
        <f>SUM(E109:E112)</f>
        <v>9</v>
      </c>
      <c r="F113" s="39"/>
      <c r="G113" s="20"/>
      <c r="H113" s="20"/>
      <c r="I113" s="20"/>
      <c r="J113" s="20"/>
      <c r="K113" s="20"/>
      <c r="L113" s="20"/>
      <c r="M113" s="20"/>
      <c r="N113" s="20"/>
      <c r="O113" s="20"/>
      <c r="P113" s="32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3"/>
      <c r="DN113" s="33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  <c r="ED113" s="33"/>
      <c r="EE113" s="33"/>
      <c r="EF113" s="33"/>
      <c r="EG113" s="33"/>
      <c r="EH113" s="33"/>
      <c r="EI113" s="33"/>
      <c r="EJ113" s="33"/>
      <c r="EK113" s="33"/>
      <c r="EL113" s="33"/>
      <c r="EM113" s="33"/>
      <c r="EN113" s="33"/>
      <c r="EO113" s="33"/>
      <c r="EP113" s="33"/>
      <c r="EQ113" s="33"/>
      <c r="ER113" s="33"/>
      <c r="ES113" s="33"/>
      <c r="ET113" s="33"/>
      <c r="EU113" s="33"/>
      <c r="EV113" s="33"/>
      <c r="EW113" s="33"/>
      <c r="EX113" s="33"/>
      <c r="EY113" s="33"/>
      <c r="EZ113" s="33"/>
      <c r="FA113" s="33"/>
      <c r="FB113" s="33"/>
      <c r="FC113" s="33"/>
      <c r="FD113" s="33"/>
      <c r="FE113" s="33"/>
      <c r="FF113" s="33"/>
      <c r="FG113" s="33"/>
      <c r="FH113" s="33"/>
      <c r="FI113" s="33"/>
      <c r="FJ113" s="33"/>
      <c r="FK113" s="33"/>
      <c r="FL113" s="33"/>
      <c r="FM113" s="33"/>
      <c r="FN113" s="33"/>
      <c r="FO113" s="33"/>
      <c r="FP113" s="33"/>
      <c r="FQ113" s="33"/>
      <c r="FR113" s="33"/>
      <c r="FS113" s="33"/>
      <c r="FT113" s="33"/>
      <c r="FU113" s="33"/>
      <c r="FV113" s="33"/>
      <c r="FW113" s="33"/>
      <c r="FX113" s="33"/>
      <c r="FY113" s="33"/>
      <c r="FZ113" s="33"/>
      <c r="GA113" s="33"/>
      <c r="GB113" s="33"/>
      <c r="GC113" s="33"/>
      <c r="GD113" s="33"/>
      <c r="GE113" s="33"/>
      <c r="GF113" s="33"/>
      <c r="GG113" s="33"/>
      <c r="GH113" s="33"/>
      <c r="GI113" s="33"/>
      <c r="GJ113" s="33"/>
      <c r="GK113" s="33"/>
      <c r="GL113" s="33"/>
      <c r="GM113" s="33"/>
      <c r="GN113" s="33"/>
      <c r="GO113" s="33"/>
      <c r="GP113" s="33"/>
      <c r="GQ113" s="33"/>
      <c r="GR113" s="33"/>
      <c r="GS113" s="33"/>
      <c r="GT113" s="33"/>
      <c r="GU113" s="33"/>
      <c r="GV113" s="33"/>
      <c r="GW113" s="33"/>
      <c r="GX113" s="33"/>
      <c r="GY113" s="33"/>
      <c r="GZ113" s="33"/>
      <c r="HA113" s="33"/>
      <c r="HB113" s="33"/>
      <c r="HC113" s="33"/>
      <c r="HD113" s="33"/>
      <c r="HE113" s="33"/>
      <c r="HF113" s="33"/>
      <c r="HG113" s="33"/>
      <c r="HH113" s="33"/>
    </row>
    <row r="114" spans="1:216" ht="15.75" customHeight="1" x14ac:dyDescent="0.4">
      <c r="A114" s="55"/>
      <c r="B114" s="56"/>
      <c r="C114" s="56"/>
      <c r="D114" s="56"/>
      <c r="E114" s="57"/>
      <c r="F114" s="40"/>
      <c r="G114" s="1"/>
      <c r="H114" s="1"/>
      <c r="I114" s="1"/>
      <c r="J114" s="1"/>
      <c r="K114" s="1"/>
      <c r="L114" s="1"/>
      <c r="M114" s="1"/>
      <c r="N114" s="1"/>
      <c r="O114" s="1"/>
      <c r="P114" s="34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</row>
    <row r="115" spans="1:216" ht="15.75" customHeight="1" x14ac:dyDescent="0.4">
      <c r="A115" s="11" t="s">
        <v>47</v>
      </c>
      <c r="B115" s="44" t="s">
        <v>64</v>
      </c>
      <c r="C115" s="63" t="s">
        <v>65</v>
      </c>
      <c r="D115" s="64"/>
      <c r="E115" s="9">
        <f>BOYOLANGU!U115+GIRI!V115+GROGOL!V115+JAMBESARI!O115+MOJOPANGGUNG!V115+PENATABAN!V115</f>
        <v>24</v>
      </c>
      <c r="F115" s="42"/>
      <c r="G115" s="27"/>
      <c r="H115" s="27"/>
      <c r="I115" s="27"/>
      <c r="J115" s="27"/>
      <c r="K115" s="27"/>
      <c r="L115" s="27"/>
      <c r="M115" s="27"/>
      <c r="N115" s="27"/>
      <c r="O115" s="27"/>
      <c r="P115" s="37"/>
      <c r="Q115" s="30"/>
      <c r="R115" s="30"/>
      <c r="S115" s="30"/>
      <c r="T115" s="30"/>
      <c r="U115" s="30"/>
      <c r="V115" s="30"/>
      <c r="W115" s="38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0"/>
      <c r="BM115" s="30"/>
      <c r="BN115" s="30"/>
      <c r="BO115" s="30"/>
      <c r="BP115" s="30"/>
      <c r="BQ115" s="30"/>
      <c r="BR115" s="38"/>
      <c r="BS115" s="30"/>
      <c r="BT115" s="30"/>
      <c r="BU115" s="30"/>
      <c r="BV115" s="30"/>
      <c r="BW115" s="30"/>
      <c r="BX115" s="30"/>
      <c r="BY115" s="30"/>
      <c r="BZ115" s="30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8"/>
      <c r="EZ115" s="38"/>
      <c r="FA115" s="38"/>
      <c r="FB115" s="38"/>
      <c r="FC115" s="38"/>
      <c r="FD115" s="38"/>
      <c r="FE115" s="38"/>
      <c r="FF115" s="30"/>
      <c r="FG115" s="30"/>
      <c r="FH115" s="30"/>
      <c r="FI115" s="30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</row>
    <row r="116" spans="1:216" ht="15.75" customHeight="1" x14ac:dyDescent="0.4">
      <c r="A116" s="48" t="s">
        <v>49</v>
      </c>
      <c r="B116" s="46">
        <v>1</v>
      </c>
      <c r="C116" s="24" t="s">
        <v>146</v>
      </c>
      <c r="D116" s="47"/>
      <c r="E116" s="9">
        <f>BOYOLANGU!U116+GIRI!V116+GROGOL!V116+JAMBESARI!O116+MOJOPANGGUNG!V116+PENATABAN!V116</f>
        <v>93</v>
      </c>
      <c r="F116" s="39"/>
      <c r="G116" s="20"/>
      <c r="H116" s="20"/>
      <c r="I116" s="20"/>
      <c r="J116" s="20"/>
      <c r="K116" s="20"/>
      <c r="L116" s="20"/>
      <c r="M116" s="20"/>
      <c r="N116" s="20"/>
      <c r="O116" s="20"/>
      <c r="P116" s="32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</row>
    <row r="117" spans="1:216" ht="15.75" customHeight="1" x14ac:dyDescent="0.4">
      <c r="A117" s="7"/>
      <c r="B117" s="46">
        <v>2</v>
      </c>
      <c r="C117" s="24" t="s">
        <v>147</v>
      </c>
      <c r="D117" s="47"/>
      <c r="E117" s="9">
        <f>BOYOLANGU!U117+GIRI!V117+GROGOL!V117+JAMBESARI!O117+MOJOPANGGUNG!V117+PENATABAN!V117</f>
        <v>19</v>
      </c>
      <c r="F117" s="39"/>
      <c r="G117" s="20"/>
      <c r="H117" s="20"/>
      <c r="I117" s="20"/>
      <c r="J117" s="20"/>
      <c r="K117" s="20"/>
      <c r="L117" s="20"/>
      <c r="M117" s="20"/>
      <c r="N117" s="20"/>
      <c r="O117" s="20"/>
      <c r="P117" s="32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</row>
    <row r="118" spans="1:216" ht="15.75" customHeight="1" x14ac:dyDescent="0.4">
      <c r="A118" s="7"/>
      <c r="B118" s="46">
        <v>3</v>
      </c>
      <c r="C118" s="24" t="s">
        <v>148</v>
      </c>
      <c r="D118" s="47"/>
      <c r="E118" s="9">
        <f>BOYOLANGU!U118+GIRI!V118+GROGOL!V118+JAMBESARI!O118+MOJOPANGGUNG!V118+PENATABAN!V118</f>
        <v>2</v>
      </c>
      <c r="F118" s="39"/>
      <c r="G118" s="20"/>
      <c r="H118" s="20"/>
      <c r="I118" s="20"/>
      <c r="J118" s="20"/>
      <c r="K118" s="20"/>
      <c r="L118" s="20"/>
      <c r="M118" s="20"/>
      <c r="N118" s="20"/>
      <c r="O118" s="20"/>
      <c r="P118" s="32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  <c r="GC118" s="33"/>
      <c r="GD118" s="33"/>
      <c r="GE118" s="33"/>
      <c r="GF118" s="33"/>
      <c r="GG118" s="33"/>
      <c r="GH118" s="33"/>
      <c r="GI118" s="33"/>
      <c r="GJ118" s="33"/>
      <c r="GK118" s="33"/>
      <c r="GL118" s="33"/>
      <c r="GM118" s="33"/>
      <c r="GN118" s="33"/>
      <c r="GO118" s="33"/>
      <c r="GP118" s="33"/>
      <c r="GQ118" s="33"/>
      <c r="GR118" s="33"/>
      <c r="GS118" s="33"/>
      <c r="GT118" s="33"/>
      <c r="GU118" s="33"/>
      <c r="GV118" s="33"/>
      <c r="GW118" s="33"/>
      <c r="GX118" s="33"/>
      <c r="GY118" s="33"/>
      <c r="GZ118" s="33"/>
      <c r="HA118" s="33"/>
      <c r="HB118" s="33"/>
      <c r="HC118" s="33"/>
      <c r="HD118" s="33"/>
      <c r="HE118" s="33"/>
      <c r="HF118" s="33"/>
      <c r="HG118" s="33"/>
      <c r="HH118" s="33"/>
    </row>
    <row r="119" spans="1:216" ht="15.75" customHeight="1" x14ac:dyDescent="0.4">
      <c r="A119" s="7"/>
      <c r="B119" s="46">
        <v>4</v>
      </c>
      <c r="C119" s="24" t="s">
        <v>149</v>
      </c>
      <c r="D119" s="47"/>
      <c r="E119" s="9">
        <f>BOYOLANGU!U119+GIRI!V119+GROGOL!V119+JAMBESARI!O119+MOJOPANGGUNG!V119+PENATABAN!V119</f>
        <v>35</v>
      </c>
      <c r="F119" s="39"/>
      <c r="G119" s="20"/>
      <c r="H119" s="20"/>
      <c r="I119" s="20"/>
      <c r="J119" s="20"/>
      <c r="K119" s="20"/>
      <c r="L119" s="20"/>
      <c r="M119" s="20"/>
      <c r="N119" s="20"/>
      <c r="O119" s="20"/>
      <c r="P119" s="32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  <c r="GS119" s="33"/>
      <c r="GT119" s="33"/>
      <c r="GU119" s="33"/>
      <c r="GV119" s="33"/>
      <c r="GW119" s="33"/>
      <c r="GX119" s="33"/>
      <c r="GY119" s="33"/>
      <c r="GZ119" s="33"/>
      <c r="HA119" s="33"/>
      <c r="HB119" s="33"/>
      <c r="HC119" s="33"/>
      <c r="HD119" s="33"/>
      <c r="HE119" s="33"/>
      <c r="HF119" s="33"/>
      <c r="HG119" s="33"/>
      <c r="HH119" s="33"/>
    </row>
    <row r="120" spans="1:216" ht="15.75" customHeight="1" x14ac:dyDescent="0.4">
      <c r="A120" s="7"/>
      <c r="B120" s="46">
        <v>5</v>
      </c>
      <c r="C120" s="24" t="s">
        <v>150</v>
      </c>
      <c r="D120" s="47"/>
      <c r="E120" s="9">
        <f>BOYOLANGU!U120+GIRI!V120+GROGOL!V120+JAMBESARI!O120+MOJOPANGGUNG!V120+PENATABAN!V120</f>
        <v>7</v>
      </c>
      <c r="F120" s="39"/>
      <c r="G120" s="20"/>
      <c r="H120" s="20"/>
      <c r="I120" s="20"/>
      <c r="J120" s="20"/>
      <c r="K120" s="20"/>
      <c r="L120" s="20"/>
      <c r="M120" s="20"/>
      <c r="N120" s="20"/>
      <c r="O120" s="20"/>
      <c r="P120" s="32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  <c r="GS120" s="33"/>
      <c r="GT120" s="33"/>
      <c r="GU120" s="33"/>
      <c r="GV120" s="33"/>
      <c r="GW120" s="33"/>
      <c r="GX120" s="33"/>
      <c r="GY120" s="33"/>
      <c r="GZ120" s="33"/>
      <c r="HA120" s="33"/>
      <c r="HB120" s="33"/>
      <c r="HC120" s="33"/>
      <c r="HD120" s="33"/>
      <c r="HE120" s="33"/>
      <c r="HF120" s="33"/>
      <c r="HG120" s="33"/>
      <c r="HH120" s="33"/>
    </row>
    <row r="121" spans="1:216" ht="15.75" customHeight="1" x14ac:dyDescent="0.4">
      <c r="A121" s="7"/>
      <c r="B121" s="46">
        <v>6</v>
      </c>
      <c r="C121" s="24" t="s">
        <v>151</v>
      </c>
      <c r="D121" s="47"/>
      <c r="E121" s="9">
        <f>BOYOLANGU!U121+GIRI!V121+GROGOL!V121+JAMBESARI!O121+MOJOPANGGUNG!V121+PENATABAN!V121</f>
        <v>0</v>
      </c>
      <c r="F121" s="39"/>
      <c r="G121" s="20"/>
      <c r="H121" s="20"/>
      <c r="I121" s="20"/>
      <c r="J121" s="20"/>
      <c r="K121" s="20"/>
      <c r="L121" s="20"/>
      <c r="M121" s="20"/>
      <c r="N121" s="20"/>
      <c r="O121" s="20"/>
      <c r="P121" s="32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  <c r="GC121" s="33"/>
      <c r="GD121" s="33"/>
      <c r="GE121" s="33"/>
      <c r="GF121" s="33"/>
      <c r="GG121" s="33"/>
      <c r="GH121" s="33"/>
      <c r="GI121" s="33"/>
      <c r="GJ121" s="33"/>
      <c r="GK121" s="33"/>
      <c r="GL121" s="33"/>
      <c r="GM121" s="33"/>
      <c r="GN121" s="33"/>
      <c r="GO121" s="33"/>
      <c r="GP121" s="33"/>
      <c r="GQ121" s="33"/>
      <c r="GR121" s="33"/>
      <c r="GS121" s="33"/>
      <c r="GT121" s="33"/>
      <c r="GU121" s="33"/>
      <c r="GV121" s="33"/>
      <c r="GW121" s="33"/>
      <c r="GX121" s="33"/>
      <c r="GY121" s="33"/>
      <c r="GZ121" s="33"/>
      <c r="HA121" s="33"/>
      <c r="HB121" s="33"/>
      <c r="HC121" s="33"/>
      <c r="HD121" s="33"/>
      <c r="HE121" s="33"/>
      <c r="HF121" s="33"/>
      <c r="HG121" s="33"/>
      <c r="HH121" s="33"/>
    </row>
    <row r="122" spans="1:216" ht="15.75" customHeight="1" x14ac:dyDescent="0.4">
      <c r="A122" s="6" t="s">
        <v>25</v>
      </c>
      <c r="B122" s="65" t="s">
        <v>50</v>
      </c>
      <c r="C122" s="66"/>
      <c r="D122" s="67"/>
      <c r="E122" s="5">
        <f>SUM(E115:E121)</f>
        <v>180</v>
      </c>
      <c r="F122" s="39"/>
      <c r="G122" s="20"/>
      <c r="H122" s="20"/>
      <c r="I122" s="20"/>
      <c r="J122" s="20"/>
      <c r="K122" s="20"/>
      <c r="L122" s="20"/>
      <c r="M122" s="20"/>
      <c r="N122" s="20"/>
      <c r="O122" s="20"/>
      <c r="P122" s="32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</row>
    <row r="123" spans="1:216" ht="15.75" customHeight="1" x14ac:dyDescent="0.4">
      <c r="A123" s="55"/>
      <c r="B123" s="56"/>
      <c r="C123" s="56"/>
      <c r="D123" s="56"/>
      <c r="E123" s="57"/>
      <c r="F123" s="39"/>
      <c r="G123" s="20"/>
      <c r="H123" s="20"/>
      <c r="I123" s="20"/>
      <c r="J123" s="20"/>
      <c r="K123" s="20"/>
      <c r="L123" s="20"/>
      <c r="M123" s="20"/>
      <c r="N123" s="20"/>
      <c r="O123" s="20"/>
      <c r="P123" s="32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</row>
    <row r="124" spans="1:216" ht="15.75" customHeight="1" x14ac:dyDescent="0.4">
      <c r="A124" s="11" t="s">
        <v>47</v>
      </c>
      <c r="B124" s="17" t="s">
        <v>66</v>
      </c>
      <c r="C124" s="50" t="s">
        <v>67</v>
      </c>
      <c r="D124" s="51"/>
      <c r="E124" s="9">
        <f>BOYOLANGU!U124+GIRI!V124+GROGOL!V124+JAMBESARI!O124+MOJOPANGGUNG!V124+PENATABAN!V124</f>
        <v>19</v>
      </c>
      <c r="F124" s="40"/>
      <c r="G124" s="1"/>
      <c r="H124" s="1"/>
      <c r="I124" s="1"/>
      <c r="J124" s="1"/>
      <c r="K124" s="1"/>
      <c r="L124" s="1"/>
      <c r="M124" s="1"/>
      <c r="N124" s="1"/>
      <c r="O124" s="1"/>
      <c r="P124" s="34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/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/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  <c r="FN124" s="31"/>
      <c r="FO124" s="31"/>
      <c r="FP124" s="31"/>
      <c r="FQ124" s="31"/>
      <c r="FR124" s="31"/>
      <c r="FS124" s="31"/>
      <c r="FT124" s="31"/>
      <c r="FU124" s="31"/>
      <c r="FV124" s="31"/>
      <c r="FW124" s="31"/>
      <c r="FX124" s="31"/>
      <c r="FY124" s="31"/>
      <c r="FZ124" s="31"/>
      <c r="GA124" s="31"/>
      <c r="GB124" s="31"/>
      <c r="GC124" s="31"/>
      <c r="GD124" s="31"/>
      <c r="GE124" s="31"/>
      <c r="GF124" s="31"/>
      <c r="GG124" s="31"/>
      <c r="GH124" s="31"/>
      <c r="GI124" s="31"/>
      <c r="GJ124" s="31"/>
      <c r="GK124" s="31"/>
      <c r="GL124" s="31"/>
      <c r="GM124" s="31"/>
      <c r="GN124" s="31"/>
      <c r="GO124" s="31"/>
      <c r="GP124" s="31"/>
      <c r="GQ124" s="31"/>
      <c r="GR124" s="31"/>
      <c r="GS124" s="31"/>
      <c r="GT124" s="31"/>
      <c r="GU124" s="31"/>
      <c r="GV124" s="31"/>
      <c r="GW124" s="31"/>
      <c r="GX124" s="31"/>
      <c r="GY124" s="31"/>
      <c r="GZ124" s="31"/>
      <c r="HA124" s="31"/>
      <c r="HB124" s="31"/>
      <c r="HC124" s="31"/>
      <c r="HD124" s="31"/>
      <c r="HE124" s="31"/>
      <c r="HF124" s="31"/>
      <c r="HG124" s="31"/>
      <c r="HH124" s="31"/>
    </row>
    <row r="125" spans="1:216" ht="15.75" customHeight="1" x14ac:dyDescent="0.4">
      <c r="A125" s="6" t="s">
        <v>25</v>
      </c>
      <c r="B125" s="52" t="s">
        <v>50</v>
      </c>
      <c r="C125" s="53"/>
      <c r="D125" s="54"/>
      <c r="E125" s="5">
        <f>SUM(E124:E124)</f>
        <v>19</v>
      </c>
      <c r="F125" s="39"/>
      <c r="G125" s="20"/>
      <c r="H125" s="20"/>
      <c r="I125" s="20"/>
      <c r="J125" s="20"/>
      <c r="K125" s="20"/>
      <c r="L125" s="20"/>
      <c r="M125" s="20"/>
      <c r="N125" s="20"/>
      <c r="O125" s="20"/>
      <c r="P125" s="32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</row>
    <row r="126" spans="1:216" ht="15.75" customHeight="1" x14ac:dyDescent="0.4">
      <c r="A126" s="55"/>
      <c r="B126" s="56"/>
      <c r="C126" s="56"/>
      <c r="D126" s="56"/>
      <c r="E126" s="57"/>
      <c r="F126" s="39"/>
      <c r="G126" s="20"/>
      <c r="H126" s="20"/>
      <c r="I126" s="20"/>
      <c r="J126" s="20"/>
      <c r="K126" s="20"/>
      <c r="L126" s="20"/>
      <c r="M126" s="20"/>
      <c r="N126" s="20"/>
      <c r="O126" s="20"/>
      <c r="P126" s="32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</row>
    <row r="127" spans="1:216" ht="15.75" customHeight="1" x14ac:dyDescent="0.4">
      <c r="A127" s="11" t="s">
        <v>47</v>
      </c>
      <c r="B127" s="17" t="s">
        <v>68</v>
      </c>
      <c r="C127" s="50" t="s">
        <v>69</v>
      </c>
      <c r="D127" s="51"/>
      <c r="E127" s="9">
        <f>BOYOLANGU!U127+GIRI!V127+GROGOL!V127+JAMBESARI!O127+MOJOPANGGUNG!V127+PENATABAN!V127</f>
        <v>74</v>
      </c>
      <c r="F127" s="40"/>
      <c r="G127" s="1"/>
      <c r="H127" s="1"/>
      <c r="I127" s="1"/>
      <c r="J127" s="1"/>
      <c r="K127" s="1"/>
      <c r="L127" s="1"/>
      <c r="M127" s="1"/>
      <c r="N127" s="1"/>
      <c r="O127" s="1"/>
      <c r="P127" s="34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/>
      <c r="DV127" s="31"/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1"/>
      <c r="EH127" s="31"/>
      <c r="EI127" s="31"/>
      <c r="EJ127" s="31"/>
      <c r="EK127" s="31"/>
      <c r="EL127" s="31"/>
      <c r="EM127" s="31"/>
      <c r="EN127" s="31"/>
      <c r="EO127" s="31"/>
      <c r="EP127" s="31"/>
      <c r="EQ127" s="31"/>
      <c r="ER127" s="31"/>
      <c r="ES127" s="31"/>
      <c r="ET127" s="31"/>
      <c r="EU127" s="31"/>
      <c r="EV127" s="31"/>
      <c r="EW127" s="31"/>
      <c r="EX127" s="31"/>
      <c r="EY127" s="31"/>
      <c r="EZ127" s="31"/>
      <c r="FA127" s="31"/>
      <c r="FB127" s="31"/>
      <c r="FC127" s="31"/>
      <c r="FD127" s="31"/>
      <c r="FE127" s="31"/>
      <c r="FF127" s="31"/>
      <c r="FG127" s="31"/>
      <c r="FH127" s="31"/>
      <c r="FI127" s="31"/>
      <c r="FJ127" s="31"/>
      <c r="FK127" s="31"/>
      <c r="FL127" s="31"/>
      <c r="FM127" s="31"/>
      <c r="FN127" s="31"/>
      <c r="FO127" s="31"/>
      <c r="FP127" s="31"/>
      <c r="FQ127" s="31"/>
      <c r="FR127" s="31"/>
      <c r="FS127" s="31"/>
      <c r="FT127" s="31"/>
      <c r="FU127" s="31"/>
      <c r="FV127" s="31"/>
      <c r="FW127" s="31"/>
      <c r="FX127" s="31"/>
      <c r="FY127" s="31"/>
      <c r="FZ127" s="31"/>
      <c r="GA127" s="31"/>
      <c r="GB127" s="31"/>
      <c r="GC127" s="31"/>
      <c r="GD127" s="31"/>
      <c r="GE127" s="31"/>
      <c r="GF127" s="31"/>
      <c r="GG127" s="31"/>
      <c r="GH127" s="31"/>
      <c r="GI127" s="31"/>
      <c r="GJ127" s="31"/>
      <c r="GK127" s="31"/>
      <c r="GL127" s="31"/>
      <c r="GM127" s="31"/>
      <c r="GN127" s="31"/>
      <c r="GO127" s="31"/>
      <c r="GP127" s="31"/>
      <c r="GQ127" s="31"/>
      <c r="GR127" s="31"/>
      <c r="GS127" s="31"/>
      <c r="GT127" s="31"/>
      <c r="GU127" s="31"/>
      <c r="GV127" s="31"/>
      <c r="GW127" s="31"/>
      <c r="GX127" s="31"/>
      <c r="GY127" s="31"/>
      <c r="GZ127" s="31"/>
      <c r="HA127" s="31"/>
      <c r="HB127" s="31"/>
      <c r="HC127" s="31"/>
      <c r="HD127" s="31"/>
      <c r="HE127" s="31"/>
      <c r="HF127" s="31"/>
      <c r="HG127" s="31"/>
      <c r="HH127" s="31"/>
    </row>
    <row r="128" spans="1:216" ht="15.75" customHeight="1" x14ac:dyDescent="0.4">
      <c r="A128" s="11" t="s">
        <v>49</v>
      </c>
      <c r="B128" s="46">
        <v>1</v>
      </c>
      <c r="C128" s="24" t="s">
        <v>152</v>
      </c>
      <c r="D128" s="47"/>
      <c r="E128" s="9">
        <f>BOYOLANGU!U128+GIRI!V128+GROGOL!V128+JAMBESARI!O128+MOJOPANGGUNG!V128+PENATABAN!V128</f>
        <v>181</v>
      </c>
      <c r="F128" s="42"/>
      <c r="G128" s="27"/>
      <c r="H128" s="27"/>
      <c r="I128" s="27"/>
      <c r="J128" s="27"/>
      <c r="K128" s="27"/>
      <c r="L128" s="27"/>
      <c r="M128" s="27"/>
      <c r="N128" s="27"/>
      <c r="O128" s="27"/>
      <c r="P128" s="37"/>
      <c r="Q128" s="30"/>
      <c r="R128" s="30"/>
      <c r="S128" s="30"/>
      <c r="T128" s="30"/>
      <c r="U128" s="30"/>
      <c r="V128" s="30"/>
      <c r="W128" s="38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0"/>
      <c r="BM128" s="30"/>
      <c r="BN128" s="30"/>
      <c r="BO128" s="30"/>
      <c r="BP128" s="30"/>
      <c r="BQ128" s="30"/>
      <c r="BR128" s="38"/>
      <c r="BS128" s="30"/>
      <c r="BT128" s="30"/>
      <c r="BU128" s="30"/>
      <c r="BV128" s="30"/>
      <c r="BW128" s="30"/>
      <c r="BX128" s="30"/>
      <c r="BY128" s="30"/>
      <c r="BZ128" s="30"/>
      <c r="CA128" s="38"/>
      <c r="CB128" s="38"/>
      <c r="CC128" s="38"/>
      <c r="CD128" s="38"/>
      <c r="CE128" s="38"/>
      <c r="CF128" s="38"/>
      <c r="CG128" s="38"/>
      <c r="CH128" s="38"/>
      <c r="CI128" s="38"/>
      <c r="CJ128" s="38"/>
      <c r="CK128" s="38"/>
      <c r="CL128" s="38"/>
      <c r="CM128" s="38"/>
      <c r="CN128" s="38"/>
      <c r="CO128" s="38"/>
      <c r="CP128" s="38"/>
      <c r="CQ128" s="38"/>
      <c r="CR128" s="38"/>
      <c r="CS128" s="38"/>
      <c r="CT128" s="38"/>
      <c r="CU128" s="38"/>
      <c r="CV128" s="38"/>
      <c r="CW128" s="38"/>
      <c r="CX128" s="38"/>
      <c r="CY128" s="38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8"/>
      <c r="DL128" s="38"/>
      <c r="DM128" s="38"/>
      <c r="DN128" s="38"/>
      <c r="DO128" s="38"/>
      <c r="DP128" s="38"/>
      <c r="DQ128" s="38"/>
      <c r="DR128" s="38"/>
      <c r="DS128" s="38"/>
      <c r="DT128" s="38"/>
      <c r="DU128" s="38"/>
      <c r="DV128" s="38"/>
      <c r="DW128" s="38"/>
      <c r="DX128" s="38"/>
      <c r="DY128" s="38"/>
      <c r="DZ128" s="38"/>
      <c r="EA128" s="38"/>
      <c r="EB128" s="38"/>
      <c r="EC128" s="38"/>
      <c r="ED128" s="38"/>
      <c r="EE128" s="38"/>
      <c r="EF128" s="38"/>
      <c r="EG128" s="38"/>
      <c r="EH128" s="38"/>
      <c r="EI128" s="38"/>
      <c r="EJ128" s="38"/>
      <c r="EK128" s="38"/>
      <c r="EL128" s="38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8"/>
      <c r="EZ128" s="38"/>
      <c r="FA128" s="38"/>
      <c r="FB128" s="38"/>
      <c r="FC128" s="38"/>
      <c r="FD128" s="38"/>
      <c r="FE128" s="38"/>
      <c r="FF128" s="30"/>
      <c r="FG128" s="30"/>
      <c r="FH128" s="30"/>
      <c r="FI128" s="30"/>
      <c r="FJ128" s="38"/>
      <c r="FK128" s="38"/>
      <c r="FL128" s="38"/>
      <c r="FM128" s="38"/>
      <c r="FN128" s="38"/>
      <c r="FO128" s="38"/>
      <c r="FP128" s="38"/>
      <c r="FQ128" s="38"/>
      <c r="FR128" s="38"/>
      <c r="FS128" s="38"/>
      <c r="FT128" s="38"/>
      <c r="FU128" s="38"/>
      <c r="FV128" s="38"/>
      <c r="FW128" s="38"/>
      <c r="FX128" s="38"/>
      <c r="FY128" s="38"/>
      <c r="FZ128" s="38"/>
      <c r="GA128" s="38"/>
      <c r="GB128" s="38"/>
      <c r="GC128" s="38"/>
      <c r="GD128" s="38"/>
      <c r="GE128" s="38"/>
      <c r="GF128" s="38"/>
      <c r="GG128" s="38"/>
      <c r="GH128" s="38"/>
      <c r="GI128" s="38"/>
      <c r="GJ128" s="38"/>
      <c r="GK128" s="38"/>
      <c r="GL128" s="38"/>
      <c r="GM128" s="38"/>
      <c r="GN128" s="38"/>
      <c r="GO128" s="38"/>
      <c r="GP128" s="38"/>
      <c r="GQ128" s="38"/>
      <c r="GR128" s="38"/>
      <c r="GS128" s="38"/>
      <c r="GT128" s="38"/>
      <c r="GU128" s="38"/>
      <c r="GV128" s="38"/>
      <c r="GW128" s="38"/>
      <c r="GX128" s="38"/>
      <c r="GY128" s="38"/>
      <c r="GZ128" s="38"/>
      <c r="HA128" s="38"/>
      <c r="HB128" s="38"/>
      <c r="HC128" s="38"/>
      <c r="HD128" s="38"/>
      <c r="HE128" s="38"/>
      <c r="HF128" s="38"/>
      <c r="HG128" s="38"/>
      <c r="HH128" s="38"/>
    </row>
    <row r="129" spans="1:216" ht="15.75" customHeight="1" x14ac:dyDescent="0.4">
      <c r="A129" s="7"/>
      <c r="B129" s="46">
        <v>2</v>
      </c>
      <c r="C129" s="24" t="s">
        <v>153</v>
      </c>
      <c r="D129" s="47"/>
      <c r="E129" s="9">
        <f>BOYOLANGU!U129+GIRI!V129+GROGOL!V129+JAMBESARI!O129+MOJOPANGGUNG!V129+PENATABAN!V129</f>
        <v>34</v>
      </c>
      <c r="F129" s="39"/>
      <c r="G129" s="20"/>
      <c r="H129" s="20"/>
      <c r="I129" s="20"/>
      <c r="J129" s="20"/>
      <c r="K129" s="20"/>
      <c r="L129" s="20"/>
      <c r="M129" s="20"/>
      <c r="N129" s="20"/>
      <c r="O129" s="20"/>
      <c r="P129" s="32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  <c r="ED129" s="33"/>
      <c r="EE129" s="33"/>
      <c r="EF129" s="33"/>
      <c r="EG129" s="33"/>
      <c r="EH129" s="33"/>
      <c r="EI129" s="33"/>
      <c r="EJ129" s="33"/>
      <c r="EK129" s="33"/>
      <c r="EL129" s="33"/>
      <c r="EM129" s="33"/>
      <c r="EN129" s="33"/>
      <c r="EO129" s="33"/>
      <c r="EP129" s="33"/>
      <c r="EQ129" s="33"/>
      <c r="ER129" s="33"/>
      <c r="ES129" s="33"/>
      <c r="ET129" s="33"/>
      <c r="EU129" s="33"/>
      <c r="EV129" s="33"/>
      <c r="EW129" s="33"/>
      <c r="EX129" s="33"/>
      <c r="EY129" s="33"/>
      <c r="EZ129" s="33"/>
      <c r="FA129" s="33"/>
      <c r="FB129" s="33"/>
      <c r="FC129" s="33"/>
      <c r="FD129" s="33"/>
      <c r="FE129" s="33"/>
      <c r="FF129" s="33"/>
      <c r="FG129" s="33"/>
      <c r="FH129" s="33"/>
      <c r="FI129" s="33"/>
      <c r="FJ129" s="33"/>
      <c r="FK129" s="33"/>
      <c r="FL129" s="33"/>
      <c r="FM129" s="33"/>
      <c r="FN129" s="33"/>
      <c r="FO129" s="33"/>
      <c r="FP129" s="33"/>
      <c r="FQ129" s="33"/>
      <c r="FR129" s="33"/>
      <c r="FS129" s="33"/>
      <c r="FT129" s="33"/>
      <c r="FU129" s="33"/>
      <c r="FV129" s="33"/>
      <c r="FW129" s="33"/>
      <c r="FX129" s="33"/>
      <c r="FY129" s="33"/>
      <c r="FZ129" s="33"/>
      <c r="GA129" s="33"/>
      <c r="GB129" s="33"/>
      <c r="GC129" s="33"/>
      <c r="GD129" s="33"/>
      <c r="GE129" s="33"/>
      <c r="GF129" s="33"/>
      <c r="GG129" s="33"/>
      <c r="GH129" s="33"/>
      <c r="GI129" s="33"/>
      <c r="GJ129" s="33"/>
      <c r="GK129" s="33"/>
      <c r="GL129" s="33"/>
      <c r="GM129" s="33"/>
      <c r="GN129" s="33"/>
      <c r="GO129" s="33"/>
      <c r="GP129" s="33"/>
      <c r="GQ129" s="33"/>
      <c r="GR129" s="33"/>
      <c r="GS129" s="33"/>
      <c r="GT129" s="33"/>
      <c r="GU129" s="33"/>
      <c r="GV129" s="33"/>
      <c r="GW129" s="33"/>
      <c r="GX129" s="33"/>
      <c r="GY129" s="33"/>
      <c r="GZ129" s="33"/>
      <c r="HA129" s="33"/>
      <c r="HB129" s="33"/>
      <c r="HC129" s="33"/>
      <c r="HD129" s="33"/>
      <c r="HE129" s="33"/>
      <c r="HF129" s="33"/>
      <c r="HG129" s="33"/>
      <c r="HH129" s="33"/>
    </row>
    <row r="130" spans="1:216" ht="15.75" customHeight="1" x14ac:dyDescent="0.4">
      <c r="A130" s="7"/>
      <c r="B130" s="46">
        <v>3</v>
      </c>
      <c r="C130" s="24" t="s">
        <v>154</v>
      </c>
      <c r="D130" s="47"/>
      <c r="E130" s="9">
        <f>BOYOLANGU!U130+GIRI!V130+GROGOL!V130+JAMBESARI!O130+MOJOPANGGUNG!V130+PENATABAN!V130</f>
        <v>12</v>
      </c>
      <c r="F130" s="39"/>
      <c r="G130" s="20"/>
      <c r="H130" s="20"/>
      <c r="I130" s="20"/>
      <c r="J130" s="20"/>
      <c r="K130" s="20"/>
      <c r="L130" s="20"/>
      <c r="M130" s="20"/>
      <c r="N130" s="20"/>
      <c r="O130" s="20"/>
      <c r="P130" s="32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  <c r="DM130" s="33"/>
      <c r="DN130" s="33"/>
      <c r="DO130" s="33"/>
      <c r="DP130" s="33"/>
      <c r="DQ130" s="33"/>
      <c r="DR130" s="33"/>
      <c r="DS130" s="33"/>
      <c r="DT130" s="33"/>
      <c r="DU130" s="33"/>
      <c r="DV130" s="33"/>
      <c r="DW130" s="33"/>
      <c r="DX130" s="33"/>
      <c r="DY130" s="33"/>
      <c r="DZ130" s="33"/>
      <c r="EA130" s="33"/>
      <c r="EB130" s="33"/>
      <c r="EC130" s="33"/>
      <c r="ED130" s="33"/>
      <c r="EE130" s="33"/>
      <c r="EF130" s="33"/>
      <c r="EG130" s="33"/>
      <c r="EH130" s="33"/>
      <c r="EI130" s="33"/>
      <c r="EJ130" s="33"/>
      <c r="EK130" s="33"/>
      <c r="EL130" s="33"/>
      <c r="EM130" s="33"/>
      <c r="EN130" s="33"/>
      <c r="EO130" s="33"/>
      <c r="EP130" s="33"/>
      <c r="EQ130" s="33"/>
      <c r="ER130" s="33"/>
      <c r="ES130" s="33"/>
      <c r="ET130" s="33"/>
      <c r="EU130" s="33"/>
      <c r="EV130" s="33"/>
      <c r="EW130" s="33"/>
      <c r="EX130" s="33"/>
      <c r="EY130" s="33"/>
      <c r="EZ130" s="33"/>
      <c r="FA130" s="33"/>
      <c r="FB130" s="33"/>
      <c r="FC130" s="33"/>
      <c r="FD130" s="33"/>
      <c r="FE130" s="33"/>
      <c r="FF130" s="33"/>
      <c r="FG130" s="33"/>
      <c r="FH130" s="33"/>
      <c r="FI130" s="33"/>
      <c r="FJ130" s="33"/>
      <c r="FK130" s="33"/>
      <c r="FL130" s="33"/>
      <c r="FM130" s="33"/>
      <c r="FN130" s="33"/>
      <c r="FO130" s="33"/>
      <c r="FP130" s="33"/>
      <c r="FQ130" s="33"/>
      <c r="FR130" s="33"/>
      <c r="FS130" s="33"/>
      <c r="FT130" s="33"/>
      <c r="FU130" s="33"/>
      <c r="FV130" s="33"/>
      <c r="FW130" s="33"/>
      <c r="FX130" s="33"/>
      <c r="FY130" s="33"/>
      <c r="FZ130" s="33"/>
      <c r="GA130" s="33"/>
      <c r="GB130" s="33"/>
      <c r="GC130" s="33"/>
      <c r="GD130" s="33"/>
      <c r="GE130" s="33"/>
      <c r="GF130" s="33"/>
      <c r="GG130" s="33"/>
      <c r="GH130" s="33"/>
      <c r="GI130" s="33"/>
      <c r="GJ130" s="33"/>
      <c r="GK130" s="33"/>
      <c r="GL130" s="33"/>
      <c r="GM130" s="33"/>
      <c r="GN130" s="33"/>
      <c r="GO130" s="33"/>
      <c r="GP130" s="33"/>
      <c r="GQ130" s="33"/>
      <c r="GR130" s="33"/>
      <c r="GS130" s="33"/>
      <c r="GT130" s="33"/>
      <c r="GU130" s="33"/>
      <c r="GV130" s="33"/>
      <c r="GW130" s="33"/>
      <c r="GX130" s="33"/>
      <c r="GY130" s="33"/>
      <c r="GZ130" s="33"/>
      <c r="HA130" s="33"/>
      <c r="HB130" s="33"/>
      <c r="HC130" s="33"/>
      <c r="HD130" s="33"/>
      <c r="HE130" s="33"/>
      <c r="HF130" s="33"/>
      <c r="HG130" s="33"/>
      <c r="HH130" s="33"/>
    </row>
    <row r="131" spans="1:216" ht="15.75" customHeight="1" x14ac:dyDescent="0.4">
      <c r="A131" s="7"/>
      <c r="B131" s="46">
        <v>4</v>
      </c>
      <c r="C131" s="24" t="s">
        <v>155</v>
      </c>
      <c r="D131" s="47"/>
      <c r="E131" s="9">
        <f>BOYOLANGU!U131+GIRI!V131+GROGOL!V131+JAMBESARI!O131+MOJOPANGGUNG!V131+PENATABAN!V131</f>
        <v>17</v>
      </c>
      <c r="F131" s="39"/>
      <c r="G131" s="20"/>
      <c r="H131" s="20"/>
      <c r="I131" s="20"/>
      <c r="J131" s="20"/>
      <c r="K131" s="20"/>
      <c r="L131" s="20"/>
      <c r="M131" s="20"/>
      <c r="N131" s="20"/>
      <c r="O131" s="20"/>
      <c r="P131" s="32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  <c r="GC131" s="33"/>
      <c r="GD131" s="33"/>
      <c r="GE131" s="33"/>
      <c r="GF131" s="33"/>
      <c r="GG131" s="33"/>
      <c r="GH131" s="33"/>
      <c r="GI131" s="33"/>
      <c r="GJ131" s="33"/>
      <c r="GK131" s="33"/>
      <c r="GL131" s="33"/>
      <c r="GM131" s="33"/>
      <c r="GN131" s="33"/>
      <c r="GO131" s="33"/>
      <c r="GP131" s="33"/>
      <c r="GQ131" s="33"/>
      <c r="GR131" s="33"/>
      <c r="GS131" s="33"/>
      <c r="GT131" s="33"/>
      <c r="GU131" s="33"/>
      <c r="GV131" s="33"/>
      <c r="GW131" s="33"/>
      <c r="GX131" s="33"/>
      <c r="GY131" s="33"/>
      <c r="GZ131" s="33"/>
      <c r="HA131" s="33"/>
      <c r="HB131" s="33"/>
      <c r="HC131" s="33"/>
      <c r="HD131" s="33"/>
      <c r="HE131" s="33"/>
      <c r="HF131" s="33"/>
      <c r="HG131" s="33"/>
      <c r="HH131" s="33"/>
    </row>
    <row r="132" spans="1:216" ht="15.75" customHeight="1" x14ac:dyDescent="0.4">
      <c r="A132" s="7"/>
      <c r="B132" s="46">
        <v>5</v>
      </c>
      <c r="C132" s="24" t="s">
        <v>156</v>
      </c>
      <c r="D132" s="47"/>
      <c r="E132" s="9">
        <f>BOYOLANGU!U132+GIRI!V132+GROGOL!V132+JAMBESARI!O132+MOJOPANGGUNG!V132+PENATABAN!V132</f>
        <v>12</v>
      </c>
      <c r="F132" s="39"/>
      <c r="G132" s="20"/>
      <c r="H132" s="20"/>
      <c r="I132" s="20"/>
      <c r="J132" s="20"/>
      <c r="K132" s="20"/>
      <c r="L132" s="20"/>
      <c r="M132" s="20"/>
      <c r="N132" s="20"/>
      <c r="O132" s="20"/>
      <c r="P132" s="32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</row>
    <row r="133" spans="1:216" ht="15.75" customHeight="1" x14ac:dyDescent="0.4">
      <c r="A133" s="7"/>
      <c r="B133" s="46">
        <v>6</v>
      </c>
      <c r="C133" s="24" t="s">
        <v>157</v>
      </c>
      <c r="D133" s="47"/>
      <c r="E133" s="9">
        <f>BOYOLANGU!U133+GIRI!V133+GROGOL!V133+JAMBESARI!O133+MOJOPANGGUNG!V133+PENATABAN!V133</f>
        <v>38</v>
      </c>
      <c r="F133" s="39"/>
      <c r="G133" s="20"/>
      <c r="H133" s="20"/>
      <c r="I133" s="20"/>
      <c r="J133" s="20"/>
      <c r="K133" s="20"/>
      <c r="L133" s="20"/>
      <c r="M133" s="20"/>
      <c r="N133" s="20"/>
      <c r="O133" s="20"/>
      <c r="P133" s="32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</row>
    <row r="134" spans="1:216" ht="15.75" customHeight="1" x14ac:dyDescent="0.4">
      <c r="A134" s="6" t="s">
        <v>25</v>
      </c>
      <c r="B134" s="52" t="s">
        <v>50</v>
      </c>
      <c r="C134" s="53"/>
      <c r="D134" s="54"/>
      <c r="E134" s="5">
        <f>SUM(E127:E133)</f>
        <v>368</v>
      </c>
      <c r="F134" s="39"/>
      <c r="G134" s="20"/>
      <c r="H134" s="20"/>
      <c r="I134" s="20"/>
      <c r="J134" s="20"/>
      <c r="K134" s="20"/>
      <c r="L134" s="20"/>
      <c r="M134" s="20"/>
      <c r="N134" s="20"/>
      <c r="O134" s="20"/>
      <c r="P134" s="32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  <c r="GS134" s="33"/>
      <c r="GT134" s="33"/>
      <c r="GU134" s="33"/>
      <c r="GV134" s="33"/>
      <c r="GW134" s="33"/>
      <c r="GX134" s="33"/>
      <c r="GY134" s="33"/>
      <c r="GZ134" s="33"/>
      <c r="HA134" s="33"/>
      <c r="HB134" s="33"/>
      <c r="HC134" s="33"/>
      <c r="HD134" s="33"/>
      <c r="HE134" s="33"/>
      <c r="HF134" s="33"/>
      <c r="HG134" s="33"/>
      <c r="HH134" s="33"/>
    </row>
    <row r="135" spans="1:216" ht="15.75" customHeight="1" x14ac:dyDescent="0.4">
      <c r="A135" s="55"/>
      <c r="B135" s="56"/>
      <c r="C135" s="56"/>
      <c r="D135" s="56"/>
      <c r="E135" s="57"/>
      <c r="F135" s="39"/>
      <c r="G135" s="20"/>
      <c r="H135" s="20"/>
      <c r="I135" s="20"/>
      <c r="J135" s="20"/>
      <c r="K135" s="20"/>
      <c r="L135" s="20"/>
      <c r="M135" s="20"/>
      <c r="N135" s="20"/>
      <c r="O135" s="20"/>
      <c r="P135" s="32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  <c r="GC135" s="33"/>
      <c r="GD135" s="33"/>
      <c r="GE135" s="33"/>
      <c r="GF135" s="33"/>
      <c r="GG135" s="33"/>
      <c r="GH135" s="33"/>
      <c r="GI135" s="33"/>
      <c r="GJ135" s="33"/>
      <c r="GK135" s="33"/>
      <c r="GL135" s="33"/>
      <c r="GM135" s="33"/>
      <c r="GN135" s="33"/>
      <c r="GO135" s="33"/>
      <c r="GP135" s="33"/>
      <c r="GQ135" s="33"/>
      <c r="GR135" s="33"/>
      <c r="GS135" s="33"/>
      <c r="GT135" s="33"/>
      <c r="GU135" s="33"/>
      <c r="GV135" s="33"/>
      <c r="GW135" s="33"/>
      <c r="GX135" s="33"/>
      <c r="GY135" s="33"/>
      <c r="GZ135" s="33"/>
      <c r="HA135" s="33"/>
      <c r="HB135" s="33"/>
      <c r="HC135" s="33"/>
      <c r="HD135" s="33"/>
      <c r="HE135" s="33"/>
      <c r="HF135" s="33"/>
      <c r="HG135" s="33"/>
      <c r="HH135" s="33"/>
    </row>
    <row r="136" spans="1:216" ht="15.75" customHeight="1" x14ac:dyDescent="0.4">
      <c r="A136" s="11" t="s">
        <v>47</v>
      </c>
      <c r="B136" s="17" t="s">
        <v>70</v>
      </c>
      <c r="C136" s="50" t="s">
        <v>71</v>
      </c>
      <c r="D136" s="51"/>
      <c r="E136" s="9">
        <f>BOYOLANGU!U136+GIRI!V136+GROGOL!V136+JAMBESARI!O136+MOJOPANGGUNG!V136+PENATABAN!V136</f>
        <v>13</v>
      </c>
      <c r="F136" s="40"/>
      <c r="G136" s="1"/>
      <c r="H136" s="1"/>
      <c r="I136" s="1"/>
      <c r="J136" s="1"/>
      <c r="K136" s="1"/>
      <c r="L136" s="1"/>
      <c r="M136" s="1"/>
      <c r="N136" s="1"/>
      <c r="O136" s="1"/>
      <c r="P136" s="34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  <c r="DY136" s="31"/>
      <c r="DZ136" s="31"/>
      <c r="EA136" s="31"/>
      <c r="EB136" s="31"/>
      <c r="EC136" s="31"/>
      <c r="ED136" s="31"/>
      <c r="EE136" s="31"/>
      <c r="EF136" s="31"/>
      <c r="EG136" s="31"/>
      <c r="EH136" s="31"/>
      <c r="EI136" s="31"/>
      <c r="EJ136" s="31"/>
      <c r="EK136" s="31"/>
      <c r="EL136" s="31"/>
      <c r="EM136" s="31"/>
      <c r="EN136" s="31"/>
      <c r="EO136" s="31"/>
      <c r="EP136" s="31"/>
      <c r="EQ136" s="31"/>
      <c r="ER136" s="31"/>
      <c r="ES136" s="31"/>
      <c r="ET136" s="31"/>
      <c r="EU136" s="31"/>
      <c r="EV136" s="31"/>
      <c r="EW136" s="31"/>
      <c r="EX136" s="31"/>
      <c r="EY136" s="31"/>
      <c r="EZ136" s="31"/>
      <c r="FA136" s="31"/>
      <c r="FB136" s="31"/>
      <c r="FC136" s="31"/>
      <c r="FD136" s="31"/>
      <c r="FE136" s="31"/>
      <c r="FF136" s="31"/>
      <c r="FG136" s="31"/>
      <c r="FH136" s="31"/>
      <c r="FI136" s="31"/>
      <c r="FJ136" s="31"/>
      <c r="FK136" s="31"/>
      <c r="FL136" s="31"/>
      <c r="FM136" s="31"/>
      <c r="FN136" s="31"/>
      <c r="FO136" s="31"/>
      <c r="FP136" s="31"/>
      <c r="FQ136" s="31"/>
      <c r="FR136" s="31"/>
      <c r="FS136" s="31"/>
      <c r="FT136" s="31"/>
      <c r="FU136" s="31"/>
      <c r="FV136" s="31"/>
      <c r="FW136" s="31"/>
      <c r="FX136" s="31"/>
      <c r="FY136" s="31"/>
      <c r="FZ136" s="31"/>
      <c r="GA136" s="31"/>
      <c r="GB136" s="31"/>
      <c r="GC136" s="31"/>
      <c r="GD136" s="31"/>
      <c r="GE136" s="31"/>
      <c r="GF136" s="31"/>
      <c r="GG136" s="31"/>
      <c r="GH136" s="31"/>
      <c r="GI136" s="31"/>
      <c r="GJ136" s="31"/>
      <c r="GK136" s="31"/>
      <c r="GL136" s="31"/>
      <c r="GM136" s="31"/>
      <c r="GN136" s="31"/>
      <c r="GO136" s="31"/>
      <c r="GP136" s="31"/>
      <c r="GQ136" s="31"/>
      <c r="GR136" s="31"/>
      <c r="GS136" s="31"/>
      <c r="GT136" s="31"/>
      <c r="GU136" s="31"/>
      <c r="GV136" s="31"/>
      <c r="GW136" s="31"/>
      <c r="GX136" s="31"/>
      <c r="GY136" s="31"/>
      <c r="GZ136" s="31"/>
      <c r="HA136" s="31"/>
      <c r="HB136" s="31"/>
      <c r="HC136" s="31"/>
      <c r="HD136" s="31"/>
      <c r="HE136" s="31"/>
      <c r="HF136" s="31"/>
      <c r="HG136" s="31"/>
      <c r="HH136" s="31"/>
    </row>
    <row r="137" spans="1:216" ht="15.75" customHeight="1" x14ac:dyDescent="0.4">
      <c r="A137" s="11" t="s">
        <v>49</v>
      </c>
      <c r="B137" s="46">
        <v>1</v>
      </c>
      <c r="C137" s="24" t="s">
        <v>158</v>
      </c>
      <c r="D137" s="47"/>
      <c r="E137" s="9">
        <f>BOYOLANGU!U137+GIRI!V137+GROGOL!V137+JAMBESARI!O137+MOJOPANGGUNG!V137+PENATABAN!V137</f>
        <v>10</v>
      </c>
      <c r="F137" s="42"/>
      <c r="G137" s="27"/>
      <c r="H137" s="27"/>
      <c r="I137" s="27"/>
      <c r="J137" s="27"/>
      <c r="K137" s="27"/>
      <c r="L137" s="27"/>
      <c r="M137" s="27"/>
      <c r="N137" s="27"/>
      <c r="O137" s="27"/>
      <c r="P137" s="37"/>
      <c r="Q137" s="30"/>
      <c r="R137" s="30"/>
      <c r="S137" s="30"/>
      <c r="T137" s="30"/>
      <c r="U137" s="30"/>
      <c r="V137" s="30"/>
      <c r="W137" s="38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0"/>
      <c r="BM137" s="30"/>
      <c r="BN137" s="30"/>
      <c r="BO137" s="30"/>
      <c r="BP137" s="30"/>
      <c r="BQ137" s="30"/>
      <c r="BR137" s="38"/>
      <c r="BS137" s="30"/>
      <c r="BT137" s="30"/>
      <c r="BU137" s="30"/>
      <c r="BV137" s="30"/>
      <c r="BW137" s="30"/>
      <c r="BX137" s="30"/>
      <c r="BY137" s="30"/>
      <c r="BZ137" s="30"/>
      <c r="CA137" s="38"/>
      <c r="CB137" s="38"/>
      <c r="CC137" s="38"/>
      <c r="CD137" s="38"/>
      <c r="CE137" s="38"/>
      <c r="CF137" s="38"/>
      <c r="CG137" s="38"/>
      <c r="CH137" s="38"/>
      <c r="CI137" s="38"/>
      <c r="CJ137" s="38"/>
      <c r="CK137" s="38"/>
      <c r="CL137" s="38"/>
      <c r="CM137" s="38"/>
      <c r="CN137" s="38"/>
      <c r="CO137" s="38"/>
      <c r="CP137" s="38"/>
      <c r="CQ137" s="38"/>
      <c r="CR137" s="38"/>
      <c r="CS137" s="38"/>
      <c r="CT137" s="38"/>
      <c r="CU137" s="38"/>
      <c r="CV137" s="38"/>
      <c r="CW137" s="38"/>
      <c r="CX137" s="38"/>
      <c r="CY137" s="38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8"/>
      <c r="DL137" s="38"/>
      <c r="DM137" s="38"/>
      <c r="DN137" s="38"/>
      <c r="DO137" s="38"/>
      <c r="DP137" s="38"/>
      <c r="DQ137" s="38"/>
      <c r="DR137" s="38"/>
      <c r="DS137" s="38"/>
      <c r="DT137" s="38"/>
      <c r="DU137" s="38"/>
      <c r="DV137" s="38"/>
      <c r="DW137" s="38"/>
      <c r="DX137" s="38"/>
      <c r="DY137" s="38"/>
      <c r="DZ137" s="38"/>
      <c r="EA137" s="38"/>
      <c r="EB137" s="38"/>
      <c r="EC137" s="38"/>
      <c r="ED137" s="38"/>
      <c r="EE137" s="38"/>
      <c r="EF137" s="38"/>
      <c r="EG137" s="38"/>
      <c r="EH137" s="38"/>
      <c r="EI137" s="38"/>
      <c r="EJ137" s="38"/>
      <c r="EK137" s="38"/>
      <c r="EL137" s="38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8"/>
      <c r="EZ137" s="38"/>
      <c r="FA137" s="38"/>
      <c r="FB137" s="38"/>
      <c r="FC137" s="38"/>
      <c r="FD137" s="38"/>
      <c r="FE137" s="38"/>
      <c r="FF137" s="30"/>
      <c r="FG137" s="30"/>
      <c r="FH137" s="30"/>
      <c r="FI137" s="30"/>
      <c r="FJ137" s="38"/>
      <c r="FK137" s="38"/>
      <c r="FL137" s="38"/>
      <c r="FM137" s="38"/>
      <c r="FN137" s="38"/>
      <c r="FO137" s="38"/>
      <c r="FP137" s="38"/>
      <c r="FQ137" s="38"/>
      <c r="FR137" s="38"/>
      <c r="FS137" s="38"/>
      <c r="FT137" s="38"/>
      <c r="FU137" s="38"/>
      <c r="FV137" s="38"/>
      <c r="FW137" s="38"/>
      <c r="FX137" s="38"/>
      <c r="FY137" s="38"/>
      <c r="FZ137" s="38"/>
      <c r="GA137" s="38"/>
      <c r="GB137" s="38"/>
      <c r="GC137" s="38"/>
      <c r="GD137" s="38"/>
      <c r="GE137" s="38"/>
      <c r="GF137" s="38"/>
      <c r="GG137" s="38"/>
      <c r="GH137" s="38"/>
      <c r="GI137" s="38"/>
      <c r="GJ137" s="38"/>
      <c r="GK137" s="38"/>
      <c r="GL137" s="38"/>
      <c r="GM137" s="38"/>
      <c r="GN137" s="38"/>
      <c r="GO137" s="38"/>
      <c r="GP137" s="38"/>
      <c r="GQ137" s="38"/>
      <c r="GR137" s="38"/>
      <c r="GS137" s="38"/>
      <c r="GT137" s="38"/>
      <c r="GU137" s="38"/>
      <c r="GV137" s="38"/>
      <c r="GW137" s="38"/>
      <c r="GX137" s="38"/>
      <c r="GY137" s="38"/>
      <c r="GZ137" s="38"/>
      <c r="HA137" s="38"/>
      <c r="HB137" s="38"/>
      <c r="HC137" s="38"/>
      <c r="HD137" s="38"/>
      <c r="HE137" s="38"/>
      <c r="HF137" s="38"/>
      <c r="HG137" s="38"/>
      <c r="HH137" s="38"/>
    </row>
    <row r="138" spans="1:216" ht="15.75" customHeight="1" x14ac:dyDescent="0.4">
      <c r="A138" s="7"/>
      <c r="B138" s="46">
        <v>2</v>
      </c>
      <c r="C138" s="24" t="s">
        <v>159</v>
      </c>
      <c r="D138" s="47"/>
      <c r="E138" s="9">
        <f>BOYOLANGU!U138+GIRI!V138+GROGOL!V138+JAMBESARI!O138+MOJOPANGGUNG!V138+PENATABAN!V138</f>
        <v>4</v>
      </c>
      <c r="F138" s="39"/>
      <c r="G138" s="20"/>
      <c r="H138" s="20"/>
      <c r="I138" s="20"/>
      <c r="J138" s="20"/>
      <c r="K138" s="20"/>
      <c r="L138" s="20"/>
      <c r="M138" s="20"/>
      <c r="N138" s="20"/>
      <c r="O138" s="20"/>
      <c r="P138" s="32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</row>
    <row r="139" spans="1:216" ht="15.75" customHeight="1" x14ac:dyDescent="0.4">
      <c r="A139" s="7"/>
      <c r="B139" s="46">
        <v>3</v>
      </c>
      <c r="C139" s="24" t="s">
        <v>160</v>
      </c>
      <c r="D139" s="47"/>
      <c r="E139" s="9">
        <f>BOYOLANGU!U139+GIRI!V139+GROGOL!V139+JAMBESARI!O139+MOJOPANGGUNG!V139+PENATABAN!V139</f>
        <v>2</v>
      </c>
      <c r="F139" s="39"/>
      <c r="G139" s="20"/>
      <c r="H139" s="20"/>
      <c r="I139" s="20"/>
      <c r="J139" s="20"/>
      <c r="K139" s="20"/>
      <c r="L139" s="20"/>
      <c r="M139" s="20"/>
      <c r="N139" s="20"/>
      <c r="O139" s="20"/>
      <c r="P139" s="32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</row>
    <row r="140" spans="1:216" ht="15.75" customHeight="1" x14ac:dyDescent="0.4">
      <c r="A140" s="7"/>
      <c r="B140" s="46">
        <v>4</v>
      </c>
      <c r="C140" s="24" t="s">
        <v>161</v>
      </c>
      <c r="D140" s="47"/>
      <c r="E140" s="9">
        <f>BOYOLANGU!U140+GIRI!V140+GROGOL!V140+JAMBESARI!O140+MOJOPANGGUNG!V140+PENATABAN!V140</f>
        <v>3</v>
      </c>
      <c r="F140" s="39"/>
      <c r="G140" s="20"/>
      <c r="H140" s="20"/>
      <c r="I140" s="20"/>
      <c r="J140" s="20"/>
      <c r="K140" s="20"/>
      <c r="L140" s="20"/>
      <c r="M140" s="20"/>
      <c r="N140" s="20"/>
      <c r="O140" s="20"/>
      <c r="P140" s="32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  <c r="GS140" s="33"/>
      <c r="GT140" s="33"/>
      <c r="GU140" s="33"/>
      <c r="GV140" s="33"/>
      <c r="GW140" s="33"/>
      <c r="GX140" s="33"/>
      <c r="GY140" s="33"/>
      <c r="GZ140" s="33"/>
      <c r="HA140" s="33"/>
      <c r="HB140" s="33"/>
      <c r="HC140" s="33"/>
      <c r="HD140" s="33"/>
      <c r="HE140" s="33"/>
      <c r="HF140" s="33"/>
      <c r="HG140" s="33"/>
      <c r="HH140" s="33"/>
    </row>
    <row r="141" spans="1:216" ht="15.75" customHeight="1" x14ac:dyDescent="0.4">
      <c r="A141" s="7"/>
      <c r="B141" s="46">
        <v>5</v>
      </c>
      <c r="C141" s="24" t="s">
        <v>162</v>
      </c>
      <c r="D141" s="47"/>
      <c r="E141" s="9">
        <f>BOYOLANGU!U141+GIRI!V141+GROGOL!V141+JAMBESARI!O141+MOJOPANGGUNG!V141+PENATABAN!V141</f>
        <v>3</v>
      </c>
      <c r="F141" s="39"/>
      <c r="G141" s="20"/>
      <c r="H141" s="20"/>
      <c r="I141" s="20"/>
      <c r="J141" s="20"/>
      <c r="K141" s="20"/>
      <c r="L141" s="20"/>
      <c r="M141" s="20"/>
      <c r="N141" s="20"/>
      <c r="O141" s="20"/>
      <c r="P141" s="32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3"/>
      <c r="DN141" s="33"/>
      <c r="DO141" s="33"/>
      <c r="DP141" s="33"/>
      <c r="DQ141" s="33"/>
      <c r="DR141" s="33"/>
      <c r="DS141" s="33"/>
      <c r="DT141" s="33"/>
      <c r="DU141" s="33"/>
      <c r="DV141" s="33"/>
      <c r="DW141" s="33"/>
      <c r="DX141" s="33"/>
      <c r="DY141" s="33"/>
      <c r="DZ141" s="33"/>
      <c r="EA141" s="33"/>
      <c r="EB141" s="33"/>
      <c r="EC141" s="33"/>
      <c r="ED141" s="33"/>
      <c r="EE141" s="33"/>
      <c r="EF141" s="33"/>
      <c r="EG141" s="33"/>
      <c r="EH141" s="33"/>
      <c r="EI141" s="33"/>
      <c r="EJ141" s="33"/>
      <c r="EK141" s="33"/>
      <c r="EL141" s="33"/>
      <c r="EM141" s="33"/>
      <c r="EN141" s="33"/>
      <c r="EO141" s="33"/>
      <c r="EP141" s="33"/>
      <c r="EQ141" s="33"/>
      <c r="ER141" s="33"/>
      <c r="ES141" s="33"/>
      <c r="ET141" s="33"/>
      <c r="EU141" s="33"/>
      <c r="EV141" s="33"/>
      <c r="EW141" s="33"/>
      <c r="EX141" s="33"/>
      <c r="EY141" s="33"/>
      <c r="EZ141" s="33"/>
      <c r="FA141" s="33"/>
      <c r="FB141" s="33"/>
      <c r="FC141" s="33"/>
      <c r="FD141" s="33"/>
      <c r="FE141" s="33"/>
      <c r="FF141" s="33"/>
      <c r="FG141" s="33"/>
      <c r="FH141" s="33"/>
      <c r="FI141" s="33"/>
      <c r="FJ141" s="33"/>
      <c r="FK141" s="33"/>
      <c r="FL141" s="33"/>
      <c r="FM141" s="33"/>
      <c r="FN141" s="33"/>
      <c r="FO141" s="33"/>
      <c r="FP141" s="33"/>
      <c r="FQ141" s="33"/>
      <c r="FR141" s="33"/>
      <c r="FS141" s="33"/>
      <c r="FT141" s="33"/>
      <c r="FU141" s="33"/>
      <c r="FV141" s="33"/>
      <c r="FW141" s="33"/>
      <c r="FX141" s="33"/>
      <c r="FY141" s="33"/>
      <c r="FZ141" s="33"/>
      <c r="GA141" s="33"/>
      <c r="GB141" s="33"/>
      <c r="GC141" s="33"/>
      <c r="GD141" s="33"/>
      <c r="GE141" s="33"/>
      <c r="GF141" s="33"/>
      <c r="GG141" s="33"/>
      <c r="GH141" s="33"/>
      <c r="GI141" s="33"/>
      <c r="GJ141" s="33"/>
      <c r="GK141" s="33"/>
      <c r="GL141" s="33"/>
      <c r="GM141" s="33"/>
      <c r="GN141" s="33"/>
      <c r="GO141" s="33"/>
      <c r="GP141" s="33"/>
      <c r="GQ141" s="33"/>
      <c r="GR141" s="33"/>
      <c r="GS141" s="33"/>
      <c r="GT141" s="33"/>
      <c r="GU141" s="33"/>
      <c r="GV141" s="33"/>
      <c r="GW141" s="33"/>
      <c r="GX141" s="33"/>
      <c r="GY141" s="33"/>
      <c r="GZ141" s="33"/>
      <c r="HA141" s="33"/>
      <c r="HB141" s="33"/>
      <c r="HC141" s="33"/>
      <c r="HD141" s="33"/>
      <c r="HE141" s="33"/>
      <c r="HF141" s="33"/>
      <c r="HG141" s="33"/>
      <c r="HH141" s="33"/>
    </row>
    <row r="142" spans="1:216" ht="15.75" customHeight="1" x14ac:dyDescent="0.4">
      <c r="A142" s="6" t="s">
        <v>25</v>
      </c>
      <c r="B142" s="52" t="s">
        <v>50</v>
      </c>
      <c r="C142" s="53"/>
      <c r="D142" s="54"/>
      <c r="E142" s="5">
        <f>SUM(E136:E141)</f>
        <v>35</v>
      </c>
      <c r="F142" s="39"/>
      <c r="G142" s="20"/>
      <c r="H142" s="20"/>
      <c r="I142" s="20"/>
      <c r="J142" s="20"/>
      <c r="K142" s="20"/>
      <c r="L142" s="20"/>
      <c r="M142" s="20"/>
      <c r="N142" s="20"/>
      <c r="O142" s="20"/>
      <c r="P142" s="32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  <c r="DM142" s="33"/>
      <c r="DN142" s="33"/>
      <c r="DO142" s="33"/>
      <c r="DP142" s="33"/>
      <c r="DQ142" s="33"/>
      <c r="DR142" s="33"/>
      <c r="DS142" s="33"/>
      <c r="DT142" s="33"/>
      <c r="DU142" s="33"/>
      <c r="DV142" s="33"/>
      <c r="DW142" s="33"/>
      <c r="DX142" s="33"/>
      <c r="DY142" s="33"/>
      <c r="DZ142" s="33"/>
      <c r="EA142" s="33"/>
      <c r="EB142" s="33"/>
      <c r="EC142" s="33"/>
      <c r="ED142" s="33"/>
      <c r="EE142" s="33"/>
      <c r="EF142" s="33"/>
      <c r="EG142" s="33"/>
      <c r="EH142" s="33"/>
      <c r="EI142" s="33"/>
      <c r="EJ142" s="33"/>
      <c r="EK142" s="33"/>
      <c r="EL142" s="33"/>
      <c r="EM142" s="33"/>
      <c r="EN142" s="33"/>
      <c r="EO142" s="33"/>
      <c r="EP142" s="33"/>
      <c r="EQ142" s="33"/>
      <c r="ER142" s="33"/>
      <c r="ES142" s="33"/>
      <c r="ET142" s="33"/>
      <c r="EU142" s="33"/>
      <c r="EV142" s="33"/>
      <c r="EW142" s="33"/>
      <c r="EX142" s="33"/>
      <c r="EY142" s="33"/>
      <c r="EZ142" s="33"/>
      <c r="FA142" s="33"/>
      <c r="FB142" s="33"/>
      <c r="FC142" s="33"/>
      <c r="FD142" s="33"/>
      <c r="FE142" s="33"/>
      <c r="FF142" s="33"/>
      <c r="FG142" s="33"/>
      <c r="FH142" s="33"/>
      <c r="FI142" s="33"/>
      <c r="FJ142" s="33"/>
      <c r="FK142" s="33"/>
      <c r="FL142" s="33"/>
      <c r="FM142" s="33"/>
      <c r="FN142" s="33"/>
      <c r="FO142" s="33"/>
      <c r="FP142" s="33"/>
      <c r="FQ142" s="33"/>
      <c r="FR142" s="33"/>
      <c r="FS142" s="33"/>
      <c r="FT142" s="33"/>
      <c r="FU142" s="33"/>
      <c r="FV142" s="33"/>
      <c r="FW142" s="33"/>
      <c r="FX142" s="33"/>
      <c r="FY142" s="33"/>
      <c r="FZ142" s="33"/>
      <c r="GA142" s="33"/>
      <c r="GB142" s="33"/>
      <c r="GC142" s="33"/>
      <c r="GD142" s="33"/>
      <c r="GE142" s="33"/>
      <c r="GF142" s="33"/>
      <c r="GG142" s="33"/>
      <c r="GH142" s="33"/>
      <c r="GI142" s="33"/>
      <c r="GJ142" s="33"/>
      <c r="GK142" s="33"/>
      <c r="GL142" s="33"/>
      <c r="GM142" s="33"/>
      <c r="GN142" s="33"/>
      <c r="GO142" s="33"/>
      <c r="GP142" s="33"/>
      <c r="GQ142" s="33"/>
      <c r="GR142" s="33"/>
      <c r="GS142" s="33"/>
      <c r="GT142" s="33"/>
      <c r="GU142" s="33"/>
      <c r="GV142" s="33"/>
      <c r="GW142" s="33"/>
      <c r="GX142" s="33"/>
      <c r="GY142" s="33"/>
      <c r="GZ142" s="33"/>
      <c r="HA142" s="33"/>
      <c r="HB142" s="33"/>
      <c r="HC142" s="33"/>
      <c r="HD142" s="33"/>
      <c r="HE142" s="33"/>
      <c r="HF142" s="33"/>
      <c r="HG142" s="33"/>
      <c r="HH142" s="33"/>
    </row>
    <row r="143" spans="1:216" ht="15.75" customHeight="1" x14ac:dyDescent="0.4">
      <c r="A143" s="55"/>
      <c r="B143" s="56"/>
      <c r="C143" s="56"/>
      <c r="D143" s="56"/>
      <c r="E143" s="57"/>
      <c r="F143" s="39"/>
      <c r="G143" s="20"/>
      <c r="H143" s="20"/>
      <c r="I143" s="20"/>
      <c r="J143" s="20"/>
      <c r="K143" s="20"/>
      <c r="L143" s="20"/>
      <c r="M143" s="20"/>
      <c r="N143" s="20"/>
      <c r="O143" s="20"/>
      <c r="P143" s="32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</row>
    <row r="144" spans="1:216" ht="15.75" customHeight="1" x14ac:dyDescent="0.4">
      <c r="A144" s="11" t="s">
        <v>47</v>
      </c>
      <c r="B144" s="17" t="s">
        <v>72</v>
      </c>
      <c r="C144" s="50" t="s">
        <v>73</v>
      </c>
      <c r="D144" s="51"/>
      <c r="E144" s="9">
        <f>BOYOLANGU!U144+GIRI!V144+GROGOL!V144+JAMBESARI!O144+MOJOPANGGUNG!V144+PENATABAN!V144</f>
        <v>262</v>
      </c>
      <c r="F144" s="40"/>
      <c r="G144" s="1"/>
      <c r="H144" s="1"/>
      <c r="I144" s="1"/>
      <c r="J144" s="1"/>
      <c r="K144" s="1"/>
      <c r="L144" s="1"/>
      <c r="M144" s="1"/>
      <c r="N144" s="1"/>
      <c r="O144" s="1"/>
      <c r="P144" s="34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/>
      <c r="DX144" s="31"/>
      <c r="DY144" s="31"/>
      <c r="DZ144" s="31"/>
      <c r="EA144" s="31"/>
      <c r="EB144" s="31"/>
      <c r="EC144" s="31"/>
      <c r="ED144" s="31"/>
      <c r="EE144" s="31"/>
      <c r="EF144" s="31"/>
      <c r="EG144" s="31"/>
      <c r="EH144" s="31"/>
      <c r="EI144" s="31"/>
      <c r="EJ144" s="31"/>
      <c r="EK144" s="31"/>
      <c r="EL144" s="31"/>
      <c r="EM144" s="31"/>
      <c r="EN144" s="31"/>
      <c r="EO144" s="31"/>
      <c r="EP144" s="31"/>
      <c r="EQ144" s="31"/>
      <c r="ER144" s="31"/>
      <c r="ES144" s="31"/>
      <c r="ET144" s="31"/>
      <c r="EU144" s="31"/>
      <c r="EV144" s="31"/>
      <c r="EW144" s="31"/>
      <c r="EX144" s="31"/>
      <c r="EY144" s="31"/>
      <c r="EZ144" s="31"/>
      <c r="FA144" s="31"/>
      <c r="FB144" s="31"/>
      <c r="FC144" s="31"/>
      <c r="FD144" s="31"/>
      <c r="FE144" s="31"/>
      <c r="FF144" s="31"/>
      <c r="FG144" s="31"/>
      <c r="FH144" s="31"/>
      <c r="FI144" s="31"/>
      <c r="FJ144" s="31"/>
      <c r="FK144" s="31"/>
      <c r="FL144" s="31"/>
      <c r="FM144" s="31"/>
      <c r="FN144" s="31"/>
      <c r="FO144" s="31"/>
      <c r="FP144" s="31"/>
      <c r="FQ144" s="31"/>
      <c r="FR144" s="31"/>
      <c r="FS144" s="31"/>
      <c r="FT144" s="31"/>
      <c r="FU144" s="31"/>
      <c r="FV144" s="31"/>
      <c r="FW144" s="31"/>
      <c r="FX144" s="31"/>
      <c r="FY144" s="31"/>
      <c r="FZ144" s="31"/>
      <c r="GA144" s="31"/>
      <c r="GB144" s="31"/>
      <c r="GC144" s="31"/>
      <c r="GD144" s="31"/>
      <c r="GE144" s="31"/>
      <c r="GF144" s="31"/>
      <c r="GG144" s="31"/>
      <c r="GH144" s="31"/>
      <c r="GI144" s="31"/>
      <c r="GJ144" s="31"/>
      <c r="GK144" s="31"/>
      <c r="GL144" s="31"/>
      <c r="GM144" s="31"/>
      <c r="GN144" s="31"/>
      <c r="GO144" s="31"/>
      <c r="GP144" s="31"/>
      <c r="GQ144" s="31"/>
      <c r="GR144" s="31"/>
      <c r="GS144" s="31"/>
      <c r="GT144" s="31"/>
      <c r="GU144" s="31"/>
      <c r="GV144" s="31"/>
      <c r="GW144" s="31"/>
      <c r="GX144" s="31"/>
      <c r="GY144" s="31"/>
      <c r="GZ144" s="31"/>
      <c r="HA144" s="31"/>
      <c r="HB144" s="31"/>
      <c r="HC144" s="31"/>
      <c r="HD144" s="31"/>
      <c r="HE144" s="31"/>
      <c r="HF144" s="31"/>
      <c r="HG144" s="31"/>
      <c r="HH144" s="31"/>
    </row>
    <row r="145" spans="1:216" ht="15.75" customHeight="1" x14ac:dyDescent="0.4">
      <c r="A145" s="11" t="s">
        <v>49</v>
      </c>
      <c r="B145" s="46">
        <v>1</v>
      </c>
      <c r="C145" s="24" t="s">
        <v>163</v>
      </c>
      <c r="D145" s="47"/>
      <c r="E145" s="9">
        <f>BOYOLANGU!U145+GIRI!V145+GROGOL!V145+JAMBESARI!O145+MOJOPANGGUNG!V145+PENATABAN!V145</f>
        <v>179</v>
      </c>
      <c r="F145" s="42"/>
      <c r="G145" s="27"/>
      <c r="H145" s="27"/>
      <c r="I145" s="27"/>
      <c r="J145" s="27"/>
      <c r="K145" s="27"/>
      <c r="L145" s="27"/>
      <c r="M145" s="27"/>
      <c r="N145" s="27"/>
      <c r="O145" s="27"/>
      <c r="P145" s="37"/>
      <c r="Q145" s="30"/>
      <c r="R145" s="30"/>
      <c r="S145" s="30"/>
      <c r="T145" s="30"/>
      <c r="U145" s="30"/>
      <c r="V145" s="30"/>
      <c r="W145" s="38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0"/>
      <c r="BM145" s="30"/>
      <c r="BN145" s="30"/>
      <c r="BO145" s="30"/>
      <c r="BP145" s="30"/>
      <c r="BQ145" s="30"/>
      <c r="BR145" s="38"/>
      <c r="BS145" s="30"/>
      <c r="BT145" s="30"/>
      <c r="BU145" s="30"/>
      <c r="BV145" s="30"/>
      <c r="BW145" s="30"/>
      <c r="BX145" s="30"/>
      <c r="BY145" s="30"/>
      <c r="BZ145" s="30"/>
      <c r="CA145" s="38"/>
      <c r="CB145" s="38"/>
      <c r="CC145" s="38"/>
      <c r="CD145" s="38"/>
      <c r="CE145" s="38"/>
      <c r="CF145" s="38"/>
      <c r="CG145" s="38"/>
      <c r="CH145" s="38"/>
      <c r="CI145" s="38"/>
      <c r="CJ145" s="38"/>
      <c r="CK145" s="38"/>
      <c r="CL145" s="38"/>
      <c r="CM145" s="38"/>
      <c r="CN145" s="38"/>
      <c r="CO145" s="38"/>
      <c r="CP145" s="38"/>
      <c r="CQ145" s="38"/>
      <c r="CR145" s="38"/>
      <c r="CS145" s="38"/>
      <c r="CT145" s="38"/>
      <c r="CU145" s="38"/>
      <c r="CV145" s="38"/>
      <c r="CW145" s="38"/>
      <c r="CX145" s="38"/>
      <c r="CY145" s="38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8"/>
      <c r="DL145" s="38"/>
      <c r="DM145" s="38"/>
      <c r="DN145" s="38"/>
      <c r="DO145" s="38"/>
      <c r="DP145" s="38"/>
      <c r="DQ145" s="38"/>
      <c r="DR145" s="38"/>
      <c r="DS145" s="38"/>
      <c r="DT145" s="38"/>
      <c r="DU145" s="38"/>
      <c r="DV145" s="38"/>
      <c r="DW145" s="38"/>
      <c r="DX145" s="38"/>
      <c r="DY145" s="38"/>
      <c r="DZ145" s="38"/>
      <c r="EA145" s="38"/>
      <c r="EB145" s="38"/>
      <c r="EC145" s="38"/>
      <c r="ED145" s="38"/>
      <c r="EE145" s="38"/>
      <c r="EF145" s="38"/>
      <c r="EG145" s="38"/>
      <c r="EH145" s="38"/>
      <c r="EI145" s="38"/>
      <c r="EJ145" s="38"/>
      <c r="EK145" s="38"/>
      <c r="EL145" s="38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8"/>
      <c r="EZ145" s="38"/>
      <c r="FA145" s="38"/>
      <c r="FB145" s="38"/>
      <c r="FC145" s="38"/>
      <c r="FD145" s="38"/>
      <c r="FE145" s="38"/>
      <c r="FF145" s="30"/>
      <c r="FG145" s="30"/>
      <c r="FH145" s="30"/>
      <c r="FI145" s="30"/>
      <c r="FJ145" s="38"/>
      <c r="FK145" s="38"/>
      <c r="FL145" s="38"/>
      <c r="FM145" s="38"/>
      <c r="FN145" s="38"/>
      <c r="FO145" s="38"/>
      <c r="FP145" s="38"/>
      <c r="FQ145" s="38"/>
      <c r="FR145" s="38"/>
      <c r="FS145" s="38"/>
      <c r="FT145" s="38"/>
      <c r="FU145" s="38"/>
      <c r="FV145" s="38"/>
      <c r="FW145" s="38"/>
      <c r="FX145" s="38"/>
      <c r="FY145" s="38"/>
      <c r="FZ145" s="38"/>
      <c r="GA145" s="38"/>
      <c r="GB145" s="38"/>
      <c r="GC145" s="38"/>
      <c r="GD145" s="38"/>
      <c r="GE145" s="38"/>
      <c r="GF145" s="38"/>
      <c r="GG145" s="38"/>
      <c r="GH145" s="38"/>
      <c r="GI145" s="38"/>
      <c r="GJ145" s="38"/>
      <c r="GK145" s="38"/>
      <c r="GL145" s="38"/>
      <c r="GM145" s="38"/>
      <c r="GN145" s="38"/>
      <c r="GO145" s="38"/>
      <c r="GP145" s="38"/>
      <c r="GQ145" s="38"/>
      <c r="GR145" s="38"/>
      <c r="GS145" s="38"/>
      <c r="GT145" s="38"/>
      <c r="GU145" s="38"/>
      <c r="GV145" s="38"/>
      <c r="GW145" s="38"/>
      <c r="GX145" s="38"/>
      <c r="GY145" s="38"/>
      <c r="GZ145" s="38"/>
      <c r="HA145" s="38"/>
      <c r="HB145" s="38"/>
      <c r="HC145" s="38"/>
      <c r="HD145" s="38"/>
      <c r="HE145" s="38"/>
      <c r="HF145" s="38"/>
      <c r="HG145" s="38"/>
      <c r="HH145" s="38"/>
    </row>
    <row r="146" spans="1:216" ht="15.75" customHeight="1" x14ac:dyDescent="0.4">
      <c r="A146" s="7"/>
      <c r="B146" s="46">
        <v>2</v>
      </c>
      <c r="C146" s="24" t="s">
        <v>164</v>
      </c>
      <c r="D146" s="47"/>
      <c r="E146" s="9">
        <f>BOYOLANGU!U146+GIRI!V146+GROGOL!V146+JAMBESARI!O146+MOJOPANGGUNG!V146+PENATABAN!V146</f>
        <v>1234</v>
      </c>
      <c r="F146" s="39"/>
      <c r="G146" s="20"/>
      <c r="H146" s="20"/>
      <c r="I146" s="20"/>
      <c r="J146" s="20"/>
      <c r="K146" s="20"/>
      <c r="L146" s="20"/>
      <c r="M146" s="20"/>
      <c r="N146" s="20"/>
      <c r="O146" s="20"/>
      <c r="P146" s="32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  <c r="GC146" s="33"/>
      <c r="GD146" s="33"/>
      <c r="GE146" s="33"/>
      <c r="GF146" s="33"/>
      <c r="GG146" s="33"/>
      <c r="GH146" s="33"/>
      <c r="GI146" s="33"/>
      <c r="GJ146" s="33"/>
      <c r="GK146" s="33"/>
      <c r="GL146" s="33"/>
      <c r="GM146" s="33"/>
      <c r="GN146" s="33"/>
      <c r="GO146" s="33"/>
      <c r="GP146" s="33"/>
      <c r="GQ146" s="33"/>
      <c r="GR146" s="33"/>
      <c r="GS146" s="33"/>
      <c r="GT146" s="33"/>
      <c r="GU146" s="33"/>
      <c r="GV146" s="33"/>
      <c r="GW146" s="33"/>
      <c r="GX146" s="33"/>
      <c r="GY146" s="33"/>
      <c r="GZ146" s="33"/>
      <c r="HA146" s="33"/>
      <c r="HB146" s="33"/>
      <c r="HC146" s="33"/>
      <c r="HD146" s="33"/>
      <c r="HE146" s="33"/>
      <c r="HF146" s="33"/>
      <c r="HG146" s="33"/>
      <c r="HH146" s="33"/>
    </row>
    <row r="147" spans="1:216" ht="15.75" customHeight="1" x14ac:dyDescent="0.4">
      <c r="A147" s="7"/>
      <c r="B147" s="46">
        <v>3</v>
      </c>
      <c r="C147" s="24" t="s">
        <v>165</v>
      </c>
      <c r="D147" s="47"/>
      <c r="E147" s="9">
        <f>BOYOLANGU!U147+GIRI!V147+GROGOL!V147+JAMBESARI!O147+MOJOPANGGUNG!V147+PENATABAN!V147</f>
        <v>33</v>
      </c>
      <c r="F147" s="39"/>
      <c r="G147" s="20"/>
      <c r="H147" s="20"/>
      <c r="I147" s="20"/>
      <c r="J147" s="20"/>
      <c r="K147" s="20"/>
      <c r="L147" s="20"/>
      <c r="M147" s="20"/>
      <c r="N147" s="20"/>
      <c r="O147" s="20"/>
      <c r="P147" s="32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  <c r="GS147" s="33"/>
      <c r="GT147" s="33"/>
      <c r="GU147" s="33"/>
      <c r="GV147" s="33"/>
      <c r="GW147" s="33"/>
      <c r="GX147" s="33"/>
      <c r="GY147" s="33"/>
      <c r="GZ147" s="33"/>
      <c r="HA147" s="33"/>
      <c r="HB147" s="33"/>
      <c r="HC147" s="33"/>
      <c r="HD147" s="33"/>
      <c r="HE147" s="33"/>
      <c r="HF147" s="33"/>
      <c r="HG147" s="33"/>
      <c r="HH147" s="33"/>
    </row>
    <row r="148" spans="1:216" ht="15.75" customHeight="1" x14ac:dyDescent="0.4">
      <c r="A148" s="7"/>
      <c r="B148" s="46">
        <v>4</v>
      </c>
      <c r="C148" s="24" t="s">
        <v>166</v>
      </c>
      <c r="D148" s="47"/>
      <c r="E148" s="9">
        <f>BOYOLANGU!U148+GIRI!V148+GROGOL!V148+JAMBESARI!O148+MOJOPANGGUNG!V148+PENATABAN!V148</f>
        <v>44</v>
      </c>
      <c r="F148" s="39"/>
      <c r="G148" s="20"/>
      <c r="H148" s="20"/>
      <c r="I148" s="20"/>
      <c r="J148" s="20"/>
      <c r="K148" s="20"/>
      <c r="L148" s="20"/>
      <c r="M148" s="20"/>
      <c r="N148" s="20"/>
      <c r="O148" s="20"/>
      <c r="P148" s="32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</row>
    <row r="149" spans="1:216" ht="15.75" customHeight="1" x14ac:dyDescent="0.4">
      <c r="A149" s="7"/>
      <c r="B149" s="46">
        <v>5</v>
      </c>
      <c r="C149" s="24" t="s">
        <v>167</v>
      </c>
      <c r="D149" s="47"/>
      <c r="E149" s="9">
        <f>BOYOLANGU!U149+GIRI!V149+GROGOL!V149+JAMBESARI!O149+MOJOPANGGUNG!V149+PENATABAN!V149</f>
        <v>15</v>
      </c>
      <c r="F149" s="39"/>
      <c r="G149" s="20"/>
      <c r="H149" s="20"/>
      <c r="I149" s="20"/>
      <c r="J149" s="20"/>
      <c r="K149" s="20"/>
      <c r="L149" s="20"/>
      <c r="M149" s="20"/>
      <c r="N149" s="20"/>
      <c r="O149" s="20"/>
      <c r="P149" s="32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  <c r="GS149" s="33"/>
      <c r="GT149" s="33"/>
      <c r="GU149" s="33"/>
      <c r="GV149" s="33"/>
      <c r="GW149" s="33"/>
      <c r="GX149" s="33"/>
      <c r="GY149" s="33"/>
      <c r="GZ149" s="33"/>
      <c r="HA149" s="33"/>
      <c r="HB149" s="33"/>
      <c r="HC149" s="33"/>
      <c r="HD149" s="33"/>
      <c r="HE149" s="33"/>
      <c r="HF149" s="33"/>
      <c r="HG149" s="33"/>
      <c r="HH149" s="33"/>
    </row>
    <row r="150" spans="1:216" ht="15.75" customHeight="1" x14ac:dyDescent="0.4">
      <c r="A150" s="7"/>
      <c r="B150" s="46">
        <v>6</v>
      </c>
      <c r="C150" s="24" t="s">
        <v>168</v>
      </c>
      <c r="D150" s="47"/>
      <c r="E150" s="9">
        <f>BOYOLANGU!U150+GIRI!V150+GROGOL!V150+JAMBESARI!O150+MOJOPANGGUNG!V150+PENATABAN!V150</f>
        <v>28</v>
      </c>
      <c r="F150" s="39"/>
      <c r="G150" s="20"/>
      <c r="H150" s="20"/>
      <c r="I150" s="20"/>
      <c r="J150" s="20"/>
      <c r="K150" s="20"/>
      <c r="L150" s="20"/>
      <c r="M150" s="20"/>
      <c r="N150" s="20"/>
      <c r="O150" s="20"/>
      <c r="P150" s="32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3"/>
      <c r="FC150" s="33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3"/>
      <c r="FP150" s="33"/>
      <c r="FQ150" s="33"/>
      <c r="FR150" s="33"/>
      <c r="FS150" s="33"/>
      <c r="FT150" s="33"/>
      <c r="FU150" s="33"/>
      <c r="FV150" s="33"/>
      <c r="FW150" s="33"/>
      <c r="FX150" s="33"/>
      <c r="FY150" s="33"/>
      <c r="FZ150" s="33"/>
      <c r="GA150" s="33"/>
      <c r="GB150" s="33"/>
      <c r="GC150" s="33"/>
      <c r="GD150" s="33"/>
      <c r="GE150" s="33"/>
      <c r="GF150" s="33"/>
      <c r="GG150" s="33"/>
      <c r="GH150" s="33"/>
      <c r="GI150" s="33"/>
      <c r="GJ150" s="33"/>
      <c r="GK150" s="33"/>
      <c r="GL150" s="33"/>
      <c r="GM150" s="33"/>
      <c r="GN150" s="33"/>
      <c r="GO150" s="33"/>
      <c r="GP150" s="33"/>
      <c r="GQ150" s="33"/>
      <c r="GR150" s="33"/>
      <c r="GS150" s="33"/>
      <c r="GT150" s="33"/>
      <c r="GU150" s="33"/>
      <c r="GV150" s="33"/>
      <c r="GW150" s="33"/>
      <c r="GX150" s="33"/>
      <c r="GY150" s="33"/>
      <c r="GZ150" s="33"/>
      <c r="HA150" s="33"/>
      <c r="HB150" s="33"/>
      <c r="HC150" s="33"/>
      <c r="HD150" s="33"/>
      <c r="HE150" s="33"/>
      <c r="HF150" s="33"/>
      <c r="HG150" s="33"/>
      <c r="HH150" s="33"/>
    </row>
    <row r="151" spans="1:216" ht="15.75" customHeight="1" x14ac:dyDescent="0.4">
      <c r="A151" s="6" t="s">
        <v>25</v>
      </c>
      <c r="B151" s="52" t="s">
        <v>50</v>
      </c>
      <c r="C151" s="53"/>
      <c r="D151" s="54"/>
      <c r="E151" s="5">
        <f>SUM(E144:E150)</f>
        <v>1795</v>
      </c>
      <c r="F151" s="39"/>
      <c r="G151" s="20"/>
      <c r="H151" s="20"/>
      <c r="I151" s="20"/>
      <c r="J151" s="20"/>
      <c r="K151" s="20"/>
      <c r="L151" s="20"/>
      <c r="M151" s="20"/>
      <c r="N151" s="20"/>
      <c r="O151" s="20"/>
      <c r="P151" s="32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  <c r="GC151" s="33"/>
      <c r="GD151" s="33"/>
      <c r="GE151" s="33"/>
      <c r="GF151" s="33"/>
      <c r="GG151" s="33"/>
      <c r="GH151" s="33"/>
      <c r="GI151" s="33"/>
      <c r="GJ151" s="33"/>
      <c r="GK151" s="33"/>
      <c r="GL151" s="33"/>
      <c r="GM151" s="33"/>
      <c r="GN151" s="33"/>
      <c r="GO151" s="33"/>
      <c r="GP151" s="33"/>
      <c r="GQ151" s="33"/>
      <c r="GR151" s="33"/>
      <c r="GS151" s="33"/>
      <c r="GT151" s="33"/>
      <c r="GU151" s="33"/>
      <c r="GV151" s="33"/>
      <c r="GW151" s="33"/>
      <c r="GX151" s="33"/>
      <c r="GY151" s="33"/>
      <c r="GZ151" s="33"/>
      <c r="HA151" s="33"/>
      <c r="HB151" s="33"/>
      <c r="HC151" s="33"/>
      <c r="HD151" s="33"/>
      <c r="HE151" s="33"/>
      <c r="HF151" s="33"/>
      <c r="HG151" s="33"/>
      <c r="HH151" s="33"/>
    </row>
    <row r="152" spans="1:216" ht="15.75" customHeight="1" x14ac:dyDescent="0.4">
      <c r="A152" s="55"/>
      <c r="B152" s="56"/>
      <c r="C152" s="56"/>
      <c r="D152" s="56"/>
      <c r="E152" s="57"/>
      <c r="F152" s="39"/>
      <c r="G152" s="20"/>
      <c r="H152" s="20"/>
      <c r="I152" s="20"/>
      <c r="J152" s="20"/>
      <c r="K152" s="20"/>
      <c r="L152" s="20"/>
      <c r="M152" s="20"/>
      <c r="N152" s="20"/>
      <c r="O152" s="20"/>
      <c r="P152" s="32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  <c r="CZ152" s="33"/>
      <c r="DA152" s="33"/>
      <c r="DB152" s="33"/>
      <c r="DC152" s="33"/>
      <c r="DD152" s="33"/>
      <c r="DE152" s="33"/>
      <c r="DF152" s="33"/>
      <c r="DG152" s="33"/>
      <c r="DH152" s="33"/>
      <c r="DI152" s="33"/>
      <c r="DJ152" s="33"/>
      <c r="DK152" s="33"/>
      <c r="DL152" s="33"/>
      <c r="DM152" s="33"/>
      <c r="DN152" s="33"/>
      <c r="DO152" s="33"/>
      <c r="DP152" s="33"/>
      <c r="DQ152" s="33"/>
      <c r="DR152" s="33"/>
      <c r="DS152" s="33"/>
      <c r="DT152" s="33"/>
      <c r="DU152" s="33"/>
      <c r="DV152" s="33"/>
      <c r="DW152" s="33"/>
      <c r="DX152" s="33"/>
      <c r="DY152" s="33"/>
      <c r="DZ152" s="33"/>
      <c r="EA152" s="33"/>
      <c r="EB152" s="33"/>
      <c r="EC152" s="33"/>
      <c r="ED152" s="33"/>
      <c r="EE152" s="33"/>
      <c r="EF152" s="33"/>
      <c r="EG152" s="33"/>
      <c r="EH152" s="33"/>
      <c r="EI152" s="33"/>
      <c r="EJ152" s="33"/>
      <c r="EK152" s="33"/>
      <c r="EL152" s="33"/>
      <c r="EM152" s="33"/>
      <c r="EN152" s="33"/>
      <c r="EO152" s="33"/>
      <c r="EP152" s="33"/>
      <c r="EQ152" s="33"/>
      <c r="ER152" s="33"/>
      <c r="ES152" s="33"/>
      <c r="ET152" s="33"/>
      <c r="EU152" s="33"/>
      <c r="EV152" s="33"/>
      <c r="EW152" s="33"/>
      <c r="EX152" s="33"/>
      <c r="EY152" s="33"/>
      <c r="EZ152" s="33"/>
      <c r="FA152" s="33"/>
      <c r="FB152" s="33"/>
      <c r="FC152" s="33"/>
      <c r="FD152" s="33"/>
      <c r="FE152" s="33"/>
      <c r="FF152" s="33"/>
      <c r="FG152" s="33"/>
      <c r="FH152" s="33"/>
      <c r="FI152" s="33"/>
      <c r="FJ152" s="33"/>
      <c r="FK152" s="33"/>
      <c r="FL152" s="33"/>
      <c r="FM152" s="33"/>
      <c r="FN152" s="33"/>
      <c r="FO152" s="33"/>
      <c r="FP152" s="33"/>
      <c r="FQ152" s="33"/>
      <c r="FR152" s="33"/>
      <c r="FS152" s="33"/>
      <c r="FT152" s="33"/>
      <c r="FU152" s="33"/>
      <c r="FV152" s="33"/>
      <c r="FW152" s="33"/>
      <c r="FX152" s="33"/>
      <c r="FY152" s="33"/>
      <c r="FZ152" s="33"/>
      <c r="GA152" s="33"/>
      <c r="GB152" s="33"/>
      <c r="GC152" s="33"/>
      <c r="GD152" s="33"/>
      <c r="GE152" s="33"/>
      <c r="GF152" s="33"/>
      <c r="GG152" s="33"/>
      <c r="GH152" s="33"/>
      <c r="GI152" s="33"/>
      <c r="GJ152" s="33"/>
      <c r="GK152" s="33"/>
      <c r="GL152" s="33"/>
      <c r="GM152" s="33"/>
      <c r="GN152" s="33"/>
      <c r="GO152" s="33"/>
      <c r="GP152" s="33"/>
      <c r="GQ152" s="33"/>
      <c r="GR152" s="33"/>
      <c r="GS152" s="33"/>
      <c r="GT152" s="33"/>
      <c r="GU152" s="33"/>
      <c r="GV152" s="33"/>
      <c r="GW152" s="33"/>
      <c r="GX152" s="33"/>
      <c r="GY152" s="33"/>
      <c r="GZ152" s="33"/>
      <c r="HA152" s="33"/>
      <c r="HB152" s="33"/>
      <c r="HC152" s="33"/>
      <c r="HD152" s="33"/>
      <c r="HE152" s="33"/>
      <c r="HF152" s="33"/>
      <c r="HG152" s="33"/>
      <c r="HH152" s="33"/>
    </row>
    <row r="153" spans="1:216" ht="15.75" customHeight="1" x14ac:dyDescent="0.4">
      <c r="A153" s="11" t="s">
        <v>47</v>
      </c>
      <c r="B153" s="17" t="s">
        <v>74</v>
      </c>
      <c r="C153" s="50" t="s">
        <v>75</v>
      </c>
      <c r="D153" s="51"/>
      <c r="E153" s="9">
        <f>BOYOLANGU!U153+GIRI!V153+GROGOL!V153+JAMBESARI!O153+MOJOPANGGUNG!V153+PENATABAN!V153</f>
        <v>102</v>
      </c>
      <c r="F153" s="40"/>
      <c r="G153" s="1"/>
      <c r="H153" s="1"/>
      <c r="I153" s="1"/>
      <c r="J153" s="1"/>
      <c r="K153" s="1"/>
      <c r="L153" s="1"/>
      <c r="M153" s="1"/>
      <c r="N153" s="1"/>
      <c r="O153" s="1"/>
      <c r="P153" s="34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  <c r="HE153" s="31"/>
      <c r="HF153" s="31"/>
      <c r="HG153" s="31"/>
      <c r="HH153" s="31"/>
    </row>
    <row r="154" spans="1:216" ht="15.75" customHeight="1" x14ac:dyDescent="0.4">
      <c r="A154" s="11" t="s">
        <v>49</v>
      </c>
      <c r="B154" s="46">
        <v>1</v>
      </c>
      <c r="C154" s="24" t="s">
        <v>169</v>
      </c>
      <c r="D154" s="47"/>
      <c r="E154" s="9">
        <f>BOYOLANGU!U154+GIRI!V154+GROGOL!V154+JAMBESARI!O154+MOJOPANGGUNG!V154+PENATABAN!V154</f>
        <v>76</v>
      </c>
      <c r="F154" s="42"/>
      <c r="G154" s="27"/>
      <c r="H154" s="27"/>
      <c r="I154" s="27"/>
      <c r="J154" s="27"/>
      <c r="K154" s="27"/>
      <c r="L154" s="27"/>
      <c r="M154" s="27"/>
      <c r="N154" s="27"/>
      <c r="O154" s="27"/>
      <c r="P154" s="37"/>
      <c r="Q154" s="30"/>
      <c r="R154" s="30"/>
      <c r="S154" s="30"/>
      <c r="T154" s="30"/>
      <c r="U154" s="30"/>
      <c r="V154" s="30"/>
      <c r="W154" s="38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0"/>
      <c r="BM154" s="30"/>
      <c r="BN154" s="30"/>
      <c r="BO154" s="30"/>
      <c r="BP154" s="30"/>
      <c r="BQ154" s="30"/>
      <c r="BR154" s="38"/>
      <c r="BS154" s="30"/>
      <c r="BT154" s="30"/>
      <c r="BU154" s="30"/>
      <c r="BV154" s="30"/>
      <c r="BW154" s="30"/>
      <c r="BX154" s="30"/>
      <c r="BY154" s="30"/>
      <c r="BZ154" s="30"/>
      <c r="CA154" s="38"/>
      <c r="CB154" s="38"/>
      <c r="CC154" s="38"/>
      <c r="CD154" s="38"/>
      <c r="CE154" s="38"/>
      <c r="CF154" s="38"/>
      <c r="CG154" s="38"/>
      <c r="CH154" s="38"/>
      <c r="CI154" s="38"/>
      <c r="CJ154" s="38"/>
      <c r="CK154" s="38"/>
      <c r="CL154" s="38"/>
      <c r="CM154" s="38"/>
      <c r="CN154" s="38"/>
      <c r="CO154" s="38"/>
      <c r="CP154" s="38"/>
      <c r="CQ154" s="38"/>
      <c r="CR154" s="38"/>
      <c r="CS154" s="38"/>
      <c r="CT154" s="38"/>
      <c r="CU154" s="38"/>
      <c r="CV154" s="38"/>
      <c r="CW154" s="38"/>
      <c r="CX154" s="38"/>
      <c r="CY154" s="38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8"/>
      <c r="DL154" s="38"/>
      <c r="DM154" s="38"/>
      <c r="DN154" s="38"/>
      <c r="DO154" s="38"/>
      <c r="DP154" s="38"/>
      <c r="DQ154" s="38"/>
      <c r="DR154" s="38"/>
      <c r="DS154" s="38"/>
      <c r="DT154" s="38"/>
      <c r="DU154" s="38"/>
      <c r="DV154" s="38"/>
      <c r="DW154" s="38"/>
      <c r="DX154" s="38"/>
      <c r="DY154" s="38"/>
      <c r="DZ154" s="38"/>
      <c r="EA154" s="38"/>
      <c r="EB154" s="38"/>
      <c r="EC154" s="38"/>
      <c r="ED154" s="38"/>
      <c r="EE154" s="38"/>
      <c r="EF154" s="38"/>
      <c r="EG154" s="38"/>
      <c r="EH154" s="38"/>
      <c r="EI154" s="38"/>
      <c r="EJ154" s="38"/>
      <c r="EK154" s="38"/>
      <c r="EL154" s="38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8"/>
      <c r="EZ154" s="38"/>
      <c r="FA154" s="38"/>
      <c r="FB154" s="38"/>
      <c r="FC154" s="38"/>
      <c r="FD154" s="38"/>
      <c r="FE154" s="38"/>
      <c r="FF154" s="30"/>
      <c r="FG154" s="30"/>
      <c r="FH154" s="30"/>
      <c r="FI154" s="30"/>
      <c r="FJ154" s="38"/>
      <c r="FK154" s="38"/>
      <c r="FL154" s="38"/>
      <c r="FM154" s="38"/>
      <c r="FN154" s="38"/>
      <c r="FO154" s="38"/>
      <c r="FP154" s="38"/>
      <c r="FQ154" s="38"/>
      <c r="FR154" s="38"/>
      <c r="FS154" s="38"/>
      <c r="FT154" s="38"/>
      <c r="FU154" s="38"/>
      <c r="FV154" s="38"/>
      <c r="FW154" s="38"/>
      <c r="FX154" s="38"/>
      <c r="FY154" s="38"/>
      <c r="FZ154" s="38"/>
      <c r="GA154" s="38"/>
      <c r="GB154" s="38"/>
      <c r="GC154" s="38"/>
      <c r="GD154" s="38"/>
      <c r="GE154" s="38"/>
      <c r="GF154" s="38"/>
      <c r="GG154" s="38"/>
      <c r="GH154" s="38"/>
      <c r="GI154" s="38"/>
      <c r="GJ154" s="38"/>
      <c r="GK154" s="38"/>
      <c r="GL154" s="38"/>
      <c r="GM154" s="38"/>
      <c r="GN154" s="38"/>
      <c r="GO154" s="38"/>
      <c r="GP154" s="38"/>
      <c r="GQ154" s="38"/>
      <c r="GR154" s="38"/>
      <c r="GS154" s="38"/>
      <c r="GT154" s="38"/>
      <c r="GU154" s="38"/>
      <c r="GV154" s="38"/>
      <c r="GW154" s="38"/>
      <c r="GX154" s="38"/>
      <c r="GY154" s="38"/>
      <c r="GZ154" s="38"/>
      <c r="HA154" s="38"/>
      <c r="HB154" s="38"/>
      <c r="HC154" s="38"/>
      <c r="HD154" s="38"/>
      <c r="HE154" s="38"/>
      <c r="HF154" s="38"/>
      <c r="HG154" s="38"/>
      <c r="HH154" s="38"/>
    </row>
    <row r="155" spans="1:216" ht="15.75" customHeight="1" x14ac:dyDescent="0.4">
      <c r="A155" s="7"/>
      <c r="B155" s="46">
        <v>2</v>
      </c>
      <c r="C155" s="24" t="s">
        <v>170</v>
      </c>
      <c r="D155" s="47"/>
      <c r="E155" s="9">
        <f>BOYOLANGU!U155+GIRI!V155+GROGOL!V155+JAMBESARI!O155+MOJOPANGGUNG!V155+PENATABAN!V155</f>
        <v>90</v>
      </c>
      <c r="F155" s="39"/>
      <c r="G155" s="20"/>
      <c r="H155" s="20"/>
      <c r="I155" s="20"/>
      <c r="J155" s="20"/>
      <c r="K155" s="20"/>
      <c r="L155" s="20"/>
      <c r="M155" s="20"/>
      <c r="N155" s="20"/>
      <c r="O155" s="20"/>
      <c r="P155" s="32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</row>
    <row r="156" spans="1:216" ht="15.75" customHeight="1" x14ac:dyDescent="0.4">
      <c r="A156" s="6" t="s">
        <v>25</v>
      </c>
      <c r="B156" s="52" t="s">
        <v>50</v>
      </c>
      <c r="C156" s="53"/>
      <c r="D156" s="54"/>
      <c r="E156" s="5">
        <f>SUM(E153:E155)</f>
        <v>268</v>
      </c>
      <c r="F156" s="39"/>
      <c r="G156" s="20"/>
      <c r="H156" s="20"/>
      <c r="I156" s="20"/>
      <c r="J156" s="20"/>
      <c r="K156" s="20"/>
      <c r="L156" s="20"/>
      <c r="M156" s="20"/>
      <c r="N156" s="20"/>
      <c r="O156" s="20"/>
      <c r="P156" s="32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</row>
    <row r="157" spans="1:216" ht="15.75" customHeight="1" x14ac:dyDescent="0.4">
      <c r="A157" s="55"/>
      <c r="B157" s="56"/>
      <c r="C157" s="56"/>
      <c r="D157" s="56"/>
      <c r="E157" s="57"/>
      <c r="F157" s="39"/>
      <c r="G157" s="20"/>
      <c r="H157" s="20"/>
      <c r="I157" s="20"/>
      <c r="J157" s="20"/>
      <c r="K157" s="20"/>
      <c r="L157" s="20"/>
      <c r="M157" s="20"/>
      <c r="N157" s="20"/>
      <c r="O157" s="20"/>
      <c r="P157" s="32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</row>
    <row r="158" spans="1:216" ht="15.75" customHeight="1" x14ac:dyDescent="0.4">
      <c r="A158" s="11" t="s">
        <v>47</v>
      </c>
      <c r="B158" s="17" t="s">
        <v>76</v>
      </c>
      <c r="C158" s="50" t="s">
        <v>77</v>
      </c>
      <c r="D158" s="51"/>
      <c r="E158" s="9">
        <f>BOYOLANGU!U158+GIRI!V158+GROGOL!V158+JAMBESARI!O158+MOJOPANGGUNG!V158+PENATABAN!V158</f>
        <v>18</v>
      </c>
      <c r="F158" s="40"/>
      <c r="G158" s="1"/>
      <c r="H158" s="1"/>
      <c r="I158" s="1"/>
      <c r="J158" s="1"/>
      <c r="K158" s="1"/>
      <c r="L158" s="1"/>
      <c r="M158" s="1"/>
      <c r="N158" s="1"/>
      <c r="O158" s="1"/>
      <c r="P158" s="34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1"/>
      <c r="FV158" s="31"/>
      <c r="FW158" s="31"/>
      <c r="FX158" s="31"/>
      <c r="FY158" s="31"/>
      <c r="FZ158" s="31"/>
      <c r="GA158" s="31"/>
      <c r="GB158" s="31"/>
      <c r="GC158" s="31"/>
      <c r="GD158" s="31"/>
      <c r="GE158" s="31"/>
      <c r="GF158" s="31"/>
      <c r="GG158" s="31"/>
      <c r="GH158" s="31"/>
      <c r="GI158" s="31"/>
      <c r="GJ158" s="31"/>
      <c r="GK158" s="31"/>
      <c r="GL158" s="31"/>
      <c r="GM158" s="31"/>
      <c r="GN158" s="31"/>
      <c r="GO158" s="31"/>
      <c r="GP158" s="31"/>
      <c r="GQ158" s="31"/>
      <c r="GR158" s="31"/>
      <c r="GS158" s="31"/>
      <c r="GT158" s="31"/>
      <c r="GU158" s="31"/>
      <c r="GV158" s="31"/>
      <c r="GW158" s="31"/>
      <c r="GX158" s="31"/>
      <c r="GY158" s="31"/>
      <c r="GZ158" s="31"/>
      <c r="HA158" s="31"/>
      <c r="HB158" s="31"/>
      <c r="HC158" s="31"/>
      <c r="HD158" s="31"/>
      <c r="HE158" s="31"/>
      <c r="HF158" s="31"/>
      <c r="HG158" s="31"/>
      <c r="HH158" s="31"/>
    </row>
    <row r="159" spans="1:216" ht="15.75" customHeight="1" x14ac:dyDescent="0.4">
      <c r="A159" s="11" t="s">
        <v>49</v>
      </c>
      <c r="B159" s="46">
        <v>1</v>
      </c>
      <c r="C159" s="24" t="s">
        <v>171</v>
      </c>
      <c r="D159" s="45"/>
      <c r="E159" s="9">
        <f>BOYOLANGU!U159+GIRI!V159+GROGOL!V159+JAMBESARI!O159+MOJOPANGGUNG!V159+PENATABAN!V159</f>
        <v>20</v>
      </c>
      <c r="F159" s="42"/>
      <c r="G159" s="27"/>
      <c r="H159" s="27"/>
      <c r="I159" s="27"/>
      <c r="J159" s="27"/>
      <c r="K159" s="27"/>
      <c r="L159" s="27"/>
      <c r="M159" s="27"/>
      <c r="N159" s="27"/>
      <c r="O159" s="27"/>
      <c r="P159" s="37"/>
      <c r="Q159" s="30"/>
      <c r="R159" s="30"/>
      <c r="S159" s="30"/>
      <c r="T159" s="30"/>
      <c r="U159" s="30"/>
      <c r="V159" s="30"/>
      <c r="W159" s="38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0"/>
      <c r="BM159" s="30"/>
      <c r="BN159" s="30"/>
      <c r="BO159" s="30"/>
      <c r="BP159" s="30"/>
      <c r="BQ159" s="30"/>
      <c r="BR159" s="38"/>
      <c r="BS159" s="30"/>
      <c r="BT159" s="30"/>
      <c r="BU159" s="30"/>
      <c r="BV159" s="30"/>
      <c r="BW159" s="30"/>
      <c r="BX159" s="30"/>
      <c r="BY159" s="30"/>
      <c r="BZ159" s="30"/>
      <c r="CA159" s="38"/>
      <c r="CB159" s="38"/>
      <c r="CC159" s="38"/>
      <c r="CD159" s="38"/>
      <c r="CE159" s="38"/>
      <c r="CF159" s="38"/>
      <c r="CG159" s="38"/>
      <c r="CH159" s="38"/>
      <c r="CI159" s="38"/>
      <c r="CJ159" s="38"/>
      <c r="CK159" s="38"/>
      <c r="CL159" s="38"/>
      <c r="CM159" s="38"/>
      <c r="CN159" s="38"/>
      <c r="CO159" s="38"/>
      <c r="CP159" s="38"/>
      <c r="CQ159" s="38"/>
      <c r="CR159" s="38"/>
      <c r="CS159" s="38"/>
      <c r="CT159" s="38"/>
      <c r="CU159" s="38"/>
      <c r="CV159" s="38"/>
      <c r="CW159" s="38"/>
      <c r="CX159" s="38"/>
      <c r="CY159" s="38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8"/>
      <c r="DL159" s="38"/>
      <c r="DM159" s="38"/>
      <c r="DN159" s="38"/>
      <c r="DO159" s="38"/>
      <c r="DP159" s="38"/>
      <c r="DQ159" s="38"/>
      <c r="DR159" s="38"/>
      <c r="DS159" s="38"/>
      <c r="DT159" s="38"/>
      <c r="DU159" s="38"/>
      <c r="DV159" s="38"/>
      <c r="DW159" s="38"/>
      <c r="DX159" s="38"/>
      <c r="DY159" s="38"/>
      <c r="DZ159" s="38"/>
      <c r="EA159" s="38"/>
      <c r="EB159" s="38"/>
      <c r="EC159" s="38"/>
      <c r="ED159" s="38"/>
      <c r="EE159" s="38"/>
      <c r="EF159" s="38"/>
      <c r="EG159" s="38"/>
      <c r="EH159" s="38"/>
      <c r="EI159" s="38"/>
      <c r="EJ159" s="38"/>
      <c r="EK159" s="38"/>
      <c r="EL159" s="38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8"/>
      <c r="EZ159" s="38"/>
      <c r="FA159" s="38"/>
      <c r="FB159" s="38"/>
      <c r="FC159" s="38"/>
      <c r="FD159" s="38"/>
      <c r="FE159" s="38"/>
      <c r="FF159" s="30"/>
      <c r="FG159" s="30"/>
      <c r="FH159" s="30"/>
      <c r="FI159" s="30"/>
      <c r="FJ159" s="38"/>
      <c r="FK159" s="38"/>
      <c r="FL159" s="38"/>
      <c r="FM159" s="38"/>
      <c r="FN159" s="38"/>
      <c r="FO159" s="38"/>
      <c r="FP159" s="38"/>
      <c r="FQ159" s="38"/>
      <c r="FR159" s="38"/>
      <c r="FS159" s="38"/>
      <c r="FT159" s="38"/>
      <c r="FU159" s="38"/>
      <c r="FV159" s="38"/>
      <c r="FW159" s="38"/>
      <c r="FX159" s="38"/>
      <c r="FY159" s="38"/>
      <c r="FZ159" s="38"/>
      <c r="GA159" s="38"/>
      <c r="GB159" s="38"/>
      <c r="GC159" s="38"/>
      <c r="GD159" s="38"/>
      <c r="GE159" s="38"/>
      <c r="GF159" s="38"/>
      <c r="GG159" s="38"/>
      <c r="GH159" s="38"/>
      <c r="GI159" s="38"/>
      <c r="GJ159" s="38"/>
      <c r="GK159" s="38"/>
      <c r="GL159" s="38"/>
      <c r="GM159" s="38"/>
      <c r="GN159" s="38"/>
      <c r="GO159" s="38"/>
      <c r="GP159" s="38"/>
      <c r="GQ159" s="38"/>
      <c r="GR159" s="38"/>
      <c r="GS159" s="38"/>
      <c r="GT159" s="38"/>
      <c r="GU159" s="38"/>
      <c r="GV159" s="38"/>
      <c r="GW159" s="38"/>
      <c r="GX159" s="38"/>
      <c r="GY159" s="38"/>
      <c r="GZ159" s="38"/>
      <c r="HA159" s="38"/>
      <c r="HB159" s="38"/>
      <c r="HC159" s="38"/>
      <c r="HD159" s="38"/>
      <c r="HE159" s="38"/>
      <c r="HF159" s="38"/>
      <c r="HG159" s="38"/>
      <c r="HH159" s="38"/>
    </row>
    <row r="160" spans="1:216" ht="15.75" customHeight="1" x14ac:dyDescent="0.4">
      <c r="A160" s="7"/>
      <c r="B160" s="46">
        <v>2</v>
      </c>
      <c r="C160" s="24" t="s">
        <v>172</v>
      </c>
      <c r="D160" s="45"/>
      <c r="E160" s="9">
        <f>BOYOLANGU!U160+GIRI!V160+GROGOL!V160+JAMBESARI!O160+MOJOPANGGUNG!V160+PENATABAN!V160</f>
        <v>21</v>
      </c>
      <c r="F160" s="39"/>
      <c r="G160" s="20"/>
      <c r="H160" s="20"/>
      <c r="I160" s="20"/>
      <c r="J160" s="20"/>
      <c r="K160" s="20"/>
      <c r="L160" s="20"/>
      <c r="M160" s="20"/>
      <c r="N160" s="20"/>
      <c r="O160" s="20"/>
      <c r="P160" s="32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  <c r="GS160" s="33"/>
      <c r="GT160" s="33"/>
      <c r="GU160" s="33"/>
      <c r="GV160" s="33"/>
      <c r="GW160" s="33"/>
      <c r="GX160" s="33"/>
      <c r="GY160" s="33"/>
      <c r="GZ160" s="33"/>
      <c r="HA160" s="33"/>
      <c r="HB160" s="33"/>
      <c r="HC160" s="33"/>
      <c r="HD160" s="33"/>
      <c r="HE160" s="33"/>
      <c r="HF160" s="33"/>
      <c r="HG160" s="33"/>
      <c r="HH160" s="33"/>
    </row>
    <row r="161" spans="1:216" ht="15.75" customHeight="1" x14ac:dyDescent="0.4">
      <c r="A161" s="7"/>
      <c r="B161" s="46">
        <v>3</v>
      </c>
      <c r="C161" s="24" t="s">
        <v>173</v>
      </c>
      <c r="D161" s="45"/>
      <c r="E161" s="9">
        <f>BOYOLANGU!U161+GIRI!V161+GROGOL!V161+JAMBESARI!O161+MOJOPANGGUNG!V161+PENATABAN!V161</f>
        <v>21</v>
      </c>
      <c r="F161" s="39"/>
      <c r="G161" s="20"/>
      <c r="H161" s="20"/>
      <c r="I161" s="20"/>
      <c r="J161" s="20"/>
      <c r="K161" s="20"/>
      <c r="L161" s="20"/>
      <c r="M161" s="20"/>
      <c r="N161" s="20"/>
      <c r="O161" s="20"/>
      <c r="P161" s="32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</row>
    <row r="162" spans="1:216" ht="15.75" customHeight="1" x14ac:dyDescent="0.4">
      <c r="A162" s="6" t="s">
        <v>25</v>
      </c>
      <c r="B162" s="52" t="s">
        <v>50</v>
      </c>
      <c r="C162" s="53"/>
      <c r="D162" s="54"/>
      <c r="E162" s="5">
        <f>SUM(E158:E161)</f>
        <v>80</v>
      </c>
      <c r="F162" s="39"/>
      <c r="G162" s="20"/>
      <c r="H162" s="20"/>
      <c r="I162" s="20"/>
      <c r="J162" s="20"/>
      <c r="K162" s="20"/>
      <c r="L162" s="20"/>
      <c r="M162" s="20"/>
      <c r="N162" s="20"/>
      <c r="O162" s="20"/>
      <c r="P162" s="32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</row>
    <row r="163" spans="1:216" ht="15.75" customHeight="1" x14ac:dyDescent="0.4">
      <c r="A163" s="55"/>
      <c r="B163" s="56"/>
      <c r="C163" s="56"/>
      <c r="D163" s="56"/>
      <c r="E163" s="57"/>
      <c r="F163" s="39"/>
      <c r="G163" s="20"/>
      <c r="H163" s="20"/>
      <c r="I163" s="20"/>
      <c r="J163" s="20"/>
      <c r="K163" s="20"/>
      <c r="L163" s="20"/>
      <c r="M163" s="20"/>
      <c r="N163" s="20"/>
      <c r="O163" s="20"/>
      <c r="P163" s="32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</row>
    <row r="164" spans="1:216" ht="15.75" customHeight="1" x14ac:dyDescent="0.4">
      <c r="A164" s="11" t="s">
        <v>47</v>
      </c>
      <c r="B164" s="17" t="s">
        <v>78</v>
      </c>
      <c r="C164" s="50" t="s">
        <v>79</v>
      </c>
      <c r="D164" s="51"/>
      <c r="E164" s="9">
        <f>BOYOLANGU!U164+GIRI!V164+GROGOL!V164+JAMBESARI!O164+MOJOPANGGUNG!V164+PENATABAN!V164</f>
        <v>95</v>
      </c>
      <c r="F164" s="40"/>
      <c r="G164" s="1"/>
      <c r="H164" s="1"/>
      <c r="I164" s="1"/>
      <c r="J164" s="1"/>
      <c r="K164" s="1"/>
      <c r="L164" s="1"/>
      <c r="M164" s="1"/>
      <c r="N164" s="1"/>
      <c r="O164" s="1"/>
      <c r="P164" s="34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1"/>
      <c r="FV164" s="31"/>
      <c r="FW164" s="31"/>
      <c r="FX164" s="31"/>
      <c r="FY164" s="31"/>
      <c r="FZ164" s="31"/>
      <c r="GA164" s="31"/>
      <c r="GB164" s="31"/>
      <c r="GC164" s="31"/>
      <c r="GD164" s="31"/>
      <c r="GE164" s="31"/>
      <c r="GF164" s="31"/>
      <c r="GG164" s="31"/>
      <c r="GH164" s="31"/>
      <c r="GI164" s="31"/>
      <c r="GJ164" s="31"/>
      <c r="GK164" s="31"/>
      <c r="GL164" s="31"/>
      <c r="GM164" s="31"/>
      <c r="GN164" s="31"/>
      <c r="GO164" s="31"/>
      <c r="GP164" s="31"/>
      <c r="GQ164" s="31"/>
      <c r="GR164" s="31"/>
      <c r="GS164" s="31"/>
      <c r="GT164" s="31"/>
      <c r="GU164" s="31"/>
      <c r="GV164" s="31"/>
      <c r="GW164" s="31"/>
      <c r="GX164" s="31"/>
      <c r="GY164" s="31"/>
      <c r="GZ164" s="31"/>
      <c r="HA164" s="31"/>
      <c r="HB164" s="31"/>
      <c r="HC164" s="31"/>
      <c r="HD164" s="31"/>
      <c r="HE164" s="31"/>
      <c r="HF164" s="31"/>
      <c r="HG164" s="31"/>
      <c r="HH164" s="31"/>
    </row>
    <row r="165" spans="1:216" ht="15.75" customHeight="1" x14ac:dyDescent="0.4">
      <c r="A165" s="11" t="s">
        <v>49</v>
      </c>
      <c r="B165" s="46">
        <v>1</v>
      </c>
      <c r="C165" s="24" t="s">
        <v>174</v>
      </c>
      <c r="D165" s="47"/>
      <c r="E165" s="9">
        <f>BOYOLANGU!U165+GIRI!V165+GROGOL!V165+JAMBESARI!O165+MOJOPANGGUNG!V165+PENATABAN!V165</f>
        <v>71</v>
      </c>
      <c r="F165" s="42"/>
      <c r="G165" s="27"/>
      <c r="H165" s="27"/>
      <c r="I165" s="27"/>
      <c r="J165" s="27"/>
      <c r="K165" s="27"/>
      <c r="L165" s="27"/>
      <c r="M165" s="27"/>
      <c r="N165" s="27"/>
      <c r="O165" s="27"/>
      <c r="P165" s="37"/>
      <c r="Q165" s="30"/>
      <c r="R165" s="30"/>
      <c r="S165" s="30"/>
      <c r="T165" s="30"/>
      <c r="U165" s="30"/>
      <c r="V165" s="30"/>
      <c r="W165" s="38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0"/>
      <c r="BM165" s="30"/>
      <c r="BN165" s="30"/>
      <c r="BO165" s="30"/>
      <c r="BP165" s="30"/>
      <c r="BQ165" s="30"/>
      <c r="BR165" s="38"/>
      <c r="BS165" s="30"/>
      <c r="BT165" s="30"/>
      <c r="BU165" s="30"/>
      <c r="BV165" s="30"/>
      <c r="BW165" s="30"/>
      <c r="BX165" s="30"/>
      <c r="BY165" s="30"/>
      <c r="BZ165" s="30"/>
      <c r="CA165" s="38"/>
      <c r="CB165" s="38"/>
      <c r="CC165" s="38"/>
      <c r="CD165" s="38"/>
      <c r="CE165" s="38"/>
      <c r="CF165" s="38"/>
      <c r="CG165" s="38"/>
      <c r="CH165" s="38"/>
      <c r="CI165" s="38"/>
      <c r="CJ165" s="38"/>
      <c r="CK165" s="38"/>
      <c r="CL165" s="38"/>
      <c r="CM165" s="38"/>
      <c r="CN165" s="38"/>
      <c r="CO165" s="38"/>
      <c r="CP165" s="38"/>
      <c r="CQ165" s="38"/>
      <c r="CR165" s="38"/>
      <c r="CS165" s="38"/>
      <c r="CT165" s="38"/>
      <c r="CU165" s="38"/>
      <c r="CV165" s="38"/>
      <c r="CW165" s="38"/>
      <c r="CX165" s="38"/>
      <c r="CY165" s="38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8"/>
      <c r="DL165" s="38"/>
      <c r="DM165" s="38"/>
      <c r="DN165" s="38"/>
      <c r="DO165" s="38"/>
      <c r="DP165" s="38"/>
      <c r="DQ165" s="38"/>
      <c r="DR165" s="38"/>
      <c r="DS165" s="38"/>
      <c r="DT165" s="38"/>
      <c r="DU165" s="38"/>
      <c r="DV165" s="38"/>
      <c r="DW165" s="38"/>
      <c r="DX165" s="38"/>
      <c r="DY165" s="38"/>
      <c r="DZ165" s="38"/>
      <c r="EA165" s="38"/>
      <c r="EB165" s="38"/>
      <c r="EC165" s="38"/>
      <c r="ED165" s="38"/>
      <c r="EE165" s="38"/>
      <c r="EF165" s="38"/>
      <c r="EG165" s="38"/>
      <c r="EH165" s="38"/>
      <c r="EI165" s="38"/>
      <c r="EJ165" s="38"/>
      <c r="EK165" s="38"/>
      <c r="EL165" s="38"/>
      <c r="EM165" s="30"/>
      <c r="EN165" s="30"/>
      <c r="EO165" s="30"/>
      <c r="EP165" s="30"/>
      <c r="EQ165" s="30"/>
      <c r="ER165" s="30"/>
      <c r="ES165" s="30"/>
      <c r="ET165" s="30"/>
      <c r="EU165" s="30"/>
      <c r="EV165" s="30"/>
      <c r="EW165" s="30"/>
      <c r="EX165" s="30"/>
      <c r="EY165" s="38"/>
      <c r="EZ165" s="38"/>
      <c r="FA165" s="38"/>
      <c r="FB165" s="38"/>
      <c r="FC165" s="38"/>
      <c r="FD165" s="38"/>
      <c r="FE165" s="38"/>
      <c r="FF165" s="30"/>
      <c r="FG165" s="30"/>
      <c r="FH165" s="30"/>
      <c r="FI165" s="30"/>
      <c r="FJ165" s="38"/>
      <c r="FK165" s="38"/>
      <c r="FL165" s="38"/>
      <c r="FM165" s="38"/>
      <c r="FN165" s="38"/>
      <c r="FO165" s="38"/>
      <c r="FP165" s="38"/>
      <c r="FQ165" s="38"/>
      <c r="FR165" s="38"/>
      <c r="FS165" s="38"/>
      <c r="FT165" s="38"/>
      <c r="FU165" s="38"/>
      <c r="FV165" s="38"/>
      <c r="FW165" s="38"/>
      <c r="FX165" s="38"/>
      <c r="FY165" s="38"/>
      <c r="FZ165" s="38"/>
      <c r="GA165" s="38"/>
      <c r="GB165" s="38"/>
      <c r="GC165" s="38"/>
      <c r="GD165" s="38"/>
      <c r="GE165" s="38"/>
      <c r="GF165" s="38"/>
      <c r="GG165" s="38"/>
      <c r="GH165" s="38"/>
      <c r="GI165" s="38"/>
      <c r="GJ165" s="38"/>
      <c r="GK165" s="38"/>
      <c r="GL165" s="38"/>
      <c r="GM165" s="38"/>
      <c r="GN165" s="38"/>
      <c r="GO165" s="38"/>
      <c r="GP165" s="38"/>
      <c r="GQ165" s="38"/>
      <c r="GR165" s="38"/>
      <c r="GS165" s="38"/>
      <c r="GT165" s="38"/>
      <c r="GU165" s="38"/>
      <c r="GV165" s="38"/>
      <c r="GW165" s="38"/>
      <c r="GX165" s="38"/>
      <c r="GY165" s="38"/>
      <c r="GZ165" s="38"/>
      <c r="HA165" s="38"/>
      <c r="HB165" s="38"/>
      <c r="HC165" s="38"/>
      <c r="HD165" s="38"/>
      <c r="HE165" s="38"/>
      <c r="HF165" s="38"/>
      <c r="HG165" s="38"/>
      <c r="HH165" s="38"/>
    </row>
    <row r="166" spans="1:216" ht="15.75" customHeight="1" x14ac:dyDescent="0.4">
      <c r="A166" s="7"/>
      <c r="B166" s="46">
        <v>2</v>
      </c>
      <c r="C166" s="24" t="s">
        <v>175</v>
      </c>
      <c r="D166" s="47"/>
      <c r="E166" s="9">
        <f>BOYOLANGU!U166+GIRI!V166+GROGOL!V166+JAMBESARI!O166+MOJOPANGGUNG!V166+PENATABAN!V166</f>
        <v>212</v>
      </c>
      <c r="F166" s="39"/>
      <c r="G166" s="20"/>
      <c r="H166" s="20"/>
      <c r="I166" s="20"/>
      <c r="J166" s="20"/>
      <c r="K166" s="20"/>
      <c r="L166" s="20"/>
      <c r="M166" s="20"/>
      <c r="N166" s="20"/>
      <c r="O166" s="20"/>
      <c r="P166" s="32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  <c r="EE166" s="33"/>
      <c r="EF166" s="33"/>
      <c r="EG166" s="33"/>
      <c r="EH166" s="3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  <c r="ET166" s="33"/>
      <c r="EU166" s="33"/>
      <c r="EV166" s="33"/>
      <c r="EW166" s="33"/>
      <c r="EX166" s="33"/>
      <c r="EY166" s="33"/>
      <c r="EZ166" s="33"/>
      <c r="FA166" s="33"/>
      <c r="FB166" s="33"/>
      <c r="FC166" s="33"/>
      <c r="FD166" s="33"/>
      <c r="FE166" s="33"/>
      <c r="FF166" s="33"/>
      <c r="FG166" s="33"/>
      <c r="FH166" s="33"/>
      <c r="FI166" s="33"/>
      <c r="FJ166" s="33"/>
      <c r="FK166" s="33"/>
      <c r="FL166" s="33"/>
      <c r="FM166" s="33"/>
      <c r="FN166" s="33"/>
      <c r="FO166" s="33"/>
      <c r="FP166" s="33"/>
      <c r="FQ166" s="33"/>
      <c r="FR166" s="33"/>
      <c r="FS166" s="33"/>
      <c r="FT166" s="33"/>
      <c r="FU166" s="33"/>
      <c r="FV166" s="33"/>
      <c r="FW166" s="33"/>
      <c r="FX166" s="33"/>
      <c r="FY166" s="33"/>
      <c r="FZ166" s="33"/>
      <c r="GA166" s="33"/>
      <c r="GB166" s="33"/>
      <c r="GC166" s="33"/>
      <c r="GD166" s="33"/>
      <c r="GE166" s="33"/>
      <c r="GF166" s="33"/>
      <c r="GG166" s="33"/>
      <c r="GH166" s="33"/>
      <c r="GI166" s="33"/>
      <c r="GJ166" s="33"/>
      <c r="GK166" s="33"/>
      <c r="GL166" s="33"/>
      <c r="GM166" s="33"/>
      <c r="GN166" s="33"/>
      <c r="GO166" s="33"/>
      <c r="GP166" s="33"/>
      <c r="GQ166" s="33"/>
      <c r="GR166" s="33"/>
      <c r="GS166" s="33"/>
      <c r="GT166" s="33"/>
      <c r="GU166" s="33"/>
      <c r="GV166" s="33"/>
      <c r="GW166" s="33"/>
      <c r="GX166" s="33"/>
      <c r="GY166" s="33"/>
      <c r="GZ166" s="33"/>
      <c r="HA166" s="33"/>
      <c r="HB166" s="33"/>
      <c r="HC166" s="33"/>
      <c r="HD166" s="33"/>
      <c r="HE166" s="33"/>
      <c r="HF166" s="33"/>
      <c r="HG166" s="33"/>
      <c r="HH166" s="33"/>
    </row>
    <row r="167" spans="1:216" ht="15.75" customHeight="1" x14ac:dyDescent="0.4">
      <c r="A167" s="7"/>
      <c r="B167" s="46">
        <v>3</v>
      </c>
      <c r="C167" s="24" t="s">
        <v>176</v>
      </c>
      <c r="D167" s="47"/>
      <c r="E167" s="9">
        <f>BOYOLANGU!U167+GIRI!V167+GROGOL!V167+JAMBESARI!O167+MOJOPANGGUNG!V167+PENATABAN!V167</f>
        <v>14</v>
      </c>
      <c r="F167" s="39"/>
      <c r="G167" s="20"/>
      <c r="H167" s="20"/>
      <c r="I167" s="20"/>
      <c r="J167" s="20"/>
      <c r="K167" s="20"/>
      <c r="L167" s="20"/>
      <c r="M167" s="20"/>
      <c r="N167" s="20"/>
      <c r="O167" s="20"/>
      <c r="P167" s="32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</row>
    <row r="168" spans="1:216" ht="15.75" customHeight="1" x14ac:dyDescent="0.4">
      <c r="A168" s="7"/>
      <c r="B168" s="46">
        <v>4</v>
      </c>
      <c r="C168" s="24" t="s">
        <v>177</v>
      </c>
      <c r="D168" s="47"/>
      <c r="E168" s="9">
        <f>BOYOLANGU!U168+GIRI!V168+GROGOL!V168+JAMBESARI!O168+MOJOPANGGUNG!V168+PENATABAN!V168</f>
        <v>9</v>
      </c>
      <c r="F168" s="39"/>
      <c r="G168" s="20"/>
      <c r="H168" s="20"/>
      <c r="I168" s="20"/>
      <c r="J168" s="20"/>
      <c r="K168" s="20"/>
      <c r="L168" s="20"/>
      <c r="M168" s="20"/>
      <c r="N168" s="20"/>
      <c r="O168" s="20"/>
      <c r="P168" s="32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33"/>
      <c r="HG168" s="33"/>
      <c r="HH168" s="33"/>
    </row>
    <row r="169" spans="1:216" ht="15.75" customHeight="1" x14ac:dyDescent="0.4">
      <c r="A169" s="7"/>
      <c r="B169" s="46">
        <v>5</v>
      </c>
      <c r="C169" s="24" t="s">
        <v>178</v>
      </c>
      <c r="D169" s="47"/>
      <c r="E169" s="9">
        <f>BOYOLANGU!U169+GIRI!V169+GROGOL!V169+JAMBESARI!O169+MOJOPANGGUNG!V169+PENATABAN!V169</f>
        <v>15</v>
      </c>
      <c r="F169" s="39"/>
      <c r="G169" s="20"/>
      <c r="H169" s="20"/>
      <c r="I169" s="20"/>
      <c r="J169" s="20"/>
      <c r="K169" s="20"/>
      <c r="L169" s="20"/>
      <c r="M169" s="20"/>
      <c r="N169" s="20"/>
      <c r="O169" s="20"/>
      <c r="P169" s="32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</row>
    <row r="170" spans="1:216" ht="15.75" customHeight="1" x14ac:dyDescent="0.4">
      <c r="A170" s="7"/>
      <c r="B170" s="46">
        <v>6</v>
      </c>
      <c r="C170" s="24" t="s">
        <v>179</v>
      </c>
      <c r="D170" s="47"/>
      <c r="E170" s="9">
        <f>BOYOLANGU!U170+GIRI!V170+GROGOL!V170+JAMBESARI!O170+MOJOPANGGUNG!V170+PENATABAN!V170</f>
        <v>8</v>
      </c>
      <c r="F170" s="39"/>
      <c r="G170" s="20"/>
      <c r="H170" s="20"/>
      <c r="I170" s="20"/>
      <c r="J170" s="20"/>
      <c r="K170" s="20"/>
      <c r="L170" s="20"/>
      <c r="M170" s="20"/>
      <c r="N170" s="20"/>
      <c r="O170" s="20"/>
      <c r="P170" s="32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</row>
    <row r="171" spans="1:216" ht="15.75" customHeight="1" x14ac:dyDescent="0.4">
      <c r="A171" s="6" t="s">
        <v>25</v>
      </c>
      <c r="B171" s="52" t="s">
        <v>50</v>
      </c>
      <c r="C171" s="53"/>
      <c r="D171" s="54"/>
      <c r="E171" s="5">
        <f>SUM(E164:E170)</f>
        <v>424</v>
      </c>
      <c r="F171" s="39"/>
      <c r="G171" s="20"/>
      <c r="H171" s="20"/>
      <c r="I171" s="20"/>
      <c r="J171" s="20"/>
      <c r="K171" s="20"/>
      <c r="L171" s="20"/>
      <c r="M171" s="20"/>
      <c r="N171" s="20"/>
      <c r="O171" s="20"/>
      <c r="P171" s="32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</row>
    <row r="172" spans="1:216" ht="15.75" customHeight="1" x14ac:dyDescent="0.4">
      <c r="A172" s="55"/>
      <c r="B172" s="56"/>
      <c r="C172" s="56"/>
      <c r="D172" s="56"/>
      <c r="E172" s="57"/>
      <c r="F172" s="39"/>
      <c r="G172" s="20"/>
      <c r="H172" s="20"/>
      <c r="I172" s="20"/>
      <c r="J172" s="20"/>
      <c r="K172" s="20"/>
      <c r="L172" s="20"/>
      <c r="M172" s="20"/>
      <c r="N172" s="20"/>
      <c r="O172" s="20"/>
      <c r="P172" s="32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</row>
    <row r="173" spans="1:216" ht="15.75" customHeight="1" x14ac:dyDescent="0.4">
      <c r="A173" s="11" t="s">
        <v>47</v>
      </c>
      <c r="B173" s="17" t="s">
        <v>80</v>
      </c>
      <c r="C173" s="50" t="s">
        <v>81</v>
      </c>
      <c r="D173" s="51"/>
      <c r="E173" s="9">
        <f>BOYOLANGU!U173+GIRI!V173+GROGOL!V173+JAMBESARI!O173+MOJOPANGGUNG!V173+PENATABAN!V173</f>
        <v>35</v>
      </c>
      <c r="F173" s="40"/>
      <c r="G173" s="1"/>
      <c r="H173" s="1"/>
      <c r="I173" s="1"/>
      <c r="J173" s="1"/>
      <c r="K173" s="1"/>
      <c r="L173" s="1"/>
      <c r="M173" s="1"/>
      <c r="N173" s="1"/>
      <c r="O173" s="1"/>
      <c r="P173" s="34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/>
      <c r="FB173" s="31"/>
      <c r="FC173" s="31"/>
      <c r="FD173" s="31"/>
      <c r="FE173" s="31"/>
      <c r="FF173" s="31"/>
      <c r="FG173" s="31"/>
      <c r="FH173" s="31"/>
      <c r="FI173" s="31"/>
      <c r="FJ173" s="31"/>
      <c r="FK173" s="31"/>
      <c r="FL173" s="31"/>
      <c r="FM173" s="31"/>
      <c r="FN173" s="31"/>
      <c r="FO173" s="31"/>
      <c r="FP173" s="31"/>
      <c r="FQ173" s="31"/>
      <c r="FR173" s="31"/>
      <c r="FS173" s="31"/>
      <c r="FT173" s="31"/>
      <c r="FU173" s="31"/>
      <c r="FV173" s="31"/>
      <c r="FW173" s="31"/>
      <c r="FX173" s="31"/>
      <c r="FY173" s="31"/>
      <c r="FZ173" s="31"/>
      <c r="GA173" s="31"/>
      <c r="GB173" s="31"/>
      <c r="GC173" s="31"/>
      <c r="GD173" s="31"/>
      <c r="GE173" s="31"/>
      <c r="GF173" s="31"/>
      <c r="GG173" s="31"/>
      <c r="GH173" s="31"/>
      <c r="GI173" s="31"/>
      <c r="GJ173" s="31"/>
      <c r="GK173" s="31"/>
      <c r="GL173" s="31"/>
      <c r="GM173" s="31"/>
      <c r="GN173" s="31"/>
      <c r="GO173" s="31"/>
      <c r="GP173" s="31"/>
      <c r="GQ173" s="31"/>
      <c r="GR173" s="31"/>
      <c r="GS173" s="31"/>
      <c r="GT173" s="31"/>
      <c r="GU173" s="31"/>
      <c r="GV173" s="31"/>
      <c r="GW173" s="31"/>
      <c r="GX173" s="31"/>
      <c r="GY173" s="31"/>
      <c r="GZ173" s="31"/>
      <c r="HA173" s="31"/>
      <c r="HB173" s="31"/>
      <c r="HC173" s="31"/>
      <c r="HD173" s="31"/>
      <c r="HE173" s="31"/>
      <c r="HF173" s="31"/>
      <c r="HG173" s="31"/>
      <c r="HH173" s="31"/>
    </row>
    <row r="174" spans="1:216" ht="15.75" customHeight="1" x14ac:dyDescent="0.4">
      <c r="A174" s="11" t="s">
        <v>49</v>
      </c>
      <c r="B174" s="46">
        <v>1</v>
      </c>
      <c r="C174" s="24" t="s">
        <v>180</v>
      </c>
      <c r="D174" s="45"/>
      <c r="E174" s="9">
        <f>BOYOLANGU!U174+GIRI!V174+GROGOL!V174+JAMBESARI!O174+MOJOPANGGUNG!V174+PENATABAN!V174</f>
        <v>33</v>
      </c>
      <c r="F174" s="39"/>
      <c r="G174" s="20"/>
      <c r="H174" s="20"/>
      <c r="I174" s="20"/>
      <c r="J174" s="20"/>
      <c r="K174" s="20"/>
      <c r="L174" s="20"/>
      <c r="M174" s="20"/>
      <c r="N174" s="20"/>
      <c r="O174" s="23"/>
      <c r="P174" s="35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</row>
    <row r="175" spans="1:216" ht="15.75" customHeight="1" x14ac:dyDescent="0.4">
      <c r="A175" s="7"/>
      <c r="B175" s="46">
        <v>2</v>
      </c>
      <c r="C175" s="24" t="s">
        <v>181</v>
      </c>
      <c r="D175" s="47"/>
      <c r="E175" s="9">
        <f>BOYOLANGU!U175+GIRI!V175+GROGOL!V175+JAMBESARI!O175+MOJOPANGGUNG!V175+PENATABAN!V175</f>
        <v>15</v>
      </c>
      <c r="F175" s="40"/>
      <c r="G175" s="1"/>
      <c r="H175" s="1"/>
      <c r="I175" s="1"/>
      <c r="J175" s="1"/>
      <c r="K175" s="1"/>
      <c r="L175" s="1"/>
      <c r="M175" s="1"/>
      <c r="N175" s="1"/>
      <c r="O175" s="3"/>
      <c r="P175" s="35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</row>
    <row r="176" spans="1:216" ht="15.75" customHeight="1" x14ac:dyDescent="0.4">
      <c r="A176" s="6" t="s">
        <v>25</v>
      </c>
      <c r="B176" s="52" t="s">
        <v>50</v>
      </c>
      <c r="C176" s="53"/>
      <c r="D176" s="54"/>
      <c r="E176" s="5">
        <f>SUM(E173:E175)</f>
        <v>83</v>
      </c>
      <c r="F176" s="39"/>
      <c r="G176" s="20"/>
      <c r="H176" s="20"/>
      <c r="I176" s="20"/>
      <c r="J176" s="20"/>
      <c r="K176" s="20"/>
      <c r="L176" s="20"/>
      <c r="M176" s="20"/>
      <c r="N176" s="20"/>
      <c r="O176" s="20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</row>
    <row r="177" spans="1:216" ht="15.75" customHeight="1" x14ac:dyDescent="0.4">
      <c r="F177" s="39"/>
      <c r="G177" s="20"/>
      <c r="H177" s="20"/>
      <c r="I177" s="20"/>
      <c r="J177" s="20"/>
      <c r="K177" s="20"/>
      <c r="L177" s="20"/>
      <c r="M177" s="20"/>
      <c r="N177" s="20"/>
      <c r="O177" s="20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</row>
    <row r="178" spans="1:216" ht="15.75" customHeight="1" x14ac:dyDescent="0.4">
      <c r="A178" s="16" t="s">
        <v>82</v>
      </c>
      <c r="B178" s="60" t="s">
        <v>83</v>
      </c>
      <c r="C178" s="61"/>
      <c r="D178" s="62"/>
      <c r="E178" s="5"/>
      <c r="F178" s="39"/>
      <c r="G178" s="20"/>
      <c r="H178" s="20"/>
      <c r="I178" s="20"/>
      <c r="J178" s="20"/>
      <c r="K178" s="20"/>
      <c r="L178" s="20"/>
      <c r="M178" s="20"/>
      <c r="N178" s="20"/>
      <c r="O178" s="20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</row>
    <row r="179" spans="1:216" ht="15.75" customHeight="1" x14ac:dyDescent="0.4">
      <c r="A179" s="16"/>
      <c r="B179" s="19" t="s">
        <v>84</v>
      </c>
      <c r="C179" s="58" t="s">
        <v>85</v>
      </c>
      <c r="D179" s="59"/>
      <c r="E179" s="9">
        <f>BOYOLANGU!U179+GIRI!V179+GROGOL!V179+JAMBESARI!O179+MOJOPANGGUNG!V179+PENATABAN!V179</f>
        <v>17935</v>
      </c>
      <c r="F179" s="39"/>
      <c r="G179" s="20"/>
      <c r="H179" s="20"/>
      <c r="I179" s="20"/>
      <c r="J179" s="20"/>
      <c r="K179" s="20"/>
      <c r="L179" s="20"/>
      <c r="M179" s="20"/>
      <c r="N179" s="20"/>
      <c r="O179" s="2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</row>
    <row r="180" spans="1:216" ht="15.75" customHeight="1" x14ac:dyDescent="0.4">
      <c r="A180" s="13"/>
      <c r="B180" s="19" t="s">
        <v>86</v>
      </c>
      <c r="C180" s="58" t="s">
        <v>87</v>
      </c>
      <c r="D180" s="59"/>
      <c r="E180" s="9">
        <f>BOYOLANGU!U180+GIRI!V180+GROGOL!V180+JAMBESARI!O180+MOJOPANGGUNG!V180+PENATABAN!V180</f>
        <v>1725</v>
      </c>
      <c r="F180" s="39"/>
      <c r="G180" s="20"/>
      <c r="H180" s="20"/>
      <c r="I180" s="20"/>
      <c r="J180" s="20"/>
      <c r="K180" s="20"/>
      <c r="L180" s="20"/>
      <c r="M180" s="20"/>
      <c r="N180" s="20"/>
      <c r="O180" s="2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</row>
    <row r="181" spans="1:216" ht="15.75" customHeight="1" x14ac:dyDescent="0.4">
      <c r="A181" s="14"/>
      <c r="B181" s="19" t="s">
        <v>88</v>
      </c>
      <c r="C181" s="58" t="s">
        <v>89</v>
      </c>
      <c r="D181" s="59"/>
      <c r="E181" s="5">
        <f t="shared" ref="E181" si="8">SUM(E179:E180)</f>
        <v>19660</v>
      </c>
      <c r="F181" s="39"/>
      <c r="G181" s="20"/>
      <c r="H181" s="20"/>
      <c r="I181" s="20"/>
      <c r="J181" s="20"/>
      <c r="K181" s="20"/>
      <c r="L181" s="20"/>
      <c r="M181" s="20"/>
      <c r="N181" s="20"/>
      <c r="O181" s="2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</row>
    <row r="182" spans="1:216" ht="15.75" customHeight="1" x14ac:dyDescent="0.4">
      <c r="A182" s="20"/>
      <c r="B182" s="21"/>
      <c r="C182" s="22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</row>
    <row r="183" spans="1:216" ht="15.75" customHeight="1" x14ac:dyDescent="0.4">
      <c r="A183" s="20"/>
      <c r="B183" s="21"/>
      <c r="C183" s="22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</row>
    <row r="184" spans="1:216" ht="15.75" customHeight="1" x14ac:dyDescent="0.4">
      <c r="A184" s="20"/>
      <c r="B184" s="21"/>
      <c r="C184" s="22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</row>
    <row r="185" spans="1:216" ht="15.75" hidden="1" customHeight="1" x14ac:dyDescent="0.4">
      <c r="A185" s="20"/>
      <c r="B185" s="21"/>
      <c r="C185" s="22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</row>
    <row r="186" spans="1:216" ht="15.75" hidden="1" customHeight="1" x14ac:dyDescent="0.4">
      <c r="A186" s="20"/>
      <c r="B186" s="21"/>
      <c r="C186" s="22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</row>
    <row r="187" spans="1:216" ht="15.75" hidden="1" customHeight="1" x14ac:dyDescent="0.4">
      <c r="A187" s="20"/>
      <c r="B187" s="21"/>
      <c r="C187" s="22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</row>
    <row r="188" spans="1:216" ht="15.75" hidden="1" customHeight="1" x14ac:dyDescent="0.4">
      <c r="A188" s="20"/>
      <c r="B188" s="21"/>
      <c r="C188" s="22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</row>
    <row r="189" spans="1:216" ht="15.75" hidden="1" customHeight="1" x14ac:dyDescent="0.4">
      <c r="A189" s="20"/>
      <c r="B189" s="21"/>
      <c r="C189" s="22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</row>
    <row r="190" spans="1:216" ht="15.75" hidden="1" customHeight="1" x14ac:dyDescent="0.4">
      <c r="A190" s="20"/>
      <c r="B190" s="21"/>
      <c r="C190" s="22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</row>
    <row r="191" spans="1:216" ht="15.75" hidden="1" customHeight="1" x14ac:dyDescent="0.4">
      <c r="A191" s="20"/>
      <c r="B191" s="21"/>
      <c r="C191" s="22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</row>
    <row r="192" spans="1:216" ht="15.75" hidden="1" customHeight="1" x14ac:dyDescent="0.4">
      <c r="A192" s="20"/>
      <c r="B192" s="21"/>
      <c r="C192" s="22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</row>
    <row r="193" spans="1:216" ht="15.75" hidden="1" customHeight="1" x14ac:dyDescent="0.4">
      <c r="A193" s="20"/>
      <c r="B193" s="21"/>
      <c r="C193" s="22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</row>
    <row r="194" spans="1:216" ht="15.75" hidden="1" customHeight="1" x14ac:dyDescent="0.4">
      <c r="A194" s="20"/>
      <c r="B194" s="21"/>
      <c r="C194" s="22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</row>
    <row r="195" spans="1:216" ht="15.75" hidden="1" customHeight="1" x14ac:dyDescent="0.4">
      <c r="A195" s="20"/>
      <c r="B195" s="21"/>
      <c r="C195" s="22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</row>
    <row r="196" spans="1:216" ht="15.75" hidden="1" customHeight="1" x14ac:dyDescent="0.4">
      <c r="A196" s="20"/>
      <c r="B196" s="21"/>
      <c r="C196" s="22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</row>
    <row r="197" spans="1:216" ht="15.75" hidden="1" customHeight="1" x14ac:dyDescent="0.4">
      <c r="A197" s="20"/>
      <c r="B197" s="21"/>
      <c r="C197" s="22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</row>
    <row r="198" spans="1:216" ht="15.75" hidden="1" customHeight="1" x14ac:dyDescent="0.4">
      <c r="A198" s="20"/>
      <c r="B198" s="21"/>
      <c r="C198" s="22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</row>
    <row r="199" spans="1:216" ht="15.75" hidden="1" customHeight="1" x14ac:dyDescent="0.4">
      <c r="A199" s="20"/>
      <c r="B199" s="21"/>
      <c r="C199" s="22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</row>
    <row r="200" spans="1:216" ht="15.75" hidden="1" customHeight="1" x14ac:dyDescent="0.4">
      <c r="A200" s="20"/>
      <c r="B200" s="21"/>
      <c r="C200" s="22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</row>
    <row r="201" spans="1:216" ht="15.75" hidden="1" customHeight="1" x14ac:dyDescent="0.4">
      <c r="A201" s="20"/>
      <c r="B201" s="21"/>
      <c r="C201" s="22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</row>
    <row r="202" spans="1:216" ht="15.75" hidden="1" customHeight="1" x14ac:dyDescent="0.4">
      <c r="A202" s="20"/>
      <c r="B202" s="21"/>
      <c r="C202" s="22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</row>
    <row r="203" spans="1:216" ht="15.75" hidden="1" customHeight="1" x14ac:dyDescent="0.4">
      <c r="A203" s="20"/>
      <c r="B203" s="21"/>
      <c r="C203" s="22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</row>
    <row r="204" spans="1:216" ht="15.75" hidden="1" customHeight="1" x14ac:dyDescent="0.4">
      <c r="A204" s="20"/>
      <c r="B204" s="21"/>
      <c r="C204" s="22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</row>
    <row r="205" spans="1:216" ht="15.75" hidden="1" customHeight="1" x14ac:dyDescent="0.4">
      <c r="A205" s="20"/>
      <c r="B205" s="21"/>
      <c r="C205" s="22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</row>
    <row r="206" spans="1:216" ht="15.75" hidden="1" customHeight="1" x14ac:dyDescent="0.4">
      <c r="A206" s="20"/>
      <c r="B206" s="21"/>
      <c r="C206" s="22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</row>
    <row r="207" spans="1:216" ht="15.75" hidden="1" customHeight="1" x14ac:dyDescent="0.4">
      <c r="A207" s="20"/>
      <c r="B207" s="21"/>
      <c r="C207" s="22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</row>
    <row r="208" spans="1:216" ht="15.75" hidden="1" customHeight="1" x14ac:dyDescent="0.4">
      <c r="A208" s="20"/>
      <c r="B208" s="21"/>
      <c r="C208" s="22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</row>
    <row r="209" spans="1:216" ht="15.75" hidden="1" customHeight="1" x14ac:dyDescent="0.4">
      <c r="A209" s="20"/>
      <c r="B209" s="21"/>
      <c r="C209" s="22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</row>
    <row r="210" spans="1:216" ht="15.75" hidden="1" customHeight="1" x14ac:dyDescent="0.4">
      <c r="A210" s="20"/>
      <c r="B210" s="21"/>
      <c r="C210" s="22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</row>
    <row r="211" spans="1:216" ht="15.75" hidden="1" customHeight="1" x14ac:dyDescent="0.4">
      <c r="A211" s="20"/>
      <c r="B211" s="21"/>
      <c r="C211" s="22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</row>
    <row r="212" spans="1:216" ht="15.75" hidden="1" customHeight="1" x14ac:dyDescent="0.4">
      <c r="A212" s="20"/>
      <c r="B212" s="21"/>
      <c r="C212" s="22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</row>
    <row r="213" spans="1:216" ht="15.75" hidden="1" customHeight="1" x14ac:dyDescent="0.4">
      <c r="A213" s="20"/>
      <c r="B213" s="21"/>
      <c r="C213" s="22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</row>
    <row r="214" spans="1:216" ht="15.75" hidden="1" customHeight="1" x14ac:dyDescent="0.4">
      <c r="A214" s="20"/>
      <c r="B214" s="21"/>
      <c r="C214" s="22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</row>
    <row r="215" spans="1:216" ht="15.75" hidden="1" customHeight="1" x14ac:dyDescent="0.4">
      <c r="A215" s="20"/>
      <c r="B215" s="21"/>
      <c r="C215" s="22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</row>
    <row r="216" spans="1:216" ht="15.75" hidden="1" customHeight="1" x14ac:dyDescent="0.4">
      <c r="A216" s="20"/>
      <c r="B216" s="21"/>
      <c r="C216" s="22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</row>
    <row r="217" spans="1:216" ht="15.75" hidden="1" customHeight="1" x14ac:dyDescent="0.4">
      <c r="A217" s="20"/>
      <c r="B217" s="21"/>
      <c r="C217" s="22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</row>
    <row r="218" spans="1:216" ht="15.75" hidden="1" customHeight="1" x14ac:dyDescent="0.4">
      <c r="A218" s="20"/>
      <c r="B218" s="21"/>
      <c r="C218" s="22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</row>
    <row r="219" spans="1:216" ht="15.75" hidden="1" customHeight="1" x14ac:dyDescent="0.4">
      <c r="A219" s="20"/>
      <c r="B219" s="21"/>
      <c r="C219" s="22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</row>
    <row r="220" spans="1:216" ht="15.75" hidden="1" customHeight="1" x14ac:dyDescent="0.4">
      <c r="A220" s="20"/>
      <c r="B220" s="21"/>
      <c r="C220" s="22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</row>
    <row r="221" spans="1:216" ht="15.75" hidden="1" customHeight="1" x14ac:dyDescent="0.4">
      <c r="A221" s="20"/>
      <c r="B221" s="21"/>
      <c r="C221" s="22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</row>
    <row r="222" spans="1:216" ht="15.75" hidden="1" customHeight="1" x14ac:dyDescent="0.4">
      <c r="A222" s="20"/>
      <c r="B222" s="21"/>
      <c r="C222" s="22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</row>
    <row r="223" spans="1:216" ht="15.75" hidden="1" customHeight="1" x14ac:dyDescent="0.4">
      <c r="A223" s="20"/>
      <c r="B223" s="21"/>
      <c r="C223" s="22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</row>
    <row r="224" spans="1:216" ht="15.75" hidden="1" customHeight="1" x14ac:dyDescent="0.4">
      <c r="A224" s="20"/>
      <c r="B224" s="21"/>
      <c r="C224" s="22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</row>
    <row r="225" spans="1:216" ht="15.75" hidden="1" customHeight="1" x14ac:dyDescent="0.4">
      <c r="A225" s="20"/>
      <c r="B225" s="21"/>
      <c r="C225" s="22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</row>
    <row r="226" spans="1:216" ht="15.75" hidden="1" customHeight="1" x14ac:dyDescent="0.4">
      <c r="A226" s="20"/>
      <c r="B226" s="21"/>
      <c r="C226" s="22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</row>
    <row r="227" spans="1:216" ht="15.75" hidden="1" customHeight="1" x14ac:dyDescent="0.4">
      <c r="A227" s="20"/>
      <c r="B227" s="21"/>
      <c r="C227" s="22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</row>
    <row r="228" spans="1:216" ht="15.75" hidden="1" customHeight="1" x14ac:dyDescent="0.4">
      <c r="A228" s="20"/>
      <c r="B228" s="21"/>
      <c r="C228" s="22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</row>
    <row r="229" spans="1:216" ht="15.75" hidden="1" customHeight="1" x14ac:dyDescent="0.4">
      <c r="A229" s="20"/>
      <c r="B229" s="21"/>
      <c r="C229" s="22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</row>
    <row r="230" spans="1:216" ht="15.75" hidden="1" customHeight="1" x14ac:dyDescent="0.4">
      <c r="A230" s="20"/>
      <c r="B230" s="21"/>
      <c r="C230" s="22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</row>
    <row r="231" spans="1:216" ht="15.75" hidden="1" customHeight="1" x14ac:dyDescent="0.4">
      <c r="A231" s="20"/>
      <c r="B231" s="21"/>
      <c r="C231" s="22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</row>
    <row r="232" spans="1:216" ht="15.75" hidden="1" customHeight="1" x14ac:dyDescent="0.4">
      <c r="A232" s="20"/>
      <c r="B232" s="21"/>
      <c r="C232" s="22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</row>
    <row r="233" spans="1:216" ht="15.75" hidden="1" customHeight="1" x14ac:dyDescent="0.4">
      <c r="A233" s="20"/>
      <c r="B233" s="21"/>
      <c r="C233" s="22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</row>
    <row r="234" spans="1:216" ht="15.75" hidden="1" customHeight="1" x14ac:dyDescent="0.4">
      <c r="A234" s="20"/>
      <c r="B234" s="21"/>
      <c r="C234" s="22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</row>
    <row r="235" spans="1:216" ht="15.75" hidden="1" customHeight="1" x14ac:dyDescent="0.4">
      <c r="A235" s="20"/>
      <c r="B235" s="21"/>
      <c r="C235" s="22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</row>
    <row r="236" spans="1:216" ht="15.75" hidden="1" customHeight="1" x14ac:dyDescent="0.4">
      <c r="A236" s="20"/>
      <c r="B236" s="21"/>
      <c r="C236" s="22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</row>
    <row r="237" spans="1:216" ht="15.75" hidden="1" customHeight="1" x14ac:dyDescent="0.4">
      <c r="A237" s="20"/>
      <c r="B237" s="21"/>
      <c r="C237" s="22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</row>
    <row r="238" spans="1:216" ht="15.75" hidden="1" customHeight="1" x14ac:dyDescent="0.4">
      <c r="A238" s="20"/>
      <c r="B238" s="21"/>
      <c r="C238" s="22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</row>
    <row r="239" spans="1:216" ht="15.75" hidden="1" customHeight="1" x14ac:dyDescent="0.4">
      <c r="A239" s="20"/>
      <c r="B239" s="21"/>
      <c r="C239" s="22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</row>
    <row r="240" spans="1:216" ht="15.75" hidden="1" customHeight="1" x14ac:dyDescent="0.4">
      <c r="A240" s="20"/>
      <c r="B240" s="21"/>
      <c r="C240" s="22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</row>
    <row r="241" spans="1:216" ht="15.75" hidden="1" customHeight="1" x14ac:dyDescent="0.4">
      <c r="A241" s="20"/>
      <c r="B241" s="21"/>
      <c r="C241" s="22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</row>
    <row r="242" spans="1:216" ht="15.75" hidden="1" customHeight="1" x14ac:dyDescent="0.4">
      <c r="A242" s="20"/>
      <c r="B242" s="21"/>
      <c r="C242" s="22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</row>
    <row r="243" spans="1:216" ht="15.75" hidden="1" customHeight="1" x14ac:dyDescent="0.4">
      <c r="A243" s="20"/>
      <c r="B243" s="21"/>
      <c r="C243" s="22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</row>
    <row r="244" spans="1:216" ht="15.75" hidden="1" customHeight="1" x14ac:dyDescent="0.4">
      <c r="A244" s="20"/>
      <c r="B244" s="21"/>
      <c r="C244" s="22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</row>
    <row r="245" spans="1:216" ht="15.75" hidden="1" customHeight="1" x14ac:dyDescent="0.4">
      <c r="A245" s="20"/>
      <c r="B245" s="21"/>
      <c r="C245" s="22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</row>
    <row r="246" spans="1:216" ht="15.75" hidden="1" customHeight="1" x14ac:dyDescent="0.4">
      <c r="A246" s="20"/>
      <c r="B246" s="21"/>
      <c r="C246" s="22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</row>
    <row r="247" spans="1:216" ht="15.75" hidden="1" customHeight="1" x14ac:dyDescent="0.4">
      <c r="A247" s="20"/>
      <c r="B247" s="21"/>
      <c r="C247" s="22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</row>
    <row r="248" spans="1:216" ht="15.75" hidden="1" customHeight="1" x14ac:dyDescent="0.4">
      <c r="A248" s="20"/>
      <c r="B248" s="21"/>
      <c r="C248" s="22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</row>
    <row r="249" spans="1:216" ht="15.75" hidden="1" customHeight="1" x14ac:dyDescent="0.4">
      <c r="A249" s="20"/>
      <c r="B249" s="21"/>
      <c r="C249" s="22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</row>
    <row r="250" spans="1:216" ht="15.75" hidden="1" customHeight="1" x14ac:dyDescent="0.4">
      <c r="A250" s="20"/>
      <c r="B250" s="21"/>
      <c r="C250" s="22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</row>
    <row r="251" spans="1:216" ht="15.75" hidden="1" customHeight="1" x14ac:dyDescent="0.4">
      <c r="A251" s="20"/>
      <c r="B251" s="21"/>
      <c r="C251" s="22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</row>
    <row r="252" spans="1:216" ht="15.75" hidden="1" customHeight="1" x14ac:dyDescent="0.4">
      <c r="A252" s="20"/>
      <c r="B252" s="21"/>
      <c r="C252" s="22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</row>
    <row r="253" spans="1:216" ht="15.75" hidden="1" customHeight="1" x14ac:dyDescent="0.4">
      <c r="A253" s="20"/>
      <c r="B253" s="21"/>
      <c r="C253" s="22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</row>
    <row r="254" spans="1:216" ht="15.75" hidden="1" customHeight="1" x14ac:dyDescent="0.4">
      <c r="A254" s="20"/>
      <c r="B254" s="21"/>
      <c r="C254" s="22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</row>
    <row r="255" spans="1:216" ht="15.75" hidden="1" customHeight="1" x14ac:dyDescent="0.4">
      <c r="A255" s="20"/>
      <c r="B255" s="21"/>
      <c r="C255" s="22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</row>
    <row r="256" spans="1:216" ht="15.75" hidden="1" customHeight="1" x14ac:dyDescent="0.4">
      <c r="A256" s="20"/>
      <c r="B256" s="21"/>
      <c r="C256" s="22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</row>
    <row r="257" spans="1:216" ht="15.75" hidden="1" customHeight="1" x14ac:dyDescent="0.4">
      <c r="A257" s="20"/>
      <c r="B257" s="21"/>
      <c r="C257" s="22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</row>
    <row r="258" spans="1:216" ht="15.75" hidden="1" customHeight="1" x14ac:dyDescent="0.4">
      <c r="A258" s="20"/>
      <c r="B258" s="21"/>
      <c r="C258" s="22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</row>
    <row r="259" spans="1:216" ht="15.75" hidden="1" customHeight="1" x14ac:dyDescent="0.4">
      <c r="A259" s="20"/>
      <c r="B259" s="21"/>
      <c r="C259" s="22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</row>
    <row r="260" spans="1:216" ht="15.75" hidden="1" customHeight="1" x14ac:dyDescent="0.4">
      <c r="A260" s="20"/>
      <c r="B260" s="21"/>
      <c r="C260" s="22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</row>
    <row r="261" spans="1:216" ht="15.75" hidden="1" customHeight="1" x14ac:dyDescent="0.4">
      <c r="A261" s="20"/>
      <c r="B261" s="21"/>
      <c r="C261" s="22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</row>
    <row r="262" spans="1:216" ht="15.75" hidden="1" customHeight="1" x14ac:dyDescent="0.4">
      <c r="A262" s="20"/>
      <c r="B262" s="21"/>
      <c r="C262" s="22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</row>
    <row r="263" spans="1:216" ht="15.75" hidden="1" customHeight="1" x14ac:dyDescent="0.4">
      <c r="A263" s="20"/>
      <c r="B263" s="21"/>
      <c r="C263" s="22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</row>
    <row r="264" spans="1:216" ht="15.75" hidden="1" customHeight="1" x14ac:dyDescent="0.4">
      <c r="A264" s="20"/>
      <c r="B264" s="21"/>
      <c r="C264" s="22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</row>
    <row r="265" spans="1:216" ht="15.75" hidden="1" customHeight="1" x14ac:dyDescent="0.4">
      <c r="A265" s="20"/>
      <c r="B265" s="21"/>
      <c r="C265" s="22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</row>
    <row r="266" spans="1:216" ht="15.75" hidden="1" customHeight="1" x14ac:dyDescent="0.4">
      <c r="A266" s="20"/>
      <c r="B266" s="21"/>
      <c r="C266" s="22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</row>
    <row r="267" spans="1:216" ht="15.75" hidden="1" customHeight="1" x14ac:dyDescent="0.4">
      <c r="A267" s="20"/>
      <c r="B267" s="21"/>
      <c r="C267" s="22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</row>
    <row r="268" spans="1:216" ht="15.75" hidden="1" customHeight="1" x14ac:dyDescent="0.4">
      <c r="A268" s="20"/>
      <c r="B268" s="21"/>
      <c r="C268" s="22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</row>
    <row r="269" spans="1:216" ht="15.75" hidden="1" customHeight="1" x14ac:dyDescent="0.4">
      <c r="A269" s="20"/>
      <c r="B269" s="21"/>
      <c r="C269" s="22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</row>
    <row r="270" spans="1:216" ht="15.75" hidden="1" customHeight="1" x14ac:dyDescent="0.4">
      <c r="A270" s="20"/>
      <c r="B270" s="21"/>
      <c r="C270" s="22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</row>
    <row r="271" spans="1:216" ht="15.75" hidden="1" customHeight="1" x14ac:dyDescent="0.4">
      <c r="A271" s="20"/>
      <c r="B271" s="21"/>
      <c r="C271" s="22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</row>
    <row r="272" spans="1:216" ht="15.75" hidden="1" customHeight="1" x14ac:dyDescent="0.4">
      <c r="A272" s="20"/>
      <c r="B272" s="21"/>
      <c r="C272" s="22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</row>
    <row r="273" spans="1:216" ht="15.75" hidden="1" customHeight="1" x14ac:dyDescent="0.4">
      <c r="A273" s="20"/>
      <c r="B273" s="21"/>
      <c r="C273" s="22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</row>
    <row r="274" spans="1:216" ht="15.75" hidden="1" customHeight="1" x14ac:dyDescent="0.4">
      <c r="A274" s="20"/>
      <c r="B274" s="21"/>
      <c r="C274" s="22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</row>
    <row r="275" spans="1:216" ht="15.75" hidden="1" customHeight="1" x14ac:dyDescent="0.4">
      <c r="A275" s="20"/>
      <c r="B275" s="21"/>
      <c r="C275" s="22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</row>
    <row r="276" spans="1:216" ht="15.75" hidden="1" customHeight="1" x14ac:dyDescent="0.4">
      <c r="A276" s="20"/>
      <c r="B276" s="21"/>
      <c r="C276" s="22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</row>
    <row r="277" spans="1:216" ht="15.75" hidden="1" customHeight="1" x14ac:dyDescent="0.4">
      <c r="A277" s="20"/>
      <c r="B277" s="21"/>
      <c r="C277" s="22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</row>
    <row r="278" spans="1:216" ht="15.75" hidden="1" customHeight="1" x14ac:dyDescent="0.4">
      <c r="A278" s="20"/>
      <c r="B278" s="21"/>
      <c r="C278" s="22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</row>
    <row r="279" spans="1:216" ht="15.75" hidden="1" customHeight="1" x14ac:dyDescent="0.4">
      <c r="A279" s="20"/>
      <c r="B279" s="21"/>
      <c r="C279" s="22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</row>
    <row r="280" spans="1:216" ht="15.75" hidden="1" customHeight="1" x14ac:dyDescent="0.4">
      <c r="A280" s="20"/>
      <c r="B280" s="21"/>
      <c r="C280" s="22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</row>
    <row r="281" spans="1:216" ht="15.75" hidden="1" customHeight="1" x14ac:dyDescent="0.4">
      <c r="A281" s="20"/>
      <c r="B281" s="21"/>
      <c r="C281" s="22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</row>
    <row r="282" spans="1:216" ht="15.75" hidden="1" customHeight="1" x14ac:dyDescent="0.4">
      <c r="A282" s="20"/>
      <c r="B282" s="21"/>
      <c r="C282" s="22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</row>
    <row r="283" spans="1:216" ht="15.75" hidden="1" customHeight="1" x14ac:dyDescent="0.4">
      <c r="A283" s="20"/>
      <c r="B283" s="21"/>
      <c r="C283" s="22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</row>
    <row r="284" spans="1:216" ht="15.75" hidden="1" customHeight="1" x14ac:dyDescent="0.4">
      <c r="A284" s="20"/>
      <c r="B284" s="21"/>
      <c r="C284" s="22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</row>
    <row r="285" spans="1:216" ht="15.75" hidden="1" customHeight="1" x14ac:dyDescent="0.4">
      <c r="A285" s="20"/>
      <c r="B285" s="21"/>
      <c r="C285" s="22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</row>
    <row r="286" spans="1:216" ht="15.75" hidden="1" customHeight="1" x14ac:dyDescent="0.4">
      <c r="A286" s="20"/>
      <c r="B286" s="21"/>
      <c r="C286" s="22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</row>
    <row r="287" spans="1:216" ht="15.75" hidden="1" customHeight="1" x14ac:dyDescent="0.4">
      <c r="A287" s="20"/>
      <c r="B287" s="21"/>
      <c r="C287" s="22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</row>
    <row r="288" spans="1:216" ht="15.75" hidden="1" customHeight="1" x14ac:dyDescent="0.4">
      <c r="A288" s="20"/>
      <c r="B288" s="21"/>
      <c r="C288" s="22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</row>
    <row r="289" spans="1:216" ht="15.75" hidden="1" customHeight="1" x14ac:dyDescent="0.4">
      <c r="A289" s="20"/>
      <c r="B289" s="21"/>
      <c r="C289" s="22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</row>
    <row r="290" spans="1:216" ht="15.75" hidden="1" customHeight="1" x14ac:dyDescent="0.4">
      <c r="A290" s="20"/>
      <c r="B290" s="21"/>
      <c r="C290" s="22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</row>
    <row r="291" spans="1:216" ht="15.75" hidden="1" customHeight="1" x14ac:dyDescent="0.4">
      <c r="A291" s="20"/>
      <c r="B291" s="21"/>
      <c r="C291" s="2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</row>
    <row r="292" spans="1:216" ht="15.75" hidden="1" customHeight="1" x14ac:dyDescent="0.4">
      <c r="A292" s="20"/>
      <c r="B292" s="21"/>
      <c r="C292" s="22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</row>
    <row r="293" spans="1:216" ht="15.75" hidden="1" customHeight="1" x14ac:dyDescent="0.4">
      <c r="A293" s="20"/>
      <c r="B293" s="21"/>
      <c r="C293" s="22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</row>
    <row r="294" spans="1:216" ht="15.75" hidden="1" customHeight="1" x14ac:dyDescent="0.4">
      <c r="A294" s="20"/>
      <c r="B294" s="21"/>
      <c r="C294" s="22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</row>
    <row r="295" spans="1:216" ht="15.75" hidden="1" customHeight="1" x14ac:dyDescent="0.4">
      <c r="A295" s="20"/>
      <c r="B295" s="21"/>
      <c r="C295" s="22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</row>
    <row r="296" spans="1:216" ht="15.75" hidden="1" customHeight="1" x14ac:dyDescent="0.4">
      <c r="A296" s="20"/>
      <c r="B296" s="21"/>
      <c r="C296" s="22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</row>
    <row r="297" spans="1:216" ht="15.75" hidden="1" customHeight="1" x14ac:dyDescent="0.4">
      <c r="A297" s="20"/>
      <c r="B297" s="21"/>
      <c r="C297" s="22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</row>
    <row r="298" spans="1:216" ht="15.75" hidden="1" customHeight="1" x14ac:dyDescent="0.4">
      <c r="A298" s="20"/>
      <c r="B298" s="21"/>
      <c r="C298" s="22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</row>
    <row r="299" spans="1:216" ht="15.75" hidden="1" customHeight="1" x14ac:dyDescent="0.4">
      <c r="A299" s="20"/>
      <c r="B299" s="21"/>
      <c r="C299" s="22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</row>
    <row r="300" spans="1:216" ht="15.75" hidden="1" customHeight="1" x14ac:dyDescent="0.4">
      <c r="A300" s="20"/>
      <c r="B300" s="21"/>
      <c r="C300" s="22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</row>
    <row r="301" spans="1:216" ht="15.75" hidden="1" customHeight="1" x14ac:dyDescent="0.4">
      <c r="A301" s="20"/>
      <c r="B301" s="21"/>
      <c r="C301" s="22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</row>
    <row r="302" spans="1:216" ht="15.75" hidden="1" customHeight="1" x14ac:dyDescent="0.4">
      <c r="A302" s="20"/>
      <c r="B302" s="21"/>
      <c r="C302" s="22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</row>
    <row r="303" spans="1:216" ht="15.75" hidden="1" customHeight="1" x14ac:dyDescent="0.4">
      <c r="A303" s="20"/>
      <c r="B303" s="21"/>
      <c r="C303" s="22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</row>
    <row r="304" spans="1:216" ht="15.75" hidden="1" customHeight="1" x14ac:dyDescent="0.4">
      <c r="A304" s="20"/>
      <c r="B304" s="21"/>
      <c r="C304" s="22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</row>
    <row r="305" spans="1:216" ht="15.75" hidden="1" customHeight="1" x14ac:dyDescent="0.4">
      <c r="A305" s="20"/>
      <c r="B305" s="21"/>
      <c r="C305" s="22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</row>
    <row r="306" spans="1:216" ht="15.75" hidden="1" customHeight="1" x14ac:dyDescent="0.4">
      <c r="A306" s="20"/>
      <c r="B306" s="21"/>
      <c r="C306" s="22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</row>
    <row r="307" spans="1:216" ht="15.75" hidden="1" customHeight="1" x14ac:dyDescent="0.4">
      <c r="A307" s="20"/>
      <c r="B307" s="21"/>
      <c r="C307" s="22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</row>
    <row r="308" spans="1:216" ht="15.75" hidden="1" customHeight="1" x14ac:dyDescent="0.4">
      <c r="A308" s="20"/>
      <c r="B308" s="21"/>
      <c r="C308" s="22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</row>
    <row r="309" spans="1:216" ht="15.75" hidden="1" customHeight="1" x14ac:dyDescent="0.4">
      <c r="A309" s="20"/>
      <c r="B309" s="21"/>
      <c r="C309" s="22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</row>
    <row r="310" spans="1:216" ht="15.75" hidden="1" customHeight="1" x14ac:dyDescent="0.4">
      <c r="A310" s="20"/>
      <c r="B310" s="21"/>
      <c r="C310" s="22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</row>
    <row r="311" spans="1:216" ht="15.75" hidden="1" customHeight="1" x14ac:dyDescent="0.4">
      <c r="A311" s="20"/>
      <c r="B311" s="21"/>
      <c r="C311" s="22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</row>
    <row r="312" spans="1:216" ht="15.75" hidden="1" customHeight="1" x14ac:dyDescent="0.4">
      <c r="A312" s="20"/>
      <c r="B312" s="21"/>
      <c r="C312" s="22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</row>
    <row r="313" spans="1:216" ht="15.75" hidden="1" customHeight="1" x14ac:dyDescent="0.4">
      <c r="A313" s="20"/>
      <c r="B313" s="21"/>
      <c r="C313" s="22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</row>
    <row r="314" spans="1:216" ht="15.75" hidden="1" customHeight="1" x14ac:dyDescent="0.4">
      <c r="A314" s="20"/>
      <c r="B314" s="21"/>
      <c r="C314" s="22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</row>
    <row r="315" spans="1:216" ht="15.75" hidden="1" customHeight="1" x14ac:dyDescent="0.4">
      <c r="A315" s="20"/>
      <c r="B315" s="21"/>
      <c r="C315" s="22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</row>
    <row r="316" spans="1:216" ht="15.75" hidden="1" customHeight="1" x14ac:dyDescent="0.4">
      <c r="A316" s="20"/>
      <c r="B316" s="21"/>
      <c r="C316" s="22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</row>
    <row r="317" spans="1:216" ht="15.75" hidden="1" customHeight="1" x14ac:dyDescent="0.4">
      <c r="A317" s="20"/>
      <c r="B317" s="21"/>
      <c r="C317" s="22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</row>
    <row r="318" spans="1:216" ht="15.75" hidden="1" customHeight="1" x14ac:dyDescent="0.4">
      <c r="A318" s="20"/>
      <c r="B318" s="21"/>
      <c r="C318" s="22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</row>
    <row r="319" spans="1:216" ht="15.75" hidden="1" customHeight="1" x14ac:dyDescent="0.4">
      <c r="A319" s="20"/>
      <c r="B319" s="21"/>
      <c r="C319" s="22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</row>
    <row r="320" spans="1:216" ht="15.75" hidden="1" customHeight="1" x14ac:dyDescent="0.4">
      <c r="A320" s="20"/>
      <c r="B320" s="21"/>
      <c r="C320" s="22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</row>
    <row r="321" spans="1:216" ht="15.75" hidden="1" customHeight="1" x14ac:dyDescent="0.4">
      <c r="A321" s="20"/>
      <c r="B321" s="21"/>
      <c r="C321" s="22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</row>
    <row r="322" spans="1:216" ht="15.75" hidden="1" customHeight="1" x14ac:dyDescent="0.4">
      <c r="A322" s="20"/>
      <c r="B322" s="21"/>
      <c r="C322" s="22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</row>
    <row r="323" spans="1:216" ht="15.75" hidden="1" customHeight="1" x14ac:dyDescent="0.4">
      <c r="A323" s="20"/>
      <c r="B323" s="21"/>
      <c r="C323" s="22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</row>
    <row r="324" spans="1:216" ht="15.75" hidden="1" customHeight="1" x14ac:dyDescent="0.4">
      <c r="A324" s="20"/>
      <c r="B324" s="21"/>
      <c r="C324" s="22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</row>
    <row r="325" spans="1:216" ht="15.75" hidden="1" customHeight="1" x14ac:dyDescent="0.4">
      <c r="A325" s="20"/>
      <c r="B325" s="21"/>
      <c r="C325" s="22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</row>
    <row r="326" spans="1:216" ht="15.75" hidden="1" customHeight="1" x14ac:dyDescent="0.4">
      <c r="A326" s="20"/>
      <c r="B326" s="21"/>
      <c r="C326" s="22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</row>
    <row r="327" spans="1:216" ht="15.75" hidden="1" customHeight="1" x14ac:dyDescent="0.4">
      <c r="A327" s="20"/>
      <c r="B327" s="21"/>
      <c r="C327" s="22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</row>
    <row r="328" spans="1:216" ht="15.75" hidden="1" customHeight="1" x14ac:dyDescent="0.4">
      <c r="A328" s="20"/>
      <c r="B328" s="21"/>
      <c r="C328" s="22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</row>
    <row r="329" spans="1:216" ht="15.75" hidden="1" customHeight="1" x14ac:dyDescent="0.4">
      <c r="A329" s="20"/>
      <c r="B329" s="21"/>
      <c r="C329" s="22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</row>
    <row r="330" spans="1:216" ht="15.75" hidden="1" customHeight="1" x14ac:dyDescent="0.4">
      <c r="A330" s="20"/>
      <c r="B330" s="21"/>
      <c r="C330" s="22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</row>
    <row r="331" spans="1:216" ht="15.75" hidden="1" customHeight="1" x14ac:dyDescent="0.4">
      <c r="A331" s="20"/>
      <c r="B331" s="21"/>
      <c r="C331" s="22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</row>
    <row r="332" spans="1:216" ht="15.75" hidden="1" customHeight="1" x14ac:dyDescent="0.4">
      <c r="A332" s="20"/>
      <c r="B332" s="21"/>
      <c r="C332" s="22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</row>
    <row r="333" spans="1:216" ht="15.75" hidden="1" customHeight="1" x14ac:dyDescent="0.4">
      <c r="A333" s="20"/>
      <c r="B333" s="21"/>
      <c r="C333" s="22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</row>
    <row r="334" spans="1:216" ht="15.75" hidden="1" customHeight="1" x14ac:dyDescent="0.4">
      <c r="A334" s="20"/>
      <c r="B334" s="21"/>
      <c r="C334" s="22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</row>
    <row r="335" spans="1:216" ht="15.75" hidden="1" customHeight="1" x14ac:dyDescent="0.4">
      <c r="A335" s="20"/>
      <c r="B335" s="21"/>
      <c r="C335" s="22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</row>
    <row r="336" spans="1:216" ht="15.75" hidden="1" customHeight="1" x14ac:dyDescent="0.4">
      <c r="A336" s="20"/>
      <c r="B336" s="21"/>
      <c r="C336" s="22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</row>
    <row r="337" spans="1:216" ht="15.75" hidden="1" customHeight="1" x14ac:dyDescent="0.4">
      <c r="A337" s="20"/>
      <c r="B337" s="21"/>
      <c r="C337" s="22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</row>
    <row r="338" spans="1:216" ht="15.75" hidden="1" customHeight="1" x14ac:dyDescent="0.4">
      <c r="A338" s="20"/>
      <c r="B338" s="21"/>
      <c r="C338" s="22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</row>
    <row r="339" spans="1:216" ht="15.75" hidden="1" customHeight="1" x14ac:dyDescent="0.4">
      <c r="A339" s="20"/>
      <c r="B339" s="21"/>
      <c r="C339" s="22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</row>
    <row r="340" spans="1:216" ht="15.75" hidden="1" customHeight="1" x14ac:dyDescent="0.4">
      <c r="A340" s="20"/>
      <c r="B340" s="21"/>
      <c r="C340" s="22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</row>
    <row r="341" spans="1:216" ht="15.75" hidden="1" customHeight="1" x14ac:dyDescent="0.4">
      <c r="A341" s="20"/>
      <c r="B341" s="21"/>
      <c r="C341" s="22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</row>
    <row r="342" spans="1:216" ht="15.75" hidden="1" customHeight="1" x14ac:dyDescent="0.4">
      <c r="A342" s="20"/>
      <c r="B342" s="21"/>
      <c r="C342" s="22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</row>
    <row r="343" spans="1:216" ht="15.75" hidden="1" customHeight="1" x14ac:dyDescent="0.4">
      <c r="A343" s="20"/>
      <c r="B343" s="21"/>
      <c r="C343" s="22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</row>
    <row r="344" spans="1:216" ht="15.75" hidden="1" customHeight="1" x14ac:dyDescent="0.4">
      <c r="A344" s="20"/>
      <c r="B344" s="21"/>
      <c r="C344" s="22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</row>
    <row r="345" spans="1:216" ht="15.75" hidden="1" customHeight="1" x14ac:dyDescent="0.4">
      <c r="A345" s="20"/>
      <c r="B345" s="21"/>
      <c r="C345" s="22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</row>
    <row r="346" spans="1:216" ht="15.75" hidden="1" customHeight="1" x14ac:dyDescent="0.4">
      <c r="A346" s="20"/>
      <c r="B346" s="21"/>
      <c r="C346" s="22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</row>
    <row r="347" spans="1:216" ht="15.75" hidden="1" customHeight="1" x14ac:dyDescent="0.4">
      <c r="A347" s="20"/>
      <c r="B347" s="21"/>
      <c r="C347" s="22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</row>
    <row r="348" spans="1:216" ht="15.75" hidden="1" customHeight="1" x14ac:dyDescent="0.4">
      <c r="A348" s="20"/>
      <c r="B348" s="21"/>
      <c r="C348" s="22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</row>
    <row r="349" spans="1:216" ht="15.75" hidden="1" customHeight="1" x14ac:dyDescent="0.4">
      <c r="A349" s="20"/>
      <c r="B349" s="21"/>
      <c r="C349" s="22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</row>
    <row r="350" spans="1:216" ht="15.75" hidden="1" customHeight="1" x14ac:dyDescent="0.4">
      <c r="A350" s="20"/>
      <c r="B350" s="21"/>
      <c r="C350" s="22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</row>
    <row r="351" spans="1:216" ht="15.75" hidden="1" customHeight="1" x14ac:dyDescent="0.4">
      <c r="A351" s="20"/>
      <c r="B351" s="21"/>
      <c r="C351" s="22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</row>
    <row r="352" spans="1:216" ht="15.75" hidden="1" customHeight="1" x14ac:dyDescent="0.4">
      <c r="A352" s="20"/>
      <c r="B352" s="21"/>
      <c r="C352" s="22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</row>
    <row r="353" spans="1:216" ht="15.75" hidden="1" customHeight="1" x14ac:dyDescent="0.4">
      <c r="A353" s="20"/>
      <c r="B353" s="21"/>
      <c r="C353" s="22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</row>
    <row r="354" spans="1:216" ht="15.75" hidden="1" customHeight="1" x14ac:dyDescent="0.4">
      <c r="A354" s="20"/>
      <c r="B354" s="21"/>
      <c r="C354" s="22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</row>
    <row r="355" spans="1:216" ht="15.75" hidden="1" customHeight="1" x14ac:dyDescent="0.4">
      <c r="A355" s="20"/>
      <c r="B355" s="21"/>
      <c r="C355" s="22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</row>
    <row r="356" spans="1:216" ht="15.75" hidden="1" customHeight="1" x14ac:dyDescent="0.4">
      <c r="A356" s="20"/>
      <c r="B356" s="21"/>
      <c r="C356" s="22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</row>
    <row r="357" spans="1:216" ht="15.75" hidden="1" customHeight="1" x14ac:dyDescent="0.4">
      <c r="A357" s="20"/>
      <c r="B357" s="21"/>
      <c r="C357" s="22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</row>
    <row r="358" spans="1:216" ht="15.75" hidden="1" customHeight="1" x14ac:dyDescent="0.4">
      <c r="A358" s="20"/>
      <c r="B358" s="21"/>
      <c r="C358" s="22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</row>
    <row r="359" spans="1:216" ht="15.75" hidden="1" customHeight="1" x14ac:dyDescent="0.4">
      <c r="A359" s="20"/>
      <c r="B359" s="21"/>
      <c r="C359" s="22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</row>
    <row r="360" spans="1:216" ht="15.75" hidden="1" customHeight="1" x14ac:dyDescent="0.4">
      <c r="A360" s="20"/>
      <c r="B360" s="21"/>
      <c r="C360" s="22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</row>
    <row r="361" spans="1:216" ht="15.75" hidden="1" customHeight="1" x14ac:dyDescent="0.4">
      <c r="A361" s="20"/>
      <c r="B361" s="21"/>
      <c r="C361" s="22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</row>
    <row r="362" spans="1:216" ht="15.75" hidden="1" customHeight="1" x14ac:dyDescent="0.4">
      <c r="A362" s="20"/>
      <c r="B362" s="21"/>
      <c r="C362" s="22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</row>
    <row r="363" spans="1:216" ht="15.75" hidden="1" customHeight="1" x14ac:dyDescent="0.4">
      <c r="A363" s="20"/>
      <c r="B363" s="21"/>
      <c r="C363" s="22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</row>
    <row r="364" spans="1:216" ht="15.75" hidden="1" customHeight="1" x14ac:dyDescent="0.4">
      <c r="A364" s="20"/>
      <c r="B364" s="21"/>
      <c r="C364" s="22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</row>
    <row r="365" spans="1:216" ht="15.75" hidden="1" customHeight="1" x14ac:dyDescent="0.4">
      <c r="A365" s="20"/>
      <c r="B365" s="21"/>
      <c r="C365" s="22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</row>
    <row r="366" spans="1:216" ht="15.75" hidden="1" customHeight="1" x14ac:dyDescent="0.4">
      <c r="A366" s="20"/>
      <c r="B366" s="21"/>
      <c r="C366" s="22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</row>
    <row r="367" spans="1:216" ht="15.75" hidden="1" customHeight="1" x14ac:dyDescent="0.4">
      <c r="A367" s="20"/>
      <c r="B367" s="21"/>
      <c r="C367" s="22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</row>
    <row r="368" spans="1:216" ht="15.75" hidden="1" customHeight="1" x14ac:dyDescent="0.4">
      <c r="A368" s="20"/>
      <c r="B368" s="21"/>
      <c r="C368" s="22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</row>
    <row r="369" spans="1:216" ht="15.75" hidden="1" customHeight="1" x14ac:dyDescent="0.4">
      <c r="A369" s="20"/>
      <c r="B369" s="21"/>
      <c r="C369" s="22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</row>
    <row r="370" spans="1:216" ht="15.75" hidden="1" customHeight="1" x14ac:dyDescent="0.4">
      <c r="A370" s="20"/>
      <c r="B370" s="21"/>
      <c r="C370" s="22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</row>
    <row r="371" spans="1:216" ht="15.75" hidden="1" customHeight="1" x14ac:dyDescent="0.4">
      <c r="A371" s="20"/>
      <c r="B371" s="21"/>
      <c r="C371" s="22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</row>
    <row r="372" spans="1:216" ht="15.75" hidden="1" customHeight="1" x14ac:dyDescent="0.4">
      <c r="A372" s="20"/>
      <c r="B372" s="21"/>
      <c r="C372" s="22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</row>
    <row r="373" spans="1:216" ht="15.75" hidden="1" customHeight="1" x14ac:dyDescent="0.4">
      <c r="A373" s="20"/>
      <c r="B373" s="21"/>
      <c r="C373" s="22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</row>
    <row r="374" spans="1:216" ht="15.75" hidden="1" customHeight="1" x14ac:dyDescent="0.4">
      <c r="A374" s="20"/>
      <c r="B374" s="21"/>
      <c r="C374" s="22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</row>
    <row r="375" spans="1:216" ht="15.75" hidden="1" customHeight="1" x14ac:dyDescent="0.4">
      <c r="A375" s="20"/>
      <c r="B375" s="21"/>
      <c r="C375" s="22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</row>
    <row r="376" spans="1:216" ht="15.75" hidden="1" customHeight="1" x14ac:dyDescent="0.4">
      <c r="A376" s="20"/>
      <c r="B376" s="21"/>
      <c r="C376" s="22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</row>
    <row r="377" spans="1:216" ht="15.75" hidden="1" customHeight="1" x14ac:dyDescent="0.4">
      <c r="A377" s="20"/>
      <c r="B377" s="21"/>
      <c r="C377" s="22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</row>
    <row r="378" spans="1:216" ht="15.75" hidden="1" customHeight="1" x14ac:dyDescent="0.4">
      <c r="A378" s="20"/>
      <c r="B378" s="21"/>
      <c r="C378" s="22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</row>
    <row r="379" spans="1:216" ht="15.75" hidden="1" customHeight="1" x14ac:dyDescent="0.4">
      <c r="A379" s="20"/>
      <c r="B379" s="21"/>
      <c r="C379" s="22"/>
      <c r="D379" s="20"/>
      <c r="E379" s="20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</row>
    <row r="380" spans="1:216" ht="15.75" hidden="1" customHeight="1" x14ac:dyDescent="0.4">
      <c r="A380" s="20"/>
      <c r="B380" s="21"/>
      <c r="C380" s="22"/>
      <c r="D380" s="20"/>
      <c r="E380" s="20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</row>
    <row r="381" spans="1:216" ht="15.75" hidden="1" customHeight="1" x14ac:dyDescent="0.4">
      <c r="A381" s="20"/>
      <c r="B381" s="21"/>
      <c r="C381" s="22"/>
      <c r="D381" s="20"/>
      <c r="E381" s="20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</row>
    <row r="382" spans="1:216" ht="15.75" hidden="1" customHeight="1" x14ac:dyDescent="0.4">
      <c r="A382" s="20"/>
      <c r="B382" s="21"/>
      <c r="C382" s="22"/>
      <c r="D382" s="20"/>
      <c r="E382" s="20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</row>
    <row r="383" spans="1:216" ht="15.75" hidden="1" customHeight="1" x14ac:dyDescent="0.4">
      <c r="A383" s="20"/>
      <c r="B383" s="21"/>
      <c r="C383" s="22"/>
      <c r="D383" s="20"/>
      <c r="E383" s="20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</row>
    <row r="384" spans="1:216" ht="15.75" hidden="1" customHeight="1" x14ac:dyDescent="0.4">
      <c r="A384" s="20"/>
      <c r="B384" s="21"/>
      <c r="C384" s="22"/>
      <c r="D384" s="20"/>
      <c r="E384" s="20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</row>
    <row r="385" spans="1:216" ht="15.75" hidden="1" customHeight="1" x14ac:dyDescent="0.4">
      <c r="A385" s="20"/>
      <c r="B385" s="21"/>
      <c r="C385" s="22"/>
      <c r="D385" s="20"/>
      <c r="E385" s="20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</row>
    <row r="386" spans="1:216" ht="15.75" hidden="1" customHeight="1" x14ac:dyDescent="0.4"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</row>
    <row r="387" spans="1:216" ht="15.75" hidden="1" customHeight="1" x14ac:dyDescent="0.4"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</row>
    <row r="388" spans="1:216" ht="15.75" hidden="1" customHeight="1" x14ac:dyDescent="0.4"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</row>
    <row r="389" spans="1:216" ht="15.75" hidden="1" customHeight="1" x14ac:dyDescent="0.4"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</row>
    <row r="390" spans="1:216" ht="15.75" hidden="1" customHeight="1" x14ac:dyDescent="0.4"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</row>
    <row r="391" spans="1:216" ht="15.75" hidden="1" customHeight="1" x14ac:dyDescent="0.4"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</row>
    <row r="392" spans="1:216" ht="15.75" hidden="1" customHeight="1" x14ac:dyDescent="0.4"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</row>
    <row r="393" spans="1:216" ht="15.75" hidden="1" customHeight="1" x14ac:dyDescent="0.4"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</row>
    <row r="394" spans="1:216" ht="15.75" hidden="1" customHeight="1" x14ac:dyDescent="0.4"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</row>
    <row r="395" spans="1:216" ht="15.75" hidden="1" customHeight="1" x14ac:dyDescent="0.4"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</row>
    <row r="396" spans="1:216" ht="15.75" hidden="1" customHeight="1" x14ac:dyDescent="0.4"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</row>
    <row r="397" spans="1:216" ht="15.75" hidden="1" customHeight="1" x14ac:dyDescent="0.4"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</row>
    <row r="398" spans="1:216" ht="15.75" hidden="1" customHeight="1" x14ac:dyDescent="0.4"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</row>
    <row r="399" spans="1:216" ht="15.75" hidden="1" customHeight="1" x14ac:dyDescent="0.4"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</row>
    <row r="400" spans="1:216" ht="15.75" hidden="1" customHeight="1" x14ac:dyDescent="0.4"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</row>
    <row r="401" spans="16:216" ht="15.75" hidden="1" customHeight="1" x14ac:dyDescent="0.4"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</row>
    <row r="402" spans="16:216" ht="15.75" hidden="1" customHeight="1" x14ac:dyDescent="0.4"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</row>
    <row r="403" spans="16:216" ht="15.75" hidden="1" customHeight="1" x14ac:dyDescent="0.4"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</row>
    <row r="404" spans="16:216" ht="15.75" hidden="1" customHeight="1" x14ac:dyDescent="0.4"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</row>
    <row r="405" spans="16:216" ht="15.75" hidden="1" customHeight="1" x14ac:dyDescent="0.4"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</row>
    <row r="406" spans="16:216" ht="15.75" hidden="1" customHeight="1" x14ac:dyDescent="0.4"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</row>
    <row r="407" spans="16:216" ht="15.75" hidden="1" customHeight="1" x14ac:dyDescent="0.4"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</row>
    <row r="408" spans="16:216" ht="15.75" hidden="1" customHeight="1" x14ac:dyDescent="0.4"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</row>
    <row r="409" spans="16:216" ht="15.75" hidden="1" customHeight="1" x14ac:dyDescent="0.4"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</row>
    <row r="410" spans="16:216" ht="15.75" hidden="1" customHeight="1" x14ac:dyDescent="0.4"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</row>
    <row r="411" spans="16:216" ht="15.75" hidden="1" customHeight="1" x14ac:dyDescent="0.4"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</row>
    <row r="412" spans="16:216" ht="15.75" hidden="1" customHeight="1" x14ac:dyDescent="0.4"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</row>
    <row r="413" spans="16:216" ht="15.75" hidden="1" customHeight="1" x14ac:dyDescent="0.4"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</row>
    <row r="414" spans="16:216" ht="15.75" hidden="1" customHeight="1" x14ac:dyDescent="0.4"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</row>
    <row r="415" spans="16:216" ht="15.75" hidden="1" customHeight="1" x14ac:dyDescent="0.4"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</row>
    <row r="416" spans="16:216" ht="15.75" hidden="1" customHeight="1" x14ac:dyDescent="0.4"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</row>
    <row r="417" spans="16:216" ht="15.75" hidden="1" customHeight="1" x14ac:dyDescent="0.4"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</row>
    <row r="418" spans="16:216" ht="15.75" hidden="1" customHeight="1" x14ac:dyDescent="0.4"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</row>
    <row r="419" spans="16:216" ht="15.75" hidden="1" customHeight="1" x14ac:dyDescent="0.4"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</row>
    <row r="420" spans="16:216" ht="15.75" hidden="1" customHeight="1" x14ac:dyDescent="0.4"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</row>
    <row r="421" spans="16:216" ht="15.75" hidden="1" customHeight="1" x14ac:dyDescent="0.4"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</row>
    <row r="422" spans="16:216" ht="15.75" hidden="1" customHeight="1" x14ac:dyDescent="0.4"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</row>
    <row r="423" spans="16:216" ht="15.75" hidden="1" customHeight="1" x14ac:dyDescent="0.4"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</row>
    <row r="424" spans="16:216" ht="15.75" hidden="1" customHeight="1" x14ac:dyDescent="0.4"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</row>
    <row r="425" spans="16:216" ht="15.75" hidden="1" customHeight="1" x14ac:dyDescent="0.4"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</row>
    <row r="426" spans="16:216" ht="15.75" hidden="1" customHeight="1" x14ac:dyDescent="0.4"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</row>
    <row r="427" spans="16:216" ht="15.75" hidden="1" customHeight="1" x14ac:dyDescent="0.4"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</row>
    <row r="428" spans="16:216" ht="15.75" hidden="1" customHeight="1" x14ac:dyDescent="0.4"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</row>
    <row r="429" spans="16:216" ht="15.75" hidden="1" customHeight="1" x14ac:dyDescent="0.4"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</row>
    <row r="430" spans="16:216" ht="15.75" hidden="1" customHeight="1" x14ac:dyDescent="0.4"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</row>
    <row r="431" spans="16:216" ht="15.75" hidden="1" customHeight="1" x14ac:dyDescent="0.4"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</row>
    <row r="432" spans="16:216" ht="15.75" hidden="1" customHeight="1" x14ac:dyDescent="0.4"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</row>
    <row r="433" spans="16:216" ht="15.75" hidden="1" customHeight="1" x14ac:dyDescent="0.4"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</row>
    <row r="434" spans="16:216" ht="15.75" hidden="1" customHeight="1" x14ac:dyDescent="0.4"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</row>
    <row r="435" spans="16:216" ht="15.75" hidden="1" customHeight="1" x14ac:dyDescent="0.4"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</row>
    <row r="436" spans="16:216" ht="15.75" hidden="1" customHeight="1" x14ac:dyDescent="0.4"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</row>
    <row r="437" spans="16:216" ht="15.75" hidden="1" customHeight="1" x14ac:dyDescent="0.4"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</row>
    <row r="438" spans="16:216" ht="15.75" hidden="1" customHeight="1" x14ac:dyDescent="0.4"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</row>
    <row r="439" spans="16:216" ht="15.75" hidden="1" customHeight="1" x14ac:dyDescent="0.4"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</row>
    <row r="440" spans="16:216" ht="15.75" hidden="1" customHeight="1" x14ac:dyDescent="0.4"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</row>
    <row r="441" spans="16:216" ht="15.75" hidden="1" customHeight="1" x14ac:dyDescent="0.4"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</row>
    <row r="442" spans="16:216" ht="15.75" hidden="1" customHeight="1" x14ac:dyDescent="0.4"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</row>
    <row r="443" spans="16:216" ht="15.75" hidden="1" customHeight="1" x14ac:dyDescent="0.4"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</row>
    <row r="444" spans="16:216" ht="15.75" hidden="1" customHeight="1" x14ac:dyDescent="0.4"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</row>
    <row r="445" spans="16:216" ht="15.75" hidden="1" customHeight="1" x14ac:dyDescent="0.4"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</row>
    <row r="446" spans="16:216" ht="15.75" hidden="1" customHeight="1" x14ac:dyDescent="0.4"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</row>
    <row r="447" spans="16:216" ht="15.75" hidden="1" customHeight="1" x14ac:dyDescent="0.4"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</row>
    <row r="448" spans="16:216" ht="15.75" hidden="1" customHeight="1" x14ac:dyDescent="0.4"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</row>
    <row r="449" spans="16:216" ht="15.75" hidden="1" customHeight="1" x14ac:dyDescent="0.4"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</row>
    <row r="450" spans="16:216" ht="15.75" hidden="1" customHeight="1" x14ac:dyDescent="0.4"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</row>
    <row r="451" spans="16:216" ht="15.75" hidden="1" customHeight="1" x14ac:dyDescent="0.4"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</row>
    <row r="452" spans="16:216" ht="15.75" hidden="1" customHeight="1" x14ac:dyDescent="0.4"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</row>
    <row r="453" spans="16:216" ht="15.75" hidden="1" customHeight="1" x14ac:dyDescent="0.4"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</row>
    <row r="454" spans="16:216" ht="15.75" hidden="1" customHeight="1" x14ac:dyDescent="0.4"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</row>
    <row r="455" spans="16:216" ht="15.75" hidden="1" customHeight="1" x14ac:dyDescent="0.4"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</row>
    <row r="456" spans="16:216" ht="15.75" hidden="1" customHeight="1" x14ac:dyDescent="0.4"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</row>
    <row r="457" spans="16:216" ht="15.75" hidden="1" customHeight="1" x14ac:dyDescent="0.4"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</row>
    <row r="458" spans="16:216" ht="15.75" hidden="1" customHeight="1" x14ac:dyDescent="0.4"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</row>
    <row r="459" spans="16:216" ht="15.75" hidden="1" customHeight="1" x14ac:dyDescent="0.4"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</row>
    <row r="460" spans="16:216" ht="15.75" hidden="1" customHeight="1" x14ac:dyDescent="0.4"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</row>
    <row r="461" spans="16:216" ht="15.75" hidden="1" customHeight="1" x14ac:dyDescent="0.4"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</row>
    <row r="462" spans="16:216" ht="15.75" hidden="1" customHeight="1" x14ac:dyDescent="0.4"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</row>
    <row r="463" spans="16:216" ht="15.75" hidden="1" customHeight="1" x14ac:dyDescent="0.4"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</row>
    <row r="464" spans="16:216" ht="15.75" hidden="1" customHeight="1" x14ac:dyDescent="0.4"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</row>
    <row r="465" spans="16:216" ht="15.75" hidden="1" customHeight="1" x14ac:dyDescent="0.4"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</row>
    <row r="466" spans="16:216" ht="15.75" hidden="1" customHeight="1" x14ac:dyDescent="0.4"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</row>
    <row r="467" spans="16:216" ht="15.75" hidden="1" customHeight="1" x14ac:dyDescent="0.4"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</row>
    <row r="468" spans="16:216" ht="15.75" hidden="1" customHeight="1" x14ac:dyDescent="0.4"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</row>
    <row r="469" spans="16:216" ht="15.75" hidden="1" customHeight="1" x14ac:dyDescent="0.4"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</row>
    <row r="470" spans="16:216" ht="15.75" hidden="1" customHeight="1" x14ac:dyDescent="0.4"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</row>
    <row r="471" spans="16:216" ht="15.75" hidden="1" customHeight="1" x14ac:dyDescent="0.4"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</row>
    <row r="472" spans="16:216" ht="15.75" hidden="1" customHeight="1" x14ac:dyDescent="0.4"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</row>
    <row r="473" spans="16:216" ht="15.75" hidden="1" customHeight="1" x14ac:dyDescent="0.4"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</row>
    <row r="474" spans="16:216" ht="15.75" hidden="1" customHeight="1" x14ac:dyDescent="0.4"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</row>
    <row r="475" spans="16:216" ht="15.75" hidden="1" customHeight="1" x14ac:dyDescent="0.4"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</row>
    <row r="476" spans="16:216" ht="15.75" hidden="1" customHeight="1" x14ac:dyDescent="0.4"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</row>
    <row r="477" spans="16:216" ht="15.75" hidden="1" customHeight="1" x14ac:dyDescent="0.4"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</row>
    <row r="478" spans="16:216" ht="15.75" hidden="1" customHeight="1" x14ac:dyDescent="0.4"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</row>
    <row r="479" spans="16:216" ht="15.75" hidden="1" customHeight="1" x14ac:dyDescent="0.4"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</row>
    <row r="480" spans="16:216" ht="15.75" hidden="1" customHeight="1" x14ac:dyDescent="0.4"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</row>
    <row r="481" spans="16:216" ht="15.75" hidden="1" customHeight="1" x14ac:dyDescent="0.4"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</row>
    <row r="482" spans="16:216" ht="15.75" hidden="1" customHeight="1" x14ac:dyDescent="0.4"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</row>
    <row r="483" spans="16:216" ht="15.75" hidden="1" customHeight="1" x14ac:dyDescent="0.4"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</row>
    <row r="484" spans="16:216" ht="15.75" hidden="1" customHeight="1" x14ac:dyDescent="0.4"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</row>
    <row r="485" spans="16:216" ht="15.75" hidden="1" customHeight="1" x14ac:dyDescent="0.4"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</row>
    <row r="486" spans="16:216" ht="15.75" hidden="1" customHeight="1" x14ac:dyDescent="0.4"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</row>
    <row r="487" spans="16:216" ht="15.75" hidden="1" customHeight="1" x14ac:dyDescent="0.4"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</row>
    <row r="488" spans="16:216" ht="15.75" hidden="1" customHeight="1" x14ac:dyDescent="0.4"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</row>
    <row r="489" spans="16:216" ht="15.75" hidden="1" customHeight="1" x14ac:dyDescent="0.4"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</row>
    <row r="490" spans="16:216" ht="15.75" hidden="1" customHeight="1" x14ac:dyDescent="0.4"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</row>
    <row r="491" spans="16:216" ht="15.75" hidden="1" customHeight="1" x14ac:dyDescent="0.4"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</row>
    <row r="492" spans="16:216" ht="15.75" hidden="1" customHeight="1" x14ac:dyDescent="0.4"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</row>
    <row r="493" spans="16:216" ht="15.75" hidden="1" customHeight="1" x14ac:dyDescent="0.4"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</row>
    <row r="494" spans="16:216" ht="15.75" hidden="1" customHeight="1" x14ac:dyDescent="0.4"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</row>
    <row r="495" spans="16:216" ht="15.75" hidden="1" customHeight="1" x14ac:dyDescent="0.4"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</row>
    <row r="496" spans="16:216" ht="15.75" hidden="1" customHeight="1" x14ac:dyDescent="0.4"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</row>
    <row r="497" spans="16:216" ht="15.75" hidden="1" customHeight="1" x14ac:dyDescent="0.4"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</row>
    <row r="498" spans="16:216" ht="15.75" hidden="1" customHeight="1" x14ac:dyDescent="0.4"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</row>
    <row r="499" spans="16:216" ht="15.75" hidden="1" customHeight="1" x14ac:dyDescent="0.4"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</row>
    <row r="500" spans="16:216" ht="15.75" hidden="1" customHeight="1" x14ac:dyDescent="0.4"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</row>
    <row r="501" spans="16:216" ht="15.75" hidden="1" customHeight="1" x14ac:dyDescent="0.4"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</row>
    <row r="502" spans="16:216" ht="15.75" hidden="1" customHeight="1" x14ac:dyDescent="0.4"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</row>
    <row r="503" spans="16:216" ht="15.75" hidden="1" customHeight="1" x14ac:dyDescent="0.4"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</row>
    <row r="504" spans="16:216" ht="15.75" hidden="1" customHeight="1" x14ac:dyDescent="0.4"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</row>
    <row r="505" spans="16:216" ht="15.75" hidden="1" customHeight="1" x14ac:dyDescent="0.4"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</row>
    <row r="506" spans="16:216" ht="15.75" hidden="1" customHeight="1" x14ac:dyDescent="0.4"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</row>
    <row r="507" spans="16:216" ht="15.75" hidden="1" customHeight="1" x14ac:dyDescent="0.4"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</row>
    <row r="508" spans="16:216" ht="15.75" hidden="1" customHeight="1" x14ac:dyDescent="0.4"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</row>
    <row r="509" spans="16:216" ht="15.75" hidden="1" customHeight="1" x14ac:dyDescent="0.4"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</row>
    <row r="510" spans="16:216" ht="15.75" hidden="1" customHeight="1" x14ac:dyDescent="0.4"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</row>
    <row r="511" spans="16:216" ht="15.75" hidden="1" customHeight="1" x14ac:dyDescent="0.4"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</row>
    <row r="512" spans="16:216" ht="15.75" hidden="1" customHeight="1" x14ac:dyDescent="0.4"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</row>
    <row r="513" spans="16:216" ht="15.75" hidden="1" customHeight="1" x14ac:dyDescent="0.4"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</row>
    <row r="514" spans="16:216" ht="15.75" hidden="1" customHeight="1" x14ac:dyDescent="0.4"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</row>
    <row r="515" spans="16:216" ht="15.75" hidden="1" customHeight="1" x14ac:dyDescent="0.4"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</row>
    <row r="516" spans="16:216" ht="15.75" hidden="1" customHeight="1" x14ac:dyDescent="0.4"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</row>
    <row r="517" spans="16:216" ht="15.75" hidden="1" customHeight="1" x14ac:dyDescent="0.4"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</row>
    <row r="518" spans="16:216" ht="15.75" hidden="1" customHeight="1" x14ac:dyDescent="0.4"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</row>
    <row r="519" spans="16:216" ht="15.75" hidden="1" customHeight="1" x14ac:dyDescent="0.4"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</row>
    <row r="520" spans="16:216" ht="15.75" hidden="1" customHeight="1" x14ac:dyDescent="0.4"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</row>
    <row r="521" spans="16:216" ht="15.75" hidden="1" customHeight="1" x14ac:dyDescent="0.4"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</row>
    <row r="522" spans="16:216" ht="15.75" hidden="1" customHeight="1" x14ac:dyDescent="0.4"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</row>
    <row r="523" spans="16:216" ht="15.75" hidden="1" customHeight="1" x14ac:dyDescent="0.4"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</row>
    <row r="524" spans="16:216" ht="15.75" hidden="1" customHeight="1" x14ac:dyDescent="0.4"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</row>
    <row r="525" spans="16:216" ht="15.75" hidden="1" customHeight="1" x14ac:dyDescent="0.4"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</row>
    <row r="526" spans="16:216" ht="15.75" hidden="1" customHeight="1" x14ac:dyDescent="0.4"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</row>
    <row r="527" spans="16:216" ht="15.75" hidden="1" customHeight="1" x14ac:dyDescent="0.4"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</row>
    <row r="528" spans="16:216" ht="15.75" hidden="1" customHeight="1" x14ac:dyDescent="0.4"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</row>
    <row r="529" spans="16:216" ht="15.75" hidden="1" customHeight="1" x14ac:dyDescent="0.4"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</row>
    <row r="530" spans="16:216" ht="15.75" hidden="1" customHeight="1" x14ac:dyDescent="0.4"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</row>
    <row r="531" spans="16:216" ht="15.75" hidden="1" customHeight="1" x14ac:dyDescent="0.4"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</row>
    <row r="532" spans="16:216" ht="15.75" hidden="1" customHeight="1" x14ac:dyDescent="0.4"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</row>
    <row r="533" spans="16:216" ht="15.75" hidden="1" customHeight="1" x14ac:dyDescent="0.4"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</row>
    <row r="534" spans="16:216" ht="15.75" hidden="1" customHeight="1" x14ac:dyDescent="0.4"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</row>
    <row r="535" spans="16:216" ht="15.75" hidden="1" customHeight="1" x14ac:dyDescent="0.4"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</row>
    <row r="536" spans="16:216" ht="15.75" hidden="1" customHeight="1" x14ac:dyDescent="0.4"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</row>
    <row r="537" spans="16:216" ht="15.75" hidden="1" customHeight="1" x14ac:dyDescent="0.4"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</row>
    <row r="538" spans="16:216" ht="15.75" hidden="1" customHeight="1" x14ac:dyDescent="0.4"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</row>
    <row r="539" spans="16:216" ht="15.75" hidden="1" customHeight="1" x14ac:dyDescent="0.4"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</row>
    <row r="540" spans="16:216" ht="15.75" hidden="1" customHeight="1" x14ac:dyDescent="0.4"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</row>
    <row r="541" spans="16:216" ht="15.75" hidden="1" customHeight="1" x14ac:dyDescent="0.4"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</row>
    <row r="542" spans="16:216" ht="15.75" hidden="1" customHeight="1" x14ac:dyDescent="0.4"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</row>
    <row r="543" spans="16:216" ht="15.75" hidden="1" customHeight="1" x14ac:dyDescent="0.4"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</row>
    <row r="544" spans="16:216" ht="15.75" hidden="1" customHeight="1" x14ac:dyDescent="0.4"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</row>
    <row r="545" spans="16:216" ht="15.75" hidden="1" customHeight="1" x14ac:dyDescent="0.4"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</row>
    <row r="546" spans="16:216" ht="15.75" hidden="1" customHeight="1" x14ac:dyDescent="0.4"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</row>
    <row r="547" spans="16:216" ht="15.75" hidden="1" customHeight="1" x14ac:dyDescent="0.4"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</row>
    <row r="548" spans="16:216" ht="15.75" hidden="1" customHeight="1" x14ac:dyDescent="0.4"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</row>
    <row r="549" spans="16:216" ht="15.75" hidden="1" customHeight="1" x14ac:dyDescent="0.4"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</row>
    <row r="550" spans="16:216" ht="15.75" hidden="1" customHeight="1" x14ac:dyDescent="0.4"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</row>
    <row r="551" spans="16:216" ht="15.75" hidden="1" customHeight="1" x14ac:dyDescent="0.4"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</row>
    <row r="552" spans="16:216" ht="15.75" hidden="1" customHeight="1" x14ac:dyDescent="0.4"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</row>
    <row r="553" spans="16:216" ht="15.75" hidden="1" customHeight="1" x14ac:dyDescent="0.4"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</row>
    <row r="554" spans="16:216" ht="15.75" hidden="1" customHeight="1" x14ac:dyDescent="0.4"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</row>
    <row r="555" spans="16:216" ht="15.75" hidden="1" customHeight="1" x14ac:dyDescent="0.4"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</row>
    <row r="556" spans="16:216" ht="15.75" hidden="1" customHeight="1" x14ac:dyDescent="0.4"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</row>
    <row r="557" spans="16:216" ht="15.75" hidden="1" customHeight="1" x14ac:dyDescent="0.4"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</row>
    <row r="558" spans="16:216" ht="15.75" hidden="1" customHeight="1" x14ac:dyDescent="0.4"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</row>
    <row r="559" spans="16:216" ht="15.75" hidden="1" customHeight="1" x14ac:dyDescent="0.4"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</row>
    <row r="560" spans="16:216" ht="15.75" hidden="1" customHeight="1" x14ac:dyDescent="0.4"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</row>
    <row r="561" spans="16:216" ht="15.75" hidden="1" customHeight="1" x14ac:dyDescent="0.4"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</row>
    <row r="562" spans="16:216" ht="15.75" hidden="1" customHeight="1" x14ac:dyDescent="0.4"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</row>
    <row r="563" spans="16:216" ht="15.75" hidden="1" customHeight="1" x14ac:dyDescent="0.4"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</row>
    <row r="564" spans="16:216" ht="15.75" hidden="1" customHeight="1" x14ac:dyDescent="0.4"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</row>
    <row r="565" spans="16:216" ht="15.75" hidden="1" customHeight="1" x14ac:dyDescent="0.4"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</row>
    <row r="566" spans="16:216" ht="15.75" hidden="1" customHeight="1" x14ac:dyDescent="0.4"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</row>
    <row r="567" spans="16:216" ht="15.75" hidden="1" customHeight="1" x14ac:dyDescent="0.4"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</row>
    <row r="568" spans="16:216" ht="15.75" hidden="1" customHeight="1" x14ac:dyDescent="0.4"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</row>
    <row r="569" spans="16:216" ht="15.75" hidden="1" customHeight="1" x14ac:dyDescent="0.4"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</row>
    <row r="570" spans="16:216" ht="15.75" hidden="1" customHeight="1" x14ac:dyDescent="0.4"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</row>
    <row r="571" spans="16:216" ht="15.75" hidden="1" customHeight="1" x14ac:dyDescent="0.4"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</row>
    <row r="572" spans="16:216" ht="15.75" hidden="1" customHeight="1" x14ac:dyDescent="0.4"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</row>
    <row r="573" spans="16:216" ht="15.75" hidden="1" customHeight="1" x14ac:dyDescent="0.4"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</row>
    <row r="574" spans="16:216" ht="15.75" hidden="1" customHeight="1" x14ac:dyDescent="0.4"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</row>
    <row r="575" spans="16:216" ht="15.75" hidden="1" customHeight="1" x14ac:dyDescent="0.4"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</row>
    <row r="576" spans="16:216" ht="15.75" hidden="1" customHeight="1" x14ac:dyDescent="0.4"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</row>
    <row r="577" spans="16:216" ht="15.75" hidden="1" customHeight="1" x14ac:dyDescent="0.4"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</row>
    <row r="578" spans="16:216" ht="15.75" hidden="1" customHeight="1" x14ac:dyDescent="0.4"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</row>
    <row r="579" spans="16:216" ht="15.75" hidden="1" customHeight="1" x14ac:dyDescent="0.4"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</row>
    <row r="580" spans="16:216" ht="15.75" hidden="1" customHeight="1" x14ac:dyDescent="0.4"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</row>
    <row r="581" spans="16:216" ht="15.75" hidden="1" customHeight="1" x14ac:dyDescent="0.4"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</row>
    <row r="582" spans="16:216" ht="15.75" hidden="1" customHeight="1" x14ac:dyDescent="0.4"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</row>
    <row r="583" spans="16:216" ht="15.75" hidden="1" customHeight="1" x14ac:dyDescent="0.4"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</row>
    <row r="584" spans="16:216" ht="15.75" hidden="1" customHeight="1" x14ac:dyDescent="0.4"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</row>
    <row r="585" spans="16:216" ht="15.75" hidden="1" customHeight="1" x14ac:dyDescent="0.4"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</row>
    <row r="586" spans="16:216" ht="15.75" hidden="1" customHeight="1" x14ac:dyDescent="0.4"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</row>
    <row r="587" spans="16:216" ht="15.75" hidden="1" customHeight="1" x14ac:dyDescent="0.4"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</row>
    <row r="588" spans="16:216" ht="15.75" hidden="1" customHeight="1" x14ac:dyDescent="0.4"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</row>
    <row r="589" spans="16:216" ht="15.75" hidden="1" customHeight="1" x14ac:dyDescent="0.4"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</row>
    <row r="590" spans="16:216" ht="15.75" hidden="1" customHeight="1" x14ac:dyDescent="0.4"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</row>
    <row r="591" spans="16:216" ht="15.75" hidden="1" customHeight="1" x14ac:dyDescent="0.4"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</row>
    <row r="592" spans="16:216" ht="15.75" hidden="1" customHeight="1" x14ac:dyDescent="0.4"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</row>
    <row r="593" spans="16:216" ht="15.75" hidden="1" customHeight="1" x14ac:dyDescent="0.4"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</row>
    <row r="594" spans="16:216" ht="15.75" hidden="1" customHeight="1" x14ac:dyDescent="0.4"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</row>
    <row r="595" spans="16:216" ht="15.75" hidden="1" customHeight="1" x14ac:dyDescent="0.4"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</row>
    <row r="596" spans="16:216" ht="15.75" hidden="1" customHeight="1" x14ac:dyDescent="0.4"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</row>
    <row r="597" spans="16:216" ht="15.75" hidden="1" customHeight="1" x14ac:dyDescent="0.4"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</row>
    <row r="598" spans="16:216" ht="15.75" hidden="1" customHeight="1" x14ac:dyDescent="0.4"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</row>
    <row r="599" spans="16:216" ht="15.75" hidden="1" customHeight="1" x14ac:dyDescent="0.4"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</row>
    <row r="600" spans="16:216" ht="15.75" hidden="1" customHeight="1" x14ac:dyDescent="0.4"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</row>
    <row r="601" spans="16:216" ht="15.75" hidden="1" customHeight="1" x14ac:dyDescent="0.4"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</row>
    <row r="602" spans="16:216" ht="15.75" hidden="1" customHeight="1" x14ac:dyDescent="0.4"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</row>
    <row r="603" spans="16:216" ht="15.75" hidden="1" customHeight="1" x14ac:dyDescent="0.4"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</row>
    <row r="604" spans="16:216" ht="15.75" hidden="1" customHeight="1" x14ac:dyDescent="0.4"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</row>
    <row r="605" spans="16:216" ht="15.75" hidden="1" customHeight="1" x14ac:dyDescent="0.4"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</row>
    <row r="606" spans="16:216" ht="15.75" hidden="1" customHeight="1" x14ac:dyDescent="0.4"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</row>
    <row r="607" spans="16:216" ht="15.75" hidden="1" customHeight="1" x14ac:dyDescent="0.4"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</row>
    <row r="608" spans="16:216" ht="15.75" hidden="1" customHeight="1" x14ac:dyDescent="0.4"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</row>
    <row r="609" spans="16:216" ht="15.75" hidden="1" customHeight="1" x14ac:dyDescent="0.4"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</row>
    <row r="610" spans="16:216" ht="15.75" hidden="1" customHeight="1" x14ac:dyDescent="0.4"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</row>
    <row r="611" spans="16:216" ht="15.75" hidden="1" customHeight="1" x14ac:dyDescent="0.4"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</row>
    <row r="612" spans="16:216" ht="15.75" hidden="1" customHeight="1" x14ac:dyDescent="0.4"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</row>
    <row r="613" spans="16:216" ht="15.75" hidden="1" customHeight="1" x14ac:dyDescent="0.4"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</row>
    <row r="614" spans="16:216" ht="15.75" hidden="1" customHeight="1" x14ac:dyDescent="0.4"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</row>
    <row r="615" spans="16:216" ht="15.75" hidden="1" customHeight="1" x14ac:dyDescent="0.4"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</row>
    <row r="616" spans="16:216" ht="15.75" hidden="1" customHeight="1" x14ac:dyDescent="0.4"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</row>
    <row r="617" spans="16:216" ht="15.75" hidden="1" customHeight="1" x14ac:dyDescent="0.4"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</row>
    <row r="618" spans="16:216" ht="15.75" hidden="1" customHeight="1" x14ac:dyDescent="0.4"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</row>
    <row r="619" spans="16:216" ht="15.75" hidden="1" customHeight="1" x14ac:dyDescent="0.4"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</row>
    <row r="620" spans="16:216" ht="15.75" hidden="1" customHeight="1" x14ac:dyDescent="0.4"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</row>
    <row r="621" spans="16:216" ht="15.75" hidden="1" customHeight="1" x14ac:dyDescent="0.4"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</row>
    <row r="622" spans="16:216" ht="15.75" hidden="1" customHeight="1" x14ac:dyDescent="0.4"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</row>
    <row r="623" spans="16:216" ht="15.75" hidden="1" customHeight="1" x14ac:dyDescent="0.4"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</row>
    <row r="624" spans="16:216" ht="15.75" hidden="1" customHeight="1" x14ac:dyDescent="0.4"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</row>
    <row r="625" spans="16:216" ht="15.75" hidden="1" customHeight="1" x14ac:dyDescent="0.4"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</row>
    <row r="626" spans="16:216" ht="15.75" hidden="1" customHeight="1" x14ac:dyDescent="0.4"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</row>
    <row r="627" spans="16:216" ht="15.75" hidden="1" customHeight="1" x14ac:dyDescent="0.4"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</row>
    <row r="628" spans="16:216" ht="15.75" hidden="1" customHeight="1" x14ac:dyDescent="0.4"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</row>
    <row r="629" spans="16:216" ht="15.75" hidden="1" customHeight="1" x14ac:dyDescent="0.4"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</row>
    <row r="630" spans="16:216" ht="15.75" hidden="1" customHeight="1" x14ac:dyDescent="0.4"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</row>
    <row r="631" spans="16:216" ht="15.75" hidden="1" customHeight="1" x14ac:dyDescent="0.4"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</row>
    <row r="632" spans="16:216" ht="15.75" hidden="1" customHeight="1" x14ac:dyDescent="0.4"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</row>
    <row r="633" spans="16:216" ht="15.75" hidden="1" customHeight="1" x14ac:dyDescent="0.4"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</row>
    <row r="634" spans="16:216" ht="15.75" hidden="1" customHeight="1" x14ac:dyDescent="0.4"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</row>
    <row r="635" spans="16:216" ht="15.75" hidden="1" customHeight="1" x14ac:dyDescent="0.4"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</row>
    <row r="636" spans="16:216" ht="15.75" hidden="1" customHeight="1" x14ac:dyDescent="0.4"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</row>
    <row r="637" spans="16:216" ht="15.75" hidden="1" customHeight="1" x14ac:dyDescent="0.4"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</row>
    <row r="638" spans="16:216" ht="15.75" hidden="1" customHeight="1" x14ac:dyDescent="0.4"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</row>
    <row r="639" spans="16:216" ht="15.75" hidden="1" customHeight="1" x14ac:dyDescent="0.4"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</row>
    <row r="640" spans="16:216" ht="15.75" hidden="1" customHeight="1" x14ac:dyDescent="0.4"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</row>
    <row r="641" spans="16:216" ht="15.75" hidden="1" customHeight="1" x14ac:dyDescent="0.4"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</row>
    <row r="642" spans="16:216" ht="15.75" hidden="1" customHeight="1" x14ac:dyDescent="0.4"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</row>
    <row r="643" spans="16:216" ht="15.75" hidden="1" customHeight="1" x14ac:dyDescent="0.4"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</row>
    <row r="644" spans="16:216" ht="15.75" hidden="1" customHeight="1" x14ac:dyDescent="0.4"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</row>
    <row r="645" spans="16:216" ht="15.75" hidden="1" customHeight="1" x14ac:dyDescent="0.4"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</row>
    <row r="646" spans="16:216" ht="15.75" hidden="1" customHeight="1" x14ac:dyDescent="0.4"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</row>
    <row r="647" spans="16:216" ht="15.75" hidden="1" customHeight="1" x14ac:dyDescent="0.4"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</row>
    <row r="648" spans="16:216" ht="15.75" hidden="1" customHeight="1" x14ac:dyDescent="0.4"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</row>
    <row r="649" spans="16:216" ht="15.75" hidden="1" customHeight="1" x14ac:dyDescent="0.4"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</row>
    <row r="650" spans="16:216" ht="15.75" hidden="1" customHeight="1" x14ac:dyDescent="0.4"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</row>
    <row r="651" spans="16:216" ht="15.75" hidden="1" customHeight="1" x14ac:dyDescent="0.4"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</row>
    <row r="652" spans="16:216" ht="15.75" hidden="1" customHeight="1" x14ac:dyDescent="0.4"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</row>
    <row r="653" spans="16:216" ht="15.75" hidden="1" customHeight="1" x14ac:dyDescent="0.4"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</row>
    <row r="654" spans="16:216" ht="15.75" hidden="1" customHeight="1" x14ac:dyDescent="0.4"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</row>
    <row r="655" spans="16:216" ht="15.75" hidden="1" customHeight="1" x14ac:dyDescent="0.4"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</row>
    <row r="656" spans="16:216" ht="15.75" hidden="1" customHeight="1" x14ac:dyDescent="0.4"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</row>
    <row r="657" spans="16:216" ht="15.75" hidden="1" customHeight="1" x14ac:dyDescent="0.4"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</row>
    <row r="658" spans="16:216" ht="15.75" hidden="1" customHeight="1" x14ac:dyDescent="0.4"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</row>
    <row r="659" spans="16:216" ht="15.75" hidden="1" customHeight="1" x14ac:dyDescent="0.4"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</row>
    <row r="660" spans="16:216" ht="15.75" hidden="1" customHeight="1" x14ac:dyDescent="0.4"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</row>
    <row r="661" spans="16:216" ht="15.75" hidden="1" customHeight="1" x14ac:dyDescent="0.4"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</row>
    <row r="662" spans="16:216" ht="15.75" hidden="1" customHeight="1" x14ac:dyDescent="0.4"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</row>
    <row r="663" spans="16:216" ht="15.75" hidden="1" customHeight="1" x14ac:dyDescent="0.4"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</row>
    <row r="664" spans="16:216" ht="15.75" hidden="1" customHeight="1" x14ac:dyDescent="0.4"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</row>
    <row r="665" spans="16:216" ht="15.75" hidden="1" customHeight="1" x14ac:dyDescent="0.4"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</row>
    <row r="666" spans="16:216" ht="15.75" hidden="1" customHeight="1" x14ac:dyDescent="0.4"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</row>
    <row r="667" spans="16:216" ht="15.75" hidden="1" customHeight="1" x14ac:dyDescent="0.4"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</row>
    <row r="668" spans="16:216" ht="15.75" hidden="1" customHeight="1" x14ac:dyDescent="0.4"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</row>
    <row r="669" spans="16:216" ht="15.75" hidden="1" customHeight="1" x14ac:dyDescent="0.4"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</row>
    <row r="670" spans="16:216" ht="15.75" hidden="1" customHeight="1" x14ac:dyDescent="0.4"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</row>
    <row r="671" spans="16:216" ht="15.75" hidden="1" customHeight="1" x14ac:dyDescent="0.4"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</row>
    <row r="672" spans="16:216" ht="15.75" hidden="1" customHeight="1" x14ac:dyDescent="0.4"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</row>
    <row r="673" spans="16:216" ht="15.75" hidden="1" customHeight="1" x14ac:dyDescent="0.4"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</row>
    <row r="674" spans="16:216" ht="15.75" hidden="1" customHeight="1" x14ac:dyDescent="0.4"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</row>
    <row r="675" spans="16:216" ht="15.75" hidden="1" customHeight="1" x14ac:dyDescent="0.4"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</row>
    <row r="676" spans="16:216" ht="15.75" hidden="1" customHeight="1" x14ac:dyDescent="0.4"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</row>
    <row r="677" spans="16:216" ht="15.75" hidden="1" customHeight="1" x14ac:dyDescent="0.4"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</row>
    <row r="678" spans="16:216" ht="15.75" hidden="1" customHeight="1" x14ac:dyDescent="0.4"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</row>
    <row r="679" spans="16:216" ht="15.75" hidden="1" customHeight="1" x14ac:dyDescent="0.4"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</row>
    <row r="680" spans="16:216" ht="15.75" hidden="1" customHeight="1" x14ac:dyDescent="0.4"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</row>
    <row r="681" spans="16:216" ht="15.75" hidden="1" customHeight="1" x14ac:dyDescent="0.4"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</row>
    <row r="682" spans="16:216" ht="15.75" hidden="1" customHeight="1" x14ac:dyDescent="0.4"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</row>
    <row r="683" spans="16:216" ht="15.75" hidden="1" customHeight="1" x14ac:dyDescent="0.4"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</row>
    <row r="684" spans="16:216" ht="15.75" hidden="1" customHeight="1" x14ac:dyDescent="0.4"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</row>
    <row r="685" spans="16:216" ht="15.75" hidden="1" customHeight="1" x14ac:dyDescent="0.4"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</row>
    <row r="686" spans="16:216" ht="15.75" hidden="1" customHeight="1" x14ac:dyDescent="0.4"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</row>
    <row r="687" spans="16:216" ht="15.75" hidden="1" customHeight="1" x14ac:dyDescent="0.4"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</row>
    <row r="688" spans="16:216" ht="15.75" hidden="1" customHeight="1" x14ac:dyDescent="0.4"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</row>
    <row r="689" spans="16:216" ht="15.75" hidden="1" customHeight="1" x14ac:dyDescent="0.4"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</row>
    <row r="690" spans="16:216" ht="15.75" hidden="1" customHeight="1" x14ac:dyDescent="0.4"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</row>
    <row r="691" spans="16:216" ht="15.75" hidden="1" customHeight="1" x14ac:dyDescent="0.4"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</row>
    <row r="692" spans="16:216" ht="15.75" hidden="1" customHeight="1" x14ac:dyDescent="0.4"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</row>
    <row r="693" spans="16:216" ht="15.75" hidden="1" customHeight="1" x14ac:dyDescent="0.4"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</row>
    <row r="694" spans="16:216" ht="15.75" hidden="1" customHeight="1" x14ac:dyDescent="0.4"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</row>
    <row r="695" spans="16:216" ht="15.75" hidden="1" customHeight="1" x14ac:dyDescent="0.4"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</row>
    <row r="696" spans="16:216" ht="15.75" hidden="1" customHeight="1" x14ac:dyDescent="0.4"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</row>
    <row r="697" spans="16:216" ht="15.75" hidden="1" customHeight="1" x14ac:dyDescent="0.4"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</row>
    <row r="698" spans="16:216" ht="15.75" hidden="1" customHeight="1" x14ac:dyDescent="0.4"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</row>
    <row r="699" spans="16:216" ht="15.75" hidden="1" customHeight="1" x14ac:dyDescent="0.4"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</row>
    <row r="700" spans="16:216" ht="15.75" hidden="1" customHeight="1" x14ac:dyDescent="0.4"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</row>
    <row r="701" spans="16:216" ht="15.75" hidden="1" customHeight="1" x14ac:dyDescent="0.4"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</row>
    <row r="702" spans="16:216" ht="15.75" hidden="1" customHeight="1" x14ac:dyDescent="0.4"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</row>
    <row r="703" spans="16:216" ht="15.75" hidden="1" customHeight="1" x14ac:dyDescent="0.4"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</row>
    <row r="704" spans="16:216" ht="15.75" hidden="1" customHeight="1" x14ac:dyDescent="0.4"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</row>
    <row r="705" spans="16:216" ht="15.75" hidden="1" customHeight="1" x14ac:dyDescent="0.4"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</row>
    <row r="706" spans="16:216" ht="15.75" hidden="1" customHeight="1" x14ac:dyDescent="0.4"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</row>
    <row r="707" spans="16:216" ht="15.75" hidden="1" customHeight="1" x14ac:dyDescent="0.4"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</row>
    <row r="708" spans="16:216" ht="15.75" hidden="1" customHeight="1" x14ac:dyDescent="0.4"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</row>
    <row r="709" spans="16:216" ht="15.75" hidden="1" customHeight="1" x14ac:dyDescent="0.4"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</row>
    <row r="710" spans="16:216" ht="15.75" hidden="1" customHeight="1" x14ac:dyDescent="0.4"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</row>
    <row r="711" spans="16:216" ht="15.75" hidden="1" customHeight="1" x14ac:dyDescent="0.4"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</row>
    <row r="712" spans="16:216" ht="15.75" hidden="1" customHeight="1" x14ac:dyDescent="0.4"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</row>
    <row r="713" spans="16:216" ht="15.75" hidden="1" customHeight="1" x14ac:dyDescent="0.4"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</row>
    <row r="714" spans="16:216" ht="15.75" hidden="1" customHeight="1" x14ac:dyDescent="0.4"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</row>
    <row r="715" spans="16:216" ht="15.75" hidden="1" customHeight="1" x14ac:dyDescent="0.4"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</row>
    <row r="716" spans="16:216" ht="15.75" hidden="1" customHeight="1" x14ac:dyDescent="0.4"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</row>
    <row r="717" spans="16:216" ht="15.75" hidden="1" customHeight="1" x14ac:dyDescent="0.4"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</row>
    <row r="718" spans="16:216" ht="15.75" hidden="1" customHeight="1" x14ac:dyDescent="0.4"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</row>
    <row r="719" spans="16:216" ht="15.75" hidden="1" customHeight="1" x14ac:dyDescent="0.4"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</row>
    <row r="720" spans="16:216" ht="15.75" hidden="1" customHeight="1" x14ac:dyDescent="0.4"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</row>
    <row r="721" spans="16:216" ht="15.75" hidden="1" customHeight="1" x14ac:dyDescent="0.4"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</row>
    <row r="722" spans="16:216" ht="15.75" hidden="1" customHeight="1" x14ac:dyDescent="0.4"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</row>
    <row r="723" spans="16:216" ht="15.75" hidden="1" customHeight="1" x14ac:dyDescent="0.4"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</row>
    <row r="724" spans="16:216" ht="15.75" hidden="1" customHeight="1" x14ac:dyDescent="0.4"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</row>
    <row r="725" spans="16:216" ht="15.75" hidden="1" customHeight="1" x14ac:dyDescent="0.4"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</row>
    <row r="726" spans="16:216" ht="15.75" hidden="1" customHeight="1" x14ac:dyDescent="0.4"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</row>
    <row r="727" spans="16:216" ht="15.75" hidden="1" customHeight="1" x14ac:dyDescent="0.4"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</row>
    <row r="728" spans="16:216" ht="15.75" hidden="1" customHeight="1" x14ac:dyDescent="0.4"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</row>
    <row r="729" spans="16:216" ht="15.75" hidden="1" customHeight="1" x14ac:dyDescent="0.4"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</row>
    <row r="730" spans="16:216" ht="15.75" hidden="1" customHeight="1" x14ac:dyDescent="0.4"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</row>
    <row r="731" spans="16:216" ht="15.75" hidden="1" customHeight="1" x14ac:dyDescent="0.4"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</row>
    <row r="732" spans="16:216" ht="15.75" hidden="1" customHeight="1" x14ac:dyDescent="0.4"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</row>
    <row r="733" spans="16:216" ht="15.75" hidden="1" customHeight="1" x14ac:dyDescent="0.4"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</row>
    <row r="734" spans="16:216" ht="15.75" hidden="1" customHeight="1" x14ac:dyDescent="0.4"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</row>
    <row r="735" spans="16:216" ht="15.75" hidden="1" customHeight="1" x14ac:dyDescent="0.4"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</row>
    <row r="736" spans="16:216" ht="15.75" hidden="1" customHeight="1" x14ac:dyDescent="0.4"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</row>
    <row r="737" spans="16:216" ht="15.75" hidden="1" customHeight="1" x14ac:dyDescent="0.4"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</row>
    <row r="738" spans="16:216" ht="15.75" hidden="1" customHeight="1" x14ac:dyDescent="0.4"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</row>
    <row r="739" spans="16:216" ht="15.75" hidden="1" customHeight="1" x14ac:dyDescent="0.4"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</row>
    <row r="740" spans="16:216" ht="15.75" hidden="1" customHeight="1" x14ac:dyDescent="0.4"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</row>
    <row r="741" spans="16:216" ht="15.75" hidden="1" customHeight="1" x14ac:dyDescent="0.4"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</row>
    <row r="742" spans="16:216" ht="15.75" hidden="1" customHeight="1" x14ac:dyDescent="0.4"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</row>
    <row r="743" spans="16:216" ht="15.75" hidden="1" customHeight="1" x14ac:dyDescent="0.4"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</row>
    <row r="744" spans="16:216" ht="15.75" hidden="1" customHeight="1" x14ac:dyDescent="0.4"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</row>
    <row r="745" spans="16:216" ht="15.75" hidden="1" customHeight="1" x14ac:dyDescent="0.4"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</row>
    <row r="746" spans="16:216" ht="15.75" hidden="1" customHeight="1" x14ac:dyDescent="0.4"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</row>
    <row r="747" spans="16:216" ht="15.75" hidden="1" customHeight="1" x14ac:dyDescent="0.4"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</row>
    <row r="748" spans="16:216" ht="15.75" hidden="1" customHeight="1" x14ac:dyDescent="0.4"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</row>
    <row r="749" spans="16:216" ht="15.75" hidden="1" customHeight="1" x14ac:dyDescent="0.4"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</row>
    <row r="750" spans="16:216" ht="15.75" hidden="1" customHeight="1" x14ac:dyDescent="0.4"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</row>
    <row r="751" spans="16:216" ht="15.75" hidden="1" customHeight="1" x14ac:dyDescent="0.4"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</row>
    <row r="752" spans="16:216" ht="15.75" hidden="1" customHeight="1" x14ac:dyDescent="0.4"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</row>
    <row r="753" spans="16:216" ht="15.75" hidden="1" customHeight="1" x14ac:dyDescent="0.4"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</row>
    <row r="754" spans="16:216" ht="15.75" hidden="1" customHeight="1" x14ac:dyDescent="0.4"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</row>
    <row r="755" spans="16:216" ht="15.75" hidden="1" customHeight="1" x14ac:dyDescent="0.4"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</row>
    <row r="756" spans="16:216" ht="15.75" hidden="1" customHeight="1" x14ac:dyDescent="0.4"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</row>
    <row r="757" spans="16:216" ht="15.75" hidden="1" customHeight="1" x14ac:dyDescent="0.4"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</row>
    <row r="758" spans="16:216" ht="15.75" hidden="1" customHeight="1" x14ac:dyDescent="0.4"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</row>
    <row r="759" spans="16:216" ht="15.75" hidden="1" customHeight="1" x14ac:dyDescent="0.4"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</row>
    <row r="760" spans="16:216" ht="15.75" hidden="1" customHeight="1" x14ac:dyDescent="0.4"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</row>
    <row r="761" spans="16:216" ht="15.75" hidden="1" customHeight="1" x14ac:dyDescent="0.4"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</row>
    <row r="762" spans="16:216" ht="15.75" hidden="1" customHeight="1" x14ac:dyDescent="0.4"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</row>
    <row r="763" spans="16:216" ht="15.75" hidden="1" customHeight="1" x14ac:dyDescent="0.4"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</row>
    <row r="764" spans="16:216" ht="15.75" hidden="1" customHeight="1" x14ac:dyDescent="0.4"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</row>
    <row r="765" spans="16:216" ht="15.75" hidden="1" customHeight="1" x14ac:dyDescent="0.4"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</row>
    <row r="766" spans="16:216" ht="15.75" hidden="1" customHeight="1" x14ac:dyDescent="0.4"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</row>
    <row r="767" spans="16:216" ht="15.75" hidden="1" customHeight="1" x14ac:dyDescent="0.4"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</row>
    <row r="768" spans="16:216" ht="15.75" hidden="1" customHeight="1" x14ac:dyDescent="0.4"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</row>
    <row r="769" spans="16:216" ht="15.75" hidden="1" customHeight="1" x14ac:dyDescent="0.4"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</row>
    <row r="770" spans="16:216" ht="15.75" hidden="1" customHeight="1" x14ac:dyDescent="0.4"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</row>
    <row r="771" spans="16:216" ht="15.75" hidden="1" customHeight="1" x14ac:dyDescent="0.4"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</row>
    <row r="772" spans="16:216" ht="15.75" hidden="1" customHeight="1" x14ac:dyDescent="0.4"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</row>
    <row r="773" spans="16:216" ht="15.75" hidden="1" customHeight="1" x14ac:dyDescent="0.4"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</row>
    <row r="774" spans="16:216" ht="15.75" hidden="1" customHeight="1" x14ac:dyDescent="0.4"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</row>
    <row r="775" spans="16:216" ht="15.75" hidden="1" customHeight="1" x14ac:dyDescent="0.4"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</row>
    <row r="776" spans="16:216" ht="15.75" hidden="1" customHeight="1" x14ac:dyDescent="0.4"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</row>
    <row r="777" spans="16:216" ht="15.75" hidden="1" customHeight="1" x14ac:dyDescent="0.4"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</row>
    <row r="778" spans="16:216" ht="15.75" hidden="1" customHeight="1" x14ac:dyDescent="0.4"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</row>
    <row r="779" spans="16:216" ht="15.75" hidden="1" customHeight="1" x14ac:dyDescent="0.4"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</row>
    <row r="780" spans="16:216" ht="15.75" hidden="1" customHeight="1" x14ac:dyDescent="0.4"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</row>
    <row r="781" spans="16:216" ht="15.75" hidden="1" customHeight="1" x14ac:dyDescent="0.4"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</row>
    <row r="782" spans="16:216" ht="15.75" hidden="1" customHeight="1" x14ac:dyDescent="0.4"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</row>
    <row r="783" spans="16:216" ht="15.75" hidden="1" customHeight="1" x14ac:dyDescent="0.4"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</row>
    <row r="784" spans="16:216" ht="15.75" hidden="1" customHeight="1" x14ac:dyDescent="0.4"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</row>
    <row r="785" spans="16:216" ht="15.75" hidden="1" customHeight="1" x14ac:dyDescent="0.4"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</row>
    <row r="786" spans="16:216" ht="15.75" hidden="1" customHeight="1" x14ac:dyDescent="0.4"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</row>
    <row r="787" spans="16:216" ht="15.75" hidden="1" customHeight="1" x14ac:dyDescent="0.4"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</row>
    <row r="788" spans="16:216" ht="15.75" hidden="1" customHeight="1" x14ac:dyDescent="0.4"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</row>
    <row r="789" spans="16:216" ht="15.75" hidden="1" customHeight="1" x14ac:dyDescent="0.4"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</row>
    <row r="790" spans="16:216" ht="15.75" hidden="1" customHeight="1" x14ac:dyDescent="0.4"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</row>
    <row r="791" spans="16:216" ht="15.75" hidden="1" customHeight="1" x14ac:dyDescent="0.4"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</row>
    <row r="792" spans="16:216" ht="15.75" hidden="1" customHeight="1" x14ac:dyDescent="0.4"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</row>
    <row r="793" spans="16:216" ht="15.75" hidden="1" customHeight="1" x14ac:dyDescent="0.4"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</row>
    <row r="794" spans="16:216" ht="15.75" hidden="1" customHeight="1" x14ac:dyDescent="0.4"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</row>
    <row r="795" spans="16:216" ht="15.75" hidden="1" customHeight="1" x14ac:dyDescent="0.4"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</row>
    <row r="796" spans="16:216" ht="15.75" hidden="1" customHeight="1" x14ac:dyDescent="0.4"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</row>
    <row r="797" spans="16:216" ht="15.75" hidden="1" customHeight="1" x14ac:dyDescent="0.4"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</row>
    <row r="798" spans="16:216" ht="15.75" hidden="1" customHeight="1" x14ac:dyDescent="0.4"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</row>
    <row r="799" spans="16:216" ht="15.75" hidden="1" customHeight="1" x14ac:dyDescent="0.4"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</row>
    <row r="800" spans="16:216" ht="15.75" hidden="1" customHeight="1" x14ac:dyDescent="0.4"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</row>
    <row r="801" spans="16:216" ht="15.75" hidden="1" customHeight="1" x14ac:dyDescent="0.4"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</row>
    <row r="802" spans="16:216" ht="15.75" hidden="1" customHeight="1" x14ac:dyDescent="0.4"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</row>
    <row r="803" spans="16:216" ht="15.75" hidden="1" customHeight="1" x14ac:dyDescent="0.4"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</row>
    <row r="804" spans="16:216" ht="15.75" hidden="1" customHeight="1" x14ac:dyDescent="0.4"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</row>
    <row r="805" spans="16:216" ht="15.75" hidden="1" customHeight="1" x14ac:dyDescent="0.4"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</row>
    <row r="806" spans="16:216" ht="15.75" hidden="1" customHeight="1" x14ac:dyDescent="0.4"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</row>
    <row r="807" spans="16:216" ht="15.75" hidden="1" customHeight="1" x14ac:dyDescent="0.4"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</row>
    <row r="808" spans="16:216" ht="15.75" hidden="1" customHeight="1" x14ac:dyDescent="0.4"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</row>
    <row r="809" spans="16:216" ht="15.75" hidden="1" customHeight="1" x14ac:dyDescent="0.4"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</row>
    <row r="810" spans="16:216" ht="15.75" hidden="1" customHeight="1" x14ac:dyDescent="0.4"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</row>
    <row r="811" spans="16:216" ht="15.75" hidden="1" customHeight="1" x14ac:dyDescent="0.4"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</row>
    <row r="812" spans="16:216" ht="15.75" hidden="1" customHeight="1" x14ac:dyDescent="0.4"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</row>
    <row r="813" spans="16:216" ht="15.75" hidden="1" customHeight="1" x14ac:dyDescent="0.4"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</row>
    <row r="814" spans="16:216" ht="15.75" hidden="1" customHeight="1" x14ac:dyDescent="0.4"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</row>
    <row r="815" spans="16:216" ht="15.75" hidden="1" customHeight="1" x14ac:dyDescent="0.4"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</row>
    <row r="816" spans="16:216" ht="15.75" hidden="1" customHeight="1" x14ac:dyDescent="0.4"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</row>
    <row r="817" spans="16:216" ht="15.75" hidden="1" customHeight="1" x14ac:dyDescent="0.4"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</row>
    <row r="818" spans="16:216" ht="15.75" hidden="1" customHeight="1" x14ac:dyDescent="0.4"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</row>
    <row r="819" spans="16:216" ht="15.75" hidden="1" customHeight="1" x14ac:dyDescent="0.4"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</row>
    <row r="820" spans="16:216" ht="15.75" hidden="1" customHeight="1" x14ac:dyDescent="0.4"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</row>
    <row r="821" spans="16:216" ht="15.75" hidden="1" customHeight="1" x14ac:dyDescent="0.4"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</row>
    <row r="822" spans="16:216" ht="15.75" hidden="1" customHeight="1" x14ac:dyDescent="0.4"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</row>
    <row r="823" spans="16:216" ht="15.75" hidden="1" customHeight="1" x14ac:dyDescent="0.4"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</row>
    <row r="824" spans="16:216" ht="15.75" hidden="1" customHeight="1" x14ac:dyDescent="0.4"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</row>
    <row r="825" spans="16:216" ht="15.75" hidden="1" customHeight="1" x14ac:dyDescent="0.4"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</row>
    <row r="826" spans="16:216" ht="15.75" hidden="1" customHeight="1" x14ac:dyDescent="0.4"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</row>
    <row r="827" spans="16:216" ht="15.75" hidden="1" customHeight="1" x14ac:dyDescent="0.4"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</row>
    <row r="828" spans="16:216" ht="15.75" hidden="1" customHeight="1" x14ac:dyDescent="0.4"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</row>
    <row r="829" spans="16:216" ht="15.75" hidden="1" customHeight="1" x14ac:dyDescent="0.4"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</row>
    <row r="830" spans="16:216" ht="15.75" hidden="1" customHeight="1" x14ac:dyDescent="0.4"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</row>
    <row r="831" spans="16:216" ht="15.75" hidden="1" customHeight="1" x14ac:dyDescent="0.4"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</row>
    <row r="832" spans="16:216" ht="15.75" hidden="1" customHeight="1" x14ac:dyDescent="0.4"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</row>
    <row r="833" spans="16:216" ht="15.75" hidden="1" customHeight="1" x14ac:dyDescent="0.4"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</row>
    <row r="834" spans="16:216" ht="15.75" hidden="1" customHeight="1" x14ac:dyDescent="0.4"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</row>
    <row r="835" spans="16:216" ht="15.75" hidden="1" customHeight="1" x14ac:dyDescent="0.4"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</row>
    <row r="836" spans="16:216" ht="15.75" hidden="1" customHeight="1" x14ac:dyDescent="0.4"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</row>
    <row r="837" spans="16:216" ht="15.75" hidden="1" customHeight="1" x14ac:dyDescent="0.4"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</row>
    <row r="838" spans="16:216" ht="15.75" hidden="1" customHeight="1" x14ac:dyDescent="0.4"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</row>
    <row r="839" spans="16:216" ht="15.75" hidden="1" customHeight="1" x14ac:dyDescent="0.4"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</row>
    <row r="840" spans="16:216" ht="15.75" hidden="1" customHeight="1" x14ac:dyDescent="0.4"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</row>
    <row r="841" spans="16:216" ht="15.75" hidden="1" customHeight="1" x14ac:dyDescent="0.4"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</row>
    <row r="842" spans="16:216" ht="15.75" hidden="1" customHeight="1" x14ac:dyDescent="0.4"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</row>
    <row r="843" spans="16:216" ht="15.75" hidden="1" customHeight="1" x14ac:dyDescent="0.4"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</row>
    <row r="844" spans="16:216" ht="15.75" hidden="1" customHeight="1" x14ac:dyDescent="0.4"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</row>
    <row r="845" spans="16:216" ht="15.75" hidden="1" customHeight="1" x14ac:dyDescent="0.4"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</row>
    <row r="846" spans="16:216" ht="15.75" hidden="1" customHeight="1" x14ac:dyDescent="0.4"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</row>
    <row r="847" spans="16:216" ht="15.75" hidden="1" customHeight="1" x14ac:dyDescent="0.4"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</row>
    <row r="848" spans="16:216" ht="15.75" hidden="1" customHeight="1" x14ac:dyDescent="0.4"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</row>
    <row r="849" spans="16:216" ht="15.75" hidden="1" customHeight="1" x14ac:dyDescent="0.4"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</row>
    <row r="850" spans="16:216" ht="15.75" hidden="1" customHeight="1" x14ac:dyDescent="0.4"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</row>
    <row r="851" spans="16:216" ht="15.75" hidden="1" customHeight="1" x14ac:dyDescent="0.4"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</row>
    <row r="852" spans="16:216" ht="15.75" hidden="1" customHeight="1" x14ac:dyDescent="0.4"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</row>
    <row r="853" spans="16:216" ht="15.75" hidden="1" customHeight="1" x14ac:dyDescent="0.4"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</row>
    <row r="854" spans="16:216" ht="15.75" hidden="1" customHeight="1" x14ac:dyDescent="0.4"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</row>
    <row r="855" spans="16:216" ht="15.75" hidden="1" customHeight="1" x14ac:dyDescent="0.4"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</row>
    <row r="856" spans="16:216" ht="15.75" hidden="1" customHeight="1" x14ac:dyDescent="0.4"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</row>
    <row r="857" spans="16:216" ht="15.75" hidden="1" customHeight="1" x14ac:dyDescent="0.4"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</row>
    <row r="858" spans="16:216" ht="15.75" hidden="1" customHeight="1" x14ac:dyDescent="0.4"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</row>
    <row r="859" spans="16:216" ht="15.75" hidden="1" customHeight="1" x14ac:dyDescent="0.4"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</row>
    <row r="860" spans="16:216" ht="15.75" hidden="1" customHeight="1" x14ac:dyDescent="0.4"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</row>
    <row r="861" spans="16:216" ht="15.75" hidden="1" customHeight="1" x14ac:dyDescent="0.4"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</row>
    <row r="862" spans="16:216" ht="15.75" hidden="1" customHeight="1" x14ac:dyDescent="0.4"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</row>
    <row r="863" spans="16:216" ht="15.75" hidden="1" customHeight="1" x14ac:dyDescent="0.4"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</row>
    <row r="864" spans="16:216" ht="15.75" hidden="1" customHeight="1" x14ac:dyDescent="0.4"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</row>
    <row r="865" spans="16:216" ht="15.75" hidden="1" customHeight="1" x14ac:dyDescent="0.4"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</row>
    <row r="866" spans="16:216" ht="15.75" hidden="1" customHeight="1" x14ac:dyDescent="0.4"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</row>
    <row r="867" spans="16:216" ht="15.75" hidden="1" customHeight="1" x14ac:dyDescent="0.4"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</row>
    <row r="868" spans="16:216" ht="15.75" hidden="1" customHeight="1" x14ac:dyDescent="0.4"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</row>
    <row r="869" spans="16:216" ht="15.75" hidden="1" customHeight="1" x14ac:dyDescent="0.4"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</row>
    <row r="870" spans="16:216" ht="15.75" hidden="1" customHeight="1" x14ac:dyDescent="0.4"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</row>
    <row r="871" spans="16:216" ht="15.75" hidden="1" customHeight="1" x14ac:dyDescent="0.4"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</row>
    <row r="872" spans="16:216" ht="15.75" hidden="1" customHeight="1" x14ac:dyDescent="0.4"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</row>
    <row r="873" spans="16:216" ht="15.75" hidden="1" customHeight="1" x14ac:dyDescent="0.4"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</row>
    <row r="874" spans="16:216" ht="15.75" hidden="1" customHeight="1" x14ac:dyDescent="0.4"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</row>
    <row r="875" spans="16:216" ht="15.75" hidden="1" customHeight="1" x14ac:dyDescent="0.4"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</row>
    <row r="876" spans="16:216" ht="15.75" hidden="1" customHeight="1" x14ac:dyDescent="0.4"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</row>
    <row r="877" spans="16:216" ht="15.75" hidden="1" customHeight="1" x14ac:dyDescent="0.4"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</row>
    <row r="878" spans="16:216" ht="15.75" hidden="1" customHeight="1" x14ac:dyDescent="0.4"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</row>
    <row r="879" spans="16:216" ht="15.75" hidden="1" customHeight="1" x14ac:dyDescent="0.4"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</row>
    <row r="880" spans="16:216" ht="15.75" hidden="1" customHeight="1" x14ac:dyDescent="0.4"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</row>
    <row r="881" spans="16:216" ht="15.75" hidden="1" customHeight="1" x14ac:dyDescent="0.4"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</row>
    <row r="882" spans="16:216" ht="15.75" hidden="1" customHeight="1" x14ac:dyDescent="0.4"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</row>
    <row r="883" spans="16:216" ht="15.75" hidden="1" customHeight="1" x14ac:dyDescent="0.4"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</row>
    <row r="884" spans="16:216" ht="15.75" hidden="1" customHeight="1" x14ac:dyDescent="0.4"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</row>
    <row r="885" spans="16:216" ht="15.75" hidden="1" customHeight="1" x14ac:dyDescent="0.4"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</row>
    <row r="886" spans="16:216" ht="15.75" hidden="1" customHeight="1" x14ac:dyDescent="0.4"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</row>
    <row r="887" spans="16:216" ht="15.75" hidden="1" customHeight="1" x14ac:dyDescent="0.4"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</row>
    <row r="888" spans="16:216" ht="15.75" hidden="1" customHeight="1" x14ac:dyDescent="0.4"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</row>
    <row r="889" spans="16:216" ht="15.75" hidden="1" customHeight="1" x14ac:dyDescent="0.4"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</row>
    <row r="890" spans="16:216" ht="15.75" hidden="1" customHeight="1" x14ac:dyDescent="0.4"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</row>
    <row r="891" spans="16:216" ht="15.75" hidden="1" customHeight="1" x14ac:dyDescent="0.4"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</row>
    <row r="892" spans="16:216" ht="15.75" hidden="1" customHeight="1" x14ac:dyDescent="0.4"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</row>
    <row r="893" spans="16:216" ht="15.75" hidden="1" customHeight="1" x14ac:dyDescent="0.4"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</row>
    <row r="894" spans="16:216" ht="15.75" hidden="1" customHeight="1" x14ac:dyDescent="0.4"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</row>
    <row r="895" spans="16:216" ht="15.75" hidden="1" customHeight="1" x14ac:dyDescent="0.4"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</row>
    <row r="896" spans="16:216" ht="15.75" hidden="1" customHeight="1" x14ac:dyDescent="0.4"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</row>
    <row r="897" spans="16:216" ht="15.75" hidden="1" customHeight="1" x14ac:dyDescent="0.4"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</row>
    <row r="898" spans="16:216" ht="15.75" hidden="1" customHeight="1" x14ac:dyDescent="0.4"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</row>
    <row r="899" spans="16:216" ht="15.75" hidden="1" customHeight="1" x14ac:dyDescent="0.4"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</row>
    <row r="900" spans="16:216" ht="15.75" hidden="1" customHeight="1" x14ac:dyDescent="0.4"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</row>
    <row r="901" spans="16:216" ht="15.75" hidden="1" customHeight="1" x14ac:dyDescent="0.4"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</row>
    <row r="902" spans="16:216" ht="15.75" hidden="1" customHeight="1" x14ac:dyDescent="0.4"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</row>
    <row r="903" spans="16:216" ht="15.75" hidden="1" customHeight="1" x14ac:dyDescent="0.4"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</row>
    <row r="904" spans="16:216" ht="15.75" hidden="1" customHeight="1" x14ac:dyDescent="0.4"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</row>
    <row r="905" spans="16:216" ht="15.75" hidden="1" customHeight="1" x14ac:dyDescent="0.4"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</row>
    <row r="906" spans="16:216" ht="15.75" hidden="1" customHeight="1" x14ac:dyDescent="0.4"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</row>
    <row r="907" spans="16:216" ht="15.75" hidden="1" customHeight="1" x14ac:dyDescent="0.4"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</row>
    <row r="908" spans="16:216" ht="15.75" hidden="1" customHeight="1" x14ac:dyDescent="0.4"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</row>
    <row r="909" spans="16:216" ht="15.75" hidden="1" customHeight="1" x14ac:dyDescent="0.4"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</row>
    <row r="910" spans="16:216" ht="15.75" hidden="1" customHeight="1" x14ac:dyDescent="0.4"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</row>
    <row r="911" spans="16:216" ht="15.75" hidden="1" customHeight="1" x14ac:dyDescent="0.4"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</row>
    <row r="912" spans="16:216" ht="15.75" hidden="1" customHeight="1" x14ac:dyDescent="0.4"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</row>
    <row r="913" spans="16:216" ht="15.75" hidden="1" customHeight="1" x14ac:dyDescent="0.4"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</row>
    <row r="914" spans="16:216" ht="15.75" hidden="1" customHeight="1" x14ac:dyDescent="0.4"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</row>
    <row r="915" spans="16:216" ht="15.75" hidden="1" customHeight="1" x14ac:dyDescent="0.4"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</row>
    <row r="916" spans="16:216" ht="15.75" hidden="1" customHeight="1" x14ac:dyDescent="0.4"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</row>
    <row r="917" spans="16:216" ht="15.75" hidden="1" customHeight="1" x14ac:dyDescent="0.4"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</row>
    <row r="918" spans="16:216" ht="15.75" hidden="1" customHeight="1" x14ac:dyDescent="0.4"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</row>
    <row r="919" spans="16:216" ht="15.75" hidden="1" customHeight="1" x14ac:dyDescent="0.4"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</row>
    <row r="920" spans="16:216" ht="15.75" hidden="1" customHeight="1" x14ac:dyDescent="0.4"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</row>
    <row r="921" spans="16:216" ht="15.75" hidden="1" customHeight="1" x14ac:dyDescent="0.4"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</row>
    <row r="922" spans="16:216" ht="15.75" hidden="1" customHeight="1" x14ac:dyDescent="0.4"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</row>
    <row r="923" spans="16:216" ht="15.75" hidden="1" customHeight="1" x14ac:dyDescent="0.4"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</row>
    <row r="924" spans="16:216" ht="15.75" hidden="1" customHeight="1" x14ac:dyDescent="0.4"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</row>
    <row r="925" spans="16:216" ht="15.75" hidden="1" customHeight="1" x14ac:dyDescent="0.4"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</row>
    <row r="926" spans="16:216" ht="15.75" hidden="1" customHeight="1" x14ac:dyDescent="0.4"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</row>
    <row r="927" spans="16:216" ht="15.75" hidden="1" customHeight="1" x14ac:dyDescent="0.4"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</row>
    <row r="928" spans="16:216" ht="15.75" hidden="1" customHeight="1" x14ac:dyDescent="0.4"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</row>
    <row r="929" spans="16:216" ht="15.75" hidden="1" customHeight="1" x14ac:dyDescent="0.4"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</row>
    <row r="930" spans="16:216" ht="15.75" hidden="1" customHeight="1" x14ac:dyDescent="0.4"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</row>
    <row r="931" spans="16:216" ht="15.75" hidden="1" customHeight="1" x14ac:dyDescent="0.4"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</row>
    <row r="932" spans="16:216" ht="15.75" hidden="1" customHeight="1" x14ac:dyDescent="0.4"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</row>
    <row r="933" spans="16:216" ht="15.75" hidden="1" customHeight="1" x14ac:dyDescent="0.4"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</row>
    <row r="934" spans="16:216" ht="15.75" hidden="1" customHeight="1" x14ac:dyDescent="0.4"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</row>
    <row r="935" spans="16:216" ht="15.75" hidden="1" customHeight="1" x14ac:dyDescent="0.4"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</row>
    <row r="936" spans="16:216" ht="15.75" hidden="1" customHeight="1" x14ac:dyDescent="0.4"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</row>
    <row r="937" spans="16:216" ht="15.75" hidden="1" customHeight="1" x14ac:dyDescent="0.4"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</row>
    <row r="938" spans="16:216" ht="15.75" hidden="1" customHeight="1" x14ac:dyDescent="0.4"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</row>
    <row r="939" spans="16:216" ht="15.75" hidden="1" customHeight="1" x14ac:dyDescent="0.4"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</row>
    <row r="940" spans="16:216" ht="15.75" hidden="1" customHeight="1" x14ac:dyDescent="0.4"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</row>
    <row r="941" spans="16:216" ht="15.75" hidden="1" customHeight="1" x14ac:dyDescent="0.4"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</row>
    <row r="942" spans="16:216" ht="15.75" hidden="1" customHeight="1" x14ac:dyDescent="0.4"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</row>
    <row r="943" spans="16:216" ht="15.75" hidden="1" customHeight="1" x14ac:dyDescent="0.4"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</row>
    <row r="944" spans="16:216" ht="15.75" hidden="1" customHeight="1" x14ac:dyDescent="0.4"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</row>
    <row r="945" spans="16:216" ht="15.75" hidden="1" customHeight="1" x14ac:dyDescent="0.4"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</row>
    <row r="946" spans="16:216" ht="15.75" hidden="1" customHeight="1" x14ac:dyDescent="0.4"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</row>
    <row r="947" spans="16:216" ht="15.75" hidden="1" customHeight="1" x14ac:dyDescent="0.4"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</row>
    <row r="948" spans="16:216" ht="15.75" hidden="1" customHeight="1" x14ac:dyDescent="0.4"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</row>
    <row r="949" spans="16:216" ht="15.75" hidden="1" customHeight="1" x14ac:dyDescent="0.4"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</row>
    <row r="950" spans="16:216" ht="15.75" hidden="1" customHeight="1" x14ac:dyDescent="0.4"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</row>
    <row r="951" spans="16:216" ht="15.75" hidden="1" customHeight="1" x14ac:dyDescent="0.4"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</row>
    <row r="952" spans="16:216" ht="15.75" hidden="1" customHeight="1" x14ac:dyDescent="0.4"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</row>
    <row r="953" spans="16:216" ht="15.75" hidden="1" customHeight="1" x14ac:dyDescent="0.4"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</row>
    <row r="954" spans="16:216" ht="15.75" hidden="1" customHeight="1" x14ac:dyDescent="0.4"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</row>
    <row r="955" spans="16:216" ht="15.75" hidden="1" customHeight="1" x14ac:dyDescent="0.4"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</row>
    <row r="956" spans="16:216" ht="15.75" hidden="1" customHeight="1" x14ac:dyDescent="0.4"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</row>
    <row r="957" spans="16:216" ht="15.75" hidden="1" customHeight="1" x14ac:dyDescent="0.4"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</row>
    <row r="958" spans="16:216" ht="15.75" hidden="1" customHeight="1" x14ac:dyDescent="0.4"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</row>
    <row r="959" spans="16:216" ht="15.75" hidden="1" customHeight="1" x14ac:dyDescent="0.4"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</row>
    <row r="960" spans="16:216" ht="15.75" hidden="1" customHeight="1" x14ac:dyDescent="0.4"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</row>
    <row r="961" spans="16:216" ht="15.75" hidden="1" customHeight="1" x14ac:dyDescent="0.4"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</row>
    <row r="962" spans="16:216" ht="15.75" hidden="1" customHeight="1" x14ac:dyDescent="0.4"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</row>
    <row r="963" spans="16:216" ht="15.75" hidden="1" customHeight="1" x14ac:dyDescent="0.4"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</row>
    <row r="964" spans="16:216" ht="15.75" hidden="1" customHeight="1" x14ac:dyDescent="0.4"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</row>
    <row r="965" spans="16:216" ht="15.75" hidden="1" customHeight="1" x14ac:dyDescent="0.4"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</row>
    <row r="966" spans="16:216" ht="15.75" hidden="1" customHeight="1" x14ac:dyDescent="0.4"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</row>
    <row r="967" spans="16:216" ht="15.75" hidden="1" customHeight="1" x14ac:dyDescent="0.4"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</row>
    <row r="968" spans="16:216" ht="15.75" hidden="1" customHeight="1" x14ac:dyDescent="0.4"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</row>
    <row r="969" spans="16:216" ht="15.75" hidden="1" customHeight="1" x14ac:dyDescent="0.4"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</row>
    <row r="970" spans="16:216" ht="15.75" hidden="1" customHeight="1" x14ac:dyDescent="0.4"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</row>
    <row r="971" spans="16:216" ht="15.75" hidden="1" customHeight="1" x14ac:dyDescent="0.4"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</row>
    <row r="972" spans="16:216" ht="15.75" hidden="1" customHeight="1" x14ac:dyDescent="0.4"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</row>
    <row r="973" spans="16:216" ht="15.75" hidden="1" customHeight="1" x14ac:dyDescent="0.4"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</row>
    <row r="974" spans="16:216" ht="15.75" hidden="1" customHeight="1" x14ac:dyDescent="0.4"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</row>
    <row r="975" spans="16:216" ht="15.75" hidden="1" customHeight="1" x14ac:dyDescent="0.4"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</row>
    <row r="976" spans="16:216" ht="15.75" hidden="1" customHeight="1" x14ac:dyDescent="0.4"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</row>
    <row r="977" spans="16:216" ht="15.75" hidden="1" customHeight="1" x14ac:dyDescent="0.4"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</row>
    <row r="978" spans="16:216" ht="15.75" hidden="1" customHeight="1" x14ac:dyDescent="0.4"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</row>
    <row r="979" spans="16:216" ht="15.75" hidden="1" customHeight="1" x14ac:dyDescent="0.4"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</row>
    <row r="980" spans="16:216" ht="15.75" hidden="1" customHeight="1" x14ac:dyDescent="0.4"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</row>
    <row r="981" spans="16:216" ht="15.75" hidden="1" customHeight="1" x14ac:dyDescent="0.4"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</row>
    <row r="982" spans="16:216" ht="15.75" hidden="1" customHeight="1" x14ac:dyDescent="0.4"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</row>
    <row r="983" spans="16:216" ht="15.75" hidden="1" customHeight="1" x14ac:dyDescent="0.4"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</row>
    <row r="984" spans="16:216" ht="15.75" hidden="1" customHeight="1" x14ac:dyDescent="0.4"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</row>
    <row r="985" spans="16:216" ht="15.75" hidden="1" customHeight="1" x14ac:dyDescent="0.4"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</row>
    <row r="986" spans="16:216" ht="15.75" hidden="1" customHeight="1" x14ac:dyDescent="0.4"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</row>
    <row r="987" spans="16:216" ht="15.75" hidden="1" customHeight="1" x14ac:dyDescent="0.4"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</row>
    <row r="988" spans="16:216" ht="15.75" hidden="1" customHeight="1" x14ac:dyDescent="0.4"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</row>
    <row r="989" spans="16:216" ht="15.75" hidden="1" customHeight="1" x14ac:dyDescent="0.4"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</row>
    <row r="990" spans="16:216" ht="15.75" hidden="1" customHeight="1" x14ac:dyDescent="0.4"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</row>
    <row r="991" spans="16:216" ht="15.75" hidden="1" customHeight="1" x14ac:dyDescent="0.4"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</row>
    <row r="992" spans="16:216" ht="15.75" hidden="1" customHeight="1" x14ac:dyDescent="0.4"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</row>
    <row r="993" spans="16:216" ht="15.75" hidden="1" customHeight="1" x14ac:dyDescent="0.4"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</row>
    <row r="994" spans="16:216" ht="15.75" hidden="1" customHeight="1" x14ac:dyDescent="0.4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</row>
    <row r="995" spans="16:216" ht="15.75" hidden="1" customHeight="1" x14ac:dyDescent="0.4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</row>
    <row r="996" spans="16:216" ht="15.75" hidden="1" customHeight="1" x14ac:dyDescent="0.4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</row>
    <row r="997" spans="16:216" ht="15.75" hidden="1" customHeight="1" x14ac:dyDescent="0.4"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</row>
    <row r="998" spans="16:216" ht="15.75" hidden="1" customHeight="1" x14ac:dyDescent="0.4"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</row>
    <row r="999" spans="16:216" ht="15.75" hidden="1" customHeight="1" x14ac:dyDescent="0.4"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</row>
    <row r="1000" spans="16:216" ht="15.75" hidden="1" customHeight="1" x14ac:dyDescent="0.4"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</row>
    <row r="1001" spans="16:216" ht="15.75" hidden="1" customHeight="1" x14ac:dyDescent="0.4"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</row>
    <row r="1002" spans="16:216" ht="15.75" hidden="1" customHeight="1" x14ac:dyDescent="0.4"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</row>
    <row r="1003" spans="16:216" ht="15.75" hidden="1" customHeight="1" x14ac:dyDescent="0.4"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</row>
    <row r="1004" spans="16:216" ht="15.75" hidden="1" customHeight="1" x14ac:dyDescent="0.4"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</row>
    <row r="1005" spans="16:216" ht="15.75" hidden="1" customHeight="1" x14ac:dyDescent="0.4"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</row>
    <row r="1006" spans="16:216" ht="15.75" hidden="1" customHeight="1" x14ac:dyDescent="0.4"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</row>
    <row r="1007" spans="16:216" ht="15.75" hidden="1" customHeight="1" x14ac:dyDescent="0.4"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</row>
    <row r="1008" spans="16:216" ht="15.75" hidden="1" customHeight="1" x14ac:dyDescent="0.4"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</row>
    <row r="1009" spans="16:216" ht="15.75" hidden="1" customHeight="1" x14ac:dyDescent="0.4"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</row>
    <row r="1010" spans="16:216" ht="15.75" hidden="1" customHeight="1" x14ac:dyDescent="0.4"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</row>
    <row r="1011" spans="16:216" ht="15.75" hidden="1" customHeight="1" x14ac:dyDescent="0.4"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</row>
    <row r="1012" spans="16:216" ht="15.75" hidden="1" customHeight="1" x14ac:dyDescent="0.4"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</row>
    <row r="1013" spans="16:216" ht="15.75" hidden="1" customHeight="1" x14ac:dyDescent="0.4"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</row>
    <row r="1014" spans="16:216" ht="15.75" hidden="1" customHeight="1" x14ac:dyDescent="0.4"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</row>
    <row r="1015" spans="16:216" ht="15.75" hidden="1" customHeight="1" x14ac:dyDescent="0.4"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</row>
    <row r="1016" spans="16:216" ht="15.75" hidden="1" customHeight="1" x14ac:dyDescent="0.4"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</row>
    <row r="1017" spans="16:216" ht="15.75" hidden="1" customHeight="1" x14ac:dyDescent="0.4"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</row>
    <row r="1018" spans="16:216" ht="15.75" hidden="1" customHeight="1" x14ac:dyDescent="0.4"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</row>
    <row r="1019" spans="16:216" ht="15.75" hidden="1" customHeight="1" x14ac:dyDescent="0.4"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</row>
    <row r="1020" spans="16:216" ht="15.75" hidden="1" customHeight="1" x14ac:dyDescent="0.4"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</row>
    <row r="1021" spans="16:216" ht="15.75" hidden="1" customHeight="1" x14ac:dyDescent="0.4"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</row>
    <row r="1022" spans="16:216" ht="15.75" hidden="1" customHeight="1" x14ac:dyDescent="0.4"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</row>
    <row r="1023" spans="16:216" ht="15.75" hidden="1" customHeight="1" x14ac:dyDescent="0.4"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</row>
    <row r="1024" spans="16:216" ht="15.75" hidden="1" customHeight="1" x14ac:dyDescent="0.4"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</row>
    <row r="1025" spans="16:216" ht="15.75" hidden="1" customHeight="1" x14ac:dyDescent="0.4"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</row>
    <row r="1026" spans="16:216" ht="15.75" hidden="1" customHeight="1" x14ac:dyDescent="0.4"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</row>
    <row r="1027" spans="16:216" ht="15.75" hidden="1" customHeight="1" x14ac:dyDescent="0.4"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</row>
    <row r="1028" spans="16:216" ht="15.75" hidden="1" customHeight="1" x14ac:dyDescent="0.4"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</row>
    <row r="1029" spans="16:216" ht="15.75" hidden="1" customHeight="1" x14ac:dyDescent="0.4"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</row>
    <row r="1030" spans="16:216" ht="15.75" hidden="1" customHeight="1" x14ac:dyDescent="0.4"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</row>
    <row r="1031" spans="16:216" ht="15.75" hidden="1" customHeight="1" x14ac:dyDescent="0.4"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</row>
    <row r="1032" spans="16:216" ht="15.75" hidden="1" customHeight="1" x14ac:dyDescent="0.4"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</row>
    <row r="1033" spans="16:216" ht="15.75" hidden="1" customHeight="1" x14ac:dyDescent="0.4"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</row>
    <row r="1034" spans="16:216" ht="15.75" hidden="1" customHeight="1" x14ac:dyDescent="0.4"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</row>
    <row r="1035" spans="16:216" ht="15.75" hidden="1" customHeight="1" x14ac:dyDescent="0.4"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</row>
    <row r="1036" spans="16:216" ht="15.75" hidden="1" customHeight="1" x14ac:dyDescent="0.4"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</row>
    <row r="1037" spans="16:216" ht="15.75" hidden="1" customHeight="1" x14ac:dyDescent="0.4"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</row>
    <row r="1038" spans="16:216" ht="15.75" hidden="1" customHeight="1" x14ac:dyDescent="0.4"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</row>
    <row r="1039" spans="16:216" ht="15.75" hidden="1" customHeight="1" x14ac:dyDescent="0.4"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</row>
    <row r="1040" spans="16:216" ht="15.75" hidden="1" customHeight="1" x14ac:dyDescent="0.4"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</row>
    <row r="1041" spans="16:216" ht="15.75" hidden="1" customHeight="1" x14ac:dyDescent="0.4"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</row>
    <row r="1042" spans="16:216" ht="15.75" hidden="1" customHeight="1" x14ac:dyDescent="0.4"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</row>
    <row r="1043" spans="16:216" ht="15.75" hidden="1" customHeight="1" x14ac:dyDescent="0.4"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</row>
    <row r="1044" spans="16:216" ht="15.75" hidden="1" customHeight="1" x14ac:dyDescent="0.4"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</row>
    <row r="1045" spans="16:216" ht="15.75" hidden="1" customHeight="1" x14ac:dyDescent="0.4"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</row>
    <row r="1046" spans="16:216" ht="15.75" hidden="1" customHeight="1" x14ac:dyDescent="0.4"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</row>
    <row r="1047" spans="16:216" ht="15.75" hidden="1" customHeight="1" x14ac:dyDescent="0.4"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</row>
    <row r="1048" spans="16:216" ht="15.75" hidden="1" customHeight="1" x14ac:dyDescent="0.4"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</row>
    <row r="1049" spans="16:216" ht="15.75" hidden="1" customHeight="1" x14ac:dyDescent="0.4"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</row>
    <row r="1050" spans="16:216" ht="15.75" hidden="1" customHeight="1" x14ac:dyDescent="0.4"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</row>
    <row r="1051" spans="16:216" ht="15.75" hidden="1" customHeight="1" x14ac:dyDescent="0.4"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</row>
    <row r="1052" spans="16:216" ht="15.75" hidden="1" customHeight="1" x14ac:dyDescent="0.4"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</row>
    <row r="1053" spans="16:216" ht="15.75" hidden="1" customHeight="1" x14ac:dyDescent="0.4"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</row>
    <row r="1054" spans="16:216" ht="15.75" hidden="1" customHeight="1" x14ac:dyDescent="0.4"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</row>
    <row r="1055" spans="16:216" ht="15.75" hidden="1" customHeight="1" x14ac:dyDescent="0.4"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</row>
    <row r="1056" spans="16:216" ht="15.75" hidden="1" customHeight="1" x14ac:dyDescent="0.4"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</row>
    <row r="1057" spans="16:216" ht="15.75" hidden="1" customHeight="1" x14ac:dyDescent="0.4"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</row>
    <row r="1058" spans="16:216" ht="15.75" hidden="1" customHeight="1" x14ac:dyDescent="0.4"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</row>
    <row r="1059" spans="16:216" ht="15.75" hidden="1" customHeight="1" x14ac:dyDescent="0.4"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</row>
    <row r="1060" spans="16:216" ht="15.75" hidden="1" customHeight="1" x14ac:dyDescent="0.4"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</row>
    <row r="1061" spans="16:216" ht="15.75" hidden="1" customHeight="1" x14ac:dyDescent="0.4"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</row>
    <row r="1062" spans="16:216" ht="15.75" hidden="1" customHeight="1" x14ac:dyDescent="0.4"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</row>
    <row r="1063" spans="16:216" ht="15.75" hidden="1" customHeight="1" x14ac:dyDescent="0.4"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</row>
    <row r="1064" spans="16:216" ht="15.75" hidden="1" customHeight="1" x14ac:dyDescent="0.4"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</row>
    <row r="1065" spans="16:216" ht="15.75" hidden="1" customHeight="1" x14ac:dyDescent="0.4"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</row>
    <row r="1066" spans="16:216" ht="15.75" hidden="1" customHeight="1" x14ac:dyDescent="0.4"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</row>
    <row r="1067" spans="16:216" ht="15.75" hidden="1" customHeight="1" x14ac:dyDescent="0.4"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</row>
    <row r="1068" spans="16:216" ht="15.75" hidden="1" customHeight="1" x14ac:dyDescent="0.4"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</row>
    <row r="1069" spans="16:216" ht="15.75" hidden="1" customHeight="1" x14ac:dyDescent="0.4"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</row>
    <row r="1070" spans="16:216" ht="15.75" hidden="1" customHeight="1" x14ac:dyDescent="0.4"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</row>
    <row r="1071" spans="16:216" ht="15.75" hidden="1" customHeight="1" x14ac:dyDescent="0.4"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</row>
    <row r="1072" spans="16:216" ht="15.75" hidden="1" customHeight="1" x14ac:dyDescent="0.4"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</row>
    <row r="1073" spans="16:216" ht="15.75" hidden="1" customHeight="1" x14ac:dyDescent="0.4"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</row>
    <row r="1074" spans="16:216" ht="15.75" hidden="1" customHeight="1" x14ac:dyDescent="0.4"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</row>
    <row r="1075" spans="16:216" ht="15.75" hidden="1" customHeight="1" x14ac:dyDescent="0.4"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</row>
    <row r="1076" spans="16:216" ht="15.75" hidden="1" customHeight="1" x14ac:dyDescent="0.4"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</row>
    <row r="1077" spans="16:216" ht="15.75" hidden="1" customHeight="1" x14ac:dyDescent="0.4"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</row>
    <row r="1078" spans="16:216" ht="15.75" hidden="1" customHeight="1" x14ac:dyDescent="0.4"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</row>
    <row r="1079" spans="16:216" ht="15.75" hidden="1" customHeight="1" x14ac:dyDescent="0.4"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</row>
    <row r="1080" spans="16:216" ht="15.75" hidden="1" customHeight="1" x14ac:dyDescent="0.4"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</row>
    <row r="1081" spans="16:216" ht="15.75" hidden="1" customHeight="1" x14ac:dyDescent="0.4"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</row>
    <row r="1082" spans="16:216" ht="15.75" hidden="1" customHeight="1" x14ac:dyDescent="0.4"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</row>
    <row r="1083" spans="16:216" ht="15.75" hidden="1" customHeight="1" x14ac:dyDescent="0.4"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</row>
    <row r="1084" spans="16:216" ht="15.75" hidden="1" customHeight="1" x14ac:dyDescent="0.4"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</row>
    <row r="1085" spans="16:216" ht="15.75" hidden="1" customHeight="1" x14ac:dyDescent="0.4"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</row>
    <row r="1086" spans="16:216" ht="15.75" hidden="1" customHeight="1" x14ac:dyDescent="0.4"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</row>
    <row r="1087" spans="16:216" ht="15.75" hidden="1" customHeight="1" x14ac:dyDescent="0.4"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</row>
    <row r="1088" spans="16:216" ht="15.75" hidden="1" customHeight="1" x14ac:dyDescent="0.4"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</row>
    <row r="1089" spans="16:216" ht="15.75" hidden="1" customHeight="1" x14ac:dyDescent="0.4"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</row>
    <row r="1090" spans="16:216" ht="15.75" hidden="1" customHeight="1" x14ac:dyDescent="0.4"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</row>
    <row r="1091" spans="16:216" ht="15.75" hidden="1" customHeight="1" x14ac:dyDescent="0.4"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</row>
    <row r="1092" spans="16:216" ht="15.75" hidden="1" customHeight="1" x14ac:dyDescent="0.4"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</row>
    <row r="1093" spans="16:216" ht="15.75" hidden="1" customHeight="1" x14ac:dyDescent="0.4"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</row>
    <row r="1094" spans="16:216" ht="15.75" hidden="1" customHeight="1" x14ac:dyDescent="0.4"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</row>
    <row r="1095" spans="16:216" ht="15.75" hidden="1" customHeight="1" x14ac:dyDescent="0.4"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</row>
    <row r="1096" spans="16:216" ht="15.75" hidden="1" customHeight="1" x14ac:dyDescent="0.4"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</row>
    <row r="1097" spans="16:216" ht="15.75" hidden="1" customHeight="1" x14ac:dyDescent="0.4"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</row>
    <row r="1098" spans="16:216" ht="15.75" hidden="1" customHeight="1" x14ac:dyDescent="0.4"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</row>
    <row r="1099" spans="16:216" ht="15.75" hidden="1" customHeight="1" x14ac:dyDescent="0.4"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</row>
    <row r="1100" spans="16:216" ht="15.75" hidden="1" customHeight="1" x14ac:dyDescent="0.4"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</row>
    <row r="1101" spans="16:216" ht="15.75" hidden="1" customHeight="1" x14ac:dyDescent="0.4"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</row>
    <row r="1102" spans="16:216" ht="15.75" hidden="1" customHeight="1" x14ac:dyDescent="0.4"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</row>
    <row r="1103" spans="16:216" ht="15.75" hidden="1" customHeight="1" x14ac:dyDescent="0.4"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</row>
    <row r="1104" spans="16:216" ht="15.75" hidden="1" customHeight="1" x14ac:dyDescent="0.4"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</row>
    <row r="1105" spans="16:216" ht="15.75" hidden="1" customHeight="1" x14ac:dyDescent="0.4"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</row>
    <row r="1106" spans="16:216" ht="15.75" hidden="1" customHeight="1" x14ac:dyDescent="0.4"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</row>
    <row r="1107" spans="16:216" ht="15.75" hidden="1" customHeight="1" x14ac:dyDescent="0.4"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</row>
    <row r="1108" spans="16:216" ht="15.75" hidden="1" customHeight="1" x14ac:dyDescent="0.4"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</row>
    <row r="1109" spans="16:216" ht="15.75" hidden="1" customHeight="1" x14ac:dyDescent="0.4"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</row>
    <row r="1110" spans="16:216" ht="15.75" hidden="1" customHeight="1" x14ac:dyDescent="0.4"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</row>
    <row r="1111" spans="16:216" ht="15.75" hidden="1" customHeight="1" x14ac:dyDescent="0.4"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</row>
    <row r="1112" spans="16:216" ht="15.75" hidden="1" customHeight="1" x14ac:dyDescent="0.4"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</row>
    <row r="1113" spans="16:216" ht="15.75" hidden="1" customHeight="1" x14ac:dyDescent="0.4"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</row>
    <row r="1114" spans="16:216" ht="15.75" hidden="1" customHeight="1" x14ac:dyDescent="0.4"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</row>
    <row r="1115" spans="16:216" ht="15.75" hidden="1" customHeight="1" x14ac:dyDescent="0.4"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</row>
    <row r="1116" spans="16:216" ht="15.75" hidden="1" customHeight="1" x14ac:dyDescent="0.4"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</row>
    <row r="1117" spans="16:216" ht="15.75" hidden="1" customHeight="1" x14ac:dyDescent="0.4"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</row>
    <row r="1118" spans="16:216" ht="15.75" hidden="1" customHeight="1" x14ac:dyDescent="0.4"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</row>
    <row r="1119" spans="16:216" ht="15.75" hidden="1" customHeight="1" x14ac:dyDescent="0.4"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</row>
    <row r="1120" spans="16:216" ht="15.75" hidden="1" customHeight="1" x14ac:dyDescent="0.4"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</row>
    <row r="1121" spans="16:216" ht="15.75" hidden="1" customHeight="1" x14ac:dyDescent="0.4"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</row>
    <row r="1122" spans="16:216" ht="15.75" hidden="1" customHeight="1" x14ac:dyDescent="0.4"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</row>
    <row r="1123" spans="16:216" ht="15.75" hidden="1" customHeight="1" x14ac:dyDescent="0.4"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</row>
    <row r="1124" spans="16:216" ht="15.75" hidden="1" customHeight="1" x14ac:dyDescent="0.4"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</row>
    <row r="1125" spans="16:216" ht="15.75" hidden="1" customHeight="1" x14ac:dyDescent="0.4"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</row>
    <row r="1126" spans="16:216" ht="15.75" hidden="1" customHeight="1" x14ac:dyDescent="0.4"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</row>
    <row r="1127" spans="16:216" ht="15.75" hidden="1" customHeight="1" x14ac:dyDescent="0.4"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</row>
    <row r="1128" spans="16:216" ht="15.75" hidden="1" customHeight="1" x14ac:dyDescent="0.4"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</row>
    <row r="1129" spans="16:216" ht="15.75" hidden="1" customHeight="1" x14ac:dyDescent="0.4"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</row>
    <row r="1130" spans="16:216" ht="15.75" hidden="1" customHeight="1" x14ac:dyDescent="0.4"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</row>
    <row r="1131" spans="16:216" ht="15.75" hidden="1" customHeight="1" x14ac:dyDescent="0.4"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</row>
    <row r="1132" spans="16:216" ht="15.75" hidden="1" customHeight="1" x14ac:dyDescent="0.4"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</row>
    <row r="1133" spans="16:216" ht="15" customHeight="1" x14ac:dyDescent="0.4"/>
    <row r="1134" spans="16:216" ht="15" customHeight="1" x14ac:dyDescent="0.4"/>
    <row r="1135" spans="16:216" ht="15" customHeight="1" x14ac:dyDescent="0.4"/>
    <row r="1136" spans="16:216" ht="15" customHeight="1" x14ac:dyDescent="0.4"/>
    <row r="1137" ht="15" customHeight="1" x14ac:dyDescent="0.4"/>
    <row r="1138" ht="15" customHeight="1" x14ac:dyDescent="0.4"/>
    <row r="1139" ht="15" customHeight="1" x14ac:dyDescent="0.4"/>
    <row r="1140" ht="15" customHeight="1" x14ac:dyDescent="0.4"/>
    <row r="1141" ht="15" customHeight="1" x14ac:dyDescent="0.4"/>
    <row r="1142" ht="15" customHeight="1" x14ac:dyDescent="0.4"/>
    <row r="1143" ht="15" customHeight="1" x14ac:dyDescent="0.4"/>
    <row r="1144" ht="15" customHeight="1" x14ac:dyDescent="0.4"/>
    <row r="1145" ht="15" customHeight="1" x14ac:dyDescent="0.4"/>
    <row r="1146" ht="15" customHeight="1" x14ac:dyDescent="0.4"/>
    <row r="1147" ht="15" customHeight="1" x14ac:dyDescent="0.4"/>
    <row r="1148" ht="15" customHeight="1" x14ac:dyDescent="0.4"/>
    <row r="1149" ht="15" customHeight="1" x14ac:dyDescent="0.4"/>
    <row r="1150" ht="15" customHeight="1" x14ac:dyDescent="0.4"/>
    <row r="1151" ht="15" customHeight="1" x14ac:dyDescent="0.4"/>
    <row r="1152" ht="15" customHeight="1" x14ac:dyDescent="0.4"/>
    <row r="1153" ht="15" customHeight="1" x14ac:dyDescent="0.4"/>
    <row r="1154" ht="15" customHeight="1" x14ac:dyDescent="0.4"/>
    <row r="1155" ht="15" customHeight="1" x14ac:dyDescent="0.4"/>
    <row r="1156" ht="15" customHeight="1" x14ac:dyDescent="0.4"/>
    <row r="1157" ht="15" customHeight="1" x14ac:dyDescent="0.4"/>
    <row r="1158" ht="15" customHeight="1" x14ac:dyDescent="0.4"/>
    <row r="1159" ht="15" customHeight="1" x14ac:dyDescent="0.4"/>
    <row r="1160" ht="15" customHeight="1" x14ac:dyDescent="0.4"/>
    <row r="1161" ht="15" customHeight="1" x14ac:dyDescent="0.4"/>
    <row r="1162" ht="15" customHeight="1" x14ac:dyDescent="0.4"/>
    <row r="1163" ht="15" customHeight="1" x14ac:dyDescent="0.4"/>
    <row r="1164" ht="15" customHeight="1" x14ac:dyDescent="0.4"/>
    <row r="1165" ht="15" customHeight="1" x14ac:dyDescent="0.4"/>
    <row r="1166" ht="15" customHeight="1" x14ac:dyDescent="0.4"/>
    <row r="1167" ht="15" customHeight="1" x14ac:dyDescent="0.4"/>
    <row r="1168" ht="15" customHeight="1" x14ac:dyDescent="0.4"/>
    <row r="1169" ht="15" customHeight="1" x14ac:dyDescent="0.4"/>
    <row r="1170" ht="15" customHeight="1" x14ac:dyDescent="0.4"/>
    <row r="1171" ht="15" customHeight="1" x14ac:dyDescent="0.4"/>
    <row r="1172" ht="15" customHeight="1" x14ac:dyDescent="0.4"/>
    <row r="1173" ht="15" customHeight="1" x14ac:dyDescent="0.4"/>
    <row r="1174" ht="15" customHeight="1" x14ac:dyDescent="0.4"/>
    <row r="1175" ht="15" customHeight="1" x14ac:dyDescent="0.4"/>
    <row r="1176" ht="15" customHeight="1" x14ac:dyDescent="0.4"/>
    <row r="1177" ht="15" customHeight="1" x14ac:dyDescent="0.4"/>
    <row r="1178" ht="15" customHeight="1" x14ac:dyDescent="0.4"/>
    <row r="1179" ht="15" customHeight="1" x14ac:dyDescent="0.4"/>
    <row r="1180" ht="15" customHeight="1" x14ac:dyDescent="0.4"/>
    <row r="1181" ht="15" customHeight="1" x14ac:dyDescent="0.4"/>
    <row r="1182" ht="15" customHeight="1" x14ac:dyDescent="0.4"/>
    <row r="1183" ht="15" customHeight="1" x14ac:dyDescent="0.4"/>
    <row r="1184" ht="15" customHeight="1" x14ac:dyDescent="0.4"/>
    <row r="1185" ht="15" customHeight="1" x14ac:dyDescent="0.4"/>
    <row r="1186" ht="15" customHeight="1" x14ac:dyDescent="0.4"/>
    <row r="1187" ht="15" customHeight="1" x14ac:dyDescent="0.4"/>
    <row r="1188" ht="15" customHeight="1" x14ac:dyDescent="0.4"/>
    <row r="1189" ht="15" customHeight="1" x14ac:dyDescent="0.4"/>
    <row r="1190" ht="15" customHeight="1" x14ac:dyDescent="0.4"/>
    <row r="1191" ht="15" customHeight="1" x14ac:dyDescent="0.4"/>
    <row r="1192" ht="15" customHeight="1" x14ac:dyDescent="0.4"/>
    <row r="1193" ht="15" customHeight="1" x14ac:dyDescent="0.4"/>
    <row r="1194" ht="15" customHeight="1" x14ac:dyDescent="0.4"/>
    <row r="1195" ht="15" customHeight="1" x14ac:dyDescent="0.4"/>
    <row r="1196" ht="15" customHeight="1" x14ac:dyDescent="0.4"/>
    <row r="1197" ht="15" customHeight="1" x14ac:dyDescent="0.4"/>
    <row r="1198" ht="15" customHeight="1" x14ac:dyDescent="0.4"/>
    <row r="1199" ht="15" customHeight="1" x14ac:dyDescent="0.4"/>
    <row r="1200" ht="15" customHeight="1" x14ac:dyDescent="0.4"/>
    <row r="1201" ht="15" customHeight="1" x14ac:dyDescent="0.4"/>
    <row r="1202" ht="15" customHeight="1" x14ac:dyDescent="0.4"/>
    <row r="1203" ht="15" customHeight="1" x14ac:dyDescent="0.4"/>
    <row r="1204" ht="15" customHeight="1" x14ac:dyDescent="0.4"/>
    <row r="1205" ht="15" customHeight="1" x14ac:dyDescent="0.4"/>
    <row r="1206" ht="15" customHeight="1" x14ac:dyDescent="0.4"/>
    <row r="1207" ht="15" customHeight="1" x14ac:dyDescent="0.4"/>
    <row r="1208" ht="15" customHeight="1" x14ac:dyDescent="0.4"/>
    <row r="1209" ht="15" customHeight="1" x14ac:dyDescent="0.4"/>
    <row r="1210" ht="15" customHeight="1" x14ac:dyDescent="0.4"/>
    <row r="1211" ht="15" customHeight="1" x14ac:dyDescent="0.4"/>
    <row r="1212" ht="15" customHeight="1" x14ac:dyDescent="0.4"/>
    <row r="1213" ht="15" customHeight="1" x14ac:dyDescent="0.4"/>
    <row r="1214" ht="15" customHeight="1" x14ac:dyDescent="0.4"/>
    <row r="1215" ht="15" customHeight="1" x14ac:dyDescent="0.4"/>
    <row r="1216" ht="15" customHeight="1" x14ac:dyDescent="0.4"/>
    <row r="1217" ht="15" customHeight="1" x14ac:dyDescent="0.4"/>
    <row r="1218" ht="15" customHeight="1" x14ac:dyDescent="0.4"/>
    <row r="1219" ht="15" customHeight="1" x14ac:dyDescent="0.4"/>
    <row r="1220" ht="15" customHeight="1" x14ac:dyDescent="0.4"/>
    <row r="1221" ht="15" customHeight="1" x14ac:dyDescent="0.4"/>
    <row r="1222" ht="15" customHeight="1" x14ac:dyDescent="0.4"/>
    <row r="1223" ht="15" customHeight="1" x14ac:dyDescent="0.4"/>
    <row r="1224" ht="15" customHeight="1" x14ac:dyDescent="0.4"/>
  </sheetData>
  <mergeCells count="83">
    <mergeCell ref="A31:D31"/>
    <mergeCell ref="B12:D12"/>
    <mergeCell ref="B25:B27"/>
    <mergeCell ref="C25:C27"/>
    <mergeCell ref="B28:B30"/>
    <mergeCell ref="C28:C30"/>
    <mergeCell ref="E12:E13"/>
    <mergeCell ref="B13:D13"/>
    <mergeCell ref="B14:C16"/>
    <mergeCell ref="A17:D17"/>
    <mergeCell ref="B22:B24"/>
    <mergeCell ref="C22:C24"/>
    <mergeCell ref="B18:D18"/>
    <mergeCell ref="B19:B21"/>
    <mergeCell ref="C19:C2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52:D52"/>
    <mergeCell ref="B43:D43"/>
    <mergeCell ref="A44:D44"/>
    <mergeCell ref="C45:D45"/>
    <mergeCell ref="B61:D61"/>
    <mergeCell ref="A62:E62"/>
    <mergeCell ref="C54:D54"/>
    <mergeCell ref="A53:E53"/>
    <mergeCell ref="C63:D63"/>
    <mergeCell ref="C81:D81"/>
    <mergeCell ref="B79:D79"/>
    <mergeCell ref="A80:E80"/>
    <mergeCell ref="B70:D70"/>
    <mergeCell ref="A71:E71"/>
    <mergeCell ref="C72:D72"/>
    <mergeCell ref="B91:D91"/>
    <mergeCell ref="A92:E92"/>
    <mergeCell ref="C93:D93"/>
    <mergeCell ref="B88:D88"/>
    <mergeCell ref="C90:D90"/>
    <mergeCell ref="A89:E89"/>
    <mergeCell ref="C115:D115"/>
    <mergeCell ref="B113:D113"/>
    <mergeCell ref="A114:E114"/>
    <mergeCell ref="B98:D98"/>
    <mergeCell ref="A99:E99"/>
    <mergeCell ref="C100:D100"/>
    <mergeCell ref="C109:D109"/>
    <mergeCell ref="B107:D107"/>
    <mergeCell ref="A108:E108"/>
    <mergeCell ref="C127:D127"/>
    <mergeCell ref="B125:D125"/>
    <mergeCell ref="A126:E126"/>
    <mergeCell ref="B122:D122"/>
    <mergeCell ref="A123:E123"/>
    <mergeCell ref="C124:D124"/>
    <mergeCell ref="B142:D142"/>
    <mergeCell ref="A143:E143"/>
    <mergeCell ref="C144:D144"/>
    <mergeCell ref="B134:D134"/>
    <mergeCell ref="C136:D136"/>
    <mergeCell ref="A135:E135"/>
    <mergeCell ref="B156:D156"/>
    <mergeCell ref="C158:D158"/>
    <mergeCell ref="A157:E157"/>
    <mergeCell ref="C153:D153"/>
    <mergeCell ref="B151:D151"/>
    <mergeCell ref="A152:E152"/>
    <mergeCell ref="C173:D173"/>
    <mergeCell ref="B171:D171"/>
    <mergeCell ref="A172:E172"/>
    <mergeCell ref="B162:D162"/>
    <mergeCell ref="A163:E163"/>
    <mergeCell ref="C164:D164"/>
    <mergeCell ref="C179:D179"/>
    <mergeCell ref="C180:D180"/>
    <mergeCell ref="C181:D181"/>
    <mergeCell ref="B176:D176"/>
    <mergeCell ref="B178:D178"/>
  </mergeCells>
  <conditionalFormatting sqref="E30">
    <cfRule type="expression" dxfId="167" priority="131">
      <formula>E30&lt;&gt;E181</formula>
    </cfRule>
    <cfRule type="expression" dxfId="166" priority="132">
      <formula>E30&lt;&gt;E34</formula>
    </cfRule>
  </conditionalFormatting>
  <conditionalFormatting sqref="E52">
    <cfRule type="containsBlanks" dxfId="165" priority="1">
      <formula>LEN(TRIM(E52))=0</formula>
    </cfRule>
  </conditionalFormatting>
  <conditionalFormatting sqref="E61">
    <cfRule type="containsBlanks" dxfId="164" priority="2">
      <formula>LEN(TRIM(E61))=0</formula>
    </cfRule>
  </conditionalFormatting>
  <conditionalFormatting sqref="E70">
    <cfRule type="containsBlanks" dxfId="163" priority="3">
      <formula>LEN(TRIM(E70))=0</formula>
    </cfRule>
  </conditionalFormatting>
  <conditionalFormatting sqref="E79">
    <cfRule type="containsBlanks" dxfId="162" priority="4">
      <formula>LEN(TRIM(E79))=0</formula>
    </cfRule>
  </conditionalFormatting>
  <conditionalFormatting sqref="E88">
    <cfRule type="containsBlanks" dxfId="161" priority="5">
      <formula>LEN(TRIM(E88))=0</formula>
    </cfRule>
  </conditionalFormatting>
  <conditionalFormatting sqref="E91">
    <cfRule type="containsBlanks" dxfId="160" priority="6">
      <formula>LEN(TRIM(E91))=0</formula>
    </cfRule>
  </conditionalFormatting>
  <conditionalFormatting sqref="E98">
    <cfRule type="containsBlanks" dxfId="159" priority="7">
      <formula>LEN(TRIM(E98))=0</formula>
    </cfRule>
  </conditionalFormatting>
  <conditionalFormatting sqref="E107">
    <cfRule type="containsBlanks" dxfId="158" priority="8">
      <formula>LEN(TRIM(E107))=0</formula>
    </cfRule>
  </conditionalFormatting>
  <conditionalFormatting sqref="E113">
    <cfRule type="containsBlanks" dxfId="157" priority="9">
      <formula>LEN(TRIM(E113))=0</formula>
    </cfRule>
  </conditionalFormatting>
  <conditionalFormatting sqref="E122">
    <cfRule type="containsBlanks" dxfId="156" priority="10">
      <formula>LEN(TRIM(E122))=0</formula>
    </cfRule>
  </conditionalFormatting>
  <conditionalFormatting sqref="E125">
    <cfRule type="containsBlanks" dxfId="155" priority="11">
      <formula>LEN(TRIM(E125))=0</formula>
    </cfRule>
  </conditionalFormatting>
  <conditionalFormatting sqref="E134">
    <cfRule type="containsBlanks" dxfId="154" priority="12">
      <formula>LEN(TRIM(E134))=0</formula>
    </cfRule>
  </conditionalFormatting>
  <conditionalFormatting sqref="E142">
    <cfRule type="containsBlanks" dxfId="153" priority="13">
      <formula>LEN(TRIM(E142))=0</formula>
    </cfRule>
  </conditionalFormatting>
  <conditionalFormatting sqref="E151">
    <cfRule type="containsBlanks" dxfId="152" priority="14">
      <formula>LEN(TRIM(E151))=0</formula>
    </cfRule>
  </conditionalFormatting>
  <conditionalFormatting sqref="E156">
    <cfRule type="containsBlanks" dxfId="151" priority="15">
      <formula>LEN(TRIM(E156))=0</formula>
    </cfRule>
  </conditionalFormatting>
  <conditionalFormatting sqref="E162">
    <cfRule type="containsBlanks" dxfId="150" priority="16">
      <formula>LEN(TRIM(E162))=0</formula>
    </cfRule>
  </conditionalFormatting>
  <conditionalFormatting sqref="E171">
    <cfRule type="containsBlanks" dxfId="149" priority="17">
      <formula>LEN(TRIM(E171))=0</formula>
    </cfRule>
  </conditionalFormatting>
  <conditionalFormatting sqref="E176">
    <cfRule type="containsBlanks" dxfId="148" priority="25">
      <formula>LEN(TRIM(E176))=0</formula>
    </cfRule>
  </conditionalFormatting>
  <conditionalFormatting sqref="F176:O178">
    <cfRule type="cellIs" dxfId="147" priority="49" operator="equal">
      <formula>"FALSE"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0B6F-3DA7-481D-AF0D-47F958A575F4}">
  <sheetPr>
    <tabColor rgb="FF92D050"/>
  </sheetPr>
  <dimension ref="A2:U181"/>
  <sheetViews>
    <sheetView topLeftCell="D13" zoomScaleNormal="100" workbookViewId="0">
      <pane ySplit="1" topLeftCell="A173" activePane="bottomLeft" state="frozen"/>
      <selection activeCell="A13" sqref="A13"/>
      <selection pane="bottomLeft" activeCell="T175" sqref="T175"/>
    </sheetView>
  </sheetViews>
  <sheetFormatPr defaultRowHeight="13.15" x14ac:dyDescent="0.4"/>
  <cols>
    <col min="3" max="3" width="67.140625" bestFit="1" customWidth="1"/>
    <col min="4" max="4" width="5.85546875" bestFit="1" customWidth="1"/>
    <col min="21" max="21" width="13.28515625" customWidth="1"/>
  </cols>
  <sheetData>
    <row r="2" spans="1:21" x14ac:dyDescent="0.4">
      <c r="C2" s="43" t="s">
        <v>91</v>
      </c>
      <c r="D2" s="43" t="s">
        <v>98</v>
      </c>
    </row>
    <row r="3" spans="1:21" x14ac:dyDescent="0.4">
      <c r="C3" s="43" t="s">
        <v>92</v>
      </c>
      <c r="D3" s="43" t="s">
        <v>93</v>
      </c>
    </row>
    <row r="4" spans="1:21" x14ac:dyDescent="0.4">
      <c r="C4" s="43" t="s">
        <v>94</v>
      </c>
      <c r="D4" s="43" t="s">
        <v>95</v>
      </c>
    </row>
    <row r="5" spans="1:21" x14ac:dyDescent="0.4">
      <c r="C5" s="43"/>
      <c r="D5" s="43"/>
    </row>
    <row r="6" spans="1:21" x14ac:dyDescent="0.4">
      <c r="C6" s="43"/>
      <c r="D6" s="43"/>
    </row>
    <row r="7" spans="1:21" x14ac:dyDescent="0.4">
      <c r="C7" s="43"/>
      <c r="D7" s="43"/>
    </row>
    <row r="8" spans="1:21" x14ac:dyDescent="0.4">
      <c r="C8" s="43"/>
      <c r="D8" s="43"/>
    </row>
    <row r="9" spans="1:21" x14ac:dyDescent="0.4">
      <c r="C9" s="43" t="s">
        <v>96</v>
      </c>
      <c r="D9" s="43" t="s">
        <v>97</v>
      </c>
    </row>
    <row r="11" spans="1:21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1"/>
      <c r="T11" s="1"/>
    </row>
    <row r="12" spans="1:21" x14ac:dyDescent="0.4">
      <c r="A12" s="5" t="s">
        <v>0</v>
      </c>
      <c r="B12" s="60" t="s">
        <v>1</v>
      </c>
      <c r="C12" s="68"/>
      <c r="D12" s="51"/>
      <c r="E12" s="85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7" t="s">
        <v>90</v>
      </c>
    </row>
    <row r="13" spans="1:21" x14ac:dyDescent="0.4">
      <c r="A13" s="6" t="s">
        <v>2</v>
      </c>
      <c r="B13" s="78" t="s">
        <v>3</v>
      </c>
      <c r="C13" s="68"/>
      <c r="D13" s="5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88"/>
    </row>
    <row r="14" spans="1:21" x14ac:dyDescent="0.4">
      <c r="A14" s="7"/>
      <c r="B14" s="89" t="s">
        <v>21</v>
      </c>
      <c r="C14" s="64"/>
      <c r="D14" s="6" t="s">
        <v>22</v>
      </c>
      <c r="E14" s="6">
        <v>137</v>
      </c>
      <c r="F14" s="6">
        <v>142</v>
      </c>
      <c r="G14" s="6">
        <v>142</v>
      </c>
      <c r="H14" s="6">
        <v>141</v>
      </c>
      <c r="I14" s="6">
        <v>150</v>
      </c>
      <c r="J14" s="6">
        <v>155</v>
      </c>
      <c r="K14" s="6">
        <v>146</v>
      </c>
      <c r="L14" s="6">
        <v>155</v>
      </c>
      <c r="M14" s="6">
        <v>152</v>
      </c>
      <c r="N14" s="6">
        <v>139</v>
      </c>
      <c r="O14" s="6">
        <v>110</v>
      </c>
      <c r="P14" s="6">
        <v>125</v>
      </c>
      <c r="Q14" s="6">
        <v>110</v>
      </c>
      <c r="R14" s="6">
        <v>108</v>
      </c>
      <c r="S14" s="6">
        <v>70</v>
      </c>
      <c r="T14" s="6">
        <v>139</v>
      </c>
      <c r="U14" s="5">
        <f>SUM(E14:T14)</f>
        <v>2121</v>
      </c>
    </row>
    <row r="15" spans="1:21" x14ac:dyDescent="0.4">
      <c r="A15" s="7"/>
      <c r="B15" s="90"/>
      <c r="C15" s="77"/>
      <c r="D15" s="6" t="s">
        <v>23</v>
      </c>
      <c r="E15" s="6">
        <v>158</v>
      </c>
      <c r="F15" s="6">
        <v>154</v>
      </c>
      <c r="G15" s="6">
        <v>155</v>
      </c>
      <c r="H15" s="6">
        <v>156</v>
      </c>
      <c r="I15" s="6">
        <v>146</v>
      </c>
      <c r="J15" s="6">
        <v>142</v>
      </c>
      <c r="K15" s="6">
        <v>152</v>
      </c>
      <c r="L15" s="6">
        <v>143</v>
      </c>
      <c r="M15" s="6">
        <v>145</v>
      </c>
      <c r="N15" s="6">
        <v>159</v>
      </c>
      <c r="O15" s="6">
        <v>111</v>
      </c>
      <c r="P15" s="6">
        <v>133</v>
      </c>
      <c r="Q15" s="6">
        <v>117</v>
      </c>
      <c r="R15" s="6">
        <v>117</v>
      </c>
      <c r="S15" s="6">
        <v>78</v>
      </c>
      <c r="T15" s="6">
        <v>128</v>
      </c>
      <c r="U15" s="5">
        <f>SUM(E15:T15)</f>
        <v>2194</v>
      </c>
    </row>
    <row r="16" spans="1:21" x14ac:dyDescent="0.4">
      <c r="A16" s="8"/>
      <c r="B16" s="91"/>
      <c r="C16" s="75"/>
      <c r="D16" s="5" t="s">
        <v>24</v>
      </c>
      <c r="E16" s="5">
        <f t="shared" ref="E16:T16" si="0">SUM(E14:E15)</f>
        <v>295</v>
      </c>
      <c r="F16" s="5">
        <f t="shared" ref="F16:N16" si="1">SUM(F14:F15)</f>
        <v>296</v>
      </c>
      <c r="G16" s="5">
        <f t="shared" si="1"/>
        <v>297</v>
      </c>
      <c r="H16" s="5">
        <f t="shared" si="1"/>
        <v>297</v>
      </c>
      <c r="I16" s="5">
        <f t="shared" si="1"/>
        <v>296</v>
      </c>
      <c r="J16" s="5">
        <f t="shared" si="1"/>
        <v>297</v>
      </c>
      <c r="K16" s="5">
        <f t="shared" si="1"/>
        <v>298</v>
      </c>
      <c r="L16" s="5">
        <f t="shared" si="1"/>
        <v>298</v>
      </c>
      <c r="M16" s="5">
        <f t="shared" si="1"/>
        <v>297</v>
      </c>
      <c r="N16" s="5">
        <f t="shared" si="1"/>
        <v>298</v>
      </c>
      <c r="O16" s="5">
        <f t="shared" si="0"/>
        <v>221</v>
      </c>
      <c r="P16" s="5">
        <f t="shared" si="0"/>
        <v>258</v>
      </c>
      <c r="Q16" s="5">
        <f t="shared" si="0"/>
        <v>227</v>
      </c>
      <c r="R16" s="5">
        <f t="shared" si="0"/>
        <v>225</v>
      </c>
      <c r="S16" s="5">
        <f t="shared" si="0"/>
        <v>148</v>
      </c>
      <c r="T16" s="5">
        <f t="shared" si="0"/>
        <v>267</v>
      </c>
      <c r="U16" s="5">
        <f>SUM(E16:T16)</f>
        <v>4315</v>
      </c>
    </row>
    <row r="17" spans="1:21" x14ac:dyDescent="0.4">
      <c r="A17" s="55"/>
      <c r="B17" s="68"/>
      <c r="C17" s="68"/>
      <c r="D17" s="51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6"/>
      <c r="T17" s="6"/>
      <c r="U17" s="28"/>
    </row>
    <row r="18" spans="1:21" x14ac:dyDescent="0.4">
      <c r="A18" s="11" t="s">
        <v>25</v>
      </c>
      <c r="B18" s="78" t="s">
        <v>26</v>
      </c>
      <c r="C18" s="68"/>
      <c r="D18" s="51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6"/>
      <c r="T18" s="6"/>
      <c r="U18" s="28"/>
    </row>
    <row r="19" spans="1:21" x14ac:dyDescent="0.4">
      <c r="A19" s="11"/>
      <c r="B19" s="79" t="s">
        <v>27</v>
      </c>
      <c r="C19" s="80" t="s">
        <v>28</v>
      </c>
      <c r="D19" s="6" t="s">
        <v>22</v>
      </c>
      <c r="E19" s="6">
        <v>89</v>
      </c>
      <c r="F19" s="6">
        <v>113</v>
      </c>
      <c r="G19" s="6">
        <v>117</v>
      </c>
      <c r="H19" s="6">
        <v>118</v>
      </c>
      <c r="I19" s="6">
        <v>115</v>
      </c>
      <c r="J19" s="6">
        <v>121</v>
      </c>
      <c r="K19" s="6">
        <v>107</v>
      </c>
      <c r="L19" s="6">
        <v>115</v>
      </c>
      <c r="M19" s="6">
        <v>129</v>
      </c>
      <c r="N19" s="6">
        <v>105</v>
      </c>
      <c r="O19" s="6">
        <v>88</v>
      </c>
      <c r="P19" s="6">
        <v>101</v>
      </c>
      <c r="Q19" s="6">
        <v>99</v>
      </c>
      <c r="R19" s="6">
        <v>90</v>
      </c>
      <c r="S19" s="6">
        <v>51</v>
      </c>
      <c r="T19" s="6">
        <v>106</v>
      </c>
      <c r="U19" s="5">
        <f t="shared" ref="U19:U30" si="2">SUM(E19:T19)</f>
        <v>1664</v>
      </c>
    </row>
    <row r="20" spans="1:21" x14ac:dyDescent="0.4">
      <c r="A20" s="12"/>
      <c r="B20" s="77"/>
      <c r="C20" s="81"/>
      <c r="D20" s="6" t="s">
        <v>23</v>
      </c>
      <c r="E20" s="6">
        <v>117</v>
      </c>
      <c r="F20" s="6">
        <v>120</v>
      </c>
      <c r="G20" s="6">
        <v>134</v>
      </c>
      <c r="H20" s="6">
        <v>136</v>
      </c>
      <c r="I20" s="6">
        <v>114</v>
      </c>
      <c r="J20" s="6">
        <v>123</v>
      </c>
      <c r="K20" s="6">
        <v>135</v>
      </c>
      <c r="L20" s="6">
        <v>121</v>
      </c>
      <c r="M20" s="6">
        <v>131</v>
      </c>
      <c r="N20" s="6">
        <v>128</v>
      </c>
      <c r="O20" s="6">
        <v>103</v>
      </c>
      <c r="P20" s="6">
        <v>112</v>
      </c>
      <c r="Q20" s="6">
        <v>110</v>
      </c>
      <c r="R20" s="6">
        <v>100</v>
      </c>
      <c r="S20" s="6">
        <v>68</v>
      </c>
      <c r="T20" s="6">
        <v>109</v>
      </c>
      <c r="U20" s="5">
        <f t="shared" si="2"/>
        <v>1861</v>
      </c>
    </row>
    <row r="21" spans="1:21" x14ac:dyDescent="0.4">
      <c r="A21" s="13"/>
      <c r="B21" s="75"/>
      <c r="C21" s="82"/>
      <c r="D21" s="5" t="s">
        <v>24</v>
      </c>
      <c r="E21" s="5">
        <f t="shared" ref="E21:T21" si="3">SUM(E19:E20)</f>
        <v>206</v>
      </c>
      <c r="F21" s="5">
        <f t="shared" ref="F21:N21" si="4">SUM(F19:F20)</f>
        <v>233</v>
      </c>
      <c r="G21" s="5">
        <f t="shared" si="4"/>
        <v>251</v>
      </c>
      <c r="H21" s="5">
        <f t="shared" si="4"/>
        <v>254</v>
      </c>
      <c r="I21" s="5">
        <f t="shared" si="4"/>
        <v>229</v>
      </c>
      <c r="J21" s="5">
        <f t="shared" si="4"/>
        <v>244</v>
      </c>
      <c r="K21" s="5">
        <f t="shared" si="4"/>
        <v>242</v>
      </c>
      <c r="L21" s="5">
        <f t="shared" si="4"/>
        <v>236</v>
      </c>
      <c r="M21" s="5">
        <f t="shared" si="4"/>
        <v>260</v>
      </c>
      <c r="N21" s="5">
        <f t="shared" si="4"/>
        <v>233</v>
      </c>
      <c r="O21" s="5">
        <f t="shared" si="3"/>
        <v>191</v>
      </c>
      <c r="P21" s="5">
        <f t="shared" si="3"/>
        <v>213</v>
      </c>
      <c r="Q21" s="5">
        <f t="shared" si="3"/>
        <v>209</v>
      </c>
      <c r="R21" s="5">
        <f t="shared" si="3"/>
        <v>190</v>
      </c>
      <c r="S21" s="5">
        <f t="shared" si="3"/>
        <v>119</v>
      </c>
      <c r="T21" s="5">
        <f t="shared" si="3"/>
        <v>215</v>
      </c>
      <c r="U21" s="5">
        <f t="shared" si="2"/>
        <v>3525</v>
      </c>
    </row>
    <row r="22" spans="1:21" x14ac:dyDescent="0.4">
      <c r="A22" s="12"/>
      <c r="B22" s="79" t="s">
        <v>29</v>
      </c>
      <c r="C22" s="80" t="s">
        <v>30</v>
      </c>
      <c r="D22" s="6" t="s">
        <v>22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5">
        <f t="shared" si="2"/>
        <v>0</v>
      </c>
    </row>
    <row r="23" spans="1:21" x14ac:dyDescent="0.4">
      <c r="A23" s="12"/>
      <c r="B23" s="77"/>
      <c r="C23" s="81"/>
      <c r="D23" s="6" t="s">
        <v>23</v>
      </c>
      <c r="E23" s="6">
        <v>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5">
        <f t="shared" si="2"/>
        <v>1</v>
      </c>
    </row>
    <row r="24" spans="1:21" x14ac:dyDescent="0.4">
      <c r="A24" s="13"/>
      <c r="B24" s="75"/>
      <c r="C24" s="82"/>
      <c r="D24" s="5" t="s">
        <v>24</v>
      </c>
      <c r="E24" s="5">
        <f t="shared" ref="E24:T24" si="5">SUM(E22:E23)</f>
        <v>1</v>
      </c>
      <c r="F24" s="5">
        <f t="shared" ref="F24:N24" si="6">SUM(F22:F23)</f>
        <v>0</v>
      </c>
      <c r="G24" s="5">
        <f t="shared" si="6"/>
        <v>0</v>
      </c>
      <c r="H24" s="5">
        <f t="shared" si="6"/>
        <v>0</v>
      </c>
      <c r="I24" s="5">
        <f t="shared" si="6"/>
        <v>0</v>
      </c>
      <c r="J24" s="5">
        <f t="shared" si="6"/>
        <v>0</v>
      </c>
      <c r="K24" s="5">
        <f t="shared" si="6"/>
        <v>0</v>
      </c>
      <c r="L24" s="5">
        <f t="shared" si="6"/>
        <v>0</v>
      </c>
      <c r="M24" s="5">
        <f t="shared" si="6"/>
        <v>0</v>
      </c>
      <c r="N24" s="5">
        <f t="shared" si="6"/>
        <v>0</v>
      </c>
      <c r="O24" s="5">
        <f t="shared" si="5"/>
        <v>0</v>
      </c>
      <c r="P24" s="5">
        <f t="shared" si="5"/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si="5"/>
        <v>0</v>
      </c>
      <c r="U24" s="5">
        <f t="shared" si="2"/>
        <v>1</v>
      </c>
    </row>
    <row r="25" spans="1:21" x14ac:dyDescent="0.4">
      <c r="A25" s="12"/>
      <c r="B25" s="79" t="s">
        <v>31</v>
      </c>
      <c r="C25" s="80" t="s">
        <v>32</v>
      </c>
      <c r="D25" s="6" t="s">
        <v>22</v>
      </c>
      <c r="E25" s="6">
        <v>3</v>
      </c>
      <c r="F25" s="6">
        <v>2</v>
      </c>
      <c r="G25" s="6"/>
      <c r="H25" s="6">
        <v>2</v>
      </c>
      <c r="I25" s="6"/>
      <c r="J25" s="6"/>
      <c r="K25" s="6"/>
      <c r="L25" s="6"/>
      <c r="M25" s="6"/>
      <c r="N25" s="6">
        <v>1</v>
      </c>
      <c r="O25" s="6"/>
      <c r="P25" s="6"/>
      <c r="Q25" s="6"/>
      <c r="R25" s="6"/>
      <c r="S25" s="6">
        <v>1</v>
      </c>
      <c r="T25" s="6"/>
      <c r="U25" s="5">
        <f t="shared" si="2"/>
        <v>9</v>
      </c>
    </row>
    <row r="26" spans="1:21" x14ac:dyDescent="0.4">
      <c r="A26" s="12"/>
      <c r="B26" s="77"/>
      <c r="C26" s="81"/>
      <c r="D26" s="6" t="s">
        <v>23</v>
      </c>
      <c r="E26" s="6">
        <v>5</v>
      </c>
      <c r="F26" s="6"/>
      <c r="G26" s="6"/>
      <c r="H26" s="6">
        <v>1</v>
      </c>
      <c r="I26" s="6">
        <v>1</v>
      </c>
      <c r="J26" s="6"/>
      <c r="K26" s="6"/>
      <c r="L26" s="6">
        <v>1</v>
      </c>
      <c r="M26" s="6"/>
      <c r="N26" s="6">
        <v>1</v>
      </c>
      <c r="O26" s="6"/>
      <c r="P26" s="6"/>
      <c r="Q26" s="6"/>
      <c r="R26" s="6">
        <v>1</v>
      </c>
      <c r="S26" s="6"/>
      <c r="T26" s="6"/>
      <c r="U26" s="5">
        <f t="shared" si="2"/>
        <v>10</v>
      </c>
    </row>
    <row r="27" spans="1:21" x14ac:dyDescent="0.4">
      <c r="A27" s="13"/>
      <c r="B27" s="75"/>
      <c r="C27" s="82"/>
      <c r="D27" s="5" t="s">
        <v>24</v>
      </c>
      <c r="E27" s="5">
        <f t="shared" ref="E27:T27" si="7">SUM(E25:E26)</f>
        <v>8</v>
      </c>
      <c r="F27" s="5">
        <f t="shared" ref="F27:N27" si="8">SUM(F25:F26)</f>
        <v>2</v>
      </c>
      <c r="G27" s="5">
        <f t="shared" si="8"/>
        <v>0</v>
      </c>
      <c r="H27" s="5">
        <f t="shared" si="8"/>
        <v>3</v>
      </c>
      <c r="I27" s="5">
        <f t="shared" si="8"/>
        <v>1</v>
      </c>
      <c r="J27" s="5">
        <f t="shared" si="8"/>
        <v>0</v>
      </c>
      <c r="K27" s="5">
        <f t="shared" si="8"/>
        <v>0</v>
      </c>
      <c r="L27" s="5">
        <f t="shared" si="8"/>
        <v>1</v>
      </c>
      <c r="M27" s="5">
        <f t="shared" si="8"/>
        <v>0</v>
      </c>
      <c r="N27" s="5">
        <f t="shared" si="8"/>
        <v>2</v>
      </c>
      <c r="O27" s="5">
        <f t="shared" si="7"/>
        <v>0</v>
      </c>
      <c r="P27" s="5">
        <f t="shared" si="7"/>
        <v>0</v>
      </c>
      <c r="Q27" s="5">
        <f t="shared" si="7"/>
        <v>0</v>
      </c>
      <c r="R27" s="5">
        <f t="shared" si="7"/>
        <v>1</v>
      </c>
      <c r="S27" s="5">
        <f t="shared" si="7"/>
        <v>1</v>
      </c>
      <c r="T27" s="5">
        <f t="shared" si="7"/>
        <v>0</v>
      </c>
      <c r="U27" s="5">
        <f t="shared" si="2"/>
        <v>19</v>
      </c>
    </row>
    <row r="28" spans="1:21" x14ac:dyDescent="0.4">
      <c r="A28" s="13"/>
      <c r="B28" s="83" t="s">
        <v>33</v>
      </c>
      <c r="C28" s="84" t="s">
        <v>34</v>
      </c>
      <c r="D28" s="5" t="s">
        <v>22</v>
      </c>
      <c r="E28" s="5">
        <f>SUM(E19,E22,E25)</f>
        <v>92</v>
      </c>
      <c r="F28" s="5">
        <f t="shared" ref="F28:N28" si="9">SUM(F19,F22,F25)</f>
        <v>115</v>
      </c>
      <c r="G28" s="5">
        <f t="shared" si="9"/>
        <v>117</v>
      </c>
      <c r="H28" s="5">
        <f t="shared" si="9"/>
        <v>120</v>
      </c>
      <c r="I28" s="5">
        <f t="shared" si="9"/>
        <v>115</v>
      </c>
      <c r="J28" s="5">
        <f t="shared" si="9"/>
        <v>121</v>
      </c>
      <c r="K28" s="5">
        <f t="shared" si="9"/>
        <v>107</v>
      </c>
      <c r="L28" s="5">
        <f t="shared" si="9"/>
        <v>115</v>
      </c>
      <c r="M28" s="5">
        <f t="shared" si="9"/>
        <v>129</v>
      </c>
      <c r="N28" s="5">
        <f t="shared" si="9"/>
        <v>106</v>
      </c>
      <c r="O28" s="5">
        <f t="shared" ref="O28:T29" si="10">SUM(O19,O22,O25)</f>
        <v>88</v>
      </c>
      <c r="P28" s="5">
        <f t="shared" si="10"/>
        <v>101</v>
      </c>
      <c r="Q28" s="5">
        <f t="shared" si="10"/>
        <v>99</v>
      </c>
      <c r="R28" s="5">
        <f t="shared" si="10"/>
        <v>90</v>
      </c>
      <c r="S28" s="5">
        <f t="shared" si="10"/>
        <v>52</v>
      </c>
      <c r="T28" s="5">
        <f t="shared" si="10"/>
        <v>106</v>
      </c>
      <c r="U28" s="5">
        <f t="shared" si="2"/>
        <v>1673</v>
      </c>
    </row>
    <row r="29" spans="1:21" x14ac:dyDescent="0.4">
      <c r="A29" s="13"/>
      <c r="B29" s="77"/>
      <c r="C29" s="81"/>
      <c r="D29" s="5" t="s">
        <v>23</v>
      </c>
      <c r="E29" s="5">
        <f>SUM(E20,E23,E26)</f>
        <v>123</v>
      </c>
      <c r="F29" s="5">
        <f t="shared" ref="F29:N29" si="11">SUM(F20,F23,F26)</f>
        <v>120</v>
      </c>
      <c r="G29" s="5">
        <f t="shared" si="11"/>
        <v>134</v>
      </c>
      <c r="H29" s="5">
        <f t="shared" si="11"/>
        <v>137</v>
      </c>
      <c r="I29" s="5">
        <f t="shared" si="11"/>
        <v>115</v>
      </c>
      <c r="J29" s="5">
        <f t="shared" si="11"/>
        <v>123</v>
      </c>
      <c r="K29" s="5">
        <f t="shared" si="11"/>
        <v>135</v>
      </c>
      <c r="L29" s="5">
        <f t="shared" si="11"/>
        <v>122</v>
      </c>
      <c r="M29" s="5">
        <f t="shared" si="11"/>
        <v>131</v>
      </c>
      <c r="N29" s="5">
        <f t="shared" si="11"/>
        <v>129</v>
      </c>
      <c r="O29" s="5">
        <f t="shared" si="10"/>
        <v>103</v>
      </c>
      <c r="P29" s="5">
        <f t="shared" si="10"/>
        <v>112</v>
      </c>
      <c r="Q29" s="5">
        <f t="shared" si="10"/>
        <v>110</v>
      </c>
      <c r="R29" s="5">
        <f t="shared" si="10"/>
        <v>101</v>
      </c>
      <c r="S29" s="5">
        <f t="shared" si="10"/>
        <v>68</v>
      </c>
      <c r="T29" s="5">
        <f t="shared" si="10"/>
        <v>109</v>
      </c>
      <c r="U29" s="5">
        <f t="shared" si="2"/>
        <v>1872</v>
      </c>
    </row>
    <row r="30" spans="1:21" x14ac:dyDescent="0.4">
      <c r="A30" s="13"/>
      <c r="B30" s="75"/>
      <c r="C30" s="82"/>
      <c r="D30" s="5" t="s">
        <v>24</v>
      </c>
      <c r="E30" s="5">
        <f t="shared" ref="E30:T30" si="12">SUM(E28:E29)</f>
        <v>215</v>
      </c>
      <c r="F30" s="5">
        <f t="shared" ref="F30:N30" si="13">SUM(F28:F29)</f>
        <v>235</v>
      </c>
      <c r="G30" s="5">
        <f t="shared" si="13"/>
        <v>251</v>
      </c>
      <c r="H30" s="5">
        <f t="shared" si="13"/>
        <v>257</v>
      </c>
      <c r="I30" s="5">
        <f t="shared" si="13"/>
        <v>230</v>
      </c>
      <c r="J30" s="5">
        <f t="shared" si="13"/>
        <v>244</v>
      </c>
      <c r="K30" s="5">
        <f t="shared" si="13"/>
        <v>242</v>
      </c>
      <c r="L30" s="5">
        <f t="shared" si="13"/>
        <v>237</v>
      </c>
      <c r="M30" s="5">
        <f t="shared" si="13"/>
        <v>260</v>
      </c>
      <c r="N30" s="5">
        <f t="shared" si="13"/>
        <v>235</v>
      </c>
      <c r="O30" s="5">
        <f t="shared" si="12"/>
        <v>191</v>
      </c>
      <c r="P30" s="5">
        <f t="shared" si="12"/>
        <v>213</v>
      </c>
      <c r="Q30" s="5">
        <f t="shared" si="12"/>
        <v>209</v>
      </c>
      <c r="R30" s="5">
        <f t="shared" si="12"/>
        <v>191</v>
      </c>
      <c r="S30" s="5">
        <f t="shared" si="12"/>
        <v>120</v>
      </c>
      <c r="T30" s="5">
        <f t="shared" si="12"/>
        <v>215</v>
      </c>
      <c r="U30" s="5">
        <f t="shared" si="2"/>
        <v>3545</v>
      </c>
    </row>
    <row r="31" spans="1:21" x14ac:dyDescent="0.4">
      <c r="A31" s="55"/>
      <c r="B31" s="68"/>
      <c r="C31" s="68"/>
      <c r="D31" s="51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6"/>
      <c r="T31" s="6"/>
      <c r="U31" s="28"/>
    </row>
    <row r="32" spans="1:21" x14ac:dyDescent="0.4">
      <c r="A32" s="14" t="s">
        <v>35</v>
      </c>
      <c r="B32" s="60" t="s">
        <v>36</v>
      </c>
      <c r="C32" s="68"/>
      <c r="D32" s="51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5"/>
      <c r="T32" s="5"/>
      <c r="U32" s="28"/>
    </row>
    <row r="33" spans="1:21" x14ac:dyDescent="0.4">
      <c r="A33" s="6">
        <v>1</v>
      </c>
      <c r="B33" s="78" t="s">
        <v>37</v>
      </c>
      <c r="C33" s="68"/>
      <c r="D33" s="51"/>
      <c r="E33" s="6">
        <v>303</v>
      </c>
      <c r="F33" s="6">
        <v>305</v>
      </c>
      <c r="G33" s="6">
        <v>303</v>
      </c>
      <c r="H33" s="6">
        <v>301</v>
      </c>
      <c r="I33" s="6">
        <v>302</v>
      </c>
      <c r="J33" s="6">
        <v>303</v>
      </c>
      <c r="K33" s="6">
        <v>306</v>
      </c>
      <c r="L33" s="6">
        <v>306</v>
      </c>
      <c r="M33" s="6">
        <v>303</v>
      </c>
      <c r="N33" s="6">
        <v>304</v>
      </c>
      <c r="O33" s="6">
        <v>226</v>
      </c>
      <c r="P33" s="6">
        <v>265</v>
      </c>
      <c r="Q33" s="6">
        <v>232</v>
      </c>
      <c r="R33" s="6">
        <v>230</v>
      </c>
      <c r="S33" s="6">
        <v>151</v>
      </c>
      <c r="T33" s="6">
        <v>273</v>
      </c>
      <c r="U33" s="5">
        <f>SUM(E33:T33)</f>
        <v>4413</v>
      </c>
    </row>
    <row r="34" spans="1:21" x14ac:dyDescent="0.4">
      <c r="A34" s="6">
        <v>2</v>
      </c>
      <c r="B34" s="78" t="s">
        <v>38</v>
      </c>
      <c r="C34" s="68"/>
      <c r="D34" s="51"/>
      <c r="E34" s="5">
        <v>215</v>
      </c>
      <c r="F34" s="5">
        <v>235</v>
      </c>
      <c r="G34" s="5">
        <v>251</v>
      </c>
      <c r="H34" s="5">
        <v>257</v>
      </c>
      <c r="I34" s="5">
        <v>230</v>
      </c>
      <c r="J34" s="5">
        <v>244</v>
      </c>
      <c r="K34" s="5">
        <v>242</v>
      </c>
      <c r="L34" s="5">
        <v>237</v>
      </c>
      <c r="M34" s="5">
        <v>260</v>
      </c>
      <c r="N34" s="5">
        <v>235</v>
      </c>
      <c r="O34" s="5">
        <v>191</v>
      </c>
      <c r="P34" s="5">
        <v>213</v>
      </c>
      <c r="Q34" s="5">
        <v>209</v>
      </c>
      <c r="R34" s="5">
        <v>191</v>
      </c>
      <c r="S34" s="5">
        <v>120</v>
      </c>
      <c r="T34" s="5">
        <v>215</v>
      </c>
      <c r="U34" s="5">
        <f>SUM(E34:T34)</f>
        <v>3545</v>
      </c>
    </row>
    <row r="35" spans="1:21" x14ac:dyDescent="0.4">
      <c r="A35" s="6">
        <v>3</v>
      </c>
      <c r="B35" s="78" t="s">
        <v>39</v>
      </c>
      <c r="C35" s="68"/>
      <c r="D35" s="51"/>
      <c r="E35" s="6"/>
      <c r="F35" s="6"/>
      <c r="G35" s="6">
        <v>1</v>
      </c>
      <c r="H35" s="6"/>
      <c r="I35" s="6"/>
      <c r="J35" s="6"/>
      <c r="K35" s="6"/>
      <c r="L35" s="6">
        <v>1</v>
      </c>
      <c r="M35" s="6"/>
      <c r="N35" s="6">
        <v>2</v>
      </c>
      <c r="O35" s="6"/>
      <c r="P35" s="6">
        <v>1</v>
      </c>
      <c r="Q35" s="6"/>
      <c r="R35" s="6">
        <v>1</v>
      </c>
      <c r="S35" s="6"/>
      <c r="T35" s="6">
        <v>1</v>
      </c>
      <c r="U35" s="5">
        <f>SUM(E35:T35)</f>
        <v>7</v>
      </c>
    </row>
    <row r="36" spans="1:21" x14ac:dyDescent="0.4">
      <c r="A36" s="6">
        <v>4</v>
      </c>
      <c r="B36" s="78" t="s">
        <v>40</v>
      </c>
      <c r="C36" s="68"/>
      <c r="D36" s="51"/>
      <c r="E36" s="5">
        <f t="shared" ref="E36:T36" si="14">E33-(E34+E35)</f>
        <v>88</v>
      </c>
      <c r="F36" s="5">
        <f t="shared" ref="F36:N36" si="15">F33-(F34+F35)</f>
        <v>70</v>
      </c>
      <c r="G36" s="5">
        <f t="shared" si="15"/>
        <v>51</v>
      </c>
      <c r="H36" s="5">
        <f t="shared" si="15"/>
        <v>44</v>
      </c>
      <c r="I36" s="5">
        <f t="shared" si="15"/>
        <v>72</v>
      </c>
      <c r="J36" s="5">
        <f t="shared" si="15"/>
        <v>59</v>
      </c>
      <c r="K36" s="5">
        <f t="shared" si="15"/>
        <v>64</v>
      </c>
      <c r="L36" s="5">
        <f t="shared" si="15"/>
        <v>68</v>
      </c>
      <c r="M36" s="5">
        <f t="shared" si="15"/>
        <v>43</v>
      </c>
      <c r="N36" s="5">
        <f t="shared" si="15"/>
        <v>67</v>
      </c>
      <c r="O36" s="5">
        <f t="shared" si="14"/>
        <v>35</v>
      </c>
      <c r="P36" s="5">
        <f t="shared" si="14"/>
        <v>51</v>
      </c>
      <c r="Q36" s="5">
        <f t="shared" si="14"/>
        <v>23</v>
      </c>
      <c r="R36" s="5">
        <f t="shared" si="14"/>
        <v>38</v>
      </c>
      <c r="S36" s="5">
        <f t="shared" si="14"/>
        <v>31</v>
      </c>
      <c r="T36" s="5">
        <f t="shared" si="14"/>
        <v>57</v>
      </c>
      <c r="U36" s="5">
        <f>SUM(E36:T36)</f>
        <v>861</v>
      </c>
    </row>
    <row r="37" spans="1:21" x14ac:dyDescent="0.4">
      <c r="A37" s="55"/>
      <c r="B37" s="68"/>
      <c r="C37" s="68"/>
      <c r="D37" s="68"/>
      <c r="E37" s="55"/>
      <c r="F37" s="56"/>
      <c r="G37" s="56"/>
      <c r="H37" s="56"/>
      <c r="I37" s="56"/>
      <c r="J37" s="56"/>
      <c r="K37" s="56"/>
      <c r="L37" s="56"/>
      <c r="M37" s="56"/>
      <c r="N37" s="56"/>
      <c r="O37" s="73"/>
      <c r="P37" s="73"/>
      <c r="Q37" s="73"/>
      <c r="R37" s="73"/>
      <c r="S37" s="73"/>
      <c r="T37" s="73"/>
      <c r="U37" s="28"/>
    </row>
    <row r="38" spans="1:21" x14ac:dyDescent="0.4">
      <c r="A38" s="16" t="s">
        <v>41</v>
      </c>
      <c r="B38" s="60" t="s">
        <v>42</v>
      </c>
      <c r="C38" s="68"/>
      <c r="D38" s="51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5"/>
      <c r="T38" s="5"/>
      <c r="U38" s="28"/>
    </row>
    <row r="39" spans="1:21" x14ac:dyDescent="0.4">
      <c r="A39" s="11"/>
      <c r="B39" s="71" t="s">
        <v>43</v>
      </c>
      <c r="C39" s="64"/>
      <c r="D39" s="6" t="s">
        <v>22</v>
      </c>
      <c r="E39" s="6"/>
      <c r="F39" s="6">
        <v>1</v>
      </c>
      <c r="G39" s="6"/>
      <c r="H39" s="6"/>
      <c r="I39" s="6">
        <v>1</v>
      </c>
      <c r="J39" s="6"/>
      <c r="K39" s="6"/>
      <c r="L39" s="6"/>
      <c r="M39" s="6"/>
      <c r="N39" s="6"/>
      <c r="O39" s="6"/>
      <c r="P39" s="6"/>
      <c r="Q39" s="6">
        <v>2</v>
      </c>
      <c r="R39" s="6"/>
      <c r="S39" s="6"/>
      <c r="T39" s="6"/>
      <c r="U39" s="5">
        <f>SUM(E39:T39)</f>
        <v>4</v>
      </c>
    </row>
    <row r="40" spans="1:21" x14ac:dyDescent="0.4">
      <c r="A40" s="12"/>
      <c r="B40" s="76"/>
      <c r="C40" s="77"/>
      <c r="D40" s="6" t="s">
        <v>23</v>
      </c>
      <c r="E40" s="6"/>
      <c r="F40" s="6"/>
      <c r="G40" s="6"/>
      <c r="H40" s="6"/>
      <c r="I40" s="6"/>
      <c r="J40" s="6"/>
      <c r="K40" s="6"/>
      <c r="L40" s="6"/>
      <c r="M40" s="6">
        <v>1</v>
      </c>
      <c r="N40" s="6"/>
      <c r="O40" s="6"/>
      <c r="P40" s="6"/>
      <c r="Q40" s="6"/>
      <c r="R40" s="6"/>
      <c r="S40" s="6"/>
      <c r="T40" s="6"/>
      <c r="U40" s="5">
        <f>SUM(E40:T40)</f>
        <v>1</v>
      </c>
    </row>
    <row r="41" spans="1:21" x14ac:dyDescent="0.4">
      <c r="A41" s="14"/>
      <c r="B41" s="70"/>
      <c r="C41" s="75"/>
      <c r="D41" s="5" t="s">
        <v>24</v>
      </c>
      <c r="E41" s="5">
        <f t="shared" ref="E41:T41" si="16">SUM(E39:E40)</f>
        <v>0</v>
      </c>
      <c r="F41" s="5">
        <f t="shared" ref="F41:N41" si="17">SUM(F39:F40)</f>
        <v>1</v>
      </c>
      <c r="G41" s="5">
        <f t="shared" si="17"/>
        <v>0</v>
      </c>
      <c r="H41" s="5">
        <f t="shared" si="17"/>
        <v>0</v>
      </c>
      <c r="I41" s="5">
        <f t="shared" si="17"/>
        <v>1</v>
      </c>
      <c r="J41" s="5">
        <f t="shared" si="17"/>
        <v>0</v>
      </c>
      <c r="K41" s="5">
        <f t="shared" si="17"/>
        <v>0</v>
      </c>
      <c r="L41" s="5">
        <f t="shared" si="17"/>
        <v>0</v>
      </c>
      <c r="M41" s="5">
        <f t="shared" si="17"/>
        <v>1</v>
      </c>
      <c r="N41" s="5">
        <f t="shared" si="17"/>
        <v>0</v>
      </c>
      <c r="O41" s="5">
        <f t="shared" si="16"/>
        <v>0</v>
      </c>
      <c r="P41" s="5">
        <f t="shared" si="16"/>
        <v>0</v>
      </c>
      <c r="Q41" s="5">
        <f t="shared" si="16"/>
        <v>2</v>
      </c>
      <c r="R41" s="5">
        <f t="shared" si="16"/>
        <v>0</v>
      </c>
      <c r="S41" s="5">
        <f t="shared" si="16"/>
        <v>0</v>
      </c>
      <c r="T41" s="5">
        <f t="shared" si="16"/>
        <v>0</v>
      </c>
      <c r="U41" s="5">
        <f>SUM(E41:T41)</f>
        <v>5</v>
      </c>
    </row>
    <row r="42" spans="1:21" x14ac:dyDescent="0.4">
      <c r="A42" s="69"/>
      <c r="B42" s="70"/>
      <c r="C42" s="70"/>
      <c r="D42" s="75"/>
      <c r="E42" s="55"/>
      <c r="F42" s="56"/>
      <c r="G42" s="56"/>
      <c r="H42" s="56"/>
      <c r="I42" s="56"/>
      <c r="J42" s="56"/>
      <c r="K42" s="56"/>
      <c r="L42" s="56"/>
      <c r="M42" s="56"/>
      <c r="N42" s="56"/>
      <c r="O42" s="68"/>
      <c r="P42" s="68"/>
      <c r="Q42" s="68"/>
      <c r="R42" s="68"/>
      <c r="S42" s="68"/>
      <c r="T42" s="68"/>
      <c r="U42" s="5"/>
    </row>
    <row r="43" spans="1:21" ht="13.15" customHeight="1" x14ac:dyDescent="0.4">
      <c r="A43" s="16" t="s">
        <v>44</v>
      </c>
      <c r="B43" s="60" t="s">
        <v>45</v>
      </c>
      <c r="C43" s="68"/>
      <c r="D43" s="51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5"/>
      <c r="T43" s="5"/>
      <c r="U43" s="5"/>
    </row>
    <row r="44" spans="1:21" ht="13.15" customHeight="1" x14ac:dyDescent="0.4">
      <c r="A44" s="71" t="s">
        <v>46</v>
      </c>
      <c r="B44" s="72"/>
      <c r="C44" s="72"/>
      <c r="D44" s="64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6"/>
      <c r="T44" s="6"/>
      <c r="U44" s="5"/>
    </row>
    <row r="45" spans="1:21" x14ac:dyDescent="0.4">
      <c r="A45" s="11" t="s">
        <v>47</v>
      </c>
      <c r="B45" s="17" t="s">
        <v>27</v>
      </c>
      <c r="C45" s="50" t="s">
        <v>48</v>
      </c>
      <c r="D45" s="51"/>
      <c r="E45" s="6">
        <v>5</v>
      </c>
      <c r="F45" s="6">
        <v>7</v>
      </c>
      <c r="G45" s="6">
        <v>13</v>
      </c>
      <c r="H45" s="6">
        <v>20</v>
      </c>
      <c r="I45" s="6">
        <v>6</v>
      </c>
      <c r="J45" s="6">
        <v>8</v>
      </c>
      <c r="K45" s="6">
        <v>10</v>
      </c>
      <c r="L45" s="6">
        <v>7</v>
      </c>
      <c r="M45" s="6">
        <v>12</v>
      </c>
      <c r="N45" s="6">
        <v>7</v>
      </c>
      <c r="O45" s="6">
        <v>11</v>
      </c>
      <c r="P45" s="6">
        <v>12</v>
      </c>
      <c r="Q45" s="6">
        <v>5</v>
      </c>
      <c r="R45" s="6">
        <v>2</v>
      </c>
      <c r="S45" s="6">
        <v>8</v>
      </c>
      <c r="T45" s="6">
        <v>4</v>
      </c>
      <c r="U45" s="5">
        <f t="shared" ref="U45:U51" si="18">SUM(E45:T45)</f>
        <v>137</v>
      </c>
    </row>
    <row r="46" spans="1:21" x14ac:dyDescent="0.4">
      <c r="A46" s="11" t="s">
        <v>49</v>
      </c>
      <c r="B46" s="46">
        <v>1</v>
      </c>
      <c r="C46" s="24" t="s">
        <v>103</v>
      </c>
      <c r="D46" s="47"/>
      <c r="E46" s="6">
        <v>11</v>
      </c>
      <c r="F46" s="6">
        <v>6</v>
      </c>
      <c r="G46" s="6">
        <v>19</v>
      </c>
      <c r="H46" s="6">
        <v>45</v>
      </c>
      <c r="I46" s="6">
        <v>20</v>
      </c>
      <c r="J46" s="6">
        <v>22</v>
      </c>
      <c r="K46" s="6">
        <v>15</v>
      </c>
      <c r="L46" s="6">
        <v>23</v>
      </c>
      <c r="M46" s="6">
        <v>38</v>
      </c>
      <c r="N46" s="6">
        <v>12</v>
      </c>
      <c r="O46" s="6">
        <v>23</v>
      </c>
      <c r="P46" s="6">
        <v>31</v>
      </c>
      <c r="Q46" s="6">
        <v>30</v>
      </c>
      <c r="R46" s="6">
        <v>6</v>
      </c>
      <c r="S46" s="6">
        <v>14</v>
      </c>
      <c r="T46" s="6">
        <v>38</v>
      </c>
      <c r="U46" s="5">
        <f t="shared" si="18"/>
        <v>353</v>
      </c>
    </row>
    <row r="47" spans="1:21" x14ac:dyDescent="0.4">
      <c r="A47" s="7"/>
      <c r="B47" s="46">
        <v>2</v>
      </c>
      <c r="C47" s="24" t="s">
        <v>104</v>
      </c>
      <c r="D47" s="47"/>
      <c r="E47" s="6">
        <v>0</v>
      </c>
      <c r="F47" s="6">
        <v>1</v>
      </c>
      <c r="G47" s="6">
        <v>2</v>
      </c>
      <c r="H47" s="6">
        <v>2</v>
      </c>
      <c r="I47" s="6">
        <v>1</v>
      </c>
      <c r="J47" s="6">
        <v>0</v>
      </c>
      <c r="K47" s="6">
        <v>0</v>
      </c>
      <c r="L47" s="6">
        <v>2</v>
      </c>
      <c r="M47" s="6">
        <v>0</v>
      </c>
      <c r="N47" s="6">
        <v>0</v>
      </c>
      <c r="O47" s="6">
        <v>1</v>
      </c>
      <c r="P47" s="6">
        <v>6</v>
      </c>
      <c r="Q47" s="6">
        <v>1</v>
      </c>
      <c r="R47" s="6">
        <v>1</v>
      </c>
      <c r="S47" s="6">
        <v>0</v>
      </c>
      <c r="T47" s="6"/>
      <c r="U47" s="5">
        <f t="shared" si="18"/>
        <v>17</v>
      </c>
    </row>
    <row r="48" spans="1:21" x14ac:dyDescent="0.4">
      <c r="A48" s="7"/>
      <c r="B48" s="46">
        <v>3</v>
      </c>
      <c r="C48" s="24" t="s">
        <v>105</v>
      </c>
      <c r="D48" s="47"/>
      <c r="E48" s="6">
        <v>0</v>
      </c>
      <c r="F48" s="6">
        <v>0</v>
      </c>
      <c r="G48" s="6">
        <v>2</v>
      </c>
      <c r="H48" s="6">
        <v>1</v>
      </c>
      <c r="I48" s="6">
        <v>0</v>
      </c>
      <c r="J48" s="6">
        <v>3</v>
      </c>
      <c r="K48" s="6">
        <v>1</v>
      </c>
      <c r="L48" s="6">
        <v>1</v>
      </c>
      <c r="M48" s="6">
        <v>1</v>
      </c>
      <c r="N48" s="6">
        <v>0</v>
      </c>
      <c r="O48" s="6">
        <v>0</v>
      </c>
      <c r="P48" s="6">
        <v>1</v>
      </c>
      <c r="Q48" s="6">
        <v>0</v>
      </c>
      <c r="R48" s="6">
        <v>0</v>
      </c>
      <c r="S48" s="6">
        <v>0</v>
      </c>
      <c r="T48" s="6">
        <v>4</v>
      </c>
      <c r="U48" s="5">
        <f t="shared" si="18"/>
        <v>14</v>
      </c>
    </row>
    <row r="49" spans="1:21" x14ac:dyDescent="0.4">
      <c r="A49" s="7"/>
      <c r="B49" s="46">
        <v>4</v>
      </c>
      <c r="C49" s="24" t="s">
        <v>106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1</v>
      </c>
      <c r="J49" s="6">
        <v>1</v>
      </c>
      <c r="K49" s="6">
        <v>0</v>
      </c>
      <c r="L49" s="6">
        <v>1</v>
      </c>
      <c r="M49" s="6">
        <v>0</v>
      </c>
      <c r="N49" s="6">
        <v>0</v>
      </c>
      <c r="O49" s="6">
        <v>1</v>
      </c>
      <c r="P49" s="6">
        <v>0</v>
      </c>
      <c r="Q49" s="6">
        <v>1</v>
      </c>
      <c r="R49" s="6">
        <v>0</v>
      </c>
      <c r="S49" s="6">
        <v>0</v>
      </c>
      <c r="T49" s="6"/>
      <c r="U49" s="5">
        <f t="shared" si="18"/>
        <v>5</v>
      </c>
    </row>
    <row r="50" spans="1:21" x14ac:dyDescent="0.4">
      <c r="A50" s="7"/>
      <c r="B50" s="46">
        <v>5</v>
      </c>
      <c r="C50" s="24" t="s">
        <v>107</v>
      </c>
      <c r="D50" s="47"/>
      <c r="E50" s="6">
        <v>2</v>
      </c>
      <c r="F50" s="6">
        <v>0</v>
      </c>
      <c r="G50" s="6">
        <v>0</v>
      </c>
      <c r="H50" s="6">
        <v>1</v>
      </c>
      <c r="I50" s="6">
        <v>1</v>
      </c>
      <c r="J50" s="6">
        <v>0</v>
      </c>
      <c r="K50" s="6">
        <v>0</v>
      </c>
      <c r="L50" s="6">
        <v>2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/>
      <c r="U50" s="5">
        <f t="shared" si="18"/>
        <v>6</v>
      </c>
    </row>
    <row r="51" spans="1:21" x14ac:dyDescent="0.4">
      <c r="A51" s="7"/>
      <c r="B51" s="46">
        <v>6</v>
      </c>
      <c r="C51" s="24" t="s">
        <v>108</v>
      </c>
      <c r="D51" s="47"/>
      <c r="E51" s="6">
        <v>0</v>
      </c>
      <c r="F51" s="6">
        <v>2</v>
      </c>
      <c r="G51" s="6">
        <v>0</v>
      </c>
      <c r="H51" s="6">
        <v>0</v>
      </c>
      <c r="I51" s="6">
        <v>0</v>
      </c>
      <c r="J51" s="6">
        <v>1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/>
      <c r="U51" s="5">
        <f t="shared" si="18"/>
        <v>3</v>
      </c>
    </row>
    <row r="52" spans="1:21" x14ac:dyDescent="0.4">
      <c r="A52" s="6" t="s">
        <v>25</v>
      </c>
      <c r="B52" s="52" t="s">
        <v>50</v>
      </c>
      <c r="C52" s="68"/>
      <c r="D52" s="51"/>
      <c r="E52" s="5">
        <f t="shared" ref="E52:U52" si="19">SUM(E45:E51)</f>
        <v>18</v>
      </c>
      <c r="F52" s="5">
        <f t="shared" si="19"/>
        <v>16</v>
      </c>
      <c r="G52" s="5">
        <f t="shared" si="19"/>
        <v>36</v>
      </c>
      <c r="H52" s="5">
        <f t="shared" si="19"/>
        <v>69</v>
      </c>
      <c r="I52" s="5">
        <f t="shared" si="19"/>
        <v>29</v>
      </c>
      <c r="J52" s="5">
        <f t="shared" si="19"/>
        <v>35</v>
      </c>
      <c r="K52" s="5">
        <f t="shared" si="19"/>
        <v>26</v>
      </c>
      <c r="L52" s="5">
        <f t="shared" si="19"/>
        <v>36</v>
      </c>
      <c r="M52" s="5">
        <f t="shared" si="19"/>
        <v>51</v>
      </c>
      <c r="N52" s="5">
        <f t="shared" si="19"/>
        <v>19</v>
      </c>
      <c r="O52" s="5">
        <f t="shared" si="19"/>
        <v>36</v>
      </c>
      <c r="P52" s="5">
        <f t="shared" si="19"/>
        <v>50</v>
      </c>
      <c r="Q52" s="5">
        <f t="shared" si="19"/>
        <v>37</v>
      </c>
      <c r="R52" s="5">
        <f t="shared" si="19"/>
        <v>9</v>
      </c>
      <c r="S52" s="5">
        <f t="shared" si="19"/>
        <v>22</v>
      </c>
      <c r="T52" s="5">
        <f t="shared" si="19"/>
        <v>46</v>
      </c>
      <c r="U52" s="5">
        <f t="shared" si="19"/>
        <v>535</v>
      </c>
    </row>
    <row r="53" spans="1:21" x14ac:dyDescent="0.4">
      <c r="A53" s="69"/>
      <c r="B53" s="70"/>
      <c r="C53" s="70"/>
      <c r="D53" s="70"/>
      <c r="E53" s="70"/>
      <c r="U53" s="5"/>
    </row>
    <row r="54" spans="1:21" x14ac:dyDescent="0.4">
      <c r="A54" s="11" t="s">
        <v>47</v>
      </c>
      <c r="B54" s="17" t="s">
        <v>29</v>
      </c>
      <c r="C54" s="50" t="s">
        <v>51</v>
      </c>
      <c r="D54" s="51"/>
      <c r="E54" s="6">
        <v>17</v>
      </c>
      <c r="F54" s="6">
        <v>12</v>
      </c>
      <c r="G54" s="6">
        <v>11</v>
      </c>
      <c r="H54" s="6">
        <v>8</v>
      </c>
      <c r="I54" s="6">
        <v>15</v>
      </c>
      <c r="J54" s="6">
        <v>12</v>
      </c>
      <c r="K54" s="6">
        <v>10</v>
      </c>
      <c r="L54" s="6">
        <v>7</v>
      </c>
      <c r="M54" s="6">
        <v>5</v>
      </c>
      <c r="N54" s="6">
        <v>6</v>
      </c>
      <c r="O54" s="6">
        <v>5</v>
      </c>
      <c r="P54" s="6">
        <v>9</v>
      </c>
      <c r="Q54" s="6">
        <v>16</v>
      </c>
      <c r="R54" s="6">
        <v>25</v>
      </c>
      <c r="S54" s="6">
        <v>8</v>
      </c>
      <c r="T54" s="6">
        <v>14</v>
      </c>
      <c r="U54" s="5">
        <f t="shared" ref="U54:U60" si="20">SUM(E54:T54)</f>
        <v>180</v>
      </c>
    </row>
    <row r="55" spans="1:21" x14ac:dyDescent="0.4">
      <c r="A55" s="11" t="s">
        <v>49</v>
      </c>
      <c r="B55" s="46">
        <v>1</v>
      </c>
      <c r="C55" s="24" t="s">
        <v>109</v>
      </c>
      <c r="D55" s="47"/>
      <c r="E55" s="6">
        <v>7</v>
      </c>
      <c r="F55" s="6">
        <v>5</v>
      </c>
      <c r="G55" s="6">
        <v>3</v>
      </c>
      <c r="H55" s="6">
        <v>4</v>
      </c>
      <c r="I55" s="6">
        <v>3</v>
      </c>
      <c r="J55" s="6">
        <v>5</v>
      </c>
      <c r="K55" s="6">
        <v>8</v>
      </c>
      <c r="L55" s="6">
        <v>1</v>
      </c>
      <c r="M55" s="6">
        <v>19</v>
      </c>
      <c r="N55" s="6">
        <v>0</v>
      </c>
      <c r="O55" s="6">
        <v>2</v>
      </c>
      <c r="P55" s="6">
        <v>5</v>
      </c>
      <c r="Q55" s="6">
        <v>3</v>
      </c>
      <c r="R55" s="6">
        <v>4</v>
      </c>
      <c r="S55" s="6">
        <v>2</v>
      </c>
      <c r="T55" s="6">
        <v>2</v>
      </c>
      <c r="U55" s="5">
        <f t="shared" si="20"/>
        <v>73</v>
      </c>
    </row>
    <row r="56" spans="1:21" x14ac:dyDescent="0.4">
      <c r="A56" s="7"/>
      <c r="B56" s="46">
        <v>2</v>
      </c>
      <c r="C56" s="24" t="s">
        <v>110</v>
      </c>
      <c r="D56" s="47"/>
      <c r="E56" s="6">
        <v>3</v>
      </c>
      <c r="F56" s="6">
        <v>4</v>
      </c>
      <c r="G56" s="6">
        <v>5</v>
      </c>
      <c r="H56" s="6">
        <v>1</v>
      </c>
      <c r="I56" s="6">
        <v>1</v>
      </c>
      <c r="J56" s="6">
        <v>3</v>
      </c>
      <c r="K56" s="6">
        <v>3</v>
      </c>
      <c r="L56" s="6">
        <v>1</v>
      </c>
      <c r="M56" s="6">
        <v>3</v>
      </c>
      <c r="N56" s="6">
        <v>0</v>
      </c>
      <c r="O56" s="6">
        <v>10</v>
      </c>
      <c r="P56" s="6">
        <v>10</v>
      </c>
      <c r="Q56" s="6">
        <v>58</v>
      </c>
      <c r="R56" s="6">
        <v>17</v>
      </c>
      <c r="S56" s="6">
        <v>0</v>
      </c>
      <c r="T56" s="6">
        <v>2</v>
      </c>
      <c r="U56" s="5">
        <f t="shared" si="20"/>
        <v>121</v>
      </c>
    </row>
    <row r="57" spans="1:21" x14ac:dyDescent="0.4">
      <c r="A57" s="7"/>
      <c r="B57" s="46">
        <v>3</v>
      </c>
      <c r="C57" s="24" t="s">
        <v>111</v>
      </c>
      <c r="D57" s="47"/>
      <c r="E57" s="6">
        <v>3</v>
      </c>
      <c r="F57" s="6">
        <v>2</v>
      </c>
      <c r="G57" s="6">
        <v>1</v>
      </c>
      <c r="H57" s="6">
        <v>0</v>
      </c>
      <c r="I57" s="6">
        <v>0</v>
      </c>
      <c r="J57" s="6">
        <v>1</v>
      </c>
      <c r="K57" s="6">
        <v>2</v>
      </c>
      <c r="L57" s="6">
        <v>0</v>
      </c>
      <c r="M57" s="6">
        <v>1</v>
      </c>
      <c r="N57" s="6">
        <v>1</v>
      </c>
      <c r="O57" s="6">
        <v>0</v>
      </c>
      <c r="P57" s="6">
        <v>3</v>
      </c>
      <c r="Q57" s="6">
        <v>1</v>
      </c>
      <c r="R57" s="6">
        <v>0</v>
      </c>
      <c r="S57" s="6">
        <v>0</v>
      </c>
      <c r="T57" s="6">
        <v>5</v>
      </c>
      <c r="U57" s="5">
        <f t="shared" si="20"/>
        <v>20</v>
      </c>
    </row>
    <row r="58" spans="1:21" x14ac:dyDescent="0.4">
      <c r="A58" s="7"/>
      <c r="B58" s="46">
        <v>4</v>
      </c>
      <c r="C58" s="24" t="s">
        <v>112</v>
      </c>
      <c r="D58" s="47"/>
      <c r="E58" s="6">
        <v>2</v>
      </c>
      <c r="F58" s="6">
        <v>4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2</v>
      </c>
      <c r="P58" s="6">
        <v>0</v>
      </c>
      <c r="Q58" s="6">
        <v>0</v>
      </c>
      <c r="R58" s="6">
        <v>0</v>
      </c>
      <c r="S58" s="6">
        <v>0</v>
      </c>
      <c r="T58" s="6">
        <v>1</v>
      </c>
      <c r="U58" s="5">
        <f t="shared" si="20"/>
        <v>9</v>
      </c>
    </row>
    <row r="59" spans="1:21" x14ac:dyDescent="0.4">
      <c r="A59" s="7"/>
      <c r="B59" s="46">
        <v>5</v>
      </c>
      <c r="C59" s="24" t="s">
        <v>113</v>
      </c>
      <c r="D59" s="47"/>
      <c r="E59" s="6">
        <v>1</v>
      </c>
      <c r="F59" s="6">
        <v>0</v>
      </c>
      <c r="G59" s="6">
        <v>1</v>
      </c>
      <c r="H59" s="6">
        <v>0</v>
      </c>
      <c r="I59" s="6">
        <v>0</v>
      </c>
      <c r="J59" s="6">
        <v>2</v>
      </c>
      <c r="K59" s="6">
        <v>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/>
      <c r="U59" s="5">
        <f t="shared" si="20"/>
        <v>5</v>
      </c>
    </row>
    <row r="60" spans="1:21" ht="13.15" customHeight="1" x14ac:dyDescent="0.4">
      <c r="A60" s="7"/>
      <c r="B60" s="46">
        <v>6</v>
      </c>
      <c r="C60" s="24" t="s">
        <v>114</v>
      </c>
      <c r="D60" s="47"/>
      <c r="E60" s="6">
        <v>0</v>
      </c>
      <c r="F60" s="6">
        <v>0</v>
      </c>
      <c r="G60" s="6">
        <v>1</v>
      </c>
      <c r="H60" s="6">
        <v>1</v>
      </c>
      <c r="I60" s="6">
        <v>1</v>
      </c>
      <c r="J60" s="6">
        <v>3</v>
      </c>
      <c r="K60" s="6">
        <v>0</v>
      </c>
      <c r="L60" s="6">
        <v>1</v>
      </c>
      <c r="M60" s="6">
        <v>3</v>
      </c>
      <c r="N60" s="6">
        <v>0</v>
      </c>
      <c r="O60" s="6">
        <v>0</v>
      </c>
      <c r="P60" s="6">
        <v>0</v>
      </c>
      <c r="Q60" s="6">
        <v>0</v>
      </c>
      <c r="R60" s="6">
        <v>1</v>
      </c>
      <c r="S60" s="6">
        <v>0</v>
      </c>
      <c r="T60" s="6">
        <v>2</v>
      </c>
      <c r="U60" s="5">
        <f t="shared" si="20"/>
        <v>13</v>
      </c>
    </row>
    <row r="61" spans="1:21" x14ac:dyDescent="0.4">
      <c r="A61" s="6" t="s">
        <v>25</v>
      </c>
      <c r="B61" s="52" t="s">
        <v>50</v>
      </c>
      <c r="C61" s="68"/>
      <c r="D61" s="51"/>
      <c r="E61" s="5">
        <f t="shared" ref="E61:U61" si="21">SUM(E54:E60)</f>
        <v>33</v>
      </c>
      <c r="F61" s="5">
        <f t="shared" si="21"/>
        <v>27</v>
      </c>
      <c r="G61" s="5">
        <f t="shared" si="21"/>
        <v>22</v>
      </c>
      <c r="H61" s="5">
        <f t="shared" si="21"/>
        <v>14</v>
      </c>
      <c r="I61" s="5">
        <f t="shared" si="21"/>
        <v>20</v>
      </c>
      <c r="J61" s="5">
        <f t="shared" si="21"/>
        <v>26</v>
      </c>
      <c r="K61" s="5">
        <f t="shared" si="21"/>
        <v>24</v>
      </c>
      <c r="L61" s="5">
        <f t="shared" si="21"/>
        <v>10</v>
      </c>
      <c r="M61" s="5">
        <f t="shared" si="21"/>
        <v>31</v>
      </c>
      <c r="N61" s="5">
        <f t="shared" si="21"/>
        <v>7</v>
      </c>
      <c r="O61" s="5">
        <f t="shared" si="21"/>
        <v>19</v>
      </c>
      <c r="P61" s="5">
        <f t="shared" si="21"/>
        <v>27</v>
      </c>
      <c r="Q61" s="5">
        <f t="shared" si="21"/>
        <v>78</v>
      </c>
      <c r="R61" s="5">
        <f t="shared" si="21"/>
        <v>47</v>
      </c>
      <c r="S61" s="5">
        <f t="shared" si="21"/>
        <v>10</v>
      </c>
      <c r="T61" s="5">
        <f t="shared" si="21"/>
        <v>26</v>
      </c>
      <c r="U61" s="5">
        <f t="shared" si="21"/>
        <v>421</v>
      </c>
    </row>
    <row r="62" spans="1:21" x14ac:dyDescent="0.4">
      <c r="A62" s="69"/>
      <c r="B62" s="70"/>
      <c r="C62" s="70"/>
      <c r="D62" s="70"/>
      <c r="E62" s="70"/>
    </row>
    <row r="63" spans="1:21" x14ac:dyDescent="0.4">
      <c r="A63" s="11" t="s">
        <v>47</v>
      </c>
      <c r="B63" s="17" t="s">
        <v>31</v>
      </c>
      <c r="C63" s="50" t="s">
        <v>52</v>
      </c>
      <c r="D63" s="51"/>
      <c r="E63" s="6">
        <v>8</v>
      </c>
      <c r="F63" s="6">
        <v>13</v>
      </c>
      <c r="G63" s="6">
        <v>2</v>
      </c>
      <c r="H63" s="6">
        <v>3</v>
      </c>
      <c r="I63" s="6">
        <v>9</v>
      </c>
      <c r="J63" s="6">
        <v>13</v>
      </c>
      <c r="K63" s="6">
        <v>12</v>
      </c>
      <c r="L63" s="6">
        <v>5</v>
      </c>
      <c r="M63" s="6">
        <v>5</v>
      </c>
      <c r="N63" s="6">
        <v>14</v>
      </c>
      <c r="O63" s="6">
        <v>4</v>
      </c>
      <c r="P63" s="6">
        <v>6</v>
      </c>
      <c r="Q63" s="6">
        <v>13</v>
      </c>
      <c r="R63" s="6">
        <v>15</v>
      </c>
      <c r="S63" s="6">
        <v>5</v>
      </c>
      <c r="T63" s="6">
        <v>16</v>
      </c>
      <c r="U63" s="5">
        <f t="shared" ref="U63:U69" si="22">SUM(E63:T63)</f>
        <v>143</v>
      </c>
    </row>
    <row r="64" spans="1:21" x14ac:dyDescent="0.4">
      <c r="A64" s="11" t="s">
        <v>49</v>
      </c>
      <c r="B64" s="46">
        <v>1</v>
      </c>
      <c r="C64" s="24" t="s">
        <v>115</v>
      </c>
      <c r="D64" s="47"/>
      <c r="E64" s="6">
        <v>12</v>
      </c>
      <c r="F64" s="6">
        <v>7</v>
      </c>
      <c r="G64" s="6">
        <v>9</v>
      </c>
      <c r="H64" s="6">
        <v>6</v>
      </c>
      <c r="I64" s="6">
        <v>29</v>
      </c>
      <c r="J64" s="6">
        <v>41</v>
      </c>
      <c r="K64" s="6">
        <v>23</v>
      </c>
      <c r="L64" s="6">
        <v>36</v>
      </c>
      <c r="M64" s="6">
        <v>40</v>
      </c>
      <c r="N64" s="6">
        <v>17</v>
      </c>
      <c r="O64" s="6">
        <v>1</v>
      </c>
      <c r="P64" s="6">
        <v>1</v>
      </c>
      <c r="Q64" s="6">
        <v>14</v>
      </c>
      <c r="R64" s="6">
        <v>6</v>
      </c>
      <c r="S64" s="6">
        <v>9</v>
      </c>
      <c r="T64" s="6">
        <v>14</v>
      </c>
      <c r="U64" s="5">
        <f t="shared" si="22"/>
        <v>265</v>
      </c>
    </row>
    <row r="65" spans="1:21" x14ac:dyDescent="0.4">
      <c r="A65" s="7"/>
      <c r="B65" s="46">
        <v>2</v>
      </c>
      <c r="C65" s="24" t="s">
        <v>116</v>
      </c>
      <c r="D65" s="47"/>
      <c r="E65" s="6">
        <v>2</v>
      </c>
      <c r="F65" s="6">
        <v>2</v>
      </c>
      <c r="G65" s="6">
        <v>2</v>
      </c>
      <c r="H65" s="6">
        <v>3</v>
      </c>
      <c r="I65" s="6">
        <v>4</v>
      </c>
      <c r="J65" s="6">
        <v>3</v>
      </c>
      <c r="K65" s="6">
        <v>2</v>
      </c>
      <c r="L65" s="6">
        <v>1</v>
      </c>
      <c r="M65" s="6">
        <v>1</v>
      </c>
      <c r="N65" s="6">
        <v>1</v>
      </c>
      <c r="O65" s="6">
        <v>1</v>
      </c>
      <c r="P65" s="6">
        <v>0</v>
      </c>
      <c r="Q65" s="6">
        <v>4</v>
      </c>
      <c r="R65" s="6">
        <v>0</v>
      </c>
      <c r="S65" s="6">
        <v>1</v>
      </c>
      <c r="T65" s="6">
        <v>2</v>
      </c>
      <c r="U65" s="5">
        <f t="shared" si="22"/>
        <v>29</v>
      </c>
    </row>
    <row r="66" spans="1:21" x14ac:dyDescent="0.4">
      <c r="A66" s="7"/>
      <c r="B66" s="46">
        <v>3</v>
      </c>
      <c r="C66" s="24" t="s">
        <v>117</v>
      </c>
      <c r="D66" s="47"/>
      <c r="E66" s="6">
        <v>1</v>
      </c>
      <c r="F66" s="6">
        <v>5</v>
      </c>
      <c r="G66" s="6">
        <v>1</v>
      </c>
      <c r="H66" s="6">
        <v>1</v>
      </c>
      <c r="I66" s="6">
        <v>6</v>
      </c>
      <c r="J66" s="6">
        <v>1</v>
      </c>
      <c r="K66" s="6">
        <v>2</v>
      </c>
      <c r="L66" s="6">
        <v>1</v>
      </c>
      <c r="M66" s="6">
        <v>2</v>
      </c>
      <c r="N66" s="6">
        <v>0</v>
      </c>
      <c r="O66" s="6">
        <v>1</v>
      </c>
      <c r="P66" s="6">
        <v>1</v>
      </c>
      <c r="Q66" s="6">
        <v>2</v>
      </c>
      <c r="R66" s="6">
        <v>0</v>
      </c>
      <c r="S66" s="6">
        <v>3</v>
      </c>
      <c r="T66" s="6">
        <v>3</v>
      </c>
      <c r="U66" s="5">
        <f t="shared" si="22"/>
        <v>30</v>
      </c>
    </row>
    <row r="67" spans="1:21" x14ac:dyDescent="0.4">
      <c r="A67" s="7"/>
      <c r="B67" s="46">
        <v>4</v>
      </c>
      <c r="C67" s="24" t="s">
        <v>118</v>
      </c>
      <c r="D67" s="47"/>
      <c r="E67" s="6">
        <v>2</v>
      </c>
      <c r="F67" s="6">
        <v>2</v>
      </c>
      <c r="G67" s="6">
        <v>0</v>
      </c>
      <c r="H67" s="6">
        <v>3</v>
      </c>
      <c r="I67" s="6">
        <v>1</v>
      </c>
      <c r="J67" s="6">
        <v>2</v>
      </c>
      <c r="K67" s="6">
        <v>4</v>
      </c>
      <c r="L67" s="6">
        <v>1</v>
      </c>
      <c r="M67" s="6">
        <v>0</v>
      </c>
      <c r="N67" s="6">
        <v>0</v>
      </c>
      <c r="O67" s="6">
        <v>0</v>
      </c>
      <c r="P67" s="6">
        <v>1</v>
      </c>
      <c r="Q67" s="6">
        <v>2</v>
      </c>
      <c r="R67" s="6">
        <v>1</v>
      </c>
      <c r="S67" s="6">
        <v>0</v>
      </c>
      <c r="T67" s="6"/>
      <c r="U67" s="5">
        <f t="shared" si="22"/>
        <v>19</v>
      </c>
    </row>
    <row r="68" spans="1:21" ht="13.15" customHeight="1" x14ac:dyDescent="0.4">
      <c r="A68" s="7"/>
      <c r="B68" s="46">
        <v>5</v>
      </c>
      <c r="C68" s="24" t="s">
        <v>119</v>
      </c>
      <c r="D68" s="47"/>
      <c r="E68" s="6">
        <v>9</v>
      </c>
      <c r="F68" s="6">
        <v>4</v>
      </c>
      <c r="G68" s="6">
        <v>10</v>
      </c>
      <c r="H68" s="6">
        <v>14</v>
      </c>
      <c r="I68" s="6">
        <v>18</v>
      </c>
      <c r="J68" s="6">
        <v>20</v>
      </c>
      <c r="K68" s="6">
        <v>18</v>
      </c>
      <c r="L68" s="6">
        <v>15</v>
      </c>
      <c r="M68" s="6">
        <v>5</v>
      </c>
      <c r="N68" s="6">
        <v>2</v>
      </c>
      <c r="O68" s="6">
        <v>2</v>
      </c>
      <c r="P68" s="6">
        <v>9</v>
      </c>
      <c r="Q68" s="6">
        <v>6</v>
      </c>
      <c r="R68" s="6">
        <v>7</v>
      </c>
      <c r="S68" s="6">
        <v>4</v>
      </c>
      <c r="T68" s="6">
        <v>10</v>
      </c>
      <c r="U68" s="5">
        <f t="shared" si="22"/>
        <v>153</v>
      </c>
    </row>
    <row r="69" spans="1:21" x14ac:dyDescent="0.4">
      <c r="A69" s="7"/>
      <c r="B69" s="46">
        <v>6</v>
      </c>
      <c r="C69" s="24" t="s">
        <v>120</v>
      </c>
      <c r="D69" s="47"/>
      <c r="E69" s="6">
        <v>0</v>
      </c>
      <c r="F69" s="6">
        <v>1</v>
      </c>
      <c r="G69" s="6">
        <v>0</v>
      </c>
      <c r="H69" s="6">
        <v>1</v>
      </c>
      <c r="I69" s="6">
        <v>0</v>
      </c>
      <c r="J69" s="6">
        <v>1</v>
      </c>
      <c r="K69" s="6">
        <v>1</v>
      </c>
      <c r="L69" s="6">
        <v>3</v>
      </c>
      <c r="M69" s="6">
        <v>0</v>
      </c>
      <c r="N69" s="6">
        <v>0</v>
      </c>
      <c r="O69" s="6">
        <v>0</v>
      </c>
      <c r="P69" s="6">
        <v>0</v>
      </c>
      <c r="Q69" s="6">
        <v>1</v>
      </c>
      <c r="R69" s="6">
        <v>0</v>
      </c>
      <c r="S69" s="6">
        <v>1</v>
      </c>
      <c r="T69" s="6"/>
      <c r="U69" s="5">
        <f t="shared" si="22"/>
        <v>9</v>
      </c>
    </row>
    <row r="70" spans="1:21" x14ac:dyDescent="0.4">
      <c r="A70" s="6" t="s">
        <v>25</v>
      </c>
      <c r="B70" s="52" t="s">
        <v>50</v>
      </c>
      <c r="C70" s="68"/>
      <c r="D70" s="51"/>
      <c r="E70" s="5">
        <f t="shared" ref="E70:U70" si="23">SUM(E63:E69)</f>
        <v>34</v>
      </c>
      <c r="F70" s="5">
        <f t="shared" si="23"/>
        <v>34</v>
      </c>
      <c r="G70" s="5">
        <f t="shared" si="23"/>
        <v>24</v>
      </c>
      <c r="H70" s="5">
        <f t="shared" si="23"/>
        <v>31</v>
      </c>
      <c r="I70" s="5">
        <f t="shared" si="23"/>
        <v>67</v>
      </c>
      <c r="J70" s="5">
        <f t="shared" si="23"/>
        <v>81</v>
      </c>
      <c r="K70" s="5">
        <f t="shared" si="23"/>
        <v>62</v>
      </c>
      <c r="L70" s="5">
        <f t="shared" si="23"/>
        <v>62</v>
      </c>
      <c r="M70" s="5">
        <f t="shared" si="23"/>
        <v>53</v>
      </c>
      <c r="N70" s="5">
        <f t="shared" si="23"/>
        <v>34</v>
      </c>
      <c r="O70" s="5">
        <f t="shared" si="23"/>
        <v>9</v>
      </c>
      <c r="P70" s="5">
        <f t="shared" si="23"/>
        <v>18</v>
      </c>
      <c r="Q70" s="5">
        <f t="shared" si="23"/>
        <v>42</v>
      </c>
      <c r="R70" s="5">
        <f t="shared" si="23"/>
        <v>29</v>
      </c>
      <c r="S70" s="5">
        <f t="shared" si="23"/>
        <v>23</v>
      </c>
      <c r="T70" s="5">
        <f t="shared" si="23"/>
        <v>45</v>
      </c>
      <c r="U70" s="5">
        <f t="shared" si="23"/>
        <v>648</v>
      </c>
    </row>
    <row r="71" spans="1:21" x14ac:dyDescent="0.4">
      <c r="A71" s="69"/>
      <c r="B71" s="70"/>
      <c r="C71" s="70"/>
      <c r="D71" s="70"/>
      <c r="E71" s="70"/>
    </row>
    <row r="72" spans="1:21" x14ac:dyDescent="0.4">
      <c r="A72" s="11" t="s">
        <v>47</v>
      </c>
      <c r="B72" s="17" t="s">
        <v>33</v>
      </c>
      <c r="C72" s="50" t="s">
        <v>53</v>
      </c>
      <c r="D72" s="51"/>
      <c r="E72" s="6">
        <v>4</v>
      </c>
      <c r="F72" s="6">
        <v>1</v>
      </c>
      <c r="G72" s="6">
        <v>10</v>
      </c>
      <c r="H72" s="6">
        <v>15</v>
      </c>
      <c r="I72" s="6">
        <v>7</v>
      </c>
      <c r="J72" s="6">
        <v>1</v>
      </c>
      <c r="K72" s="6">
        <v>5</v>
      </c>
      <c r="L72" s="6">
        <v>7</v>
      </c>
      <c r="M72" s="6">
        <v>3</v>
      </c>
      <c r="N72" s="6">
        <v>13</v>
      </c>
      <c r="O72" s="6">
        <v>11</v>
      </c>
      <c r="P72" s="6">
        <v>7</v>
      </c>
      <c r="Q72" s="6">
        <v>2</v>
      </c>
      <c r="R72" s="6">
        <v>11</v>
      </c>
      <c r="S72" s="6">
        <v>4</v>
      </c>
      <c r="T72" s="6">
        <v>3</v>
      </c>
      <c r="U72" s="5">
        <f t="shared" ref="U72:U78" si="24">SUM(E72:T72)</f>
        <v>104</v>
      </c>
    </row>
    <row r="73" spans="1:21" x14ac:dyDescent="0.4">
      <c r="A73" s="11" t="s">
        <v>49</v>
      </c>
      <c r="B73" s="46">
        <v>1</v>
      </c>
      <c r="C73" s="24" t="s">
        <v>121</v>
      </c>
      <c r="D73" s="47"/>
      <c r="E73" s="6">
        <v>8</v>
      </c>
      <c r="F73" s="6">
        <v>3</v>
      </c>
      <c r="G73" s="6">
        <v>44</v>
      </c>
      <c r="H73" s="6">
        <v>21</v>
      </c>
      <c r="I73" s="6">
        <v>5</v>
      </c>
      <c r="J73" s="6">
        <v>12</v>
      </c>
      <c r="K73" s="6">
        <v>8</v>
      </c>
      <c r="L73" s="6">
        <v>11</v>
      </c>
      <c r="M73" s="6">
        <v>16</v>
      </c>
      <c r="N73" s="6">
        <v>6</v>
      </c>
      <c r="O73" s="6">
        <v>53</v>
      </c>
      <c r="P73" s="6">
        <v>31</v>
      </c>
      <c r="Q73" s="6">
        <v>7</v>
      </c>
      <c r="R73" s="6">
        <v>17</v>
      </c>
      <c r="S73" s="6">
        <v>13</v>
      </c>
      <c r="T73" s="6">
        <v>19</v>
      </c>
      <c r="U73" s="5">
        <f t="shared" si="24"/>
        <v>274</v>
      </c>
    </row>
    <row r="74" spans="1:21" x14ac:dyDescent="0.4">
      <c r="A74" s="7"/>
      <c r="B74" s="46">
        <v>2</v>
      </c>
      <c r="C74" s="24" t="s">
        <v>122</v>
      </c>
      <c r="D74" s="47"/>
      <c r="E74" s="6">
        <v>6</v>
      </c>
      <c r="F74" s="6">
        <v>16</v>
      </c>
      <c r="G74" s="6">
        <v>43</v>
      </c>
      <c r="H74" s="6">
        <v>60</v>
      </c>
      <c r="I74" s="6">
        <v>38</v>
      </c>
      <c r="J74" s="6">
        <v>15</v>
      </c>
      <c r="K74" s="6">
        <v>12</v>
      </c>
      <c r="L74" s="6">
        <v>26</v>
      </c>
      <c r="M74" s="6">
        <v>19</v>
      </c>
      <c r="N74" s="6">
        <v>46</v>
      </c>
      <c r="O74" s="6">
        <v>31</v>
      </c>
      <c r="P74" s="6">
        <v>12</v>
      </c>
      <c r="Q74" s="6">
        <v>10</v>
      </c>
      <c r="R74" s="6">
        <v>37</v>
      </c>
      <c r="S74" s="6">
        <v>8</v>
      </c>
      <c r="T74" s="6">
        <v>27</v>
      </c>
      <c r="U74" s="5">
        <f t="shared" si="24"/>
        <v>406</v>
      </c>
    </row>
    <row r="75" spans="1:21" x14ac:dyDescent="0.4">
      <c r="A75" s="7"/>
      <c r="B75" s="46">
        <v>3</v>
      </c>
      <c r="C75" s="24" t="s">
        <v>123</v>
      </c>
      <c r="D75" s="47"/>
      <c r="E75" s="6">
        <v>2</v>
      </c>
      <c r="F75" s="6">
        <v>1</v>
      </c>
      <c r="G75" s="6">
        <v>0</v>
      </c>
      <c r="H75" s="6">
        <v>0</v>
      </c>
      <c r="I75" s="6">
        <v>0</v>
      </c>
      <c r="J75" s="6">
        <v>1</v>
      </c>
      <c r="K75" s="6">
        <v>2</v>
      </c>
      <c r="L75" s="6">
        <v>2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1</v>
      </c>
      <c r="T75" s="6">
        <v>1</v>
      </c>
      <c r="U75" s="5">
        <f t="shared" si="24"/>
        <v>10</v>
      </c>
    </row>
    <row r="76" spans="1:21" ht="13.15" customHeight="1" x14ac:dyDescent="0.4">
      <c r="A76" s="7"/>
      <c r="B76" s="46">
        <v>4</v>
      </c>
      <c r="C76" s="24" t="s">
        <v>124</v>
      </c>
      <c r="D76" s="47"/>
      <c r="E76" s="6">
        <v>1</v>
      </c>
      <c r="F76" s="6">
        <v>0</v>
      </c>
      <c r="G76" s="6">
        <v>1</v>
      </c>
      <c r="H76" s="6">
        <v>0</v>
      </c>
      <c r="I76" s="6">
        <v>1</v>
      </c>
      <c r="J76" s="6">
        <v>0</v>
      </c>
      <c r="K76" s="6">
        <v>0</v>
      </c>
      <c r="L76" s="6">
        <v>0</v>
      </c>
      <c r="M76" s="6">
        <v>0</v>
      </c>
      <c r="N76" s="6">
        <v>1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/>
      <c r="U76" s="5">
        <f t="shared" si="24"/>
        <v>4</v>
      </c>
    </row>
    <row r="77" spans="1:21" x14ac:dyDescent="0.4">
      <c r="A77" s="7"/>
      <c r="B77" s="46">
        <v>5</v>
      </c>
      <c r="C77" s="24" t="s">
        <v>125</v>
      </c>
      <c r="D77" s="47"/>
      <c r="E77" s="6">
        <v>0</v>
      </c>
      <c r="F77" s="6">
        <v>0</v>
      </c>
      <c r="G77" s="6">
        <v>1</v>
      </c>
      <c r="H77" s="6">
        <v>0</v>
      </c>
      <c r="I77" s="6">
        <v>0</v>
      </c>
      <c r="J77" s="6">
        <v>1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1</v>
      </c>
      <c r="Q77" s="6">
        <v>0</v>
      </c>
      <c r="R77" s="6">
        <v>0</v>
      </c>
      <c r="S77" s="6">
        <v>1</v>
      </c>
      <c r="T77" s="6"/>
      <c r="U77" s="5">
        <f t="shared" si="24"/>
        <v>4</v>
      </c>
    </row>
    <row r="78" spans="1:21" x14ac:dyDescent="0.4">
      <c r="A78" s="7"/>
      <c r="B78" s="46">
        <v>6</v>
      </c>
      <c r="C78" s="24" t="s">
        <v>126</v>
      </c>
      <c r="D78" s="47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/>
      <c r="U78" s="5">
        <f t="shared" si="24"/>
        <v>0</v>
      </c>
    </row>
    <row r="79" spans="1:21" x14ac:dyDescent="0.4">
      <c r="A79" s="6" t="s">
        <v>25</v>
      </c>
      <c r="B79" s="52" t="s">
        <v>50</v>
      </c>
      <c r="C79" s="68"/>
      <c r="D79" s="51"/>
      <c r="E79" s="5">
        <f t="shared" ref="E79:U79" si="25">SUM(E72:E78)</f>
        <v>21</v>
      </c>
      <c r="F79" s="5">
        <f t="shared" si="25"/>
        <v>21</v>
      </c>
      <c r="G79" s="5">
        <f t="shared" si="25"/>
        <v>99</v>
      </c>
      <c r="H79" s="5">
        <f t="shared" si="25"/>
        <v>96</v>
      </c>
      <c r="I79" s="5">
        <f t="shared" si="25"/>
        <v>51</v>
      </c>
      <c r="J79" s="5">
        <f t="shared" si="25"/>
        <v>30</v>
      </c>
      <c r="K79" s="5">
        <f t="shared" si="25"/>
        <v>27</v>
      </c>
      <c r="L79" s="5">
        <f t="shared" si="25"/>
        <v>46</v>
      </c>
      <c r="M79" s="5">
        <f t="shared" si="25"/>
        <v>38</v>
      </c>
      <c r="N79" s="5">
        <f t="shared" si="25"/>
        <v>66</v>
      </c>
      <c r="O79" s="5">
        <f t="shared" si="25"/>
        <v>95</v>
      </c>
      <c r="P79" s="5">
        <f t="shared" si="25"/>
        <v>51</v>
      </c>
      <c r="Q79" s="5">
        <f t="shared" si="25"/>
        <v>19</v>
      </c>
      <c r="R79" s="5">
        <f t="shared" si="25"/>
        <v>65</v>
      </c>
      <c r="S79" s="5">
        <f t="shared" si="25"/>
        <v>27</v>
      </c>
      <c r="T79" s="5">
        <f t="shared" si="25"/>
        <v>50</v>
      </c>
      <c r="U79" s="5">
        <f t="shared" si="25"/>
        <v>802</v>
      </c>
    </row>
    <row r="80" spans="1:21" x14ac:dyDescent="0.4">
      <c r="A80" s="69"/>
      <c r="B80" s="70"/>
      <c r="C80" s="70"/>
      <c r="D80" s="70"/>
      <c r="E80" s="70"/>
    </row>
    <row r="81" spans="1:21" x14ac:dyDescent="0.4">
      <c r="A81" s="11" t="s">
        <v>47</v>
      </c>
      <c r="B81" s="17" t="s">
        <v>54</v>
      </c>
      <c r="C81" s="50" t="s">
        <v>55</v>
      </c>
      <c r="D81" s="51"/>
      <c r="E81" s="6">
        <v>5</v>
      </c>
      <c r="F81" s="6">
        <v>5</v>
      </c>
      <c r="G81" s="6">
        <v>0</v>
      </c>
      <c r="H81" s="6">
        <v>2</v>
      </c>
      <c r="I81" s="6">
        <v>2</v>
      </c>
      <c r="J81" s="6">
        <v>2</v>
      </c>
      <c r="K81" s="6">
        <v>2</v>
      </c>
      <c r="L81" s="6">
        <v>1</v>
      </c>
      <c r="M81" s="6">
        <v>2</v>
      </c>
      <c r="N81" s="6">
        <v>2</v>
      </c>
      <c r="O81" s="6">
        <v>1</v>
      </c>
      <c r="P81" s="6">
        <v>4</v>
      </c>
      <c r="Q81" s="6">
        <v>1</v>
      </c>
      <c r="R81" s="6">
        <v>0</v>
      </c>
      <c r="S81" s="6">
        <v>2</v>
      </c>
      <c r="T81" s="6"/>
      <c r="U81" s="5">
        <f t="shared" ref="U81:U87" si="26">SUM(E81:T81)</f>
        <v>31</v>
      </c>
    </row>
    <row r="82" spans="1:21" x14ac:dyDescent="0.4">
      <c r="A82" s="11" t="s">
        <v>49</v>
      </c>
      <c r="B82" s="46">
        <v>1</v>
      </c>
      <c r="C82" s="24" t="s">
        <v>127</v>
      </c>
      <c r="D82" s="47"/>
      <c r="E82" s="6">
        <v>1</v>
      </c>
      <c r="F82" s="6">
        <v>2</v>
      </c>
      <c r="G82" s="6">
        <v>1</v>
      </c>
      <c r="H82" s="6">
        <v>1</v>
      </c>
      <c r="I82" s="6">
        <v>1</v>
      </c>
      <c r="J82" s="6">
        <v>0</v>
      </c>
      <c r="K82" s="6">
        <v>0</v>
      </c>
      <c r="L82" s="6">
        <v>1</v>
      </c>
      <c r="M82" s="6">
        <v>1</v>
      </c>
      <c r="N82" s="6">
        <v>1</v>
      </c>
      <c r="O82" s="6">
        <v>0</v>
      </c>
      <c r="P82" s="6">
        <v>8</v>
      </c>
      <c r="Q82" s="6">
        <v>0</v>
      </c>
      <c r="R82" s="6">
        <v>0</v>
      </c>
      <c r="S82" s="6">
        <v>0</v>
      </c>
      <c r="T82" s="6"/>
      <c r="U82" s="5">
        <f t="shared" si="26"/>
        <v>17</v>
      </c>
    </row>
    <row r="83" spans="1:21" x14ac:dyDescent="0.4">
      <c r="A83" s="7"/>
      <c r="B83" s="46">
        <v>2</v>
      </c>
      <c r="C83" s="24" t="s">
        <v>128</v>
      </c>
      <c r="D83" s="47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1</v>
      </c>
      <c r="L83" s="6">
        <v>1</v>
      </c>
      <c r="M83" s="6">
        <v>1</v>
      </c>
      <c r="N83" s="6">
        <v>1</v>
      </c>
      <c r="O83" s="6">
        <v>1</v>
      </c>
      <c r="P83" s="6">
        <v>1</v>
      </c>
      <c r="Q83" s="6">
        <v>0</v>
      </c>
      <c r="R83" s="6">
        <v>0</v>
      </c>
      <c r="S83" s="6">
        <v>0</v>
      </c>
      <c r="T83" s="6"/>
      <c r="U83" s="5">
        <f t="shared" si="26"/>
        <v>6</v>
      </c>
    </row>
    <row r="84" spans="1:21" ht="13.15" customHeight="1" x14ac:dyDescent="0.4">
      <c r="A84" s="7"/>
      <c r="B84" s="46">
        <v>3</v>
      </c>
      <c r="C84" s="24" t="s">
        <v>129</v>
      </c>
      <c r="D84" s="47"/>
      <c r="E84" s="6">
        <v>1</v>
      </c>
      <c r="F84" s="6">
        <v>0</v>
      </c>
      <c r="G84" s="6">
        <v>1</v>
      </c>
      <c r="H84" s="6">
        <v>0</v>
      </c>
      <c r="I84" s="6">
        <v>0</v>
      </c>
      <c r="J84" s="6">
        <v>0</v>
      </c>
      <c r="K84" s="6">
        <v>1</v>
      </c>
      <c r="L84" s="6">
        <v>1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/>
      <c r="U84" s="5">
        <f t="shared" si="26"/>
        <v>4</v>
      </c>
    </row>
    <row r="85" spans="1:21" x14ac:dyDescent="0.4">
      <c r="A85" s="7"/>
      <c r="B85" s="46">
        <v>4</v>
      </c>
      <c r="C85" s="24" t="s">
        <v>130</v>
      </c>
      <c r="D85" s="47"/>
      <c r="E85" s="6">
        <v>0</v>
      </c>
      <c r="F85" s="6">
        <v>1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/>
      <c r="U85" s="5">
        <f t="shared" si="26"/>
        <v>1</v>
      </c>
    </row>
    <row r="86" spans="1:21" x14ac:dyDescent="0.4">
      <c r="A86" s="7"/>
      <c r="B86" s="46">
        <v>5</v>
      </c>
      <c r="C86" s="24" t="s">
        <v>131</v>
      </c>
      <c r="D86" s="47"/>
      <c r="E86" s="6">
        <v>8</v>
      </c>
      <c r="F86" s="6">
        <v>23</v>
      </c>
      <c r="G86" s="6">
        <v>7</v>
      </c>
      <c r="H86" s="6">
        <v>0</v>
      </c>
      <c r="I86" s="6">
        <v>2</v>
      </c>
      <c r="J86" s="6">
        <v>1</v>
      </c>
      <c r="K86" s="6">
        <v>3</v>
      </c>
      <c r="L86" s="6">
        <v>2</v>
      </c>
      <c r="M86" s="6">
        <v>0</v>
      </c>
      <c r="N86" s="6">
        <v>0</v>
      </c>
      <c r="O86" s="6">
        <v>4</v>
      </c>
      <c r="P86" s="6">
        <v>0</v>
      </c>
      <c r="Q86" s="6">
        <v>0</v>
      </c>
      <c r="R86" s="6">
        <v>0</v>
      </c>
      <c r="S86" s="6">
        <v>1</v>
      </c>
      <c r="T86" s="6"/>
      <c r="U86" s="5">
        <f t="shared" si="26"/>
        <v>51</v>
      </c>
    </row>
    <row r="87" spans="1:21" x14ac:dyDescent="0.4">
      <c r="A87" s="7"/>
      <c r="B87" s="46">
        <v>6</v>
      </c>
      <c r="C87" s="24" t="s">
        <v>132</v>
      </c>
      <c r="D87" s="47"/>
      <c r="E87" s="6">
        <v>6</v>
      </c>
      <c r="F87" s="6">
        <v>2</v>
      </c>
      <c r="G87" s="6">
        <v>6</v>
      </c>
      <c r="H87" s="6">
        <v>12</v>
      </c>
      <c r="I87" s="6">
        <v>1</v>
      </c>
      <c r="J87" s="6">
        <v>3</v>
      </c>
      <c r="K87" s="6">
        <v>11</v>
      </c>
      <c r="L87" s="6">
        <v>15</v>
      </c>
      <c r="M87" s="6">
        <v>1</v>
      </c>
      <c r="N87" s="6">
        <v>7</v>
      </c>
      <c r="O87" s="6">
        <v>0</v>
      </c>
      <c r="P87" s="6">
        <v>0</v>
      </c>
      <c r="Q87" s="6">
        <v>0</v>
      </c>
      <c r="R87" s="6">
        <v>2</v>
      </c>
      <c r="S87" s="6">
        <v>0</v>
      </c>
      <c r="T87" s="6">
        <v>1</v>
      </c>
      <c r="U87" s="5">
        <f t="shared" si="26"/>
        <v>67</v>
      </c>
    </row>
    <row r="88" spans="1:21" x14ac:dyDescent="0.4">
      <c r="A88" s="6" t="s">
        <v>25</v>
      </c>
      <c r="B88" s="52" t="s">
        <v>50</v>
      </c>
      <c r="C88" s="68"/>
      <c r="D88" s="51"/>
      <c r="E88" s="5">
        <v>21</v>
      </c>
      <c r="F88" s="5">
        <v>33</v>
      </c>
      <c r="G88" s="5">
        <v>15</v>
      </c>
      <c r="H88" s="5">
        <v>15</v>
      </c>
      <c r="I88" s="5">
        <v>6</v>
      </c>
      <c r="J88" s="5">
        <v>6</v>
      </c>
      <c r="K88" s="5">
        <v>18</v>
      </c>
      <c r="L88" s="5">
        <v>21</v>
      </c>
      <c r="M88" s="5">
        <v>5</v>
      </c>
      <c r="N88" s="5">
        <v>11</v>
      </c>
      <c r="O88" s="5">
        <v>6</v>
      </c>
      <c r="P88" s="5">
        <v>13</v>
      </c>
      <c r="Q88" s="5">
        <v>1</v>
      </c>
      <c r="R88" s="5">
        <v>2</v>
      </c>
      <c r="S88" s="5">
        <v>3</v>
      </c>
      <c r="T88" s="5">
        <f t="shared" ref="T88:U88" si="27">SUM(T81:T87)</f>
        <v>1</v>
      </c>
      <c r="U88" s="5">
        <f t="shared" si="27"/>
        <v>177</v>
      </c>
    </row>
    <row r="89" spans="1:21" x14ac:dyDescent="0.4">
      <c r="A89" s="69"/>
      <c r="B89" s="70"/>
      <c r="C89" s="70"/>
      <c r="D89" s="70"/>
      <c r="E89" s="70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</row>
    <row r="90" spans="1:21" x14ac:dyDescent="0.4">
      <c r="A90" s="11" t="s">
        <v>47</v>
      </c>
      <c r="B90" s="17" t="s">
        <v>56</v>
      </c>
      <c r="C90" s="50" t="s">
        <v>57</v>
      </c>
      <c r="D90" s="51"/>
      <c r="E90" s="6">
        <v>3</v>
      </c>
      <c r="F90" s="6">
        <v>0</v>
      </c>
      <c r="G90" s="6">
        <v>0</v>
      </c>
      <c r="H90" s="6">
        <v>1</v>
      </c>
      <c r="I90" s="6">
        <v>0</v>
      </c>
      <c r="J90" s="6">
        <v>1</v>
      </c>
      <c r="K90" s="6">
        <v>2</v>
      </c>
      <c r="L90" s="6">
        <v>0</v>
      </c>
      <c r="M90" s="6">
        <v>0</v>
      </c>
      <c r="N90" s="6">
        <v>0</v>
      </c>
      <c r="O90" s="6">
        <v>2</v>
      </c>
      <c r="P90" s="6">
        <v>1</v>
      </c>
      <c r="Q90" s="6">
        <v>0</v>
      </c>
      <c r="R90" s="6">
        <v>0</v>
      </c>
      <c r="S90" s="6">
        <v>0</v>
      </c>
      <c r="T90" s="6">
        <v>1</v>
      </c>
      <c r="U90" s="5">
        <f t="shared" ref="U90" si="28">SUM(E90:T90)</f>
        <v>11</v>
      </c>
    </row>
    <row r="91" spans="1:21" ht="13.15" customHeight="1" x14ac:dyDescent="0.4">
      <c r="A91" s="6" t="s">
        <v>25</v>
      </c>
      <c r="B91" s="52" t="s">
        <v>50</v>
      </c>
      <c r="C91" s="53"/>
      <c r="D91" s="54"/>
      <c r="E91" s="5">
        <f t="shared" ref="E91:U91" si="29">SUM(E90:E90)</f>
        <v>3</v>
      </c>
      <c r="F91" s="5">
        <f t="shared" si="29"/>
        <v>0</v>
      </c>
      <c r="G91" s="5">
        <f t="shared" si="29"/>
        <v>0</v>
      </c>
      <c r="H91" s="5">
        <f t="shared" si="29"/>
        <v>1</v>
      </c>
      <c r="I91" s="5">
        <f t="shared" si="29"/>
        <v>0</v>
      </c>
      <c r="J91" s="5">
        <f t="shared" si="29"/>
        <v>1</v>
      </c>
      <c r="K91" s="5">
        <f t="shared" si="29"/>
        <v>2</v>
      </c>
      <c r="L91" s="5">
        <f t="shared" si="29"/>
        <v>0</v>
      </c>
      <c r="M91" s="5">
        <f t="shared" si="29"/>
        <v>0</v>
      </c>
      <c r="N91" s="5">
        <f t="shared" si="29"/>
        <v>0</v>
      </c>
      <c r="O91" s="5">
        <f t="shared" si="29"/>
        <v>2</v>
      </c>
      <c r="P91" s="5">
        <f t="shared" si="29"/>
        <v>1</v>
      </c>
      <c r="Q91" s="5">
        <f t="shared" si="29"/>
        <v>0</v>
      </c>
      <c r="R91" s="5">
        <f t="shared" si="29"/>
        <v>0</v>
      </c>
      <c r="S91" s="5">
        <f t="shared" si="29"/>
        <v>0</v>
      </c>
      <c r="T91" s="5">
        <f t="shared" si="29"/>
        <v>1</v>
      </c>
      <c r="U91" s="5">
        <f t="shared" si="29"/>
        <v>11</v>
      </c>
    </row>
    <row r="92" spans="1:21" x14ac:dyDescent="0.4">
      <c r="A92" s="55"/>
      <c r="B92" s="56"/>
      <c r="C92" s="56"/>
      <c r="D92" s="56"/>
      <c r="E92" s="5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5"/>
    </row>
    <row r="93" spans="1:21" x14ac:dyDescent="0.4">
      <c r="A93" s="11" t="s">
        <v>47</v>
      </c>
      <c r="B93" s="17" t="s">
        <v>58</v>
      </c>
      <c r="C93" s="50" t="s">
        <v>59</v>
      </c>
      <c r="D93" s="51"/>
      <c r="E93" s="6">
        <v>1</v>
      </c>
      <c r="F93" s="6">
        <v>0</v>
      </c>
      <c r="G93" s="6">
        <v>1</v>
      </c>
      <c r="H93" s="6">
        <v>1</v>
      </c>
      <c r="I93" s="6">
        <v>0</v>
      </c>
      <c r="J93" s="6">
        <v>0</v>
      </c>
      <c r="K93" s="6">
        <v>1</v>
      </c>
      <c r="L93" s="6">
        <v>2</v>
      </c>
      <c r="M93" s="6">
        <v>0</v>
      </c>
      <c r="N93" s="6">
        <v>0</v>
      </c>
      <c r="O93" s="6">
        <v>0</v>
      </c>
      <c r="P93" s="6">
        <v>2</v>
      </c>
      <c r="Q93" s="6">
        <v>0</v>
      </c>
      <c r="R93" s="6">
        <v>0</v>
      </c>
      <c r="S93" s="6">
        <v>0</v>
      </c>
      <c r="T93" s="6">
        <v>1</v>
      </c>
      <c r="U93" s="5">
        <f t="shared" ref="U93:U97" si="30">SUM(E93:T93)</f>
        <v>9</v>
      </c>
    </row>
    <row r="94" spans="1:21" x14ac:dyDescent="0.4">
      <c r="A94" s="11" t="s">
        <v>49</v>
      </c>
      <c r="B94" s="46">
        <v>1</v>
      </c>
      <c r="C94" s="24" t="s">
        <v>133</v>
      </c>
      <c r="D94" s="47"/>
      <c r="E94" s="6">
        <v>0</v>
      </c>
      <c r="F94" s="6">
        <v>0</v>
      </c>
      <c r="G94" s="6">
        <v>1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/>
      <c r="U94" s="5">
        <f t="shared" si="30"/>
        <v>1</v>
      </c>
    </row>
    <row r="95" spans="1:21" x14ac:dyDescent="0.4">
      <c r="A95" s="7"/>
      <c r="B95" s="46">
        <v>2</v>
      </c>
      <c r="C95" s="24" t="s">
        <v>134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/>
      <c r="U95" s="5">
        <f t="shared" si="30"/>
        <v>0</v>
      </c>
    </row>
    <row r="96" spans="1:21" x14ac:dyDescent="0.4">
      <c r="A96" s="7"/>
      <c r="B96" s="46">
        <v>3</v>
      </c>
      <c r="C96" s="24" t="s">
        <v>135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1</v>
      </c>
      <c r="R96" s="6">
        <v>0</v>
      </c>
      <c r="S96" s="6">
        <v>0</v>
      </c>
      <c r="T96" s="6"/>
      <c r="U96" s="5">
        <f t="shared" si="30"/>
        <v>1</v>
      </c>
    </row>
    <row r="97" spans="1:21" x14ac:dyDescent="0.4">
      <c r="A97" s="7"/>
      <c r="B97" s="46">
        <v>4</v>
      </c>
      <c r="C97" s="24" t="s">
        <v>136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/>
      <c r="U97" s="5">
        <f t="shared" si="30"/>
        <v>0</v>
      </c>
    </row>
    <row r="98" spans="1:21" x14ac:dyDescent="0.4">
      <c r="A98" s="6" t="s">
        <v>25</v>
      </c>
      <c r="B98" s="52" t="s">
        <v>50</v>
      </c>
      <c r="C98" s="53"/>
      <c r="D98" s="54"/>
      <c r="E98" s="5">
        <f t="shared" ref="E98:U98" si="31">SUM(E93:E97)</f>
        <v>1</v>
      </c>
      <c r="F98" s="5">
        <f t="shared" si="31"/>
        <v>0</v>
      </c>
      <c r="G98" s="5">
        <f t="shared" si="31"/>
        <v>2</v>
      </c>
      <c r="H98" s="5">
        <f t="shared" si="31"/>
        <v>1</v>
      </c>
      <c r="I98" s="5">
        <f t="shared" si="31"/>
        <v>0</v>
      </c>
      <c r="J98" s="5">
        <f t="shared" si="31"/>
        <v>0</v>
      </c>
      <c r="K98" s="5">
        <f t="shared" si="31"/>
        <v>1</v>
      </c>
      <c r="L98" s="5">
        <f t="shared" si="31"/>
        <v>2</v>
      </c>
      <c r="M98" s="5">
        <f t="shared" si="31"/>
        <v>0</v>
      </c>
      <c r="N98" s="5">
        <f t="shared" si="31"/>
        <v>0</v>
      </c>
      <c r="O98" s="5">
        <f t="shared" si="31"/>
        <v>0</v>
      </c>
      <c r="P98" s="5">
        <f t="shared" si="31"/>
        <v>2</v>
      </c>
      <c r="Q98" s="5">
        <f t="shared" si="31"/>
        <v>1</v>
      </c>
      <c r="R98" s="5">
        <f t="shared" si="31"/>
        <v>0</v>
      </c>
      <c r="S98" s="5">
        <f t="shared" si="31"/>
        <v>0</v>
      </c>
      <c r="T98" s="5">
        <f t="shared" si="31"/>
        <v>1</v>
      </c>
      <c r="U98" s="5">
        <f t="shared" si="31"/>
        <v>11</v>
      </c>
    </row>
    <row r="99" spans="1:21" x14ac:dyDescent="0.4">
      <c r="A99" s="55"/>
      <c r="B99" s="56"/>
      <c r="C99" s="56"/>
      <c r="D99" s="56"/>
      <c r="E99" s="5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</row>
    <row r="100" spans="1:21" x14ac:dyDescent="0.4">
      <c r="A100" s="11" t="s">
        <v>47</v>
      </c>
      <c r="B100" s="17" t="s">
        <v>60</v>
      </c>
      <c r="C100" s="50" t="s">
        <v>61</v>
      </c>
      <c r="D100" s="51"/>
      <c r="E100" s="6">
        <v>0</v>
      </c>
      <c r="F100" s="6">
        <v>1</v>
      </c>
      <c r="G100" s="6">
        <v>3</v>
      </c>
      <c r="H100" s="6">
        <v>1</v>
      </c>
      <c r="I100" s="6">
        <v>0</v>
      </c>
      <c r="J100" s="6">
        <v>1</v>
      </c>
      <c r="K100" s="6">
        <v>1</v>
      </c>
      <c r="L100" s="6">
        <v>0</v>
      </c>
      <c r="M100" s="6">
        <v>1</v>
      </c>
      <c r="N100" s="6">
        <v>1</v>
      </c>
      <c r="O100" s="6">
        <v>0</v>
      </c>
      <c r="P100" s="6">
        <v>1</v>
      </c>
      <c r="Q100" s="6">
        <v>0</v>
      </c>
      <c r="R100" s="6">
        <v>0</v>
      </c>
      <c r="S100" s="6">
        <v>0</v>
      </c>
      <c r="T100" s="6"/>
      <c r="U100" s="5">
        <f t="shared" ref="U100:U106" si="32">SUM(E100:T100)</f>
        <v>10</v>
      </c>
    </row>
    <row r="101" spans="1:21" ht="13.15" customHeight="1" x14ac:dyDescent="0.4">
      <c r="A101" s="11" t="s">
        <v>49</v>
      </c>
      <c r="B101" s="46">
        <v>1</v>
      </c>
      <c r="C101" s="24" t="s">
        <v>137</v>
      </c>
      <c r="D101" s="47"/>
      <c r="E101" s="6">
        <v>7</v>
      </c>
      <c r="F101" s="6">
        <v>4</v>
      </c>
      <c r="G101" s="6">
        <v>0</v>
      </c>
      <c r="H101" s="6">
        <v>5</v>
      </c>
      <c r="I101" s="6">
        <v>1</v>
      </c>
      <c r="J101" s="6">
        <v>2</v>
      </c>
      <c r="K101" s="6">
        <v>1</v>
      </c>
      <c r="L101" s="6">
        <v>0</v>
      </c>
      <c r="M101" s="6">
        <v>0</v>
      </c>
      <c r="N101" s="6">
        <v>2</v>
      </c>
      <c r="O101" s="6">
        <v>0</v>
      </c>
      <c r="P101" s="6">
        <v>1</v>
      </c>
      <c r="Q101" s="6">
        <v>0</v>
      </c>
      <c r="R101" s="6">
        <v>0</v>
      </c>
      <c r="S101" s="6">
        <v>0</v>
      </c>
      <c r="T101" s="6">
        <v>4</v>
      </c>
      <c r="U101" s="5">
        <f t="shared" si="32"/>
        <v>27</v>
      </c>
    </row>
    <row r="102" spans="1:21" x14ac:dyDescent="0.4">
      <c r="A102" s="7"/>
      <c r="B102" s="46">
        <v>2</v>
      </c>
      <c r="C102" s="24" t="s">
        <v>138</v>
      </c>
      <c r="D102" s="47"/>
      <c r="E102" s="6">
        <v>1</v>
      </c>
      <c r="F102" s="6">
        <v>0</v>
      </c>
      <c r="G102" s="6">
        <v>0</v>
      </c>
      <c r="H102" s="6">
        <v>1</v>
      </c>
      <c r="I102" s="6">
        <v>0</v>
      </c>
      <c r="J102" s="6">
        <v>0</v>
      </c>
      <c r="K102" s="6">
        <v>2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/>
      <c r="U102" s="5">
        <f t="shared" si="32"/>
        <v>4</v>
      </c>
    </row>
    <row r="103" spans="1:21" x14ac:dyDescent="0.4">
      <c r="A103" s="7"/>
      <c r="B103" s="46">
        <v>3</v>
      </c>
      <c r="C103" s="24" t="s">
        <v>139</v>
      </c>
      <c r="D103" s="47"/>
      <c r="E103" s="6">
        <v>1</v>
      </c>
      <c r="F103" s="6">
        <v>1</v>
      </c>
      <c r="G103" s="6">
        <v>0</v>
      </c>
      <c r="H103" s="6">
        <v>0</v>
      </c>
      <c r="I103" s="6">
        <v>0</v>
      </c>
      <c r="J103" s="6">
        <v>0</v>
      </c>
      <c r="K103" s="6">
        <v>2</v>
      </c>
      <c r="L103" s="6">
        <v>0</v>
      </c>
      <c r="M103" s="6">
        <v>1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1</v>
      </c>
      <c r="U103" s="5">
        <f t="shared" si="32"/>
        <v>6</v>
      </c>
    </row>
    <row r="104" spans="1:21" x14ac:dyDescent="0.4">
      <c r="A104" s="7"/>
      <c r="B104" s="46">
        <v>4</v>
      </c>
      <c r="C104" s="24" t="s">
        <v>140</v>
      </c>
      <c r="D104" s="47"/>
      <c r="E104" s="6">
        <v>0</v>
      </c>
      <c r="F104" s="6">
        <v>2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1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/>
      <c r="U104" s="5">
        <f t="shared" si="32"/>
        <v>3</v>
      </c>
    </row>
    <row r="105" spans="1:21" x14ac:dyDescent="0.4">
      <c r="A105" s="7"/>
      <c r="B105" s="46">
        <v>5</v>
      </c>
      <c r="C105" s="24" t="s">
        <v>141</v>
      </c>
      <c r="D105" s="47"/>
      <c r="E105" s="6">
        <v>1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2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/>
      <c r="U105" s="5">
        <f t="shared" si="32"/>
        <v>3</v>
      </c>
    </row>
    <row r="106" spans="1:21" x14ac:dyDescent="0.4">
      <c r="A106" s="7"/>
      <c r="B106" s="46">
        <v>6</v>
      </c>
      <c r="C106" s="24" t="s">
        <v>142</v>
      </c>
      <c r="D106" s="47"/>
      <c r="E106" s="6">
        <v>0</v>
      </c>
      <c r="F106" s="6">
        <v>1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/>
      <c r="U106" s="5">
        <f t="shared" si="32"/>
        <v>1</v>
      </c>
    </row>
    <row r="107" spans="1:21" x14ac:dyDescent="0.4">
      <c r="A107" s="6" t="s">
        <v>25</v>
      </c>
      <c r="B107" s="52" t="s">
        <v>50</v>
      </c>
      <c r="C107" s="53"/>
      <c r="D107" s="54"/>
      <c r="E107" s="5">
        <f t="shared" ref="E107:U107" si="33">SUM(E100:E106)</f>
        <v>10</v>
      </c>
      <c r="F107" s="5">
        <f t="shared" si="33"/>
        <v>9</v>
      </c>
      <c r="G107" s="5">
        <f t="shared" si="33"/>
        <v>3</v>
      </c>
      <c r="H107" s="5">
        <f t="shared" si="33"/>
        <v>7</v>
      </c>
      <c r="I107" s="5">
        <f t="shared" si="33"/>
        <v>1</v>
      </c>
      <c r="J107" s="5">
        <f t="shared" si="33"/>
        <v>3</v>
      </c>
      <c r="K107" s="5">
        <f t="shared" si="33"/>
        <v>6</v>
      </c>
      <c r="L107" s="5">
        <f t="shared" si="33"/>
        <v>1</v>
      </c>
      <c r="M107" s="5">
        <f t="shared" si="33"/>
        <v>4</v>
      </c>
      <c r="N107" s="5">
        <f t="shared" si="33"/>
        <v>3</v>
      </c>
      <c r="O107" s="5">
        <f t="shared" si="33"/>
        <v>0</v>
      </c>
      <c r="P107" s="5">
        <f t="shared" si="33"/>
        <v>2</v>
      </c>
      <c r="Q107" s="5">
        <f t="shared" si="33"/>
        <v>0</v>
      </c>
      <c r="R107" s="5">
        <f t="shared" si="33"/>
        <v>0</v>
      </c>
      <c r="S107" s="5">
        <f t="shared" si="33"/>
        <v>0</v>
      </c>
      <c r="T107" s="5">
        <f t="shared" si="33"/>
        <v>5</v>
      </c>
      <c r="U107" s="5">
        <f t="shared" si="33"/>
        <v>54</v>
      </c>
    </row>
    <row r="108" spans="1:21" x14ac:dyDescent="0.4">
      <c r="A108" s="55"/>
      <c r="B108" s="56"/>
      <c r="C108" s="56"/>
      <c r="D108" s="56"/>
      <c r="E108" s="5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</row>
    <row r="109" spans="1:21" ht="13.15" customHeight="1" x14ac:dyDescent="0.4">
      <c r="A109" s="11" t="s">
        <v>47</v>
      </c>
      <c r="B109" s="17" t="s">
        <v>62</v>
      </c>
      <c r="C109" s="50" t="s">
        <v>63</v>
      </c>
      <c r="D109" s="51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/>
      <c r="U109" s="5">
        <f t="shared" ref="U109:U112" si="34">SUM(E109:T109)</f>
        <v>0</v>
      </c>
    </row>
    <row r="110" spans="1:21" x14ac:dyDescent="0.4">
      <c r="A110" s="11" t="s">
        <v>49</v>
      </c>
      <c r="B110" s="46">
        <v>1</v>
      </c>
      <c r="C110" s="24" t="s">
        <v>143</v>
      </c>
      <c r="D110" s="45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/>
      <c r="U110" s="5">
        <f t="shared" si="34"/>
        <v>0</v>
      </c>
    </row>
    <row r="111" spans="1:21" x14ac:dyDescent="0.4">
      <c r="A111" s="7"/>
      <c r="B111" s="46">
        <v>2</v>
      </c>
      <c r="C111" s="24" t="s">
        <v>144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/>
      <c r="U111" s="5">
        <f t="shared" si="34"/>
        <v>0</v>
      </c>
    </row>
    <row r="112" spans="1:21" x14ac:dyDescent="0.4">
      <c r="A112" s="7"/>
      <c r="B112" s="46">
        <v>3</v>
      </c>
      <c r="C112" s="24" t="s">
        <v>145</v>
      </c>
      <c r="D112" s="45"/>
      <c r="E112" s="6">
        <v>1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/>
      <c r="U112" s="5">
        <f t="shared" si="34"/>
        <v>1</v>
      </c>
    </row>
    <row r="113" spans="1:21" ht="13.15" customHeight="1" x14ac:dyDescent="0.4">
      <c r="A113" s="6" t="s">
        <v>25</v>
      </c>
      <c r="B113" s="52" t="s">
        <v>50</v>
      </c>
      <c r="C113" s="53"/>
      <c r="D113" s="54"/>
      <c r="E113" s="5">
        <f t="shared" ref="E113:U113" si="35">SUM(E109:E112)</f>
        <v>1</v>
      </c>
      <c r="F113" s="5">
        <f t="shared" si="35"/>
        <v>0</v>
      </c>
      <c r="G113" s="5">
        <f t="shared" si="35"/>
        <v>0</v>
      </c>
      <c r="H113" s="5">
        <f t="shared" si="35"/>
        <v>0</v>
      </c>
      <c r="I113" s="5">
        <f t="shared" si="35"/>
        <v>0</v>
      </c>
      <c r="J113" s="5">
        <f t="shared" si="35"/>
        <v>0</v>
      </c>
      <c r="K113" s="5">
        <f t="shared" si="35"/>
        <v>0</v>
      </c>
      <c r="L113" s="5">
        <f t="shared" si="35"/>
        <v>0</v>
      </c>
      <c r="M113" s="5">
        <f t="shared" si="35"/>
        <v>0</v>
      </c>
      <c r="N113" s="5">
        <f t="shared" si="35"/>
        <v>0</v>
      </c>
      <c r="O113" s="5">
        <f t="shared" si="35"/>
        <v>0</v>
      </c>
      <c r="P113" s="5">
        <f t="shared" si="35"/>
        <v>0</v>
      </c>
      <c r="Q113" s="5">
        <f t="shared" si="35"/>
        <v>0</v>
      </c>
      <c r="R113" s="5">
        <f t="shared" si="35"/>
        <v>0</v>
      </c>
      <c r="S113" s="5">
        <f t="shared" si="35"/>
        <v>0</v>
      </c>
      <c r="T113" s="5">
        <f t="shared" si="35"/>
        <v>0</v>
      </c>
      <c r="U113" s="5">
        <f t="shared" si="35"/>
        <v>1</v>
      </c>
    </row>
    <row r="114" spans="1:21" x14ac:dyDescent="0.4">
      <c r="A114" s="55"/>
      <c r="B114" s="56"/>
      <c r="C114" s="56"/>
      <c r="D114" s="56"/>
      <c r="E114" s="5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5"/>
    </row>
    <row r="115" spans="1:21" x14ac:dyDescent="0.4">
      <c r="A115" s="11" t="s">
        <v>47</v>
      </c>
      <c r="B115" s="44" t="s">
        <v>64</v>
      </c>
      <c r="C115" s="63" t="s">
        <v>65</v>
      </c>
      <c r="D115" s="64"/>
      <c r="E115" s="6">
        <v>0</v>
      </c>
      <c r="F115" s="6">
        <v>1</v>
      </c>
      <c r="G115" s="6">
        <v>0</v>
      </c>
      <c r="H115" s="6">
        <v>0</v>
      </c>
      <c r="I115" s="6">
        <v>0</v>
      </c>
      <c r="J115" s="6">
        <v>1</v>
      </c>
      <c r="K115" s="6">
        <v>0</v>
      </c>
      <c r="L115" s="6">
        <v>1</v>
      </c>
      <c r="M115" s="6">
        <v>1</v>
      </c>
      <c r="N115" s="6">
        <v>0</v>
      </c>
      <c r="O115" s="6">
        <v>1</v>
      </c>
      <c r="P115" s="6">
        <v>0</v>
      </c>
      <c r="Q115" s="6">
        <v>0</v>
      </c>
      <c r="R115" s="6">
        <v>0</v>
      </c>
      <c r="S115" s="6">
        <v>0</v>
      </c>
      <c r="T115" s="6"/>
      <c r="U115" s="5">
        <f t="shared" ref="U115:U121" si="36">SUM(E115:T115)</f>
        <v>5</v>
      </c>
    </row>
    <row r="116" spans="1:21" x14ac:dyDescent="0.4">
      <c r="A116" s="48" t="s">
        <v>49</v>
      </c>
      <c r="B116" s="46">
        <v>1</v>
      </c>
      <c r="C116" s="24" t="s">
        <v>146</v>
      </c>
      <c r="D116" s="47"/>
      <c r="E116" s="49">
        <v>0</v>
      </c>
      <c r="F116" s="6">
        <v>2</v>
      </c>
      <c r="G116" s="6">
        <v>1</v>
      </c>
      <c r="H116" s="6">
        <v>0</v>
      </c>
      <c r="I116" s="6">
        <v>2</v>
      </c>
      <c r="J116" s="6">
        <v>3</v>
      </c>
      <c r="K116" s="6">
        <v>8</v>
      </c>
      <c r="L116" s="6">
        <v>1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1</v>
      </c>
      <c r="U116" s="5">
        <f t="shared" si="36"/>
        <v>18</v>
      </c>
    </row>
    <row r="117" spans="1:21" x14ac:dyDescent="0.4">
      <c r="A117" s="7"/>
      <c r="B117" s="46">
        <v>2</v>
      </c>
      <c r="C117" s="24" t="s">
        <v>147</v>
      </c>
      <c r="D117" s="47"/>
      <c r="E117" s="49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1</v>
      </c>
      <c r="R117" s="6">
        <v>0</v>
      </c>
      <c r="S117" s="6">
        <v>0</v>
      </c>
      <c r="T117" s="6"/>
      <c r="U117" s="5">
        <f t="shared" si="36"/>
        <v>1</v>
      </c>
    </row>
    <row r="118" spans="1:21" x14ac:dyDescent="0.4">
      <c r="A118" s="7"/>
      <c r="B118" s="46">
        <v>3</v>
      </c>
      <c r="C118" s="24" t="s">
        <v>148</v>
      </c>
      <c r="D118" s="47"/>
      <c r="E118" s="49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/>
      <c r="U118" s="5">
        <f t="shared" si="36"/>
        <v>0</v>
      </c>
    </row>
    <row r="119" spans="1:21" x14ac:dyDescent="0.4">
      <c r="A119" s="7"/>
      <c r="B119" s="46">
        <v>4</v>
      </c>
      <c r="C119" s="24" t="s">
        <v>149</v>
      </c>
      <c r="D119" s="47"/>
      <c r="E119" s="49">
        <v>0</v>
      </c>
      <c r="F119" s="6">
        <v>0</v>
      </c>
      <c r="G119" s="6">
        <v>0</v>
      </c>
      <c r="H119" s="6">
        <v>0</v>
      </c>
      <c r="I119" s="6">
        <v>0</v>
      </c>
      <c r="J119" s="6">
        <v>12</v>
      </c>
      <c r="K119" s="6">
        <v>0</v>
      </c>
      <c r="L119" s="6">
        <v>14</v>
      </c>
      <c r="M119" s="6">
        <v>0</v>
      </c>
      <c r="N119" s="6">
        <v>2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/>
      <c r="U119" s="5">
        <f t="shared" si="36"/>
        <v>28</v>
      </c>
    </row>
    <row r="120" spans="1:21" x14ac:dyDescent="0.4">
      <c r="A120" s="7"/>
      <c r="B120" s="46">
        <v>5</v>
      </c>
      <c r="C120" s="24" t="s">
        <v>150</v>
      </c>
      <c r="D120" s="47"/>
      <c r="E120" s="49">
        <v>0</v>
      </c>
      <c r="F120" s="6">
        <v>1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1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/>
      <c r="U120" s="5">
        <f t="shared" si="36"/>
        <v>2</v>
      </c>
    </row>
    <row r="121" spans="1:21" x14ac:dyDescent="0.4">
      <c r="A121" s="7"/>
      <c r="B121" s="46">
        <v>6</v>
      </c>
      <c r="C121" s="24" t="s">
        <v>151</v>
      </c>
      <c r="D121" s="47"/>
      <c r="E121" s="49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/>
      <c r="U121" s="5">
        <f t="shared" si="36"/>
        <v>0</v>
      </c>
    </row>
    <row r="122" spans="1:21" x14ac:dyDescent="0.4">
      <c r="A122" s="6" t="s">
        <v>25</v>
      </c>
      <c r="B122" s="65" t="s">
        <v>50</v>
      </c>
      <c r="C122" s="66"/>
      <c r="D122" s="67"/>
      <c r="E122" s="5">
        <f t="shared" ref="E122:U122" si="37">SUM(E115:E121)</f>
        <v>0</v>
      </c>
      <c r="F122" s="5">
        <f t="shared" si="37"/>
        <v>4</v>
      </c>
      <c r="G122" s="5">
        <f t="shared" si="37"/>
        <v>1</v>
      </c>
      <c r="H122" s="5">
        <f t="shared" si="37"/>
        <v>0</v>
      </c>
      <c r="I122" s="5">
        <f t="shared" si="37"/>
        <v>2</v>
      </c>
      <c r="J122" s="5">
        <f t="shared" si="37"/>
        <v>16</v>
      </c>
      <c r="K122" s="5">
        <f t="shared" si="37"/>
        <v>8</v>
      </c>
      <c r="L122" s="5">
        <f t="shared" si="37"/>
        <v>17</v>
      </c>
      <c r="M122" s="5">
        <f t="shared" si="37"/>
        <v>1</v>
      </c>
      <c r="N122" s="5">
        <f t="shared" si="37"/>
        <v>2</v>
      </c>
      <c r="O122" s="5">
        <f t="shared" si="37"/>
        <v>1</v>
      </c>
      <c r="P122" s="5">
        <f t="shared" si="37"/>
        <v>0</v>
      </c>
      <c r="Q122" s="5">
        <f t="shared" si="37"/>
        <v>1</v>
      </c>
      <c r="R122" s="5">
        <f t="shared" si="37"/>
        <v>0</v>
      </c>
      <c r="S122" s="5">
        <f t="shared" si="37"/>
        <v>0</v>
      </c>
      <c r="T122" s="5">
        <f t="shared" si="37"/>
        <v>1</v>
      </c>
      <c r="U122" s="5">
        <f t="shared" si="37"/>
        <v>54</v>
      </c>
    </row>
    <row r="123" spans="1:21" x14ac:dyDescent="0.4">
      <c r="A123" s="55"/>
      <c r="B123" s="56"/>
      <c r="C123" s="56"/>
      <c r="D123" s="56"/>
      <c r="E123" s="5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</row>
    <row r="124" spans="1:21" ht="13.15" customHeight="1" x14ac:dyDescent="0.4">
      <c r="A124" s="11" t="s">
        <v>47</v>
      </c>
      <c r="B124" s="17" t="s">
        <v>66</v>
      </c>
      <c r="C124" s="50" t="s">
        <v>67</v>
      </c>
      <c r="D124" s="51"/>
      <c r="E124" s="6"/>
      <c r="F124" s="6">
        <v>1</v>
      </c>
      <c r="G124" s="6">
        <v>2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>
        <v>1</v>
      </c>
      <c r="U124" s="5">
        <f t="shared" ref="U124" si="38">SUM(E124:T124)</f>
        <v>4</v>
      </c>
    </row>
    <row r="125" spans="1:21" x14ac:dyDescent="0.4">
      <c r="A125" s="6" t="s">
        <v>25</v>
      </c>
      <c r="B125" s="52" t="s">
        <v>50</v>
      </c>
      <c r="C125" s="53"/>
      <c r="D125" s="54"/>
      <c r="E125" s="5">
        <f t="shared" ref="E125:U125" si="39">SUM(E124:E124)</f>
        <v>0</v>
      </c>
      <c r="F125" s="5">
        <f t="shared" si="39"/>
        <v>1</v>
      </c>
      <c r="G125" s="5">
        <f t="shared" si="39"/>
        <v>2</v>
      </c>
      <c r="H125" s="5">
        <f t="shared" si="39"/>
        <v>0</v>
      </c>
      <c r="I125" s="5">
        <f t="shared" si="39"/>
        <v>0</v>
      </c>
      <c r="J125" s="5">
        <f t="shared" si="39"/>
        <v>0</v>
      </c>
      <c r="K125" s="5">
        <f t="shared" si="39"/>
        <v>0</v>
      </c>
      <c r="L125" s="5">
        <f t="shared" si="39"/>
        <v>0</v>
      </c>
      <c r="M125" s="5">
        <f t="shared" si="39"/>
        <v>0</v>
      </c>
      <c r="N125" s="5">
        <f t="shared" si="39"/>
        <v>0</v>
      </c>
      <c r="O125" s="5">
        <f t="shared" si="39"/>
        <v>0</v>
      </c>
      <c r="P125" s="5">
        <f t="shared" si="39"/>
        <v>0</v>
      </c>
      <c r="Q125" s="5">
        <f t="shared" si="39"/>
        <v>0</v>
      </c>
      <c r="R125" s="5">
        <f t="shared" si="39"/>
        <v>0</v>
      </c>
      <c r="S125" s="5">
        <f t="shared" si="39"/>
        <v>0</v>
      </c>
      <c r="T125" s="5">
        <f t="shared" si="39"/>
        <v>1</v>
      </c>
      <c r="U125" s="5">
        <f t="shared" si="39"/>
        <v>4</v>
      </c>
    </row>
    <row r="126" spans="1:21" ht="13.15" customHeight="1" x14ac:dyDescent="0.4">
      <c r="A126" s="55"/>
      <c r="B126" s="56"/>
      <c r="C126" s="56"/>
      <c r="D126" s="56"/>
      <c r="E126" s="5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</row>
    <row r="127" spans="1:21" x14ac:dyDescent="0.4">
      <c r="A127" s="11" t="s">
        <v>47</v>
      </c>
      <c r="B127" s="17" t="s">
        <v>68</v>
      </c>
      <c r="C127" s="50" t="s">
        <v>69</v>
      </c>
      <c r="D127" s="51"/>
      <c r="E127" s="6">
        <v>3</v>
      </c>
      <c r="F127" s="6">
        <v>2</v>
      </c>
      <c r="G127" s="6">
        <v>1</v>
      </c>
      <c r="H127" s="6">
        <v>0</v>
      </c>
      <c r="I127" s="6">
        <v>1</v>
      </c>
      <c r="J127" s="6">
        <v>0</v>
      </c>
      <c r="K127" s="6">
        <v>0</v>
      </c>
      <c r="L127" s="6">
        <v>0</v>
      </c>
      <c r="M127" s="6">
        <v>1</v>
      </c>
      <c r="N127" s="6">
        <v>3</v>
      </c>
      <c r="O127" s="6">
        <v>0</v>
      </c>
      <c r="P127" s="6">
        <v>1</v>
      </c>
      <c r="Q127" s="6">
        <v>0</v>
      </c>
      <c r="R127" s="6">
        <v>0</v>
      </c>
      <c r="S127" s="6">
        <v>4</v>
      </c>
      <c r="T127" s="6"/>
      <c r="U127" s="5">
        <f t="shared" ref="U127:U133" si="40">SUM(E127:T127)</f>
        <v>16</v>
      </c>
    </row>
    <row r="128" spans="1:21" x14ac:dyDescent="0.4">
      <c r="A128" s="11" t="s">
        <v>49</v>
      </c>
      <c r="B128" s="46">
        <v>1</v>
      </c>
      <c r="C128" s="24" t="s">
        <v>152</v>
      </c>
      <c r="D128" s="47"/>
      <c r="E128" s="6">
        <v>1</v>
      </c>
      <c r="F128" s="6">
        <v>4</v>
      </c>
      <c r="G128" s="6">
        <v>6</v>
      </c>
      <c r="H128" s="6">
        <v>0</v>
      </c>
      <c r="I128" s="6">
        <v>2</v>
      </c>
      <c r="J128" s="6">
        <v>3</v>
      </c>
      <c r="K128" s="6">
        <v>0</v>
      </c>
      <c r="L128" s="6">
        <v>0</v>
      </c>
      <c r="M128" s="6">
        <v>2</v>
      </c>
      <c r="N128" s="6">
        <v>1</v>
      </c>
      <c r="O128" s="6">
        <v>0</v>
      </c>
      <c r="P128" s="6">
        <v>0</v>
      </c>
      <c r="Q128" s="6">
        <v>1</v>
      </c>
      <c r="R128" s="6">
        <v>0</v>
      </c>
      <c r="S128" s="6">
        <v>2</v>
      </c>
      <c r="T128" s="6">
        <v>2</v>
      </c>
      <c r="U128" s="5">
        <f t="shared" si="40"/>
        <v>24</v>
      </c>
    </row>
    <row r="129" spans="1:21" x14ac:dyDescent="0.4">
      <c r="A129" s="7"/>
      <c r="B129" s="46">
        <v>2</v>
      </c>
      <c r="C129" s="24" t="s">
        <v>153</v>
      </c>
      <c r="D129" s="47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1</v>
      </c>
      <c r="N129" s="6">
        <v>0</v>
      </c>
      <c r="O129" s="6">
        <v>0</v>
      </c>
      <c r="P129" s="6">
        <v>1</v>
      </c>
      <c r="Q129" s="6">
        <v>1</v>
      </c>
      <c r="R129" s="6">
        <v>0</v>
      </c>
      <c r="S129" s="6">
        <v>0</v>
      </c>
      <c r="T129" s="6">
        <v>2</v>
      </c>
      <c r="U129" s="5">
        <f t="shared" si="40"/>
        <v>5</v>
      </c>
    </row>
    <row r="130" spans="1:21" x14ac:dyDescent="0.4">
      <c r="A130" s="7"/>
      <c r="B130" s="46">
        <v>3</v>
      </c>
      <c r="C130" s="24" t="s">
        <v>154</v>
      </c>
      <c r="D130" s="47"/>
      <c r="E130" s="6">
        <v>2</v>
      </c>
      <c r="F130" s="6">
        <v>1</v>
      </c>
      <c r="G130" s="6">
        <v>0</v>
      </c>
      <c r="H130" s="6">
        <v>0</v>
      </c>
      <c r="I130" s="6">
        <v>1</v>
      </c>
      <c r="J130" s="6">
        <v>1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1</v>
      </c>
      <c r="T130" s="6"/>
      <c r="U130" s="5">
        <f t="shared" si="40"/>
        <v>6</v>
      </c>
    </row>
    <row r="131" spans="1:21" x14ac:dyDescent="0.4">
      <c r="A131" s="7"/>
      <c r="B131" s="46">
        <v>4</v>
      </c>
      <c r="C131" s="24" t="s">
        <v>155</v>
      </c>
      <c r="D131" s="47"/>
      <c r="E131" s="6">
        <v>0</v>
      </c>
      <c r="F131" s="6">
        <v>0</v>
      </c>
      <c r="G131" s="6">
        <v>0</v>
      </c>
      <c r="H131" s="6">
        <v>1</v>
      </c>
      <c r="I131" s="6">
        <v>0</v>
      </c>
      <c r="J131" s="6">
        <v>1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/>
      <c r="U131" s="5">
        <f t="shared" si="40"/>
        <v>2</v>
      </c>
    </row>
    <row r="132" spans="1:21" x14ac:dyDescent="0.4">
      <c r="A132" s="7"/>
      <c r="B132" s="46">
        <v>5</v>
      </c>
      <c r="C132" s="24" t="s">
        <v>156</v>
      </c>
      <c r="D132" s="47"/>
      <c r="E132" s="6">
        <v>0</v>
      </c>
      <c r="F132" s="6">
        <v>0</v>
      </c>
      <c r="G132" s="6">
        <v>1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1</v>
      </c>
      <c r="P132" s="6">
        <v>0</v>
      </c>
      <c r="Q132" s="6">
        <v>0</v>
      </c>
      <c r="R132" s="6">
        <v>0</v>
      </c>
      <c r="S132" s="6">
        <v>0</v>
      </c>
      <c r="T132" s="6"/>
      <c r="U132" s="5">
        <f t="shared" si="40"/>
        <v>2</v>
      </c>
    </row>
    <row r="133" spans="1:21" x14ac:dyDescent="0.4">
      <c r="A133" s="7"/>
      <c r="B133" s="46">
        <v>6</v>
      </c>
      <c r="C133" s="24" t="s">
        <v>157</v>
      </c>
      <c r="D133" s="47"/>
      <c r="E133" s="6">
        <v>0</v>
      </c>
      <c r="F133" s="6">
        <v>1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/>
      <c r="U133" s="5">
        <f t="shared" si="40"/>
        <v>1</v>
      </c>
    </row>
    <row r="134" spans="1:21" ht="13.15" customHeight="1" x14ac:dyDescent="0.4">
      <c r="A134" s="6" t="s">
        <v>25</v>
      </c>
      <c r="B134" s="52" t="s">
        <v>50</v>
      </c>
      <c r="C134" s="53"/>
      <c r="D134" s="54"/>
      <c r="E134" s="5">
        <f t="shared" ref="E134:U134" si="41">SUM(E127:E133)</f>
        <v>6</v>
      </c>
      <c r="F134" s="5">
        <f t="shared" si="41"/>
        <v>8</v>
      </c>
      <c r="G134" s="5">
        <f t="shared" si="41"/>
        <v>8</v>
      </c>
      <c r="H134" s="5">
        <f t="shared" si="41"/>
        <v>1</v>
      </c>
      <c r="I134" s="5">
        <f t="shared" si="41"/>
        <v>4</v>
      </c>
      <c r="J134" s="5">
        <f t="shared" si="41"/>
        <v>5</v>
      </c>
      <c r="K134" s="5">
        <f t="shared" si="41"/>
        <v>0</v>
      </c>
      <c r="L134" s="5">
        <f t="shared" si="41"/>
        <v>0</v>
      </c>
      <c r="M134" s="5">
        <f t="shared" si="41"/>
        <v>4</v>
      </c>
      <c r="N134" s="5">
        <f t="shared" si="41"/>
        <v>4</v>
      </c>
      <c r="O134" s="5">
        <f t="shared" si="41"/>
        <v>1</v>
      </c>
      <c r="P134" s="5">
        <f t="shared" si="41"/>
        <v>2</v>
      </c>
      <c r="Q134" s="5">
        <f t="shared" si="41"/>
        <v>2</v>
      </c>
      <c r="R134" s="5">
        <f t="shared" si="41"/>
        <v>0</v>
      </c>
      <c r="S134" s="5">
        <f t="shared" si="41"/>
        <v>7</v>
      </c>
      <c r="T134" s="5">
        <f t="shared" si="41"/>
        <v>4</v>
      </c>
      <c r="U134" s="5">
        <f t="shared" si="41"/>
        <v>56</v>
      </c>
    </row>
    <row r="135" spans="1:21" x14ac:dyDescent="0.4">
      <c r="A135" s="55"/>
      <c r="B135" s="56"/>
      <c r="C135" s="56"/>
      <c r="D135" s="56"/>
      <c r="E135" s="5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5"/>
    </row>
    <row r="136" spans="1:21" x14ac:dyDescent="0.4">
      <c r="A136" s="11" t="s">
        <v>47</v>
      </c>
      <c r="B136" s="17" t="s">
        <v>70</v>
      </c>
      <c r="C136" s="50" t="s">
        <v>71</v>
      </c>
      <c r="D136" s="51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1</v>
      </c>
      <c r="L136" s="6">
        <v>1</v>
      </c>
      <c r="M136" s="6">
        <v>0</v>
      </c>
      <c r="N136" s="6">
        <v>0</v>
      </c>
      <c r="O136" s="6">
        <v>1</v>
      </c>
      <c r="P136" s="6">
        <v>0</v>
      </c>
      <c r="Q136" s="6">
        <v>0</v>
      </c>
      <c r="R136" s="6">
        <v>0</v>
      </c>
      <c r="S136" s="6">
        <v>0</v>
      </c>
      <c r="T136" s="6">
        <v>1</v>
      </c>
      <c r="U136" s="5">
        <f t="shared" ref="U136:U141" si="42">SUM(E136:T136)</f>
        <v>4</v>
      </c>
    </row>
    <row r="137" spans="1:21" x14ac:dyDescent="0.4">
      <c r="A137" s="11" t="s">
        <v>49</v>
      </c>
      <c r="B137" s="46">
        <v>1</v>
      </c>
      <c r="C137" s="24" t="s">
        <v>158</v>
      </c>
      <c r="D137" s="47"/>
      <c r="E137" s="6">
        <v>0</v>
      </c>
      <c r="F137" s="6">
        <v>0</v>
      </c>
      <c r="G137" s="6">
        <v>0</v>
      </c>
      <c r="H137" s="6">
        <v>1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1</v>
      </c>
      <c r="Q137" s="6">
        <v>0</v>
      </c>
      <c r="R137" s="6">
        <v>0</v>
      </c>
      <c r="S137" s="6">
        <v>0</v>
      </c>
      <c r="T137" s="6"/>
      <c r="U137" s="5">
        <f t="shared" si="42"/>
        <v>2</v>
      </c>
    </row>
    <row r="138" spans="1:21" x14ac:dyDescent="0.4">
      <c r="A138" s="7"/>
      <c r="B138" s="46">
        <v>2</v>
      </c>
      <c r="C138" s="24" t="s">
        <v>159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/>
      <c r="U138" s="5">
        <f t="shared" si="42"/>
        <v>0</v>
      </c>
    </row>
    <row r="139" spans="1:21" x14ac:dyDescent="0.4">
      <c r="A139" s="7"/>
      <c r="B139" s="46">
        <v>3</v>
      </c>
      <c r="C139" s="24" t="s">
        <v>160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/>
      <c r="U139" s="5">
        <f t="shared" si="42"/>
        <v>0</v>
      </c>
    </row>
    <row r="140" spans="1:21" x14ac:dyDescent="0.4">
      <c r="A140" s="7"/>
      <c r="B140" s="46">
        <v>4</v>
      </c>
      <c r="C140" s="24" t="s">
        <v>161</v>
      </c>
      <c r="D140" s="47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/>
      <c r="U140" s="5">
        <f t="shared" si="42"/>
        <v>0</v>
      </c>
    </row>
    <row r="141" spans="1:21" x14ac:dyDescent="0.4">
      <c r="A141" s="7"/>
      <c r="B141" s="46">
        <v>5</v>
      </c>
      <c r="C141" s="24" t="s">
        <v>162</v>
      </c>
      <c r="D141" s="47"/>
      <c r="E141" s="6">
        <v>0</v>
      </c>
      <c r="F141" s="6">
        <v>0</v>
      </c>
      <c r="G141" s="6">
        <v>0</v>
      </c>
      <c r="H141" s="6">
        <v>1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/>
      <c r="U141" s="5">
        <f t="shared" si="42"/>
        <v>1</v>
      </c>
    </row>
    <row r="142" spans="1:21" x14ac:dyDescent="0.4">
      <c r="A142" s="6" t="s">
        <v>25</v>
      </c>
      <c r="B142" s="52" t="s">
        <v>50</v>
      </c>
      <c r="C142" s="53"/>
      <c r="D142" s="54"/>
      <c r="E142" s="5">
        <f t="shared" ref="E142:U142" si="43">SUM(E136:E141)</f>
        <v>0</v>
      </c>
      <c r="F142" s="5">
        <f t="shared" si="43"/>
        <v>0</v>
      </c>
      <c r="G142" s="5">
        <f t="shared" si="43"/>
        <v>0</v>
      </c>
      <c r="H142" s="5">
        <f t="shared" si="43"/>
        <v>2</v>
      </c>
      <c r="I142" s="5">
        <f t="shared" si="43"/>
        <v>0</v>
      </c>
      <c r="J142" s="5">
        <f t="shared" si="43"/>
        <v>0</v>
      </c>
      <c r="K142" s="5">
        <f t="shared" si="43"/>
        <v>1</v>
      </c>
      <c r="L142" s="5">
        <f t="shared" si="43"/>
        <v>1</v>
      </c>
      <c r="M142" s="5">
        <f t="shared" si="43"/>
        <v>0</v>
      </c>
      <c r="N142" s="5">
        <f t="shared" si="43"/>
        <v>0</v>
      </c>
      <c r="O142" s="5">
        <f t="shared" si="43"/>
        <v>1</v>
      </c>
      <c r="P142" s="5">
        <f t="shared" si="43"/>
        <v>1</v>
      </c>
      <c r="Q142" s="5">
        <f t="shared" si="43"/>
        <v>0</v>
      </c>
      <c r="R142" s="5">
        <f t="shared" si="43"/>
        <v>0</v>
      </c>
      <c r="S142" s="5">
        <f t="shared" si="43"/>
        <v>0</v>
      </c>
      <c r="T142" s="5">
        <f t="shared" si="43"/>
        <v>1</v>
      </c>
      <c r="U142" s="5">
        <f t="shared" si="43"/>
        <v>7</v>
      </c>
    </row>
    <row r="143" spans="1:21" x14ac:dyDescent="0.4">
      <c r="A143" s="55"/>
      <c r="B143" s="56"/>
      <c r="C143" s="56"/>
      <c r="D143" s="56"/>
      <c r="E143" s="5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</row>
    <row r="144" spans="1:21" x14ac:dyDescent="0.4">
      <c r="A144" s="11" t="s">
        <v>47</v>
      </c>
      <c r="B144" s="17" t="s">
        <v>72</v>
      </c>
      <c r="C144" s="50" t="s">
        <v>73</v>
      </c>
      <c r="D144" s="51"/>
      <c r="E144" s="6">
        <v>7</v>
      </c>
      <c r="F144" s="6">
        <v>10</v>
      </c>
      <c r="G144" s="6">
        <v>1</v>
      </c>
      <c r="H144" s="6">
        <v>0</v>
      </c>
      <c r="I144" s="6">
        <v>4</v>
      </c>
      <c r="J144" s="6">
        <v>2</v>
      </c>
      <c r="K144" s="6">
        <v>4</v>
      </c>
      <c r="L144" s="6">
        <v>2</v>
      </c>
      <c r="M144" s="6">
        <v>1</v>
      </c>
      <c r="N144" s="6">
        <v>3</v>
      </c>
      <c r="O144" s="6">
        <v>0</v>
      </c>
      <c r="P144" s="6">
        <v>1</v>
      </c>
      <c r="Q144" s="6">
        <v>0</v>
      </c>
      <c r="R144" s="6">
        <v>1</v>
      </c>
      <c r="S144" s="6">
        <v>2</v>
      </c>
      <c r="T144" s="6">
        <v>1</v>
      </c>
      <c r="U144" s="5">
        <f t="shared" ref="U144:U150" si="44">SUM(E144:T144)</f>
        <v>39</v>
      </c>
    </row>
    <row r="145" spans="1:21" x14ac:dyDescent="0.4">
      <c r="A145" s="11" t="s">
        <v>49</v>
      </c>
      <c r="B145" s="46">
        <v>1</v>
      </c>
      <c r="C145" s="24" t="s">
        <v>163</v>
      </c>
      <c r="D145" s="47"/>
      <c r="E145" s="6">
        <v>5</v>
      </c>
      <c r="F145" s="6">
        <v>5</v>
      </c>
      <c r="G145" s="6">
        <v>0</v>
      </c>
      <c r="H145" s="6">
        <v>2</v>
      </c>
      <c r="I145" s="6">
        <v>2</v>
      </c>
      <c r="J145" s="6">
        <v>1</v>
      </c>
      <c r="K145" s="6">
        <v>2</v>
      </c>
      <c r="L145" s="6">
        <v>3</v>
      </c>
      <c r="M145" s="6">
        <v>6</v>
      </c>
      <c r="N145" s="6">
        <v>1</v>
      </c>
      <c r="O145" s="6">
        <v>0</v>
      </c>
      <c r="P145" s="6">
        <v>1</v>
      </c>
      <c r="Q145" s="6">
        <v>0</v>
      </c>
      <c r="R145" s="6">
        <v>2</v>
      </c>
      <c r="S145" s="6">
        <v>1</v>
      </c>
      <c r="T145" s="6"/>
      <c r="U145" s="5">
        <f t="shared" si="44"/>
        <v>31</v>
      </c>
    </row>
    <row r="146" spans="1:21" x14ac:dyDescent="0.4">
      <c r="A146" s="7"/>
      <c r="B146" s="46">
        <v>2</v>
      </c>
      <c r="C146" s="24" t="s">
        <v>164</v>
      </c>
      <c r="D146" s="47"/>
      <c r="E146" s="6">
        <v>18</v>
      </c>
      <c r="F146" s="6">
        <v>14</v>
      </c>
      <c r="G146" s="6">
        <v>6</v>
      </c>
      <c r="H146" s="6">
        <v>3</v>
      </c>
      <c r="I146" s="6">
        <v>13</v>
      </c>
      <c r="J146" s="6">
        <v>12</v>
      </c>
      <c r="K146" s="6">
        <v>24</v>
      </c>
      <c r="L146" s="6">
        <v>7</v>
      </c>
      <c r="M146" s="6">
        <v>17</v>
      </c>
      <c r="N146" s="6">
        <v>40</v>
      </c>
      <c r="O146" s="6">
        <v>0</v>
      </c>
      <c r="P146" s="6">
        <v>0</v>
      </c>
      <c r="Q146" s="6">
        <v>0</v>
      </c>
      <c r="R146" s="6">
        <v>1</v>
      </c>
      <c r="S146" s="6">
        <v>11</v>
      </c>
      <c r="T146" s="6">
        <v>14</v>
      </c>
      <c r="U146" s="5">
        <f t="shared" si="44"/>
        <v>180</v>
      </c>
    </row>
    <row r="147" spans="1:21" x14ac:dyDescent="0.4">
      <c r="A147" s="7"/>
      <c r="B147" s="46">
        <v>3</v>
      </c>
      <c r="C147" s="24" t="s">
        <v>165</v>
      </c>
      <c r="D147" s="47"/>
      <c r="E147" s="6">
        <v>2</v>
      </c>
      <c r="F147" s="6">
        <v>0</v>
      </c>
      <c r="G147" s="6">
        <v>1</v>
      </c>
      <c r="H147" s="6">
        <v>0</v>
      </c>
      <c r="I147" s="6">
        <v>0</v>
      </c>
      <c r="J147" s="6">
        <v>1</v>
      </c>
      <c r="K147" s="6">
        <v>1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/>
      <c r="U147" s="5">
        <f t="shared" si="44"/>
        <v>5</v>
      </c>
    </row>
    <row r="148" spans="1:21" x14ac:dyDescent="0.4">
      <c r="A148" s="7"/>
      <c r="B148" s="46">
        <v>4</v>
      </c>
      <c r="C148" s="24" t="s">
        <v>166</v>
      </c>
      <c r="D148" s="47"/>
      <c r="E148" s="6">
        <v>0</v>
      </c>
      <c r="F148" s="6">
        <v>1</v>
      </c>
      <c r="G148" s="6">
        <v>0</v>
      </c>
      <c r="H148" s="6">
        <v>0</v>
      </c>
      <c r="I148" s="6">
        <v>0</v>
      </c>
      <c r="J148" s="6">
        <v>0</v>
      </c>
      <c r="K148" s="6">
        <v>1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1</v>
      </c>
      <c r="T148" s="6"/>
      <c r="U148" s="5">
        <f t="shared" si="44"/>
        <v>3</v>
      </c>
    </row>
    <row r="149" spans="1:21" x14ac:dyDescent="0.4">
      <c r="A149" s="7"/>
      <c r="B149" s="46">
        <v>5</v>
      </c>
      <c r="C149" s="24" t="s">
        <v>167</v>
      </c>
      <c r="D149" s="47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1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/>
      <c r="U149" s="5">
        <f t="shared" si="44"/>
        <v>1</v>
      </c>
    </row>
    <row r="150" spans="1:21" ht="13.15" customHeight="1" x14ac:dyDescent="0.4">
      <c r="A150" s="7"/>
      <c r="B150" s="46">
        <v>6</v>
      </c>
      <c r="C150" s="24" t="s">
        <v>168</v>
      </c>
      <c r="D150" s="47"/>
      <c r="E150" s="6">
        <v>0</v>
      </c>
      <c r="F150" s="6">
        <v>0</v>
      </c>
      <c r="G150" s="6">
        <v>0</v>
      </c>
      <c r="H150" s="6">
        <v>1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/>
      <c r="U150" s="5">
        <f t="shared" si="44"/>
        <v>1</v>
      </c>
    </row>
    <row r="151" spans="1:21" x14ac:dyDescent="0.4">
      <c r="A151" s="6" t="s">
        <v>25</v>
      </c>
      <c r="B151" s="52" t="s">
        <v>50</v>
      </c>
      <c r="C151" s="53"/>
      <c r="D151" s="54"/>
      <c r="E151" s="5">
        <f t="shared" ref="E151:U151" si="45">SUM(E144:E150)</f>
        <v>32</v>
      </c>
      <c r="F151" s="5">
        <f t="shared" si="45"/>
        <v>30</v>
      </c>
      <c r="G151" s="5">
        <f t="shared" si="45"/>
        <v>8</v>
      </c>
      <c r="H151" s="5">
        <f t="shared" si="45"/>
        <v>6</v>
      </c>
      <c r="I151" s="5">
        <f t="shared" si="45"/>
        <v>19</v>
      </c>
      <c r="J151" s="5">
        <f t="shared" si="45"/>
        <v>16</v>
      </c>
      <c r="K151" s="5">
        <f t="shared" si="45"/>
        <v>32</v>
      </c>
      <c r="L151" s="5">
        <f t="shared" si="45"/>
        <v>12</v>
      </c>
      <c r="M151" s="5">
        <f t="shared" si="45"/>
        <v>24</v>
      </c>
      <c r="N151" s="5">
        <f t="shared" si="45"/>
        <v>45</v>
      </c>
      <c r="O151" s="5">
        <f t="shared" si="45"/>
        <v>0</v>
      </c>
      <c r="P151" s="5">
        <f t="shared" si="45"/>
        <v>2</v>
      </c>
      <c r="Q151" s="5">
        <f t="shared" si="45"/>
        <v>0</v>
      </c>
      <c r="R151" s="5">
        <f t="shared" si="45"/>
        <v>4</v>
      </c>
      <c r="S151" s="5">
        <f t="shared" si="45"/>
        <v>15</v>
      </c>
      <c r="T151" s="5">
        <f t="shared" si="45"/>
        <v>15</v>
      </c>
      <c r="U151" s="5">
        <f t="shared" si="45"/>
        <v>260</v>
      </c>
    </row>
    <row r="152" spans="1:21" x14ac:dyDescent="0.4">
      <c r="A152" s="55"/>
      <c r="B152" s="56"/>
      <c r="C152" s="56"/>
      <c r="D152" s="56"/>
      <c r="E152" s="5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</row>
    <row r="153" spans="1:21" x14ac:dyDescent="0.4">
      <c r="A153" s="11" t="s">
        <v>47</v>
      </c>
      <c r="B153" s="17" t="s">
        <v>74</v>
      </c>
      <c r="C153" s="50" t="s">
        <v>75</v>
      </c>
      <c r="D153" s="51"/>
      <c r="E153" s="6">
        <v>1</v>
      </c>
      <c r="F153" s="6">
        <v>1</v>
      </c>
      <c r="G153" s="6">
        <v>0</v>
      </c>
      <c r="H153" s="6">
        <v>0</v>
      </c>
      <c r="I153" s="6">
        <v>1</v>
      </c>
      <c r="J153" s="6">
        <v>0</v>
      </c>
      <c r="K153" s="6">
        <v>0</v>
      </c>
      <c r="L153" s="6">
        <v>0</v>
      </c>
      <c r="M153" s="6">
        <v>1</v>
      </c>
      <c r="N153" s="6">
        <v>1</v>
      </c>
      <c r="O153" s="6">
        <v>0</v>
      </c>
      <c r="P153" s="6">
        <v>0</v>
      </c>
      <c r="Q153" s="6">
        <v>1</v>
      </c>
      <c r="R153" s="6">
        <v>0</v>
      </c>
      <c r="S153" s="6">
        <v>1</v>
      </c>
      <c r="T153" s="6"/>
      <c r="U153" s="5">
        <f t="shared" ref="U153:U155" si="46">SUM(E153:T153)</f>
        <v>7</v>
      </c>
    </row>
    <row r="154" spans="1:21" x14ac:dyDescent="0.4">
      <c r="A154" s="11" t="s">
        <v>49</v>
      </c>
      <c r="B154" s="46">
        <v>1</v>
      </c>
      <c r="C154" s="24" t="s">
        <v>169</v>
      </c>
      <c r="D154" s="47"/>
      <c r="E154" s="6">
        <v>6</v>
      </c>
      <c r="F154" s="6">
        <v>2</v>
      </c>
      <c r="G154" s="6">
        <v>1</v>
      </c>
      <c r="H154" s="6">
        <v>0</v>
      </c>
      <c r="I154" s="6">
        <v>0</v>
      </c>
      <c r="J154" s="6">
        <v>0</v>
      </c>
      <c r="K154" s="6">
        <v>1</v>
      </c>
      <c r="L154" s="6">
        <v>0</v>
      </c>
      <c r="M154" s="6">
        <v>1</v>
      </c>
      <c r="N154" s="6">
        <v>1</v>
      </c>
      <c r="O154" s="6">
        <v>0</v>
      </c>
      <c r="P154" s="6">
        <v>0</v>
      </c>
      <c r="Q154" s="6">
        <v>1</v>
      </c>
      <c r="R154" s="6">
        <v>2</v>
      </c>
      <c r="S154" s="6">
        <v>0</v>
      </c>
      <c r="T154" s="6">
        <v>1</v>
      </c>
      <c r="U154" s="5">
        <f t="shared" si="46"/>
        <v>16</v>
      </c>
    </row>
    <row r="155" spans="1:21" x14ac:dyDescent="0.4">
      <c r="A155" s="7"/>
      <c r="B155" s="46">
        <v>2</v>
      </c>
      <c r="C155" s="24" t="s">
        <v>170</v>
      </c>
      <c r="D155" s="47"/>
      <c r="E155" s="6">
        <v>4</v>
      </c>
      <c r="F155" s="6">
        <v>3</v>
      </c>
      <c r="G155" s="6">
        <v>1</v>
      </c>
      <c r="H155" s="6">
        <v>0</v>
      </c>
      <c r="I155" s="6">
        <v>0</v>
      </c>
      <c r="J155" s="6">
        <v>3</v>
      </c>
      <c r="K155" s="6">
        <v>0</v>
      </c>
      <c r="L155" s="6">
        <v>0</v>
      </c>
      <c r="M155" s="6">
        <v>0</v>
      </c>
      <c r="N155" s="6">
        <v>1</v>
      </c>
      <c r="O155" s="6">
        <v>0</v>
      </c>
      <c r="P155" s="6">
        <v>0</v>
      </c>
      <c r="Q155" s="6">
        <v>1</v>
      </c>
      <c r="R155" s="6">
        <v>1</v>
      </c>
      <c r="S155" s="6">
        <v>0</v>
      </c>
      <c r="T155" s="6">
        <v>1</v>
      </c>
      <c r="U155" s="5">
        <f t="shared" si="46"/>
        <v>15</v>
      </c>
    </row>
    <row r="156" spans="1:21" x14ac:dyDescent="0.4">
      <c r="A156" s="6" t="s">
        <v>25</v>
      </c>
      <c r="B156" s="52" t="s">
        <v>50</v>
      </c>
      <c r="C156" s="53"/>
      <c r="D156" s="54"/>
      <c r="E156" s="5">
        <f t="shared" ref="E156:U156" si="47">SUM(E153:E155)</f>
        <v>11</v>
      </c>
      <c r="F156" s="5">
        <f t="shared" si="47"/>
        <v>6</v>
      </c>
      <c r="G156" s="5">
        <f t="shared" si="47"/>
        <v>2</v>
      </c>
      <c r="H156" s="5">
        <f t="shared" si="47"/>
        <v>0</v>
      </c>
      <c r="I156" s="5">
        <f t="shared" si="47"/>
        <v>1</v>
      </c>
      <c r="J156" s="5">
        <f t="shared" si="47"/>
        <v>3</v>
      </c>
      <c r="K156" s="5">
        <f t="shared" si="47"/>
        <v>1</v>
      </c>
      <c r="L156" s="5">
        <f t="shared" si="47"/>
        <v>0</v>
      </c>
      <c r="M156" s="5">
        <f t="shared" si="47"/>
        <v>2</v>
      </c>
      <c r="N156" s="5">
        <f t="shared" si="47"/>
        <v>3</v>
      </c>
      <c r="O156" s="5">
        <f t="shared" si="47"/>
        <v>0</v>
      </c>
      <c r="P156" s="5">
        <f t="shared" si="47"/>
        <v>0</v>
      </c>
      <c r="Q156" s="5">
        <f t="shared" si="47"/>
        <v>3</v>
      </c>
      <c r="R156" s="5">
        <f t="shared" si="47"/>
        <v>3</v>
      </c>
      <c r="S156" s="5">
        <f t="shared" si="47"/>
        <v>1</v>
      </c>
      <c r="T156" s="5">
        <f t="shared" si="47"/>
        <v>2</v>
      </c>
      <c r="U156" s="5">
        <f t="shared" si="47"/>
        <v>38</v>
      </c>
    </row>
    <row r="157" spans="1:21" x14ac:dyDescent="0.4">
      <c r="A157" s="55"/>
      <c r="B157" s="56"/>
      <c r="C157" s="56"/>
      <c r="D157" s="56"/>
      <c r="E157" s="5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</row>
    <row r="158" spans="1:21" x14ac:dyDescent="0.4">
      <c r="A158" s="11" t="s">
        <v>47</v>
      </c>
      <c r="B158" s="17" t="s">
        <v>76</v>
      </c>
      <c r="C158" s="50" t="s">
        <v>77</v>
      </c>
      <c r="D158" s="51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1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/>
      <c r="U158" s="5">
        <f t="shared" ref="U158:U161" si="48">SUM(E158:T158)</f>
        <v>1</v>
      </c>
    </row>
    <row r="159" spans="1:21" x14ac:dyDescent="0.4">
      <c r="A159" s="11" t="s">
        <v>49</v>
      </c>
      <c r="B159" s="46">
        <v>1</v>
      </c>
      <c r="C159" s="24" t="s">
        <v>171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1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/>
      <c r="U159" s="5">
        <f t="shared" si="48"/>
        <v>1</v>
      </c>
    </row>
    <row r="160" spans="1:21" x14ac:dyDescent="0.4">
      <c r="A160" s="7"/>
      <c r="B160" s="46">
        <v>2</v>
      </c>
      <c r="C160" s="24" t="s">
        <v>172</v>
      </c>
      <c r="D160" s="45"/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/>
      <c r="U160" s="5">
        <f t="shared" si="48"/>
        <v>0</v>
      </c>
    </row>
    <row r="161" spans="1:21" x14ac:dyDescent="0.4">
      <c r="A161" s="7"/>
      <c r="B161" s="46">
        <v>3</v>
      </c>
      <c r="C161" s="24" t="s">
        <v>173</v>
      </c>
      <c r="D161" s="45"/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/>
      <c r="U161" s="5">
        <f t="shared" si="48"/>
        <v>0</v>
      </c>
    </row>
    <row r="162" spans="1:21" x14ac:dyDescent="0.4">
      <c r="A162" s="6" t="s">
        <v>25</v>
      </c>
      <c r="B162" s="52" t="s">
        <v>50</v>
      </c>
      <c r="C162" s="53"/>
      <c r="D162" s="54"/>
      <c r="E162" s="5">
        <f t="shared" ref="E162:U162" si="49">SUM(E158:E161)</f>
        <v>0</v>
      </c>
      <c r="F162" s="5">
        <f t="shared" si="49"/>
        <v>0</v>
      </c>
      <c r="G162" s="5">
        <f t="shared" si="49"/>
        <v>0</v>
      </c>
      <c r="H162" s="5">
        <f t="shared" si="49"/>
        <v>0</v>
      </c>
      <c r="I162" s="5">
        <f t="shared" si="49"/>
        <v>0</v>
      </c>
      <c r="J162" s="5">
        <f t="shared" si="49"/>
        <v>1</v>
      </c>
      <c r="K162" s="5">
        <f t="shared" si="49"/>
        <v>1</v>
      </c>
      <c r="L162" s="5">
        <f t="shared" si="49"/>
        <v>0</v>
      </c>
      <c r="M162" s="5">
        <f t="shared" si="49"/>
        <v>0</v>
      </c>
      <c r="N162" s="5">
        <f t="shared" si="49"/>
        <v>0</v>
      </c>
      <c r="O162" s="5">
        <f t="shared" si="49"/>
        <v>0</v>
      </c>
      <c r="P162" s="5">
        <f t="shared" si="49"/>
        <v>0</v>
      </c>
      <c r="Q162" s="5">
        <f t="shared" si="49"/>
        <v>0</v>
      </c>
      <c r="R162" s="5">
        <f t="shared" si="49"/>
        <v>0</v>
      </c>
      <c r="S162" s="5">
        <f t="shared" si="49"/>
        <v>0</v>
      </c>
      <c r="T162" s="5">
        <f t="shared" si="49"/>
        <v>0</v>
      </c>
      <c r="U162" s="5">
        <f t="shared" si="49"/>
        <v>2</v>
      </c>
    </row>
    <row r="163" spans="1:21" x14ac:dyDescent="0.4">
      <c r="A163" s="55"/>
      <c r="B163" s="56"/>
      <c r="C163" s="56"/>
      <c r="D163" s="56"/>
      <c r="E163" s="5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</row>
    <row r="164" spans="1:21" x14ac:dyDescent="0.4">
      <c r="A164" s="11" t="s">
        <v>47</v>
      </c>
      <c r="B164" s="17" t="s">
        <v>78</v>
      </c>
      <c r="C164" s="50" t="s">
        <v>79</v>
      </c>
      <c r="D164" s="51"/>
      <c r="E164" s="6">
        <v>0</v>
      </c>
      <c r="F164" s="6">
        <v>3</v>
      </c>
      <c r="G164" s="6">
        <v>0</v>
      </c>
      <c r="H164" s="6">
        <v>0</v>
      </c>
      <c r="I164" s="6">
        <v>0</v>
      </c>
      <c r="J164" s="6">
        <v>1</v>
      </c>
      <c r="K164" s="6">
        <v>1</v>
      </c>
      <c r="L164" s="6">
        <v>3</v>
      </c>
      <c r="M164" s="6">
        <v>6</v>
      </c>
      <c r="N164" s="6">
        <v>0</v>
      </c>
      <c r="O164" s="6">
        <v>3</v>
      </c>
      <c r="P164" s="6">
        <v>13</v>
      </c>
      <c r="Q164" s="6">
        <v>2</v>
      </c>
      <c r="R164" s="6">
        <v>2</v>
      </c>
      <c r="S164" s="6">
        <v>0</v>
      </c>
      <c r="T164" s="6">
        <v>2</v>
      </c>
      <c r="U164" s="5">
        <f t="shared" ref="U164:U170" si="50">SUM(E164:T164)</f>
        <v>36</v>
      </c>
    </row>
    <row r="165" spans="1:21" x14ac:dyDescent="0.4">
      <c r="A165" s="11" t="s">
        <v>49</v>
      </c>
      <c r="B165" s="46">
        <v>1</v>
      </c>
      <c r="C165" s="24" t="s">
        <v>174</v>
      </c>
      <c r="D165" s="47"/>
      <c r="E165" s="6">
        <v>1</v>
      </c>
      <c r="F165" s="6">
        <v>3</v>
      </c>
      <c r="G165" s="6">
        <v>1</v>
      </c>
      <c r="H165" s="6">
        <v>0</v>
      </c>
      <c r="I165" s="6">
        <v>1</v>
      </c>
      <c r="J165" s="6">
        <v>1</v>
      </c>
      <c r="K165" s="6">
        <v>1</v>
      </c>
      <c r="L165" s="6">
        <v>3</v>
      </c>
      <c r="M165" s="6">
        <v>14</v>
      </c>
      <c r="N165" s="6">
        <v>0</v>
      </c>
      <c r="O165" s="6">
        <v>1</v>
      </c>
      <c r="P165" s="6">
        <v>0</v>
      </c>
      <c r="Q165" s="6">
        <v>0</v>
      </c>
      <c r="R165" s="6">
        <v>0</v>
      </c>
      <c r="S165" s="6">
        <v>0</v>
      </c>
      <c r="T165" s="6">
        <v>1</v>
      </c>
      <c r="U165" s="5">
        <f t="shared" si="50"/>
        <v>27</v>
      </c>
    </row>
    <row r="166" spans="1:21" x14ac:dyDescent="0.4">
      <c r="A166" s="7"/>
      <c r="B166" s="46">
        <v>2</v>
      </c>
      <c r="C166" s="24" t="s">
        <v>175</v>
      </c>
      <c r="D166" s="47"/>
      <c r="E166" s="6">
        <v>0</v>
      </c>
      <c r="F166" s="6">
        <v>0</v>
      </c>
      <c r="G166" s="6">
        <v>0</v>
      </c>
      <c r="H166" s="6">
        <v>0</v>
      </c>
      <c r="I166" s="6">
        <v>1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1</v>
      </c>
      <c r="P166" s="6">
        <v>9</v>
      </c>
      <c r="Q166" s="6">
        <v>12</v>
      </c>
      <c r="R166" s="6">
        <v>9</v>
      </c>
      <c r="S166" s="6">
        <v>1</v>
      </c>
      <c r="T166" s="6"/>
      <c r="U166" s="5">
        <f t="shared" si="50"/>
        <v>33</v>
      </c>
    </row>
    <row r="167" spans="1:21" ht="13.15" customHeight="1" x14ac:dyDescent="0.4">
      <c r="A167" s="7"/>
      <c r="B167" s="46">
        <v>3</v>
      </c>
      <c r="C167" s="24" t="s">
        <v>176</v>
      </c>
      <c r="D167" s="47"/>
      <c r="E167" s="6">
        <v>0</v>
      </c>
      <c r="F167" s="6">
        <v>0</v>
      </c>
      <c r="G167" s="6">
        <v>0</v>
      </c>
      <c r="H167" s="6">
        <v>1</v>
      </c>
      <c r="I167" s="6">
        <v>0</v>
      </c>
      <c r="J167" s="6">
        <v>0</v>
      </c>
      <c r="K167" s="6">
        <v>0</v>
      </c>
      <c r="L167" s="6">
        <v>0</v>
      </c>
      <c r="M167" s="6">
        <v>1</v>
      </c>
      <c r="N167" s="6">
        <v>0</v>
      </c>
      <c r="O167" s="6">
        <v>0</v>
      </c>
      <c r="P167" s="6">
        <v>0</v>
      </c>
      <c r="Q167" s="6">
        <v>1</v>
      </c>
      <c r="R167" s="6">
        <v>0</v>
      </c>
      <c r="S167" s="6">
        <v>0</v>
      </c>
      <c r="T167" s="6"/>
      <c r="U167" s="5">
        <f t="shared" si="50"/>
        <v>3</v>
      </c>
    </row>
    <row r="168" spans="1:21" x14ac:dyDescent="0.4">
      <c r="A168" s="7"/>
      <c r="B168" s="46">
        <v>4</v>
      </c>
      <c r="C168" s="24" t="s">
        <v>177</v>
      </c>
      <c r="D168" s="47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1</v>
      </c>
      <c r="M168" s="6">
        <v>1</v>
      </c>
      <c r="N168" s="6">
        <v>0</v>
      </c>
      <c r="O168" s="6">
        <v>1</v>
      </c>
      <c r="P168" s="6">
        <v>0</v>
      </c>
      <c r="Q168" s="6">
        <v>0</v>
      </c>
      <c r="R168" s="6">
        <v>1</v>
      </c>
      <c r="S168" s="6">
        <v>0</v>
      </c>
      <c r="T168" s="6"/>
      <c r="U168" s="5">
        <f t="shared" si="50"/>
        <v>4</v>
      </c>
    </row>
    <row r="169" spans="1:21" ht="12.75" customHeight="1" x14ac:dyDescent="0.4">
      <c r="A169" s="7"/>
      <c r="B169" s="46">
        <v>5</v>
      </c>
      <c r="C169" s="24" t="s">
        <v>178</v>
      </c>
      <c r="D169" s="47"/>
      <c r="E169" s="6">
        <v>0</v>
      </c>
      <c r="F169" s="6">
        <v>1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1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/>
      <c r="U169" s="5">
        <f t="shared" si="50"/>
        <v>2</v>
      </c>
    </row>
    <row r="170" spans="1:21" x14ac:dyDescent="0.4">
      <c r="A170" s="7"/>
      <c r="B170" s="46">
        <v>6</v>
      </c>
      <c r="C170" s="24" t="s">
        <v>179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1</v>
      </c>
      <c r="N170" s="6">
        <v>1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/>
      <c r="U170" s="5">
        <f t="shared" si="50"/>
        <v>2</v>
      </c>
    </row>
    <row r="171" spans="1:21" ht="12.75" customHeight="1" x14ac:dyDescent="0.4">
      <c r="A171" s="6" t="s">
        <v>25</v>
      </c>
      <c r="B171" s="52" t="s">
        <v>50</v>
      </c>
      <c r="C171" s="53"/>
      <c r="D171" s="54"/>
      <c r="E171" s="5">
        <f t="shared" ref="E171:U171" si="51">SUM(E164:E170)</f>
        <v>1</v>
      </c>
      <c r="F171" s="5">
        <f t="shared" si="51"/>
        <v>7</v>
      </c>
      <c r="G171" s="5">
        <f t="shared" si="51"/>
        <v>1</v>
      </c>
      <c r="H171" s="5">
        <f t="shared" si="51"/>
        <v>1</v>
      </c>
      <c r="I171" s="5">
        <f t="shared" si="51"/>
        <v>2</v>
      </c>
      <c r="J171" s="5">
        <f t="shared" si="51"/>
        <v>2</v>
      </c>
      <c r="K171" s="5">
        <f t="shared" si="51"/>
        <v>2</v>
      </c>
      <c r="L171" s="5">
        <f t="shared" si="51"/>
        <v>7</v>
      </c>
      <c r="M171" s="5">
        <f t="shared" si="51"/>
        <v>23</v>
      </c>
      <c r="N171" s="5">
        <f t="shared" si="51"/>
        <v>2</v>
      </c>
      <c r="O171" s="5">
        <f t="shared" si="51"/>
        <v>6</v>
      </c>
      <c r="P171" s="5">
        <f t="shared" si="51"/>
        <v>22</v>
      </c>
      <c r="Q171" s="5">
        <f t="shared" si="51"/>
        <v>15</v>
      </c>
      <c r="R171" s="5">
        <f t="shared" si="51"/>
        <v>12</v>
      </c>
      <c r="S171" s="5">
        <f t="shared" si="51"/>
        <v>1</v>
      </c>
      <c r="T171" s="5">
        <f t="shared" si="51"/>
        <v>3</v>
      </c>
      <c r="U171" s="5">
        <f t="shared" si="51"/>
        <v>107</v>
      </c>
    </row>
    <row r="172" spans="1:21" x14ac:dyDescent="0.4">
      <c r="A172" s="55"/>
      <c r="B172" s="56"/>
      <c r="C172" s="56"/>
      <c r="D172" s="56"/>
      <c r="E172" s="57"/>
    </row>
    <row r="173" spans="1:21" x14ac:dyDescent="0.4">
      <c r="A173" s="11" t="s">
        <v>47</v>
      </c>
      <c r="B173" s="17" t="s">
        <v>80</v>
      </c>
      <c r="C173" s="50" t="s">
        <v>81</v>
      </c>
      <c r="D173" s="51"/>
      <c r="E173" s="6">
        <v>0</v>
      </c>
      <c r="F173" s="6">
        <v>2</v>
      </c>
      <c r="G173" s="6">
        <v>1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2</v>
      </c>
      <c r="P173" s="6">
        <v>0</v>
      </c>
      <c r="Q173" s="6">
        <v>0</v>
      </c>
      <c r="R173" s="6">
        <v>0</v>
      </c>
      <c r="S173" s="6">
        <v>0</v>
      </c>
      <c r="T173" s="6"/>
      <c r="U173" s="5">
        <f t="shared" ref="U173:U175" si="52">SUM(E173:T173)</f>
        <v>5</v>
      </c>
    </row>
    <row r="174" spans="1:21" x14ac:dyDescent="0.4">
      <c r="A174" s="11" t="s">
        <v>49</v>
      </c>
      <c r="B174" s="46">
        <v>1</v>
      </c>
      <c r="C174" s="24" t="s">
        <v>180</v>
      </c>
      <c r="D174" s="45"/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1</v>
      </c>
      <c r="K174" s="6">
        <v>0</v>
      </c>
      <c r="L174" s="6">
        <v>1</v>
      </c>
      <c r="M174" s="6">
        <v>0</v>
      </c>
      <c r="N174" s="6">
        <v>0</v>
      </c>
      <c r="O174" s="6">
        <v>1</v>
      </c>
      <c r="P174" s="6">
        <v>0</v>
      </c>
      <c r="Q174" s="6">
        <v>0</v>
      </c>
      <c r="R174" s="6">
        <v>0</v>
      </c>
      <c r="S174" s="6">
        <v>0</v>
      </c>
      <c r="T174" s="6"/>
      <c r="U174" s="5">
        <f t="shared" si="52"/>
        <v>3</v>
      </c>
    </row>
    <row r="175" spans="1:21" x14ac:dyDescent="0.4">
      <c r="A175" s="7"/>
      <c r="B175" s="46">
        <v>2</v>
      </c>
      <c r="C175" s="24" t="s">
        <v>181</v>
      </c>
      <c r="D175" s="47"/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/>
      <c r="U175" s="5">
        <f t="shared" si="52"/>
        <v>0</v>
      </c>
    </row>
    <row r="176" spans="1:21" x14ac:dyDescent="0.4">
      <c r="A176" s="6" t="s">
        <v>25</v>
      </c>
      <c r="B176" s="52" t="s">
        <v>50</v>
      </c>
      <c r="C176" s="53"/>
      <c r="D176" s="54"/>
      <c r="E176" s="5">
        <f t="shared" ref="E176:U176" si="53">SUM(E173:E175)</f>
        <v>0</v>
      </c>
      <c r="F176" s="5">
        <f t="shared" si="53"/>
        <v>2</v>
      </c>
      <c r="G176" s="5">
        <f t="shared" si="53"/>
        <v>1</v>
      </c>
      <c r="H176" s="5">
        <f t="shared" si="53"/>
        <v>0</v>
      </c>
      <c r="I176" s="5">
        <f t="shared" si="53"/>
        <v>0</v>
      </c>
      <c r="J176" s="5">
        <f t="shared" si="53"/>
        <v>1</v>
      </c>
      <c r="K176" s="5">
        <f t="shared" si="53"/>
        <v>0</v>
      </c>
      <c r="L176" s="5">
        <f t="shared" si="53"/>
        <v>1</v>
      </c>
      <c r="M176" s="5">
        <f t="shared" si="53"/>
        <v>0</v>
      </c>
      <c r="N176" s="5">
        <f t="shared" si="53"/>
        <v>0</v>
      </c>
      <c r="O176" s="5">
        <f t="shared" si="53"/>
        <v>3</v>
      </c>
      <c r="P176" s="5">
        <f t="shared" si="53"/>
        <v>0</v>
      </c>
      <c r="Q176" s="5">
        <f t="shared" si="53"/>
        <v>0</v>
      </c>
      <c r="R176" s="5">
        <f t="shared" si="53"/>
        <v>0</v>
      </c>
      <c r="S176" s="5">
        <f t="shared" si="53"/>
        <v>0</v>
      </c>
      <c r="T176" s="5">
        <f t="shared" si="53"/>
        <v>0</v>
      </c>
      <c r="U176" s="5">
        <f t="shared" si="53"/>
        <v>8</v>
      </c>
    </row>
    <row r="178" spans="1:21" x14ac:dyDescent="0.4">
      <c r="A178" s="16" t="s">
        <v>82</v>
      </c>
      <c r="B178" s="60" t="s">
        <v>83</v>
      </c>
      <c r="C178" s="61"/>
      <c r="D178" s="62"/>
      <c r="E178" s="5"/>
      <c r="F178" s="5"/>
      <c r="G178" s="5"/>
      <c r="H178" s="5"/>
      <c r="I178" s="5"/>
      <c r="J178" s="5"/>
      <c r="K178" s="5"/>
      <c r="L178" s="5"/>
      <c r="M178" s="5"/>
      <c r="N178" s="15"/>
      <c r="O178" s="5"/>
      <c r="P178" s="5"/>
      <c r="Q178" s="5"/>
      <c r="R178" s="5"/>
      <c r="S178" s="5"/>
      <c r="T178" s="5"/>
      <c r="U178" s="5"/>
    </row>
    <row r="179" spans="1:21" x14ac:dyDescent="0.4">
      <c r="A179" s="16"/>
      <c r="B179" s="19" t="s">
        <v>84</v>
      </c>
      <c r="C179" s="58" t="s">
        <v>85</v>
      </c>
      <c r="D179" s="59"/>
      <c r="E179" s="6">
        <f t="shared" ref="E179:T179" si="54">E52+E61+E70+E79+E88+E91+E98+E107+E113+E122+E125+E134+E142+E151+E156+E162+E171+E176</f>
        <v>192</v>
      </c>
      <c r="F179" s="6">
        <f t="shared" si="54"/>
        <v>198</v>
      </c>
      <c r="G179" s="6">
        <f t="shared" si="54"/>
        <v>224</v>
      </c>
      <c r="H179" s="6">
        <f t="shared" si="54"/>
        <v>244</v>
      </c>
      <c r="I179" s="6">
        <f t="shared" si="54"/>
        <v>202</v>
      </c>
      <c r="J179" s="6">
        <f t="shared" si="54"/>
        <v>226</v>
      </c>
      <c r="K179" s="6">
        <f t="shared" si="54"/>
        <v>211</v>
      </c>
      <c r="L179" s="6">
        <f t="shared" si="54"/>
        <v>216</v>
      </c>
      <c r="M179" s="6">
        <f t="shared" si="54"/>
        <v>236</v>
      </c>
      <c r="N179" s="6">
        <f t="shared" si="54"/>
        <v>196</v>
      </c>
      <c r="O179" s="6">
        <f t="shared" si="54"/>
        <v>179</v>
      </c>
      <c r="P179" s="6">
        <f t="shared" si="54"/>
        <v>191</v>
      </c>
      <c r="Q179" s="6">
        <f t="shared" si="54"/>
        <v>199</v>
      </c>
      <c r="R179" s="6">
        <f t="shared" si="54"/>
        <v>171</v>
      </c>
      <c r="S179" s="6">
        <f t="shared" si="54"/>
        <v>109</v>
      </c>
      <c r="T179" s="6">
        <f t="shared" si="54"/>
        <v>202</v>
      </c>
      <c r="U179" s="5">
        <f>SUM(E179:T179)</f>
        <v>3196</v>
      </c>
    </row>
    <row r="180" spans="1:21" x14ac:dyDescent="0.4">
      <c r="A180" s="13"/>
      <c r="B180" s="19" t="s">
        <v>86</v>
      </c>
      <c r="C180" s="58" t="s">
        <v>87</v>
      </c>
      <c r="D180" s="59"/>
      <c r="E180" s="6">
        <v>23</v>
      </c>
      <c r="F180" s="6">
        <v>37</v>
      </c>
      <c r="G180" s="6">
        <v>27</v>
      </c>
      <c r="H180" s="6">
        <v>13</v>
      </c>
      <c r="I180" s="6">
        <v>28</v>
      </c>
      <c r="J180" s="6">
        <v>18</v>
      </c>
      <c r="K180" s="6">
        <v>31</v>
      </c>
      <c r="L180" s="6">
        <v>21</v>
      </c>
      <c r="M180" s="6">
        <v>24</v>
      </c>
      <c r="N180" s="6">
        <v>39</v>
      </c>
      <c r="O180" s="6">
        <v>12</v>
      </c>
      <c r="P180" s="6">
        <v>22</v>
      </c>
      <c r="Q180" s="6">
        <v>10</v>
      </c>
      <c r="R180" s="6">
        <v>20</v>
      </c>
      <c r="S180" s="6">
        <v>11</v>
      </c>
      <c r="T180" s="6">
        <v>13</v>
      </c>
      <c r="U180" s="5">
        <f>SUM(E180:T180)</f>
        <v>349</v>
      </c>
    </row>
    <row r="181" spans="1:21" x14ac:dyDescent="0.4">
      <c r="A181" s="14"/>
      <c r="B181" s="19" t="s">
        <v>88</v>
      </c>
      <c r="C181" s="58" t="s">
        <v>89</v>
      </c>
      <c r="D181" s="59"/>
      <c r="E181" s="5">
        <f>SUM(E179:E180)</f>
        <v>215</v>
      </c>
      <c r="F181" s="5">
        <f t="shared" ref="F181:N181" si="55">SUM(F179:F180)</f>
        <v>235</v>
      </c>
      <c r="G181" s="5">
        <f t="shared" si="55"/>
        <v>251</v>
      </c>
      <c r="H181" s="5">
        <f t="shared" si="55"/>
        <v>257</v>
      </c>
      <c r="I181" s="5">
        <f t="shared" si="55"/>
        <v>230</v>
      </c>
      <c r="J181" s="5">
        <f t="shared" si="55"/>
        <v>244</v>
      </c>
      <c r="K181" s="5">
        <f t="shared" si="55"/>
        <v>242</v>
      </c>
      <c r="L181" s="5">
        <f t="shared" si="55"/>
        <v>237</v>
      </c>
      <c r="M181" s="5">
        <f t="shared" si="55"/>
        <v>260</v>
      </c>
      <c r="N181" s="5">
        <f t="shared" si="55"/>
        <v>235</v>
      </c>
      <c r="O181" s="5">
        <f t="shared" ref="O181:T181" si="56">SUM(O179:O180)</f>
        <v>191</v>
      </c>
      <c r="P181" s="5">
        <f t="shared" si="56"/>
        <v>213</v>
      </c>
      <c r="Q181" s="5">
        <f t="shared" si="56"/>
        <v>209</v>
      </c>
      <c r="R181" s="5">
        <f t="shared" si="56"/>
        <v>191</v>
      </c>
      <c r="S181" s="5">
        <f t="shared" si="56"/>
        <v>120</v>
      </c>
      <c r="T181" s="5">
        <f t="shared" si="56"/>
        <v>215</v>
      </c>
      <c r="U181" s="5">
        <f>SUM(E181:T181)</f>
        <v>3545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T12"/>
    <mergeCell ref="U12:U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T37"/>
    <mergeCell ref="B38:D38"/>
    <mergeCell ref="A42:D42"/>
    <mergeCell ref="E42:T42"/>
    <mergeCell ref="B43:D43"/>
    <mergeCell ref="B39:C41"/>
    <mergeCell ref="A44:D44"/>
    <mergeCell ref="C45:D45"/>
    <mergeCell ref="C81:D81"/>
    <mergeCell ref="B52:D52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109:D109"/>
    <mergeCell ref="B88:D88"/>
    <mergeCell ref="A89:E89"/>
    <mergeCell ref="C90:D90"/>
    <mergeCell ref="B91:D91"/>
    <mergeCell ref="A92:E92"/>
    <mergeCell ref="C93:D93"/>
    <mergeCell ref="B98:D98"/>
    <mergeCell ref="A99:E99"/>
    <mergeCell ref="C100:D100"/>
    <mergeCell ref="B107:D107"/>
    <mergeCell ref="A108:E108"/>
    <mergeCell ref="C136:D136"/>
    <mergeCell ref="B113:D113"/>
    <mergeCell ref="A114:E114"/>
    <mergeCell ref="C115:D115"/>
    <mergeCell ref="B122:D122"/>
    <mergeCell ref="A123:E123"/>
    <mergeCell ref="C124:D124"/>
    <mergeCell ref="B125:D125"/>
    <mergeCell ref="A126:E126"/>
    <mergeCell ref="C127:D127"/>
    <mergeCell ref="B134:D134"/>
    <mergeCell ref="A135:E135"/>
    <mergeCell ref="C180:D180"/>
    <mergeCell ref="C181:D181"/>
    <mergeCell ref="B171:D171"/>
    <mergeCell ref="A172:E172"/>
    <mergeCell ref="C173:D173"/>
    <mergeCell ref="B176:D176"/>
    <mergeCell ref="B178:D178"/>
    <mergeCell ref="C179:D179"/>
    <mergeCell ref="C164:D164"/>
    <mergeCell ref="B142:D142"/>
    <mergeCell ref="A143:E143"/>
    <mergeCell ref="C144:D144"/>
    <mergeCell ref="B151:D151"/>
    <mergeCell ref="A152:E152"/>
    <mergeCell ref="C153:D153"/>
    <mergeCell ref="B156:D156"/>
    <mergeCell ref="A157:E157"/>
    <mergeCell ref="C158:D158"/>
    <mergeCell ref="B162:D162"/>
    <mergeCell ref="A163:E163"/>
  </mergeCells>
  <phoneticPr fontId="8" type="noConversion"/>
  <conditionalFormatting sqref="E14:T15 E19:T20 E22:T23 E25:T26 E33:T33 E35:T35 E39:T40 E45:T51 E54:T60 E63:T69 E72:T78 E81:T87 E90:T90 E93:T97 E100:T106 E109:T112 E115:T121 E124:T124 E127:T133 E136:T141 E144:T150 E153:T155 E158:T161 E164:T170 E173:T175 E179:T180">
    <cfRule type="containsBlanks" dxfId="146" priority="21">
      <formula>LEN(TRIM(E14))=0</formula>
    </cfRule>
  </conditionalFormatting>
  <conditionalFormatting sqref="E30:T30">
    <cfRule type="expression" dxfId="145" priority="26">
      <formula>E30&lt;&gt;E47</formula>
    </cfRule>
    <cfRule type="expression" dxfId="144" priority="27">
      <formula>E30&lt;&gt;E34</formula>
    </cfRule>
  </conditionalFormatting>
  <conditionalFormatting sqref="E34:T34">
    <cfRule type="expression" dxfId="143" priority="91">
      <formula>E30&lt;&gt;E34</formula>
    </cfRule>
    <cfRule type="expression" dxfId="142" priority="92">
      <formula>E30=E34</formula>
    </cfRule>
    <cfRule type="expression" dxfId="141" priority="93">
      <formula>E34&lt;&gt;E30</formula>
    </cfRule>
    <cfRule type="expression" dxfId="140" priority="94">
      <formula>E34&lt;&gt;#REF!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FD6-8239-4E01-9C1D-06A4A085E946}">
  <sheetPr>
    <tabColor rgb="FF92D050"/>
  </sheetPr>
  <dimension ref="A2:V181"/>
  <sheetViews>
    <sheetView topLeftCell="E13" zoomScale="115" zoomScaleNormal="115" workbookViewId="0">
      <pane ySplit="1" topLeftCell="A174" activePane="bottomLeft" state="frozen"/>
      <selection activeCell="A13" sqref="A13"/>
      <selection pane="bottomLeft" activeCell="O177" sqref="O177"/>
    </sheetView>
  </sheetViews>
  <sheetFormatPr defaultRowHeight="13.15" x14ac:dyDescent="0.4"/>
  <cols>
    <col min="3" max="3" width="67.140625" bestFit="1" customWidth="1"/>
    <col min="4" max="4" width="5.85546875" bestFit="1" customWidth="1"/>
    <col min="22" max="22" width="13.28515625" customWidth="1"/>
  </cols>
  <sheetData>
    <row r="2" spans="1:22" x14ac:dyDescent="0.4">
      <c r="C2" s="43" t="s">
        <v>91</v>
      </c>
      <c r="D2" s="43" t="s">
        <v>98</v>
      </c>
    </row>
    <row r="3" spans="1:22" x14ac:dyDescent="0.4">
      <c r="C3" s="43" t="s">
        <v>92</v>
      </c>
      <c r="D3" s="43" t="s">
        <v>93</v>
      </c>
    </row>
    <row r="4" spans="1:22" x14ac:dyDescent="0.4">
      <c r="C4" s="43" t="s">
        <v>94</v>
      </c>
      <c r="D4" s="43" t="s">
        <v>95</v>
      </c>
    </row>
    <row r="5" spans="1:22" x14ac:dyDescent="0.4">
      <c r="C5" s="43"/>
      <c r="D5" s="43"/>
    </row>
    <row r="6" spans="1:22" x14ac:dyDescent="0.4">
      <c r="C6" s="43"/>
      <c r="D6" s="43"/>
    </row>
    <row r="7" spans="1:22" x14ac:dyDescent="0.4">
      <c r="C7" s="43"/>
      <c r="D7" s="43"/>
    </row>
    <row r="8" spans="1:22" x14ac:dyDescent="0.4">
      <c r="C8" s="43"/>
      <c r="D8" s="43"/>
    </row>
    <row r="9" spans="1:22" x14ac:dyDescent="0.4">
      <c r="C9" s="43" t="s">
        <v>96</v>
      </c>
      <c r="D9" s="43" t="s">
        <v>98</v>
      </c>
    </row>
    <row r="11" spans="1:22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2" x14ac:dyDescent="0.4">
      <c r="A12" s="5" t="s">
        <v>0</v>
      </c>
      <c r="B12" s="60" t="s">
        <v>1</v>
      </c>
      <c r="C12" s="68"/>
      <c r="D12" s="51"/>
      <c r="E12" s="85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7" t="s">
        <v>90</v>
      </c>
    </row>
    <row r="13" spans="1:22" x14ac:dyDescent="0.4">
      <c r="A13" s="6" t="s">
        <v>2</v>
      </c>
      <c r="B13" s="78" t="s">
        <v>3</v>
      </c>
      <c r="C13" s="68"/>
      <c r="D13" s="5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88"/>
    </row>
    <row r="14" spans="1:22" x14ac:dyDescent="0.4">
      <c r="A14" s="7"/>
      <c r="B14" s="89" t="s">
        <v>21</v>
      </c>
      <c r="C14" s="64"/>
      <c r="D14" s="6" t="s">
        <v>22</v>
      </c>
      <c r="E14" s="6">
        <v>140</v>
      </c>
      <c r="F14" s="6">
        <v>148</v>
      </c>
      <c r="G14" s="6">
        <v>141</v>
      </c>
      <c r="H14" s="6">
        <v>141</v>
      </c>
      <c r="I14" s="6">
        <v>140</v>
      </c>
      <c r="J14" s="6">
        <v>132</v>
      </c>
      <c r="K14" s="6">
        <v>121</v>
      </c>
      <c r="L14" s="6">
        <v>134</v>
      </c>
      <c r="M14" s="6">
        <v>142</v>
      </c>
      <c r="N14" s="6">
        <v>112</v>
      </c>
      <c r="O14" s="6">
        <v>135</v>
      </c>
      <c r="P14" s="6">
        <v>125</v>
      </c>
      <c r="Q14" s="6">
        <v>110</v>
      </c>
      <c r="R14" s="6">
        <v>128</v>
      </c>
      <c r="S14" s="6">
        <v>139</v>
      </c>
      <c r="T14" s="6">
        <v>134</v>
      </c>
      <c r="U14" s="6">
        <v>141</v>
      </c>
      <c r="V14" s="5">
        <f>SUM(E14:U14)</f>
        <v>2263</v>
      </c>
    </row>
    <row r="15" spans="1:22" x14ac:dyDescent="0.4">
      <c r="A15" s="7"/>
      <c r="B15" s="90"/>
      <c r="C15" s="77"/>
      <c r="D15" s="6" t="s">
        <v>23</v>
      </c>
      <c r="E15" s="6">
        <v>148</v>
      </c>
      <c r="F15" s="6">
        <v>140</v>
      </c>
      <c r="G15" s="6">
        <v>148</v>
      </c>
      <c r="H15" s="6">
        <v>145</v>
      </c>
      <c r="I15" s="6">
        <v>148</v>
      </c>
      <c r="J15" s="6">
        <v>147</v>
      </c>
      <c r="K15" s="6">
        <v>124</v>
      </c>
      <c r="L15" s="6">
        <v>143</v>
      </c>
      <c r="M15" s="6">
        <v>135</v>
      </c>
      <c r="N15" s="6">
        <v>122</v>
      </c>
      <c r="O15" s="6">
        <v>151</v>
      </c>
      <c r="P15" s="6">
        <v>147</v>
      </c>
      <c r="Q15" s="6">
        <v>111</v>
      </c>
      <c r="R15" s="6">
        <v>137</v>
      </c>
      <c r="S15" s="6">
        <v>138</v>
      </c>
      <c r="T15" s="6">
        <v>135</v>
      </c>
      <c r="U15" s="6">
        <v>143</v>
      </c>
      <c r="V15" s="5">
        <f>SUM(E15:U15)</f>
        <v>2362</v>
      </c>
    </row>
    <row r="16" spans="1:22" x14ac:dyDescent="0.4">
      <c r="A16" s="8"/>
      <c r="B16" s="91"/>
      <c r="C16" s="75"/>
      <c r="D16" s="5" t="s">
        <v>24</v>
      </c>
      <c r="E16" s="5">
        <f t="shared" ref="E16:U16" si="0">SUM(E14:E15)</f>
        <v>288</v>
      </c>
      <c r="F16" s="5">
        <f t="shared" ref="F16:K16" si="1">SUM(F14:F15)</f>
        <v>288</v>
      </c>
      <c r="G16" s="5">
        <f t="shared" si="1"/>
        <v>289</v>
      </c>
      <c r="H16" s="5">
        <f t="shared" si="1"/>
        <v>286</v>
      </c>
      <c r="I16" s="5">
        <f t="shared" si="1"/>
        <v>288</v>
      </c>
      <c r="J16" s="5">
        <f t="shared" si="1"/>
        <v>279</v>
      </c>
      <c r="K16" s="5">
        <f t="shared" si="1"/>
        <v>245</v>
      </c>
      <c r="L16" s="5">
        <f t="shared" si="0"/>
        <v>277</v>
      </c>
      <c r="M16" s="5">
        <f t="shared" si="0"/>
        <v>277</v>
      </c>
      <c r="N16" s="5">
        <f t="shared" si="0"/>
        <v>234</v>
      </c>
      <c r="O16" s="5">
        <f t="shared" ref="O16:Q16" si="2">SUM(O14:O15)</f>
        <v>286</v>
      </c>
      <c r="P16" s="5">
        <f t="shared" si="2"/>
        <v>272</v>
      </c>
      <c r="Q16" s="5">
        <f t="shared" si="2"/>
        <v>221</v>
      </c>
      <c r="R16" s="5">
        <f t="shared" si="0"/>
        <v>265</v>
      </c>
      <c r="S16" s="5">
        <f t="shared" ref="S16:T16" si="3">SUM(S14:S15)</f>
        <v>277</v>
      </c>
      <c r="T16" s="5">
        <f t="shared" si="3"/>
        <v>269</v>
      </c>
      <c r="U16" s="5">
        <f t="shared" si="0"/>
        <v>284</v>
      </c>
      <c r="V16" s="5">
        <f>SUM(E16:U16)</f>
        <v>4625</v>
      </c>
    </row>
    <row r="17" spans="1:22" x14ac:dyDescent="0.4">
      <c r="A17" s="55"/>
      <c r="B17" s="68"/>
      <c r="C17" s="68"/>
      <c r="D17" s="51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28"/>
    </row>
    <row r="18" spans="1:22" x14ac:dyDescent="0.4">
      <c r="A18" s="11" t="s">
        <v>25</v>
      </c>
      <c r="B18" s="78" t="s">
        <v>26</v>
      </c>
      <c r="C18" s="68"/>
      <c r="D18" s="51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28"/>
    </row>
    <row r="19" spans="1:22" x14ac:dyDescent="0.4">
      <c r="A19" s="11"/>
      <c r="B19" s="79" t="s">
        <v>27</v>
      </c>
      <c r="C19" s="80" t="s">
        <v>28</v>
      </c>
      <c r="D19" s="6" t="s">
        <v>22</v>
      </c>
      <c r="E19" s="6">
        <v>92</v>
      </c>
      <c r="F19" s="6">
        <v>99</v>
      </c>
      <c r="G19" s="6">
        <v>107</v>
      </c>
      <c r="H19" s="6">
        <v>107</v>
      </c>
      <c r="I19" s="6">
        <v>90</v>
      </c>
      <c r="J19" s="6">
        <v>96</v>
      </c>
      <c r="K19" s="6">
        <v>99</v>
      </c>
      <c r="L19" s="6">
        <v>101</v>
      </c>
      <c r="M19" s="6">
        <v>114</v>
      </c>
      <c r="N19" s="6">
        <v>76</v>
      </c>
      <c r="O19" s="6">
        <v>98</v>
      </c>
      <c r="P19" s="6">
        <v>95</v>
      </c>
      <c r="Q19" s="6">
        <v>84</v>
      </c>
      <c r="R19" s="6">
        <v>94</v>
      </c>
      <c r="S19" s="6">
        <v>110</v>
      </c>
      <c r="T19" s="6">
        <v>93</v>
      </c>
      <c r="U19" s="6">
        <v>119</v>
      </c>
      <c r="V19" s="5">
        <f t="shared" ref="V19:V30" si="4">SUM(E19:U19)</f>
        <v>1674</v>
      </c>
    </row>
    <row r="20" spans="1:22" x14ac:dyDescent="0.4">
      <c r="A20" s="12"/>
      <c r="B20" s="77"/>
      <c r="C20" s="81"/>
      <c r="D20" s="6" t="s">
        <v>23</v>
      </c>
      <c r="E20" s="6">
        <v>118</v>
      </c>
      <c r="F20" s="6">
        <v>105</v>
      </c>
      <c r="G20" s="6">
        <v>129</v>
      </c>
      <c r="H20" s="6">
        <v>117</v>
      </c>
      <c r="I20" s="6">
        <v>116</v>
      </c>
      <c r="J20" s="6">
        <v>122</v>
      </c>
      <c r="K20" s="6">
        <v>103</v>
      </c>
      <c r="L20" s="6">
        <v>128</v>
      </c>
      <c r="M20" s="6">
        <v>108</v>
      </c>
      <c r="N20" s="6">
        <v>84</v>
      </c>
      <c r="O20" s="6">
        <v>123</v>
      </c>
      <c r="P20" s="6">
        <v>122</v>
      </c>
      <c r="Q20" s="6">
        <v>91</v>
      </c>
      <c r="R20" s="6">
        <v>104</v>
      </c>
      <c r="S20" s="6">
        <v>104</v>
      </c>
      <c r="T20" s="6">
        <v>107</v>
      </c>
      <c r="U20" s="6">
        <v>124</v>
      </c>
      <c r="V20" s="5">
        <f t="shared" si="4"/>
        <v>1905</v>
      </c>
    </row>
    <row r="21" spans="1:22" x14ac:dyDescent="0.4">
      <c r="A21" s="13"/>
      <c r="B21" s="75"/>
      <c r="C21" s="82"/>
      <c r="D21" s="5" t="s">
        <v>24</v>
      </c>
      <c r="E21" s="5">
        <f t="shared" ref="E21:U21" si="5">SUM(E19:E20)</f>
        <v>210</v>
      </c>
      <c r="F21" s="5">
        <f t="shared" ref="F21:K21" si="6">SUM(F19:F20)</f>
        <v>204</v>
      </c>
      <c r="G21" s="5">
        <f t="shared" si="6"/>
        <v>236</v>
      </c>
      <c r="H21" s="5">
        <f t="shared" si="6"/>
        <v>224</v>
      </c>
      <c r="I21" s="5">
        <f t="shared" si="6"/>
        <v>206</v>
      </c>
      <c r="J21" s="5">
        <f t="shared" si="6"/>
        <v>218</v>
      </c>
      <c r="K21" s="5">
        <f t="shared" si="6"/>
        <v>202</v>
      </c>
      <c r="L21" s="5">
        <f t="shared" si="5"/>
        <v>229</v>
      </c>
      <c r="M21" s="5">
        <f t="shared" si="5"/>
        <v>222</v>
      </c>
      <c r="N21" s="5">
        <f t="shared" si="5"/>
        <v>160</v>
      </c>
      <c r="O21" s="5">
        <f t="shared" ref="O21:Q21" si="7">SUM(O19:O20)</f>
        <v>221</v>
      </c>
      <c r="P21" s="5">
        <f t="shared" si="7"/>
        <v>217</v>
      </c>
      <c r="Q21" s="5">
        <f t="shared" si="7"/>
        <v>175</v>
      </c>
      <c r="R21" s="5">
        <f t="shared" si="5"/>
        <v>198</v>
      </c>
      <c r="S21" s="5">
        <f t="shared" ref="S21:T21" si="8">SUM(S19:S20)</f>
        <v>214</v>
      </c>
      <c r="T21" s="5">
        <f t="shared" si="8"/>
        <v>200</v>
      </c>
      <c r="U21" s="5">
        <f t="shared" si="5"/>
        <v>243</v>
      </c>
      <c r="V21" s="5">
        <f t="shared" si="4"/>
        <v>3579</v>
      </c>
    </row>
    <row r="22" spans="1:22" x14ac:dyDescent="0.4">
      <c r="A22" s="12"/>
      <c r="B22" s="79" t="s">
        <v>29</v>
      </c>
      <c r="C22" s="80" t="s">
        <v>30</v>
      </c>
      <c r="D22" s="6" t="s">
        <v>22</v>
      </c>
      <c r="E22" s="6"/>
      <c r="F22" s="6"/>
      <c r="G22" s="6">
        <v>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5">
        <f t="shared" si="4"/>
        <v>2</v>
      </c>
    </row>
    <row r="23" spans="1:22" x14ac:dyDescent="0.4">
      <c r="A23" s="12"/>
      <c r="B23" s="77"/>
      <c r="C23" s="81"/>
      <c r="D23" s="6" t="s">
        <v>23</v>
      </c>
      <c r="E23" s="6"/>
      <c r="F23" s="6"/>
      <c r="G23" s="6">
        <v>3</v>
      </c>
      <c r="H23" s="6"/>
      <c r="I23" s="6"/>
      <c r="J23" s="6"/>
      <c r="K23" s="6">
        <v>1</v>
      </c>
      <c r="L23" s="6"/>
      <c r="M23" s="6"/>
      <c r="N23" s="6"/>
      <c r="O23" s="6"/>
      <c r="P23" s="6"/>
      <c r="Q23" s="6"/>
      <c r="R23" s="6">
        <v>1</v>
      </c>
      <c r="S23" s="6"/>
      <c r="T23" s="6"/>
      <c r="U23" s="6"/>
      <c r="V23" s="5">
        <f t="shared" si="4"/>
        <v>5</v>
      </c>
    </row>
    <row r="24" spans="1:22" x14ac:dyDescent="0.4">
      <c r="A24" s="13"/>
      <c r="B24" s="75"/>
      <c r="C24" s="82"/>
      <c r="D24" s="5" t="s">
        <v>24</v>
      </c>
      <c r="E24" s="5">
        <f t="shared" ref="E24:U24" si="9">SUM(E22:E23)</f>
        <v>0</v>
      </c>
      <c r="F24" s="5">
        <f t="shared" ref="F24:K24" si="10">SUM(F22:F23)</f>
        <v>0</v>
      </c>
      <c r="G24" s="5">
        <f t="shared" si="10"/>
        <v>5</v>
      </c>
      <c r="H24" s="5">
        <f t="shared" si="10"/>
        <v>0</v>
      </c>
      <c r="I24" s="5">
        <f t="shared" si="10"/>
        <v>0</v>
      </c>
      <c r="J24" s="5">
        <f t="shared" si="10"/>
        <v>0</v>
      </c>
      <c r="K24" s="5">
        <f t="shared" si="10"/>
        <v>1</v>
      </c>
      <c r="L24" s="5">
        <f t="shared" si="9"/>
        <v>0</v>
      </c>
      <c r="M24" s="5">
        <f t="shared" si="9"/>
        <v>0</v>
      </c>
      <c r="N24" s="5">
        <f t="shared" si="9"/>
        <v>0</v>
      </c>
      <c r="O24" s="5">
        <f t="shared" ref="O24:Q24" si="11">SUM(O22:O23)</f>
        <v>0</v>
      </c>
      <c r="P24" s="5">
        <f t="shared" si="11"/>
        <v>0</v>
      </c>
      <c r="Q24" s="5">
        <f t="shared" si="11"/>
        <v>0</v>
      </c>
      <c r="R24" s="5">
        <f t="shared" si="9"/>
        <v>1</v>
      </c>
      <c r="S24" s="5">
        <f t="shared" ref="S24:T24" si="12">SUM(S22:S23)</f>
        <v>0</v>
      </c>
      <c r="T24" s="5">
        <f t="shared" si="12"/>
        <v>0</v>
      </c>
      <c r="U24" s="5">
        <f t="shared" si="9"/>
        <v>0</v>
      </c>
      <c r="V24" s="5">
        <f t="shared" si="4"/>
        <v>7</v>
      </c>
    </row>
    <row r="25" spans="1:22" x14ac:dyDescent="0.4">
      <c r="A25" s="12"/>
      <c r="B25" s="79" t="s">
        <v>31</v>
      </c>
      <c r="C25" s="80" t="s">
        <v>32</v>
      </c>
      <c r="D25" s="6" t="s">
        <v>22</v>
      </c>
      <c r="E25" s="6"/>
      <c r="F25" s="6">
        <v>2</v>
      </c>
      <c r="G25" s="6">
        <v>3</v>
      </c>
      <c r="H25" s="6">
        <v>3</v>
      </c>
      <c r="I25" s="6"/>
      <c r="J25" s="6"/>
      <c r="K25" s="6"/>
      <c r="L25" s="6">
        <v>1</v>
      </c>
      <c r="M25" s="6"/>
      <c r="N25" s="6"/>
      <c r="O25" s="6"/>
      <c r="P25" s="6"/>
      <c r="Q25" s="6">
        <v>2</v>
      </c>
      <c r="R25" s="6">
        <v>3</v>
      </c>
      <c r="S25" s="6"/>
      <c r="T25" s="6"/>
      <c r="U25" s="6"/>
      <c r="V25" s="5">
        <f t="shared" si="4"/>
        <v>14</v>
      </c>
    </row>
    <row r="26" spans="1:22" x14ac:dyDescent="0.4">
      <c r="A26" s="12"/>
      <c r="B26" s="77"/>
      <c r="C26" s="81"/>
      <c r="D26" s="6" t="s">
        <v>23</v>
      </c>
      <c r="E26" s="6">
        <v>2</v>
      </c>
      <c r="F26" s="6">
        <v>4</v>
      </c>
      <c r="G26" s="6">
        <v>3</v>
      </c>
      <c r="H26" s="6">
        <v>3</v>
      </c>
      <c r="I26" s="6"/>
      <c r="J26" s="6"/>
      <c r="K26" s="6">
        <v>1</v>
      </c>
      <c r="L26" s="6"/>
      <c r="M26" s="6"/>
      <c r="N26" s="6"/>
      <c r="O26" s="6"/>
      <c r="P26" s="6">
        <v>3</v>
      </c>
      <c r="Q26" s="6">
        <v>2</v>
      </c>
      <c r="R26" s="6">
        <v>6</v>
      </c>
      <c r="S26" s="6">
        <v>1</v>
      </c>
      <c r="T26" s="6">
        <v>2</v>
      </c>
      <c r="U26" s="6">
        <v>1</v>
      </c>
      <c r="V26" s="5">
        <f t="shared" si="4"/>
        <v>28</v>
      </c>
    </row>
    <row r="27" spans="1:22" x14ac:dyDescent="0.4">
      <c r="A27" s="13"/>
      <c r="B27" s="75"/>
      <c r="C27" s="82"/>
      <c r="D27" s="5" t="s">
        <v>24</v>
      </c>
      <c r="E27" s="5">
        <f t="shared" ref="E27:U27" si="13">SUM(E25:E26)</f>
        <v>2</v>
      </c>
      <c r="F27" s="5">
        <f t="shared" ref="F27:K27" si="14">SUM(F25:F26)</f>
        <v>6</v>
      </c>
      <c r="G27" s="5">
        <f t="shared" si="14"/>
        <v>6</v>
      </c>
      <c r="H27" s="5">
        <f t="shared" si="14"/>
        <v>6</v>
      </c>
      <c r="I27" s="5">
        <f t="shared" si="14"/>
        <v>0</v>
      </c>
      <c r="J27" s="5">
        <f t="shared" si="14"/>
        <v>0</v>
      </c>
      <c r="K27" s="5">
        <f t="shared" si="14"/>
        <v>1</v>
      </c>
      <c r="L27" s="5">
        <f t="shared" si="13"/>
        <v>1</v>
      </c>
      <c r="M27" s="5">
        <f t="shared" si="13"/>
        <v>0</v>
      </c>
      <c r="N27" s="5">
        <f t="shared" si="13"/>
        <v>0</v>
      </c>
      <c r="O27" s="5">
        <f t="shared" ref="O27:Q27" si="15">SUM(O25:O26)</f>
        <v>0</v>
      </c>
      <c r="P27" s="5">
        <f t="shared" si="15"/>
        <v>3</v>
      </c>
      <c r="Q27" s="5">
        <f t="shared" si="15"/>
        <v>4</v>
      </c>
      <c r="R27" s="5">
        <f t="shared" si="13"/>
        <v>9</v>
      </c>
      <c r="S27" s="5">
        <f t="shared" ref="S27:T27" si="16">SUM(S25:S26)</f>
        <v>1</v>
      </c>
      <c r="T27" s="5">
        <f t="shared" si="16"/>
        <v>2</v>
      </c>
      <c r="U27" s="5">
        <f t="shared" si="13"/>
        <v>1</v>
      </c>
      <c r="V27" s="5">
        <f t="shared" si="4"/>
        <v>42</v>
      </c>
    </row>
    <row r="28" spans="1:22" x14ac:dyDescent="0.4">
      <c r="A28" s="13"/>
      <c r="B28" s="83" t="s">
        <v>33</v>
      </c>
      <c r="C28" s="84" t="s">
        <v>34</v>
      </c>
      <c r="D28" s="5" t="s">
        <v>22</v>
      </c>
      <c r="E28" s="5">
        <f>SUM(E19,E22,E25)</f>
        <v>92</v>
      </c>
      <c r="F28" s="5">
        <f t="shared" ref="F28:K28" si="17">SUM(F19,F22,F25)</f>
        <v>101</v>
      </c>
      <c r="G28" s="5">
        <f t="shared" si="17"/>
        <v>112</v>
      </c>
      <c r="H28" s="5">
        <f t="shared" si="17"/>
        <v>110</v>
      </c>
      <c r="I28" s="5">
        <f t="shared" si="17"/>
        <v>90</v>
      </c>
      <c r="J28" s="5">
        <f t="shared" si="17"/>
        <v>96</v>
      </c>
      <c r="K28" s="5">
        <f t="shared" si="17"/>
        <v>99</v>
      </c>
      <c r="L28" s="5">
        <f t="shared" ref="L28:U29" si="18">SUM(L19,L22,L25)</f>
        <v>102</v>
      </c>
      <c r="M28" s="5">
        <f t="shared" si="18"/>
        <v>114</v>
      </c>
      <c r="N28" s="5">
        <f t="shared" si="18"/>
        <v>76</v>
      </c>
      <c r="O28" s="5">
        <f t="shared" ref="O28:Q28" si="19">SUM(O19,O22,O25)</f>
        <v>98</v>
      </c>
      <c r="P28" s="5">
        <f t="shared" si="19"/>
        <v>95</v>
      </c>
      <c r="Q28" s="5">
        <f t="shared" si="19"/>
        <v>86</v>
      </c>
      <c r="R28" s="5">
        <f t="shared" si="18"/>
        <v>97</v>
      </c>
      <c r="S28" s="5">
        <f t="shared" ref="S28:T28" si="20">SUM(S19,S22,S25)</f>
        <v>110</v>
      </c>
      <c r="T28" s="5">
        <f t="shared" si="20"/>
        <v>93</v>
      </c>
      <c r="U28" s="5">
        <f t="shared" si="18"/>
        <v>119</v>
      </c>
      <c r="V28" s="5">
        <f t="shared" si="4"/>
        <v>1690</v>
      </c>
    </row>
    <row r="29" spans="1:22" x14ac:dyDescent="0.4">
      <c r="A29" s="13"/>
      <c r="B29" s="77"/>
      <c r="C29" s="81"/>
      <c r="D29" s="5" t="s">
        <v>23</v>
      </c>
      <c r="E29" s="5">
        <f>SUM(E20,E23,E26)</f>
        <v>120</v>
      </c>
      <c r="F29" s="5">
        <f t="shared" ref="F29:K29" si="21">SUM(F20,F23,F26)</f>
        <v>109</v>
      </c>
      <c r="G29" s="5">
        <f t="shared" si="21"/>
        <v>135</v>
      </c>
      <c r="H29" s="5">
        <f t="shared" si="21"/>
        <v>120</v>
      </c>
      <c r="I29" s="5">
        <f t="shared" si="21"/>
        <v>116</v>
      </c>
      <c r="J29" s="5">
        <f t="shared" si="21"/>
        <v>122</v>
      </c>
      <c r="K29" s="5">
        <f t="shared" si="21"/>
        <v>105</v>
      </c>
      <c r="L29" s="5">
        <f t="shared" si="18"/>
        <v>128</v>
      </c>
      <c r="M29" s="5">
        <f t="shared" si="18"/>
        <v>108</v>
      </c>
      <c r="N29" s="5">
        <f t="shared" si="18"/>
        <v>84</v>
      </c>
      <c r="O29" s="5">
        <f t="shared" ref="O29:Q29" si="22">SUM(O20,O23,O26)</f>
        <v>123</v>
      </c>
      <c r="P29" s="5">
        <f t="shared" si="22"/>
        <v>125</v>
      </c>
      <c r="Q29" s="5">
        <f t="shared" si="22"/>
        <v>93</v>
      </c>
      <c r="R29" s="5">
        <f t="shared" si="18"/>
        <v>111</v>
      </c>
      <c r="S29" s="5">
        <f t="shared" ref="S29:T29" si="23">SUM(S20,S23,S26)</f>
        <v>105</v>
      </c>
      <c r="T29" s="5">
        <f t="shared" si="23"/>
        <v>109</v>
      </c>
      <c r="U29" s="5">
        <f t="shared" si="18"/>
        <v>125</v>
      </c>
      <c r="V29" s="5">
        <f t="shared" si="4"/>
        <v>1938</v>
      </c>
    </row>
    <row r="30" spans="1:22" x14ac:dyDescent="0.4">
      <c r="A30" s="13"/>
      <c r="B30" s="75"/>
      <c r="C30" s="82"/>
      <c r="D30" s="5" t="s">
        <v>24</v>
      </c>
      <c r="E30" s="5">
        <f t="shared" ref="E30:U30" si="24">SUM(E28:E29)</f>
        <v>212</v>
      </c>
      <c r="F30" s="5">
        <f t="shared" ref="F30:K30" si="25">SUM(F28:F29)</f>
        <v>210</v>
      </c>
      <c r="G30" s="5">
        <f t="shared" si="25"/>
        <v>247</v>
      </c>
      <c r="H30" s="5">
        <f t="shared" si="25"/>
        <v>230</v>
      </c>
      <c r="I30" s="5">
        <f t="shared" si="25"/>
        <v>206</v>
      </c>
      <c r="J30" s="5">
        <f t="shared" si="25"/>
        <v>218</v>
      </c>
      <c r="K30" s="5">
        <f t="shared" si="25"/>
        <v>204</v>
      </c>
      <c r="L30" s="5">
        <f t="shared" si="24"/>
        <v>230</v>
      </c>
      <c r="M30" s="5">
        <f t="shared" si="24"/>
        <v>222</v>
      </c>
      <c r="N30" s="5">
        <f t="shared" si="24"/>
        <v>160</v>
      </c>
      <c r="O30" s="5">
        <f t="shared" ref="O30:Q30" si="26">SUM(O28:O29)</f>
        <v>221</v>
      </c>
      <c r="P30" s="5">
        <f t="shared" si="26"/>
        <v>220</v>
      </c>
      <c r="Q30" s="5">
        <f t="shared" si="26"/>
        <v>179</v>
      </c>
      <c r="R30" s="5">
        <f t="shared" si="24"/>
        <v>208</v>
      </c>
      <c r="S30" s="5">
        <f t="shared" ref="S30:T30" si="27">SUM(S28:S29)</f>
        <v>215</v>
      </c>
      <c r="T30" s="5">
        <f t="shared" si="27"/>
        <v>202</v>
      </c>
      <c r="U30" s="5">
        <f t="shared" si="24"/>
        <v>244</v>
      </c>
      <c r="V30" s="5">
        <f t="shared" si="4"/>
        <v>3628</v>
      </c>
    </row>
    <row r="31" spans="1:22" x14ac:dyDescent="0.4">
      <c r="A31" s="55"/>
      <c r="B31" s="68"/>
      <c r="C31" s="68"/>
      <c r="D31" s="51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28"/>
    </row>
    <row r="32" spans="1:22" x14ac:dyDescent="0.4">
      <c r="A32" s="14" t="s">
        <v>35</v>
      </c>
      <c r="B32" s="60" t="s">
        <v>36</v>
      </c>
      <c r="C32" s="68"/>
      <c r="D32" s="5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28"/>
    </row>
    <row r="33" spans="1:22" x14ac:dyDescent="0.4">
      <c r="A33" s="6">
        <v>1</v>
      </c>
      <c r="B33" s="78" t="s">
        <v>37</v>
      </c>
      <c r="C33" s="68"/>
      <c r="D33" s="51"/>
      <c r="E33" s="6">
        <v>295</v>
      </c>
      <c r="F33" s="6">
        <v>294</v>
      </c>
      <c r="G33" s="6">
        <v>295</v>
      </c>
      <c r="H33" s="6">
        <v>292</v>
      </c>
      <c r="I33" s="6">
        <v>294</v>
      </c>
      <c r="J33" s="6">
        <v>285</v>
      </c>
      <c r="K33" s="6">
        <v>248</v>
      </c>
      <c r="L33" s="6">
        <v>284</v>
      </c>
      <c r="M33" s="6">
        <v>283</v>
      </c>
      <c r="N33" s="6">
        <v>239</v>
      </c>
      <c r="O33" s="6">
        <v>292</v>
      </c>
      <c r="P33" s="6">
        <v>278</v>
      </c>
      <c r="Q33" s="6">
        <v>226</v>
      </c>
      <c r="R33" s="6">
        <v>271</v>
      </c>
      <c r="S33" s="6">
        <v>283</v>
      </c>
      <c r="T33" s="6">
        <v>275</v>
      </c>
      <c r="U33" s="6">
        <v>290</v>
      </c>
      <c r="V33" s="5">
        <f>SUM(E33:U33)</f>
        <v>4724</v>
      </c>
    </row>
    <row r="34" spans="1:22" x14ac:dyDescent="0.4">
      <c r="A34" s="6">
        <v>2</v>
      </c>
      <c r="B34" s="78" t="s">
        <v>38</v>
      </c>
      <c r="C34" s="68"/>
      <c r="D34" s="51"/>
      <c r="E34" s="5">
        <v>212</v>
      </c>
      <c r="F34" s="5">
        <v>210</v>
      </c>
      <c r="G34" s="5">
        <v>247</v>
      </c>
      <c r="H34" s="5">
        <v>230</v>
      </c>
      <c r="I34" s="5">
        <v>206</v>
      </c>
      <c r="J34" s="5">
        <v>218</v>
      </c>
      <c r="K34" s="5">
        <v>204</v>
      </c>
      <c r="L34" s="5">
        <v>230</v>
      </c>
      <c r="M34" s="5">
        <v>222</v>
      </c>
      <c r="N34" s="5">
        <v>160</v>
      </c>
      <c r="O34" s="5">
        <v>221</v>
      </c>
      <c r="P34" s="5">
        <v>220</v>
      </c>
      <c r="Q34" s="5">
        <v>179</v>
      </c>
      <c r="R34" s="5">
        <v>208</v>
      </c>
      <c r="S34" s="5">
        <v>215</v>
      </c>
      <c r="T34" s="5">
        <v>202</v>
      </c>
      <c r="U34" s="5">
        <v>244</v>
      </c>
      <c r="V34" s="5">
        <f>SUM(E34:U34)</f>
        <v>3628</v>
      </c>
    </row>
    <row r="35" spans="1:22" x14ac:dyDescent="0.4">
      <c r="A35" s="6">
        <v>3</v>
      </c>
      <c r="B35" s="78" t="s">
        <v>39</v>
      </c>
      <c r="C35" s="68"/>
      <c r="D35" s="51"/>
      <c r="E35" s="6"/>
      <c r="F35" s="6">
        <v>2</v>
      </c>
      <c r="G35" s="6"/>
      <c r="H35" s="6"/>
      <c r="I35" s="6"/>
      <c r="J35" s="6"/>
      <c r="K35" s="6"/>
      <c r="L35" s="6">
        <v>1</v>
      </c>
      <c r="M35" s="6"/>
      <c r="N35" s="6">
        <v>1</v>
      </c>
      <c r="O35" s="6"/>
      <c r="P35" s="6"/>
      <c r="Q35" s="6"/>
      <c r="R35" s="6"/>
      <c r="S35" s="6"/>
      <c r="T35" s="6"/>
      <c r="U35" s="6">
        <v>1</v>
      </c>
      <c r="V35" s="5">
        <f>SUM(E35:U35)</f>
        <v>5</v>
      </c>
    </row>
    <row r="36" spans="1:22" x14ac:dyDescent="0.4">
      <c r="A36" s="6">
        <v>4</v>
      </c>
      <c r="B36" s="78" t="s">
        <v>40</v>
      </c>
      <c r="C36" s="68"/>
      <c r="D36" s="51"/>
      <c r="E36" s="5">
        <f t="shared" ref="E36:U36" si="28">E33-(E34+E35)</f>
        <v>83</v>
      </c>
      <c r="F36" s="5">
        <f t="shared" ref="F36:K36" si="29">F33-(F34+F35)</f>
        <v>82</v>
      </c>
      <c r="G36" s="5">
        <f t="shared" si="29"/>
        <v>48</v>
      </c>
      <c r="H36" s="5">
        <f t="shared" si="29"/>
        <v>62</v>
      </c>
      <c r="I36" s="5">
        <f t="shared" si="29"/>
        <v>88</v>
      </c>
      <c r="J36" s="5">
        <f t="shared" si="29"/>
        <v>67</v>
      </c>
      <c r="K36" s="5">
        <f t="shared" si="29"/>
        <v>44</v>
      </c>
      <c r="L36" s="5">
        <f t="shared" si="28"/>
        <v>53</v>
      </c>
      <c r="M36" s="5">
        <f t="shared" si="28"/>
        <v>61</v>
      </c>
      <c r="N36" s="5">
        <f t="shared" si="28"/>
        <v>78</v>
      </c>
      <c r="O36" s="5">
        <f t="shared" ref="O36:Q36" si="30">O33-(O34+O35)</f>
        <v>71</v>
      </c>
      <c r="P36" s="5">
        <f t="shared" si="30"/>
        <v>58</v>
      </c>
      <c r="Q36" s="5">
        <f t="shared" si="30"/>
        <v>47</v>
      </c>
      <c r="R36" s="5">
        <f t="shared" si="28"/>
        <v>63</v>
      </c>
      <c r="S36" s="5">
        <f t="shared" ref="S36:T36" si="31">S33-(S34+S35)</f>
        <v>68</v>
      </c>
      <c r="T36" s="5">
        <f t="shared" si="31"/>
        <v>73</v>
      </c>
      <c r="U36" s="5">
        <f t="shared" si="28"/>
        <v>45</v>
      </c>
      <c r="V36" s="5">
        <f>SUM(E36:U36)</f>
        <v>1091</v>
      </c>
    </row>
    <row r="37" spans="1:22" x14ac:dyDescent="0.4">
      <c r="A37" s="55"/>
      <c r="B37" s="68"/>
      <c r="C37" s="68"/>
      <c r="D37" s="68"/>
      <c r="E37" s="55"/>
      <c r="F37" s="56"/>
      <c r="G37" s="56"/>
      <c r="H37" s="56"/>
      <c r="I37" s="56"/>
      <c r="J37" s="56"/>
      <c r="K37" s="56"/>
      <c r="L37" s="73"/>
      <c r="M37" s="73"/>
      <c r="N37" s="73"/>
      <c r="O37" s="73"/>
      <c r="P37" s="73"/>
      <c r="Q37" s="73"/>
      <c r="R37" s="74"/>
      <c r="S37" s="6"/>
      <c r="T37" s="6"/>
      <c r="U37" s="6"/>
      <c r="V37" s="28"/>
    </row>
    <row r="38" spans="1:22" x14ac:dyDescent="0.4">
      <c r="A38" s="16" t="s">
        <v>41</v>
      </c>
      <c r="B38" s="60" t="s">
        <v>42</v>
      </c>
      <c r="C38" s="68"/>
      <c r="D38" s="51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28"/>
    </row>
    <row r="39" spans="1:22" x14ac:dyDescent="0.4">
      <c r="A39" s="11"/>
      <c r="B39" s="71" t="s">
        <v>43</v>
      </c>
      <c r="C39" s="64"/>
      <c r="D39" s="6" t="s">
        <v>22</v>
      </c>
      <c r="E39" s="6">
        <v>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>
        <v>1</v>
      </c>
      <c r="T39" s="6"/>
      <c r="U39" s="6"/>
      <c r="V39" s="5">
        <f>SUM(E39:U39)</f>
        <v>3</v>
      </c>
    </row>
    <row r="40" spans="1:22" x14ac:dyDescent="0.4">
      <c r="A40" s="12"/>
      <c r="B40" s="76"/>
      <c r="C40" s="77"/>
      <c r="D40" s="6" t="s">
        <v>23</v>
      </c>
      <c r="E40" s="6">
        <v>2</v>
      </c>
      <c r="F40" s="6"/>
      <c r="G40" s="6"/>
      <c r="H40" s="6"/>
      <c r="I40" s="6"/>
      <c r="J40" s="6">
        <v>1</v>
      </c>
      <c r="K40" s="6"/>
      <c r="L40" s="6"/>
      <c r="M40" s="6"/>
      <c r="N40" s="6"/>
      <c r="O40" s="6"/>
      <c r="P40" s="6"/>
      <c r="Q40" s="6"/>
      <c r="R40" s="6"/>
      <c r="S40" s="6">
        <v>1</v>
      </c>
      <c r="T40" s="6"/>
      <c r="U40" s="6"/>
      <c r="V40" s="5">
        <f>SUM(E40:U40)</f>
        <v>4</v>
      </c>
    </row>
    <row r="41" spans="1:22" x14ac:dyDescent="0.4">
      <c r="A41" s="14"/>
      <c r="B41" s="70"/>
      <c r="C41" s="75"/>
      <c r="D41" s="5" t="s">
        <v>24</v>
      </c>
      <c r="E41" s="5">
        <f t="shared" ref="E41:U41" si="32">SUM(E39:E40)</f>
        <v>4</v>
      </c>
      <c r="F41" s="5">
        <f t="shared" ref="F41:K41" si="33">SUM(F39:F40)</f>
        <v>0</v>
      </c>
      <c r="G41" s="5">
        <f t="shared" si="33"/>
        <v>0</v>
      </c>
      <c r="H41" s="5">
        <f t="shared" si="33"/>
        <v>0</v>
      </c>
      <c r="I41" s="5">
        <f t="shared" si="33"/>
        <v>0</v>
      </c>
      <c r="J41" s="5">
        <f t="shared" si="33"/>
        <v>1</v>
      </c>
      <c r="K41" s="5">
        <f t="shared" si="33"/>
        <v>0</v>
      </c>
      <c r="L41" s="5">
        <f t="shared" si="32"/>
        <v>0</v>
      </c>
      <c r="M41" s="5">
        <f t="shared" si="32"/>
        <v>0</v>
      </c>
      <c r="N41" s="5">
        <f t="shared" si="32"/>
        <v>0</v>
      </c>
      <c r="O41" s="5">
        <f t="shared" ref="O41:Q41" si="34">SUM(O39:O40)</f>
        <v>0</v>
      </c>
      <c r="P41" s="5">
        <f t="shared" si="34"/>
        <v>0</v>
      </c>
      <c r="Q41" s="5">
        <f t="shared" si="34"/>
        <v>0</v>
      </c>
      <c r="R41" s="5">
        <f t="shared" si="32"/>
        <v>0</v>
      </c>
      <c r="S41" s="5">
        <f t="shared" ref="S41:T41" si="35">SUM(S39:S40)</f>
        <v>2</v>
      </c>
      <c r="T41" s="5">
        <f t="shared" si="35"/>
        <v>0</v>
      </c>
      <c r="U41" s="5">
        <f t="shared" si="32"/>
        <v>0</v>
      </c>
      <c r="V41" s="5">
        <f>SUM(E41:U41)</f>
        <v>7</v>
      </c>
    </row>
    <row r="42" spans="1:22" x14ac:dyDescent="0.4">
      <c r="A42" s="69"/>
      <c r="B42" s="70"/>
      <c r="C42" s="70"/>
      <c r="D42" s="75"/>
      <c r="E42" s="55"/>
      <c r="F42" s="56"/>
      <c r="G42" s="56"/>
      <c r="H42" s="56"/>
      <c r="I42" s="56"/>
      <c r="J42" s="56"/>
      <c r="K42" s="56"/>
      <c r="L42" s="68"/>
      <c r="M42" s="68"/>
      <c r="N42" s="68"/>
      <c r="O42" s="68"/>
      <c r="P42" s="68"/>
      <c r="Q42" s="68"/>
      <c r="R42" s="51"/>
      <c r="S42" s="6"/>
      <c r="T42" s="6"/>
      <c r="U42" s="6"/>
      <c r="V42" s="5"/>
    </row>
    <row r="43" spans="1:22" ht="13.15" customHeight="1" x14ac:dyDescent="0.4">
      <c r="A43" s="16" t="s">
        <v>44</v>
      </c>
      <c r="B43" s="60" t="s">
        <v>45</v>
      </c>
      <c r="C43" s="68"/>
      <c r="D43" s="51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3.15" customHeight="1" x14ac:dyDescent="0.4">
      <c r="A44" s="71" t="s">
        <v>46</v>
      </c>
      <c r="B44" s="72"/>
      <c r="C44" s="72"/>
      <c r="D44" s="64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5"/>
    </row>
    <row r="45" spans="1:22" x14ac:dyDescent="0.4">
      <c r="A45" s="11" t="s">
        <v>47</v>
      </c>
      <c r="B45" s="17" t="s">
        <v>27</v>
      </c>
      <c r="C45" s="50" t="s">
        <v>48</v>
      </c>
      <c r="D45" s="51"/>
      <c r="E45" s="6">
        <v>7</v>
      </c>
      <c r="F45" s="6">
        <v>3</v>
      </c>
      <c r="G45" s="6">
        <v>4</v>
      </c>
      <c r="H45" s="6">
        <v>3</v>
      </c>
      <c r="I45" s="6">
        <v>6</v>
      </c>
      <c r="J45" s="6">
        <v>11</v>
      </c>
      <c r="K45" s="6">
        <v>6</v>
      </c>
      <c r="L45" s="6">
        <v>13</v>
      </c>
      <c r="M45" s="6">
        <v>14</v>
      </c>
      <c r="N45" s="6">
        <v>7</v>
      </c>
      <c r="O45" s="6">
        <v>6</v>
      </c>
      <c r="P45" s="6">
        <v>6</v>
      </c>
      <c r="Q45" s="6">
        <v>7</v>
      </c>
      <c r="R45" s="6">
        <v>19</v>
      </c>
      <c r="S45" s="6">
        <v>16</v>
      </c>
      <c r="T45" s="6">
        <v>11</v>
      </c>
      <c r="U45" s="6">
        <v>17</v>
      </c>
      <c r="V45" s="5">
        <f t="shared" ref="V45:V51" si="36">SUM(E45:U45)</f>
        <v>156</v>
      </c>
    </row>
    <row r="46" spans="1:22" x14ac:dyDescent="0.4">
      <c r="A46" s="11" t="s">
        <v>49</v>
      </c>
      <c r="B46" s="46">
        <v>1</v>
      </c>
      <c r="C46" s="24" t="s">
        <v>103</v>
      </c>
      <c r="D46" s="47"/>
      <c r="E46" s="6">
        <v>10</v>
      </c>
      <c r="F46" s="6">
        <v>25</v>
      </c>
      <c r="G46" s="6">
        <v>15</v>
      </c>
      <c r="H46" s="6">
        <v>8</v>
      </c>
      <c r="I46" s="6">
        <v>12</v>
      </c>
      <c r="J46" s="6">
        <v>29</v>
      </c>
      <c r="K46" s="6">
        <v>48</v>
      </c>
      <c r="L46" s="6">
        <v>34</v>
      </c>
      <c r="M46" s="6">
        <v>35</v>
      </c>
      <c r="N46" s="6">
        <v>31</v>
      </c>
      <c r="O46" s="6">
        <v>12</v>
      </c>
      <c r="P46" s="6">
        <v>10</v>
      </c>
      <c r="Q46" s="6">
        <v>28</v>
      </c>
      <c r="R46" s="6">
        <v>59</v>
      </c>
      <c r="S46" s="6">
        <v>13</v>
      </c>
      <c r="T46" s="6">
        <v>11</v>
      </c>
      <c r="U46" s="6">
        <v>28</v>
      </c>
      <c r="V46" s="5">
        <f t="shared" si="36"/>
        <v>408</v>
      </c>
    </row>
    <row r="47" spans="1:22" x14ac:dyDescent="0.4">
      <c r="A47" s="7"/>
      <c r="B47" s="46">
        <v>2</v>
      </c>
      <c r="C47" s="24" t="s">
        <v>104</v>
      </c>
      <c r="D47" s="47"/>
      <c r="E47" s="6">
        <v>0</v>
      </c>
      <c r="F47" s="6">
        <v>2</v>
      </c>
      <c r="G47" s="6">
        <v>3</v>
      </c>
      <c r="H47" s="6">
        <v>1</v>
      </c>
      <c r="I47" s="6">
        <v>0</v>
      </c>
      <c r="J47" s="6">
        <v>4</v>
      </c>
      <c r="K47" s="6">
        <v>0</v>
      </c>
      <c r="L47" s="6">
        <v>0</v>
      </c>
      <c r="M47" s="6">
        <v>1</v>
      </c>
      <c r="N47" s="6">
        <v>0</v>
      </c>
      <c r="O47" s="6">
        <v>0</v>
      </c>
      <c r="P47" s="6">
        <v>2</v>
      </c>
      <c r="Q47" s="6">
        <v>1</v>
      </c>
      <c r="R47" s="6">
        <v>1</v>
      </c>
      <c r="S47" s="6">
        <v>1</v>
      </c>
      <c r="T47" s="6">
        <v>2</v>
      </c>
      <c r="U47" s="6">
        <v>1</v>
      </c>
      <c r="V47" s="5">
        <f t="shared" si="36"/>
        <v>19</v>
      </c>
    </row>
    <row r="48" spans="1:22" x14ac:dyDescent="0.4">
      <c r="A48" s="7"/>
      <c r="B48" s="46">
        <v>3</v>
      </c>
      <c r="C48" s="24" t="s">
        <v>105</v>
      </c>
      <c r="D48" s="47"/>
      <c r="E48" s="6">
        <v>0</v>
      </c>
      <c r="F48" s="6">
        <v>0</v>
      </c>
      <c r="G48" s="6">
        <v>0</v>
      </c>
      <c r="H48" s="6">
        <v>3</v>
      </c>
      <c r="I48" s="6">
        <v>1</v>
      </c>
      <c r="J48" s="6">
        <v>0</v>
      </c>
      <c r="K48" s="6">
        <v>3</v>
      </c>
      <c r="L48" s="6">
        <v>1</v>
      </c>
      <c r="M48" s="6">
        <v>1</v>
      </c>
      <c r="N48" s="6">
        <v>1</v>
      </c>
      <c r="O48" s="6">
        <v>5</v>
      </c>
      <c r="P48" s="6">
        <v>2</v>
      </c>
      <c r="Q48" s="6">
        <v>0</v>
      </c>
      <c r="R48" s="6">
        <v>0</v>
      </c>
      <c r="S48" s="6">
        <v>0</v>
      </c>
      <c r="T48" s="6">
        <v>0</v>
      </c>
      <c r="U48" s="6">
        <v>2</v>
      </c>
      <c r="V48" s="5">
        <f t="shared" si="36"/>
        <v>19</v>
      </c>
    </row>
    <row r="49" spans="1:22" x14ac:dyDescent="0.4">
      <c r="A49" s="7"/>
      <c r="B49" s="46">
        <v>4</v>
      </c>
      <c r="C49" s="24" t="s">
        <v>106</v>
      </c>
      <c r="D49" s="47"/>
      <c r="E49" s="6">
        <v>0</v>
      </c>
      <c r="F49" s="6">
        <v>1</v>
      </c>
      <c r="G49" s="6">
        <v>0</v>
      </c>
      <c r="H49" s="6">
        <v>0</v>
      </c>
      <c r="I49" s="6">
        <v>1</v>
      </c>
      <c r="J49" s="6">
        <v>0</v>
      </c>
      <c r="K49" s="6">
        <v>1</v>
      </c>
      <c r="L49" s="6">
        <v>0</v>
      </c>
      <c r="M49" s="6">
        <v>1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1</v>
      </c>
      <c r="T49" s="6">
        <v>0</v>
      </c>
      <c r="U49" s="6">
        <v>0</v>
      </c>
      <c r="V49" s="5">
        <f t="shared" si="36"/>
        <v>5</v>
      </c>
    </row>
    <row r="50" spans="1:22" x14ac:dyDescent="0.4">
      <c r="A50" s="7"/>
      <c r="B50" s="46">
        <v>5</v>
      </c>
      <c r="C50" s="24" t="s">
        <v>107</v>
      </c>
      <c r="D50" s="47"/>
      <c r="E50" s="6">
        <v>0</v>
      </c>
      <c r="F50" s="6">
        <v>1</v>
      </c>
      <c r="G50" s="6">
        <v>2</v>
      </c>
      <c r="H50" s="6">
        <v>9</v>
      </c>
      <c r="I50" s="6">
        <v>6</v>
      </c>
      <c r="J50" s="6">
        <v>2</v>
      </c>
      <c r="K50" s="6">
        <v>1</v>
      </c>
      <c r="L50" s="6">
        <v>1</v>
      </c>
      <c r="M50" s="6">
        <v>0</v>
      </c>
      <c r="N50" s="6">
        <v>0</v>
      </c>
      <c r="O50" s="6">
        <v>1</v>
      </c>
      <c r="P50" s="6">
        <v>0</v>
      </c>
      <c r="Q50" s="6">
        <v>0</v>
      </c>
      <c r="R50" s="6">
        <v>0</v>
      </c>
      <c r="S50" s="6">
        <v>1</v>
      </c>
      <c r="T50" s="6">
        <v>0</v>
      </c>
      <c r="U50" s="6">
        <v>1</v>
      </c>
      <c r="V50" s="5">
        <f t="shared" si="36"/>
        <v>25</v>
      </c>
    </row>
    <row r="51" spans="1:22" x14ac:dyDescent="0.4">
      <c r="A51" s="7"/>
      <c r="B51" s="46">
        <v>6</v>
      </c>
      <c r="C51" s="24" t="s">
        <v>108</v>
      </c>
      <c r="D51" s="47"/>
      <c r="E51" s="6">
        <v>1</v>
      </c>
      <c r="F51" s="6">
        <v>2</v>
      </c>
      <c r="G51" s="6">
        <v>1</v>
      </c>
      <c r="H51" s="6">
        <v>0</v>
      </c>
      <c r="I51" s="6">
        <v>0</v>
      </c>
      <c r="J51" s="6">
        <v>1</v>
      </c>
      <c r="K51" s="6">
        <v>0</v>
      </c>
      <c r="L51" s="6">
        <v>1</v>
      </c>
      <c r="M51" s="6">
        <v>1</v>
      </c>
      <c r="N51" s="6">
        <v>1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5">
        <f t="shared" si="36"/>
        <v>8</v>
      </c>
    </row>
    <row r="52" spans="1:22" x14ac:dyDescent="0.4">
      <c r="A52" s="6" t="s">
        <v>25</v>
      </c>
      <c r="B52" s="52" t="s">
        <v>50</v>
      </c>
      <c r="C52" s="68"/>
      <c r="D52" s="51"/>
      <c r="E52" s="5">
        <f t="shared" ref="E52:V52" si="37">SUM(E45:E51)</f>
        <v>18</v>
      </c>
      <c r="F52" s="5">
        <f t="shared" si="37"/>
        <v>34</v>
      </c>
      <c r="G52" s="5">
        <f t="shared" si="37"/>
        <v>25</v>
      </c>
      <c r="H52" s="5">
        <f t="shared" si="37"/>
        <v>24</v>
      </c>
      <c r="I52" s="5">
        <f t="shared" si="37"/>
        <v>26</v>
      </c>
      <c r="J52" s="5">
        <f t="shared" si="37"/>
        <v>47</v>
      </c>
      <c r="K52" s="5">
        <f t="shared" si="37"/>
        <v>59</v>
      </c>
      <c r="L52" s="5">
        <f t="shared" si="37"/>
        <v>50</v>
      </c>
      <c r="M52" s="5">
        <f t="shared" si="37"/>
        <v>53</v>
      </c>
      <c r="N52" s="5">
        <f t="shared" si="37"/>
        <v>40</v>
      </c>
      <c r="O52" s="5">
        <f t="shared" si="37"/>
        <v>24</v>
      </c>
      <c r="P52" s="5">
        <f t="shared" si="37"/>
        <v>20</v>
      </c>
      <c r="Q52" s="5">
        <f t="shared" si="37"/>
        <v>36</v>
      </c>
      <c r="R52" s="5">
        <f t="shared" si="37"/>
        <v>79</v>
      </c>
      <c r="S52" s="5">
        <f t="shared" si="37"/>
        <v>32</v>
      </c>
      <c r="T52" s="5">
        <f t="shared" si="37"/>
        <v>24</v>
      </c>
      <c r="U52" s="5">
        <f t="shared" si="37"/>
        <v>49</v>
      </c>
      <c r="V52" s="5">
        <f t="shared" si="37"/>
        <v>640</v>
      </c>
    </row>
    <row r="53" spans="1:22" x14ac:dyDescent="0.4">
      <c r="A53" s="69"/>
      <c r="B53" s="70"/>
      <c r="C53" s="70"/>
      <c r="D53" s="70"/>
      <c r="E53" s="70"/>
      <c r="V53" s="5"/>
    </row>
    <row r="54" spans="1:22" x14ac:dyDescent="0.4">
      <c r="A54" s="11" t="s">
        <v>47</v>
      </c>
      <c r="B54" s="17" t="s">
        <v>29</v>
      </c>
      <c r="C54" s="50" t="s">
        <v>51</v>
      </c>
      <c r="D54" s="51"/>
      <c r="E54" s="6">
        <v>5</v>
      </c>
      <c r="F54" s="6">
        <v>25</v>
      </c>
      <c r="G54" s="6">
        <v>19</v>
      </c>
      <c r="H54" s="6">
        <v>10</v>
      </c>
      <c r="I54" s="6">
        <v>4</v>
      </c>
      <c r="J54" s="6">
        <v>7</v>
      </c>
      <c r="K54" s="6">
        <v>5</v>
      </c>
      <c r="L54" s="6">
        <v>6</v>
      </c>
      <c r="M54" s="6">
        <v>16</v>
      </c>
      <c r="N54" s="6">
        <v>7</v>
      </c>
      <c r="O54" s="6">
        <v>6</v>
      </c>
      <c r="P54" s="6">
        <v>11</v>
      </c>
      <c r="Q54" s="6">
        <v>11</v>
      </c>
      <c r="R54" s="6">
        <v>5</v>
      </c>
      <c r="S54" s="6">
        <v>15</v>
      </c>
      <c r="T54" s="6">
        <v>23</v>
      </c>
      <c r="U54" s="6">
        <v>18</v>
      </c>
      <c r="V54" s="5">
        <f t="shared" ref="V54:V60" si="38">SUM(E54:U54)</f>
        <v>193</v>
      </c>
    </row>
    <row r="55" spans="1:22" x14ac:dyDescent="0.4">
      <c r="A55" s="11" t="s">
        <v>49</v>
      </c>
      <c r="B55" s="46">
        <v>1</v>
      </c>
      <c r="C55" s="24" t="s">
        <v>109</v>
      </c>
      <c r="D55" s="47"/>
      <c r="E55" s="6">
        <v>2</v>
      </c>
      <c r="F55" s="6">
        <v>6</v>
      </c>
      <c r="G55" s="6">
        <v>7</v>
      </c>
      <c r="H55" s="6">
        <v>9</v>
      </c>
      <c r="I55" s="6">
        <v>4</v>
      </c>
      <c r="J55" s="6">
        <v>12</v>
      </c>
      <c r="K55" s="6">
        <v>3</v>
      </c>
      <c r="L55" s="6">
        <v>5</v>
      </c>
      <c r="M55" s="6">
        <v>9</v>
      </c>
      <c r="N55" s="6">
        <v>8</v>
      </c>
      <c r="O55" s="6">
        <v>22</v>
      </c>
      <c r="P55" s="6">
        <v>37</v>
      </c>
      <c r="Q55" s="6">
        <v>9</v>
      </c>
      <c r="R55" s="6">
        <v>3</v>
      </c>
      <c r="S55" s="6">
        <v>11</v>
      </c>
      <c r="T55" s="6">
        <v>4</v>
      </c>
      <c r="U55" s="6">
        <v>8</v>
      </c>
      <c r="V55" s="5">
        <f t="shared" si="38"/>
        <v>159</v>
      </c>
    </row>
    <row r="56" spans="1:22" x14ac:dyDescent="0.4">
      <c r="A56" s="7"/>
      <c r="B56" s="46">
        <v>2</v>
      </c>
      <c r="C56" s="24" t="s">
        <v>110</v>
      </c>
      <c r="D56" s="47"/>
      <c r="E56" s="6">
        <v>1</v>
      </c>
      <c r="F56" s="6">
        <v>3</v>
      </c>
      <c r="G56" s="6">
        <v>5</v>
      </c>
      <c r="H56" s="6">
        <v>1</v>
      </c>
      <c r="I56" s="6">
        <v>1</v>
      </c>
      <c r="J56" s="6">
        <v>3</v>
      </c>
      <c r="K56" s="6">
        <v>1</v>
      </c>
      <c r="L56" s="6">
        <v>3</v>
      </c>
      <c r="M56" s="6">
        <v>3</v>
      </c>
      <c r="N56" s="6">
        <v>1</v>
      </c>
      <c r="O56" s="6">
        <v>4</v>
      </c>
      <c r="P56" s="6">
        <v>1</v>
      </c>
      <c r="Q56" s="6">
        <v>3</v>
      </c>
      <c r="R56" s="6">
        <v>4</v>
      </c>
      <c r="S56" s="6">
        <v>5</v>
      </c>
      <c r="T56" s="6">
        <v>5</v>
      </c>
      <c r="U56" s="6">
        <v>3</v>
      </c>
      <c r="V56" s="5">
        <f t="shared" si="38"/>
        <v>47</v>
      </c>
    </row>
    <row r="57" spans="1:22" x14ac:dyDescent="0.4">
      <c r="A57" s="7"/>
      <c r="B57" s="46">
        <v>3</v>
      </c>
      <c r="C57" s="24" t="s">
        <v>111</v>
      </c>
      <c r="D57" s="47"/>
      <c r="E57" s="6">
        <v>2</v>
      </c>
      <c r="F57" s="6">
        <v>2</v>
      </c>
      <c r="G57" s="6">
        <v>6</v>
      </c>
      <c r="H57" s="6">
        <v>4</v>
      </c>
      <c r="I57" s="6">
        <v>1</v>
      </c>
      <c r="J57" s="6">
        <v>1</v>
      </c>
      <c r="K57" s="6">
        <v>0</v>
      </c>
      <c r="L57" s="6">
        <v>1</v>
      </c>
      <c r="M57" s="6">
        <v>2</v>
      </c>
      <c r="N57" s="6">
        <v>1</v>
      </c>
      <c r="O57" s="6">
        <v>4</v>
      </c>
      <c r="P57" s="6">
        <v>2</v>
      </c>
      <c r="Q57" s="6">
        <v>1</v>
      </c>
      <c r="R57" s="6">
        <v>1</v>
      </c>
      <c r="S57" s="6">
        <v>0</v>
      </c>
      <c r="T57" s="6">
        <v>0</v>
      </c>
      <c r="U57" s="6">
        <v>1</v>
      </c>
      <c r="V57" s="5">
        <f t="shared" si="38"/>
        <v>29</v>
      </c>
    </row>
    <row r="58" spans="1:22" x14ac:dyDescent="0.4">
      <c r="A58" s="7"/>
      <c r="B58" s="46">
        <v>4</v>
      </c>
      <c r="C58" s="24" t="s">
        <v>112</v>
      </c>
      <c r="D58" s="47"/>
      <c r="E58" s="6">
        <v>0</v>
      </c>
      <c r="F58" s="6">
        <v>1</v>
      </c>
      <c r="G58" s="6">
        <v>4</v>
      </c>
      <c r="H58" s="6">
        <v>3</v>
      </c>
      <c r="I58" s="6">
        <v>2</v>
      </c>
      <c r="J58" s="6">
        <v>3</v>
      </c>
      <c r="K58" s="6">
        <v>0</v>
      </c>
      <c r="L58" s="6">
        <v>1</v>
      </c>
      <c r="M58" s="6">
        <v>2</v>
      </c>
      <c r="N58" s="6">
        <v>2</v>
      </c>
      <c r="O58" s="6">
        <v>0</v>
      </c>
      <c r="P58" s="6">
        <v>0</v>
      </c>
      <c r="Q58" s="6">
        <v>1</v>
      </c>
      <c r="R58" s="6">
        <v>0</v>
      </c>
      <c r="S58" s="6">
        <v>1</v>
      </c>
      <c r="T58" s="6">
        <v>2</v>
      </c>
      <c r="U58" s="6">
        <v>1</v>
      </c>
      <c r="V58" s="5">
        <f t="shared" si="38"/>
        <v>23</v>
      </c>
    </row>
    <row r="59" spans="1:22" x14ac:dyDescent="0.4">
      <c r="A59" s="7"/>
      <c r="B59" s="46">
        <v>5</v>
      </c>
      <c r="C59" s="24" t="s">
        <v>113</v>
      </c>
      <c r="D59" s="47"/>
      <c r="E59" s="6">
        <v>0</v>
      </c>
      <c r="F59" s="6">
        <v>1</v>
      </c>
      <c r="G59" s="6">
        <v>2</v>
      </c>
      <c r="H59" s="6">
        <v>1</v>
      </c>
      <c r="I59" s="6">
        <v>1</v>
      </c>
      <c r="J59" s="6">
        <v>0</v>
      </c>
      <c r="K59" s="6">
        <v>1</v>
      </c>
      <c r="L59" s="6">
        <v>0</v>
      </c>
      <c r="M59" s="6">
        <v>3</v>
      </c>
      <c r="N59" s="6">
        <v>0</v>
      </c>
      <c r="O59" s="6">
        <v>0</v>
      </c>
      <c r="P59" s="6">
        <v>0</v>
      </c>
      <c r="Q59" s="6">
        <v>1</v>
      </c>
      <c r="R59" s="6">
        <v>0</v>
      </c>
      <c r="S59" s="6">
        <v>0</v>
      </c>
      <c r="T59" s="6">
        <v>0</v>
      </c>
      <c r="U59" s="6">
        <v>0</v>
      </c>
      <c r="V59" s="5">
        <f t="shared" si="38"/>
        <v>10</v>
      </c>
    </row>
    <row r="60" spans="1:22" ht="13.15" customHeight="1" x14ac:dyDescent="0.4">
      <c r="A60" s="7"/>
      <c r="B60" s="46">
        <v>6</v>
      </c>
      <c r="C60" s="24" t="s">
        <v>114</v>
      </c>
      <c r="D60" s="47"/>
      <c r="E60" s="6">
        <v>3</v>
      </c>
      <c r="F60" s="6">
        <v>3</v>
      </c>
      <c r="G60" s="6">
        <v>20</v>
      </c>
      <c r="H60" s="6">
        <v>6</v>
      </c>
      <c r="I60" s="6">
        <v>0</v>
      </c>
      <c r="J60" s="6">
        <v>0</v>
      </c>
      <c r="K60" s="6">
        <v>0</v>
      </c>
      <c r="L60" s="6">
        <v>0</v>
      </c>
      <c r="M60" s="6">
        <v>4</v>
      </c>
      <c r="N60" s="6">
        <v>2</v>
      </c>
      <c r="O60" s="6">
        <v>1</v>
      </c>
      <c r="P60" s="6">
        <v>2</v>
      </c>
      <c r="Q60" s="6">
        <v>3</v>
      </c>
      <c r="R60" s="6">
        <v>3</v>
      </c>
      <c r="S60" s="6">
        <v>1</v>
      </c>
      <c r="T60" s="6">
        <v>1</v>
      </c>
      <c r="U60" s="6">
        <v>0</v>
      </c>
      <c r="V60" s="5">
        <f t="shared" si="38"/>
        <v>49</v>
      </c>
    </row>
    <row r="61" spans="1:22" x14ac:dyDescent="0.4">
      <c r="A61" s="6" t="s">
        <v>25</v>
      </c>
      <c r="B61" s="52" t="s">
        <v>50</v>
      </c>
      <c r="C61" s="68"/>
      <c r="D61" s="51"/>
      <c r="E61" s="5">
        <f t="shared" ref="E61:V61" si="39">SUM(E54:E60)</f>
        <v>13</v>
      </c>
      <c r="F61" s="5">
        <f t="shared" si="39"/>
        <v>41</v>
      </c>
      <c r="G61" s="5">
        <f t="shared" si="39"/>
        <v>63</v>
      </c>
      <c r="H61" s="5">
        <f t="shared" si="39"/>
        <v>34</v>
      </c>
      <c r="I61" s="5">
        <f t="shared" si="39"/>
        <v>13</v>
      </c>
      <c r="J61" s="5">
        <f t="shared" si="39"/>
        <v>26</v>
      </c>
      <c r="K61" s="5">
        <f t="shared" si="39"/>
        <v>10</v>
      </c>
      <c r="L61" s="5">
        <f t="shared" si="39"/>
        <v>16</v>
      </c>
      <c r="M61" s="5">
        <f t="shared" si="39"/>
        <v>39</v>
      </c>
      <c r="N61" s="5">
        <f t="shared" si="39"/>
        <v>21</v>
      </c>
      <c r="O61" s="5">
        <f t="shared" si="39"/>
        <v>37</v>
      </c>
      <c r="P61" s="5">
        <f t="shared" si="39"/>
        <v>53</v>
      </c>
      <c r="Q61" s="5">
        <f t="shared" si="39"/>
        <v>29</v>
      </c>
      <c r="R61" s="5">
        <f t="shared" si="39"/>
        <v>16</v>
      </c>
      <c r="S61" s="5">
        <f t="shared" si="39"/>
        <v>33</v>
      </c>
      <c r="T61" s="5">
        <f t="shared" si="39"/>
        <v>35</v>
      </c>
      <c r="U61" s="5">
        <f t="shared" si="39"/>
        <v>31</v>
      </c>
      <c r="V61" s="5">
        <f t="shared" si="39"/>
        <v>510</v>
      </c>
    </row>
    <row r="62" spans="1:22" x14ac:dyDescent="0.4">
      <c r="A62" s="69"/>
      <c r="B62" s="70"/>
      <c r="C62" s="70"/>
      <c r="D62" s="70"/>
      <c r="E62" s="70"/>
    </row>
    <row r="63" spans="1:22" x14ac:dyDescent="0.4">
      <c r="A63" s="11" t="s">
        <v>47</v>
      </c>
      <c r="B63" s="17" t="s">
        <v>31</v>
      </c>
      <c r="C63" s="50" t="s">
        <v>52</v>
      </c>
      <c r="D63" s="51"/>
      <c r="E63" s="6">
        <v>14</v>
      </c>
      <c r="F63" s="6">
        <v>6</v>
      </c>
      <c r="G63" s="6">
        <v>7</v>
      </c>
      <c r="H63" s="6">
        <v>17</v>
      </c>
      <c r="I63" s="6">
        <v>24</v>
      </c>
      <c r="J63" s="6">
        <v>3</v>
      </c>
      <c r="K63" s="6">
        <v>4</v>
      </c>
      <c r="L63" s="6">
        <v>6</v>
      </c>
      <c r="M63" s="6">
        <v>7</v>
      </c>
      <c r="N63" s="6">
        <v>2</v>
      </c>
      <c r="O63" s="6">
        <v>6</v>
      </c>
      <c r="P63" s="6">
        <v>11</v>
      </c>
      <c r="Q63" s="6">
        <v>6</v>
      </c>
      <c r="R63" s="6">
        <v>1</v>
      </c>
      <c r="S63" s="6">
        <v>5</v>
      </c>
      <c r="T63" s="6">
        <v>5</v>
      </c>
      <c r="U63" s="6">
        <v>4</v>
      </c>
      <c r="V63" s="5">
        <f t="shared" ref="V63:V69" si="40">SUM(E63:U63)</f>
        <v>128</v>
      </c>
    </row>
    <row r="64" spans="1:22" x14ac:dyDescent="0.4">
      <c r="A64" s="11" t="s">
        <v>49</v>
      </c>
      <c r="B64" s="46">
        <v>1</v>
      </c>
      <c r="C64" s="24" t="s">
        <v>115</v>
      </c>
      <c r="D64" s="47"/>
      <c r="E64" s="6">
        <v>58</v>
      </c>
      <c r="F64" s="6">
        <v>6</v>
      </c>
      <c r="G64" s="6">
        <v>12</v>
      </c>
      <c r="H64" s="6">
        <v>12</v>
      </c>
      <c r="I64" s="6">
        <v>10</v>
      </c>
      <c r="J64" s="6">
        <v>6</v>
      </c>
      <c r="K64" s="6">
        <v>1</v>
      </c>
      <c r="L64" s="6">
        <v>6</v>
      </c>
      <c r="M64" s="6">
        <v>4</v>
      </c>
      <c r="N64" s="6">
        <v>2</v>
      </c>
      <c r="O64" s="6">
        <v>14</v>
      </c>
      <c r="P64" s="6">
        <v>9</v>
      </c>
      <c r="Q64" s="6">
        <v>5</v>
      </c>
      <c r="R64" s="6">
        <v>6</v>
      </c>
      <c r="S64" s="6">
        <v>4</v>
      </c>
      <c r="T64" s="6">
        <v>2</v>
      </c>
      <c r="U64" s="6">
        <v>4</v>
      </c>
      <c r="V64" s="5">
        <f t="shared" si="40"/>
        <v>161</v>
      </c>
    </row>
    <row r="65" spans="1:22" x14ac:dyDescent="0.4">
      <c r="A65" s="7"/>
      <c r="B65" s="46">
        <v>2</v>
      </c>
      <c r="C65" s="24" t="s">
        <v>116</v>
      </c>
      <c r="D65" s="47"/>
      <c r="E65" s="6">
        <v>0</v>
      </c>
      <c r="F65" s="6">
        <v>0</v>
      </c>
      <c r="G65" s="6">
        <v>3</v>
      </c>
      <c r="H65" s="6">
        <v>5</v>
      </c>
      <c r="I65" s="6">
        <v>4</v>
      </c>
      <c r="J65" s="6">
        <v>2</v>
      </c>
      <c r="K65" s="6">
        <v>2</v>
      </c>
      <c r="L65" s="6">
        <v>0</v>
      </c>
      <c r="M65" s="6">
        <v>1</v>
      </c>
      <c r="N65" s="6">
        <v>0</v>
      </c>
      <c r="O65" s="6">
        <v>2</v>
      </c>
      <c r="P65" s="6">
        <v>6</v>
      </c>
      <c r="Q65" s="6">
        <v>1</v>
      </c>
      <c r="R65" s="6">
        <v>0</v>
      </c>
      <c r="S65" s="6">
        <v>1</v>
      </c>
      <c r="T65" s="6">
        <v>0</v>
      </c>
      <c r="U65" s="6">
        <v>0</v>
      </c>
      <c r="V65" s="5">
        <f t="shared" si="40"/>
        <v>27</v>
      </c>
    </row>
    <row r="66" spans="1:22" x14ac:dyDescent="0.4">
      <c r="A66" s="7"/>
      <c r="B66" s="46">
        <v>3</v>
      </c>
      <c r="C66" s="24" t="s">
        <v>117</v>
      </c>
      <c r="D66" s="47"/>
      <c r="E66" s="6">
        <v>0</v>
      </c>
      <c r="F66" s="6">
        <v>1</v>
      </c>
      <c r="G66" s="6">
        <v>0</v>
      </c>
      <c r="H66" s="6">
        <v>4</v>
      </c>
      <c r="I66" s="6">
        <v>4</v>
      </c>
      <c r="J66" s="6">
        <v>3</v>
      </c>
      <c r="K66" s="6">
        <v>5</v>
      </c>
      <c r="L66" s="6">
        <v>0</v>
      </c>
      <c r="M66" s="6">
        <v>1</v>
      </c>
      <c r="N66" s="6">
        <v>4</v>
      </c>
      <c r="O66" s="6">
        <v>1</v>
      </c>
      <c r="P66" s="6">
        <v>2</v>
      </c>
      <c r="Q66" s="6">
        <v>0</v>
      </c>
      <c r="R66" s="6">
        <v>0</v>
      </c>
      <c r="S66" s="6">
        <v>0</v>
      </c>
      <c r="T66" s="6">
        <v>1</v>
      </c>
      <c r="U66" s="6">
        <v>4</v>
      </c>
      <c r="V66" s="5">
        <f t="shared" si="40"/>
        <v>30</v>
      </c>
    </row>
    <row r="67" spans="1:22" x14ac:dyDescent="0.4">
      <c r="A67" s="7"/>
      <c r="B67" s="46">
        <v>4</v>
      </c>
      <c r="C67" s="24" t="s">
        <v>118</v>
      </c>
      <c r="D67" s="47"/>
      <c r="E67" s="6">
        <v>5</v>
      </c>
      <c r="F67" s="6">
        <v>1</v>
      </c>
      <c r="G67" s="6">
        <v>0</v>
      </c>
      <c r="H67" s="6">
        <v>0</v>
      </c>
      <c r="I67" s="6">
        <v>2</v>
      </c>
      <c r="J67" s="6">
        <v>0</v>
      </c>
      <c r="K67" s="6">
        <v>0</v>
      </c>
      <c r="L67" s="6">
        <v>0</v>
      </c>
      <c r="M67" s="6">
        <v>1</v>
      </c>
      <c r="N67" s="6">
        <v>0</v>
      </c>
      <c r="O67" s="6">
        <v>2</v>
      </c>
      <c r="P67" s="6">
        <v>2</v>
      </c>
      <c r="Q67" s="6">
        <v>2</v>
      </c>
      <c r="R67" s="6">
        <v>0</v>
      </c>
      <c r="S67" s="6">
        <v>0</v>
      </c>
      <c r="T67" s="6">
        <v>0</v>
      </c>
      <c r="U67" s="6">
        <v>1</v>
      </c>
      <c r="V67" s="5">
        <f t="shared" si="40"/>
        <v>16</v>
      </c>
    </row>
    <row r="68" spans="1:22" ht="13.15" customHeight="1" x14ac:dyDescent="0.4">
      <c r="A68" s="7"/>
      <c r="B68" s="46">
        <v>5</v>
      </c>
      <c r="C68" s="24" t="s">
        <v>119</v>
      </c>
      <c r="D68" s="47"/>
      <c r="E68" s="6">
        <v>2</v>
      </c>
      <c r="F68" s="6">
        <v>2</v>
      </c>
      <c r="G68" s="6">
        <v>14</v>
      </c>
      <c r="H68" s="6">
        <v>23</v>
      </c>
      <c r="I68" s="6">
        <v>23</v>
      </c>
      <c r="J68" s="6">
        <v>10</v>
      </c>
      <c r="K68" s="6">
        <v>4</v>
      </c>
      <c r="L68" s="6">
        <v>7</v>
      </c>
      <c r="M68" s="6">
        <v>1</v>
      </c>
      <c r="N68" s="6">
        <v>2</v>
      </c>
      <c r="O68" s="6">
        <v>2</v>
      </c>
      <c r="P68" s="6">
        <v>0</v>
      </c>
      <c r="Q68" s="6">
        <v>1</v>
      </c>
      <c r="R68" s="6">
        <v>2</v>
      </c>
      <c r="S68" s="6">
        <v>7</v>
      </c>
      <c r="T68" s="6">
        <v>5</v>
      </c>
      <c r="U68" s="6">
        <v>3</v>
      </c>
      <c r="V68" s="5">
        <f t="shared" si="40"/>
        <v>108</v>
      </c>
    </row>
    <row r="69" spans="1:22" x14ac:dyDescent="0.4">
      <c r="A69" s="7"/>
      <c r="B69" s="46">
        <v>6</v>
      </c>
      <c r="C69" s="24" t="s">
        <v>120</v>
      </c>
      <c r="D69" s="47"/>
      <c r="E69" s="6">
        <v>0</v>
      </c>
      <c r="F69" s="6">
        <v>3</v>
      </c>
      <c r="G69" s="6">
        <v>0</v>
      </c>
      <c r="H69" s="6">
        <v>1</v>
      </c>
      <c r="I69" s="6">
        <v>5</v>
      </c>
      <c r="J69" s="6">
        <v>1</v>
      </c>
      <c r="K69" s="6">
        <v>0</v>
      </c>
      <c r="L69" s="6">
        <v>0</v>
      </c>
      <c r="M69" s="6">
        <v>0</v>
      </c>
      <c r="N69" s="6">
        <v>0</v>
      </c>
      <c r="O69" s="6">
        <v>1</v>
      </c>
      <c r="P69" s="6">
        <v>2</v>
      </c>
      <c r="Q69" s="6">
        <v>1</v>
      </c>
      <c r="R69" s="6">
        <v>0</v>
      </c>
      <c r="S69" s="6">
        <v>0</v>
      </c>
      <c r="T69" s="6">
        <v>0</v>
      </c>
      <c r="U69" s="6">
        <v>1</v>
      </c>
      <c r="V69" s="5">
        <f t="shared" si="40"/>
        <v>15</v>
      </c>
    </row>
    <row r="70" spans="1:22" x14ac:dyDescent="0.4">
      <c r="A70" s="6" t="s">
        <v>25</v>
      </c>
      <c r="B70" s="52" t="s">
        <v>50</v>
      </c>
      <c r="C70" s="68"/>
      <c r="D70" s="51"/>
      <c r="E70" s="5">
        <f t="shared" ref="E70:V70" si="41">SUM(E63:E69)</f>
        <v>79</v>
      </c>
      <c r="F70" s="5">
        <f t="shared" si="41"/>
        <v>19</v>
      </c>
      <c r="G70" s="5">
        <f t="shared" si="41"/>
        <v>36</v>
      </c>
      <c r="H70" s="5">
        <f t="shared" si="41"/>
        <v>62</v>
      </c>
      <c r="I70" s="5">
        <f t="shared" si="41"/>
        <v>72</v>
      </c>
      <c r="J70" s="5">
        <f t="shared" si="41"/>
        <v>25</v>
      </c>
      <c r="K70" s="5">
        <f t="shared" si="41"/>
        <v>16</v>
      </c>
      <c r="L70" s="5">
        <f t="shared" si="41"/>
        <v>19</v>
      </c>
      <c r="M70" s="5">
        <f t="shared" si="41"/>
        <v>15</v>
      </c>
      <c r="N70" s="5">
        <f t="shared" si="41"/>
        <v>10</v>
      </c>
      <c r="O70" s="5">
        <f t="shared" si="41"/>
        <v>28</v>
      </c>
      <c r="P70" s="5">
        <f t="shared" si="41"/>
        <v>32</v>
      </c>
      <c r="Q70" s="5">
        <f t="shared" si="41"/>
        <v>16</v>
      </c>
      <c r="R70" s="5">
        <f t="shared" si="41"/>
        <v>9</v>
      </c>
      <c r="S70" s="5">
        <f t="shared" si="41"/>
        <v>17</v>
      </c>
      <c r="T70" s="5">
        <f t="shared" si="41"/>
        <v>13</v>
      </c>
      <c r="U70" s="5">
        <f t="shared" si="41"/>
        <v>17</v>
      </c>
      <c r="V70" s="5">
        <f t="shared" si="41"/>
        <v>485</v>
      </c>
    </row>
    <row r="71" spans="1:22" x14ac:dyDescent="0.4">
      <c r="A71" s="69"/>
      <c r="B71" s="70"/>
      <c r="C71" s="70"/>
      <c r="D71" s="70"/>
      <c r="E71" s="70"/>
    </row>
    <row r="72" spans="1:22" x14ac:dyDescent="0.4">
      <c r="A72" s="11" t="s">
        <v>47</v>
      </c>
      <c r="B72" s="17" t="s">
        <v>33</v>
      </c>
      <c r="C72" s="50" t="s">
        <v>53</v>
      </c>
      <c r="D72" s="51"/>
      <c r="E72" s="6">
        <v>3</v>
      </c>
      <c r="F72" s="6">
        <v>3</v>
      </c>
      <c r="G72" s="6">
        <v>4</v>
      </c>
      <c r="H72" s="6">
        <v>5</v>
      </c>
      <c r="I72" s="6">
        <v>1</v>
      </c>
      <c r="J72" s="6">
        <v>2</v>
      </c>
      <c r="K72" s="6">
        <v>2</v>
      </c>
      <c r="L72" s="6">
        <v>4</v>
      </c>
      <c r="M72" s="6">
        <v>4</v>
      </c>
      <c r="N72" s="6">
        <v>2</v>
      </c>
      <c r="O72" s="6">
        <v>8</v>
      </c>
      <c r="P72" s="6">
        <v>1</v>
      </c>
      <c r="Q72" s="6">
        <v>5</v>
      </c>
      <c r="R72" s="6">
        <v>5</v>
      </c>
      <c r="S72" s="6">
        <v>12</v>
      </c>
      <c r="T72" s="6">
        <v>11</v>
      </c>
      <c r="U72" s="6">
        <v>8</v>
      </c>
      <c r="V72" s="5">
        <f t="shared" ref="V72:V78" si="42">SUM(E72:U72)</f>
        <v>80</v>
      </c>
    </row>
    <row r="73" spans="1:22" x14ac:dyDescent="0.4">
      <c r="A73" s="11" t="s">
        <v>49</v>
      </c>
      <c r="B73" s="46">
        <v>1</v>
      </c>
      <c r="C73" s="24" t="s">
        <v>121</v>
      </c>
      <c r="D73" s="47"/>
      <c r="E73" s="6">
        <v>3</v>
      </c>
      <c r="F73" s="6">
        <v>6</v>
      </c>
      <c r="G73" s="6">
        <v>4</v>
      </c>
      <c r="H73" s="6">
        <v>10</v>
      </c>
      <c r="I73" s="6">
        <v>6</v>
      </c>
      <c r="J73" s="6">
        <v>12</v>
      </c>
      <c r="K73" s="6">
        <v>2</v>
      </c>
      <c r="L73" s="6">
        <v>16</v>
      </c>
      <c r="M73" s="6">
        <v>13</v>
      </c>
      <c r="N73" s="6">
        <v>10</v>
      </c>
      <c r="O73" s="6">
        <v>7</v>
      </c>
      <c r="P73" s="6">
        <v>17</v>
      </c>
      <c r="Q73" s="6">
        <v>40</v>
      </c>
      <c r="R73" s="6">
        <v>53</v>
      </c>
      <c r="S73" s="6">
        <v>13</v>
      </c>
      <c r="T73" s="6">
        <v>21</v>
      </c>
      <c r="U73" s="6">
        <v>6</v>
      </c>
      <c r="V73" s="5">
        <f t="shared" si="42"/>
        <v>239</v>
      </c>
    </row>
    <row r="74" spans="1:22" x14ac:dyDescent="0.4">
      <c r="A74" s="7"/>
      <c r="B74" s="46">
        <v>2</v>
      </c>
      <c r="C74" s="24" t="s">
        <v>122</v>
      </c>
      <c r="D74" s="47"/>
      <c r="E74" s="6">
        <v>11</v>
      </c>
      <c r="F74" s="6">
        <v>7</v>
      </c>
      <c r="G74" s="6">
        <v>10</v>
      </c>
      <c r="H74" s="6">
        <v>11</v>
      </c>
      <c r="I74" s="6">
        <v>21</v>
      </c>
      <c r="J74" s="6">
        <v>24</v>
      </c>
      <c r="K74" s="6">
        <v>2</v>
      </c>
      <c r="L74" s="6">
        <v>7</v>
      </c>
      <c r="M74" s="6">
        <v>1</v>
      </c>
      <c r="N74" s="6">
        <v>26</v>
      </c>
      <c r="O74" s="6">
        <v>31</v>
      </c>
      <c r="P74" s="6">
        <v>14</v>
      </c>
      <c r="Q74" s="6">
        <v>8</v>
      </c>
      <c r="R74" s="6">
        <v>8</v>
      </c>
      <c r="S74" s="6">
        <v>38</v>
      </c>
      <c r="T74" s="6">
        <v>41</v>
      </c>
      <c r="U74" s="6">
        <v>52</v>
      </c>
      <c r="V74" s="5">
        <f t="shared" si="42"/>
        <v>312</v>
      </c>
    </row>
    <row r="75" spans="1:22" x14ac:dyDescent="0.4">
      <c r="A75" s="7"/>
      <c r="B75" s="46">
        <v>3</v>
      </c>
      <c r="C75" s="24" t="s">
        <v>123</v>
      </c>
      <c r="D75" s="47"/>
      <c r="E75" s="6">
        <v>0</v>
      </c>
      <c r="F75" s="6">
        <v>2</v>
      </c>
      <c r="G75" s="6">
        <v>0</v>
      </c>
      <c r="H75" s="6">
        <v>0</v>
      </c>
      <c r="I75" s="6">
        <v>0</v>
      </c>
      <c r="J75" s="6">
        <v>0</v>
      </c>
      <c r="K75" s="6">
        <v>1</v>
      </c>
      <c r="L75" s="6">
        <v>1</v>
      </c>
      <c r="M75" s="6">
        <v>0</v>
      </c>
      <c r="N75" s="6">
        <v>0</v>
      </c>
      <c r="O75" s="6">
        <v>1</v>
      </c>
      <c r="P75" s="6">
        <v>2</v>
      </c>
      <c r="Q75" s="6">
        <v>1</v>
      </c>
      <c r="R75" s="6">
        <v>1</v>
      </c>
      <c r="S75" s="6">
        <v>2</v>
      </c>
      <c r="T75" s="6">
        <v>0</v>
      </c>
      <c r="U75" s="6">
        <v>1</v>
      </c>
      <c r="V75" s="5">
        <f t="shared" si="42"/>
        <v>12</v>
      </c>
    </row>
    <row r="76" spans="1:22" ht="13.15" customHeight="1" x14ac:dyDescent="0.4">
      <c r="A76" s="7"/>
      <c r="B76" s="46">
        <v>4</v>
      </c>
      <c r="C76" s="24" t="s">
        <v>124</v>
      </c>
      <c r="D76" s="47"/>
      <c r="E76" s="6">
        <v>0</v>
      </c>
      <c r="F76" s="6">
        <v>1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1</v>
      </c>
      <c r="O76" s="6">
        <v>0</v>
      </c>
      <c r="P76" s="6">
        <v>0</v>
      </c>
      <c r="Q76" s="6">
        <v>0</v>
      </c>
      <c r="R76" s="6">
        <v>1</v>
      </c>
      <c r="S76" s="6">
        <v>0</v>
      </c>
      <c r="T76" s="6">
        <v>0</v>
      </c>
      <c r="U76" s="6">
        <v>1</v>
      </c>
      <c r="V76" s="5">
        <f t="shared" si="42"/>
        <v>4</v>
      </c>
    </row>
    <row r="77" spans="1:22" x14ac:dyDescent="0.4">
      <c r="A77" s="7"/>
      <c r="B77" s="46">
        <v>5</v>
      </c>
      <c r="C77" s="24" t="s">
        <v>125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5">
        <f t="shared" si="42"/>
        <v>0</v>
      </c>
    </row>
    <row r="78" spans="1:22" x14ac:dyDescent="0.4">
      <c r="A78" s="7"/>
      <c r="B78" s="46">
        <v>6</v>
      </c>
      <c r="C78" s="24" t="s">
        <v>126</v>
      </c>
      <c r="D78" s="47"/>
      <c r="E78" s="6">
        <v>0</v>
      </c>
      <c r="F78" s="6">
        <v>0</v>
      </c>
      <c r="G78" s="6">
        <v>0</v>
      </c>
      <c r="H78" s="6">
        <v>1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5">
        <f t="shared" si="42"/>
        <v>1</v>
      </c>
    </row>
    <row r="79" spans="1:22" x14ac:dyDescent="0.4">
      <c r="A79" s="6" t="s">
        <v>25</v>
      </c>
      <c r="B79" s="52" t="s">
        <v>50</v>
      </c>
      <c r="C79" s="68"/>
      <c r="D79" s="51"/>
      <c r="E79" s="5">
        <f t="shared" ref="E79:V79" si="43">SUM(E72:E78)</f>
        <v>17</v>
      </c>
      <c r="F79" s="5">
        <f t="shared" si="43"/>
        <v>19</v>
      </c>
      <c r="G79" s="5">
        <f t="shared" si="43"/>
        <v>18</v>
      </c>
      <c r="H79" s="5">
        <f t="shared" si="43"/>
        <v>27</v>
      </c>
      <c r="I79" s="5">
        <f t="shared" si="43"/>
        <v>28</v>
      </c>
      <c r="J79" s="5">
        <f t="shared" si="43"/>
        <v>38</v>
      </c>
      <c r="K79" s="5">
        <f t="shared" si="43"/>
        <v>7</v>
      </c>
      <c r="L79" s="5">
        <f t="shared" si="43"/>
        <v>28</v>
      </c>
      <c r="M79" s="5">
        <f t="shared" si="43"/>
        <v>18</v>
      </c>
      <c r="N79" s="5">
        <f t="shared" si="43"/>
        <v>39</v>
      </c>
      <c r="O79" s="5">
        <f t="shared" si="43"/>
        <v>47</v>
      </c>
      <c r="P79" s="5">
        <f t="shared" si="43"/>
        <v>34</v>
      </c>
      <c r="Q79" s="5">
        <f t="shared" si="43"/>
        <v>54</v>
      </c>
      <c r="R79" s="5">
        <f t="shared" si="43"/>
        <v>68</v>
      </c>
      <c r="S79" s="5">
        <f t="shared" si="43"/>
        <v>65</v>
      </c>
      <c r="T79" s="5">
        <f t="shared" si="43"/>
        <v>73</v>
      </c>
      <c r="U79" s="5">
        <f t="shared" si="43"/>
        <v>68</v>
      </c>
      <c r="V79" s="5">
        <f t="shared" si="43"/>
        <v>648</v>
      </c>
    </row>
    <row r="80" spans="1:22" x14ac:dyDescent="0.4">
      <c r="A80" s="69"/>
      <c r="B80" s="70"/>
      <c r="C80" s="70"/>
      <c r="D80" s="70"/>
      <c r="E80" s="70"/>
    </row>
    <row r="81" spans="1:22" x14ac:dyDescent="0.4">
      <c r="A81" s="11" t="s">
        <v>47</v>
      </c>
      <c r="B81" s="17" t="s">
        <v>54</v>
      </c>
      <c r="C81" s="50" t="s">
        <v>55</v>
      </c>
      <c r="D81" s="51"/>
      <c r="E81" s="6">
        <v>3</v>
      </c>
      <c r="F81" s="6">
        <v>5</v>
      </c>
      <c r="G81" s="6">
        <v>1</v>
      </c>
      <c r="H81" s="6">
        <v>2</v>
      </c>
      <c r="I81" s="6">
        <v>1</v>
      </c>
      <c r="J81" s="6">
        <v>1</v>
      </c>
      <c r="K81" s="6">
        <v>1</v>
      </c>
      <c r="L81" s="6">
        <v>1</v>
      </c>
      <c r="M81" s="6">
        <v>6</v>
      </c>
      <c r="N81" s="6">
        <v>0</v>
      </c>
      <c r="O81" s="6">
        <v>4</v>
      </c>
      <c r="P81" s="6">
        <v>4</v>
      </c>
      <c r="Q81" s="6">
        <v>1</v>
      </c>
      <c r="R81" s="6">
        <v>0</v>
      </c>
      <c r="S81" s="6">
        <v>1</v>
      </c>
      <c r="T81" s="6">
        <v>4</v>
      </c>
      <c r="U81" s="6">
        <v>1</v>
      </c>
      <c r="V81" s="5">
        <f t="shared" ref="V81:V87" si="44">SUM(E81:U81)</f>
        <v>36</v>
      </c>
    </row>
    <row r="82" spans="1:22" x14ac:dyDescent="0.4">
      <c r="A82" s="11" t="s">
        <v>49</v>
      </c>
      <c r="B82" s="46">
        <v>1</v>
      </c>
      <c r="C82" s="24" t="s">
        <v>127</v>
      </c>
      <c r="D82" s="47"/>
      <c r="E82" s="6">
        <v>2</v>
      </c>
      <c r="F82" s="6">
        <v>0</v>
      </c>
      <c r="G82" s="6">
        <v>3</v>
      </c>
      <c r="H82" s="6">
        <v>0</v>
      </c>
      <c r="I82" s="6">
        <v>4</v>
      </c>
      <c r="J82" s="6">
        <v>1</v>
      </c>
      <c r="K82" s="6">
        <v>2</v>
      </c>
      <c r="L82" s="6">
        <v>8</v>
      </c>
      <c r="M82" s="6">
        <v>7</v>
      </c>
      <c r="N82" s="6">
        <v>1</v>
      </c>
      <c r="O82" s="6">
        <v>0</v>
      </c>
      <c r="P82" s="6">
        <v>3</v>
      </c>
      <c r="Q82" s="6">
        <v>0</v>
      </c>
      <c r="R82" s="6">
        <v>2</v>
      </c>
      <c r="S82" s="6">
        <v>0</v>
      </c>
      <c r="T82" s="6">
        <v>4</v>
      </c>
      <c r="U82" s="6">
        <v>0</v>
      </c>
      <c r="V82" s="5">
        <f t="shared" si="44"/>
        <v>37</v>
      </c>
    </row>
    <row r="83" spans="1:22" x14ac:dyDescent="0.4">
      <c r="A83" s="7"/>
      <c r="B83" s="46">
        <v>2</v>
      </c>
      <c r="C83" s="24" t="s">
        <v>128</v>
      </c>
      <c r="D83" s="47"/>
      <c r="E83" s="6">
        <v>0</v>
      </c>
      <c r="F83" s="6">
        <v>2</v>
      </c>
      <c r="G83" s="6">
        <v>0</v>
      </c>
      <c r="H83" s="6">
        <v>1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2</v>
      </c>
      <c r="P83" s="6">
        <v>3</v>
      </c>
      <c r="Q83" s="6">
        <v>0</v>
      </c>
      <c r="R83" s="6">
        <v>0</v>
      </c>
      <c r="S83" s="6">
        <v>0</v>
      </c>
      <c r="T83" s="6">
        <v>0</v>
      </c>
      <c r="U83" s="6">
        <v>1</v>
      </c>
      <c r="V83" s="5">
        <f t="shared" si="44"/>
        <v>9</v>
      </c>
    </row>
    <row r="84" spans="1:22" ht="13.15" customHeight="1" x14ac:dyDescent="0.4">
      <c r="A84" s="7"/>
      <c r="B84" s="46">
        <v>3</v>
      </c>
      <c r="C84" s="24" t="s">
        <v>129</v>
      </c>
      <c r="D84" s="47"/>
      <c r="E84" s="6">
        <v>1</v>
      </c>
      <c r="F84" s="6">
        <v>0</v>
      </c>
      <c r="G84" s="6">
        <v>0</v>
      </c>
      <c r="H84" s="6">
        <v>2</v>
      </c>
      <c r="I84" s="6">
        <v>4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1</v>
      </c>
      <c r="P84" s="6">
        <v>4</v>
      </c>
      <c r="Q84" s="6">
        <v>0</v>
      </c>
      <c r="R84" s="6">
        <v>0</v>
      </c>
      <c r="S84" s="6">
        <v>1</v>
      </c>
      <c r="T84" s="6">
        <v>0</v>
      </c>
      <c r="U84" s="6">
        <v>0</v>
      </c>
      <c r="V84" s="5">
        <f t="shared" si="44"/>
        <v>13</v>
      </c>
    </row>
    <row r="85" spans="1:22" x14ac:dyDescent="0.4">
      <c r="A85" s="7"/>
      <c r="B85" s="46">
        <v>4</v>
      </c>
      <c r="C85" s="24" t="s">
        <v>130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5">
        <f t="shared" si="44"/>
        <v>0</v>
      </c>
    </row>
    <row r="86" spans="1:22" x14ac:dyDescent="0.4">
      <c r="A86" s="7"/>
      <c r="B86" s="46">
        <v>5</v>
      </c>
      <c r="C86" s="24" t="s">
        <v>131</v>
      </c>
      <c r="D86" s="47"/>
      <c r="E86" s="6">
        <v>0</v>
      </c>
      <c r="F86" s="6">
        <v>6</v>
      </c>
      <c r="G86" s="6">
        <v>7</v>
      </c>
      <c r="H86" s="6">
        <v>6</v>
      </c>
      <c r="I86" s="6">
        <v>0</v>
      </c>
      <c r="J86" s="6">
        <v>3</v>
      </c>
      <c r="K86" s="6">
        <v>0</v>
      </c>
      <c r="L86" s="6">
        <v>1</v>
      </c>
      <c r="M86" s="6">
        <v>2</v>
      </c>
      <c r="N86" s="6">
        <v>0</v>
      </c>
      <c r="O86" s="6">
        <v>8</v>
      </c>
      <c r="P86" s="6">
        <v>4</v>
      </c>
      <c r="Q86" s="6">
        <v>5</v>
      </c>
      <c r="R86" s="6">
        <v>0</v>
      </c>
      <c r="S86" s="6">
        <v>0</v>
      </c>
      <c r="T86" s="6">
        <v>0</v>
      </c>
      <c r="U86" s="6">
        <v>0</v>
      </c>
      <c r="V86" s="5">
        <f t="shared" si="44"/>
        <v>42</v>
      </c>
    </row>
    <row r="87" spans="1:22" x14ac:dyDescent="0.4">
      <c r="A87" s="7"/>
      <c r="B87" s="46">
        <v>6</v>
      </c>
      <c r="C87" s="24" t="s">
        <v>132</v>
      </c>
      <c r="D87" s="47"/>
      <c r="E87" s="6">
        <v>2</v>
      </c>
      <c r="F87" s="6">
        <v>3</v>
      </c>
      <c r="G87" s="6">
        <v>5</v>
      </c>
      <c r="H87" s="6">
        <v>2</v>
      </c>
      <c r="I87" s="6">
        <v>3</v>
      </c>
      <c r="J87" s="6">
        <v>1</v>
      </c>
      <c r="K87" s="6">
        <v>6</v>
      </c>
      <c r="L87" s="6">
        <v>0</v>
      </c>
      <c r="M87" s="6">
        <v>0</v>
      </c>
      <c r="N87" s="6">
        <v>0</v>
      </c>
      <c r="O87" s="6">
        <v>4</v>
      </c>
      <c r="P87" s="6">
        <v>2</v>
      </c>
      <c r="Q87" s="6">
        <v>0</v>
      </c>
      <c r="R87" s="6">
        <v>4</v>
      </c>
      <c r="S87" s="6">
        <v>2</v>
      </c>
      <c r="T87" s="6">
        <v>2</v>
      </c>
      <c r="U87" s="6">
        <v>1</v>
      </c>
      <c r="V87" s="5">
        <f t="shared" si="44"/>
        <v>37</v>
      </c>
    </row>
    <row r="88" spans="1:22" x14ac:dyDescent="0.4">
      <c r="A88" s="6" t="s">
        <v>25</v>
      </c>
      <c r="B88" s="52" t="s">
        <v>50</v>
      </c>
      <c r="C88" s="68"/>
      <c r="D88" s="51"/>
      <c r="E88" s="5">
        <f t="shared" ref="E88:V88" si="45">SUM(E81:E87)</f>
        <v>8</v>
      </c>
      <c r="F88" s="5">
        <f t="shared" si="45"/>
        <v>16</v>
      </c>
      <c r="G88" s="5">
        <f t="shared" si="45"/>
        <v>16</v>
      </c>
      <c r="H88" s="5">
        <f t="shared" si="45"/>
        <v>13</v>
      </c>
      <c r="I88" s="5">
        <f t="shared" si="45"/>
        <v>12</v>
      </c>
      <c r="J88" s="5">
        <f t="shared" si="45"/>
        <v>6</v>
      </c>
      <c r="K88" s="5">
        <f t="shared" si="45"/>
        <v>9</v>
      </c>
      <c r="L88" s="5">
        <f t="shared" si="45"/>
        <v>10</v>
      </c>
      <c r="M88" s="5">
        <f t="shared" si="45"/>
        <v>15</v>
      </c>
      <c r="N88" s="5">
        <f t="shared" si="45"/>
        <v>1</v>
      </c>
      <c r="O88" s="5">
        <f t="shared" si="45"/>
        <v>19</v>
      </c>
      <c r="P88" s="5">
        <f t="shared" si="45"/>
        <v>20</v>
      </c>
      <c r="Q88" s="5">
        <f t="shared" si="45"/>
        <v>6</v>
      </c>
      <c r="R88" s="5">
        <f t="shared" si="45"/>
        <v>6</v>
      </c>
      <c r="S88" s="5">
        <f t="shared" si="45"/>
        <v>4</v>
      </c>
      <c r="T88" s="5">
        <f t="shared" si="45"/>
        <v>10</v>
      </c>
      <c r="U88" s="5">
        <f t="shared" si="45"/>
        <v>3</v>
      </c>
      <c r="V88" s="5">
        <f t="shared" si="45"/>
        <v>174</v>
      </c>
    </row>
    <row r="89" spans="1:22" x14ac:dyDescent="0.4">
      <c r="A89" s="69"/>
      <c r="B89" s="70"/>
      <c r="C89" s="70"/>
      <c r="D89" s="70"/>
      <c r="E89" s="70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 spans="1:22" x14ac:dyDescent="0.4">
      <c r="A90" s="11" t="s">
        <v>47</v>
      </c>
      <c r="B90" s="17" t="s">
        <v>56</v>
      </c>
      <c r="C90" s="50" t="s">
        <v>57</v>
      </c>
      <c r="D90" s="51"/>
      <c r="E90" s="6">
        <v>0</v>
      </c>
      <c r="F90" s="6">
        <v>2</v>
      </c>
      <c r="G90" s="6">
        <v>0</v>
      </c>
      <c r="H90" s="6">
        <v>0</v>
      </c>
      <c r="I90" s="6">
        <v>0</v>
      </c>
      <c r="J90" s="6">
        <v>0</v>
      </c>
      <c r="K90" s="6">
        <v>1</v>
      </c>
      <c r="L90" s="6">
        <v>0</v>
      </c>
      <c r="M90" s="6">
        <v>0</v>
      </c>
      <c r="N90" s="6">
        <v>1</v>
      </c>
      <c r="O90" s="6">
        <v>0</v>
      </c>
      <c r="P90" s="6">
        <v>0</v>
      </c>
      <c r="Q90" s="6">
        <v>1</v>
      </c>
      <c r="R90" s="6">
        <v>0</v>
      </c>
      <c r="S90" s="6">
        <v>0</v>
      </c>
      <c r="T90" s="6">
        <v>1</v>
      </c>
      <c r="U90" s="6">
        <v>0</v>
      </c>
      <c r="V90" s="5">
        <f t="shared" ref="V90" si="46">SUM(E90:U90)</f>
        <v>6</v>
      </c>
    </row>
    <row r="91" spans="1:22" ht="13.15" customHeight="1" x14ac:dyDescent="0.4">
      <c r="A91" s="6" t="s">
        <v>25</v>
      </c>
      <c r="B91" s="52" t="s">
        <v>50</v>
      </c>
      <c r="C91" s="53"/>
      <c r="D91" s="54"/>
      <c r="E91" s="5">
        <f t="shared" ref="E91:V91" si="47">SUM(E90:E90)</f>
        <v>0</v>
      </c>
      <c r="F91" s="5">
        <f t="shared" si="47"/>
        <v>2</v>
      </c>
      <c r="G91" s="5">
        <f t="shared" si="47"/>
        <v>0</v>
      </c>
      <c r="H91" s="5">
        <f t="shared" si="47"/>
        <v>0</v>
      </c>
      <c r="I91" s="5">
        <f t="shared" si="47"/>
        <v>0</v>
      </c>
      <c r="J91" s="5">
        <f t="shared" si="47"/>
        <v>0</v>
      </c>
      <c r="K91" s="5">
        <f t="shared" si="47"/>
        <v>1</v>
      </c>
      <c r="L91" s="5">
        <f t="shared" si="47"/>
        <v>0</v>
      </c>
      <c r="M91" s="5">
        <f t="shared" si="47"/>
        <v>0</v>
      </c>
      <c r="N91" s="5">
        <f t="shared" si="47"/>
        <v>1</v>
      </c>
      <c r="O91" s="5">
        <f t="shared" si="47"/>
        <v>0</v>
      </c>
      <c r="P91" s="5">
        <f t="shared" si="47"/>
        <v>0</v>
      </c>
      <c r="Q91" s="5">
        <f t="shared" si="47"/>
        <v>1</v>
      </c>
      <c r="R91" s="5">
        <f t="shared" si="47"/>
        <v>0</v>
      </c>
      <c r="S91" s="5">
        <f t="shared" si="47"/>
        <v>0</v>
      </c>
      <c r="T91" s="5">
        <f t="shared" si="47"/>
        <v>1</v>
      </c>
      <c r="U91" s="5">
        <f t="shared" si="47"/>
        <v>0</v>
      </c>
      <c r="V91" s="5">
        <f t="shared" si="47"/>
        <v>6</v>
      </c>
    </row>
    <row r="92" spans="1:22" x14ac:dyDescent="0.4">
      <c r="A92" s="55"/>
      <c r="B92" s="56"/>
      <c r="C92" s="56"/>
      <c r="D92" s="56"/>
      <c r="E92" s="5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5"/>
    </row>
    <row r="93" spans="1:22" x14ac:dyDescent="0.4">
      <c r="A93" s="11" t="s">
        <v>47</v>
      </c>
      <c r="B93" s="17" t="s">
        <v>58</v>
      </c>
      <c r="C93" s="50" t="s">
        <v>59</v>
      </c>
      <c r="D93" s="51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3</v>
      </c>
      <c r="M93" s="6">
        <v>0</v>
      </c>
      <c r="N93" s="6">
        <v>0</v>
      </c>
      <c r="O93" s="6">
        <v>0</v>
      </c>
      <c r="P93" s="6">
        <v>0</v>
      </c>
      <c r="Q93" s="6">
        <v>1</v>
      </c>
      <c r="R93" s="6">
        <v>0</v>
      </c>
      <c r="S93" s="6">
        <v>0</v>
      </c>
      <c r="T93" s="6">
        <v>2</v>
      </c>
      <c r="U93" s="6">
        <v>0</v>
      </c>
      <c r="V93" s="5">
        <f t="shared" ref="V93:V97" si="48">SUM(E93:U93)</f>
        <v>6</v>
      </c>
    </row>
    <row r="94" spans="1:22" x14ac:dyDescent="0.4">
      <c r="A94" s="11" t="s">
        <v>49</v>
      </c>
      <c r="B94" s="46">
        <v>1</v>
      </c>
      <c r="C94" s="24" t="s">
        <v>133</v>
      </c>
      <c r="D94" s="47"/>
      <c r="E94" s="6">
        <v>1</v>
      </c>
      <c r="F94" s="6">
        <v>0</v>
      </c>
      <c r="G94" s="6">
        <v>1</v>
      </c>
      <c r="H94" s="6">
        <v>2</v>
      </c>
      <c r="I94" s="6">
        <v>1</v>
      </c>
      <c r="J94" s="6">
        <v>0</v>
      </c>
      <c r="K94" s="6">
        <v>0</v>
      </c>
      <c r="L94" s="6">
        <v>0</v>
      </c>
      <c r="M94" s="6">
        <v>0</v>
      </c>
      <c r="N94" s="6">
        <v>2</v>
      </c>
      <c r="O94" s="6">
        <v>0</v>
      </c>
      <c r="P94" s="6">
        <v>1</v>
      </c>
      <c r="Q94" s="6">
        <v>0</v>
      </c>
      <c r="R94" s="6">
        <v>1</v>
      </c>
      <c r="S94" s="6">
        <v>0</v>
      </c>
      <c r="T94" s="6">
        <v>1</v>
      </c>
      <c r="U94" s="6">
        <v>0</v>
      </c>
      <c r="V94" s="5">
        <f t="shared" si="48"/>
        <v>10</v>
      </c>
    </row>
    <row r="95" spans="1:22" x14ac:dyDescent="0.4">
      <c r="A95" s="7"/>
      <c r="B95" s="46">
        <v>2</v>
      </c>
      <c r="C95" s="24" t="s">
        <v>134</v>
      </c>
      <c r="D95" s="47"/>
      <c r="E95" s="6">
        <v>0</v>
      </c>
      <c r="F95" s="6">
        <v>0</v>
      </c>
      <c r="G95" s="6">
        <v>0</v>
      </c>
      <c r="H95" s="6">
        <v>1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1</v>
      </c>
      <c r="R95" s="6">
        <v>0</v>
      </c>
      <c r="S95" s="6">
        <v>0</v>
      </c>
      <c r="T95" s="6">
        <v>0</v>
      </c>
      <c r="U95" s="6">
        <v>0</v>
      </c>
      <c r="V95" s="5">
        <f t="shared" si="48"/>
        <v>2</v>
      </c>
    </row>
    <row r="96" spans="1:22" x14ac:dyDescent="0.4">
      <c r="A96" s="7"/>
      <c r="B96" s="46">
        <v>3</v>
      </c>
      <c r="C96" s="24" t="s">
        <v>135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5">
        <f t="shared" si="48"/>
        <v>0</v>
      </c>
    </row>
    <row r="97" spans="1:22" x14ac:dyDescent="0.4">
      <c r="A97" s="7"/>
      <c r="B97" s="46">
        <v>4</v>
      </c>
      <c r="C97" s="24" t="s">
        <v>136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5">
        <f t="shared" si="48"/>
        <v>0</v>
      </c>
    </row>
    <row r="98" spans="1:22" x14ac:dyDescent="0.4">
      <c r="A98" s="6" t="s">
        <v>25</v>
      </c>
      <c r="B98" s="52" t="s">
        <v>50</v>
      </c>
      <c r="C98" s="53"/>
      <c r="D98" s="54"/>
      <c r="E98" s="5">
        <f t="shared" ref="E98:V98" si="49">SUM(E93:E97)</f>
        <v>1</v>
      </c>
      <c r="F98" s="5">
        <f t="shared" si="49"/>
        <v>0</v>
      </c>
      <c r="G98" s="5">
        <f t="shared" si="49"/>
        <v>1</v>
      </c>
      <c r="H98" s="5">
        <f t="shared" si="49"/>
        <v>3</v>
      </c>
      <c r="I98" s="5">
        <f t="shared" si="49"/>
        <v>1</v>
      </c>
      <c r="J98" s="5">
        <f t="shared" si="49"/>
        <v>0</v>
      </c>
      <c r="K98" s="5">
        <f t="shared" si="49"/>
        <v>0</v>
      </c>
      <c r="L98" s="5">
        <f t="shared" si="49"/>
        <v>3</v>
      </c>
      <c r="M98" s="5">
        <f t="shared" si="49"/>
        <v>0</v>
      </c>
      <c r="N98" s="5">
        <f t="shared" si="49"/>
        <v>2</v>
      </c>
      <c r="O98" s="5">
        <f t="shared" si="49"/>
        <v>0</v>
      </c>
      <c r="P98" s="5">
        <f t="shared" si="49"/>
        <v>1</v>
      </c>
      <c r="Q98" s="5">
        <f t="shared" si="49"/>
        <v>2</v>
      </c>
      <c r="R98" s="5">
        <f t="shared" si="49"/>
        <v>1</v>
      </c>
      <c r="S98" s="5">
        <f t="shared" si="49"/>
        <v>0</v>
      </c>
      <c r="T98" s="5">
        <f t="shared" si="49"/>
        <v>3</v>
      </c>
      <c r="U98" s="5">
        <f t="shared" si="49"/>
        <v>0</v>
      </c>
      <c r="V98" s="5">
        <f t="shared" si="49"/>
        <v>18</v>
      </c>
    </row>
    <row r="99" spans="1:22" x14ac:dyDescent="0.4">
      <c r="A99" s="55"/>
      <c r="B99" s="56"/>
      <c r="C99" s="56"/>
      <c r="D99" s="56"/>
      <c r="E99" s="5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spans="1:22" x14ac:dyDescent="0.4">
      <c r="A100" s="11" t="s">
        <v>47</v>
      </c>
      <c r="B100" s="17" t="s">
        <v>60</v>
      </c>
      <c r="C100" s="50" t="s">
        <v>61</v>
      </c>
      <c r="D100" s="51"/>
      <c r="E100" s="6">
        <v>7</v>
      </c>
      <c r="F100" s="6">
        <v>9</v>
      </c>
      <c r="G100" s="6">
        <v>1</v>
      </c>
      <c r="H100" s="6">
        <v>1</v>
      </c>
      <c r="I100" s="6">
        <v>2</v>
      </c>
      <c r="J100" s="6">
        <v>3</v>
      </c>
      <c r="K100" s="6">
        <v>0</v>
      </c>
      <c r="L100" s="6">
        <v>1</v>
      </c>
      <c r="M100" s="6">
        <v>5</v>
      </c>
      <c r="N100" s="6">
        <v>0</v>
      </c>
      <c r="O100" s="6">
        <v>1</v>
      </c>
      <c r="P100" s="6">
        <v>3</v>
      </c>
      <c r="Q100" s="6">
        <v>5</v>
      </c>
      <c r="R100" s="6">
        <v>0</v>
      </c>
      <c r="S100" s="6">
        <v>2</v>
      </c>
      <c r="T100" s="6">
        <v>0</v>
      </c>
      <c r="U100" s="6">
        <v>0</v>
      </c>
      <c r="V100" s="5">
        <f t="shared" ref="V100:V106" si="50">SUM(E100:U100)</f>
        <v>40</v>
      </c>
    </row>
    <row r="101" spans="1:22" ht="13.15" customHeight="1" x14ac:dyDescent="0.4">
      <c r="A101" s="11" t="s">
        <v>49</v>
      </c>
      <c r="B101" s="46">
        <v>1</v>
      </c>
      <c r="C101" s="24" t="s">
        <v>137</v>
      </c>
      <c r="D101" s="47"/>
      <c r="E101" s="6">
        <v>14</v>
      </c>
      <c r="F101" s="6">
        <v>13</v>
      </c>
      <c r="G101" s="6">
        <v>11</v>
      </c>
      <c r="H101" s="6">
        <v>11</v>
      </c>
      <c r="I101" s="6">
        <v>10</v>
      </c>
      <c r="J101" s="6">
        <v>4</v>
      </c>
      <c r="K101" s="6">
        <v>9</v>
      </c>
      <c r="L101" s="6">
        <v>7</v>
      </c>
      <c r="M101" s="6">
        <v>14</v>
      </c>
      <c r="N101" s="6">
        <v>0</v>
      </c>
      <c r="O101" s="6">
        <v>2</v>
      </c>
      <c r="P101" s="6">
        <v>7</v>
      </c>
      <c r="Q101" s="6">
        <v>5</v>
      </c>
      <c r="R101" s="6">
        <v>2</v>
      </c>
      <c r="S101" s="6">
        <v>4</v>
      </c>
      <c r="T101" s="6">
        <v>1</v>
      </c>
      <c r="U101" s="6">
        <v>1</v>
      </c>
      <c r="V101" s="5">
        <f t="shared" si="50"/>
        <v>115</v>
      </c>
    </row>
    <row r="102" spans="1:22" x14ac:dyDescent="0.4">
      <c r="A102" s="7"/>
      <c r="B102" s="46">
        <v>2</v>
      </c>
      <c r="C102" s="24" t="s">
        <v>138</v>
      </c>
      <c r="D102" s="47"/>
      <c r="E102" s="6">
        <v>1</v>
      </c>
      <c r="F102" s="6">
        <v>0</v>
      </c>
      <c r="G102" s="6">
        <v>1</v>
      </c>
      <c r="H102" s="6">
        <v>1</v>
      </c>
      <c r="I102" s="6">
        <v>1</v>
      </c>
      <c r="J102" s="6">
        <v>0</v>
      </c>
      <c r="K102" s="6">
        <v>1</v>
      </c>
      <c r="L102" s="6">
        <v>0</v>
      </c>
      <c r="M102" s="6">
        <v>2</v>
      </c>
      <c r="N102" s="6">
        <v>0</v>
      </c>
      <c r="O102" s="6">
        <v>1</v>
      </c>
      <c r="P102" s="6">
        <v>1</v>
      </c>
      <c r="Q102" s="6">
        <v>2</v>
      </c>
      <c r="R102" s="6">
        <v>1</v>
      </c>
      <c r="S102" s="6">
        <v>9</v>
      </c>
      <c r="T102" s="6">
        <v>7</v>
      </c>
      <c r="U102" s="6">
        <v>0</v>
      </c>
      <c r="V102" s="5">
        <f t="shared" si="50"/>
        <v>28</v>
      </c>
    </row>
    <row r="103" spans="1:22" x14ac:dyDescent="0.4">
      <c r="A103" s="7"/>
      <c r="B103" s="46">
        <v>3</v>
      </c>
      <c r="C103" s="24" t="s">
        <v>139</v>
      </c>
      <c r="D103" s="47"/>
      <c r="E103" s="6">
        <v>0</v>
      </c>
      <c r="F103" s="6">
        <v>3</v>
      </c>
      <c r="G103" s="6">
        <v>3</v>
      </c>
      <c r="H103" s="6">
        <v>2</v>
      </c>
      <c r="I103" s="6">
        <v>1</v>
      </c>
      <c r="J103" s="6">
        <v>0</v>
      </c>
      <c r="K103" s="6">
        <v>0</v>
      </c>
      <c r="L103" s="6">
        <v>0</v>
      </c>
      <c r="M103" s="6">
        <v>1</v>
      </c>
      <c r="N103" s="6">
        <v>1</v>
      </c>
      <c r="O103" s="6">
        <v>0</v>
      </c>
      <c r="P103" s="6">
        <v>2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5">
        <f t="shared" si="50"/>
        <v>13</v>
      </c>
    </row>
    <row r="104" spans="1:22" x14ac:dyDescent="0.4">
      <c r="A104" s="7"/>
      <c r="B104" s="46">
        <v>4</v>
      </c>
      <c r="C104" s="24" t="s">
        <v>140</v>
      </c>
      <c r="D104" s="47"/>
      <c r="E104" s="6">
        <v>0</v>
      </c>
      <c r="F104" s="6">
        <v>2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5">
        <f t="shared" si="50"/>
        <v>2</v>
      </c>
    </row>
    <row r="105" spans="1:22" x14ac:dyDescent="0.4">
      <c r="A105" s="7"/>
      <c r="B105" s="46">
        <v>5</v>
      </c>
      <c r="C105" s="24" t="s">
        <v>141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2</v>
      </c>
      <c r="K105" s="6">
        <v>0</v>
      </c>
      <c r="L105" s="6">
        <v>0</v>
      </c>
      <c r="M105" s="6">
        <v>1</v>
      </c>
      <c r="N105" s="6">
        <v>0</v>
      </c>
      <c r="O105" s="6">
        <v>0</v>
      </c>
      <c r="P105" s="6">
        <v>0</v>
      </c>
      <c r="Q105" s="6">
        <v>0</v>
      </c>
      <c r="R105" s="6">
        <v>1</v>
      </c>
      <c r="S105" s="6">
        <v>0</v>
      </c>
      <c r="T105" s="6">
        <v>0</v>
      </c>
      <c r="U105" s="6">
        <v>0</v>
      </c>
      <c r="V105" s="5">
        <f t="shared" si="50"/>
        <v>4</v>
      </c>
    </row>
    <row r="106" spans="1:22" x14ac:dyDescent="0.4">
      <c r="A106" s="7"/>
      <c r="B106" s="46">
        <v>6</v>
      </c>
      <c r="C106" s="24" t="s">
        <v>142</v>
      </c>
      <c r="D106" s="47"/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1</v>
      </c>
      <c r="N106" s="6">
        <v>0</v>
      </c>
      <c r="O106" s="6">
        <v>0</v>
      </c>
      <c r="P106" s="6">
        <v>4</v>
      </c>
      <c r="Q106" s="6">
        <v>1</v>
      </c>
      <c r="R106" s="6">
        <v>0</v>
      </c>
      <c r="S106" s="6">
        <v>1</v>
      </c>
      <c r="T106" s="6">
        <v>3</v>
      </c>
      <c r="U106" s="6">
        <v>0</v>
      </c>
      <c r="V106" s="5">
        <f t="shared" si="50"/>
        <v>11</v>
      </c>
    </row>
    <row r="107" spans="1:22" x14ac:dyDescent="0.4">
      <c r="A107" s="6" t="s">
        <v>25</v>
      </c>
      <c r="B107" s="52" t="s">
        <v>50</v>
      </c>
      <c r="C107" s="53"/>
      <c r="D107" s="54"/>
      <c r="E107" s="5">
        <f t="shared" ref="E107:V107" si="51">SUM(E100:E106)</f>
        <v>23</v>
      </c>
      <c r="F107" s="5">
        <f t="shared" si="51"/>
        <v>27</v>
      </c>
      <c r="G107" s="5">
        <f t="shared" si="51"/>
        <v>16</v>
      </c>
      <c r="H107" s="5">
        <f t="shared" si="51"/>
        <v>15</v>
      </c>
      <c r="I107" s="5">
        <f t="shared" si="51"/>
        <v>14</v>
      </c>
      <c r="J107" s="5">
        <f t="shared" si="51"/>
        <v>9</v>
      </c>
      <c r="K107" s="5">
        <f t="shared" si="51"/>
        <v>10</v>
      </c>
      <c r="L107" s="5">
        <f t="shared" si="51"/>
        <v>8</v>
      </c>
      <c r="M107" s="5">
        <f t="shared" si="51"/>
        <v>24</v>
      </c>
      <c r="N107" s="5">
        <f t="shared" si="51"/>
        <v>1</v>
      </c>
      <c r="O107" s="5">
        <f t="shared" si="51"/>
        <v>4</v>
      </c>
      <c r="P107" s="5">
        <f t="shared" si="51"/>
        <v>17</v>
      </c>
      <c r="Q107" s="5">
        <f t="shared" si="51"/>
        <v>13</v>
      </c>
      <c r="R107" s="5">
        <f t="shared" si="51"/>
        <v>4</v>
      </c>
      <c r="S107" s="5">
        <f t="shared" si="51"/>
        <v>16</v>
      </c>
      <c r="T107" s="5">
        <f t="shared" si="51"/>
        <v>11</v>
      </c>
      <c r="U107" s="5">
        <f t="shared" si="51"/>
        <v>1</v>
      </c>
      <c r="V107" s="5">
        <f t="shared" si="51"/>
        <v>213</v>
      </c>
    </row>
    <row r="108" spans="1:22" x14ac:dyDescent="0.4">
      <c r="A108" s="55"/>
      <c r="B108" s="56"/>
      <c r="C108" s="56"/>
      <c r="D108" s="56"/>
      <c r="E108" s="5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spans="1:22" ht="13.15" customHeight="1" x14ac:dyDescent="0.4">
      <c r="A109" s="11" t="s">
        <v>47</v>
      </c>
      <c r="B109" s="17" t="s">
        <v>62</v>
      </c>
      <c r="C109" s="50" t="s">
        <v>63</v>
      </c>
      <c r="D109" s="51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1</v>
      </c>
      <c r="Q109" s="6">
        <v>0</v>
      </c>
      <c r="R109" s="6">
        <v>0</v>
      </c>
      <c r="S109" s="6">
        <v>0</v>
      </c>
      <c r="T109" s="6"/>
      <c r="U109" s="6"/>
      <c r="V109" s="5">
        <f t="shared" ref="V109:V112" si="52">SUM(E109:U109)</f>
        <v>1</v>
      </c>
    </row>
    <row r="110" spans="1:22" x14ac:dyDescent="0.4">
      <c r="A110" s="11" t="s">
        <v>49</v>
      </c>
      <c r="B110" s="46">
        <v>1</v>
      </c>
      <c r="C110" s="24" t="s">
        <v>143</v>
      </c>
      <c r="D110" s="45"/>
      <c r="E110" s="6">
        <v>1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/>
      <c r="U110" s="6"/>
      <c r="V110" s="5">
        <f t="shared" si="52"/>
        <v>1</v>
      </c>
    </row>
    <row r="111" spans="1:22" x14ac:dyDescent="0.4">
      <c r="A111" s="7"/>
      <c r="B111" s="46">
        <v>2</v>
      </c>
      <c r="C111" s="24" t="s">
        <v>144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/>
      <c r="U111" s="6"/>
      <c r="V111" s="5">
        <f t="shared" si="52"/>
        <v>0</v>
      </c>
    </row>
    <row r="112" spans="1:22" x14ac:dyDescent="0.4">
      <c r="A112" s="7"/>
      <c r="B112" s="46">
        <v>3</v>
      </c>
      <c r="C112" s="24" t="s">
        <v>145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1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/>
      <c r="U112" s="6"/>
      <c r="V112" s="5">
        <f t="shared" si="52"/>
        <v>1</v>
      </c>
    </row>
    <row r="113" spans="1:22" ht="13.15" customHeight="1" x14ac:dyDescent="0.4">
      <c r="A113" s="6" t="s">
        <v>25</v>
      </c>
      <c r="B113" s="52" t="s">
        <v>50</v>
      </c>
      <c r="C113" s="53"/>
      <c r="D113" s="54"/>
      <c r="E113" s="5">
        <f t="shared" ref="E113:V113" si="53">SUM(E109:E112)</f>
        <v>1</v>
      </c>
      <c r="F113" s="5">
        <f t="shared" si="53"/>
        <v>0</v>
      </c>
      <c r="G113" s="5">
        <f t="shared" si="53"/>
        <v>0</v>
      </c>
      <c r="H113" s="5">
        <f t="shared" si="53"/>
        <v>0</v>
      </c>
      <c r="I113" s="5">
        <f t="shared" si="53"/>
        <v>1</v>
      </c>
      <c r="J113" s="5">
        <f t="shared" si="53"/>
        <v>0</v>
      </c>
      <c r="K113" s="5">
        <f t="shared" si="53"/>
        <v>0</v>
      </c>
      <c r="L113" s="5">
        <f t="shared" si="53"/>
        <v>0</v>
      </c>
      <c r="M113" s="5">
        <f t="shared" si="53"/>
        <v>0</v>
      </c>
      <c r="N113" s="5">
        <f t="shared" si="53"/>
        <v>0</v>
      </c>
      <c r="O113" s="5">
        <f t="shared" si="53"/>
        <v>0</v>
      </c>
      <c r="P113" s="5">
        <f t="shared" si="53"/>
        <v>1</v>
      </c>
      <c r="Q113" s="5">
        <f t="shared" si="53"/>
        <v>0</v>
      </c>
      <c r="R113" s="5">
        <f t="shared" si="53"/>
        <v>0</v>
      </c>
      <c r="S113" s="5">
        <f t="shared" si="53"/>
        <v>0</v>
      </c>
      <c r="T113" s="5">
        <f t="shared" si="53"/>
        <v>0</v>
      </c>
      <c r="U113" s="5">
        <f t="shared" si="53"/>
        <v>0</v>
      </c>
      <c r="V113" s="5">
        <f t="shared" si="53"/>
        <v>3</v>
      </c>
    </row>
    <row r="114" spans="1:22" x14ac:dyDescent="0.4">
      <c r="A114" s="55"/>
      <c r="B114" s="56"/>
      <c r="C114" s="56"/>
      <c r="D114" s="56"/>
      <c r="E114" s="5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5"/>
    </row>
    <row r="115" spans="1:22" x14ac:dyDescent="0.4">
      <c r="A115" s="11" t="s">
        <v>47</v>
      </c>
      <c r="B115" s="44" t="s">
        <v>64</v>
      </c>
      <c r="C115" s="63" t="s">
        <v>65</v>
      </c>
      <c r="D115" s="64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1</v>
      </c>
      <c r="O115" s="6">
        <v>0</v>
      </c>
      <c r="P115" s="6">
        <v>0</v>
      </c>
      <c r="Q115" s="6">
        <v>0</v>
      </c>
      <c r="R115" s="6">
        <v>0</v>
      </c>
      <c r="S115" s="6">
        <v>5</v>
      </c>
      <c r="T115" s="6"/>
      <c r="U115" s="6"/>
      <c r="V115" s="5">
        <f t="shared" ref="V115:V121" si="54">SUM(E115:U115)</f>
        <v>6</v>
      </c>
    </row>
    <row r="116" spans="1:22" x14ac:dyDescent="0.4">
      <c r="A116" s="48" t="s">
        <v>49</v>
      </c>
      <c r="B116" s="46">
        <v>1</v>
      </c>
      <c r="C116" s="24" t="s">
        <v>146</v>
      </c>
      <c r="D116" s="47"/>
      <c r="E116" s="49">
        <v>0</v>
      </c>
      <c r="F116" s="6">
        <v>0</v>
      </c>
      <c r="G116" s="6">
        <v>2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1</v>
      </c>
      <c r="N116" s="6">
        <v>23</v>
      </c>
      <c r="O116" s="6">
        <v>1</v>
      </c>
      <c r="P116" s="6">
        <v>1</v>
      </c>
      <c r="Q116" s="6">
        <v>1</v>
      </c>
      <c r="R116" s="6">
        <v>0</v>
      </c>
      <c r="S116" s="6">
        <v>12</v>
      </c>
      <c r="T116" s="6">
        <v>5</v>
      </c>
      <c r="U116" s="6"/>
      <c r="V116" s="5">
        <f t="shared" si="54"/>
        <v>46</v>
      </c>
    </row>
    <row r="117" spans="1:22" x14ac:dyDescent="0.4">
      <c r="A117" s="7"/>
      <c r="B117" s="46">
        <v>2</v>
      </c>
      <c r="C117" s="24" t="s">
        <v>147</v>
      </c>
      <c r="D117" s="47"/>
      <c r="E117" s="49">
        <v>0</v>
      </c>
      <c r="F117" s="6">
        <v>0</v>
      </c>
      <c r="G117" s="6">
        <v>0</v>
      </c>
      <c r="H117" s="6">
        <v>0</v>
      </c>
      <c r="I117" s="6">
        <v>1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1</v>
      </c>
      <c r="T117" s="6">
        <v>1</v>
      </c>
      <c r="U117" s="6"/>
      <c r="V117" s="5">
        <f t="shared" si="54"/>
        <v>3</v>
      </c>
    </row>
    <row r="118" spans="1:22" x14ac:dyDescent="0.4">
      <c r="A118" s="7"/>
      <c r="B118" s="46">
        <v>3</v>
      </c>
      <c r="C118" s="24" t="s">
        <v>148</v>
      </c>
      <c r="D118" s="47"/>
      <c r="E118" s="49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1</v>
      </c>
      <c r="Q118" s="6">
        <v>0</v>
      </c>
      <c r="R118" s="6">
        <v>0</v>
      </c>
      <c r="S118" s="6">
        <v>0</v>
      </c>
      <c r="T118" s="6"/>
      <c r="U118" s="6"/>
      <c r="V118" s="5">
        <f t="shared" si="54"/>
        <v>1</v>
      </c>
    </row>
    <row r="119" spans="1:22" x14ac:dyDescent="0.4">
      <c r="A119" s="7"/>
      <c r="B119" s="46">
        <v>4</v>
      </c>
      <c r="C119" s="24" t="s">
        <v>149</v>
      </c>
      <c r="D119" s="47"/>
      <c r="E119" s="49">
        <v>1</v>
      </c>
      <c r="F119" s="6">
        <v>1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2</v>
      </c>
      <c r="P119" s="6">
        <v>0</v>
      </c>
      <c r="Q119" s="6">
        <v>0</v>
      </c>
      <c r="R119" s="6">
        <v>0</v>
      </c>
      <c r="S119" s="6">
        <v>0</v>
      </c>
      <c r="T119" s="6"/>
      <c r="U119" s="6"/>
      <c r="V119" s="5">
        <f t="shared" si="54"/>
        <v>4</v>
      </c>
    </row>
    <row r="120" spans="1:22" x14ac:dyDescent="0.4">
      <c r="A120" s="7"/>
      <c r="B120" s="46">
        <v>5</v>
      </c>
      <c r="C120" s="24" t="s">
        <v>150</v>
      </c>
      <c r="D120" s="47"/>
      <c r="E120" s="49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/>
      <c r="U120" s="6"/>
      <c r="V120" s="5">
        <f t="shared" si="54"/>
        <v>0</v>
      </c>
    </row>
    <row r="121" spans="1:22" x14ac:dyDescent="0.4">
      <c r="A121" s="7"/>
      <c r="B121" s="46">
        <v>6</v>
      </c>
      <c r="C121" s="24" t="s">
        <v>151</v>
      </c>
      <c r="D121" s="47"/>
      <c r="E121" s="49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/>
      <c r="U121" s="6"/>
      <c r="V121" s="5">
        <f t="shared" si="54"/>
        <v>0</v>
      </c>
    </row>
    <row r="122" spans="1:22" x14ac:dyDescent="0.4">
      <c r="A122" s="6" t="s">
        <v>25</v>
      </c>
      <c r="B122" s="65" t="s">
        <v>50</v>
      </c>
      <c r="C122" s="66"/>
      <c r="D122" s="67"/>
      <c r="E122" s="5">
        <f t="shared" ref="E122:V122" si="55">SUM(E115:E121)</f>
        <v>1</v>
      </c>
      <c r="F122" s="5">
        <f t="shared" si="55"/>
        <v>1</v>
      </c>
      <c r="G122" s="5">
        <f t="shared" si="55"/>
        <v>2</v>
      </c>
      <c r="H122" s="5">
        <f t="shared" si="55"/>
        <v>0</v>
      </c>
      <c r="I122" s="5">
        <f t="shared" si="55"/>
        <v>1</v>
      </c>
      <c r="J122" s="5">
        <f t="shared" si="55"/>
        <v>0</v>
      </c>
      <c r="K122" s="5">
        <f t="shared" si="55"/>
        <v>0</v>
      </c>
      <c r="L122" s="5">
        <f t="shared" si="55"/>
        <v>0</v>
      </c>
      <c r="M122" s="5">
        <f t="shared" si="55"/>
        <v>1</v>
      </c>
      <c r="N122" s="5">
        <f t="shared" si="55"/>
        <v>24</v>
      </c>
      <c r="O122" s="5">
        <f t="shared" si="55"/>
        <v>3</v>
      </c>
      <c r="P122" s="5">
        <f t="shared" si="55"/>
        <v>2</v>
      </c>
      <c r="Q122" s="5">
        <f t="shared" si="55"/>
        <v>1</v>
      </c>
      <c r="R122" s="5">
        <f t="shared" si="55"/>
        <v>0</v>
      </c>
      <c r="S122" s="5">
        <f t="shared" si="55"/>
        <v>18</v>
      </c>
      <c r="T122" s="5">
        <f t="shared" si="55"/>
        <v>6</v>
      </c>
      <c r="U122" s="5">
        <f t="shared" si="55"/>
        <v>0</v>
      </c>
      <c r="V122" s="5">
        <f t="shared" si="55"/>
        <v>60</v>
      </c>
    </row>
    <row r="123" spans="1:22" x14ac:dyDescent="0.4">
      <c r="A123" s="55"/>
      <c r="B123" s="56"/>
      <c r="C123" s="56"/>
      <c r="D123" s="56"/>
      <c r="E123" s="5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spans="1:22" ht="13.15" customHeight="1" x14ac:dyDescent="0.4">
      <c r="A124" s="11" t="s">
        <v>47</v>
      </c>
      <c r="B124" s="17" t="s">
        <v>66</v>
      </c>
      <c r="C124" s="50" t="s">
        <v>67</v>
      </c>
      <c r="D124" s="51"/>
      <c r="E124" s="6">
        <v>0</v>
      </c>
      <c r="F124" s="6">
        <v>0</v>
      </c>
      <c r="G124" s="6">
        <v>1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1</v>
      </c>
      <c r="P124" s="6">
        <v>1</v>
      </c>
      <c r="Q124" s="6">
        <v>0</v>
      </c>
      <c r="R124" s="6">
        <v>0</v>
      </c>
      <c r="S124" s="6">
        <v>0</v>
      </c>
      <c r="T124" s="6"/>
      <c r="U124" s="6"/>
      <c r="V124" s="5">
        <f t="shared" ref="V124" si="56">SUM(E124:U124)</f>
        <v>3</v>
      </c>
    </row>
    <row r="125" spans="1:22" x14ac:dyDescent="0.4">
      <c r="A125" s="6" t="s">
        <v>25</v>
      </c>
      <c r="B125" s="52" t="s">
        <v>50</v>
      </c>
      <c r="C125" s="53"/>
      <c r="D125" s="54"/>
      <c r="E125" s="5">
        <f t="shared" ref="E125:V125" si="57">SUM(E124:E124)</f>
        <v>0</v>
      </c>
      <c r="F125" s="5">
        <f t="shared" si="57"/>
        <v>0</v>
      </c>
      <c r="G125" s="5">
        <f t="shared" si="57"/>
        <v>1</v>
      </c>
      <c r="H125" s="5">
        <f t="shared" si="57"/>
        <v>0</v>
      </c>
      <c r="I125" s="5">
        <f t="shared" si="57"/>
        <v>0</v>
      </c>
      <c r="J125" s="5">
        <f t="shared" si="57"/>
        <v>0</v>
      </c>
      <c r="K125" s="5">
        <f t="shared" si="57"/>
        <v>0</v>
      </c>
      <c r="L125" s="5">
        <f t="shared" si="57"/>
        <v>0</v>
      </c>
      <c r="M125" s="5">
        <f t="shared" si="57"/>
        <v>0</v>
      </c>
      <c r="N125" s="5">
        <f t="shared" si="57"/>
        <v>0</v>
      </c>
      <c r="O125" s="5">
        <f t="shared" si="57"/>
        <v>1</v>
      </c>
      <c r="P125" s="5">
        <f t="shared" si="57"/>
        <v>1</v>
      </c>
      <c r="Q125" s="5">
        <f t="shared" si="57"/>
        <v>0</v>
      </c>
      <c r="R125" s="5">
        <f t="shared" si="57"/>
        <v>0</v>
      </c>
      <c r="S125" s="5">
        <f t="shared" si="57"/>
        <v>0</v>
      </c>
      <c r="T125" s="5">
        <f t="shared" si="57"/>
        <v>0</v>
      </c>
      <c r="U125" s="5">
        <f t="shared" si="57"/>
        <v>0</v>
      </c>
      <c r="V125" s="5">
        <f t="shared" si="57"/>
        <v>3</v>
      </c>
    </row>
    <row r="126" spans="1:22" ht="13.15" customHeight="1" x14ac:dyDescent="0.4">
      <c r="A126" s="55"/>
      <c r="B126" s="56"/>
      <c r="C126" s="56"/>
      <c r="D126" s="56"/>
      <c r="E126" s="5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 spans="1:22" x14ac:dyDescent="0.4">
      <c r="A127" s="11" t="s">
        <v>47</v>
      </c>
      <c r="B127" s="17" t="s">
        <v>68</v>
      </c>
      <c r="C127" s="50" t="s">
        <v>69</v>
      </c>
      <c r="D127" s="51"/>
      <c r="E127" s="6">
        <v>1</v>
      </c>
      <c r="F127" s="6">
        <v>1</v>
      </c>
      <c r="G127" s="6">
        <v>1</v>
      </c>
      <c r="H127" s="6">
        <v>2</v>
      </c>
      <c r="I127" s="6">
        <v>0</v>
      </c>
      <c r="J127" s="6">
        <v>0</v>
      </c>
      <c r="K127" s="6">
        <v>2</v>
      </c>
      <c r="L127" s="6">
        <v>1</v>
      </c>
      <c r="M127" s="6">
        <v>0</v>
      </c>
      <c r="N127" s="6">
        <v>0</v>
      </c>
      <c r="O127" s="6">
        <v>1</v>
      </c>
      <c r="P127" s="6">
        <v>2</v>
      </c>
      <c r="Q127" s="6">
        <v>0</v>
      </c>
      <c r="R127" s="6">
        <v>0</v>
      </c>
      <c r="S127" s="6">
        <v>0</v>
      </c>
      <c r="T127" s="6"/>
      <c r="U127" s="6"/>
      <c r="V127" s="5">
        <f t="shared" ref="V127:V133" si="58">SUM(E127:U127)</f>
        <v>11</v>
      </c>
    </row>
    <row r="128" spans="1:22" x14ac:dyDescent="0.4">
      <c r="A128" s="11" t="s">
        <v>49</v>
      </c>
      <c r="B128" s="46">
        <v>1</v>
      </c>
      <c r="C128" s="24" t="s">
        <v>152</v>
      </c>
      <c r="D128" s="47"/>
      <c r="E128" s="6">
        <v>1</v>
      </c>
      <c r="F128" s="6">
        <v>1</v>
      </c>
      <c r="G128" s="6">
        <v>1</v>
      </c>
      <c r="H128" s="6">
        <v>0</v>
      </c>
      <c r="I128" s="6">
        <v>0</v>
      </c>
      <c r="J128" s="6">
        <v>10</v>
      </c>
      <c r="K128" s="6">
        <v>1</v>
      </c>
      <c r="L128" s="6">
        <v>1</v>
      </c>
      <c r="M128" s="6">
        <v>11</v>
      </c>
      <c r="N128" s="6">
        <v>3</v>
      </c>
      <c r="O128" s="6">
        <v>1</v>
      </c>
      <c r="P128" s="6">
        <v>0</v>
      </c>
      <c r="Q128" s="6">
        <v>0</v>
      </c>
      <c r="R128" s="6">
        <v>0</v>
      </c>
      <c r="S128" s="6">
        <v>1</v>
      </c>
      <c r="T128" s="6"/>
      <c r="U128" s="6">
        <v>2</v>
      </c>
      <c r="V128" s="5">
        <f t="shared" si="58"/>
        <v>33</v>
      </c>
    </row>
    <row r="129" spans="1:22" x14ac:dyDescent="0.4">
      <c r="A129" s="7"/>
      <c r="B129" s="46">
        <v>2</v>
      </c>
      <c r="C129" s="24" t="s">
        <v>153</v>
      </c>
      <c r="D129" s="47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1</v>
      </c>
      <c r="K129" s="6">
        <v>1</v>
      </c>
      <c r="L129" s="6">
        <v>3</v>
      </c>
      <c r="M129" s="6">
        <v>1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1</v>
      </c>
      <c r="U129" s="6"/>
      <c r="V129" s="5">
        <f t="shared" si="58"/>
        <v>7</v>
      </c>
    </row>
    <row r="130" spans="1:22" x14ac:dyDescent="0.4">
      <c r="A130" s="7"/>
      <c r="B130" s="46">
        <v>3</v>
      </c>
      <c r="C130" s="24" t="s">
        <v>154</v>
      </c>
      <c r="D130" s="47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2</v>
      </c>
      <c r="T130" s="6"/>
      <c r="U130" s="6"/>
      <c r="V130" s="5">
        <f t="shared" si="58"/>
        <v>2</v>
      </c>
    </row>
    <row r="131" spans="1:22" x14ac:dyDescent="0.4">
      <c r="A131" s="7"/>
      <c r="B131" s="46">
        <v>4</v>
      </c>
      <c r="C131" s="24" t="s">
        <v>155</v>
      </c>
      <c r="D131" s="47"/>
      <c r="E131" s="6">
        <v>1</v>
      </c>
      <c r="F131" s="6">
        <v>1</v>
      </c>
      <c r="G131" s="6">
        <v>2</v>
      </c>
      <c r="H131" s="6">
        <v>0</v>
      </c>
      <c r="I131" s="6">
        <v>1</v>
      </c>
      <c r="J131" s="6">
        <v>0</v>
      </c>
      <c r="K131" s="6">
        <v>1</v>
      </c>
      <c r="L131" s="6">
        <v>0</v>
      </c>
      <c r="M131" s="6">
        <v>0</v>
      </c>
      <c r="N131" s="6">
        <v>0</v>
      </c>
      <c r="O131" s="6">
        <v>1</v>
      </c>
      <c r="P131" s="6">
        <v>0</v>
      </c>
      <c r="Q131" s="6">
        <v>0</v>
      </c>
      <c r="R131" s="6">
        <v>0</v>
      </c>
      <c r="S131" s="6">
        <v>0</v>
      </c>
      <c r="T131" s="6"/>
      <c r="U131" s="6"/>
      <c r="V131" s="5">
        <f t="shared" si="58"/>
        <v>7</v>
      </c>
    </row>
    <row r="132" spans="1:22" x14ac:dyDescent="0.4">
      <c r="A132" s="7"/>
      <c r="B132" s="46">
        <v>5</v>
      </c>
      <c r="C132" s="24" t="s">
        <v>156</v>
      </c>
      <c r="D132" s="47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1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1</v>
      </c>
      <c r="Q132" s="6">
        <v>0</v>
      </c>
      <c r="R132" s="6">
        <v>0</v>
      </c>
      <c r="S132" s="6">
        <v>1</v>
      </c>
      <c r="T132" s="6"/>
      <c r="U132" s="6"/>
      <c r="V132" s="5">
        <f t="shared" si="58"/>
        <v>3</v>
      </c>
    </row>
    <row r="133" spans="1:22" x14ac:dyDescent="0.4">
      <c r="A133" s="7"/>
      <c r="B133" s="46">
        <v>6</v>
      </c>
      <c r="C133" s="24" t="s">
        <v>157</v>
      </c>
      <c r="D133" s="47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3</v>
      </c>
      <c r="L133" s="6">
        <v>2</v>
      </c>
      <c r="M133" s="6">
        <v>0</v>
      </c>
      <c r="N133" s="6">
        <v>0</v>
      </c>
      <c r="O133" s="6">
        <v>0</v>
      </c>
      <c r="P133" s="6">
        <v>1</v>
      </c>
      <c r="Q133" s="6">
        <v>0</v>
      </c>
      <c r="R133" s="6">
        <v>0</v>
      </c>
      <c r="S133" s="6">
        <v>0</v>
      </c>
      <c r="T133" s="6"/>
      <c r="U133" s="6"/>
      <c r="V133" s="5">
        <f t="shared" si="58"/>
        <v>6</v>
      </c>
    </row>
    <row r="134" spans="1:22" ht="13.15" customHeight="1" x14ac:dyDescent="0.4">
      <c r="A134" s="6" t="s">
        <v>25</v>
      </c>
      <c r="B134" s="52" t="s">
        <v>50</v>
      </c>
      <c r="C134" s="53"/>
      <c r="D134" s="54"/>
      <c r="E134" s="5">
        <f t="shared" ref="E134:V134" si="59">SUM(E127:E133)</f>
        <v>3</v>
      </c>
      <c r="F134" s="5">
        <f t="shared" si="59"/>
        <v>3</v>
      </c>
      <c r="G134" s="5">
        <f t="shared" si="59"/>
        <v>4</v>
      </c>
      <c r="H134" s="5">
        <f t="shared" si="59"/>
        <v>2</v>
      </c>
      <c r="I134" s="5">
        <f t="shared" si="59"/>
        <v>1</v>
      </c>
      <c r="J134" s="5">
        <f t="shared" si="59"/>
        <v>12</v>
      </c>
      <c r="K134" s="5">
        <f t="shared" si="59"/>
        <v>8</v>
      </c>
      <c r="L134" s="5">
        <f t="shared" si="59"/>
        <v>7</v>
      </c>
      <c r="M134" s="5">
        <f t="shared" si="59"/>
        <v>12</v>
      </c>
      <c r="N134" s="5">
        <f t="shared" si="59"/>
        <v>3</v>
      </c>
      <c r="O134" s="5">
        <f t="shared" si="59"/>
        <v>3</v>
      </c>
      <c r="P134" s="5">
        <f t="shared" si="59"/>
        <v>4</v>
      </c>
      <c r="Q134" s="5">
        <f t="shared" si="59"/>
        <v>0</v>
      </c>
      <c r="R134" s="5">
        <f t="shared" si="59"/>
        <v>0</v>
      </c>
      <c r="S134" s="5">
        <f t="shared" si="59"/>
        <v>4</v>
      </c>
      <c r="T134" s="5">
        <f t="shared" si="59"/>
        <v>1</v>
      </c>
      <c r="U134" s="5">
        <f t="shared" si="59"/>
        <v>2</v>
      </c>
      <c r="V134" s="5">
        <f t="shared" si="59"/>
        <v>69</v>
      </c>
    </row>
    <row r="135" spans="1:22" x14ac:dyDescent="0.4">
      <c r="A135" s="55"/>
      <c r="B135" s="56"/>
      <c r="C135" s="56"/>
      <c r="D135" s="56"/>
      <c r="E135" s="5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5"/>
    </row>
    <row r="136" spans="1:22" x14ac:dyDescent="0.4">
      <c r="A136" s="11" t="s">
        <v>47</v>
      </c>
      <c r="B136" s="17" t="s">
        <v>70</v>
      </c>
      <c r="C136" s="50" t="s">
        <v>71</v>
      </c>
      <c r="D136" s="51"/>
      <c r="E136" s="6">
        <v>0</v>
      </c>
      <c r="F136" s="6">
        <v>0</v>
      </c>
      <c r="G136" s="6">
        <v>1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1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/>
      <c r="U136" s="6"/>
      <c r="V136" s="5">
        <f t="shared" ref="V136:V141" si="60">SUM(E136:U136)</f>
        <v>2</v>
      </c>
    </row>
    <row r="137" spans="1:22" x14ac:dyDescent="0.4">
      <c r="A137" s="11" t="s">
        <v>49</v>
      </c>
      <c r="B137" s="46">
        <v>1</v>
      </c>
      <c r="C137" s="24" t="s">
        <v>158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1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/>
      <c r="U137" s="6">
        <v>1</v>
      </c>
      <c r="V137" s="5">
        <f t="shared" si="60"/>
        <v>2</v>
      </c>
    </row>
    <row r="138" spans="1:22" x14ac:dyDescent="0.4">
      <c r="A138" s="7"/>
      <c r="B138" s="46">
        <v>2</v>
      </c>
      <c r="C138" s="24" t="s">
        <v>159</v>
      </c>
      <c r="D138" s="47"/>
      <c r="E138" s="6">
        <v>0</v>
      </c>
      <c r="F138" s="6">
        <v>0</v>
      </c>
      <c r="G138" s="6">
        <v>1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/>
      <c r="U138" s="6">
        <v>1</v>
      </c>
      <c r="V138" s="5">
        <f t="shared" si="60"/>
        <v>2</v>
      </c>
    </row>
    <row r="139" spans="1:22" x14ac:dyDescent="0.4">
      <c r="A139" s="7"/>
      <c r="B139" s="46">
        <v>3</v>
      </c>
      <c r="C139" s="24" t="s">
        <v>160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/>
      <c r="U139" s="6"/>
      <c r="V139" s="5">
        <f t="shared" si="60"/>
        <v>0</v>
      </c>
    </row>
    <row r="140" spans="1:22" x14ac:dyDescent="0.4">
      <c r="A140" s="7"/>
      <c r="B140" s="46">
        <v>4</v>
      </c>
      <c r="C140" s="24" t="s">
        <v>161</v>
      </c>
      <c r="D140" s="47"/>
      <c r="E140" s="6">
        <v>1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1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/>
      <c r="U140" s="6"/>
      <c r="V140" s="5">
        <f t="shared" si="60"/>
        <v>2</v>
      </c>
    </row>
    <row r="141" spans="1:22" x14ac:dyDescent="0.4">
      <c r="A141" s="7"/>
      <c r="B141" s="46">
        <v>5</v>
      </c>
      <c r="C141" s="24" t="s">
        <v>162</v>
      </c>
      <c r="D141" s="47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1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/>
      <c r="U141" s="6"/>
      <c r="V141" s="5">
        <f t="shared" si="60"/>
        <v>1</v>
      </c>
    </row>
    <row r="142" spans="1:22" x14ac:dyDescent="0.4">
      <c r="A142" s="6" t="s">
        <v>25</v>
      </c>
      <c r="B142" s="52" t="s">
        <v>50</v>
      </c>
      <c r="C142" s="53"/>
      <c r="D142" s="54"/>
      <c r="E142" s="5">
        <f t="shared" ref="E142:V142" si="61">SUM(E136:E141)</f>
        <v>1</v>
      </c>
      <c r="F142" s="5">
        <f t="shared" si="61"/>
        <v>0</v>
      </c>
      <c r="G142" s="5">
        <f t="shared" si="61"/>
        <v>2</v>
      </c>
      <c r="H142" s="5">
        <f t="shared" si="61"/>
        <v>0</v>
      </c>
      <c r="I142" s="5">
        <f t="shared" si="61"/>
        <v>1</v>
      </c>
      <c r="J142" s="5">
        <f t="shared" si="61"/>
        <v>0</v>
      </c>
      <c r="K142" s="5">
        <f t="shared" si="61"/>
        <v>0</v>
      </c>
      <c r="L142" s="5">
        <f t="shared" si="61"/>
        <v>1</v>
      </c>
      <c r="M142" s="5">
        <f t="shared" si="61"/>
        <v>1</v>
      </c>
      <c r="N142" s="5">
        <f t="shared" si="61"/>
        <v>1</v>
      </c>
      <c r="O142" s="5">
        <f t="shared" si="61"/>
        <v>0</v>
      </c>
      <c r="P142" s="5">
        <f t="shared" si="61"/>
        <v>0</v>
      </c>
      <c r="Q142" s="5">
        <f t="shared" si="61"/>
        <v>0</v>
      </c>
      <c r="R142" s="5">
        <f t="shared" si="61"/>
        <v>0</v>
      </c>
      <c r="S142" s="5">
        <f t="shared" si="61"/>
        <v>0</v>
      </c>
      <c r="T142" s="5">
        <f t="shared" si="61"/>
        <v>0</v>
      </c>
      <c r="U142" s="5">
        <f t="shared" si="61"/>
        <v>2</v>
      </c>
      <c r="V142" s="5">
        <f t="shared" si="61"/>
        <v>9</v>
      </c>
    </row>
    <row r="143" spans="1:22" x14ac:dyDescent="0.4">
      <c r="A143" s="55"/>
      <c r="B143" s="56"/>
      <c r="C143" s="56"/>
      <c r="D143" s="56"/>
      <c r="E143" s="5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 spans="1:22" x14ac:dyDescent="0.4">
      <c r="A144" s="11" t="s">
        <v>47</v>
      </c>
      <c r="B144" s="17" t="s">
        <v>72</v>
      </c>
      <c r="C144" s="50" t="s">
        <v>73</v>
      </c>
      <c r="D144" s="51"/>
      <c r="E144" s="6">
        <v>6</v>
      </c>
      <c r="F144" s="6">
        <v>4</v>
      </c>
      <c r="G144" s="6">
        <v>6</v>
      </c>
      <c r="H144" s="6">
        <v>3</v>
      </c>
      <c r="I144" s="6">
        <v>2</v>
      </c>
      <c r="J144" s="6">
        <v>0</v>
      </c>
      <c r="K144" s="6">
        <v>7</v>
      </c>
      <c r="L144" s="6">
        <v>10</v>
      </c>
      <c r="M144" s="6">
        <v>3</v>
      </c>
      <c r="N144" s="6">
        <v>3</v>
      </c>
      <c r="O144" s="6">
        <v>2</v>
      </c>
      <c r="P144" s="6">
        <v>2</v>
      </c>
      <c r="Q144" s="6">
        <v>1</v>
      </c>
      <c r="R144" s="6">
        <v>0</v>
      </c>
      <c r="S144" s="6">
        <v>3</v>
      </c>
      <c r="T144" s="6">
        <v>2</v>
      </c>
      <c r="U144" s="6">
        <v>2</v>
      </c>
      <c r="V144" s="5">
        <f t="shared" ref="V144:V150" si="62">SUM(E144:U144)</f>
        <v>56</v>
      </c>
    </row>
    <row r="145" spans="1:22" x14ac:dyDescent="0.4">
      <c r="A145" s="11" t="s">
        <v>49</v>
      </c>
      <c r="B145" s="46">
        <v>1</v>
      </c>
      <c r="C145" s="24" t="s">
        <v>163</v>
      </c>
      <c r="D145" s="47"/>
      <c r="E145" s="6">
        <v>4</v>
      </c>
      <c r="F145" s="6">
        <v>2</v>
      </c>
      <c r="G145" s="6">
        <v>2</v>
      </c>
      <c r="H145" s="6">
        <v>6</v>
      </c>
      <c r="I145" s="6">
        <v>0</v>
      </c>
      <c r="J145" s="6">
        <v>3</v>
      </c>
      <c r="K145" s="6">
        <v>3</v>
      </c>
      <c r="L145" s="6">
        <v>2</v>
      </c>
      <c r="M145" s="6">
        <v>4</v>
      </c>
      <c r="N145" s="6">
        <v>0</v>
      </c>
      <c r="O145" s="6">
        <v>0</v>
      </c>
      <c r="P145" s="6">
        <v>1</v>
      </c>
      <c r="Q145" s="6">
        <v>2</v>
      </c>
      <c r="R145" s="6">
        <v>1</v>
      </c>
      <c r="S145" s="6">
        <v>3</v>
      </c>
      <c r="T145" s="6">
        <v>2</v>
      </c>
      <c r="U145" s="6">
        <v>2</v>
      </c>
      <c r="V145" s="5">
        <f t="shared" si="62"/>
        <v>37</v>
      </c>
    </row>
    <row r="146" spans="1:22" x14ac:dyDescent="0.4">
      <c r="A146" s="7"/>
      <c r="B146" s="46">
        <v>2</v>
      </c>
      <c r="C146" s="24" t="s">
        <v>164</v>
      </c>
      <c r="D146" s="47"/>
      <c r="E146" s="6">
        <v>6</v>
      </c>
      <c r="F146" s="6">
        <v>12</v>
      </c>
      <c r="G146" s="6">
        <v>12</v>
      </c>
      <c r="H146" s="6">
        <v>3</v>
      </c>
      <c r="I146" s="6">
        <v>3</v>
      </c>
      <c r="J146" s="6">
        <v>26</v>
      </c>
      <c r="K146" s="6">
        <v>53</v>
      </c>
      <c r="L146" s="6">
        <v>46</v>
      </c>
      <c r="M146" s="6">
        <v>14</v>
      </c>
      <c r="N146" s="6">
        <v>1</v>
      </c>
      <c r="O146" s="6">
        <v>10</v>
      </c>
      <c r="P146" s="6">
        <v>3</v>
      </c>
      <c r="Q146" s="6">
        <v>0</v>
      </c>
      <c r="R146" s="6">
        <v>1</v>
      </c>
      <c r="S146" s="6">
        <v>0</v>
      </c>
      <c r="T146" s="6">
        <v>4</v>
      </c>
      <c r="U146" s="6">
        <v>43</v>
      </c>
      <c r="V146" s="5">
        <f t="shared" si="62"/>
        <v>237</v>
      </c>
    </row>
    <row r="147" spans="1:22" x14ac:dyDescent="0.4">
      <c r="A147" s="7"/>
      <c r="B147" s="46">
        <v>3</v>
      </c>
      <c r="C147" s="24" t="s">
        <v>165</v>
      </c>
      <c r="D147" s="47"/>
      <c r="E147" s="6">
        <v>1</v>
      </c>
      <c r="F147" s="6">
        <v>0</v>
      </c>
      <c r="G147" s="6">
        <v>2</v>
      </c>
      <c r="H147" s="6">
        <v>1</v>
      </c>
      <c r="I147" s="6">
        <v>0</v>
      </c>
      <c r="J147" s="6">
        <v>0</v>
      </c>
      <c r="K147" s="6">
        <v>1</v>
      </c>
      <c r="L147" s="6">
        <v>0</v>
      </c>
      <c r="M147" s="6">
        <v>0</v>
      </c>
      <c r="N147" s="6">
        <v>0</v>
      </c>
      <c r="O147" s="6">
        <v>1</v>
      </c>
      <c r="P147" s="6">
        <v>1</v>
      </c>
      <c r="Q147" s="6">
        <v>0</v>
      </c>
      <c r="R147" s="6">
        <v>1</v>
      </c>
      <c r="S147" s="6">
        <v>0</v>
      </c>
      <c r="T147" s="6">
        <v>1</v>
      </c>
      <c r="U147" s="6">
        <v>2</v>
      </c>
      <c r="V147" s="5">
        <f t="shared" si="62"/>
        <v>11</v>
      </c>
    </row>
    <row r="148" spans="1:22" x14ac:dyDescent="0.4">
      <c r="A148" s="7"/>
      <c r="B148" s="46">
        <v>4</v>
      </c>
      <c r="C148" s="24" t="s">
        <v>166</v>
      </c>
      <c r="D148" s="47"/>
      <c r="E148" s="6">
        <v>0</v>
      </c>
      <c r="F148" s="6">
        <v>3</v>
      </c>
      <c r="G148" s="6">
        <v>1</v>
      </c>
      <c r="H148" s="6">
        <v>0</v>
      </c>
      <c r="I148" s="6">
        <v>0</v>
      </c>
      <c r="J148" s="6">
        <v>1</v>
      </c>
      <c r="K148" s="6">
        <v>0</v>
      </c>
      <c r="L148" s="6">
        <v>3</v>
      </c>
      <c r="M148" s="6">
        <v>4</v>
      </c>
      <c r="N148" s="6">
        <v>0</v>
      </c>
      <c r="O148" s="6">
        <v>1</v>
      </c>
      <c r="P148" s="6">
        <v>1</v>
      </c>
      <c r="Q148" s="6">
        <v>0</v>
      </c>
      <c r="R148" s="6">
        <v>0</v>
      </c>
      <c r="S148" s="6">
        <v>0</v>
      </c>
      <c r="T148" s="6"/>
      <c r="U148" s="6"/>
      <c r="V148" s="5">
        <f t="shared" si="62"/>
        <v>14</v>
      </c>
    </row>
    <row r="149" spans="1:22" x14ac:dyDescent="0.4">
      <c r="A149" s="7"/>
      <c r="B149" s="46">
        <v>5</v>
      </c>
      <c r="C149" s="24" t="s">
        <v>167</v>
      </c>
      <c r="D149" s="47"/>
      <c r="E149" s="6">
        <v>0</v>
      </c>
      <c r="F149" s="6">
        <v>0</v>
      </c>
      <c r="G149" s="6">
        <v>5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2</v>
      </c>
      <c r="Q149" s="6">
        <v>0</v>
      </c>
      <c r="R149" s="6">
        <v>0</v>
      </c>
      <c r="S149" s="6">
        <v>0</v>
      </c>
      <c r="T149" s="6"/>
      <c r="U149" s="6">
        <v>1</v>
      </c>
      <c r="V149" s="5">
        <f t="shared" si="62"/>
        <v>8</v>
      </c>
    </row>
    <row r="150" spans="1:22" ht="13.15" customHeight="1" x14ac:dyDescent="0.4">
      <c r="A150" s="7"/>
      <c r="B150" s="46">
        <v>6</v>
      </c>
      <c r="C150" s="24" t="s">
        <v>168</v>
      </c>
      <c r="D150" s="47"/>
      <c r="E150" s="6">
        <v>1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1</v>
      </c>
      <c r="P150" s="6">
        <v>0</v>
      </c>
      <c r="Q150" s="6">
        <v>0</v>
      </c>
      <c r="R150" s="6">
        <v>1</v>
      </c>
      <c r="S150" s="6">
        <v>0</v>
      </c>
      <c r="T150" s="6"/>
      <c r="U150" s="6"/>
      <c r="V150" s="5">
        <f t="shared" si="62"/>
        <v>3</v>
      </c>
    </row>
    <row r="151" spans="1:22" x14ac:dyDescent="0.4">
      <c r="A151" s="6" t="s">
        <v>25</v>
      </c>
      <c r="B151" s="52" t="s">
        <v>50</v>
      </c>
      <c r="C151" s="53"/>
      <c r="D151" s="54"/>
      <c r="E151" s="5">
        <f t="shared" ref="E151:V151" si="63">SUM(E144:E150)</f>
        <v>18</v>
      </c>
      <c r="F151" s="5">
        <f t="shared" si="63"/>
        <v>21</v>
      </c>
      <c r="G151" s="5">
        <f t="shared" si="63"/>
        <v>28</v>
      </c>
      <c r="H151" s="5">
        <f t="shared" si="63"/>
        <v>13</v>
      </c>
      <c r="I151" s="5">
        <f t="shared" si="63"/>
        <v>5</v>
      </c>
      <c r="J151" s="5">
        <f t="shared" si="63"/>
        <v>30</v>
      </c>
      <c r="K151" s="5">
        <f t="shared" si="63"/>
        <v>64</v>
      </c>
      <c r="L151" s="5">
        <f t="shared" si="63"/>
        <v>61</v>
      </c>
      <c r="M151" s="5">
        <f t="shared" si="63"/>
        <v>25</v>
      </c>
      <c r="N151" s="5">
        <f t="shared" si="63"/>
        <v>4</v>
      </c>
      <c r="O151" s="5">
        <f t="shared" si="63"/>
        <v>15</v>
      </c>
      <c r="P151" s="5">
        <f t="shared" si="63"/>
        <v>10</v>
      </c>
      <c r="Q151" s="5">
        <f t="shared" si="63"/>
        <v>3</v>
      </c>
      <c r="R151" s="5">
        <f t="shared" si="63"/>
        <v>4</v>
      </c>
      <c r="S151" s="5">
        <f t="shared" si="63"/>
        <v>6</v>
      </c>
      <c r="T151" s="5">
        <f t="shared" si="63"/>
        <v>9</v>
      </c>
      <c r="U151" s="5">
        <f t="shared" si="63"/>
        <v>50</v>
      </c>
      <c r="V151" s="5">
        <f t="shared" si="63"/>
        <v>366</v>
      </c>
    </row>
    <row r="152" spans="1:22" x14ac:dyDescent="0.4">
      <c r="A152" s="55"/>
      <c r="B152" s="56"/>
      <c r="C152" s="56"/>
      <c r="D152" s="56"/>
      <c r="E152" s="5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1:22" x14ac:dyDescent="0.4">
      <c r="A153" s="11" t="s">
        <v>47</v>
      </c>
      <c r="B153" s="17" t="s">
        <v>74</v>
      </c>
      <c r="C153" s="50" t="s">
        <v>75</v>
      </c>
      <c r="D153" s="51"/>
      <c r="E153" s="6">
        <v>4</v>
      </c>
      <c r="F153" s="6">
        <v>2</v>
      </c>
      <c r="G153" s="6">
        <v>0</v>
      </c>
      <c r="H153" s="6">
        <v>3</v>
      </c>
      <c r="I153" s="6">
        <v>0</v>
      </c>
      <c r="J153" s="6">
        <v>1</v>
      </c>
      <c r="K153" s="6">
        <v>1</v>
      </c>
      <c r="L153" s="6">
        <v>0</v>
      </c>
      <c r="M153" s="6">
        <v>0</v>
      </c>
      <c r="N153" s="6">
        <v>1</v>
      </c>
      <c r="O153" s="6">
        <v>6</v>
      </c>
      <c r="P153" s="6">
        <v>3</v>
      </c>
      <c r="Q153" s="6">
        <v>2</v>
      </c>
      <c r="R153" s="6">
        <v>0</v>
      </c>
      <c r="S153" s="6">
        <v>0</v>
      </c>
      <c r="T153" s="6"/>
      <c r="U153" s="6">
        <v>2</v>
      </c>
      <c r="V153" s="5">
        <f t="shared" ref="V153:V155" si="64">SUM(E153:U153)</f>
        <v>25</v>
      </c>
    </row>
    <row r="154" spans="1:22" x14ac:dyDescent="0.4">
      <c r="A154" s="11" t="s">
        <v>49</v>
      </c>
      <c r="B154" s="46">
        <v>1</v>
      </c>
      <c r="C154" s="24" t="s">
        <v>169</v>
      </c>
      <c r="D154" s="47"/>
      <c r="E154" s="6">
        <v>1</v>
      </c>
      <c r="F154" s="6">
        <v>1</v>
      </c>
      <c r="G154" s="6">
        <v>3</v>
      </c>
      <c r="H154" s="6">
        <v>0</v>
      </c>
      <c r="I154" s="6">
        <v>1</v>
      </c>
      <c r="J154" s="6">
        <v>0</v>
      </c>
      <c r="K154" s="6">
        <v>0</v>
      </c>
      <c r="L154" s="6">
        <v>8</v>
      </c>
      <c r="M154" s="6">
        <v>0</v>
      </c>
      <c r="N154" s="6">
        <v>0</v>
      </c>
      <c r="O154" s="6">
        <v>2</v>
      </c>
      <c r="P154" s="6">
        <v>1</v>
      </c>
      <c r="Q154" s="6">
        <v>1</v>
      </c>
      <c r="R154" s="6">
        <v>1</v>
      </c>
      <c r="S154" s="6">
        <v>0</v>
      </c>
      <c r="T154" s="6"/>
      <c r="U154" s="6"/>
      <c r="V154" s="5">
        <f t="shared" si="64"/>
        <v>19</v>
      </c>
    </row>
    <row r="155" spans="1:22" x14ac:dyDescent="0.4">
      <c r="A155" s="7"/>
      <c r="B155" s="46">
        <v>2</v>
      </c>
      <c r="C155" s="24" t="s">
        <v>170</v>
      </c>
      <c r="D155" s="47"/>
      <c r="E155" s="6">
        <v>2</v>
      </c>
      <c r="F155" s="6">
        <v>5</v>
      </c>
      <c r="G155" s="6">
        <v>1</v>
      </c>
      <c r="H155" s="6">
        <v>0</v>
      </c>
      <c r="I155" s="6">
        <v>0</v>
      </c>
      <c r="J155" s="6">
        <v>1</v>
      </c>
      <c r="K155" s="6">
        <v>0</v>
      </c>
      <c r="L155" s="6">
        <v>1</v>
      </c>
      <c r="M155" s="6">
        <v>1</v>
      </c>
      <c r="N155" s="6">
        <v>0</v>
      </c>
      <c r="O155" s="6">
        <v>3</v>
      </c>
      <c r="P155" s="6">
        <v>1</v>
      </c>
      <c r="Q155" s="6">
        <v>2</v>
      </c>
      <c r="R155" s="6">
        <v>0</v>
      </c>
      <c r="S155" s="6">
        <v>0</v>
      </c>
      <c r="T155" s="6">
        <v>1</v>
      </c>
      <c r="U155" s="6"/>
      <c r="V155" s="5">
        <f t="shared" si="64"/>
        <v>18</v>
      </c>
    </row>
    <row r="156" spans="1:22" x14ac:dyDescent="0.4">
      <c r="A156" s="6" t="s">
        <v>25</v>
      </c>
      <c r="B156" s="52" t="s">
        <v>50</v>
      </c>
      <c r="C156" s="53"/>
      <c r="D156" s="54"/>
      <c r="E156" s="5">
        <f t="shared" ref="E156:V156" si="65">SUM(E153:E155)</f>
        <v>7</v>
      </c>
      <c r="F156" s="5">
        <f t="shared" si="65"/>
        <v>8</v>
      </c>
      <c r="G156" s="5">
        <f t="shared" si="65"/>
        <v>4</v>
      </c>
      <c r="H156" s="5">
        <f t="shared" si="65"/>
        <v>3</v>
      </c>
      <c r="I156" s="5">
        <f t="shared" si="65"/>
        <v>1</v>
      </c>
      <c r="J156" s="5">
        <f t="shared" si="65"/>
        <v>2</v>
      </c>
      <c r="K156" s="5">
        <f t="shared" si="65"/>
        <v>1</v>
      </c>
      <c r="L156" s="5">
        <f t="shared" si="65"/>
        <v>9</v>
      </c>
      <c r="M156" s="5">
        <f t="shared" si="65"/>
        <v>1</v>
      </c>
      <c r="N156" s="5">
        <f t="shared" si="65"/>
        <v>1</v>
      </c>
      <c r="O156" s="5">
        <f t="shared" si="65"/>
        <v>11</v>
      </c>
      <c r="P156" s="5">
        <f t="shared" si="65"/>
        <v>5</v>
      </c>
      <c r="Q156" s="5">
        <f t="shared" si="65"/>
        <v>5</v>
      </c>
      <c r="R156" s="5">
        <f t="shared" si="65"/>
        <v>1</v>
      </c>
      <c r="S156" s="5">
        <f t="shared" si="65"/>
        <v>0</v>
      </c>
      <c r="T156" s="5">
        <f t="shared" si="65"/>
        <v>1</v>
      </c>
      <c r="U156" s="5">
        <f t="shared" si="65"/>
        <v>2</v>
      </c>
      <c r="V156" s="5">
        <f t="shared" si="65"/>
        <v>62</v>
      </c>
    </row>
    <row r="157" spans="1:22" x14ac:dyDescent="0.4">
      <c r="A157" s="55"/>
      <c r="B157" s="56"/>
      <c r="C157" s="56"/>
      <c r="D157" s="56"/>
      <c r="E157" s="5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 spans="1:22" x14ac:dyDescent="0.4">
      <c r="A158" s="11" t="s">
        <v>47</v>
      </c>
      <c r="B158" s="17" t="s">
        <v>76</v>
      </c>
      <c r="C158" s="50" t="s">
        <v>77</v>
      </c>
      <c r="D158" s="51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1</v>
      </c>
      <c r="K158" s="6">
        <v>0</v>
      </c>
      <c r="L158" s="6">
        <v>0</v>
      </c>
      <c r="M158" s="6">
        <v>0</v>
      </c>
      <c r="N158" s="6">
        <v>0</v>
      </c>
      <c r="O158" s="6">
        <v>1</v>
      </c>
      <c r="P158" s="6">
        <v>0</v>
      </c>
      <c r="Q158" s="6">
        <v>0</v>
      </c>
      <c r="R158" s="6">
        <v>0</v>
      </c>
      <c r="S158" s="6">
        <v>0</v>
      </c>
      <c r="T158" s="6"/>
      <c r="U158" s="6"/>
      <c r="V158" s="5">
        <f t="shared" ref="V158:V161" si="66">SUM(E158:U158)</f>
        <v>2</v>
      </c>
    </row>
    <row r="159" spans="1:22" x14ac:dyDescent="0.4">
      <c r="A159" s="11" t="s">
        <v>49</v>
      </c>
      <c r="B159" s="46">
        <v>1</v>
      </c>
      <c r="C159" s="24" t="s">
        <v>171</v>
      </c>
      <c r="D159" s="45"/>
      <c r="E159" s="6">
        <v>0</v>
      </c>
      <c r="F159" s="6">
        <v>0</v>
      </c>
      <c r="G159" s="6">
        <v>1</v>
      </c>
      <c r="H159" s="6">
        <v>1</v>
      </c>
      <c r="I159" s="6">
        <v>1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1</v>
      </c>
      <c r="P159" s="6">
        <v>0</v>
      </c>
      <c r="Q159" s="6">
        <v>1</v>
      </c>
      <c r="R159" s="6">
        <v>0</v>
      </c>
      <c r="S159" s="6">
        <v>0</v>
      </c>
      <c r="T159" s="6"/>
      <c r="U159" s="6"/>
      <c r="V159" s="5">
        <f t="shared" si="66"/>
        <v>5</v>
      </c>
    </row>
    <row r="160" spans="1:22" x14ac:dyDescent="0.4">
      <c r="A160" s="7"/>
      <c r="B160" s="46">
        <v>2</v>
      </c>
      <c r="C160" s="24" t="s">
        <v>172</v>
      </c>
      <c r="D160" s="45"/>
      <c r="E160" s="6">
        <v>0</v>
      </c>
      <c r="F160" s="6">
        <v>1</v>
      </c>
      <c r="G160" s="6">
        <v>0</v>
      </c>
      <c r="H160" s="6">
        <v>2</v>
      </c>
      <c r="I160" s="6">
        <v>0</v>
      </c>
      <c r="J160" s="6">
        <v>1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1</v>
      </c>
      <c r="S160" s="6">
        <v>0</v>
      </c>
      <c r="T160" s="6"/>
      <c r="U160" s="6"/>
      <c r="V160" s="5">
        <f t="shared" si="66"/>
        <v>5</v>
      </c>
    </row>
    <row r="161" spans="1:22" x14ac:dyDescent="0.4">
      <c r="A161" s="7"/>
      <c r="B161" s="46">
        <v>3</v>
      </c>
      <c r="C161" s="24" t="s">
        <v>173</v>
      </c>
      <c r="D161" s="45"/>
      <c r="E161" s="6">
        <v>3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1</v>
      </c>
      <c r="L161" s="6">
        <v>0</v>
      </c>
      <c r="M161" s="6">
        <v>1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/>
      <c r="U161" s="6"/>
      <c r="V161" s="5">
        <f t="shared" si="66"/>
        <v>5</v>
      </c>
    </row>
    <row r="162" spans="1:22" x14ac:dyDescent="0.4">
      <c r="A162" s="6" t="s">
        <v>25</v>
      </c>
      <c r="B162" s="52" t="s">
        <v>50</v>
      </c>
      <c r="C162" s="53"/>
      <c r="D162" s="54"/>
      <c r="E162" s="5">
        <f t="shared" ref="E162:V162" si="67">SUM(E158:E161)</f>
        <v>3</v>
      </c>
      <c r="F162" s="5">
        <f t="shared" si="67"/>
        <v>1</v>
      </c>
      <c r="G162" s="5">
        <f t="shared" si="67"/>
        <v>1</v>
      </c>
      <c r="H162" s="5">
        <f t="shared" si="67"/>
        <v>3</v>
      </c>
      <c r="I162" s="5">
        <f t="shared" si="67"/>
        <v>1</v>
      </c>
      <c r="J162" s="5">
        <f t="shared" si="67"/>
        <v>2</v>
      </c>
      <c r="K162" s="5">
        <f t="shared" si="67"/>
        <v>1</v>
      </c>
      <c r="L162" s="5">
        <f t="shared" si="67"/>
        <v>0</v>
      </c>
      <c r="M162" s="5">
        <f t="shared" si="67"/>
        <v>1</v>
      </c>
      <c r="N162" s="5">
        <f t="shared" si="67"/>
        <v>0</v>
      </c>
      <c r="O162" s="5">
        <f t="shared" si="67"/>
        <v>2</v>
      </c>
      <c r="P162" s="5">
        <f t="shared" si="67"/>
        <v>0</v>
      </c>
      <c r="Q162" s="5">
        <f t="shared" si="67"/>
        <v>1</v>
      </c>
      <c r="R162" s="5">
        <f t="shared" si="67"/>
        <v>1</v>
      </c>
      <c r="S162" s="5">
        <f t="shared" si="67"/>
        <v>0</v>
      </c>
      <c r="T162" s="5">
        <f t="shared" si="67"/>
        <v>0</v>
      </c>
      <c r="U162" s="5">
        <f t="shared" si="67"/>
        <v>0</v>
      </c>
      <c r="V162" s="5">
        <f t="shared" si="67"/>
        <v>17</v>
      </c>
    </row>
    <row r="163" spans="1:22" x14ac:dyDescent="0.4">
      <c r="A163" s="55"/>
      <c r="B163" s="56"/>
      <c r="C163" s="56"/>
      <c r="D163" s="56"/>
      <c r="E163" s="5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 spans="1:22" x14ac:dyDescent="0.4">
      <c r="A164" s="11" t="s">
        <v>47</v>
      </c>
      <c r="B164" s="17" t="s">
        <v>78</v>
      </c>
      <c r="C164" s="50" t="s">
        <v>79</v>
      </c>
      <c r="D164" s="51"/>
      <c r="E164" s="6">
        <v>1</v>
      </c>
      <c r="F164" s="6">
        <v>1</v>
      </c>
      <c r="G164" s="6">
        <v>0</v>
      </c>
      <c r="H164" s="6">
        <v>1</v>
      </c>
      <c r="I164" s="6">
        <v>1</v>
      </c>
      <c r="J164" s="6">
        <v>0</v>
      </c>
      <c r="K164" s="6">
        <v>0</v>
      </c>
      <c r="L164" s="6">
        <v>0</v>
      </c>
      <c r="M164" s="6">
        <v>2</v>
      </c>
      <c r="N164" s="6">
        <v>1</v>
      </c>
      <c r="O164" s="6">
        <v>0</v>
      </c>
      <c r="P164" s="6">
        <v>0</v>
      </c>
      <c r="Q164" s="6">
        <v>1</v>
      </c>
      <c r="R164" s="6">
        <v>0</v>
      </c>
      <c r="S164" s="6">
        <v>1</v>
      </c>
      <c r="T164" s="6">
        <v>1</v>
      </c>
      <c r="U164" s="6">
        <v>1</v>
      </c>
      <c r="V164" s="5">
        <f t="shared" ref="V164:V170" si="68">SUM(E164:U164)</f>
        <v>11</v>
      </c>
    </row>
    <row r="165" spans="1:22" x14ac:dyDescent="0.4">
      <c r="A165" s="11" t="s">
        <v>49</v>
      </c>
      <c r="B165" s="46">
        <v>1</v>
      </c>
      <c r="C165" s="24" t="s">
        <v>174</v>
      </c>
      <c r="D165" s="47"/>
      <c r="E165" s="6">
        <v>0</v>
      </c>
      <c r="F165" s="6">
        <v>0</v>
      </c>
      <c r="G165" s="6">
        <v>1</v>
      </c>
      <c r="H165" s="6">
        <v>2</v>
      </c>
      <c r="I165" s="6">
        <v>1</v>
      </c>
      <c r="J165" s="6">
        <v>0</v>
      </c>
      <c r="K165" s="6">
        <v>1</v>
      </c>
      <c r="L165" s="6">
        <v>0</v>
      </c>
      <c r="M165" s="6">
        <v>1</v>
      </c>
      <c r="N165" s="6">
        <v>0</v>
      </c>
      <c r="O165" s="6">
        <v>1</v>
      </c>
      <c r="P165" s="6">
        <v>1</v>
      </c>
      <c r="Q165" s="6">
        <v>0</v>
      </c>
      <c r="R165" s="6">
        <v>0</v>
      </c>
      <c r="S165" s="6">
        <v>0</v>
      </c>
      <c r="T165" s="6"/>
      <c r="U165" s="6"/>
      <c r="V165" s="5">
        <f t="shared" si="68"/>
        <v>8</v>
      </c>
    </row>
    <row r="166" spans="1:22" x14ac:dyDescent="0.4">
      <c r="A166" s="7"/>
      <c r="B166" s="46">
        <v>2</v>
      </c>
      <c r="C166" s="24" t="s">
        <v>175</v>
      </c>
      <c r="D166" s="47"/>
      <c r="E166" s="6">
        <v>0</v>
      </c>
      <c r="F166" s="6">
        <v>0</v>
      </c>
      <c r="G166" s="6">
        <v>3</v>
      </c>
      <c r="H166" s="6">
        <v>0</v>
      </c>
      <c r="I166" s="6">
        <v>0</v>
      </c>
      <c r="J166" s="6">
        <v>1</v>
      </c>
      <c r="K166" s="6">
        <v>0</v>
      </c>
      <c r="L166" s="6">
        <v>0</v>
      </c>
      <c r="M166" s="6">
        <v>0</v>
      </c>
      <c r="N166" s="6">
        <v>0</v>
      </c>
      <c r="O166" s="6">
        <v>3</v>
      </c>
      <c r="P166" s="6">
        <v>0</v>
      </c>
      <c r="Q166" s="6">
        <v>0</v>
      </c>
      <c r="R166" s="6">
        <v>0</v>
      </c>
      <c r="S166" s="6">
        <v>1</v>
      </c>
      <c r="T166" s="6"/>
      <c r="U166" s="6"/>
      <c r="V166" s="5">
        <f t="shared" si="68"/>
        <v>8</v>
      </c>
    </row>
    <row r="167" spans="1:22" ht="13.15" customHeight="1" x14ac:dyDescent="0.4">
      <c r="A167" s="7"/>
      <c r="B167" s="46">
        <v>3</v>
      </c>
      <c r="C167" s="24" t="s">
        <v>176</v>
      </c>
      <c r="D167" s="47"/>
      <c r="E167" s="6">
        <v>0</v>
      </c>
      <c r="F167" s="6">
        <v>0</v>
      </c>
      <c r="G167" s="6">
        <v>3</v>
      </c>
      <c r="H167" s="6">
        <v>0</v>
      </c>
      <c r="I167" s="6">
        <v>0</v>
      </c>
      <c r="J167" s="6">
        <v>1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1</v>
      </c>
      <c r="R167" s="6">
        <v>0</v>
      </c>
      <c r="S167" s="6">
        <v>0</v>
      </c>
      <c r="T167" s="6"/>
      <c r="U167" s="6"/>
      <c r="V167" s="5">
        <f t="shared" si="68"/>
        <v>5</v>
      </c>
    </row>
    <row r="168" spans="1:22" x14ac:dyDescent="0.4">
      <c r="A168" s="7"/>
      <c r="B168" s="46">
        <v>4</v>
      </c>
      <c r="C168" s="24" t="s">
        <v>177</v>
      </c>
      <c r="D168" s="47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1</v>
      </c>
      <c r="R168" s="6">
        <v>1</v>
      </c>
      <c r="S168" s="6">
        <v>0</v>
      </c>
      <c r="T168" s="6"/>
      <c r="U168" s="6"/>
      <c r="V168" s="5">
        <f t="shared" si="68"/>
        <v>2</v>
      </c>
    </row>
    <row r="169" spans="1:22" ht="12.75" customHeight="1" x14ac:dyDescent="0.4">
      <c r="A169" s="7"/>
      <c r="B169" s="46">
        <v>5</v>
      </c>
      <c r="C169" s="24" t="s">
        <v>178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1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3</v>
      </c>
      <c r="S169" s="6">
        <v>0</v>
      </c>
      <c r="T169" s="6"/>
      <c r="U169" s="6">
        <v>1</v>
      </c>
      <c r="V169" s="5">
        <f t="shared" si="68"/>
        <v>5</v>
      </c>
    </row>
    <row r="170" spans="1:22" x14ac:dyDescent="0.4">
      <c r="A170" s="7"/>
      <c r="B170" s="46">
        <v>6</v>
      </c>
      <c r="C170" s="24" t="s">
        <v>179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1</v>
      </c>
      <c r="Q170" s="6">
        <v>0</v>
      </c>
      <c r="R170" s="6">
        <v>0</v>
      </c>
      <c r="S170" s="6">
        <v>1</v>
      </c>
      <c r="T170" s="6"/>
      <c r="U170" s="6"/>
      <c r="V170" s="5">
        <f t="shared" si="68"/>
        <v>2</v>
      </c>
    </row>
    <row r="171" spans="1:22" ht="12.75" customHeight="1" x14ac:dyDescent="0.4">
      <c r="A171" s="6" t="s">
        <v>25</v>
      </c>
      <c r="B171" s="52" t="s">
        <v>50</v>
      </c>
      <c r="C171" s="53"/>
      <c r="D171" s="54"/>
      <c r="E171" s="5">
        <f t="shared" ref="E171:V171" si="69">SUM(E164:E170)</f>
        <v>1</v>
      </c>
      <c r="F171" s="5">
        <f t="shared" si="69"/>
        <v>1</v>
      </c>
      <c r="G171" s="5">
        <f t="shared" si="69"/>
        <v>7</v>
      </c>
      <c r="H171" s="5">
        <f t="shared" si="69"/>
        <v>3</v>
      </c>
      <c r="I171" s="5">
        <f t="shared" si="69"/>
        <v>2</v>
      </c>
      <c r="J171" s="5">
        <f t="shared" si="69"/>
        <v>3</v>
      </c>
      <c r="K171" s="5">
        <f t="shared" si="69"/>
        <v>1</v>
      </c>
      <c r="L171" s="5">
        <f t="shared" si="69"/>
        <v>0</v>
      </c>
      <c r="M171" s="5">
        <f t="shared" si="69"/>
        <v>3</v>
      </c>
      <c r="N171" s="5">
        <f t="shared" si="69"/>
        <v>1</v>
      </c>
      <c r="O171" s="5">
        <f t="shared" si="69"/>
        <v>4</v>
      </c>
      <c r="P171" s="5">
        <f t="shared" si="69"/>
        <v>2</v>
      </c>
      <c r="Q171" s="5">
        <f t="shared" si="69"/>
        <v>3</v>
      </c>
      <c r="R171" s="5">
        <f t="shared" si="69"/>
        <v>4</v>
      </c>
      <c r="S171" s="5">
        <f t="shared" si="69"/>
        <v>3</v>
      </c>
      <c r="T171" s="5">
        <f t="shared" si="69"/>
        <v>1</v>
      </c>
      <c r="U171" s="5">
        <f t="shared" si="69"/>
        <v>2</v>
      </c>
      <c r="V171" s="5">
        <f t="shared" si="69"/>
        <v>41</v>
      </c>
    </row>
    <row r="172" spans="1:22" x14ac:dyDescent="0.4">
      <c r="A172" s="55"/>
      <c r="B172" s="56"/>
      <c r="C172" s="56"/>
      <c r="D172" s="56"/>
      <c r="E172" s="57"/>
    </row>
    <row r="173" spans="1:22" x14ac:dyDescent="0.4">
      <c r="A173" s="11" t="s">
        <v>47</v>
      </c>
      <c r="B173" s="17" t="s">
        <v>80</v>
      </c>
      <c r="C173" s="50" t="s">
        <v>81</v>
      </c>
      <c r="D173" s="51"/>
      <c r="E173" s="6">
        <v>0</v>
      </c>
      <c r="F173" s="6">
        <v>2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2</v>
      </c>
      <c r="Q173" s="6">
        <v>0</v>
      </c>
      <c r="R173" s="6">
        <v>0</v>
      </c>
      <c r="S173" s="6">
        <v>0</v>
      </c>
      <c r="T173" s="6"/>
      <c r="U173" s="6">
        <v>2</v>
      </c>
      <c r="V173" s="5">
        <f t="shared" ref="V173:V175" si="70">SUM(E173:U173)</f>
        <v>6</v>
      </c>
    </row>
    <row r="174" spans="1:22" x14ac:dyDescent="0.4">
      <c r="A174" s="11" t="s">
        <v>49</v>
      </c>
      <c r="B174" s="46">
        <v>1</v>
      </c>
      <c r="C174" s="24" t="s">
        <v>180</v>
      </c>
      <c r="D174" s="45"/>
      <c r="E174" s="6">
        <v>0</v>
      </c>
      <c r="F174" s="6">
        <v>2</v>
      </c>
      <c r="G174" s="6">
        <v>1</v>
      </c>
      <c r="H174" s="6">
        <v>0</v>
      </c>
      <c r="I174" s="6">
        <v>0</v>
      </c>
      <c r="J174" s="6">
        <v>2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/>
      <c r="U174" s="6"/>
      <c r="V174" s="5">
        <f t="shared" si="70"/>
        <v>5</v>
      </c>
    </row>
    <row r="175" spans="1:22" x14ac:dyDescent="0.4">
      <c r="A175" s="7"/>
      <c r="B175" s="46">
        <v>2</v>
      </c>
      <c r="C175" s="24" t="s">
        <v>181</v>
      </c>
      <c r="D175" s="47"/>
      <c r="E175" s="6">
        <v>0</v>
      </c>
      <c r="F175" s="6">
        <v>0</v>
      </c>
      <c r="G175" s="6">
        <v>2</v>
      </c>
      <c r="H175" s="6">
        <v>0</v>
      </c>
      <c r="I175" s="6">
        <v>0</v>
      </c>
      <c r="J175" s="6">
        <v>0</v>
      </c>
      <c r="K175" s="6">
        <v>1</v>
      </c>
      <c r="L175" s="6">
        <v>1</v>
      </c>
      <c r="M175" s="6">
        <v>0</v>
      </c>
      <c r="N175" s="6">
        <v>0</v>
      </c>
      <c r="O175" s="6">
        <v>1</v>
      </c>
      <c r="P175" s="6">
        <v>0</v>
      </c>
      <c r="Q175" s="6">
        <v>0</v>
      </c>
      <c r="R175" s="6">
        <v>0</v>
      </c>
      <c r="S175" s="6">
        <v>0</v>
      </c>
      <c r="T175" s="6"/>
      <c r="U175" s="6"/>
      <c r="V175" s="5">
        <f t="shared" si="70"/>
        <v>5</v>
      </c>
    </row>
    <row r="176" spans="1:22" x14ac:dyDescent="0.4">
      <c r="A176" s="6" t="s">
        <v>25</v>
      </c>
      <c r="B176" s="52" t="s">
        <v>50</v>
      </c>
      <c r="C176" s="53"/>
      <c r="D176" s="54"/>
      <c r="E176" s="5">
        <f t="shared" ref="E176:V176" si="71">SUM(E173:E175)</f>
        <v>0</v>
      </c>
      <c r="F176" s="5">
        <f t="shared" si="71"/>
        <v>4</v>
      </c>
      <c r="G176" s="5">
        <f t="shared" si="71"/>
        <v>3</v>
      </c>
      <c r="H176" s="5">
        <f t="shared" si="71"/>
        <v>0</v>
      </c>
      <c r="I176" s="5">
        <f t="shared" si="71"/>
        <v>0</v>
      </c>
      <c r="J176" s="5">
        <f t="shared" si="71"/>
        <v>2</v>
      </c>
      <c r="K176" s="5">
        <f t="shared" si="71"/>
        <v>1</v>
      </c>
      <c r="L176" s="5">
        <f t="shared" si="71"/>
        <v>1</v>
      </c>
      <c r="M176" s="5">
        <f t="shared" si="71"/>
        <v>0</v>
      </c>
      <c r="N176" s="5">
        <f t="shared" si="71"/>
        <v>0</v>
      </c>
      <c r="O176" s="5">
        <f t="shared" si="71"/>
        <v>1</v>
      </c>
      <c r="P176" s="5">
        <f t="shared" si="71"/>
        <v>2</v>
      </c>
      <c r="Q176" s="5">
        <f t="shared" si="71"/>
        <v>0</v>
      </c>
      <c r="R176" s="5">
        <f t="shared" si="71"/>
        <v>0</v>
      </c>
      <c r="S176" s="5">
        <f t="shared" si="71"/>
        <v>0</v>
      </c>
      <c r="T176" s="5">
        <f t="shared" si="71"/>
        <v>0</v>
      </c>
      <c r="U176" s="5">
        <f t="shared" si="71"/>
        <v>2</v>
      </c>
      <c r="V176" s="5">
        <f t="shared" si="71"/>
        <v>16</v>
      </c>
    </row>
    <row r="178" spans="1:22" x14ac:dyDescent="0.4">
      <c r="A178" s="16" t="s">
        <v>82</v>
      </c>
      <c r="B178" s="60" t="s">
        <v>83</v>
      </c>
      <c r="C178" s="61"/>
      <c r="D178" s="6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x14ac:dyDescent="0.4">
      <c r="A179" s="16"/>
      <c r="B179" s="19" t="s">
        <v>84</v>
      </c>
      <c r="C179" s="58" t="s">
        <v>85</v>
      </c>
      <c r="D179" s="59"/>
      <c r="E179" s="6">
        <f t="shared" ref="E179:U179" si="72">E52+E61+E70+E79+E88+E91+E98+E107+E113+E122+E125+E134+E142+E151+E156+E162+E171+E176</f>
        <v>194</v>
      </c>
      <c r="F179" s="6">
        <f t="shared" si="72"/>
        <v>197</v>
      </c>
      <c r="G179" s="6">
        <f t="shared" si="72"/>
        <v>227</v>
      </c>
      <c r="H179" s="6">
        <f t="shared" si="72"/>
        <v>202</v>
      </c>
      <c r="I179" s="6">
        <f t="shared" si="72"/>
        <v>179</v>
      </c>
      <c r="J179" s="6">
        <f t="shared" si="72"/>
        <v>202</v>
      </c>
      <c r="K179" s="6">
        <f t="shared" si="72"/>
        <v>188</v>
      </c>
      <c r="L179" s="6">
        <f t="shared" si="72"/>
        <v>213</v>
      </c>
      <c r="M179" s="6">
        <f t="shared" si="72"/>
        <v>208</v>
      </c>
      <c r="N179" s="6">
        <f t="shared" si="72"/>
        <v>149</v>
      </c>
      <c r="O179" s="6">
        <f t="shared" si="72"/>
        <v>199</v>
      </c>
      <c r="P179" s="6">
        <f t="shared" si="72"/>
        <v>204</v>
      </c>
      <c r="Q179" s="6">
        <f t="shared" si="72"/>
        <v>170</v>
      </c>
      <c r="R179" s="6">
        <f t="shared" si="72"/>
        <v>193</v>
      </c>
      <c r="S179" s="6">
        <f t="shared" si="72"/>
        <v>198</v>
      </c>
      <c r="T179" s="6">
        <f t="shared" si="72"/>
        <v>188</v>
      </c>
      <c r="U179" s="6">
        <f t="shared" si="72"/>
        <v>229</v>
      </c>
      <c r="V179" s="5">
        <f>SUM(E179:U179)</f>
        <v>3340</v>
      </c>
    </row>
    <row r="180" spans="1:22" x14ac:dyDescent="0.4">
      <c r="A180" s="13"/>
      <c r="B180" s="19" t="s">
        <v>86</v>
      </c>
      <c r="C180" s="58" t="s">
        <v>87</v>
      </c>
      <c r="D180" s="59"/>
      <c r="E180" s="6">
        <v>18</v>
      </c>
      <c r="F180" s="6">
        <v>13</v>
      </c>
      <c r="G180" s="6">
        <v>20</v>
      </c>
      <c r="H180" s="6">
        <v>28</v>
      </c>
      <c r="I180" s="6">
        <v>27</v>
      </c>
      <c r="J180" s="6">
        <v>16</v>
      </c>
      <c r="K180" s="6">
        <v>16</v>
      </c>
      <c r="L180" s="6">
        <v>17</v>
      </c>
      <c r="M180" s="6">
        <v>14</v>
      </c>
      <c r="N180" s="6">
        <v>11</v>
      </c>
      <c r="O180" s="6">
        <v>22</v>
      </c>
      <c r="P180" s="6">
        <v>16</v>
      </c>
      <c r="Q180" s="6">
        <v>9</v>
      </c>
      <c r="R180" s="6">
        <v>15</v>
      </c>
      <c r="S180" s="6">
        <v>17</v>
      </c>
      <c r="T180" s="6">
        <v>14</v>
      </c>
      <c r="U180" s="6">
        <v>15</v>
      </c>
      <c r="V180" s="5">
        <f>SUM(E180:U180)</f>
        <v>288</v>
      </c>
    </row>
    <row r="181" spans="1:22" x14ac:dyDescent="0.4">
      <c r="A181" s="14"/>
      <c r="B181" s="19" t="s">
        <v>88</v>
      </c>
      <c r="C181" s="58" t="s">
        <v>89</v>
      </c>
      <c r="D181" s="59"/>
      <c r="E181" s="5">
        <f>SUM(E179:E180)</f>
        <v>212</v>
      </c>
      <c r="F181" s="5">
        <f t="shared" ref="F181:K181" si="73">SUM(F179:F180)</f>
        <v>210</v>
      </c>
      <c r="G181" s="5">
        <f t="shared" si="73"/>
        <v>247</v>
      </c>
      <c r="H181" s="5">
        <f t="shared" si="73"/>
        <v>230</v>
      </c>
      <c r="I181" s="5">
        <f t="shared" si="73"/>
        <v>206</v>
      </c>
      <c r="J181" s="5">
        <f t="shared" si="73"/>
        <v>218</v>
      </c>
      <c r="K181" s="5">
        <f t="shared" si="73"/>
        <v>204</v>
      </c>
      <c r="L181" s="5">
        <f t="shared" ref="L181:U181" si="74">SUM(L179:L180)</f>
        <v>230</v>
      </c>
      <c r="M181" s="5">
        <f t="shared" si="74"/>
        <v>222</v>
      </c>
      <c r="N181" s="5">
        <f t="shared" si="74"/>
        <v>160</v>
      </c>
      <c r="O181" s="5">
        <f t="shared" ref="O181:Q181" si="75">SUM(O179:O180)</f>
        <v>221</v>
      </c>
      <c r="P181" s="5">
        <f t="shared" si="75"/>
        <v>220</v>
      </c>
      <c r="Q181" s="5">
        <f t="shared" si="75"/>
        <v>179</v>
      </c>
      <c r="R181" s="5">
        <f t="shared" si="74"/>
        <v>208</v>
      </c>
      <c r="S181" s="5">
        <f t="shared" ref="S181:T181" si="76">SUM(S179:S180)</f>
        <v>215</v>
      </c>
      <c r="T181" s="5">
        <f t="shared" si="76"/>
        <v>202</v>
      </c>
      <c r="U181" s="5">
        <f t="shared" si="74"/>
        <v>244</v>
      </c>
      <c r="V181" s="5">
        <f>SUM(E181:U181)</f>
        <v>3628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U12"/>
    <mergeCell ref="V12:V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R37"/>
    <mergeCell ref="B38:D38"/>
    <mergeCell ref="A42:D42"/>
    <mergeCell ref="E42:R42"/>
    <mergeCell ref="B43:D43"/>
    <mergeCell ref="B39:C41"/>
    <mergeCell ref="A44:D44"/>
    <mergeCell ref="C45:D45"/>
    <mergeCell ref="C81:D81"/>
    <mergeCell ref="B52:D52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109:D109"/>
    <mergeCell ref="B88:D88"/>
    <mergeCell ref="A89:E89"/>
    <mergeCell ref="C90:D90"/>
    <mergeCell ref="B91:D91"/>
    <mergeCell ref="A92:E92"/>
    <mergeCell ref="C93:D93"/>
    <mergeCell ref="B98:D98"/>
    <mergeCell ref="A99:E99"/>
    <mergeCell ref="C100:D100"/>
    <mergeCell ref="B107:D107"/>
    <mergeCell ref="A108:E108"/>
    <mergeCell ref="C136:D136"/>
    <mergeCell ref="B113:D113"/>
    <mergeCell ref="A114:E114"/>
    <mergeCell ref="C115:D115"/>
    <mergeCell ref="B122:D122"/>
    <mergeCell ref="A123:E123"/>
    <mergeCell ref="C124:D124"/>
    <mergeCell ref="B125:D125"/>
    <mergeCell ref="A126:E126"/>
    <mergeCell ref="C127:D127"/>
    <mergeCell ref="B134:D134"/>
    <mergeCell ref="A135:E135"/>
    <mergeCell ref="C180:D180"/>
    <mergeCell ref="C181:D181"/>
    <mergeCell ref="B171:D171"/>
    <mergeCell ref="A172:E172"/>
    <mergeCell ref="C173:D173"/>
    <mergeCell ref="B176:D176"/>
    <mergeCell ref="B178:D178"/>
    <mergeCell ref="C179:D179"/>
    <mergeCell ref="C164:D164"/>
    <mergeCell ref="B142:D142"/>
    <mergeCell ref="A143:E143"/>
    <mergeCell ref="C144:D144"/>
    <mergeCell ref="B151:D151"/>
    <mergeCell ref="A152:E152"/>
    <mergeCell ref="C153:D153"/>
    <mergeCell ref="B156:D156"/>
    <mergeCell ref="A157:E157"/>
    <mergeCell ref="C158:D158"/>
    <mergeCell ref="B162:D162"/>
    <mergeCell ref="A163:E163"/>
  </mergeCells>
  <phoneticPr fontId="8" type="noConversion"/>
  <conditionalFormatting sqref="E14:U15">
    <cfRule type="containsBlanks" dxfId="139" priority="21">
      <formula>LEN(TRIM(E14))=0</formula>
    </cfRule>
  </conditionalFormatting>
  <conditionalFormatting sqref="E19:U20">
    <cfRule type="containsBlanks" dxfId="138" priority="24">
      <formula>LEN(TRIM(E19))=0</formula>
    </cfRule>
  </conditionalFormatting>
  <conditionalFormatting sqref="E22:U23 E25:U26 E33:U33 E35:U35 E39:U40">
    <cfRule type="containsBlanks" dxfId="137" priority="25">
      <formula>LEN(TRIM(E22))=0</formula>
    </cfRule>
  </conditionalFormatting>
  <conditionalFormatting sqref="E30:U30">
    <cfRule type="expression" dxfId="136" priority="26">
      <formula>E30&lt;&gt;E47</formula>
    </cfRule>
    <cfRule type="expression" dxfId="135" priority="27">
      <formula>E30&lt;&gt;E34</formula>
    </cfRule>
  </conditionalFormatting>
  <conditionalFormatting sqref="E34:U34">
    <cfRule type="expression" dxfId="134" priority="87">
      <formula>E30&lt;&gt;E34</formula>
    </cfRule>
    <cfRule type="expression" dxfId="133" priority="88">
      <formula>E30=E34</formula>
    </cfRule>
    <cfRule type="expression" dxfId="132" priority="89">
      <formula>E34&lt;&gt;E30</formula>
    </cfRule>
    <cfRule type="expression" dxfId="131" priority="90">
      <formula>E34&lt;&gt;#REF!</formula>
    </cfRule>
  </conditionalFormatting>
  <conditionalFormatting sqref="E45:U51">
    <cfRule type="containsBlanks" dxfId="130" priority="20">
      <formula>LEN(TRIM(E45))=0</formula>
    </cfRule>
  </conditionalFormatting>
  <conditionalFormatting sqref="E54:U60">
    <cfRule type="containsBlanks" dxfId="129" priority="19">
      <formula>LEN(TRIM(E54))=0</formula>
    </cfRule>
  </conditionalFormatting>
  <conditionalFormatting sqref="E63:U69">
    <cfRule type="containsBlanks" dxfId="128" priority="18">
      <formula>LEN(TRIM(E63))=0</formula>
    </cfRule>
  </conditionalFormatting>
  <conditionalFormatting sqref="E72:U78">
    <cfRule type="containsBlanks" dxfId="127" priority="17">
      <formula>LEN(TRIM(E72))=0</formula>
    </cfRule>
  </conditionalFormatting>
  <conditionalFormatting sqref="E81:U87">
    <cfRule type="containsBlanks" dxfId="126" priority="16">
      <formula>LEN(TRIM(E81))=0</formula>
    </cfRule>
  </conditionalFormatting>
  <conditionalFormatting sqref="E90:U90">
    <cfRule type="containsBlanks" dxfId="125" priority="15">
      <formula>LEN(TRIM(E90))=0</formula>
    </cfRule>
  </conditionalFormatting>
  <conditionalFormatting sqref="E93:U97">
    <cfRule type="containsBlanks" dxfId="124" priority="1">
      <formula>LEN(TRIM(E93))=0</formula>
    </cfRule>
  </conditionalFormatting>
  <conditionalFormatting sqref="E100:U106">
    <cfRule type="containsBlanks" dxfId="123" priority="14">
      <formula>LEN(TRIM(E100))=0</formula>
    </cfRule>
  </conditionalFormatting>
  <conditionalFormatting sqref="E109:U112">
    <cfRule type="containsBlanks" dxfId="122" priority="13">
      <formula>LEN(TRIM(E109))=0</formula>
    </cfRule>
  </conditionalFormatting>
  <conditionalFormatting sqref="E115:U121">
    <cfRule type="containsBlanks" dxfId="121" priority="3">
      <formula>LEN(TRIM(E115))=0</formula>
    </cfRule>
  </conditionalFormatting>
  <conditionalFormatting sqref="E124:U124">
    <cfRule type="containsBlanks" dxfId="120" priority="12">
      <formula>LEN(TRIM(E124))=0</formula>
    </cfRule>
  </conditionalFormatting>
  <conditionalFormatting sqref="E127:U133">
    <cfRule type="containsBlanks" dxfId="119" priority="11">
      <formula>LEN(TRIM(E127))=0</formula>
    </cfRule>
  </conditionalFormatting>
  <conditionalFormatting sqref="E136:U141">
    <cfRule type="containsBlanks" dxfId="118" priority="10">
      <formula>LEN(TRIM(E136))=0</formula>
    </cfRule>
  </conditionalFormatting>
  <conditionalFormatting sqref="E144:U150">
    <cfRule type="containsBlanks" dxfId="117" priority="9">
      <formula>LEN(TRIM(E144))=0</formula>
    </cfRule>
  </conditionalFormatting>
  <conditionalFormatting sqref="E153:U155">
    <cfRule type="containsBlanks" dxfId="116" priority="8">
      <formula>LEN(TRIM(E153))=0</formula>
    </cfRule>
  </conditionalFormatting>
  <conditionalFormatting sqref="E158:U161">
    <cfRule type="containsBlanks" dxfId="115" priority="7">
      <formula>LEN(TRIM(E158))=0</formula>
    </cfRule>
  </conditionalFormatting>
  <conditionalFormatting sqref="E164:U170">
    <cfRule type="containsBlanks" dxfId="114" priority="6">
      <formula>LEN(TRIM(E164))=0</formula>
    </cfRule>
  </conditionalFormatting>
  <conditionalFormatting sqref="E173:U175">
    <cfRule type="containsBlanks" dxfId="113" priority="4">
      <formula>LEN(TRIM(E173))=0</formula>
    </cfRule>
  </conditionalFormatting>
  <conditionalFormatting sqref="E179:U180">
    <cfRule type="containsBlanks" dxfId="112" priority="2">
      <formula>LEN(TRIM(E179))=0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125-44C6-45E0-9BD0-378297BA2350}">
  <sheetPr>
    <tabColor rgb="FF92D050"/>
  </sheetPr>
  <dimension ref="A2:V181"/>
  <sheetViews>
    <sheetView tabSelected="1" topLeftCell="D13" zoomScaleNormal="100" workbookViewId="0">
      <pane ySplit="1" topLeftCell="A14" activePane="bottomLeft" state="frozen"/>
      <selection activeCell="A13" sqref="A13"/>
      <selection pane="bottomLeft" activeCell="Q14" sqref="Q14"/>
    </sheetView>
  </sheetViews>
  <sheetFormatPr defaultRowHeight="13.15" x14ac:dyDescent="0.4"/>
  <cols>
    <col min="3" max="3" width="67.140625" bestFit="1" customWidth="1"/>
    <col min="4" max="4" width="5.85546875" bestFit="1" customWidth="1"/>
    <col min="22" max="22" width="13.28515625" customWidth="1"/>
  </cols>
  <sheetData>
    <row r="2" spans="1:22" x14ac:dyDescent="0.4">
      <c r="C2" s="43" t="s">
        <v>91</v>
      </c>
      <c r="D2" s="43" t="s">
        <v>98</v>
      </c>
    </row>
    <row r="3" spans="1:22" x14ac:dyDescent="0.4">
      <c r="C3" s="43" t="s">
        <v>92</v>
      </c>
      <c r="D3" s="43" t="s">
        <v>93</v>
      </c>
    </row>
    <row r="4" spans="1:22" x14ac:dyDescent="0.4">
      <c r="C4" s="43" t="s">
        <v>94</v>
      </c>
      <c r="D4" s="43" t="s">
        <v>95</v>
      </c>
    </row>
    <row r="5" spans="1:22" x14ac:dyDescent="0.4">
      <c r="C5" s="43"/>
      <c r="D5" s="43"/>
    </row>
    <row r="6" spans="1:22" x14ac:dyDescent="0.4">
      <c r="C6" s="43"/>
      <c r="D6" s="43"/>
    </row>
    <row r="7" spans="1:22" x14ac:dyDescent="0.4">
      <c r="C7" s="43"/>
      <c r="D7" s="43"/>
    </row>
    <row r="8" spans="1:22" x14ac:dyDescent="0.4">
      <c r="C8" s="43"/>
      <c r="D8" s="43"/>
    </row>
    <row r="9" spans="1:22" x14ac:dyDescent="0.4">
      <c r="C9" s="43" t="s">
        <v>96</v>
      </c>
      <c r="D9" s="43" t="s">
        <v>99</v>
      </c>
    </row>
    <row r="11" spans="1:22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2" x14ac:dyDescent="0.4">
      <c r="A12" s="5" t="s">
        <v>0</v>
      </c>
      <c r="B12" s="60" t="s">
        <v>1</v>
      </c>
      <c r="C12" s="68"/>
      <c r="D12" s="51"/>
      <c r="E12" s="85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7" t="s">
        <v>90</v>
      </c>
    </row>
    <row r="13" spans="1:22" x14ac:dyDescent="0.4">
      <c r="A13" s="6" t="s">
        <v>2</v>
      </c>
      <c r="B13" s="78" t="s">
        <v>3</v>
      </c>
      <c r="C13" s="68"/>
      <c r="D13" s="5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88"/>
    </row>
    <row r="14" spans="1:22" x14ac:dyDescent="0.4">
      <c r="A14" s="7"/>
      <c r="B14" s="89" t="s">
        <v>21</v>
      </c>
      <c r="C14" s="64"/>
      <c r="D14" s="6" t="s">
        <v>22</v>
      </c>
      <c r="E14" s="6">
        <v>139</v>
      </c>
      <c r="F14" s="6">
        <v>128</v>
      </c>
      <c r="G14" s="6">
        <v>99</v>
      </c>
      <c r="H14" s="6">
        <v>119</v>
      </c>
      <c r="I14" s="6">
        <v>112</v>
      </c>
      <c r="J14" s="6">
        <v>141</v>
      </c>
      <c r="K14" s="6">
        <v>133</v>
      </c>
      <c r="L14" s="6">
        <v>137</v>
      </c>
      <c r="M14" s="6">
        <v>126</v>
      </c>
      <c r="N14" s="6">
        <v>121</v>
      </c>
      <c r="O14" s="6">
        <v>109</v>
      </c>
      <c r="P14" s="6">
        <v>113</v>
      </c>
      <c r="Q14" s="6">
        <v>144</v>
      </c>
      <c r="R14" s="6">
        <v>122</v>
      </c>
      <c r="S14" s="6">
        <v>93</v>
      </c>
      <c r="T14" s="6">
        <v>96</v>
      </c>
      <c r="U14" s="6">
        <v>116</v>
      </c>
      <c r="V14" s="5">
        <f>SUM(E14:U14)</f>
        <v>2048</v>
      </c>
    </row>
    <row r="15" spans="1:22" x14ac:dyDescent="0.4">
      <c r="A15" s="7"/>
      <c r="B15" s="90"/>
      <c r="C15" s="77"/>
      <c r="D15" s="6" t="s">
        <v>23</v>
      </c>
      <c r="E15" s="6">
        <v>146</v>
      </c>
      <c r="F15" s="6">
        <v>135</v>
      </c>
      <c r="G15" s="6">
        <v>104</v>
      </c>
      <c r="H15" s="6">
        <v>131</v>
      </c>
      <c r="I15" s="6">
        <v>104</v>
      </c>
      <c r="J15" s="6">
        <v>148</v>
      </c>
      <c r="K15" s="6">
        <v>146</v>
      </c>
      <c r="L15" s="6">
        <v>151</v>
      </c>
      <c r="M15" s="6">
        <v>144</v>
      </c>
      <c r="N15" s="6">
        <v>123</v>
      </c>
      <c r="O15" s="6">
        <v>119</v>
      </c>
      <c r="P15" s="6">
        <v>114</v>
      </c>
      <c r="Q15" s="6">
        <v>132</v>
      </c>
      <c r="R15" s="6">
        <v>128</v>
      </c>
      <c r="S15" s="6">
        <v>108</v>
      </c>
      <c r="T15" s="6">
        <v>102</v>
      </c>
      <c r="U15" s="6">
        <v>103</v>
      </c>
      <c r="V15" s="5">
        <f>SUM(E15:U15)</f>
        <v>2138</v>
      </c>
    </row>
    <row r="16" spans="1:22" x14ac:dyDescent="0.4">
      <c r="A16" s="8"/>
      <c r="B16" s="91"/>
      <c r="C16" s="75"/>
      <c r="D16" s="5" t="s">
        <v>24</v>
      </c>
      <c r="E16" s="5">
        <f t="shared" ref="E16:O16" si="0">SUM(E14:E15)</f>
        <v>285</v>
      </c>
      <c r="F16" s="5">
        <f t="shared" si="0"/>
        <v>263</v>
      </c>
      <c r="G16" s="5">
        <f t="shared" si="0"/>
        <v>203</v>
      </c>
      <c r="H16" s="5">
        <f t="shared" si="0"/>
        <v>250</v>
      </c>
      <c r="I16" s="5">
        <f t="shared" si="0"/>
        <v>216</v>
      </c>
      <c r="J16" s="5">
        <f t="shared" si="0"/>
        <v>289</v>
      </c>
      <c r="K16" s="5">
        <f t="shared" si="0"/>
        <v>279</v>
      </c>
      <c r="L16" s="5">
        <f t="shared" si="0"/>
        <v>288</v>
      </c>
      <c r="M16" s="5">
        <f t="shared" si="0"/>
        <v>270</v>
      </c>
      <c r="N16" s="5">
        <f t="shared" si="0"/>
        <v>244</v>
      </c>
      <c r="O16" s="5">
        <f t="shared" si="0"/>
        <v>228</v>
      </c>
      <c r="P16" s="5">
        <f t="shared" ref="P16:U16" si="1">SUM(P14:P15)</f>
        <v>227</v>
      </c>
      <c r="Q16" s="5">
        <f t="shared" ref="Q16:R16" si="2">SUM(Q14:Q15)</f>
        <v>276</v>
      </c>
      <c r="R16" s="5">
        <f t="shared" si="2"/>
        <v>250</v>
      </c>
      <c r="S16" s="5">
        <f t="shared" si="1"/>
        <v>201</v>
      </c>
      <c r="T16" s="5">
        <f t="shared" si="1"/>
        <v>198</v>
      </c>
      <c r="U16" s="5">
        <f t="shared" si="1"/>
        <v>219</v>
      </c>
      <c r="V16" s="5">
        <f>SUM(E16:U16)</f>
        <v>4186</v>
      </c>
    </row>
    <row r="17" spans="1:22" x14ac:dyDescent="0.4">
      <c r="A17" s="55"/>
      <c r="B17" s="68"/>
      <c r="C17" s="68"/>
      <c r="D17" s="51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28"/>
    </row>
    <row r="18" spans="1:22" x14ac:dyDescent="0.4">
      <c r="A18" s="11" t="s">
        <v>25</v>
      </c>
      <c r="B18" s="78" t="s">
        <v>26</v>
      </c>
      <c r="C18" s="68"/>
      <c r="D18" s="51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28"/>
    </row>
    <row r="19" spans="1:22" x14ac:dyDescent="0.4">
      <c r="A19" s="11"/>
      <c r="B19" s="79" t="s">
        <v>27</v>
      </c>
      <c r="C19" s="80" t="s">
        <v>28</v>
      </c>
      <c r="D19" s="6" t="s">
        <v>22</v>
      </c>
      <c r="E19" s="6">
        <v>113</v>
      </c>
      <c r="F19" s="6">
        <v>109</v>
      </c>
      <c r="G19" s="6">
        <v>76</v>
      </c>
      <c r="H19" s="6">
        <v>89</v>
      </c>
      <c r="I19" s="6">
        <v>99</v>
      </c>
      <c r="J19" s="6">
        <v>106</v>
      </c>
      <c r="K19" s="6">
        <v>94</v>
      </c>
      <c r="L19" s="6">
        <v>105</v>
      </c>
      <c r="M19" s="6">
        <v>99</v>
      </c>
      <c r="N19" s="6">
        <v>90</v>
      </c>
      <c r="O19" s="6">
        <v>88</v>
      </c>
      <c r="P19" s="6">
        <v>96</v>
      </c>
      <c r="Q19" s="6">
        <v>120</v>
      </c>
      <c r="R19" s="6">
        <v>95</v>
      </c>
      <c r="S19" s="6">
        <v>75</v>
      </c>
      <c r="T19" s="6">
        <v>80</v>
      </c>
      <c r="U19" s="6">
        <v>87</v>
      </c>
      <c r="V19" s="5">
        <f t="shared" ref="V19:V30" si="3">SUM(E19:U19)</f>
        <v>1621</v>
      </c>
    </row>
    <row r="20" spans="1:22" x14ac:dyDescent="0.4">
      <c r="A20" s="12"/>
      <c r="B20" s="77"/>
      <c r="C20" s="81"/>
      <c r="D20" s="6" t="s">
        <v>23</v>
      </c>
      <c r="E20" s="6">
        <v>117</v>
      </c>
      <c r="F20" s="6">
        <v>113</v>
      </c>
      <c r="G20" s="6">
        <v>83</v>
      </c>
      <c r="H20" s="6">
        <v>110</v>
      </c>
      <c r="I20" s="6">
        <v>96</v>
      </c>
      <c r="J20" s="6">
        <v>117</v>
      </c>
      <c r="K20" s="6">
        <v>127</v>
      </c>
      <c r="L20" s="6">
        <v>127</v>
      </c>
      <c r="M20" s="6">
        <v>122</v>
      </c>
      <c r="N20" s="6">
        <v>102</v>
      </c>
      <c r="O20" s="6">
        <v>99</v>
      </c>
      <c r="P20" s="6">
        <v>102</v>
      </c>
      <c r="Q20" s="6">
        <v>109</v>
      </c>
      <c r="R20" s="6">
        <v>109</v>
      </c>
      <c r="S20" s="6">
        <v>94</v>
      </c>
      <c r="T20" s="6">
        <v>85</v>
      </c>
      <c r="U20" s="6">
        <v>79</v>
      </c>
      <c r="V20" s="5">
        <f t="shared" si="3"/>
        <v>1791</v>
      </c>
    </row>
    <row r="21" spans="1:22" x14ac:dyDescent="0.4">
      <c r="A21" s="13"/>
      <c r="B21" s="75"/>
      <c r="C21" s="82"/>
      <c r="D21" s="5" t="s">
        <v>24</v>
      </c>
      <c r="E21" s="5">
        <f t="shared" ref="E21:O21" si="4">SUM(E19:E20)</f>
        <v>230</v>
      </c>
      <c r="F21" s="5">
        <f t="shared" si="4"/>
        <v>222</v>
      </c>
      <c r="G21" s="5">
        <f t="shared" si="4"/>
        <v>159</v>
      </c>
      <c r="H21" s="5">
        <f t="shared" si="4"/>
        <v>199</v>
      </c>
      <c r="I21" s="5">
        <f t="shared" si="4"/>
        <v>195</v>
      </c>
      <c r="J21" s="5">
        <f t="shared" si="4"/>
        <v>223</v>
      </c>
      <c r="K21" s="5">
        <f t="shared" si="4"/>
        <v>221</v>
      </c>
      <c r="L21" s="5">
        <f t="shared" si="4"/>
        <v>232</v>
      </c>
      <c r="M21" s="5">
        <f t="shared" si="4"/>
        <v>221</v>
      </c>
      <c r="N21" s="5">
        <f t="shared" si="4"/>
        <v>192</v>
      </c>
      <c r="O21" s="5">
        <f t="shared" si="4"/>
        <v>187</v>
      </c>
      <c r="P21" s="5">
        <f t="shared" ref="P21:U21" si="5">SUM(P19:P20)</f>
        <v>198</v>
      </c>
      <c r="Q21" s="5">
        <f t="shared" ref="Q21:R21" si="6">SUM(Q19:Q20)</f>
        <v>229</v>
      </c>
      <c r="R21" s="5">
        <f t="shared" si="6"/>
        <v>204</v>
      </c>
      <c r="S21" s="5">
        <f t="shared" si="5"/>
        <v>169</v>
      </c>
      <c r="T21" s="5">
        <f t="shared" si="5"/>
        <v>165</v>
      </c>
      <c r="U21" s="5">
        <f t="shared" si="5"/>
        <v>166</v>
      </c>
      <c r="V21" s="5">
        <f t="shared" si="3"/>
        <v>3412</v>
      </c>
    </row>
    <row r="22" spans="1:22" x14ac:dyDescent="0.4">
      <c r="A22" s="12"/>
      <c r="B22" s="79" t="s">
        <v>29</v>
      </c>
      <c r="C22" s="80" t="s">
        <v>30</v>
      </c>
      <c r="D22" s="6" t="s">
        <v>22</v>
      </c>
      <c r="E22" s="6">
        <v>1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/>
      <c r="U22" s="6"/>
      <c r="V22" s="5">
        <f t="shared" si="3"/>
        <v>2</v>
      </c>
    </row>
    <row r="23" spans="1:22" x14ac:dyDescent="0.4">
      <c r="A23" s="12"/>
      <c r="B23" s="77"/>
      <c r="C23" s="81"/>
      <c r="D23" s="6" t="s">
        <v>23</v>
      </c>
      <c r="E23" s="6">
        <v>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6">
        <v>0</v>
      </c>
      <c r="Q23" s="6">
        <v>1</v>
      </c>
      <c r="R23" s="6">
        <v>0</v>
      </c>
      <c r="S23" s="6">
        <v>0</v>
      </c>
      <c r="T23" s="6"/>
      <c r="U23" s="6"/>
      <c r="V23" s="5">
        <f t="shared" si="3"/>
        <v>3</v>
      </c>
    </row>
    <row r="24" spans="1:22" x14ac:dyDescent="0.4">
      <c r="A24" s="13"/>
      <c r="B24" s="75"/>
      <c r="C24" s="82"/>
      <c r="D24" s="5" t="s">
        <v>24</v>
      </c>
      <c r="E24" s="5">
        <f t="shared" ref="E24:O24" si="7">SUM(E22:E23)</f>
        <v>2</v>
      </c>
      <c r="F24" s="5">
        <f t="shared" si="7"/>
        <v>0</v>
      </c>
      <c r="G24" s="5">
        <f t="shared" si="7"/>
        <v>0</v>
      </c>
      <c r="H24" s="5">
        <f t="shared" si="7"/>
        <v>0</v>
      </c>
      <c r="I24" s="5">
        <f t="shared" si="7"/>
        <v>0</v>
      </c>
      <c r="J24" s="5">
        <f t="shared" si="7"/>
        <v>0</v>
      </c>
      <c r="K24" s="5">
        <f t="shared" si="7"/>
        <v>0</v>
      </c>
      <c r="L24" s="5">
        <f t="shared" si="7"/>
        <v>0</v>
      </c>
      <c r="M24" s="5">
        <f t="shared" si="7"/>
        <v>0</v>
      </c>
      <c r="N24" s="5">
        <f t="shared" si="7"/>
        <v>0</v>
      </c>
      <c r="O24" s="5">
        <f t="shared" si="7"/>
        <v>1</v>
      </c>
      <c r="P24" s="5">
        <f t="shared" ref="P24:U24" si="8">SUM(P22:P23)</f>
        <v>0</v>
      </c>
      <c r="Q24" s="5">
        <f t="shared" ref="Q24:R24" si="9">SUM(Q22:Q23)</f>
        <v>2</v>
      </c>
      <c r="R24" s="5">
        <f t="shared" si="9"/>
        <v>0</v>
      </c>
      <c r="S24" s="5">
        <f t="shared" si="8"/>
        <v>0</v>
      </c>
      <c r="T24" s="5">
        <f t="shared" si="8"/>
        <v>0</v>
      </c>
      <c r="U24" s="5">
        <f t="shared" si="8"/>
        <v>0</v>
      </c>
      <c r="V24" s="5">
        <f t="shared" si="3"/>
        <v>5</v>
      </c>
    </row>
    <row r="25" spans="1:22" x14ac:dyDescent="0.4">
      <c r="A25" s="12"/>
      <c r="B25" s="79" t="s">
        <v>31</v>
      </c>
      <c r="C25" s="80" t="s">
        <v>32</v>
      </c>
      <c r="D25" s="6" t="s">
        <v>22</v>
      </c>
      <c r="E25" s="6">
        <v>0</v>
      </c>
      <c r="F25" s="6">
        <v>0</v>
      </c>
      <c r="G25" s="6">
        <v>0</v>
      </c>
      <c r="H25" s="6">
        <v>1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0</v>
      </c>
      <c r="S25" s="6">
        <v>0</v>
      </c>
      <c r="T25" s="6"/>
      <c r="U25" s="6"/>
      <c r="V25" s="5">
        <f t="shared" si="3"/>
        <v>3</v>
      </c>
    </row>
    <row r="26" spans="1:22" x14ac:dyDescent="0.4">
      <c r="A26" s="12"/>
      <c r="B26" s="77"/>
      <c r="C26" s="81"/>
      <c r="D26" s="6" t="s">
        <v>23</v>
      </c>
      <c r="E26" s="6">
        <v>1</v>
      </c>
      <c r="F26" s="6">
        <v>1</v>
      </c>
      <c r="G26" s="6">
        <v>0</v>
      </c>
      <c r="H26" s="6">
        <v>1</v>
      </c>
      <c r="I26" s="6">
        <v>1</v>
      </c>
      <c r="J26" s="6">
        <v>0</v>
      </c>
      <c r="K26" s="6">
        <v>0</v>
      </c>
      <c r="L26" s="6">
        <v>0</v>
      </c>
      <c r="M26" s="6">
        <v>1</v>
      </c>
      <c r="N26" s="6">
        <v>3</v>
      </c>
      <c r="O26" s="6">
        <v>1</v>
      </c>
      <c r="P26" s="6">
        <v>2</v>
      </c>
      <c r="Q26" s="6">
        <v>0</v>
      </c>
      <c r="R26" s="6">
        <v>0</v>
      </c>
      <c r="S26" s="6">
        <v>1</v>
      </c>
      <c r="T26" s="6">
        <v>2</v>
      </c>
      <c r="U26" s="6"/>
      <c r="V26" s="5">
        <f t="shared" si="3"/>
        <v>14</v>
      </c>
    </row>
    <row r="27" spans="1:22" x14ac:dyDescent="0.4">
      <c r="A27" s="13"/>
      <c r="B27" s="75"/>
      <c r="C27" s="82"/>
      <c r="D27" s="5" t="s">
        <v>24</v>
      </c>
      <c r="E27" s="5">
        <f t="shared" ref="E27:O27" si="10">SUM(E25:E26)</f>
        <v>1</v>
      </c>
      <c r="F27" s="5">
        <f t="shared" si="10"/>
        <v>1</v>
      </c>
      <c r="G27" s="5">
        <f t="shared" si="10"/>
        <v>0</v>
      </c>
      <c r="H27" s="5">
        <f t="shared" si="10"/>
        <v>2</v>
      </c>
      <c r="I27" s="5">
        <f t="shared" si="10"/>
        <v>2</v>
      </c>
      <c r="J27" s="5">
        <f t="shared" si="10"/>
        <v>0</v>
      </c>
      <c r="K27" s="5">
        <f t="shared" si="10"/>
        <v>0</v>
      </c>
      <c r="L27" s="5">
        <f t="shared" si="10"/>
        <v>0</v>
      </c>
      <c r="M27" s="5">
        <f t="shared" si="10"/>
        <v>1</v>
      </c>
      <c r="N27" s="5">
        <f t="shared" si="10"/>
        <v>3</v>
      </c>
      <c r="O27" s="5">
        <f t="shared" si="10"/>
        <v>1</v>
      </c>
      <c r="P27" s="5">
        <f t="shared" ref="P27:U27" si="11">SUM(P25:P26)</f>
        <v>2</v>
      </c>
      <c r="Q27" s="5">
        <f t="shared" ref="Q27:R27" si="12">SUM(Q25:Q26)</f>
        <v>1</v>
      </c>
      <c r="R27" s="5">
        <f t="shared" si="12"/>
        <v>0</v>
      </c>
      <c r="S27" s="5">
        <f t="shared" si="11"/>
        <v>1</v>
      </c>
      <c r="T27" s="5">
        <f t="shared" si="11"/>
        <v>2</v>
      </c>
      <c r="U27" s="5">
        <f t="shared" si="11"/>
        <v>0</v>
      </c>
      <c r="V27" s="5">
        <f t="shared" si="3"/>
        <v>17</v>
      </c>
    </row>
    <row r="28" spans="1:22" x14ac:dyDescent="0.4">
      <c r="A28" s="13"/>
      <c r="B28" s="83" t="s">
        <v>33</v>
      </c>
      <c r="C28" s="84" t="s">
        <v>34</v>
      </c>
      <c r="D28" s="5" t="s">
        <v>22</v>
      </c>
      <c r="E28" s="5">
        <f>SUM(E19,E22,E25)</f>
        <v>114</v>
      </c>
      <c r="F28" s="5">
        <f t="shared" ref="F28:O29" si="13">SUM(F19,F22,F25)</f>
        <v>109</v>
      </c>
      <c r="G28" s="5">
        <f t="shared" si="13"/>
        <v>76</v>
      </c>
      <c r="H28" s="5">
        <f t="shared" si="13"/>
        <v>90</v>
      </c>
      <c r="I28" s="5">
        <f t="shared" si="13"/>
        <v>100</v>
      </c>
      <c r="J28" s="5">
        <f t="shared" si="13"/>
        <v>106</v>
      </c>
      <c r="K28" s="5">
        <f t="shared" si="13"/>
        <v>94</v>
      </c>
      <c r="L28" s="5">
        <f t="shared" si="13"/>
        <v>105</v>
      </c>
      <c r="M28" s="5">
        <f t="shared" si="13"/>
        <v>99</v>
      </c>
      <c r="N28" s="5">
        <f t="shared" si="13"/>
        <v>90</v>
      </c>
      <c r="O28" s="5">
        <f t="shared" si="13"/>
        <v>88</v>
      </c>
      <c r="P28" s="5">
        <f t="shared" ref="P28:U28" si="14">SUM(P19,P22,P25)</f>
        <v>96</v>
      </c>
      <c r="Q28" s="5">
        <f t="shared" ref="Q28:R28" si="15">SUM(Q19,Q22,Q25)</f>
        <v>122</v>
      </c>
      <c r="R28" s="5">
        <f t="shared" si="15"/>
        <v>95</v>
      </c>
      <c r="S28" s="5">
        <f t="shared" si="14"/>
        <v>75</v>
      </c>
      <c r="T28" s="5">
        <f t="shared" si="14"/>
        <v>80</v>
      </c>
      <c r="U28" s="5">
        <f t="shared" si="14"/>
        <v>87</v>
      </c>
      <c r="V28" s="5">
        <f t="shared" si="3"/>
        <v>1626</v>
      </c>
    </row>
    <row r="29" spans="1:22" x14ac:dyDescent="0.4">
      <c r="A29" s="13"/>
      <c r="B29" s="77"/>
      <c r="C29" s="81"/>
      <c r="D29" s="5" t="s">
        <v>23</v>
      </c>
      <c r="E29" s="5">
        <f>SUM(E20,E23,E26)</f>
        <v>119</v>
      </c>
      <c r="F29" s="5">
        <f t="shared" si="13"/>
        <v>114</v>
      </c>
      <c r="G29" s="5">
        <f t="shared" si="13"/>
        <v>83</v>
      </c>
      <c r="H29" s="5">
        <f t="shared" si="13"/>
        <v>111</v>
      </c>
      <c r="I29" s="5">
        <f t="shared" si="13"/>
        <v>97</v>
      </c>
      <c r="J29" s="5">
        <f t="shared" si="13"/>
        <v>117</v>
      </c>
      <c r="K29" s="5">
        <f t="shared" si="13"/>
        <v>127</v>
      </c>
      <c r="L29" s="5">
        <f t="shared" si="13"/>
        <v>127</v>
      </c>
      <c r="M29" s="5">
        <f t="shared" si="13"/>
        <v>123</v>
      </c>
      <c r="N29" s="5">
        <f t="shared" si="13"/>
        <v>105</v>
      </c>
      <c r="O29" s="5">
        <f t="shared" si="13"/>
        <v>101</v>
      </c>
      <c r="P29" s="5">
        <f t="shared" ref="P29:U29" si="16">SUM(P20,P23,P26)</f>
        <v>104</v>
      </c>
      <c r="Q29" s="5">
        <f t="shared" ref="Q29:R29" si="17">SUM(Q20,Q23,Q26)</f>
        <v>110</v>
      </c>
      <c r="R29" s="5">
        <f t="shared" si="17"/>
        <v>109</v>
      </c>
      <c r="S29" s="5">
        <f t="shared" si="16"/>
        <v>95</v>
      </c>
      <c r="T29" s="5">
        <f t="shared" si="16"/>
        <v>87</v>
      </c>
      <c r="U29" s="5">
        <f t="shared" si="16"/>
        <v>79</v>
      </c>
      <c r="V29" s="5">
        <f t="shared" si="3"/>
        <v>1808</v>
      </c>
    </row>
    <row r="30" spans="1:22" x14ac:dyDescent="0.4">
      <c r="A30" s="13"/>
      <c r="B30" s="75"/>
      <c r="C30" s="82"/>
      <c r="D30" s="5" t="s">
        <v>24</v>
      </c>
      <c r="E30" s="5">
        <f t="shared" ref="E30:O30" si="18">SUM(E28:E29)</f>
        <v>233</v>
      </c>
      <c r="F30" s="5">
        <f t="shared" si="18"/>
        <v>223</v>
      </c>
      <c r="G30" s="5">
        <f t="shared" si="18"/>
        <v>159</v>
      </c>
      <c r="H30" s="5">
        <f t="shared" si="18"/>
        <v>201</v>
      </c>
      <c r="I30" s="5">
        <f t="shared" si="18"/>
        <v>197</v>
      </c>
      <c r="J30" s="5">
        <f t="shared" si="18"/>
        <v>223</v>
      </c>
      <c r="K30" s="5">
        <f t="shared" si="18"/>
        <v>221</v>
      </c>
      <c r="L30" s="5">
        <f t="shared" si="18"/>
        <v>232</v>
      </c>
      <c r="M30" s="5">
        <f t="shared" si="18"/>
        <v>222</v>
      </c>
      <c r="N30" s="5">
        <f t="shared" si="18"/>
        <v>195</v>
      </c>
      <c r="O30" s="5">
        <f t="shared" si="18"/>
        <v>189</v>
      </c>
      <c r="P30" s="5">
        <f t="shared" ref="P30:U30" si="19">SUM(P28:P29)</f>
        <v>200</v>
      </c>
      <c r="Q30" s="5">
        <f t="shared" ref="Q30:R30" si="20">SUM(Q28:Q29)</f>
        <v>232</v>
      </c>
      <c r="R30" s="5">
        <f t="shared" si="20"/>
        <v>204</v>
      </c>
      <c r="S30" s="5">
        <f t="shared" si="19"/>
        <v>170</v>
      </c>
      <c r="T30" s="5">
        <f t="shared" si="19"/>
        <v>167</v>
      </c>
      <c r="U30" s="5">
        <f t="shared" si="19"/>
        <v>166</v>
      </c>
      <c r="V30" s="5">
        <f t="shared" si="3"/>
        <v>3434</v>
      </c>
    </row>
    <row r="31" spans="1:22" x14ac:dyDescent="0.4">
      <c r="A31" s="55"/>
      <c r="B31" s="68"/>
      <c r="C31" s="68"/>
      <c r="D31" s="51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28"/>
    </row>
    <row r="32" spans="1:22" x14ac:dyDescent="0.4">
      <c r="A32" s="14" t="s">
        <v>35</v>
      </c>
      <c r="B32" s="60" t="s">
        <v>36</v>
      </c>
      <c r="C32" s="68"/>
      <c r="D32" s="51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28"/>
    </row>
    <row r="33" spans="1:22" x14ac:dyDescent="0.4">
      <c r="A33" s="6">
        <v>1</v>
      </c>
      <c r="B33" s="78" t="s">
        <v>37</v>
      </c>
      <c r="C33" s="68"/>
      <c r="D33" s="51"/>
      <c r="E33" s="6">
        <v>289</v>
      </c>
      <c r="F33" s="6">
        <v>269</v>
      </c>
      <c r="G33" s="6">
        <v>206</v>
      </c>
      <c r="H33" s="6">
        <v>253</v>
      </c>
      <c r="I33" s="6">
        <v>219</v>
      </c>
      <c r="J33" s="6">
        <v>293</v>
      </c>
      <c r="K33" s="6">
        <v>283</v>
      </c>
      <c r="L33" s="6">
        <v>291</v>
      </c>
      <c r="M33" s="6">
        <v>274</v>
      </c>
      <c r="N33" s="6">
        <v>247</v>
      </c>
      <c r="O33" s="6">
        <v>211</v>
      </c>
      <c r="P33" s="6">
        <v>230</v>
      </c>
      <c r="Q33" s="6">
        <v>280</v>
      </c>
      <c r="R33" s="6">
        <v>255</v>
      </c>
      <c r="S33" s="6">
        <v>203</v>
      </c>
      <c r="T33" s="6">
        <v>200</v>
      </c>
      <c r="U33" s="6">
        <v>222</v>
      </c>
      <c r="V33" s="5">
        <f>SUM(E33:U33)</f>
        <v>4225</v>
      </c>
    </row>
    <row r="34" spans="1:22" x14ac:dyDescent="0.4">
      <c r="A34" s="6">
        <v>2</v>
      </c>
      <c r="B34" s="78" t="s">
        <v>38</v>
      </c>
      <c r="C34" s="68"/>
      <c r="D34" s="51"/>
      <c r="E34" s="5">
        <v>233</v>
      </c>
      <c r="F34" s="5">
        <v>223</v>
      </c>
      <c r="G34" s="5">
        <v>159</v>
      </c>
      <c r="H34" s="5">
        <v>201</v>
      </c>
      <c r="I34" s="5">
        <v>197</v>
      </c>
      <c r="J34" s="5">
        <v>223</v>
      </c>
      <c r="K34" s="5">
        <v>221</v>
      </c>
      <c r="L34" s="5">
        <v>232</v>
      </c>
      <c r="M34" s="5">
        <v>222</v>
      </c>
      <c r="N34" s="5">
        <v>195</v>
      </c>
      <c r="O34" s="5">
        <v>189</v>
      </c>
      <c r="P34" s="5">
        <v>200</v>
      </c>
      <c r="Q34" s="5">
        <v>232</v>
      </c>
      <c r="R34" s="5">
        <v>204</v>
      </c>
      <c r="S34" s="5">
        <v>170</v>
      </c>
      <c r="T34" s="5">
        <v>167</v>
      </c>
      <c r="U34" s="5">
        <v>166</v>
      </c>
      <c r="V34" s="5">
        <f>SUM(E34:U34)</f>
        <v>3434</v>
      </c>
    </row>
    <row r="35" spans="1:22" x14ac:dyDescent="0.4">
      <c r="A35" s="6">
        <v>3</v>
      </c>
      <c r="B35" s="78" t="s">
        <v>39</v>
      </c>
      <c r="C35" s="68"/>
      <c r="D35" s="51"/>
      <c r="E35" s="6"/>
      <c r="F35" s="6"/>
      <c r="G35" s="6"/>
      <c r="H35" s="6"/>
      <c r="I35" s="6">
        <v>1</v>
      </c>
      <c r="J35" s="6"/>
      <c r="K35" s="6"/>
      <c r="L35" s="6">
        <v>2</v>
      </c>
      <c r="M35" s="6"/>
      <c r="N35" s="6"/>
      <c r="O35" s="6"/>
      <c r="P35" s="6"/>
      <c r="Q35" s="6"/>
      <c r="R35" s="6"/>
      <c r="S35" s="6"/>
      <c r="T35" s="6"/>
      <c r="U35" s="6">
        <v>1</v>
      </c>
      <c r="V35" s="5">
        <f>SUM(E35:U35)</f>
        <v>4</v>
      </c>
    </row>
    <row r="36" spans="1:22" x14ac:dyDescent="0.4">
      <c r="A36" s="6">
        <v>4</v>
      </c>
      <c r="B36" s="78" t="s">
        <v>40</v>
      </c>
      <c r="C36" s="68"/>
      <c r="D36" s="51"/>
      <c r="E36" s="5">
        <f t="shared" ref="E36:O36" si="21">E33-(E34+E35)</f>
        <v>56</v>
      </c>
      <c r="F36" s="5">
        <f t="shared" si="21"/>
        <v>46</v>
      </c>
      <c r="G36" s="5">
        <f t="shared" si="21"/>
        <v>47</v>
      </c>
      <c r="H36" s="5">
        <f t="shared" si="21"/>
        <v>52</v>
      </c>
      <c r="I36" s="5">
        <f t="shared" si="21"/>
        <v>21</v>
      </c>
      <c r="J36" s="5">
        <f t="shared" si="21"/>
        <v>70</v>
      </c>
      <c r="K36" s="5">
        <f t="shared" si="21"/>
        <v>62</v>
      </c>
      <c r="L36" s="5">
        <f t="shared" si="21"/>
        <v>57</v>
      </c>
      <c r="M36" s="5">
        <f t="shared" si="21"/>
        <v>52</v>
      </c>
      <c r="N36" s="5">
        <f t="shared" si="21"/>
        <v>52</v>
      </c>
      <c r="O36" s="5">
        <f t="shared" si="21"/>
        <v>22</v>
      </c>
      <c r="P36" s="5">
        <f t="shared" ref="P36:U36" si="22">P33-(P34+P35)</f>
        <v>30</v>
      </c>
      <c r="Q36" s="5">
        <f t="shared" ref="Q36:R36" si="23">Q33-(Q34+Q35)</f>
        <v>48</v>
      </c>
      <c r="R36" s="5">
        <f t="shared" si="23"/>
        <v>51</v>
      </c>
      <c r="S36" s="5">
        <f t="shared" si="22"/>
        <v>33</v>
      </c>
      <c r="T36" s="5">
        <f t="shared" si="22"/>
        <v>33</v>
      </c>
      <c r="U36" s="5">
        <f t="shared" si="22"/>
        <v>55</v>
      </c>
      <c r="V36" s="5">
        <f>SUM(E36:U36)</f>
        <v>787</v>
      </c>
    </row>
    <row r="37" spans="1:22" x14ac:dyDescent="0.4">
      <c r="A37" s="55"/>
      <c r="B37" s="68"/>
      <c r="C37" s="68"/>
      <c r="D37" s="68"/>
      <c r="E37" s="55"/>
      <c r="F37" s="73"/>
      <c r="G37" s="73"/>
      <c r="H37" s="73"/>
      <c r="I37" s="74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6"/>
      <c r="U37" s="26"/>
      <c r="V37" s="28"/>
    </row>
    <row r="38" spans="1:22" x14ac:dyDescent="0.4">
      <c r="A38" s="16" t="s">
        <v>41</v>
      </c>
      <c r="B38" s="60" t="s">
        <v>42</v>
      </c>
      <c r="C38" s="68"/>
      <c r="D38" s="51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28"/>
    </row>
    <row r="39" spans="1:22" x14ac:dyDescent="0.4">
      <c r="A39" s="11"/>
      <c r="B39" s="71" t="s">
        <v>43</v>
      </c>
      <c r="C39" s="64"/>
      <c r="D39" s="6" t="s">
        <v>22</v>
      </c>
      <c r="E39" s="6"/>
      <c r="F39" s="6"/>
      <c r="G39" s="6"/>
      <c r="H39" s="6"/>
      <c r="I39" s="6">
        <v>3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5">
        <f>SUM(E39:U39)</f>
        <v>3</v>
      </c>
    </row>
    <row r="40" spans="1:22" x14ac:dyDescent="0.4">
      <c r="A40" s="12"/>
      <c r="B40" s="76"/>
      <c r="C40" s="77"/>
      <c r="D40" s="6" t="s">
        <v>23</v>
      </c>
      <c r="E40" s="6"/>
      <c r="F40" s="6"/>
      <c r="G40" s="6"/>
      <c r="H40" s="6"/>
      <c r="I40" s="6">
        <v>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5">
        <f>SUM(E40:U40)</f>
        <v>1</v>
      </c>
    </row>
    <row r="41" spans="1:22" x14ac:dyDescent="0.4">
      <c r="A41" s="14"/>
      <c r="B41" s="70"/>
      <c r="C41" s="75"/>
      <c r="D41" s="5" t="s">
        <v>24</v>
      </c>
      <c r="E41" s="5">
        <f t="shared" ref="E41:O41" si="24">SUM(E39:E40)</f>
        <v>0</v>
      </c>
      <c r="F41" s="5">
        <f t="shared" si="24"/>
        <v>0</v>
      </c>
      <c r="G41" s="5">
        <f t="shared" si="24"/>
        <v>0</v>
      </c>
      <c r="H41" s="5">
        <f t="shared" si="24"/>
        <v>0</v>
      </c>
      <c r="I41" s="5">
        <f t="shared" si="24"/>
        <v>4</v>
      </c>
      <c r="J41" s="5">
        <f t="shared" si="24"/>
        <v>0</v>
      </c>
      <c r="K41" s="5">
        <f t="shared" si="24"/>
        <v>0</v>
      </c>
      <c r="L41" s="5">
        <f t="shared" si="24"/>
        <v>0</v>
      </c>
      <c r="M41" s="5">
        <f t="shared" si="24"/>
        <v>0</v>
      </c>
      <c r="N41" s="5">
        <f t="shared" si="24"/>
        <v>0</v>
      </c>
      <c r="O41" s="5">
        <f t="shared" si="24"/>
        <v>0</v>
      </c>
      <c r="P41" s="5">
        <f t="shared" ref="P41:U41" si="25">SUM(P39:P40)</f>
        <v>0</v>
      </c>
      <c r="Q41" s="5">
        <f t="shared" ref="Q41:R41" si="26">SUM(Q39:Q40)</f>
        <v>0</v>
      </c>
      <c r="R41" s="5">
        <f t="shared" si="26"/>
        <v>0</v>
      </c>
      <c r="S41" s="5">
        <f t="shared" si="25"/>
        <v>0</v>
      </c>
      <c r="T41" s="5">
        <f t="shared" si="25"/>
        <v>0</v>
      </c>
      <c r="U41" s="5">
        <f t="shared" si="25"/>
        <v>0</v>
      </c>
      <c r="V41" s="5">
        <f>SUM(E41:U41)</f>
        <v>4</v>
      </c>
    </row>
    <row r="42" spans="1:22" x14ac:dyDescent="0.4">
      <c r="A42" s="69"/>
      <c r="B42" s="70"/>
      <c r="C42" s="70"/>
      <c r="D42" s="75"/>
      <c r="E42" s="55"/>
      <c r="F42" s="68"/>
      <c r="G42" s="68"/>
      <c r="H42" s="68"/>
      <c r="I42" s="51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5"/>
    </row>
    <row r="43" spans="1:22" ht="13.15" customHeight="1" x14ac:dyDescent="0.4">
      <c r="A43" s="16" t="s">
        <v>44</v>
      </c>
      <c r="B43" s="60" t="s">
        <v>45</v>
      </c>
      <c r="C43" s="68"/>
      <c r="D43" s="51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5"/>
    </row>
    <row r="44" spans="1:22" ht="13.15" customHeight="1" x14ac:dyDescent="0.4">
      <c r="A44" s="71" t="s">
        <v>46</v>
      </c>
      <c r="B44" s="72"/>
      <c r="C44" s="72"/>
      <c r="D44" s="64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5"/>
    </row>
    <row r="45" spans="1:22" x14ac:dyDescent="0.4">
      <c r="A45" s="11" t="s">
        <v>47</v>
      </c>
      <c r="B45" s="17" t="s">
        <v>27</v>
      </c>
      <c r="C45" s="50" t="s">
        <v>48</v>
      </c>
      <c r="D45" s="51"/>
      <c r="E45" s="6">
        <v>8</v>
      </c>
      <c r="F45" s="6">
        <v>11</v>
      </c>
      <c r="G45" s="6">
        <v>13</v>
      </c>
      <c r="H45" s="6">
        <v>9</v>
      </c>
      <c r="I45" s="6">
        <v>19</v>
      </c>
      <c r="J45" s="6">
        <v>17</v>
      </c>
      <c r="K45" s="6">
        <v>20</v>
      </c>
      <c r="L45" s="6">
        <v>15</v>
      </c>
      <c r="M45" s="6">
        <v>17</v>
      </c>
      <c r="N45" s="6">
        <v>19</v>
      </c>
      <c r="O45" s="6">
        <v>16</v>
      </c>
      <c r="P45" s="6">
        <v>20</v>
      </c>
      <c r="Q45" s="6">
        <v>18</v>
      </c>
      <c r="R45" s="6">
        <v>15</v>
      </c>
      <c r="S45" s="6">
        <v>10</v>
      </c>
      <c r="T45" s="6">
        <v>12</v>
      </c>
      <c r="U45" s="6">
        <v>11</v>
      </c>
      <c r="V45" s="5">
        <f t="shared" ref="V45:V51" si="27">SUM(E45:U45)</f>
        <v>250</v>
      </c>
    </row>
    <row r="46" spans="1:22" x14ac:dyDescent="0.4">
      <c r="A46" s="11" t="s">
        <v>49</v>
      </c>
      <c r="B46" s="46">
        <v>1</v>
      </c>
      <c r="C46" s="24" t="s">
        <v>103</v>
      </c>
      <c r="D46" s="47"/>
      <c r="E46" s="6">
        <v>46</v>
      </c>
      <c r="F46" s="6">
        <v>23</v>
      </c>
      <c r="G46" s="6">
        <v>21</v>
      </c>
      <c r="H46" s="6">
        <v>30</v>
      </c>
      <c r="I46" s="6">
        <v>54</v>
      </c>
      <c r="J46" s="6">
        <v>44</v>
      </c>
      <c r="K46" s="6">
        <v>78</v>
      </c>
      <c r="L46" s="6">
        <v>61</v>
      </c>
      <c r="M46" s="6">
        <v>35</v>
      </c>
      <c r="N46" s="6">
        <v>23</v>
      </c>
      <c r="O46" s="6">
        <v>36</v>
      </c>
      <c r="P46" s="6">
        <v>47</v>
      </c>
      <c r="Q46" s="6">
        <v>51</v>
      </c>
      <c r="R46" s="6">
        <v>14</v>
      </c>
      <c r="S46" s="6">
        <v>16</v>
      </c>
      <c r="T46" s="6">
        <v>40</v>
      </c>
      <c r="U46" s="6">
        <v>36</v>
      </c>
      <c r="V46" s="5">
        <f t="shared" si="27"/>
        <v>655</v>
      </c>
    </row>
    <row r="47" spans="1:22" x14ac:dyDescent="0.4">
      <c r="A47" s="7"/>
      <c r="B47" s="46">
        <v>2</v>
      </c>
      <c r="C47" s="24" t="s">
        <v>104</v>
      </c>
      <c r="D47" s="47"/>
      <c r="E47" s="6">
        <v>1</v>
      </c>
      <c r="F47" s="6">
        <v>2</v>
      </c>
      <c r="G47" s="6">
        <v>1</v>
      </c>
      <c r="H47" s="6">
        <v>1</v>
      </c>
      <c r="I47" s="6">
        <v>4</v>
      </c>
      <c r="J47" s="6">
        <v>2</v>
      </c>
      <c r="K47" s="6">
        <v>3</v>
      </c>
      <c r="L47" s="6">
        <v>1</v>
      </c>
      <c r="M47" s="6">
        <v>6</v>
      </c>
      <c r="N47" s="6">
        <v>1</v>
      </c>
      <c r="O47" s="6">
        <v>2</v>
      </c>
      <c r="P47" s="6">
        <v>6</v>
      </c>
      <c r="Q47" s="6">
        <v>3</v>
      </c>
      <c r="R47" s="6">
        <v>0</v>
      </c>
      <c r="S47" s="6">
        <v>2</v>
      </c>
      <c r="T47" s="6">
        <v>1</v>
      </c>
      <c r="U47" s="6">
        <v>1</v>
      </c>
      <c r="V47" s="5">
        <f t="shared" si="27"/>
        <v>37</v>
      </c>
    </row>
    <row r="48" spans="1:22" x14ac:dyDescent="0.4">
      <c r="A48" s="7"/>
      <c r="B48" s="46">
        <v>3</v>
      </c>
      <c r="C48" s="24" t="s">
        <v>105</v>
      </c>
      <c r="D48" s="47"/>
      <c r="E48" s="6">
        <v>2</v>
      </c>
      <c r="F48" s="6">
        <v>1</v>
      </c>
      <c r="G48" s="6">
        <v>3</v>
      </c>
      <c r="H48" s="6">
        <v>2</v>
      </c>
      <c r="I48" s="6">
        <v>0</v>
      </c>
      <c r="J48" s="6">
        <v>1</v>
      </c>
      <c r="K48" s="6">
        <v>1</v>
      </c>
      <c r="L48" s="6">
        <v>0</v>
      </c>
      <c r="M48" s="6">
        <v>1</v>
      </c>
      <c r="N48" s="6">
        <v>1</v>
      </c>
      <c r="O48" s="6">
        <v>1</v>
      </c>
      <c r="P48" s="6">
        <v>3</v>
      </c>
      <c r="Q48" s="6">
        <v>0</v>
      </c>
      <c r="R48" s="6">
        <v>0</v>
      </c>
      <c r="S48" s="6">
        <v>0</v>
      </c>
      <c r="T48" s="6"/>
      <c r="U48" s="6"/>
      <c r="V48" s="5">
        <f t="shared" si="27"/>
        <v>16</v>
      </c>
    </row>
    <row r="49" spans="1:22" x14ac:dyDescent="0.4">
      <c r="A49" s="7"/>
      <c r="B49" s="46">
        <v>4</v>
      </c>
      <c r="C49" s="24" t="s">
        <v>106</v>
      </c>
      <c r="D49" s="47"/>
      <c r="E49" s="6">
        <v>0</v>
      </c>
      <c r="F49" s="6">
        <v>1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/>
      <c r="U49" s="6"/>
      <c r="V49" s="5">
        <f t="shared" si="27"/>
        <v>1</v>
      </c>
    </row>
    <row r="50" spans="1:22" x14ac:dyDescent="0.4">
      <c r="A50" s="7"/>
      <c r="B50" s="46">
        <v>5</v>
      </c>
      <c r="C50" s="24" t="s">
        <v>107</v>
      </c>
      <c r="D50" s="47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1</v>
      </c>
      <c r="P50" s="6">
        <v>0</v>
      </c>
      <c r="Q50" s="6">
        <v>1</v>
      </c>
      <c r="R50" s="6">
        <v>0</v>
      </c>
      <c r="S50" s="6">
        <v>0</v>
      </c>
      <c r="T50" s="6"/>
      <c r="U50" s="6"/>
      <c r="V50" s="5">
        <f t="shared" si="27"/>
        <v>2</v>
      </c>
    </row>
    <row r="51" spans="1:22" x14ac:dyDescent="0.4">
      <c r="A51" s="7"/>
      <c r="B51" s="46">
        <v>6</v>
      </c>
      <c r="C51" s="24" t="s">
        <v>108</v>
      </c>
      <c r="D51" s="47"/>
      <c r="E51" s="6">
        <v>2</v>
      </c>
      <c r="F51" s="6">
        <v>0</v>
      </c>
      <c r="G51" s="6">
        <v>0</v>
      </c>
      <c r="H51" s="6">
        <v>2</v>
      </c>
      <c r="I51" s="6">
        <v>3</v>
      </c>
      <c r="J51" s="6">
        <v>1</v>
      </c>
      <c r="K51" s="6">
        <v>0</v>
      </c>
      <c r="L51" s="6">
        <v>0</v>
      </c>
      <c r="M51" s="6">
        <v>0</v>
      </c>
      <c r="N51" s="6">
        <v>0</v>
      </c>
      <c r="O51" s="6">
        <v>2</v>
      </c>
      <c r="P51" s="6">
        <v>3</v>
      </c>
      <c r="Q51" s="6">
        <v>1</v>
      </c>
      <c r="R51" s="6">
        <v>1</v>
      </c>
      <c r="S51" s="6">
        <v>1</v>
      </c>
      <c r="T51" s="6">
        <v>2</v>
      </c>
      <c r="U51" s="6"/>
      <c r="V51" s="5">
        <f t="shared" si="27"/>
        <v>18</v>
      </c>
    </row>
    <row r="52" spans="1:22" x14ac:dyDescent="0.4">
      <c r="A52" s="6" t="s">
        <v>25</v>
      </c>
      <c r="B52" s="52" t="s">
        <v>50</v>
      </c>
      <c r="C52" s="68"/>
      <c r="D52" s="51"/>
      <c r="E52" s="5">
        <f t="shared" ref="E52:V52" si="28">SUM(E45:E51)</f>
        <v>59</v>
      </c>
      <c r="F52" s="5">
        <f t="shared" si="28"/>
        <v>38</v>
      </c>
      <c r="G52" s="5">
        <f t="shared" si="28"/>
        <v>38</v>
      </c>
      <c r="H52" s="5">
        <f t="shared" si="28"/>
        <v>44</v>
      </c>
      <c r="I52" s="5">
        <f t="shared" si="28"/>
        <v>80</v>
      </c>
      <c r="J52" s="5">
        <f t="shared" si="28"/>
        <v>65</v>
      </c>
      <c r="K52" s="5">
        <f t="shared" si="28"/>
        <v>102</v>
      </c>
      <c r="L52" s="5">
        <f t="shared" si="28"/>
        <v>77</v>
      </c>
      <c r="M52" s="5">
        <f t="shared" si="28"/>
        <v>59</v>
      </c>
      <c r="N52" s="5">
        <f t="shared" si="28"/>
        <v>44</v>
      </c>
      <c r="O52" s="5">
        <f t="shared" si="28"/>
        <v>58</v>
      </c>
      <c r="P52" s="5">
        <f t="shared" si="28"/>
        <v>79</v>
      </c>
      <c r="Q52" s="5">
        <f t="shared" si="28"/>
        <v>74</v>
      </c>
      <c r="R52" s="5">
        <f t="shared" si="28"/>
        <v>30</v>
      </c>
      <c r="S52" s="5">
        <f t="shared" si="28"/>
        <v>29</v>
      </c>
      <c r="T52" s="5">
        <f t="shared" si="28"/>
        <v>55</v>
      </c>
      <c r="U52" s="5">
        <f t="shared" si="28"/>
        <v>48</v>
      </c>
      <c r="V52" s="5">
        <f t="shared" si="28"/>
        <v>979</v>
      </c>
    </row>
    <row r="53" spans="1:22" x14ac:dyDescent="0.4">
      <c r="A53" s="69"/>
      <c r="B53" s="70"/>
      <c r="C53" s="70"/>
      <c r="D53" s="70"/>
      <c r="E53" s="70"/>
      <c r="V53" s="5"/>
    </row>
    <row r="54" spans="1:22" x14ac:dyDescent="0.4">
      <c r="A54" s="11" t="s">
        <v>47</v>
      </c>
      <c r="B54" s="17" t="s">
        <v>29</v>
      </c>
      <c r="C54" s="50" t="s">
        <v>51</v>
      </c>
      <c r="D54" s="51"/>
      <c r="E54" s="6">
        <v>12</v>
      </c>
      <c r="F54" s="6">
        <v>4</v>
      </c>
      <c r="G54" s="6">
        <v>9</v>
      </c>
      <c r="H54" s="6">
        <v>9</v>
      </c>
      <c r="I54" s="6">
        <v>6</v>
      </c>
      <c r="J54" s="6">
        <v>9</v>
      </c>
      <c r="K54" s="6">
        <v>9</v>
      </c>
      <c r="L54" s="6">
        <v>4</v>
      </c>
      <c r="M54" s="6">
        <v>3</v>
      </c>
      <c r="N54" s="6">
        <v>5</v>
      </c>
      <c r="O54" s="6">
        <v>2</v>
      </c>
      <c r="P54" s="6">
        <v>2</v>
      </c>
      <c r="Q54" s="6">
        <v>18</v>
      </c>
      <c r="R54" s="6">
        <v>9</v>
      </c>
      <c r="S54" s="6">
        <v>4</v>
      </c>
      <c r="T54" s="6">
        <v>3</v>
      </c>
      <c r="U54" s="6">
        <v>11</v>
      </c>
      <c r="V54" s="5">
        <f t="shared" ref="V54:V60" si="29">SUM(E54:U54)</f>
        <v>119</v>
      </c>
    </row>
    <row r="55" spans="1:22" x14ac:dyDescent="0.4">
      <c r="A55" s="11" t="s">
        <v>49</v>
      </c>
      <c r="B55" s="46">
        <v>1</v>
      </c>
      <c r="C55" s="24" t="s">
        <v>109</v>
      </c>
      <c r="D55" s="47"/>
      <c r="E55" s="6">
        <v>8</v>
      </c>
      <c r="F55" s="6">
        <v>6</v>
      </c>
      <c r="G55" s="6">
        <v>3</v>
      </c>
      <c r="H55" s="6">
        <v>2</v>
      </c>
      <c r="I55" s="6">
        <v>3</v>
      </c>
      <c r="J55" s="6">
        <v>5</v>
      </c>
      <c r="K55" s="6">
        <v>5</v>
      </c>
      <c r="L55" s="6">
        <v>4</v>
      </c>
      <c r="M55" s="6">
        <v>8</v>
      </c>
      <c r="N55" s="6">
        <v>4</v>
      </c>
      <c r="O55" s="6">
        <v>3</v>
      </c>
      <c r="P55" s="6">
        <v>6</v>
      </c>
      <c r="Q55" s="6">
        <v>6</v>
      </c>
      <c r="R55" s="6">
        <v>11</v>
      </c>
      <c r="S55" s="6">
        <v>22</v>
      </c>
      <c r="T55" s="6">
        <v>6</v>
      </c>
      <c r="U55" s="6">
        <v>3</v>
      </c>
      <c r="V55" s="5">
        <f t="shared" si="29"/>
        <v>105</v>
      </c>
    </row>
    <row r="56" spans="1:22" x14ac:dyDescent="0.4">
      <c r="A56" s="7"/>
      <c r="B56" s="46">
        <v>2</v>
      </c>
      <c r="C56" s="24" t="s">
        <v>110</v>
      </c>
      <c r="D56" s="47"/>
      <c r="E56" s="6">
        <v>5</v>
      </c>
      <c r="F56" s="6">
        <v>2</v>
      </c>
      <c r="G56" s="6">
        <v>3</v>
      </c>
      <c r="H56" s="6">
        <v>3</v>
      </c>
      <c r="I56" s="6">
        <v>1</v>
      </c>
      <c r="J56" s="6">
        <v>6</v>
      </c>
      <c r="K56" s="6">
        <v>2</v>
      </c>
      <c r="L56" s="6">
        <v>2</v>
      </c>
      <c r="M56" s="6">
        <v>2</v>
      </c>
      <c r="N56" s="6">
        <v>2</v>
      </c>
      <c r="O56" s="6">
        <v>0</v>
      </c>
      <c r="P56" s="6">
        <v>4</v>
      </c>
      <c r="Q56" s="6">
        <v>6</v>
      </c>
      <c r="R56" s="6">
        <v>3</v>
      </c>
      <c r="S56" s="6">
        <v>2</v>
      </c>
      <c r="T56" s="6"/>
      <c r="U56" s="6">
        <v>5</v>
      </c>
      <c r="V56" s="5">
        <f t="shared" si="29"/>
        <v>48</v>
      </c>
    </row>
    <row r="57" spans="1:22" x14ac:dyDescent="0.4">
      <c r="A57" s="7"/>
      <c r="B57" s="46">
        <v>3</v>
      </c>
      <c r="C57" s="24" t="s">
        <v>111</v>
      </c>
      <c r="D57" s="47"/>
      <c r="E57" s="6">
        <v>1</v>
      </c>
      <c r="F57" s="6">
        <v>0</v>
      </c>
      <c r="G57" s="6">
        <v>2</v>
      </c>
      <c r="H57" s="6">
        <v>4</v>
      </c>
      <c r="I57" s="6">
        <v>0</v>
      </c>
      <c r="J57" s="6">
        <v>3</v>
      </c>
      <c r="K57" s="6">
        <v>2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2</v>
      </c>
      <c r="R57" s="6">
        <v>0</v>
      </c>
      <c r="S57" s="6">
        <v>0</v>
      </c>
      <c r="T57" s="6"/>
      <c r="U57" s="6">
        <v>1</v>
      </c>
      <c r="V57" s="5">
        <f t="shared" si="29"/>
        <v>15</v>
      </c>
    </row>
    <row r="58" spans="1:22" x14ac:dyDescent="0.4">
      <c r="A58" s="7"/>
      <c r="B58" s="46">
        <v>4</v>
      </c>
      <c r="C58" s="24" t="s">
        <v>112</v>
      </c>
      <c r="D58" s="47"/>
      <c r="E58" s="6">
        <v>0</v>
      </c>
      <c r="F58" s="6">
        <v>2</v>
      </c>
      <c r="G58" s="6">
        <v>0</v>
      </c>
      <c r="H58" s="6">
        <v>1</v>
      </c>
      <c r="I58" s="6">
        <v>0</v>
      </c>
      <c r="J58" s="6">
        <v>0</v>
      </c>
      <c r="K58" s="6">
        <v>1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</v>
      </c>
      <c r="R58" s="6">
        <v>0</v>
      </c>
      <c r="S58" s="6">
        <v>0</v>
      </c>
      <c r="T58" s="6"/>
      <c r="U58" s="6"/>
      <c r="V58" s="5">
        <f t="shared" si="29"/>
        <v>5</v>
      </c>
    </row>
    <row r="59" spans="1:22" x14ac:dyDescent="0.4">
      <c r="A59" s="7"/>
      <c r="B59" s="46">
        <v>5</v>
      </c>
      <c r="C59" s="24" t="s">
        <v>113</v>
      </c>
      <c r="D59" s="47"/>
      <c r="E59" s="6">
        <v>0</v>
      </c>
      <c r="F59" s="6">
        <v>2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/>
      <c r="U59" s="6"/>
      <c r="V59" s="5">
        <f t="shared" si="29"/>
        <v>2</v>
      </c>
    </row>
    <row r="60" spans="1:22" ht="13.15" customHeight="1" x14ac:dyDescent="0.4">
      <c r="A60" s="7"/>
      <c r="B60" s="46">
        <v>6</v>
      </c>
      <c r="C60" s="24" t="s">
        <v>114</v>
      </c>
      <c r="D60" s="47"/>
      <c r="E60" s="6">
        <v>1</v>
      </c>
      <c r="F60" s="6">
        <v>0</v>
      </c>
      <c r="G60" s="6">
        <v>1</v>
      </c>
      <c r="H60" s="6">
        <v>0</v>
      </c>
      <c r="I60" s="6">
        <v>0</v>
      </c>
      <c r="J60" s="6">
        <v>8</v>
      </c>
      <c r="K60" s="6">
        <v>1</v>
      </c>
      <c r="L60" s="6">
        <v>0</v>
      </c>
      <c r="M60" s="6">
        <v>0</v>
      </c>
      <c r="N60" s="6">
        <v>0</v>
      </c>
      <c r="O60" s="6">
        <v>2</v>
      </c>
      <c r="P60" s="6">
        <v>0</v>
      </c>
      <c r="Q60" s="6">
        <v>7</v>
      </c>
      <c r="R60" s="6">
        <v>11</v>
      </c>
      <c r="S60" s="6">
        <v>2</v>
      </c>
      <c r="T60" s="6">
        <v>2</v>
      </c>
      <c r="U60" s="6"/>
      <c r="V60" s="5">
        <f t="shared" si="29"/>
        <v>35</v>
      </c>
    </row>
    <row r="61" spans="1:22" x14ac:dyDescent="0.4">
      <c r="A61" s="6" t="s">
        <v>25</v>
      </c>
      <c r="B61" s="52" t="s">
        <v>50</v>
      </c>
      <c r="C61" s="68"/>
      <c r="D61" s="51"/>
      <c r="E61" s="5">
        <f t="shared" ref="E61:V61" si="30">SUM(E54:E60)</f>
        <v>27</v>
      </c>
      <c r="F61" s="5">
        <f t="shared" si="30"/>
        <v>16</v>
      </c>
      <c r="G61" s="5">
        <f t="shared" si="30"/>
        <v>18</v>
      </c>
      <c r="H61" s="5">
        <f t="shared" si="30"/>
        <v>19</v>
      </c>
      <c r="I61" s="5">
        <f t="shared" si="30"/>
        <v>10</v>
      </c>
      <c r="J61" s="5">
        <f t="shared" si="30"/>
        <v>31</v>
      </c>
      <c r="K61" s="5">
        <f t="shared" si="30"/>
        <v>20</v>
      </c>
      <c r="L61" s="5">
        <f t="shared" si="30"/>
        <v>10</v>
      </c>
      <c r="M61" s="5">
        <f t="shared" si="30"/>
        <v>13</v>
      </c>
      <c r="N61" s="5">
        <f t="shared" si="30"/>
        <v>11</v>
      </c>
      <c r="O61" s="5">
        <f t="shared" si="30"/>
        <v>7</v>
      </c>
      <c r="P61" s="5">
        <f t="shared" si="30"/>
        <v>12</v>
      </c>
      <c r="Q61" s="5">
        <f t="shared" si="30"/>
        <v>40</v>
      </c>
      <c r="R61" s="5">
        <f t="shared" si="30"/>
        <v>34</v>
      </c>
      <c r="S61" s="5">
        <f t="shared" si="30"/>
        <v>30</v>
      </c>
      <c r="T61" s="5">
        <f t="shared" si="30"/>
        <v>11</v>
      </c>
      <c r="U61" s="5">
        <f t="shared" si="30"/>
        <v>20</v>
      </c>
      <c r="V61" s="5">
        <f t="shared" si="30"/>
        <v>329</v>
      </c>
    </row>
    <row r="62" spans="1:22" x14ac:dyDescent="0.4">
      <c r="A62" s="69"/>
      <c r="B62" s="70"/>
      <c r="C62" s="70"/>
      <c r="D62" s="70"/>
      <c r="E62" s="70"/>
    </row>
    <row r="63" spans="1:22" x14ac:dyDescent="0.4">
      <c r="A63" s="11" t="s">
        <v>47</v>
      </c>
      <c r="B63" s="17" t="s">
        <v>31</v>
      </c>
      <c r="C63" s="50" t="s">
        <v>52</v>
      </c>
      <c r="D63" s="51"/>
      <c r="E63" s="6">
        <v>17</v>
      </c>
      <c r="F63" s="6">
        <v>8</v>
      </c>
      <c r="G63" s="6">
        <v>4</v>
      </c>
      <c r="H63" s="6">
        <v>5</v>
      </c>
      <c r="I63" s="6">
        <v>6</v>
      </c>
      <c r="J63" s="6">
        <v>3</v>
      </c>
      <c r="K63" s="6">
        <v>2</v>
      </c>
      <c r="L63" s="6">
        <v>6</v>
      </c>
      <c r="M63" s="6">
        <v>6</v>
      </c>
      <c r="N63" s="6">
        <v>1</v>
      </c>
      <c r="O63" s="6">
        <v>4</v>
      </c>
      <c r="P63" s="6">
        <v>1</v>
      </c>
      <c r="Q63" s="6">
        <v>3</v>
      </c>
      <c r="R63" s="6">
        <v>2</v>
      </c>
      <c r="S63" s="6">
        <v>1</v>
      </c>
      <c r="T63" s="6">
        <v>3</v>
      </c>
      <c r="U63" s="6">
        <v>5</v>
      </c>
      <c r="V63" s="5">
        <f t="shared" ref="V63:V69" si="31">SUM(E63:U63)</f>
        <v>77</v>
      </c>
    </row>
    <row r="64" spans="1:22" x14ac:dyDescent="0.4">
      <c r="A64" s="11" t="s">
        <v>49</v>
      </c>
      <c r="B64" s="46">
        <v>1</v>
      </c>
      <c r="C64" s="24" t="s">
        <v>115</v>
      </c>
      <c r="D64" s="47"/>
      <c r="E64" s="6">
        <v>4</v>
      </c>
      <c r="F64" s="6">
        <v>1</v>
      </c>
      <c r="G64" s="6">
        <v>3</v>
      </c>
      <c r="H64" s="6">
        <v>6</v>
      </c>
      <c r="I64" s="6">
        <v>7</v>
      </c>
      <c r="J64" s="6">
        <v>5</v>
      </c>
      <c r="K64" s="6">
        <v>1</v>
      </c>
      <c r="L64" s="6">
        <v>4</v>
      </c>
      <c r="M64" s="6">
        <v>27</v>
      </c>
      <c r="N64" s="6">
        <v>9</v>
      </c>
      <c r="O64" s="6">
        <v>2</v>
      </c>
      <c r="P64" s="6">
        <v>4</v>
      </c>
      <c r="Q64" s="6">
        <v>7</v>
      </c>
      <c r="R64" s="6">
        <v>1</v>
      </c>
      <c r="S64" s="6">
        <v>1</v>
      </c>
      <c r="T64" s="6"/>
      <c r="U64" s="6">
        <v>12</v>
      </c>
      <c r="V64" s="5">
        <f t="shared" si="31"/>
        <v>94</v>
      </c>
    </row>
    <row r="65" spans="1:22" x14ac:dyDescent="0.4">
      <c r="A65" s="7"/>
      <c r="B65" s="46">
        <v>2</v>
      </c>
      <c r="C65" s="24" t="s">
        <v>116</v>
      </c>
      <c r="D65" s="47"/>
      <c r="E65" s="6">
        <v>2</v>
      </c>
      <c r="F65" s="6">
        <v>2</v>
      </c>
      <c r="G65" s="6">
        <v>1</v>
      </c>
      <c r="H65" s="6">
        <v>0</v>
      </c>
      <c r="I65" s="6">
        <v>3</v>
      </c>
      <c r="J65" s="6">
        <v>0</v>
      </c>
      <c r="K65" s="6">
        <v>2</v>
      </c>
      <c r="L65" s="6">
        <v>1</v>
      </c>
      <c r="M65" s="6">
        <v>2</v>
      </c>
      <c r="N65" s="6">
        <v>0</v>
      </c>
      <c r="O65" s="6">
        <v>1</v>
      </c>
      <c r="P65" s="6">
        <v>1</v>
      </c>
      <c r="Q65" s="6">
        <v>0</v>
      </c>
      <c r="R65" s="6">
        <v>1</v>
      </c>
      <c r="S65" s="6">
        <v>0</v>
      </c>
      <c r="T65" s="6">
        <v>1</v>
      </c>
      <c r="U65" s="6"/>
      <c r="V65" s="5">
        <f t="shared" si="31"/>
        <v>17</v>
      </c>
    </row>
    <row r="66" spans="1:22" x14ac:dyDescent="0.4">
      <c r="A66" s="7"/>
      <c r="B66" s="46">
        <v>3</v>
      </c>
      <c r="C66" s="24" t="s">
        <v>117</v>
      </c>
      <c r="D66" s="47"/>
      <c r="E66" s="6">
        <v>1</v>
      </c>
      <c r="F66" s="6">
        <v>2</v>
      </c>
      <c r="G66" s="6">
        <v>0</v>
      </c>
      <c r="H66" s="6">
        <v>4</v>
      </c>
      <c r="I66" s="6">
        <v>0</v>
      </c>
      <c r="J66" s="6">
        <v>2</v>
      </c>
      <c r="K66" s="6">
        <v>1</v>
      </c>
      <c r="L66" s="6">
        <v>2</v>
      </c>
      <c r="M66" s="6">
        <v>1</v>
      </c>
      <c r="N66" s="6">
        <v>1</v>
      </c>
      <c r="O66" s="6">
        <v>0</v>
      </c>
      <c r="P66" s="6">
        <v>0</v>
      </c>
      <c r="Q66" s="6">
        <v>1</v>
      </c>
      <c r="R66" s="6">
        <v>2</v>
      </c>
      <c r="S66" s="6">
        <v>1</v>
      </c>
      <c r="T66" s="6">
        <v>1</v>
      </c>
      <c r="U66" s="6"/>
      <c r="V66" s="5">
        <f t="shared" si="31"/>
        <v>19</v>
      </c>
    </row>
    <row r="67" spans="1:22" x14ac:dyDescent="0.4">
      <c r="A67" s="7"/>
      <c r="B67" s="46">
        <v>4</v>
      </c>
      <c r="C67" s="24" t="s">
        <v>118</v>
      </c>
      <c r="D67" s="47"/>
      <c r="E67" s="6">
        <v>0</v>
      </c>
      <c r="F67" s="6">
        <v>0</v>
      </c>
      <c r="G67" s="6">
        <v>1</v>
      </c>
      <c r="H67" s="6">
        <v>1</v>
      </c>
      <c r="I67" s="6">
        <v>1</v>
      </c>
      <c r="J67" s="6">
        <v>2</v>
      </c>
      <c r="K67" s="6">
        <v>0</v>
      </c>
      <c r="L67" s="6">
        <v>2</v>
      </c>
      <c r="M67" s="6">
        <v>0</v>
      </c>
      <c r="N67" s="6">
        <v>1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/>
      <c r="U67" s="6"/>
      <c r="V67" s="5">
        <f t="shared" si="31"/>
        <v>8</v>
      </c>
    </row>
    <row r="68" spans="1:22" ht="13.15" customHeight="1" x14ac:dyDescent="0.4">
      <c r="A68" s="7"/>
      <c r="B68" s="46">
        <v>5</v>
      </c>
      <c r="C68" s="24" t="s">
        <v>119</v>
      </c>
      <c r="D68" s="47"/>
      <c r="E68" s="6">
        <v>44</v>
      </c>
      <c r="F68" s="6">
        <v>81</v>
      </c>
      <c r="G68" s="6">
        <v>30</v>
      </c>
      <c r="H68" s="6">
        <v>13</v>
      </c>
      <c r="I68" s="6">
        <v>31</v>
      </c>
      <c r="J68" s="6">
        <v>34</v>
      </c>
      <c r="K68" s="6">
        <v>19</v>
      </c>
      <c r="L68" s="6">
        <v>62</v>
      </c>
      <c r="M68" s="6">
        <v>5</v>
      </c>
      <c r="N68" s="6">
        <v>11</v>
      </c>
      <c r="O68" s="6">
        <v>10</v>
      </c>
      <c r="P68" s="6">
        <v>10</v>
      </c>
      <c r="Q68" s="6">
        <v>4</v>
      </c>
      <c r="R68" s="6">
        <v>2</v>
      </c>
      <c r="S68" s="6">
        <v>1</v>
      </c>
      <c r="T68" s="6">
        <v>1</v>
      </c>
      <c r="U68" s="6">
        <v>36</v>
      </c>
      <c r="V68" s="5">
        <f t="shared" si="31"/>
        <v>394</v>
      </c>
    </row>
    <row r="69" spans="1:22" x14ac:dyDescent="0.4">
      <c r="A69" s="7"/>
      <c r="B69" s="46">
        <v>6</v>
      </c>
      <c r="C69" s="24" t="s">
        <v>120</v>
      </c>
      <c r="D69" s="47"/>
      <c r="E69" s="6">
        <v>0</v>
      </c>
      <c r="F69" s="6">
        <v>0</v>
      </c>
      <c r="G69" s="6">
        <v>0</v>
      </c>
      <c r="H69" s="6">
        <v>0</v>
      </c>
      <c r="I69" s="6">
        <v>1</v>
      </c>
      <c r="J69" s="6">
        <v>0</v>
      </c>
      <c r="K69" s="6">
        <v>0</v>
      </c>
      <c r="L69" s="6">
        <v>2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/>
      <c r="U69" s="6">
        <v>3</v>
      </c>
      <c r="V69" s="5">
        <f t="shared" si="31"/>
        <v>6</v>
      </c>
    </row>
    <row r="70" spans="1:22" x14ac:dyDescent="0.4">
      <c r="A70" s="6" t="s">
        <v>25</v>
      </c>
      <c r="B70" s="52" t="s">
        <v>50</v>
      </c>
      <c r="C70" s="68"/>
      <c r="D70" s="51"/>
      <c r="E70" s="5">
        <f t="shared" ref="E70:V70" si="32">SUM(E63:E69)</f>
        <v>68</v>
      </c>
      <c r="F70" s="5">
        <f t="shared" si="32"/>
        <v>94</v>
      </c>
      <c r="G70" s="5">
        <f t="shared" si="32"/>
        <v>39</v>
      </c>
      <c r="H70" s="5">
        <f t="shared" si="32"/>
        <v>29</v>
      </c>
      <c r="I70" s="5">
        <f t="shared" si="32"/>
        <v>49</v>
      </c>
      <c r="J70" s="5">
        <f t="shared" si="32"/>
        <v>46</v>
      </c>
      <c r="K70" s="5">
        <f t="shared" si="32"/>
        <v>25</v>
      </c>
      <c r="L70" s="5">
        <f t="shared" si="32"/>
        <v>79</v>
      </c>
      <c r="M70" s="5">
        <f t="shared" si="32"/>
        <v>41</v>
      </c>
      <c r="N70" s="5">
        <f t="shared" si="32"/>
        <v>23</v>
      </c>
      <c r="O70" s="5">
        <f t="shared" si="32"/>
        <v>17</v>
      </c>
      <c r="P70" s="5">
        <f t="shared" si="32"/>
        <v>16</v>
      </c>
      <c r="Q70" s="5">
        <f t="shared" si="32"/>
        <v>15</v>
      </c>
      <c r="R70" s="5">
        <f t="shared" si="32"/>
        <v>8</v>
      </c>
      <c r="S70" s="5">
        <f t="shared" si="32"/>
        <v>4</v>
      </c>
      <c r="T70" s="5">
        <f t="shared" si="32"/>
        <v>6</v>
      </c>
      <c r="U70" s="5">
        <f t="shared" si="32"/>
        <v>56</v>
      </c>
      <c r="V70" s="5">
        <f t="shared" si="32"/>
        <v>615</v>
      </c>
    </row>
    <row r="71" spans="1:22" x14ac:dyDescent="0.4">
      <c r="A71" s="69"/>
      <c r="B71" s="70"/>
      <c r="C71" s="70"/>
      <c r="D71" s="70"/>
      <c r="E71" s="70"/>
    </row>
    <row r="72" spans="1:22" x14ac:dyDescent="0.4">
      <c r="A72" s="11" t="s">
        <v>47</v>
      </c>
      <c r="B72" s="17" t="s">
        <v>33</v>
      </c>
      <c r="C72" s="50" t="s">
        <v>53</v>
      </c>
      <c r="D72" s="51"/>
      <c r="E72" s="6">
        <v>3</v>
      </c>
      <c r="F72" s="6">
        <v>1</v>
      </c>
      <c r="G72" s="6">
        <v>0</v>
      </c>
      <c r="H72" s="6">
        <v>8</v>
      </c>
      <c r="I72" s="6">
        <v>5</v>
      </c>
      <c r="J72" s="6">
        <v>2</v>
      </c>
      <c r="K72" s="6">
        <v>4</v>
      </c>
      <c r="L72" s="6">
        <v>0</v>
      </c>
      <c r="M72" s="6">
        <v>1</v>
      </c>
      <c r="N72" s="6">
        <v>5</v>
      </c>
      <c r="O72" s="6">
        <v>1</v>
      </c>
      <c r="P72" s="6">
        <v>1</v>
      </c>
      <c r="Q72" s="6">
        <v>0</v>
      </c>
      <c r="R72" s="6">
        <v>15</v>
      </c>
      <c r="S72" s="6">
        <v>6</v>
      </c>
      <c r="T72" s="6">
        <v>6</v>
      </c>
      <c r="U72" s="6">
        <v>1</v>
      </c>
      <c r="V72" s="5">
        <f t="shared" ref="V72:V78" si="33">SUM(E72:U72)</f>
        <v>59</v>
      </c>
    </row>
    <row r="73" spans="1:22" x14ac:dyDescent="0.4">
      <c r="A73" s="11" t="s">
        <v>49</v>
      </c>
      <c r="B73" s="46">
        <v>1</v>
      </c>
      <c r="C73" s="24" t="s">
        <v>121</v>
      </c>
      <c r="D73" s="47"/>
      <c r="E73" s="6">
        <v>5</v>
      </c>
      <c r="F73" s="6">
        <v>11</v>
      </c>
      <c r="G73" s="6">
        <v>0</v>
      </c>
      <c r="H73" s="6">
        <v>15</v>
      </c>
      <c r="I73" s="6">
        <v>13</v>
      </c>
      <c r="J73" s="6">
        <v>8</v>
      </c>
      <c r="K73" s="6">
        <v>20</v>
      </c>
      <c r="L73" s="6">
        <v>9</v>
      </c>
      <c r="M73" s="6">
        <v>17</v>
      </c>
      <c r="N73" s="6">
        <v>52</v>
      </c>
      <c r="O73" s="6">
        <v>24</v>
      </c>
      <c r="P73" s="6">
        <v>10</v>
      </c>
      <c r="Q73" s="6">
        <v>7</v>
      </c>
      <c r="R73" s="6">
        <v>54</v>
      </c>
      <c r="S73" s="6">
        <v>66</v>
      </c>
      <c r="T73" s="6">
        <v>54</v>
      </c>
      <c r="U73" s="6">
        <v>6</v>
      </c>
      <c r="V73" s="5">
        <f t="shared" si="33"/>
        <v>371</v>
      </c>
    </row>
    <row r="74" spans="1:22" x14ac:dyDescent="0.4">
      <c r="A74" s="7"/>
      <c r="B74" s="46">
        <v>2</v>
      </c>
      <c r="C74" s="24" t="s">
        <v>122</v>
      </c>
      <c r="D74" s="47"/>
      <c r="E74" s="6">
        <v>1</v>
      </c>
      <c r="F74" s="6">
        <v>0</v>
      </c>
      <c r="G74" s="6">
        <v>0</v>
      </c>
      <c r="H74" s="6">
        <v>0</v>
      </c>
      <c r="I74" s="6">
        <v>0</v>
      </c>
      <c r="J74" s="6">
        <v>1</v>
      </c>
      <c r="K74" s="6">
        <v>2</v>
      </c>
      <c r="L74" s="6">
        <v>0</v>
      </c>
      <c r="M74" s="6">
        <v>1</v>
      </c>
      <c r="N74" s="6">
        <v>0</v>
      </c>
      <c r="O74" s="6">
        <v>2</v>
      </c>
      <c r="P74" s="6">
        <v>6</v>
      </c>
      <c r="Q74" s="6">
        <v>2</v>
      </c>
      <c r="R74" s="6">
        <v>3</v>
      </c>
      <c r="S74" s="6">
        <v>2</v>
      </c>
      <c r="T74" s="6"/>
      <c r="U74" s="6">
        <v>1</v>
      </c>
      <c r="V74" s="5">
        <f t="shared" si="33"/>
        <v>21</v>
      </c>
    </row>
    <row r="75" spans="1:22" x14ac:dyDescent="0.4">
      <c r="A75" s="7"/>
      <c r="B75" s="46">
        <v>3</v>
      </c>
      <c r="C75" s="24" t="s">
        <v>123</v>
      </c>
      <c r="D75" s="47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1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1</v>
      </c>
      <c r="S75" s="6">
        <v>0</v>
      </c>
      <c r="T75" s="6"/>
      <c r="U75" s="6"/>
      <c r="V75" s="5">
        <f t="shared" si="33"/>
        <v>2</v>
      </c>
    </row>
    <row r="76" spans="1:22" ht="13.15" customHeight="1" x14ac:dyDescent="0.4">
      <c r="A76" s="7"/>
      <c r="B76" s="46">
        <v>4</v>
      </c>
      <c r="C76" s="24" t="s">
        <v>124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2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1</v>
      </c>
      <c r="Q76" s="6">
        <v>0</v>
      </c>
      <c r="R76" s="6">
        <v>0</v>
      </c>
      <c r="S76" s="6">
        <v>0</v>
      </c>
      <c r="T76" s="6"/>
      <c r="U76" s="6"/>
      <c r="V76" s="5">
        <f t="shared" si="33"/>
        <v>3</v>
      </c>
    </row>
    <row r="77" spans="1:22" x14ac:dyDescent="0.4">
      <c r="A77" s="7"/>
      <c r="B77" s="46">
        <v>5</v>
      </c>
      <c r="C77" s="24" t="s">
        <v>125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/>
      <c r="U77" s="6"/>
      <c r="V77" s="5">
        <f t="shared" si="33"/>
        <v>0</v>
      </c>
    </row>
    <row r="78" spans="1:22" x14ac:dyDescent="0.4">
      <c r="A78" s="7"/>
      <c r="B78" s="46">
        <v>6</v>
      </c>
      <c r="C78" s="24" t="s">
        <v>126</v>
      </c>
      <c r="D78" s="47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1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1</v>
      </c>
      <c r="S78" s="6">
        <v>0</v>
      </c>
      <c r="T78" s="6"/>
      <c r="U78" s="6"/>
      <c r="V78" s="5">
        <f t="shared" si="33"/>
        <v>2</v>
      </c>
    </row>
    <row r="79" spans="1:22" x14ac:dyDescent="0.4">
      <c r="A79" s="6" t="s">
        <v>25</v>
      </c>
      <c r="B79" s="52" t="s">
        <v>50</v>
      </c>
      <c r="C79" s="68"/>
      <c r="D79" s="51"/>
      <c r="E79" s="5">
        <f t="shared" ref="E79:V79" si="34">SUM(E72:E78)</f>
        <v>9</v>
      </c>
      <c r="F79" s="5">
        <f t="shared" si="34"/>
        <v>12</v>
      </c>
      <c r="G79" s="5">
        <f t="shared" si="34"/>
        <v>0</v>
      </c>
      <c r="H79" s="5">
        <f t="shared" si="34"/>
        <v>23</v>
      </c>
      <c r="I79" s="5">
        <f t="shared" si="34"/>
        <v>20</v>
      </c>
      <c r="J79" s="5">
        <f t="shared" si="34"/>
        <v>11</v>
      </c>
      <c r="K79" s="5">
        <f t="shared" si="34"/>
        <v>28</v>
      </c>
      <c r="L79" s="5">
        <f t="shared" si="34"/>
        <v>9</v>
      </c>
      <c r="M79" s="5">
        <f t="shared" si="34"/>
        <v>19</v>
      </c>
      <c r="N79" s="5">
        <f t="shared" si="34"/>
        <v>57</v>
      </c>
      <c r="O79" s="5">
        <f t="shared" si="34"/>
        <v>27</v>
      </c>
      <c r="P79" s="5">
        <f t="shared" si="34"/>
        <v>18</v>
      </c>
      <c r="Q79" s="5">
        <f t="shared" si="34"/>
        <v>9</v>
      </c>
      <c r="R79" s="5">
        <f t="shared" si="34"/>
        <v>74</v>
      </c>
      <c r="S79" s="5">
        <f t="shared" si="34"/>
        <v>74</v>
      </c>
      <c r="T79" s="5">
        <f t="shared" si="34"/>
        <v>60</v>
      </c>
      <c r="U79" s="5">
        <f t="shared" si="34"/>
        <v>8</v>
      </c>
      <c r="V79" s="5">
        <f t="shared" si="34"/>
        <v>458</v>
      </c>
    </row>
    <row r="80" spans="1:22" x14ac:dyDescent="0.4">
      <c r="A80" s="69"/>
      <c r="B80" s="70"/>
      <c r="C80" s="70"/>
      <c r="D80" s="70"/>
      <c r="E80" s="70"/>
    </row>
    <row r="81" spans="1:22" x14ac:dyDescent="0.4">
      <c r="A81" s="11" t="s">
        <v>47</v>
      </c>
      <c r="B81" s="17" t="s">
        <v>54</v>
      </c>
      <c r="C81" s="50" t="s">
        <v>55</v>
      </c>
      <c r="D81" s="51"/>
      <c r="E81" s="6">
        <v>0</v>
      </c>
      <c r="F81" s="6">
        <v>6</v>
      </c>
      <c r="G81" s="6">
        <v>0</v>
      </c>
      <c r="H81" s="6">
        <v>1</v>
      </c>
      <c r="I81" s="6">
        <v>1</v>
      </c>
      <c r="J81" s="6">
        <v>1</v>
      </c>
      <c r="K81" s="6">
        <v>0</v>
      </c>
      <c r="L81" s="6">
        <v>3</v>
      </c>
      <c r="M81" s="6">
        <v>4</v>
      </c>
      <c r="N81" s="6">
        <v>0</v>
      </c>
      <c r="O81" s="6">
        <v>2</v>
      </c>
      <c r="P81" s="6">
        <v>1</v>
      </c>
      <c r="Q81" s="6">
        <v>0</v>
      </c>
      <c r="R81" s="6">
        <v>1</v>
      </c>
      <c r="S81" s="6">
        <v>0</v>
      </c>
      <c r="T81" s="6"/>
      <c r="U81" s="6"/>
      <c r="V81" s="5">
        <f t="shared" ref="V81:V87" si="35">SUM(E81:U81)</f>
        <v>20</v>
      </c>
    </row>
    <row r="82" spans="1:22" x14ac:dyDescent="0.4">
      <c r="A82" s="11" t="s">
        <v>49</v>
      </c>
      <c r="B82" s="46">
        <v>1</v>
      </c>
      <c r="C82" s="24" t="s">
        <v>127</v>
      </c>
      <c r="D82" s="47"/>
      <c r="E82" s="6">
        <v>4</v>
      </c>
      <c r="F82" s="6">
        <v>0</v>
      </c>
      <c r="G82" s="6">
        <v>0</v>
      </c>
      <c r="H82" s="6">
        <v>4</v>
      </c>
      <c r="I82" s="6">
        <v>1</v>
      </c>
      <c r="J82" s="6">
        <v>5</v>
      </c>
      <c r="K82" s="6">
        <v>0</v>
      </c>
      <c r="L82" s="6">
        <v>19</v>
      </c>
      <c r="M82" s="6">
        <v>29</v>
      </c>
      <c r="N82" s="6">
        <v>21</v>
      </c>
      <c r="O82" s="6">
        <v>46</v>
      </c>
      <c r="P82" s="6">
        <v>21</v>
      </c>
      <c r="Q82" s="6">
        <v>8</v>
      </c>
      <c r="R82" s="6">
        <v>22</v>
      </c>
      <c r="S82" s="6">
        <v>3</v>
      </c>
      <c r="T82" s="6">
        <v>3</v>
      </c>
      <c r="U82" s="6">
        <v>2</v>
      </c>
      <c r="V82" s="5">
        <f t="shared" si="35"/>
        <v>188</v>
      </c>
    </row>
    <row r="83" spans="1:22" x14ac:dyDescent="0.4">
      <c r="A83" s="7"/>
      <c r="B83" s="46">
        <v>2</v>
      </c>
      <c r="C83" s="24" t="s">
        <v>128</v>
      </c>
      <c r="D83" s="47"/>
      <c r="E83" s="6">
        <v>0</v>
      </c>
      <c r="F83" s="6">
        <v>1</v>
      </c>
      <c r="G83" s="6">
        <v>0</v>
      </c>
      <c r="H83" s="6">
        <v>1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1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/>
      <c r="U83" s="6"/>
      <c r="V83" s="5">
        <f t="shared" si="35"/>
        <v>3</v>
      </c>
    </row>
    <row r="84" spans="1:22" ht="13.15" customHeight="1" x14ac:dyDescent="0.4">
      <c r="A84" s="7"/>
      <c r="B84" s="46">
        <v>3</v>
      </c>
      <c r="C84" s="24" t="s">
        <v>129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1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/>
      <c r="U84" s="6"/>
      <c r="V84" s="5">
        <f t="shared" si="35"/>
        <v>1</v>
      </c>
    </row>
    <row r="85" spans="1:22" x14ac:dyDescent="0.4">
      <c r="A85" s="7"/>
      <c r="B85" s="46">
        <v>4</v>
      </c>
      <c r="C85" s="24" t="s">
        <v>130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/>
      <c r="U85" s="6"/>
      <c r="V85" s="5">
        <f t="shared" si="35"/>
        <v>0</v>
      </c>
    </row>
    <row r="86" spans="1:22" x14ac:dyDescent="0.4">
      <c r="A86" s="7"/>
      <c r="B86" s="46">
        <v>5</v>
      </c>
      <c r="C86" s="24" t="s">
        <v>131</v>
      </c>
      <c r="D86" s="47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1</v>
      </c>
      <c r="L86" s="6">
        <v>1</v>
      </c>
      <c r="M86" s="6">
        <v>0</v>
      </c>
      <c r="N86" s="6">
        <v>1</v>
      </c>
      <c r="O86" s="6">
        <v>0</v>
      </c>
      <c r="P86" s="6">
        <v>0</v>
      </c>
      <c r="Q86" s="6">
        <v>1</v>
      </c>
      <c r="R86" s="6">
        <v>0</v>
      </c>
      <c r="S86" s="6">
        <v>0</v>
      </c>
      <c r="T86" s="6"/>
      <c r="U86" s="6"/>
      <c r="V86" s="5">
        <f t="shared" si="35"/>
        <v>4</v>
      </c>
    </row>
    <row r="87" spans="1:22" x14ac:dyDescent="0.4">
      <c r="A87" s="7"/>
      <c r="B87" s="46">
        <v>6</v>
      </c>
      <c r="C87" s="24" t="s">
        <v>132</v>
      </c>
      <c r="D87" s="47"/>
      <c r="E87" s="6">
        <v>4</v>
      </c>
      <c r="F87" s="6">
        <v>5</v>
      </c>
      <c r="G87" s="6">
        <v>0</v>
      </c>
      <c r="H87" s="6">
        <v>8</v>
      </c>
      <c r="I87" s="6">
        <v>0</v>
      </c>
      <c r="J87" s="6">
        <v>0</v>
      </c>
      <c r="K87" s="6">
        <v>0</v>
      </c>
      <c r="L87" s="6">
        <v>0</v>
      </c>
      <c r="M87" s="6">
        <v>2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5</v>
      </c>
      <c r="T87" s="6">
        <v>8</v>
      </c>
      <c r="U87" s="6"/>
      <c r="V87" s="5">
        <f t="shared" si="35"/>
        <v>32</v>
      </c>
    </row>
    <row r="88" spans="1:22" x14ac:dyDescent="0.4">
      <c r="A88" s="6" t="s">
        <v>25</v>
      </c>
      <c r="B88" s="52" t="s">
        <v>50</v>
      </c>
      <c r="C88" s="68"/>
      <c r="D88" s="51"/>
      <c r="E88" s="5">
        <f t="shared" ref="E88:V88" si="36">SUM(E81:E87)</f>
        <v>8</v>
      </c>
      <c r="F88" s="5">
        <f t="shared" si="36"/>
        <v>12</v>
      </c>
      <c r="G88" s="5">
        <f t="shared" si="36"/>
        <v>0</v>
      </c>
      <c r="H88" s="5">
        <f t="shared" si="36"/>
        <v>14</v>
      </c>
      <c r="I88" s="5">
        <f t="shared" si="36"/>
        <v>2</v>
      </c>
      <c r="J88" s="5">
        <f t="shared" si="36"/>
        <v>6</v>
      </c>
      <c r="K88" s="5">
        <f t="shared" si="36"/>
        <v>2</v>
      </c>
      <c r="L88" s="5">
        <f t="shared" si="36"/>
        <v>23</v>
      </c>
      <c r="M88" s="5">
        <f t="shared" si="36"/>
        <v>35</v>
      </c>
      <c r="N88" s="5">
        <f t="shared" si="36"/>
        <v>23</v>
      </c>
      <c r="O88" s="5">
        <f t="shared" si="36"/>
        <v>48</v>
      </c>
      <c r="P88" s="5">
        <f t="shared" si="36"/>
        <v>22</v>
      </c>
      <c r="Q88" s="5">
        <f t="shared" si="36"/>
        <v>9</v>
      </c>
      <c r="R88" s="5">
        <f t="shared" si="36"/>
        <v>23</v>
      </c>
      <c r="S88" s="5">
        <f t="shared" si="36"/>
        <v>8</v>
      </c>
      <c r="T88" s="5">
        <f t="shared" si="36"/>
        <v>11</v>
      </c>
      <c r="U88" s="5">
        <f t="shared" si="36"/>
        <v>2</v>
      </c>
      <c r="V88" s="5">
        <f t="shared" si="36"/>
        <v>248</v>
      </c>
    </row>
    <row r="89" spans="1:22" x14ac:dyDescent="0.4">
      <c r="A89" s="69"/>
      <c r="B89" s="70"/>
      <c r="C89" s="70"/>
      <c r="D89" s="70"/>
      <c r="E89" s="70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 spans="1:22" x14ac:dyDescent="0.4">
      <c r="A90" s="11" t="s">
        <v>47</v>
      </c>
      <c r="B90" s="17" t="s">
        <v>56</v>
      </c>
      <c r="C90" s="50" t="s">
        <v>57</v>
      </c>
      <c r="D90" s="51"/>
      <c r="E90" s="6">
        <v>1</v>
      </c>
      <c r="F90" s="6">
        <v>0</v>
      </c>
      <c r="G90" s="6">
        <v>0</v>
      </c>
      <c r="H90" s="6">
        <v>2</v>
      </c>
      <c r="I90" s="6">
        <v>0</v>
      </c>
      <c r="J90" s="6">
        <v>0</v>
      </c>
      <c r="K90" s="6">
        <v>2</v>
      </c>
      <c r="L90" s="6">
        <v>1</v>
      </c>
      <c r="M90" s="6">
        <v>2</v>
      </c>
      <c r="N90" s="6">
        <v>2</v>
      </c>
      <c r="O90" s="6">
        <v>1</v>
      </c>
      <c r="P90" s="6">
        <v>0</v>
      </c>
      <c r="Q90" s="6">
        <v>3</v>
      </c>
      <c r="R90" s="6">
        <v>0</v>
      </c>
      <c r="S90" s="6">
        <v>0</v>
      </c>
      <c r="T90" s="6">
        <v>3</v>
      </c>
      <c r="U90" s="6"/>
      <c r="V90" s="5">
        <f t="shared" ref="V90" si="37">SUM(E90:U90)</f>
        <v>17</v>
      </c>
    </row>
    <row r="91" spans="1:22" ht="13.15" customHeight="1" x14ac:dyDescent="0.4">
      <c r="A91" s="6" t="s">
        <v>25</v>
      </c>
      <c r="B91" s="52" t="s">
        <v>50</v>
      </c>
      <c r="C91" s="53"/>
      <c r="D91" s="54"/>
      <c r="E91" s="5">
        <f t="shared" ref="E91:V91" si="38">SUM(E90:E90)</f>
        <v>1</v>
      </c>
      <c r="F91" s="5">
        <f t="shared" si="38"/>
        <v>0</v>
      </c>
      <c r="G91" s="5">
        <f t="shared" si="38"/>
        <v>0</v>
      </c>
      <c r="H91" s="5">
        <f t="shared" si="38"/>
        <v>2</v>
      </c>
      <c r="I91" s="5">
        <f t="shared" si="38"/>
        <v>0</v>
      </c>
      <c r="J91" s="5">
        <f t="shared" si="38"/>
        <v>0</v>
      </c>
      <c r="K91" s="5">
        <f t="shared" si="38"/>
        <v>2</v>
      </c>
      <c r="L91" s="5">
        <f t="shared" si="38"/>
        <v>1</v>
      </c>
      <c r="M91" s="5">
        <f t="shared" si="38"/>
        <v>2</v>
      </c>
      <c r="N91" s="5">
        <f t="shared" si="38"/>
        <v>2</v>
      </c>
      <c r="O91" s="5">
        <f t="shared" si="38"/>
        <v>1</v>
      </c>
      <c r="P91" s="5">
        <f t="shared" si="38"/>
        <v>0</v>
      </c>
      <c r="Q91" s="5">
        <f t="shared" si="38"/>
        <v>3</v>
      </c>
      <c r="R91" s="5">
        <f t="shared" si="38"/>
        <v>0</v>
      </c>
      <c r="S91" s="5">
        <f t="shared" si="38"/>
        <v>0</v>
      </c>
      <c r="T91" s="5">
        <f t="shared" si="38"/>
        <v>3</v>
      </c>
      <c r="U91" s="5">
        <f t="shared" si="38"/>
        <v>0</v>
      </c>
      <c r="V91" s="5">
        <f t="shared" si="38"/>
        <v>17</v>
      </c>
    </row>
    <row r="92" spans="1:22" x14ac:dyDescent="0.4">
      <c r="A92" s="55"/>
      <c r="B92" s="56"/>
      <c r="C92" s="56"/>
      <c r="D92" s="56"/>
      <c r="E92" s="5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5"/>
    </row>
    <row r="93" spans="1:22" x14ac:dyDescent="0.4">
      <c r="A93" s="11" t="s">
        <v>47</v>
      </c>
      <c r="B93" s="17" t="s">
        <v>58</v>
      </c>
      <c r="C93" s="50" t="s">
        <v>59</v>
      </c>
      <c r="D93" s="51"/>
      <c r="E93" s="6">
        <v>1</v>
      </c>
      <c r="F93" s="6">
        <v>0</v>
      </c>
      <c r="G93" s="6">
        <v>0</v>
      </c>
      <c r="H93" s="6">
        <v>0</v>
      </c>
      <c r="I93" s="6">
        <v>0</v>
      </c>
      <c r="J93" s="6">
        <v>1</v>
      </c>
      <c r="K93" s="6">
        <v>0</v>
      </c>
      <c r="L93" s="6">
        <v>2</v>
      </c>
      <c r="M93" s="6">
        <v>1</v>
      </c>
      <c r="N93" s="6">
        <v>2</v>
      </c>
      <c r="O93" s="6">
        <v>0</v>
      </c>
      <c r="P93" s="6">
        <v>0</v>
      </c>
      <c r="Q93" s="6">
        <v>1</v>
      </c>
      <c r="R93" s="6">
        <v>0</v>
      </c>
      <c r="S93" s="6">
        <v>2</v>
      </c>
      <c r="T93" s="6"/>
      <c r="U93" s="6"/>
      <c r="V93" s="5">
        <f t="shared" ref="V93:V97" si="39">SUM(E93:U93)</f>
        <v>10</v>
      </c>
    </row>
    <row r="94" spans="1:22" x14ac:dyDescent="0.4">
      <c r="A94" s="11" t="s">
        <v>49</v>
      </c>
      <c r="B94" s="46">
        <v>1</v>
      </c>
      <c r="C94" s="24" t="s">
        <v>133</v>
      </c>
      <c r="D94" s="47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1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2</v>
      </c>
      <c r="S94" s="6">
        <v>0</v>
      </c>
      <c r="T94" s="6"/>
      <c r="U94" s="6"/>
      <c r="V94" s="5">
        <f t="shared" si="39"/>
        <v>3</v>
      </c>
    </row>
    <row r="95" spans="1:22" x14ac:dyDescent="0.4">
      <c r="A95" s="7"/>
      <c r="B95" s="46">
        <v>2</v>
      </c>
      <c r="C95" s="24" t="s">
        <v>134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1</v>
      </c>
      <c r="T95" s="6"/>
      <c r="U95" s="6"/>
      <c r="V95" s="5">
        <f t="shared" si="39"/>
        <v>1</v>
      </c>
    </row>
    <row r="96" spans="1:22" x14ac:dyDescent="0.4">
      <c r="A96" s="7"/>
      <c r="B96" s="46">
        <v>3</v>
      </c>
      <c r="C96" s="24" t="s">
        <v>135</v>
      </c>
      <c r="D96" s="47"/>
      <c r="E96" s="6">
        <v>1</v>
      </c>
      <c r="F96" s="6">
        <v>0</v>
      </c>
      <c r="G96" s="6">
        <v>1</v>
      </c>
      <c r="H96" s="6">
        <v>0</v>
      </c>
      <c r="I96" s="6">
        <v>1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1</v>
      </c>
      <c r="T96" s="6"/>
      <c r="U96" s="6"/>
      <c r="V96" s="5">
        <f t="shared" si="39"/>
        <v>4</v>
      </c>
    </row>
    <row r="97" spans="1:22" x14ac:dyDescent="0.4">
      <c r="A97" s="7"/>
      <c r="B97" s="46">
        <v>4</v>
      </c>
      <c r="C97" s="24" t="s">
        <v>136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1</v>
      </c>
      <c r="R97" s="6">
        <v>0</v>
      </c>
      <c r="S97" s="6">
        <v>0</v>
      </c>
      <c r="T97" s="6"/>
      <c r="U97" s="6"/>
      <c r="V97" s="5">
        <f t="shared" si="39"/>
        <v>1</v>
      </c>
    </row>
    <row r="98" spans="1:22" x14ac:dyDescent="0.4">
      <c r="A98" s="6" t="s">
        <v>25</v>
      </c>
      <c r="B98" s="52" t="s">
        <v>50</v>
      </c>
      <c r="C98" s="53"/>
      <c r="D98" s="54"/>
      <c r="E98" s="5">
        <f t="shared" ref="E98:V98" si="40">SUM(E93:E97)</f>
        <v>2</v>
      </c>
      <c r="F98" s="5">
        <f t="shared" si="40"/>
        <v>0</v>
      </c>
      <c r="G98" s="5">
        <f t="shared" si="40"/>
        <v>1</v>
      </c>
      <c r="H98" s="5">
        <f t="shared" si="40"/>
        <v>0</v>
      </c>
      <c r="I98" s="5">
        <f t="shared" si="40"/>
        <v>1</v>
      </c>
      <c r="J98" s="5">
        <f t="shared" si="40"/>
        <v>2</v>
      </c>
      <c r="K98" s="5">
        <f t="shared" si="40"/>
        <v>0</v>
      </c>
      <c r="L98" s="5">
        <f t="shared" si="40"/>
        <v>2</v>
      </c>
      <c r="M98" s="5">
        <f t="shared" si="40"/>
        <v>1</v>
      </c>
      <c r="N98" s="5">
        <f t="shared" si="40"/>
        <v>2</v>
      </c>
      <c r="O98" s="5">
        <f t="shared" si="40"/>
        <v>0</v>
      </c>
      <c r="P98" s="5">
        <f t="shared" si="40"/>
        <v>0</v>
      </c>
      <c r="Q98" s="5">
        <f t="shared" si="40"/>
        <v>2</v>
      </c>
      <c r="R98" s="5">
        <f t="shared" si="40"/>
        <v>2</v>
      </c>
      <c r="S98" s="5">
        <f t="shared" si="40"/>
        <v>4</v>
      </c>
      <c r="T98" s="5">
        <f t="shared" si="40"/>
        <v>0</v>
      </c>
      <c r="U98" s="5">
        <f t="shared" si="40"/>
        <v>0</v>
      </c>
      <c r="V98" s="5">
        <f t="shared" si="40"/>
        <v>19</v>
      </c>
    </row>
    <row r="99" spans="1:22" x14ac:dyDescent="0.4">
      <c r="A99" s="55"/>
      <c r="B99" s="56"/>
      <c r="C99" s="56"/>
      <c r="D99" s="56"/>
      <c r="E99" s="5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spans="1:22" x14ac:dyDescent="0.4">
      <c r="A100" s="11" t="s">
        <v>47</v>
      </c>
      <c r="B100" s="17" t="s">
        <v>60</v>
      </c>
      <c r="C100" s="50" t="s">
        <v>61</v>
      </c>
      <c r="D100" s="51"/>
      <c r="E100" s="6">
        <v>0</v>
      </c>
      <c r="F100" s="6">
        <v>1</v>
      </c>
      <c r="G100" s="6">
        <v>1</v>
      </c>
      <c r="H100" s="6">
        <v>1</v>
      </c>
      <c r="I100" s="6">
        <v>0</v>
      </c>
      <c r="J100" s="6">
        <v>4</v>
      </c>
      <c r="K100" s="6">
        <v>1</v>
      </c>
      <c r="L100" s="6">
        <v>0</v>
      </c>
      <c r="M100" s="6">
        <v>0</v>
      </c>
      <c r="N100" s="6">
        <v>0</v>
      </c>
      <c r="O100" s="6">
        <v>2</v>
      </c>
      <c r="P100" s="6">
        <v>0</v>
      </c>
      <c r="Q100" s="6">
        <v>0</v>
      </c>
      <c r="R100" s="6">
        <v>0</v>
      </c>
      <c r="S100" s="6">
        <v>0</v>
      </c>
      <c r="T100" s="6"/>
      <c r="U100" s="6">
        <v>1</v>
      </c>
      <c r="V100" s="5">
        <f t="shared" ref="V100:V106" si="41">SUM(E100:U100)</f>
        <v>11</v>
      </c>
    </row>
    <row r="101" spans="1:22" ht="13.15" customHeight="1" x14ac:dyDescent="0.4">
      <c r="A101" s="11" t="s">
        <v>49</v>
      </c>
      <c r="B101" s="46">
        <v>1</v>
      </c>
      <c r="C101" s="24" t="s">
        <v>137</v>
      </c>
      <c r="D101" s="47"/>
      <c r="E101" s="6">
        <v>0</v>
      </c>
      <c r="F101" s="6">
        <v>0</v>
      </c>
      <c r="G101" s="6">
        <v>2</v>
      </c>
      <c r="H101" s="6">
        <v>3</v>
      </c>
      <c r="I101" s="6">
        <v>1</v>
      </c>
      <c r="J101" s="6">
        <v>27</v>
      </c>
      <c r="K101" s="6">
        <v>2</v>
      </c>
      <c r="L101" s="6">
        <v>1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1</v>
      </c>
      <c r="U101" s="6"/>
      <c r="V101" s="5">
        <f t="shared" si="41"/>
        <v>37</v>
      </c>
    </row>
    <row r="102" spans="1:22" x14ac:dyDescent="0.4">
      <c r="A102" s="7"/>
      <c r="B102" s="46">
        <v>2</v>
      </c>
      <c r="C102" s="24" t="s">
        <v>138</v>
      </c>
      <c r="D102" s="47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2</v>
      </c>
      <c r="K102" s="6">
        <v>0</v>
      </c>
      <c r="L102" s="6">
        <v>1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/>
      <c r="U102" s="6"/>
      <c r="V102" s="5">
        <f t="shared" si="41"/>
        <v>3</v>
      </c>
    </row>
    <row r="103" spans="1:22" x14ac:dyDescent="0.4">
      <c r="A103" s="7"/>
      <c r="B103" s="46">
        <v>3</v>
      </c>
      <c r="C103" s="24" t="s">
        <v>139</v>
      </c>
      <c r="D103" s="47"/>
      <c r="E103" s="6">
        <v>0</v>
      </c>
      <c r="F103" s="6">
        <v>1</v>
      </c>
      <c r="G103" s="6">
        <v>0</v>
      </c>
      <c r="H103" s="6">
        <v>0</v>
      </c>
      <c r="I103" s="6">
        <v>0</v>
      </c>
      <c r="J103" s="6">
        <v>0</v>
      </c>
      <c r="K103" s="6">
        <v>7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1</v>
      </c>
      <c r="R103" s="6">
        <v>0</v>
      </c>
      <c r="S103" s="6">
        <v>0</v>
      </c>
      <c r="T103" s="6"/>
      <c r="U103" s="6"/>
      <c r="V103" s="5">
        <f t="shared" si="41"/>
        <v>9</v>
      </c>
    </row>
    <row r="104" spans="1:22" x14ac:dyDescent="0.4">
      <c r="A104" s="7"/>
      <c r="B104" s="46">
        <v>4</v>
      </c>
      <c r="C104" s="24" t="s">
        <v>140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/>
      <c r="U104" s="6"/>
      <c r="V104" s="5">
        <f t="shared" si="41"/>
        <v>0</v>
      </c>
    </row>
    <row r="105" spans="1:22" x14ac:dyDescent="0.4">
      <c r="A105" s="7"/>
      <c r="B105" s="46">
        <v>5</v>
      </c>
      <c r="C105" s="24" t="s">
        <v>141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/>
      <c r="U105" s="6"/>
      <c r="V105" s="5">
        <f t="shared" si="41"/>
        <v>0</v>
      </c>
    </row>
    <row r="106" spans="1:22" x14ac:dyDescent="0.4">
      <c r="A106" s="7"/>
      <c r="B106" s="46">
        <v>6</v>
      </c>
      <c r="C106" s="24" t="s">
        <v>142</v>
      </c>
      <c r="D106" s="47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/>
      <c r="U106" s="6"/>
      <c r="V106" s="5">
        <f t="shared" si="41"/>
        <v>0</v>
      </c>
    </row>
    <row r="107" spans="1:22" x14ac:dyDescent="0.4">
      <c r="A107" s="6" t="s">
        <v>25</v>
      </c>
      <c r="B107" s="52" t="s">
        <v>50</v>
      </c>
      <c r="C107" s="53"/>
      <c r="D107" s="54"/>
      <c r="E107" s="5">
        <f t="shared" ref="E107:V107" si="42">SUM(E100:E106)</f>
        <v>0</v>
      </c>
      <c r="F107" s="5">
        <f t="shared" si="42"/>
        <v>2</v>
      </c>
      <c r="G107" s="5">
        <f t="shared" si="42"/>
        <v>3</v>
      </c>
      <c r="H107" s="5">
        <f t="shared" si="42"/>
        <v>4</v>
      </c>
      <c r="I107" s="5">
        <f t="shared" si="42"/>
        <v>1</v>
      </c>
      <c r="J107" s="5">
        <f t="shared" si="42"/>
        <v>33</v>
      </c>
      <c r="K107" s="5">
        <f t="shared" si="42"/>
        <v>10</v>
      </c>
      <c r="L107" s="5">
        <f t="shared" si="42"/>
        <v>2</v>
      </c>
      <c r="M107" s="5">
        <f t="shared" si="42"/>
        <v>0</v>
      </c>
      <c r="N107" s="5">
        <f t="shared" si="42"/>
        <v>0</v>
      </c>
      <c r="O107" s="5">
        <f t="shared" si="42"/>
        <v>2</v>
      </c>
      <c r="P107" s="5">
        <f t="shared" si="42"/>
        <v>0</v>
      </c>
      <c r="Q107" s="5">
        <f t="shared" si="42"/>
        <v>1</v>
      </c>
      <c r="R107" s="5">
        <f t="shared" si="42"/>
        <v>0</v>
      </c>
      <c r="S107" s="5">
        <f t="shared" si="42"/>
        <v>0</v>
      </c>
      <c r="T107" s="5">
        <f t="shared" si="42"/>
        <v>1</v>
      </c>
      <c r="U107" s="5">
        <f t="shared" si="42"/>
        <v>1</v>
      </c>
      <c r="V107" s="5">
        <f t="shared" si="42"/>
        <v>60</v>
      </c>
    </row>
    <row r="108" spans="1:22" x14ac:dyDescent="0.4">
      <c r="A108" s="55"/>
      <c r="B108" s="56"/>
      <c r="C108" s="56"/>
      <c r="D108" s="56"/>
      <c r="E108" s="5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spans="1:22" ht="13.15" customHeight="1" x14ac:dyDescent="0.4">
      <c r="A109" s="11" t="s">
        <v>47</v>
      </c>
      <c r="B109" s="17" t="s">
        <v>62</v>
      </c>
      <c r="C109" s="50" t="s">
        <v>63</v>
      </c>
      <c r="D109" s="51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1</v>
      </c>
      <c r="N109" s="6">
        <v>0</v>
      </c>
      <c r="O109" s="6">
        <v>0</v>
      </c>
      <c r="P109" s="6">
        <v>0</v>
      </c>
      <c r="Q109" s="6">
        <v>1</v>
      </c>
      <c r="R109" s="6">
        <v>0</v>
      </c>
      <c r="S109" s="6">
        <v>0</v>
      </c>
      <c r="T109" s="6"/>
      <c r="U109" s="6"/>
      <c r="V109" s="5">
        <f t="shared" ref="V109:V112" si="43">SUM(E109:U109)</f>
        <v>2</v>
      </c>
    </row>
    <row r="110" spans="1:22" x14ac:dyDescent="0.4">
      <c r="A110" s="11" t="s">
        <v>49</v>
      </c>
      <c r="B110" s="46">
        <v>1</v>
      </c>
      <c r="C110" s="24" t="s">
        <v>143</v>
      </c>
      <c r="D110" s="45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/>
      <c r="U110" s="6"/>
      <c r="V110" s="5">
        <f t="shared" si="43"/>
        <v>0</v>
      </c>
    </row>
    <row r="111" spans="1:22" x14ac:dyDescent="0.4">
      <c r="A111" s="7"/>
      <c r="B111" s="46">
        <v>2</v>
      </c>
      <c r="C111" s="24" t="s">
        <v>144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/>
      <c r="U111" s="6"/>
      <c r="V111" s="5">
        <f t="shared" si="43"/>
        <v>0</v>
      </c>
    </row>
    <row r="112" spans="1:22" x14ac:dyDescent="0.4">
      <c r="A112" s="7"/>
      <c r="B112" s="46">
        <v>3</v>
      </c>
      <c r="C112" s="24" t="s">
        <v>145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/>
      <c r="U112" s="6"/>
      <c r="V112" s="5">
        <f t="shared" si="43"/>
        <v>0</v>
      </c>
    </row>
    <row r="113" spans="1:22" ht="13.15" customHeight="1" x14ac:dyDescent="0.4">
      <c r="A113" s="6" t="s">
        <v>25</v>
      </c>
      <c r="B113" s="52" t="s">
        <v>50</v>
      </c>
      <c r="C113" s="53"/>
      <c r="D113" s="54"/>
      <c r="E113" s="5">
        <f t="shared" ref="E113:V113" si="44">SUM(E109:E112)</f>
        <v>0</v>
      </c>
      <c r="F113" s="5">
        <f t="shared" si="44"/>
        <v>0</v>
      </c>
      <c r="G113" s="5">
        <f t="shared" si="44"/>
        <v>0</v>
      </c>
      <c r="H113" s="5">
        <f t="shared" si="44"/>
        <v>0</v>
      </c>
      <c r="I113" s="5">
        <f t="shared" si="44"/>
        <v>0</v>
      </c>
      <c r="J113" s="5">
        <f t="shared" si="44"/>
        <v>0</v>
      </c>
      <c r="K113" s="5">
        <f t="shared" si="44"/>
        <v>0</v>
      </c>
      <c r="L113" s="5">
        <f t="shared" si="44"/>
        <v>0</v>
      </c>
      <c r="M113" s="5">
        <f t="shared" si="44"/>
        <v>1</v>
      </c>
      <c r="N113" s="5">
        <f t="shared" si="44"/>
        <v>0</v>
      </c>
      <c r="O113" s="5">
        <f t="shared" si="44"/>
        <v>0</v>
      </c>
      <c r="P113" s="5">
        <f t="shared" si="44"/>
        <v>0</v>
      </c>
      <c r="Q113" s="5">
        <f t="shared" si="44"/>
        <v>1</v>
      </c>
      <c r="R113" s="5">
        <f t="shared" si="44"/>
        <v>0</v>
      </c>
      <c r="S113" s="5">
        <f t="shared" si="44"/>
        <v>0</v>
      </c>
      <c r="T113" s="5">
        <f t="shared" si="44"/>
        <v>0</v>
      </c>
      <c r="U113" s="5">
        <f t="shared" si="44"/>
        <v>0</v>
      </c>
      <c r="V113" s="5">
        <f t="shared" si="44"/>
        <v>2</v>
      </c>
    </row>
    <row r="114" spans="1:22" x14ac:dyDescent="0.4">
      <c r="A114" s="55"/>
      <c r="B114" s="56"/>
      <c r="C114" s="56"/>
      <c r="D114" s="56"/>
      <c r="E114" s="5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5"/>
    </row>
    <row r="115" spans="1:22" x14ac:dyDescent="0.4">
      <c r="A115" s="11" t="s">
        <v>47</v>
      </c>
      <c r="B115" s="44" t="s">
        <v>64</v>
      </c>
      <c r="C115" s="63" t="s">
        <v>65</v>
      </c>
      <c r="D115" s="64"/>
      <c r="E115" s="6">
        <v>1</v>
      </c>
      <c r="F115" s="6">
        <v>0</v>
      </c>
      <c r="G115" s="6">
        <v>0</v>
      </c>
      <c r="H115" s="6">
        <v>1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2</v>
      </c>
      <c r="R115" s="6">
        <v>2</v>
      </c>
      <c r="S115" s="6">
        <v>0</v>
      </c>
      <c r="T115" s="6"/>
      <c r="U115" s="6"/>
      <c r="V115" s="5">
        <f t="shared" ref="V115:V121" si="45">SUM(E115:U115)</f>
        <v>6</v>
      </c>
    </row>
    <row r="116" spans="1:22" x14ac:dyDescent="0.4">
      <c r="A116" s="48" t="s">
        <v>49</v>
      </c>
      <c r="B116" s="46">
        <v>1</v>
      </c>
      <c r="C116" s="24" t="s">
        <v>146</v>
      </c>
      <c r="D116" s="47"/>
      <c r="E116" s="49">
        <v>0</v>
      </c>
      <c r="F116" s="6">
        <v>2</v>
      </c>
      <c r="G116" s="6">
        <v>0</v>
      </c>
      <c r="H116" s="6">
        <v>2</v>
      </c>
      <c r="I116" s="6">
        <v>1</v>
      </c>
      <c r="J116" s="6">
        <v>0</v>
      </c>
      <c r="K116" s="6">
        <v>0</v>
      </c>
      <c r="L116" s="6">
        <v>0</v>
      </c>
      <c r="M116" s="6">
        <v>2</v>
      </c>
      <c r="N116" s="6">
        <v>0</v>
      </c>
      <c r="O116" s="6">
        <v>1</v>
      </c>
      <c r="P116" s="6">
        <v>0</v>
      </c>
      <c r="Q116" s="6">
        <v>5</v>
      </c>
      <c r="R116" s="6">
        <v>0</v>
      </c>
      <c r="S116" s="6">
        <v>0</v>
      </c>
      <c r="T116" s="6"/>
      <c r="U116" s="6">
        <v>1</v>
      </c>
      <c r="V116" s="5">
        <f t="shared" si="45"/>
        <v>14</v>
      </c>
    </row>
    <row r="117" spans="1:22" x14ac:dyDescent="0.4">
      <c r="A117" s="7"/>
      <c r="B117" s="46">
        <v>2</v>
      </c>
      <c r="C117" s="24" t="s">
        <v>147</v>
      </c>
      <c r="D117" s="47"/>
      <c r="E117" s="49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/>
      <c r="U117" s="6"/>
      <c r="V117" s="5">
        <f t="shared" si="45"/>
        <v>0</v>
      </c>
    </row>
    <row r="118" spans="1:22" x14ac:dyDescent="0.4">
      <c r="A118" s="7"/>
      <c r="B118" s="46">
        <v>3</v>
      </c>
      <c r="C118" s="24" t="s">
        <v>148</v>
      </c>
      <c r="D118" s="47"/>
      <c r="E118" s="49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/>
      <c r="U118" s="6"/>
      <c r="V118" s="5">
        <f t="shared" si="45"/>
        <v>0</v>
      </c>
    </row>
    <row r="119" spans="1:22" x14ac:dyDescent="0.4">
      <c r="A119" s="7"/>
      <c r="B119" s="46">
        <v>4</v>
      </c>
      <c r="C119" s="24" t="s">
        <v>149</v>
      </c>
      <c r="D119" s="47"/>
      <c r="E119" s="49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2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/>
      <c r="U119" s="6"/>
      <c r="V119" s="5">
        <f t="shared" si="45"/>
        <v>2</v>
      </c>
    </row>
    <row r="120" spans="1:22" x14ac:dyDescent="0.4">
      <c r="A120" s="7"/>
      <c r="B120" s="46">
        <v>5</v>
      </c>
      <c r="C120" s="24" t="s">
        <v>150</v>
      </c>
      <c r="D120" s="47"/>
      <c r="E120" s="49">
        <v>1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/>
      <c r="U120" s="6"/>
      <c r="V120" s="5">
        <f t="shared" si="45"/>
        <v>1</v>
      </c>
    </row>
    <row r="121" spans="1:22" x14ac:dyDescent="0.4">
      <c r="A121" s="7"/>
      <c r="B121" s="46">
        <v>6</v>
      </c>
      <c r="C121" s="24" t="s">
        <v>151</v>
      </c>
      <c r="D121" s="47"/>
      <c r="E121" s="49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/>
      <c r="U121" s="6"/>
      <c r="V121" s="5">
        <f t="shared" si="45"/>
        <v>0</v>
      </c>
    </row>
    <row r="122" spans="1:22" x14ac:dyDescent="0.4">
      <c r="A122" s="6" t="s">
        <v>25</v>
      </c>
      <c r="B122" s="65" t="s">
        <v>50</v>
      </c>
      <c r="C122" s="66"/>
      <c r="D122" s="67"/>
      <c r="E122" s="5">
        <f t="shared" ref="E122:V122" si="46">SUM(E115:E121)</f>
        <v>2</v>
      </c>
      <c r="F122" s="5">
        <f t="shared" si="46"/>
        <v>2</v>
      </c>
      <c r="G122" s="5">
        <f t="shared" si="46"/>
        <v>0</v>
      </c>
      <c r="H122" s="5">
        <f t="shared" si="46"/>
        <v>3</v>
      </c>
      <c r="I122" s="5">
        <f t="shared" si="46"/>
        <v>1</v>
      </c>
      <c r="J122" s="5">
        <f t="shared" si="46"/>
        <v>0</v>
      </c>
      <c r="K122" s="5">
        <f t="shared" si="46"/>
        <v>0</v>
      </c>
      <c r="L122" s="5">
        <f t="shared" si="46"/>
        <v>0</v>
      </c>
      <c r="M122" s="5">
        <f t="shared" si="46"/>
        <v>2</v>
      </c>
      <c r="N122" s="5">
        <f t="shared" si="46"/>
        <v>2</v>
      </c>
      <c r="O122" s="5">
        <f t="shared" si="46"/>
        <v>1</v>
      </c>
      <c r="P122" s="5">
        <f t="shared" si="46"/>
        <v>0</v>
      </c>
      <c r="Q122" s="5">
        <f t="shared" si="46"/>
        <v>7</v>
      </c>
      <c r="R122" s="5">
        <f t="shared" si="46"/>
        <v>2</v>
      </c>
      <c r="S122" s="5">
        <f t="shared" si="46"/>
        <v>0</v>
      </c>
      <c r="T122" s="5">
        <f t="shared" si="46"/>
        <v>0</v>
      </c>
      <c r="U122" s="5">
        <f t="shared" si="46"/>
        <v>1</v>
      </c>
      <c r="V122" s="5">
        <f t="shared" si="46"/>
        <v>23</v>
      </c>
    </row>
    <row r="123" spans="1:22" x14ac:dyDescent="0.4">
      <c r="A123" s="55"/>
      <c r="B123" s="56"/>
      <c r="C123" s="56"/>
      <c r="D123" s="56"/>
      <c r="E123" s="5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spans="1:22" ht="13.15" customHeight="1" x14ac:dyDescent="0.4">
      <c r="A124" s="11" t="s">
        <v>47</v>
      </c>
      <c r="B124" s="17" t="s">
        <v>66</v>
      </c>
      <c r="C124" s="50" t="s">
        <v>67</v>
      </c>
      <c r="D124" s="51"/>
      <c r="E124" s="6">
        <v>1</v>
      </c>
      <c r="F124" s="6"/>
      <c r="G124" s="6"/>
      <c r="H124" s="6"/>
      <c r="I124" s="6"/>
      <c r="J124" s="6"/>
      <c r="K124" s="6"/>
      <c r="L124" s="6"/>
      <c r="M124" s="6">
        <v>1</v>
      </c>
      <c r="N124" s="6"/>
      <c r="O124" s="6"/>
      <c r="P124" s="6"/>
      <c r="Q124" s="6"/>
      <c r="R124" s="6"/>
      <c r="S124" s="6"/>
      <c r="T124" s="6"/>
      <c r="U124" s="6">
        <v>1</v>
      </c>
      <c r="V124" s="5">
        <f t="shared" ref="V124" si="47">SUM(E124:U124)</f>
        <v>3</v>
      </c>
    </row>
    <row r="125" spans="1:22" x14ac:dyDescent="0.4">
      <c r="A125" s="6" t="s">
        <v>25</v>
      </c>
      <c r="B125" s="52" t="s">
        <v>50</v>
      </c>
      <c r="C125" s="53"/>
      <c r="D125" s="54"/>
      <c r="E125" s="5">
        <f t="shared" ref="E125:V125" si="48">SUM(E124:E124)</f>
        <v>1</v>
      </c>
      <c r="F125" s="5">
        <f t="shared" si="48"/>
        <v>0</v>
      </c>
      <c r="G125" s="5">
        <f t="shared" si="48"/>
        <v>0</v>
      </c>
      <c r="H125" s="5">
        <f t="shared" si="48"/>
        <v>0</v>
      </c>
      <c r="I125" s="5">
        <f t="shared" si="48"/>
        <v>0</v>
      </c>
      <c r="J125" s="5">
        <f t="shared" si="48"/>
        <v>0</v>
      </c>
      <c r="K125" s="5">
        <f t="shared" si="48"/>
        <v>0</v>
      </c>
      <c r="L125" s="5">
        <f t="shared" si="48"/>
        <v>0</v>
      </c>
      <c r="M125" s="5">
        <f t="shared" si="48"/>
        <v>1</v>
      </c>
      <c r="N125" s="5">
        <f t="shared" si="48"/>
        <v>0</v>
      </c>
      <c r="O125" s="5">
        <f t="shared" si="48"/>
        <v>0</v>
      </c>
      <c r="P125" s="5">
        <f t="shared" si="48"/>
        <v>0</v>
      </c>
      <c r="Q125" s="5">
        <f t="shared" si="48"/>
        <v>0</v>
      </c>
      <c r="R125" s="5">
        <f t="shared" si="48"/>
        <v>0</v>
      </c>
      <c r="S125" s="5">
        <f t="shared" si="48"/>
        <v>0</v>
      </c>
      <c r="T125" s="5">
        <f t="shared" si="48"/>
        <v>0</v>
      </c>
      <c r="U125" s="5">
        <f t="shared" si="48"/>
        <v>1</v>
      </c>
      <c r="V125" s="5">
        <f t="shared" si="48"/>
        <v>3</v>
      </c>
    </row>
    <row r="126" spans="1:22" ht="13.15" customHeight="1" x14ac:dyDescent="0.4">
      <c r="A126" s="55"/>
      <c r="B126" s="56"/>
      <c r="C126" s="56"/>
      <c r="D126" s="56"/>
      <c r="E126" s="5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 spans="1:22" x14ac:dyDescent="0.4">
      <c r="A127" s="11" t="s">
        <v>47</v>
      </c>
      <c r="B127" s="17" t="s">
        <v>68</v>
      </c>
      <c r="C127" s="50" t="s">
        <v>69</v>
      </c>
      <c r="D127" s="51"/>
      <c r="E127" s="6">
        <v>0</v>
      </c>
      <c r="F127" s="6">
        <v>0</v>
      </c>
      <c r="G127" s="6">
        <v>0</v>
      </c>
      <c r="H127" s="6">
        <v>1</v>
      </c>
      <c r="I127" s="6">
        <v>0</v>
      </c>
      <c r="J127" s="6">
        <v>1</v>
      </c>
      <c r="K127" s="6">
        <v>1</v>
      </c>
      <c r="L127" s="6">
        <v>1</v>
      </c>
      <c r="M127" s="6">
        <v>1</v>
      </c>
      <c r="N127" s="6">
        <v>1</v>
      </c>
      <c r="O127" s="6">
        <v>1</v>
      </c>
      <c r="P127" s="6">
        <v>3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5">
        <f t="shared" ref="V127:V133" si="49">SUM(E127:U127)</f>
        <v>10</v>
      </c>
    </row>
    <row r="128" spans="1:22" x14ac:dyDescent="0.4">
      <c r="A128" s="11" t="s">
        <v>49</v>
      </c>
      <c r="B128" s="46">
        <v>1</v>
      </c>
      <c r="C128" s="24" t="s">
        <v>152</v>
      </c>
      <c r="D128" s="47"/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1</v>
      </c>
      <c r="K128" s="6">
        <v>0</v>
      </c>
      <c r="L128" s="6">
        <v>3</v>
      </c>
      <c r="M128" s="6">
        <v>0</v>
      </c>
      <c r="N128" s="6">
        <v>0</v>
      </c>
      <c r="O128" s="6">
        <v>5</v>
      </c>
      <c r="P128" s="6">
        <v>6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5">
        <f t="shared" si="49"/>
        <v>15</v>
      </c>
    </row>
    <row r="129" spans="1:22" x14ac:dyDescent="0.4">
      <c r="A129" s="7"/>
      <c r="B129" s="46">
        <v>2</v>
      </c>
      <c r="C129" s="24" t="s">
        <v>153</v>
      </c>
      <c r="D129" s="47"/>
      <c r="E129" s="6">
        <v>1</v>
      </c>
      <c r="F129" s="6">
        <v>0</v>
      </c>
      <c r="G129" s="6">
        <v>0</v>
      </c>
      <c r="H129" s="6">
        <v>1</v>
      </c>
      <c r="I129" s="6">
        <v>0</v>
      </c>
      <c r="J129" s="6">
        <v>0</v>
      </c>
      <c r="K129" s="6">
        <v>0</v>
      </c>
      <c r="L129" s="6">
        <v>0</v>
      </c>
      <c r="M129" s="6">
        <v>2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5">
        <f t="shared" si="49"/>
        <v>4</v>
      </c>
    </row>
    <row r="130" spans="1:22" x14ac:dyDescent="0.4">
      <c r="A130" s="7"/>
      <c r="B130" s="46">
        <v>3</v>
      </c>
      <c r="C130" s="24" t="s">
        <v>154</v>
      </c>
      <c r="D130" s="47"/>
      <c r="E130" s="6">
        <v>1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1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5">
        <f t="shared" si="49"/>
        <v>2</v>
      </c>
    </row>
    <row r="131" spans="1:22" x14ac:dyDescent="0.4">
      <c r="A131" s="7"/>
      <c r="B131" s="46">
        <v>4</v>
      </c>
      <c r="C131" s="24" t="s">
        <v>155</v>
      </c>
      <c r="D131" s="47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1</v>
      </c>
      <c r="R131" s="6">
        <v>0</v>
      </c>
      <c r="S131" s="6">
        <v>0</v>
      </c>
      <c r="T131" s="6">
        <v>0</v>
      </c>
      <c r="U131" s="6">
        <v>0</v>
      </c>
      <c r="V131" s="5">
        <f t="shared" si="49"/>
        <v>1</v>
      </c>
    </row>
    <row r="132" spans="1:22" x14ac:dyDescent="0.4">
      <c r="A132" s="7"/>
      <c r="B132" s="46">
        <v>5</v>
      </c>
      <c r="C132" s="24" t="s">
        <v>156</v>
      </c>
      <c r="D132" s="47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5">
        <f t="shared" si="49"/>
        <v>0</v>
      </c>
    </row>
    <row r="133" spans="1:22" x14ac:dyDescent="0.4">
      <c r="A133" s="7"/>
      <c r="B133" s="46">
        <v>6</v>
      </c>
      <c r="C133" s="24" t="s">
        <v>157</v>
      </c>
      <c r="D133" s="47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9</v>
      </c>
      <c r="M133" s="6">
        <v>11</v>
      </c>
      <c r="N133" s="6">
        <v>4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5">
        <f t="shared" si="49"/>
        <v>24</v>
      </c>
    </row>
    <row r="134" spans="1:22" ht="13.15" customHeight="1" x14ac:dyDescent="0.4">
      <c r="A134" s="6" t="s">
        <v>25</v>
      </c>
      <c r="B134" s="52" t="s">
        <v>50</v>
      </c>
      <c r="C134" s="53"/>
      <c r="D134" s="54"/>
      <c r="E134" s="5">
        <f t="shared" ref="E134:V134" si="50">SUM(E127:E133)</f>
        <v>2</v>
      </c>
      <c r="F134" s="5">
        <f t="shared" si="50"/>
        <v>0</v>
      </c>
      <c r="G134" s="5">
        <f t="shared" si="50"/>
        <v>0</v>
      </c>
      <c r="H134" s="5">
        <f t="shared" si="50"/>
        <v>2</v>
      </c>
      <c r="I134" s="5">
        <f t="shared" si="50"/>
        <v>0</v>
      </c>
      <c r="J134" s="5">
        <f t="shared" si="50"/>
        <v>2</v>
      </c>
      <c r="K134" s="5">
        <f t="shared" si="50"/>
        <v>1</v>
      </c>
      <c r="L134" s="5">
        <f t="shared" si="50"/>
        <v>13</v>
      </c>
      <c r="M134" s="5">
        <f t="shared" si="50"/>
        <v>15</v>
      </c>
      <c r="N134" s="5">
        <f t="shared" si="50"/>
        <v>5</v>
      </c>
      <c r="O134" s="5">
        <f t="shared" si="50"/>
        <v>6</v>
      </c>
      <c r="P134" s="5">
        <f t="shared" si="50"/>
        <v>9</v>
      </c>
      <c r="Q134" s="5">
        <f t="shared" si="50"/>
        <v>1</v>
      </c>
      <c r="R134" s="5">
        <f t="shared" si="50"/>
        <v>0</v>
      </c>
      <c r="S134" s="5">
        <f t="shared" si="50"/>
        <v>0</v>
      </c>
      <c r="T134" s="5">
        <f t="shared" si="50"/>
        <v>0</v>
      </c>
      <c r="U134" s="5">
        <f t="shared" si="50"/>
        <v>0</v>
      </c>
      <c r="V134" s="5">
        <f t="shared" si="50"/>
        <v>56</v>
      </c>
    </row>
    <row r="135" spans="1:22" x14ac:dyDescent="0.4">
      <c r="A135" s="55"/>
      <c r="B135" s="56"/>
      <c r="C135" s="56"/>
      <c r="D135" s="56"/>
      <c r="E135" s="57"/>
      <c r="F135" s="18"/>
      <c r="G135" s="18"/>
      <c r="H135" s="18"/>
      <c r="I135" s="18"/>
      <c r="J135" s="18"/>
      <c r="K135" s="18"/>
      <c r="L135" s="18"/>
      <c r="M135" s="18"/>
      <c r="N135" s="18"/>
      <c r="V135" s="5"/>
    </row>
    <row r="136" spans="1:22" x14ac:dyDescent="0.4">
      <c r="A136" s="11" t="s">
        <v>47</v>
      </c>
      <c r="B136" s="17" t="s">
        <v>70</v>
      </c>
      <c r="C136" s="50" t="s">
        <v>71</v>
      </c>
      <c r="D136" s="51"/>
      <c r="E136" s="6">
        <v>0</v>
      </c>
      <c r="F136" s="6">
        <v>0</v>
      </c>
      <c r="G136" s="6">
        <v>0</v>
      </c>
      <c r="H136" s="6">
        <v>2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5">
        <f t="shared" ref="V136:V141" si="51">SUM(E136:U136)</f>
        <v>2</v>
      </c>
    </row>
    <row r="137" spans="1:22" x14ac:dyDescent="0.4">
      <c r="A137" s="11" t="s">
        <v>49</v>
      </c>
      <c r="B137" s="46">
        <v>1</v>
      </c>
      <c r="C137" s="24" t="s">
        <v>158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1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5">
        <f t="shared" si="51"/>
        <v>1</v>
      </c>
    </row>
    <row r="138" spans="1:22" x14ac:dyDescent="0.4">
      <c r="A138" s="7"/>
      <c r="B138" s="46">
        <v>2</v>
      </c>
      <c r="C138" s="24" t="s">
        <v>159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1</v>
      </c>
      <c r="O138" s="6">
        <v>0</v>
      </c>
      <c r="P138" s="6">
        <v>1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5">
        <f t="shared" si="51"/>
        <v>2</v>
      </c>
    </row>
    <row r="139" spans="1:22" x14ac:dyDescent="0.4">
      <c r="A139" s="7"/>
      <c r="B139" s="46">
        <v>3</v>
      </c>
      <c r="C139" s="24" t="s">
        <v>160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5">
        <f t="shared" si="51"/>
        <v>0</v>
      </c>
    </row>
    <row r="140" spans="1:22" x14ac:dyDescent="0.4">
      <c r="A140" s="7"/>
      <c r="B140" s="46">
        <v>4</v>
      </c>
      <c r="C140" s="24" t="s">
        <v>161</v>
      </c>
      <c r="D140" s="47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5">
        <f t="shared" si="51"/>
        <v>0</v>
      </c>
    </row>
    <row r="141" spans="1:22" x14ac:dyDescent="0.4">
      <c r="A141" s="7"/>
      <c r="B141" s="46">
        <v>5</v>
      </c>
      <c r="C141" s="24" t="s">
        <v>162</v>
      </c>
      <c r="D141" s="47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5">
        <f t="shared" si="51"/>
        <v>0</v>
      </c>
    </row>
    <row r="142" spans="1:22" x14ac:dyDescent="0.4">
      <c r="A142" s="6" t="s">
        <v>25</v>
      </c>
      <c r="B142" s="52" t="s">
        <v>50</v>
      </c>
      <c r="C142" s="53"/>
      <c r="D142" s="54"/>
      <c r="E142" s="5">
        <f t="shared" ref="E142:V142" si="52">SUM(E136:E141)</f>
        <v>0</v>
      </c>
      <c r="F142" s="5">
        <f t="shared" si="52"/>
        <v>0</v>
      </c>
      <c r="G142" s="5">
        <f t="shared" si="52"/>
        <v>0</v>
      </c>
      <c r="H142" s="5">
        <f t="shared" si="52"/>
        <v>2</v>
      </c>
      <c r="I142" s="5">
        <f t="shared" si="52"/>
        <v>0</v>
      </c>
      <c r="J142" s="5">
        <f t="shared" si="52"/>
        <v>0</v>
      </c>
      <c r="K142" s="5">
        <f t="shared" si="52"/>
        <v>0</v>
      </c>
      <c r="L142" s="5">
        <f t="shared" si="52"/>
        <v>0</v>
      </c>
      <c r="M142" s="5">
        <f t="shared" si="52"/>
        <v>0</v>
      </c>
      <c r="N142" s="5">
        <f t="shared" si="52"/>
        <v>1</v>
      </c>
      <c r="O142" s="5">
        <f t="shared" si="52"/>
        <v>0</v>
      </c>
      <c r="P142" s="5">
        <f t="shared" si="52"/>
        <v>2</v>
      </c>
      <c r="Q142" s="5">
        <f t="shared" si="52"/>
        <v>0</v>
      </c>
      <c r="R142" s="5">
        <f t="shared" si="52"/>
        <v>0</v>
      </c>
      <c r="S142" s="5">
        <f t="shared" si="52"/>
        <v>0</v>
      </c>
      <c r="T142" s="5">
        <f t="shared" si="52"/>
        <v>0</v>
      </c>
      <c r="U142" s="5">
        <f t="shared" si="52"/>
        <v>0</v>
      </c>
      <c r="V142" s="5">
        <f t="shared" si="52"/>
        <v>5</v>
      </c>
    </row>
    <row r="143" spans="1:22" x14ac:dyDescent="0.4">
      <c r="A143" s="55"/>
      <c r="B143" s="56"/>
      <c r="C143" s="56"/>
      <c r="D143" s="56"/>
      <c r="E143" s="5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 spans="1:22" x14ac:dyDescent="0.4">
      <c r="A144" s="11" t="s">
        <v>47</v>
      </c>
      <c r="B144" s="17" t="s">
        <v>72</v>
      </c>
      <c r="C144" s="50" t="s">
        <v>73</v>
      </c>
      <c r="D144" s="51"/>
      <c r="E144" s="6">
        <v>2</v>
      </c>
      <c r="F144" s="6">
        <v>13</v>
      </c>
      <c r="G144" s="6">
        <v>6</v>
      </c>
      <c r="H144" s="6">
        <v>2</v>
      </c>
      <c r="I144" s="6">
        <v>0</v>
      </c>
      <c r="J144" s="6">
        <v>2</v>
      </c>
      <c r="K144" s="6">
        <v>0</v>
      </c>
      <c r="L144" s="6">
        <v>0</v>
      </c>
      <c r="M144" s="6">
        <v>0</v>
      </c>
      <c r="N144" s="6">
        <v>0</v>
      </c>
      <c r="O144" s="6">
        <v>3</v>
      </c>
      <c r="P144" s="6">
        <v>7</v>
      </c>
      <c r="Q144" s="6">
        <v>2</v>
      </c>
      <c r="R144" s="6">
        <v>0</v>
      </c>
      <c r="S144" s="6"/>
      <c r="T144" s="6">
        <v>1</v>
      </c>
      <c r="U144" s="6">
        <v>1</v>
      </c>
      <c r="V144" s="5">
        <f t="shared" ref="V144:V150" si="53">SUM(E144:U144)</f>
        <v>39</v>
      </c>
    </row>
    <row r="145" spans="1:22" x14ac:dyDescent="0.4">
      <c r="A145" s="11" t="s">
        <v>49</v>
      </c>
      <c r="B145" s="46">
        <v>1</v>
      </c>
      <c r="C145" s="24" t="s">
        <v>163</v>
      </c>
      <c r="D145" s="47"/>
      <c r="E145" s="6">
        <v>2</v>
      </c>
      <c r="F145" s="6">
        <v>1</v>
      </c>
      <c r="G145" s="6">
        <v>3</v>
      </c>
      <c r="H145" s="6">
        <v>3</v>
      </c>
      <c r="I145" s="6">
        <v>0</v>
      </c>
      <c r="J145" s="6">
        <v>5</v>
      </c>
      <c r="K145" s="6">
        <v>3</v>
      </c>
      <c r="L145" s="6">
        <v>0</v>
      </c>
      <c r="M145" s="6">
        <v>3</v>
      </c>
      <c r="N145" s="6">
        <v>0</v>
      </c>
      <c r="O145" s="6">
        <v>0</v>
      </c>
      <c r="P145" s="6">
        <v>1</v>
      </c>
      <c r="Q145" s="6">
        <v>4</v>
      </c>
      <c r="R145" s="6">
        <v>1</v>
      </c>
      <c r="S145" s="6">
        <v>0</v>
      </c>
      <c r="T145" s="6"/>
      <c r="U145" s="6">
        <v>2</v>
      </c>
      <c r="V145" s="5">
        <f t="shared" si="53"/>
        <v>28</v>
      </c>
    </row>
    <row r="146" spans="1:22" x14ac:dyDescent="0.4">
      <c r="A146" s="7"/>
      <c r="B146" s="46">
        <v>2</v>
      </c>
      <c r="C146" s="24" t="s">
        <v>164</v>
      </c>
      <c r="D146" s="47"/>
      <c r="E146" s="6">
        <v>35</v>
      </c>
      <c r="F146" s="6">
        <v>20</v>
      </c>
      <c r="G146" s="6">
        <v>29</v>
      </c>
      <c r="H146" s="6">
        <v>32</v>
      </c>
      <c r="I146" s="6">
        <v>23</v>
      </c>
      <c r="J146" s="6">
        <v>6</v>
      </c>
      <c r="K146" s="6">
        <v>6</v>
      </c>
      <c r="L146" s="6">
        <v>6</v>
      </c>
      <c r="M146" s="6">
        <v>11</v>
      </c>
      <c r="N146" s="6">
        <v>7</v>
      </c>
      <c r="O146" s="6">
        <v>4</v>
      </c>
      <c r="P146" s="6">
        <v>14</v>
      </c>
      <c r="Q146" s="6">
        <v>36</v>
      </c>
      <c r="R146" s="6">
        <v>7</v>
      </c>
      <c r="S146" s="6">
        <v>8</v>
      </c>
      <c r="T146" s="6">
        <v>3</v>
      </c>
      <c r="U146" s="6">
        <v>10</v>
      </c>
      <c r="V146" s="5">
        <f t="shared" si="53"/>
        <v>257</v>
      </c>
    </row>
    <row r="147" spans="1:22" x14ac:dyDescent="0.4">
      <c r="A147" s="7"/>
      <c r="B147" s="46">
        <v>3</v>
      </c>
      <c r="C147" s="24" t="s">
        <v>165</v>
      </c>
      <c r="D147" s="47"/>
      <c r="E147" s="6">
        <v>0</v>
      </c>
      <c r="F147" s="6">
        <v>0</v>
      </c>
      <c r="G147" s="6">
        <v>0</v>
      </c>
      <c r="H147" s="6">
        <v>1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1</v>
      </c>
      <c r="P147" s="6">
        <v>0</v>
      </c>
      <c r="Q147" s="6">
        <v>0</v>
      </c>
      <c r="R147" s="6">
        <v>0</v>
      </c>
      <c r="S147" s="6">
        <v>0</v>
      </c>
      <c r="T147" s="6">
        <v>1</v>
      </c>
      <c r="U147" s="6">
        <v>1</v>
      </c>
      <c r="V147" s="5">
        <f t="shared" si="53"/>
        <v>4</v>
      </c>
    </row>
    <row r="148" spans="1:22" x14ac:dyDescent="0.4">
      <c r="A148" s="7"/>
      <c r="B148" s="46">
        <v>4</v>
      </c>
      <c r="C148" s="24" t="s">
        <v>166</v>
      </c>
      <c r="D148" s="47"/>
      <c r="E148" s="6">
        <v>0</v>
      </c>
      <c r="F148" s="6">
        <v>0</v>
      </c>
      <c r="G148" s="6">
        <v>0</v>
      </c>
      <c r="H148" s="6">
        <v>1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2</v>
      </c>
      <c r="R148" s="6">
        <v>0</v>
      </c>
      <c r="S148" s="6">
        <v>0</v>
      </c>
      <c r="T148" s="6"/>
      <c r="U148" s="6"/>
      <c r="V148" s="5">
        <f t="shared" si="53"/>
        <v>3</v>
      </c>
    </row>
    <row r="149" spans="1:22" x14ac:dyDescent="0.4">
      <c r="A149" s="7"/>
      <c r="B149" s="46">
        <v>5</v>
      </c>
      <c r="C149" s="24" t="s">
        <v>167</v>
      </c>
      <c r="D149" s="47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/>
      <c r="U149" s="6"/>
      <c r="V149" s="5">
        <f t="shared" si="53"/>
        <v>0</v>
      </c>
    </row>
    <row r="150" spans="1:22" ht="13.15" customHeight="1" x14ac:dyDescent="0.4">
      <c r="A150" s="7"/>
      <c r="B150" s="46">
        <v>6</v>
      </c>
      <c r="C150" s="24" t="s">
        <v>168</v>
      </c>
      <c r="D150" s="47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/>
      <c r="U150" s="6"/>
      <c r="V150" s="5">
        <f t="shared" si="53"/>
        <v>0</v>
      </c>
    </row>
    <row r="151" spans="1:22" x14ac:dyDescent="0.4">
      <c r="A151" s="6" t="s">
        <v>25</v>
      </c>
      <c r="B151" s="52" t="s">
        <v>50</v>
      </c>
      <c r="C151" s="53"/>
      <c r="D151" s="54"/>
      <c r="E151" s="5">
        <f t="shared" ref="E151:V151" si="54">SUM(E144:E150)</f>
        <v>39</v>
      </c>
      <c r="F151" s="5">
        <f t="shared" si="54"/>
        <v>34</v>
      </c>
      <c r="G151" s="5">
        <f t="shared" si="54"/>
        <v>38</v>
      </c>
      <c r="H151" s="5">
        <f t="shared" si="54"/>
        <v>39</v>
      </c>
      <c r="I151" s="5">
        <f t="shared" si="54"/>
        <v>23</v>
      </c>
      <c r="J151" s="5">
        <f t="shared" si="54"/>
        <v>13</v>
      </c>
      <c r="K151" s="5">
        <f t="shared" si="54"/>
        <v>9</v>
      </c>
      <c r="L151" s="5">
        <f t="shared" si="54"/>
        <v>6</v>
      </c>
      <c r="M151" s="5">
        <f t="shared" si="54"/>
        <v>14</v>
      </c>
      <c r="N151" s="5">
        <f t="shared" si="54"/>
        <v>7</v>
      </c>
      <c r="O151" s="5">
        <f t="shared" si="54"/>
        <v>8</v>
      </c>
      <c r="P151" s="5">
        <f t="shared" si="54"/>
        <v>22</v>
      </c>
      <c r="Q151" s="5">
        <f t="shared" si="54"/>
        <v>44</v>
      </c>
      <c r="R151" s="5">
        <f t="shared" si="54"/>
        <v>8</v>
      </c>
      <c r="S151" s="5">
        <f t="shared" si="54"/>
        <v>8</v>
      </c>
      <c r="T151" s="5">
        <f t="shared" si="54"/>
        <v>5</v>
      </c>
      <c r="U151" s="5">
        <f t="shared" si="54"/>
        <v>14</v>
      </c>
      <c r="V151" s="5">
        <f t="shared" si="54"/>
        <v>331</v>
      </c>
    </row>
    <row r="152" spans="1:22" x14ac:dyDescent="0.4">
      <c r="A152" s="55"/>
      <c r="B152" s="56"/>
      <c r="C152" s="56"/>
      <c r="D152" s="56"/>
      <c r="E152" s="5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1:22" x14ac:dyDescent="0.4">
      <c r="A153" s="11" t="s">
        <v>47</v>
      </c>
      <c r="B153" s="17" t="s">
        <v>74</v>
      </c>
      <c r="C153" s="50" t="s">
        <v>75</v>
      </c>
      <c r="D153" s="51"/>
      <c r="E153" s="6">
        <v>1</v>
      </c>
      <c r="F153" s="6">
        <v>1</v>
      </c>
      <c r="G153" s="6">
        <v>1</v>
      </c>
      <c r="H153" s="6">
        <v>1</v>
      </c>
      <c r="I153" s="6">
        <v>0</v>
      </c>
      <c r="J153" s="6">
        <v>0</v>
      </c>
      <c r="K153" s="6">
        <v>1</v>
      </c>
      <c r="L153" s="6">
        <v>0</v>
      </c>
      <c r="M153" s="6">
        <v>0</v>
      </c>
      <c r="N153" s="6">
        <v>0</v>
      </c>
      <c r="O153" s="6">
        <v>1</v>
      </c>
      <c r="P153" s="6">
        <v>2</v>
      </c>
      <c r="Q153" s="6">
        <v>0</v>
      </c>
      <c r="R153" s="6">
        <v>0</v>
      </c>
      <c r="S153" s="6">
        <v>0</v>
      </c>
      <c r="T153" s="6"/>
      <c r="U153" s="6"/>
      <c r="V153" s="5">
        <f t="shared" ref="V153:V155" si="55">SUM(E153:U153)</f>
        <v>8</v>
      </c>
    </row>
    <row r="154" spans="1:22" x14ac:dyDescent="0.4">
      <c r="A154" s="11" t="s">
        <v>49</v>
      </c>
      <c r="B154" s="46">
        <v>1</v>
      </c>
      <c r="C154" s="24" t="s">
        <v>169</v>
      </c>
      <c r="D154" s="47"/>
      <c r="E154" s="6">
        <v>0</v>
      </c>
      <c r="F154" s="6">
        <v>2</v>
      </c>
      <c r="G154" s="6">
        <v>3</v>
      </c>
      <c r="H154" s="6">
        <v>3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3</v>
      </c>
      <c r="P154" s="6">
        <v>1</v>
      </c>
      <c r="Q154" s="6">
        <v>0</v>
      </c>
      <c r="R154" s="6">
        <v>1</v>
      </c>
      <c r="S154" s="6">
        <v>1</v>
      </c>
      <c r="T154" s="6"/>
      <c r="U154" s="6"/>
      <c r="V154" s="5">
        <f t="shared" si="55"/>
        <v>14</v>
      </c>
    </row>
    <row r="155" spans="1:22" x14ac:dyDescent="0.4">
      <c r="A155" s="7"/>
      <c r="B155" s="46">
        <v>2</v>
      </c>
      <c r="C155" s="24" t="s">
        <v>170</v>
      </c>
      <c r="D155" s="47"/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1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1</v>
      </c>
      <c r="S155" s="6">
        <v>0</v>
      </c>
      <c r="T155" s="6"/>
      <c r="U155" s="6"/>
      <c r="V155" s="5">
        <f t="shared" si="55"/>
        <v>2</v>
      </c>
    </row>
    <row r="156" spans="1:22" x14ac:dyDescent="0.4">
      <c r="A156" s="6" t="s">
        <v>25</v>
      </c>
      <c r="B156" s="52" t="s">
        <v>50</v>
      </c>
      <c r="C156" s="53"/>
      <c r="D156" s="54"/>
      <c r="E156" s="5">
        <f t="shared" ref="E156:V156" si="56">SUM(E153:E155)</f>
        <v>1</v>
      </c>
      <c r="F156" s="5">
        <f t="shared" si="56"/>
        <v>3</v>
      </c>
      <c r="G156" s="5">
        <f t="shared" si="56"/>
        <v>4</v>
      </c>
      <c r="H156" s="5">
        <f t="shared" si="56"/>
        <v>4</v>
      </c>
      <c r="I156" s="5">
        <f t="shared" si="56"/>
        <v>0</v>
      </c>
      <c r="J156" s="5">
        <f t="shared" si="56"/>
        <v>0</v>
      </c>
      <c r="K156" s="5">
        <f t="shared" si="56"/>
        <v>2</v>
      </c>
      <c r="L156" s="5">
        <f t="shared" si="56"/>
        <v>0</v>
      </c>
      <c r="M156" s="5">
        <f t="shared" si="56"/>
        <v>0</v>
      </c>
      <c r="N156" s="5">
        <f t="shared" si="56"/>
        <v>0</v>
      </c>
      <c r="O156" s="5">
        <f t="shared" si="56"/>
        <v>4</v>
      </c>
      <c r="P156" s="5">
        <f t="shared" si="56"/>
        <v>3</v>
      </c>
      <c r="Q156" s="5">
        <f t="shared" si="56"/>
        <v>0</v>
      </c>
      <c r="R156" s="5">
        <f t="shared" si="56"/>
        <v>2</v>
      </c>
      <c r="S156" s="5">
        <f t="shared" si="56"/>
        <v>1</v>
      </c>
      <c r="T156" s="5">
        <f t="shared" si="56"/>
        <v>0</v>
      </c>
      <c r="U156" s="5">
        <f t="shared" si="56"/>
        <v>0</v>
      </c>
      <c r="V156" s="5">
        <f t="shared" si="56"/>
        <v>24</v>
      </c>
    </row>
    <row r="157" spans="1:22" x14ac:dyDescent="0.4">
      <c r="A157" s="55"/>
      <c r="B157" s="56"/>
      <c r="C157" s="56"/>
      <c r="D157" s="56"/>
      <c r="E157" s="5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 spans="1:22" x14ac:dyDescent="0.4">
      <c r="A158" s="11" t="s">
        <v>47</v>
      </c>
      <c r="B158" s="17" t="s">
        <v>76</v>
      </c>
      <c r="C158" s="50" t="s">
        <v>77</v>
      </c>
      <c r="D158" s="51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1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1</v>
      </c>
      <c r="R158" s="6">
        <v>1</v>
      </c>
      <c r="S158" s="6">
        <v>0</v>
      </c>
      <c r="T158" s="6">
        <v>1</v>
      </c>
      <c r="U158" s="6"/>
      <c r="V158" s="5">
        <f t="shared" ref="V158:V161" si="57">SUM(E158:U158)</f>
        <v>4</v>
      </c>
    </row>
    <row r="159" spans="1:22" x14ac:dyDescent="0.4">
      <c r="A159" s="11" t="s">
        <v>49</v>
      </c>
      <c r="B159" s="46">
        <v>1</v>
      </c>
      <c r="C159" s="24" t="s">
        <v>171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/>
      <c r="U159" s="6"/>
      <c r="V159" s="5">
        <f t="shared" si="57"/>
        <v>0</v>
      </c>
    </row>
    <row r="160" spans="1:22" x14ac:dyDescent="0.4">
      <c r="A160" s="7"/>
      <c r="B160" s="46">
        <v>2</v>
      </c>
      <c r="C160" s="24" t="s">
        <v>172</v>
      </c>
      <c r="D160" s="45"/>
      <c r="E160" s="6">
        <v>0</v>
      </c>
      <c r="F160" s="6">
        <v>1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/>
      <c r="U160" s="6"/>
      <c r="V160" s="5">
        <f t="shared" si="57"/>
        <v>1</v>
      </c>
    </row>
    <row r="161" spans="1:22" x14ac:dyDescent="0.4">
      <c r="A161" s="7"/>
      <c r="B161" s="46">
        <v>3</v>
      </c>
      <c r="C161" s="24" t="s">
        <v>173</v>
      </c>
      <c r="D161" s="45"/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/>
      <c r="U161" s="6"/>
      <c r="V161" s="5">
        <f t="shared" si="57"/>
        <v>0</v>
      </c>
    </row>
    <row r="162" spans="1:22" x14ac:dyDescent="0.4">
      <c r="A162" s="6" t="s">
        <v>25</v>
      </c>
      <c r="B162" s="52" t="s">
        <v>50</v>
      </c>
      <c r="C162" s="53"/>
      <c r="D162" s="54"/>
      <c r="E162" s="5">
        <f t="shared" ref="E162:V162" si="58">SUM(E158:E161)</f>
        <v>0</v>
      </c>
      <c r="F162" s="5">
        <f t="shared" si="58"/>
        <v>1</v>
      </c>
      <c r="G162" s="5">
        <f t="shared" si="58"/>
        <v>0</v>
      </c>
      <c r="H162" s="5">
        <f t="shared" si="58"/>
        <v>0</v>
      </c>
      <c r="I162" s="5">
        <f t="shared" si="58"/>
        <v>0</v>
      </c>
      <c r="J162" s="5">
        <f t="shared" si="58"/>
        <v>1</v>
      </c>
      <c r="K162" s="5">
        <f t="shared" si="58"/>
        <v>0</v>
      </c>
      <c r="L162" s="5">
        <f t="shared" si="58"/>
        <v>0</v>
      </c>
      <c r="M162" s="5">
        <f t="shared" si="58"/>
        <v>0</v>
      </c>
      <c r="N162" s="5">
        <f t="shared" si="58"/>
        <v>0</v>
      </c>
      <c r="O162" s="5">
        <f t="shared" si="58"/>
        <v>0</v>
      </c>
      <c r="P162" s="5">
        <f t="shared" si="58"/>
        <v>0</v>
      </c>
      <c r="Q162" s="5">
        <f t="shared" si="58"/>
        <v>1</v>
      </c>
      <c r="R162" s="5">
        <f t="shared" si="58"/>
        <v>1</v>
      </c>
      <c r="S162" s="5">
        <f t="shared" si="58"/>
        <v>0</v>
      </c>
      <c r="T162" s="5">
        <f t="shared" si="58"/>
        <v>1</v>
      </c>
      <c r="U162" s="5">
        <f t="shared" si="58"/>
        <v>0</v>
      </c>
      <c r="V162" s="5">
        <f t="shared" si="58"/>
        <v>5</v>
      </c>
    </row>
    <row r="163" spans="1:22" x14ac:dyDescent="0.4">
      <c r="A163" s="55"/>
      <c r="B163" s="56"/>
      <c r="C163" s="56"/>
      <c r="D163" s="56"/>
      <c r="E163" s="5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 spans="1:22" x14ac:dyDescent="0.4">
      <c r="A164" s="11" t="s">
        <v>47</v>
      </c>
      <c r="B164" s="17" t="s">
        <v>78</v>
      </c>
      <c r="C164" s="50" t="s">
        <v>79</v>
      </c>
      <c r="D164" s="51"/>
      <c r="E164" s="6">
        <v>1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3</v>
      </c>
      <c r="O164" s="6">
        <v>1</v>
      </c>
      <c r="P164" s="6">
        <v>0</v>
      </c>
      <c r="Q164" s="6">
        <v>2</v>
      </c>
      <c r="R164" s="6">
        <v>0</v>
      </c>
      <c r="S164" s="6">
        <v>2</v>
      </c>
      <c r="T164" s="6"/>
      <c r="U164" s="6">
        <v>1</v>
      </c>
      <c r="V164" s="5">
        <f t="shared" ref="V164:V170" si="59">SUM(E164:U164)</f>
        <v>10</v>
      </c>
    </row>
    <row r="165" spans="1:22" x14ac:dyDescent="0.4">
      <c r="A165" s="11" t="s">
        <v>49</v>
      </c>
      <c r="B165" s="46">
        <v>1</v>
      </c>
      <c r="C165" s="24" t="s">
        <v>174</v>
      </c>
      <c r="D165" s="47"/>
      <c r="E165" s="6">
        <v>0</v>
      </c>
      <c r="F165" s="6">
        <v>0</v>
      </c>
      <c r="G165" s="6">
        <v>0</v>
      </c>
      <c r="H165" s="6">
        <v>0</v>
      </c>
      <c r="I165" s="6">
        <v>2</v>
      </c>
      <c r="J165" s="6">
        <v>1</v>
      </c>
      <c r="K165" s="6">
        <v>2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/>
      <c r="U165" s="6"/>
      <c r="V165" s="5">
        <f t="shared" si="59"/>
        <v>5</v>
      </c>
    </row>
    <row r="166" spans="1:22" x14ac:dyDescent="0.4">
      <c r="A166" s="7"/>
      <c r="B166" s="46">
        <v>2</v>
      </c>
      <c r="C166" s="24" t="s">
        <v>175</v>
      </c>
      <c r="D166" s="47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1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1</v>
      </c>
      <c r="R166" s="6">
        <v>0</v>
      </c>
      <c r="S166" s="6">
        <v>0</v>
      </c>
      <c r="T166" s="6"/>
      <c r="U166" s="6"/>
      <c r="V166" s="5">
        <f t="shared" si="59"/>
        <v>2</v>
      </c>
    </row>
    <row r="167" spans="1:22" ht="13.15" customHeight="1" x14ac:dyDescent="0.4">
      <c r="A167" s="7"/>
      <c r="B167" s="46">
        <v>3</v>
      </c>
      <c r="C167" s="24" t="s">
        <v>176</v>
      </c>
      <c r="D167" s="47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/>
      <c r="U167" s="6"/>
      <c r="V167" s="5">
        <f t="shared" si="59"/>
        <v>0</v>
      </c>
    </row>
    <row r="168" spans="1:22" x14ac:dyDescent="0.4">
      <c r="A168" s="7"/>
      <c r="B168" s="46">
        <v>4</v>
      </c>
      <c r="C168" s="24" t="s">
        <v>177</v>
      </c>
      <c r="D168" s="47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/>
      <c r="U168" s="6">
        <v>1</v>
      </c>
      <c r="V168" s="5">
        <f t="shared" si="59"/>
        <v>1</v>
      </c>
    </row>
    <row r="169" spans="1:22" ht="12.75" customHeight="1" x14ac:dyDescent="0.4">
      <c r="A169" s="7"/>
      <c r="B169" s="46">
        <v>5</v>
      </c>
      <c r="C169" s="24" t="s">
        <v>178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1</v>
      </c>
      <c r="R169" s="6">
        <v>0</v>
      </c>
      <c r="S169" s="6">
        <v>0</v>
      </c>
      <c r="T169" s="6"/>
      <c r="U169" s="6">
        <v>1</v>
      </c>
      <c r="V169" s="5">
        <f t="shared" si="59"/>
        <v>2</v>
      </c>
    </row>
    <row r="170" spans="1:22" x14ac:dyDescent="0.4">
      <c r="A170" s="7"/>
      <c r="B170" s="46">
        <v>6</v>
      </c>
      <c r="C170" s="24" t="s">
        <v>179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/>
      <c r="U170" s="6"/>
      <c r="V170" s="5">
        <f t="shared" si="59"/>
        <v>0</v>
      </c>
    </row>
    <row r="171" spans="1:22" ht="12.75" customHeight="1" x14ac:dyDescent="0.4">
      <c r="A171" s="6" t="s">
        <v>25</v>
      </c>
      <c r="B171" s="52" t="s">
        <v>50</v>
      </c>
      <c r="C171" s="53"/>
      <c r="D171" s="54"/>
      <c r="E171" s="5">
        <f t="shared" ref="E171:V171" si="60">SUM(E164:E170)</f>
        <v>1</v>
      </c>
      <c r="F171" s="5">
        <f t="shared" si="60"/>
        <v>0</v>
      </c>
      <c r="G171" s="5">
        <f t="shared" si="60"/>
        <v>0</v>
      </c>
      <c r="H171" s="5">
        <f t="shared" si="60"/>
        <v>0</v>
      </c>
      <c r="I171" s="5">
        <f t="shared" si="60"/>
        <v>2</v>
      </c>
      <c r="J171" s="5">
        <f t="shared" si="60"/>
        <v>2</v>
      </c>
      <c r="K171" s="5">
        <f t="shared" si="60"/>
        <v>2</v>
      </c>
      <c r="L171" s="5">
        <f t="shared" si="60"/>
        <v>0</v>
      </c>
      <c r="M171" s="5">
        <f t="shared" si="60"/>
        <v>0</v>
      </c>
      <c r="N171" s="5">
        <f t="shared" si="60"/>
        <v>3</v>
      </c>
      <c r="O171" s="5">
        <f t="shared" si="60"/>
        <v>1</v>
      </c>
      <c r="P171" s="5">
        <f t="shared" si="60"/>
        <v>0</v>
      </c>
      <c r="Q171" s="5">
        <f t="shared" si="60"/>
        <v>4</v>
      </c>
      <c r="R171" s="5">
        <f t="shared" si="60"/>
        <v>0</v>
      </c>
      <c r="S171" s="5">
        <f t="shared" si="60"/>
        <v>2</v>
      </c>
      <c r="T171" s="5">
        <f t="shared" si="60"/>
        <v>0</v>
      </c>
      <c r="U171" s="5">
        <f t="shared" si="60"/>
        <v>3</v>
      </c>
      <c r="V171" s="5">
        <f t="shared" si="60"/>
        <v>20</v>
      </c>
    </row>
    <row r="172" spans="1:22" x14ac:dyDescent="0.4">
      <c r="A172" s="55"/>
      <c r="B172" s="56"/>
      <c r="C172" s="56"/>
      <c r="D172" s="56"/>
      <c r="E172" s="57"/>
    </row>
    <row r="173" spans="1:22" x14ac:dyDescent="0.4">
      <c r="A173" s="11" t="s">
        <v>47</v>
      </c>
      <c r="B173" s="17" t="s">
        <v>80</v>
      </c>
      <c r="C173" s="50" t="s">
        <v>81</v>
      </c>
      <c r="D173" s="51"/>
      <c r="E173" s="6">
        <v>0</v>
      </c>
      <c r="F173" s="6">
        <v>2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1</v>
      </c>
      <c r="M173" s="6">
        <v>0</v>
      </c>
      <c r="N173" s="6">
        <v>2</v>
      </c>
      <c r="O173" s="6">
        <v>0</v>
      </c>
      <c r="P173" s="6">
        <v>0</v>
      </c>
      <c r="Q173" s="6">
        <v>0</v>
      </c>
      <c r="R173" s="6">
        <v>2</v>
      </c>
      <c r="S173" s="6">
        <v>0</v>
      </c>
      <c r="T173" s="6"/>
      <c r="U173" s="6"/>
      <c r="V173" s="5">
        <f t="shared" ref="V173:V175" si="61">SUM(E173:U173)</f>
        <v>7</v>
      </c>
    </row>
    <row r="174" spans="1:22" x14ac:dyDescent="0.4">
      <c r="A174" s="11" t="s">
        <v>49</v>
      </c>
      <c r="B174" s="46">
        <v>1</v>
      </c>
      <c r="C174" s="24" t="s">
        <v>180</v>
      </c>
      <c r="D174" s="45"/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1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/>
      <c r="U174" s="6"/>
      <c r="V174" s="5">
        <f t="shared" si="61"/>
        <v>1</v>
      </c>
    </row>
    <row r="175" spans="1:22" x14ac:dyDescent="0.4">
      <c r="A175" s="7"/>
      <c r="B175" s="46">
        <v>2</v>
      </c>
      <c r="C175" s="24" t="s">
        <v>181</v>
      </c>
      <c r="D175" s="47"/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1</v>
      </c>
      <c r="O175" s="6">
        <v>0</v>
      </c>
      <c r="P175" s="6">
        <v>1</v>
      </c>
      <c r="Q175" s="6">
        <v>1</v>
      </c>
      <c r="R175" s="6">
        <v>0</v>
      </c>
      <c r="S175" s="6">
        <v>0</v>
      </c>
      <c r="T175" s="6"/>
      <c r="U175" s="6"/>
      <c r="V175" s="5">
        <f t="shared" si="61"/>
        <v>3</v>
      </c>
    </row>
    <row r="176" spans="1:22" x14ac:dyDescent="0.4">
      <c r="A176" s="6" t="s">
        <v>25</v>
      </c>
      <c r="B176" s="52" t="s">
        <v>50</v>
      </c>
      <c r="C176" s="53"/>
      <c r="D176" s="54"/>
      <c r="E176" s="5">
        <f t="shared" ref="E176:V176" si="62">SUM(E173:E175)</f>
        <v>0</v>
      </c>
      <c r="F176" s="5">
        <f t="shared" si="62"/>
        <v>2</v>
      </c>
      <c r="G176" s="5">
        <f t="shared" si="62"/>
        <v>0</v>
      </c>
      <c r="H176" s="5">
        <f t="shared" si="62"/>
        <v>0</v>
      </c>
      <c r="I176" s="5">
        <f t="shared" si="62"/>
        <v>0</v>
      </c>
      <c r="J176" s="5">
        <f t="shared" si="62"/>
        <v>0</v>
      </c>
      <c r="K176" s="5">
        <f t="shared" si="62"/>
        <v>1</v>
      </c>
      <c r="L176" s="5">
        <f t="shared" si="62"/>
        <v>1</v>
      </c>
      <c r="M176" s="5">
        <f t="shared" si="62"/>
        <v>0</v>
      </c>
      <c r="N176" s="5">
        <f t="shared" si="62"/>
        <v>3</v>
      </c>
      <c r="O176" s="5">
        <f t="shared" si="62"/>
        <v>0</v>
      </c>
      <c r="P176" s="5">
        <f t="shared" si="62"/>
        <v>1</v>
      </c>
      <c r="Q176" s="5">
        <f t="shared" si="62"/>
        <v>1</v>
      </c>
      <c r="R176" s="5">
        <f t="shared" si="62"/>
        <v>2</v>
      </c>
      <c r="S176" s="5">
        <f t="shared" si="62"/>
        <v>0</v>
      </c>
      <c r="T176" s="5">
        <f t="shared" si="62"/>
        <v>0</v>
      </c>
      <c r="U176" s="5">
        <f t="shared" si="62"/>
        <v>0</v>
      </c>
      <c r="V176" s="5">
        <f t="shared" si="62"/>
        <v>11</v>
      </c>
    </row>
    <row r="178" spans="1:22" x14ac:dyDescent="0.4">
      <c r="A178" s="16" t="s">
        <v>82</v>
      </c>
      <c r="B178" s="60" t="s">
        <v>83</v>
      </c>
      <c r="C178" s="61"/>
      <c r="D178" s="62"/>
      <c r="E178" s="5"/>
      <c r="F178" s="5"/>
      <c r="G178" s="5"/>
      <c r="H178" s="5"/>
      <c r="I178" s="5"/>
      <c r="J178" s="5"/>
      <c r="K178" s="5"/>
      <c r="L178" s="5"/>
      <c r="M178" s="5"/>
      <c r="N178" s="15"/>
      <c r="O178" s="15"/>
      <c r="P178" s="15"/>
      <c r="Q178" s="15"/>
      <c r="R178" s="15"/>
      <c r="S178" s="15"/>
      <c r="T178" s="15"/>
      <c r="U178" s="15"/>
      <c r="V178" s="5"/>
    </row>
    <row r="179" spans="1:22" x14ac:dyDescent="0.4">
      <c r="A179" s="16"/>
      <c r="B179" s="19" t="s">
        <v>84</v>
      </c>
      <c r="C179" s="58" t="s">
        <v>85</v>
      </c>
      <c r="D179" s="59"/>
      <c r="E179" s="6">
        <f t="shared" ref="E179:U179" si="63">E52+E61+E70+E79+E88+E91+E98+E107+E113+E122+E125+E134+E142+E151+E156+E162+E171+E176</f>
        <v>220</v>
      </c>
      <c r="F179" s="6">
        <f t="shared" si="63"/>
        <v>216</v>
      </c>
      <c r="G179" s="6">
        <f t="shared" si="63"/>
        <v>141</v>
      </c>
      <c r="H179" s="6">
        <f t="shared" si="63"/>
        <v>185</v>
      </c>
      <c r="I179" s="6">
        <f t="shared" si="63"/>
        <v>189</v>
      </c>
      <c r="J179" s="6">
        <f t="shared" si="63"/>
        <v>212</v>
      </c>
      <c r="K179" s="6">
        <f t="shared" si="63"/>
        <v>204</v>
      </c>
      <c r="L179" s="6">
        <f t="shared" si="63"/>
        <v>223</v>
      </c>
      <c r="M179" s="6">
        <f t="shared" si="63"/>
        <v>203</v>
      </c>
      <c r="N179" s="6">
        <f t="shared" si="63"/>
        <v>183</v>
      </c>
      <c r="O179" s="6">
        <f t="shared" si="63"/>
        <v>180</v>
      </c>
      <c r="P179" s="6">
        <f t="shared" si="63"/>
        <v>184</v>
      </c>
      <c r="Q179" s="6">
        <f t="shared" si="63"/>
        <v>212</v>
      </c>
      <c r="R179" s="6">
        <f t="shared" si="63"/>
        <v>186</v>
      </c>
      <c r="S179" s="6">
        <f t="shared" si="63"/>
        <v>160</v>
      </c>
      <c r="T179" s="6">
        <f t="shared" si="63"/>
        <v>153</v>
      </c>
      <c r="U179" s="6">
        <f t="shared" si="63"/>
        <v>154</v>
      </c>
      <c r="V179" s="5">
        <f>SUM(E179:U179)</f>
        <v>3205</v>
      </c>
    </row>
    <row r="180" spans="1:22" x14ac:dyDescent="0.4">
      <c r="A180" s="13"/>
      <c r="B180" s="19" t="s">
        <v>86</v>
      </c>
      <c r="C180" s="58" t="s">
        <v>87</v>
      </c>
      <c r="D180" s="59"/>
      <c r="E180" s="6">
        <v>13</v>
      </c>
      <c r="F180" s="6">
        <v>18</v>
      </c>
      <c r="G180" s="6">
        <v>11</v>
      </c>
      <c r="H180" s="6">
        <v>12</v>
      </c>
      <c r="I180" s="6">
        <v>6</v>
      </c>
      <c r="J180" s="6">
        <v>13</v>
      </c>
      <c r="K180" s="6">
        <v>15</v>
      </c>
      <c r="L180" s="6">
        <v>9</v>
      </c>
      <c r="M180" s="6">
        <v>19</v>
      </c>
      <c r="N180" s="6">
        <v>12</v>
      </c>
      <c r="O180" s="6">
        <v>12</v>
      </c>
      <c r="P180" s="6">
        <v>20</v>
      </c>
      <c r="Q180" s="6">
        <v>15</v>
      </c>
      <c r="R180" s="6">
        <v>16</v>
      </c>
      <c r="S180" s="6">
        <v>10</v>
      </c>
      <c r="T180" s="6">
        <v>15</v>
      </c>
      <c r="U180" s="6">
        <v>13</v>
      </c>
      <c r="V180" s="5">
        <f>SUM(E180:U180)</f>
        <v>229</v>
      </c>
    </row>
    <row r="181" spans="1:22" x14ac:dyDescent="0.4">
      <c r="A181" s="14"/>
      <c r="B181" s="19" t="s">
        <v>88</v>
      </c>
      <c r="C181" s="58" t="s">
        <v>89</v>
      </c>
      <c r="D181" s="59"/>
      <c r="E181" s="5">
        <f>SUM(E179:E180)</f>
        <v>233</v>
      </c>
      <c r="F181" s="5">
        <f t="shared" ref="F181:O181" si="64">SUM(F179:F180)</f>
        <v>234</v>
      </c>
      <c r="G181" s="5">
        <f t="shared" si="64"/>
        <v>152</v>
      </c>
      <c r="H181" s="5">
        <f t="shared" si="64"/>
        <v>197</v>
      </c>
      <c r="I181" s="5">
        <f t="shared" si="64"/>
        <v>195</v>
      </c>
      <c r="J181" s="5">
        <f t="shared" si="64"/>
        <v>225</v>
      </c>
      <c r="K181" s="5">
        <f t="shared" si="64"/>
        <v>219</v>
      </c>
      <c r="L181" s="5">
        <f t="shared" si="64"/>
        <v>232</v>
      </c>
      <c r="M181" s="5">
        <f t="shared" si="64"/>
        <v>222</v>
      </c>
      <c r="N181" s="5">
        <f t="shared" si="64"/>
        <v>195</v>
      </c>
      <c r="O181" s="5">
        <f t="shared" si="64"/>
        <v>192</v>
      </c>
      <c r="P181" s="5">
        <f t="shared" ref="P181:U181" si="65">SUM(P179:P180)</f>
        <v>204</v>
      </c>
      <c r="Q181" s="5">
        <f t="shared" ref="Q181:R181" si="66">SUM(Q179:Q180)</f>
        <v>227</v>
      </c>
      <c r="R181" s="5">
        <f t="shared" si="66"/>
        <v>202</v>
      </c>
      <c r="S181" s="5">
        <f t="shared" si="65"/>
        <v>170</v>
      </c>
      <c r="T181" s="5">
        <f t="shared" si="65"/>
        <v>168</v>
      </c>
      <c r="U181" s="5">
        <f t="shared" si="65"/>
        <v>167</v>
      </c>
      <c r="V181" s="5">
        <f>SUM(E181:U181)</f>
        <v>3434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U12"/>
    <mergeCell ref="V12:V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I37"/>
    <mergeCell ref="B38:D38"/>
    <mergeCell ref="A42:D42"/>
    <mergeCell ref="E42:I42"/>
    <mergeCell ref="B43:D43"/>
    <mergeCell ref="B39:C41"/>
    <mergeCell ref="A44:D44"/>
    <mergeCell ref="C45:D45"/>
    <mergeCell ref="C81:D81"/>
    <mergeCell ref="B52:D52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109:D109"/>
    <mergeCell ref="B88:D88"/>
    <mergeCell ref="A89:E89"/>
    <mergeCell ref="C90:D90"/>
    <mergeCell ref="B91:D91"/>
    <mergeCell ref="A92:E92"/>
    <mergeCell ref="C93:D93"/>
    <mergeCell ref="B98:D98"/>
    <mergeCell ref="A99:E99"/>
    <mergeCell ref="C100:D100"/>
    <mergeCell ref="B107:D107"/>
    <mergeCell ref="A108:E108"/>
    <mergeCell ref="C136:D136"/>
    <mergeCell ref="B113:D113"/>
    <mergeCell ref="A114:E114"/>
    <mergeCell ref="C115:D115"/>
    <mergeCell ref="B122:D122"/>
    <mergeCell ref="A123:E123"/>
    <mergeCell ref="C124:D124"/>
    <mergeCell ref="B125:D125"/>
    <mergeCell ref="A126:E126"/>
    <mergeCell ref="C127:D127"/>
    <mergeCell ref="B134:D134"/>
    <mergeCell ref="A135:E135"/>
    <mergeCell ref="C180:D180"/>
    <mergeCell ref="C181:D181"/>
    <mergeCell ref="B171:D171"/>
    <mergeCell ref="A172:E172"/>
    <mergeCell ref="C173:D173"/>
    <mergeCell ref="B176:D176"/>
    <mergeCell ref="B178:D178"/>
    <mergeCell ref="C179:D179"/>
    <mergeCell ref="C164:D164"/>
    <mergeCell ref="B142:D142"/>
    <mergeCell ref="A143:E143"/>
    <mergeCell ref="C144:D144"/>
    <mergeCell ref="B151:D151"/>
    <mergeCell ref="A152:E152"/>
    <mergeCell ref="C153:D153"/>
    <mergeCell ref="B156:D156"/>
    <mergeCell ref="A157:E157"/>
    <mergeCell ref="C158:D158"/>
    <mergeCell ref="B162:D162"/>
    <mergeCell ref="A163:E163"/>
  </mergeCells>
  <phoneticPr fontId="8" type="noConversion"/>
  <conditionalFormatting sqref="E14:U15">
    <cfRule type="containsBlanks" dxfId="111" priority="22">
      <formula>LEN(TRIM(E14))=0</formula>
    </cfRule>
  </conditionalFormatting>
  <conditionalFormatting sqref="E19:U20">
    <cfRule type="containsBlanks" dxfId="110" priority="25">
      <formula>LEN(TRIM(E19))=0</formula>
    </cfRule>
  </conditionalFormatting>
  <conditionalFormatting sqref="E22:U23 E25:U26 E33:U33 E35:U35 E39:U40">
    <cfRule type="containsBlanks" dxfId="109" priority="26">
      <formula>LEN(TRIM(E22))=0</formula>
    </cfRule>
  </conditionalFormatting>
  <conditionalFormatting sqref="E30:U30">
    <cfRule type="expression" dxfId="108" priority="27">
      <formula>E30&lt;&gt;E47</formula>
    </cfRule>
    <cfRule type="expression" dxfId="107" priority="28">
      <formula>E30&lt;&gt;E34</formula>
    </cfRule>
  </conditionalFormatting>
  <conditionalFormatting sqref="E34:U34">
    <cfRule type="expression" dxfId="106" priority="83">
      <formula>E30&lt;&gt;E34</formula>
    </cfRule>
    <cfRule type="expression" dxfId="105" priority="84">
      <formula>E30=E34</formula>
    </cfRule>
    <cfRule type="expression" dxfId="104" priority="85">
      <formula>E34&lt;&gt;E30</formula>
    </cfRule>
    <cfRule type="expression" dxfId="103" priority="86">
      <formula>E34&lt;&gt;#REF!</formula>
    </cfRule>
  </conditionalFormatting>
  <conditionalFormatting sqref="E45:U51">
    <cfRule type="containsBlanks" dxfId="102" priority="21">
      <formula>LEN(TRIM(E45))=0</formula>
    </cfRule>
  </conditionalFormatting>
  <conditionalFormatting sqref="E54:U60">
    <cfRule type="containsBlanks" dxfId="101" priority="20">
      <formula>LEN(TRIM(E54))=0</formula>
    </cfRule>
  </conditionalFormatting>
  <conditionalFormatting sqref="E63:U69">
    <cfRule type="containsBlanks" dxfId="100" priority="19">
      <formula>LEN(TRIM(E63))=0</formula>
    </cfRule>
  </conditionalFormatting>
  <conditionalFormatting sqref="E72:U78">
    <cfRule type="containsBlanks" dxfId="99" priority="18">
      <formula>LEN(TRIM(E72))=0</formula>
    </cfRule>
  </conditionalFormatting>
  <conditionalFormatting sqref="E81:U87">
    <cfRule type="containsBlanks" dxfId="98" priority="17">
      <formula>LEN(TRIM(E81))=0</formula>
    </cfRule>
  </conditionalFormatting>
  <conditionalFormatting sqref="E90:U90">
    <cfRule type="containsBlanks" dxfId="97" priority="16">
      <formula>LEN(TRIM(E90))=0</formula>
    </cfRule>
  </conditionalFormatting>
  <conditionalFormatting sqref="E93:U97">
    <cfRule type="containsBlanks" dxfId="96" priority="2">
      <formula>LEN(TRIM(E93))=0</formula>
    </cfRule>
  </conditionalFormatting>
  <conditionalFormatting sqref="E100:U106">
    <cfRule type="containsBlanks" dxfId="95" priority="15">
      <formula>LEN(TRIM(E100))=0</formula>
    </cfRule>
  </conditionalFormatting>
  <conditionalFormatting sqref="E109:U112">
    <cfRule type="containsBlanks" dxfId="94" priority="14">
      <formula>LEN(TRIM(E109))=0</formula>
    </cfRule>
  </conditionalFormatting>
  <conditionalFormatting sqref="E115:U121">
    <cfRule type="containsBlanks" dxfId="93" priority="4">
      <formula>LEN(TRIM(E115))=0</formula>
    </cfRule>
  </conditionalFormatting>
  <conditionalFormatting sqref="E124:U124">
    <cfRule type="containsBlanks" dxfId="92" priority="13">
      <formula>LEN(TRIM(E124))=0</formula>
    </cfRule>
  </conditionalFormatting>
  <conditionalFormatting sqref="E127:U133">
    <cfRule type="containsBlanks" dxfId="91" priority="12">
      <formula>LEN(TRIM(E127))=0</formula>
    </cfRule>
  </conditionalFormatting>
  <conditionalFormatting sqref="E136:U141">
    <cfRule type="containsBlanks" dxfId="90" priority="11">
      <formula>LEN(TRIM(E136))=0</formula>
    </cfRule>
  </conditionalFormatting>
  <conditionalFormatting sqref="E144:U150">
    <cfRule type="containsBlanks" dxfId="89" priority="10">
      <formula>LEN(TRIM(E144))=0</formula>
    </cfRule>
  </conditionalFormatting>
  <conditionalFormatting sqref="E153:U155">
    <cfRule type="containsBlanks" dxfId="88" priority="9">
      <formula>LEN(TRIM(E153))=0</formula>
    </cfRule>
  </conditionalFormatting>
  <conditionalFormatting sqref="E158:U161">
    <cfRule type="containsBlanks" dxfId="87" priority="8">
      <formula>LEN(TRIM(E158))=0</formula>
    </cfRule>
  </conditionalFormatting>
  <conditionalFormatting sqref="E164:U170">
    <cfRule type="containsBlanks" dxfId="86" priority="7">
      <formula>LEN(TRIM(E164))=0</formula>
    </cfRule>
  </conditionalFormatting>
  <conditionalFormatting sqref="E173:U175">
    <cfRule type="containsBlanks" dxfId="85" priority="5">
      <formula>LEN(TRIM(E173))=0</formula>
    </cfRule>
  </conditionalFormatting>
  <conditionalFormatting sqref="E179:U180">
    <cfRule type="containsBlanks" dxfId="84" priority="3">
      <formula>LEN(TRIM(E179))=0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4FAF-A591-4A91-A3ED-69D48DD14997}">
  <sheetPr>
    <tabColor rgb="FF92D050"/>
  </sheetPr>
  <dimension ref="A2:O181"/>
  <sheetViews>
    <sheetView topLeftCell="D13" zoomScale="115" zoomScaleNormal="115" workbookViewId="0">
      <pane ySplit="1" topLeftCell="A176" activePane="bottomLeft" state="frozen"/>
      <selection activeCell="A13" sqref="A13"/>
      <selection pane="bottomLeft" activeCell="N180" sqref="N180"/>
    </sheetView>
  </sheetViews>
  <sheetFormatPr defaultRowHeight="13.15" x14ac:dyDescent="0.4"/>
  <cols>
    <col min="3" max="3" width="67.140625" bestFit="1" customWidth="1"/>
    <col min="4" max="4" width="5.85546875" bestFit="1" customWidth="1"/>
    <col min="15" max="15" width="13.28515625" customWidth="1"/>
  </cols>
  <sheetData>
    <row r="2" spans="1:15" x14ac:dyDescent="0.4">
      <c r="C2" s="43" t="s">
        <v>91</v>
      </c>
      <c r="D2" s="43" t="s">
        <v>98</v>
      </c>
    </row>
    <row r="3" spans="1:15" x14ac:dyDescent="0.4">
      <c r="C3" s="43" t="s">
        <v>92</v>
      </c>
      <c r="D3" s="43" t="s">
        <v>93</v>
      </c>
    </row>
    <row r="4" spans="1:15" x14ac:dyDescent="0.4">
      <c r="C4" s="43" t="s">
        <v>94</v>
      </c>
      <c r="D4" s="43" t="s">
        <v>95</v>
      </c>
    </row>
    <row r="5" spans="1:15" x14ac:dyDescent="0.4">
      <c r="C5" s="43"/>
      <c r="D5" s="43"/>
    </row>
    <row r="6" spans="1:15" x14ac:dyDescent="0.4">
      <c r="C6" s="43"/>
      <c r="D6" s="43"/>
    </row>
    <row r="7" spans="1:15" x14ac:dyDescent="0.4">
      <c r="C7" s="43"/>
      <c r="D7" s="43"/>
    </row>
    <row r="8" spans="1:15" x14ac:dyDescent="0.4">
      <c r="C8" s="43"/>
      <c r="D8" s="43"/>
    </row>
    <row r="9" spans="1:15" x14ac:dyDescent="0.4">
      <c r="C9" s="43" t="s">
        <v>96</v>
      </c>
      <c r="D9" s="43" t="s">
        <v>100</v>
      </c>
    </row>
    <row r="11" spans="1:15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x14ac:dyDescent="0.4">
      <c r="A12" s="5" t="s">
        <v>0</v>
      </c>
      <c r="B12" s="60" t="s">
        <v>1</v>
      </c>
      <c r="C12" s="68"/>
      <c r="D12" s="51"/>
      <c r="E12" s="85"/>
      <c r="F12" s="86"/>
      <c r="G12" s="86"/>
      <c r="H12" s="86"/>
      <c r="I12" s="86"/>
      <c r="J12" s="86"/>
      <c r="K12" s="86"/>
      <c r="L12" s="86"/>
      <c r="M12" s="86"/>
      <c r="N12" s="86"/>
      <c r="O12" s="87" t="s">
        <v>90</v>
      </c>
    </row>
    <row r="13" spans="1:15" x14ac:dyDescent="0.4">
      <c r="A13" s="6" t="s">
        <v>2</v>
      </c>
      <c r="B13" s="78" t="s">
        <v>3</v>
      </c>
      <c r="C13" s="68"/>
      <c r="D13" s="5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88"/>
    </row>
    <row r="14" spans="1:15" x14ac:dyDescent="0.4">
      <c r="A14" s="7"/>
      <c r="B14" s="89" t="s">
        <v>21</v>
      </c>
      <c r="C14" s="64"/>
      <c r="D14" s="6" t="s">
        <v>22</v>
      </c>
      <c r="E14" s="6">
        <v>151</v>
      </c>
      <c r="F14" s="6">
        <v>137</v>
      </c>
      <c r="G14" s="6">
        <v>145</v>
      </c>
      <c r="H14" s="6">
        <v>145</v>
      </c>
      <c r="I14" s="6">
        <v>147</v>
      </c>
      <c r="J14" s="6">
        <v>141</v>
      </c>
      <c r="K14" s="6">
        <v>124</v>
      </c>
      <c r="L14" s="6">
        <v>133</v>
      </c>
      <c r="M14" s="6">
        <v>123</v>
      </c>
      <c r="N14" s="6">
        <v>90</v>
      </c>
      <c r="O14" s="5">
        <f>SUM(E14:N14)</f>
        <v>1336</v>
      </c>
    </row>
    <row r="15" spans="1:15" x14ac:dyDescent="0.4">
      <c r="A15" s="7"/>
      <c r="B15" s="90"/>
      <c r="C15" s="77"/>
      <c r="D15" s="6" t="s">
        <v>23</v>
      </c>
      <c r="E15" s="6">
        <v>144</v>
      </c>
      <c r="F15" s="6">
        <v>156</v>
      </c>
      <c r="G15" s="6">
        <v>151</v>
      </c>
      <c r="H15" s="6">
        <v>150</v>
      </c>
      <c r="I15" s="6">
        <v>145</v>
      </c>
      <c r="J15" s="6">
        <v>145</v>
      </c>
      <c r="K15" s="6">
        <v>136</v>
      </c>
      <c r="L15" s="6">
        <v>127</v>
      </c>
      <c r="M15" s="6">
        <v>125</v>
      </c>
      <c r="N15" s="6">
        <v>96</v>
      </c>
      <c r="O15" s="5">
        <f>SUM(E15:N15)</f>
        <v>1375</v>
      </c>
    </row>
    <row r="16" spans="1:15" x14ac:dyDescent="0.4">
      <c r="A16" s="8"/>
      <c r="B16" s="91"/>
      <c r="C16" s="75"/>
      <c r="D16" s="5" t="s">
        <v>24</v>
      </c>
      <c r="E16" s="5">
        <f t="shared" ref="E16:N16" si="0">SUM(E14:E15)</f>
        <v>295</v>
      </c>
      <c r="F16" s="5">
        <f t="shared" si="0"/>
        <v>293</v>
      </c>
      <c r="G16" s="5">
        <f t="shared" si="0"/>
        <v>296</v>
      </c>
      <c r="H16" s="5">
        <f t="shared" si="0"/>
        <v>295</v>
      </c>
      <c r="I16" s="5">
        <f t="shared" si="0"/>
        <v>292</v>
      </c>
      <c r="J16" s="5">
        <f t="shared" si="0"/>
        <v>286</v>
      </c>
      <c r="K16" s="5">
        <f t="shared" si="0"/>
        <v>260</v>
      </c>
      <c r="L16" s="5">
        <f t="shared" ref="L16" si="1">SUM(L14:L15)</f>
        <v>260</v>
      </c>
      <c r="M16" s="5">
        <f t="shared" si="0"/>
        <v>248</v>
      </c>
      <c r="N16" s="5">
        <f t="shared" si="0"/>
        <v>186</v>
      </c>
      <c r="O16" s="5">
        <f>SUM(E16:N16)</f>
        <v>2711</v>
      </c>
    </row>
    <row r="17" spans="1:15" x14ac:dyDescent="0.4">
      <c r="A17" s="55"/>
      <c r="B17" s="68"/>
      <c r="C17" s="68"/>
      <c r="D17" s="51"/>
      <c r="E17" s="6"/>
      <c r="F17" s="6"/>
      <c r="G17" s="6"/>
      <c r="H17" s="6"/>
      <c r="I17" s="6"/>
      <c r="J17" s="6"/>
      <c r="K17" s="6"/>
      <c r="L17" s="6"/>
      <c r="M17" s="6"/>
      <c r="N17" s="6"/>
      <c r="O17" s="28"/>
    </row>
    <row r="18" spans="1:15" x14ac:dyDescent="0.4">
      <c r="A18" s="11" t="s">
        <v>25</v>
      </c>
      <c r="B18" s="78" t="s">
        <v>26</v>
      </c>
      <c r="C18" s="68"/>
      <c r="D18" s="51"/>
      <c r="E18" s="6"/>
      <c r="F18" s="6"/>
      <c r="G18" s="6"/>
      <c r="H18" s="6"/>
      <c r="I18" s="6"/>
      <c r="J18" s="6"/>
      <c r="K18" s="6"/>
      <c r="L18" s="6"/>
      <c r="M18" s="6"/>
      <c r="N18" s="6"/>
      <c r="O18" s="28"/>
    </row>
    <row r="19" spans="1:15" x14ac:dyDescent="0.4">
      <c r="A19" s="11"/>
      <c r="B19" s="79" t="s">
        <v>27</v>
      </c>
      <c r="C19" s="80" t="s">
        <v>28</v>
      </c>
      <c r="D19" s="6" t="s">
        <v>22</v>
      </c>
      <c r="E19" s="6">
        <v>122</v>
      </c>
      <c r="F19" s="6">
        <v>119</v>
      </c>
      <c r="G19" s="6">
        <v>129</v>
      </c>
      <c r="H19" s="6">
        <v>118</v>
      </c>
      <c r="I19" s="6">
        <v>122</v>
      </c>
      <c r="J19" s="6">
        <v>114</v>
      </c>
      <c r="K19" s="6">
        <v>103</v>
      </c>
      <c r="L19" s="6">
        <v>114</v>
      </c>
      <c r="M19" s="6">
        <v>101</v>
      </c>
      <c r="N19" s="6">
        <v>76</v>
      </c>
      <c r="O19" s="5">
        <f t="shared" ref="O19:O30" si="2">SUM(E19:N19)</f>
        <v>1118</v>
      </c>
    </row>
    <row r="20" spans="1:15" x14ac:dyDescent="0.4">
      <c r="A20" s="12"/>
      <c r="B20" s="77"/>
      <c r="C20" s="81"/>
      <c r="D20" s="6" t="s">
        <v>23</v>
      </c>
      <c r="E20" s="6">
        <v>126</v>
      </c>
      <c r="F20" s="6">
        <v>131</v>
      </c>
      <c r="G20" s="6">
        <v>138</v>
      </c>
      <c r="H20" s="6">
        <v>134</v>
      </c>
      <c r="I20" s="6">
        <v>117</v>
      </c>
      <c r="J20" s="6">
        <v>128</v>
      </c>
      <c r="K20" s="6">
        <v>118</v>
      </c>
      <c r="L20" s="6">
        <v>115</v>
      </c>
      <c r="M20" s="6">
        <v>110</v>
      </c>
      <c r="N20" s="6">
        <v>86</v>
      </c>
      <c r="O20" s="5">
        <f t="shared" si="2"/>
        <v>1203</v>
      </c>
    </row>
    <row r="21" spans="1:15" x14ac:dyDescent="0.4">
      <c r="A21" s="13"/>
      <c r="B21" s="75"/>
      <c r="C21" s="82"/>
      <c r="D21" s="5" t="s">
        <v>24</v>
      </c>
      <c r="E21" s="5">
        <f t="shared" ref="E21:N21" si="3">SUM(E19:E20)</f>
        <v>248</v>
      </c>
      <c r="F21" s="5">
        <f t="shared" si="3"/>
        <v>250</v>
      </c>
      <c r="G21" s="5">
        <f t="shared" si="3"/>
        <v>267</v>
      </c>
      <c r="H21" s="5">
        <f t="shared" si="3"/>
        <v>252</v>
      </c>
      <c r="I21" s="5">
        <f t="shared" si="3"/>
        <v>239</v>
      </c>
      <c r="J21" s="5">
        <f t="shared" si="3"/>
        <v>242</v>
      </c>
      <c r="K21" s="5">
        <f t="shared" si="3"/>
        <v>221</v>
      </c>
      <c r="L21" s="5">
        <f t="shared" ref="L21" si="4">SUM(L19:L20)</f>
        <v>229</v>
      </c>
      <c r="M21" s="5">
        <f t="shared" si="3"/>
        <v>211</v>
      </c>
      <c r="N21" s="5">
        <f t="shared" si="3"/>
        <v>162</v>
      </c>
      <c r="O21" s="5">
        <f t="shared" si="2"/>
        <v>2321</v>
      </c>
    </row>
    <row r="22" spans="1:15" x14ac:dyDescent="0.4">
      <c r="A22" s="12"/>
      <c r="B22" s="79" t="s">
        <v>29</v>
      </c>
      <c r="C22" s="80" t="s">
        <v>30</v>
      </c>
      <c r="D22" s="6" t="s">
        <v>22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1</v>
      </c>
      <c r="M22" s="6">
        <v>0</v>
      </c>
      <c r="N22" s="6">
        <v>0</v>
      </c>
      <c r="O22" s="5">
        <f t="shared" si="2"/>
        <v>1</v>
      </c>
    </row>
    <row r="23" spans="1:15" x14ac:dyDescent="0.4">
      <c r="A23" s="12"/>
      <c r="B23" s="77"/>
      <c r="C23" s="81"/>
      <c r="D23" s="6" t="s">
        <v>23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1</v>
      </c>
      <c r="M23" s="6">
        <v>0</v>
      </c>
      <c r="N23" s="6">
        <v>0</v>
      </c>
      <c r="O23" s="5">
        <f t="shared" si="2"/>
        <v>1</v>
      </c>
    </row>
    <row r="24" spans="1:15" x14ac:dyDescent="0.4">
      <c r="A24" s="13"/>
      <c r="B24" s="75"/>
      <c r="C24" s="82"/>
      <c r="D24" s="5" t="s">
        <v>24</v>
      </c>
      <c r="E24" s="5">
        <f t="shared" ref="E24:N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ref="L24" si="6">SUM(L22:L23)</f>
        <v>2</v>
      </c>
      <c r="M24" s="5">
        <f t="shared" si="5"/>
        <v>0</v>
      </c>
      <c r="N24" s="5">
        <f t="shared" si="5"/>
        <v>0</v>
      </c>
      <c r="O24" s="5">
        <f t="shared" si="2"/>
        <v>2</v>
      </c>
    </row>
    <row r="25" spans="1:15" x14ac:dyDescent="0.4">
      <c r="A25" s="12"/>
      <c r="B25" s="79" t="s">
        <v>31</v>
      </c>
      <c r="C25" s="80" t="s">
        <v>32</v>
      </c>
      <c r="D25" s="6" t="s">
        <v>22</v>
      </c>
      <c r="E25" s="6">
        <v>0</v>
      </c>
      <c r="F25" s="6">
        <v>0</v>
      </c>
      <c r="G25" s="6">
        <v>1</v>
      </c>
      <c r="H25" s="6">
        <v>0</v>
      </c>
      <c r="I25" s="6">
        <v>0</v>
      </c>
      <c r="J25" s="6">
        <v>0</v>
      </c>
      <c r="K25" s="6">
        <v>0</v>
      </c>
      <c r="L25" s="6">
        <v>1</v>
      </c>
      <c r="M25" s="6">
        <v>0</v>
      </c>
      <c r="N25" s="6">
        <v>0</v>
      </c>
      <c r="O25" s="5">
        <f t="shared" si="2"/>
        <v>2</v>
      </c>
    </row>
    <row r="26" spans="1:15" x14ac:dyDescent="0.4">
      <c r="A26" s="12"/>
      <c r="B26" s="77"/>
      <c r="C26" s="81"/>
      <c r="D26" s="6" t="s">
        <v>23</v>
      </c>
      <c r="E26" s="6">
        <v>0</v>
      </c>
      <c r="F26" s="6">
        <v>2</v>
      </c>
      <c r="G26" s="6">
        <v>0</v>
      </c>
      <c r="H26" s="6">
        <v>0</v>
      </c>
      <c r="I26" s="6">
        <v>0</v>
      </c>
      <c r="J26" s="6">
        <v>1</v>
      </c>
      <c r="K26" s="6">
        <v>0</v>
      </c>
      <c r="L26" s="6">
        <v>2</v>
      </c>
      <c r="M26" s="6">
        <v>1</v>
      </c>
      <c r="N26" s="6">
        <v>0</v>
      </c>
      <c r="O26" s="5">
        <f t="shared" si="2"/>
        <v>6</v>
      </c>
    </row>
    <row r="27" spans="1:15" x14ac:dyDescent="0.4">
      <c r="A27" s="13"/>
      <c r="B27" s="75"/>
      <c r="C27" s="82"/>
      <c r="D27" s="5" t="s">
        <v>24</v>
      </c>
      <c r="E27" s="5">
        <f t="shared" ref="E27:N27" si="7">SUM(E25:E26)</f>
        <v>0</v>
      </c>
      <c r="F27" s="5">
        <f t="shared" si="7"/>
        <v>2</v>
      </c>
      <c r="G27" s="5">
        <f t="shared" si="7"/>
        <v>1</v>
      </c>
      <c r="H27" s="5">
        <f t="shared" si="7"/>
        <v>0</v>
      </c>
      <c r="I27" s="5">
        <f t="shared" si="7"/>
        <v>0</v>
      </c>
      <c r="J27" s="5">
        <f t="shared" si="7"/>
        <v>1</v>
      </c>
      <c r="K27" s="5">
        <f t="shared" si="7"/>
        <v>0</v>
      </c>
      <c r="L27" s="5">
        <f t="shared" ref="L27" si="8">SUM(L25:L26)</f>
        <v>3</v>
      </c>
      <c r="M27" s="5">
        <f t="shared" si="7"/>
        <v>1</v>
      </c>
      <c r="N27" s="5">
        <f t="shared" si="7"/>
        <v>0</v>
      </c>
      <c r="O27" s="5">
        <f t="shared" si="2"/>
        <v>8</v>
      </c>
    </row>
    <row r="28" spans="1:15" x14ac:dyDescent="0.4">
      <c r="A28" s="13"/>
      <c r="B28" s="83" t="s">
        <v>33</v>
      </c>
      <c r="C28" s="84" t="s">
        <v>34</v>
      </c>
      <c r="D28" s="5" t="s">
        <v>22</v>
      </c>
      <c r="E28" s="5">
        <f>SUM(E19,E22,E25)</f>
        <v>122</v>
      </c>
      <c r="F28" s="5">
        <f t="shared" ref="F28:N29" si="9">SUM(F19,F22,F25)</f>
        <v>119</v>
      </c>
      <c r="G28" s="5">
        <f t="shared" si="9"/>
        <v>130</v>
      </c>
      <c r="H28" s="5">
        <f t="shared" si="9"/>
        <v>118</v>
      </c>
      <c r="I28" s="5">
        <f t="shared" si="9"/>
        <v>122</v>
      </c>
      <c r="J28" s="5">
        <f t="shared" si="9"/>
        <v>114</v>
      </c>
      <c r="K28" s="5">
        <f t="shared" si="9"/>
        <v>103</v>
      </c>
      <c r="L28" s="5">
        <f t="shared" ref="L28" si="10">SUM(L19,L22,L25)</f>
        <v>116</v>
      </c>
      <c r="M28" s="5">
        <f t="shared" si="9"/>
        <v>101</v>
      </c>
      <c r="N28" s="5">
        <f t="shared" si="9"/>
        <v>76</v>
      </c>
      <c r="O28" s="5">
        <f t="shared" si="2"/>
        <v>1121</v>
      </c>
    </row>
    <row r="29" spans="1:15" x14ac:dyDescent="0.4">
      <c r="A29" s="13"/>
      <c r="B29" s="77"/>
      <c r="C29" s="81"/>
      <c r="D29" s="5" t="s">
        <v>23</v>
      </c>
      <c r="E29" s="5">
        <f>SUM(E20,E23,E26)</f>
        <v>126</v>
      </c>
      <c r="F29" s="5">
        <f t="shared" si="9"/>
        <v>133</v>
      </c>
      <c r="G29" s="5">
        <f t="shared" si="9"/>
        <v>138</v>
      </c>
      <c r="H29" s="5">
        <f t="shared" si="9"/>
        <v>134</v>
      </c>
      <c r="I29" s="5">
        <f t="shared" si="9"/>
        <v>117</v>
      </c>
      <c r="J29" s="5">
        <f t="shared" si="9"/>
        <v>129</v>
      </c>
      <c r="K29" s="5">
        <f t="shared" si="9"/>
        <v>118</v>
      </c>
      <c r="L29" s="5">
        <f t="shared" ref="L29" si="11">SUM(L20,L23,L26)</f>
        <v>118</v>
      </c>
      <c r="M29" s="5">
        <f t="shared" si="9"/>
        <v>111</v>
      </c>
      <c r="N29" s="5">
        <f t="shared" si="9"/>
        <v>86</v>
      </c>
      <c r="O29" s="5">
        <f t="shared" si="2"/>
        <v>1210</v>
      </c>
    </row>
    <row r="30" spans="1:15" x14ac:dyDescent="0.4">
      <c r="A30" s="13"/>
      <c r="B30" s="75"/>
      <c r="C30" s="82"/>
      <c r="D30" s="5" t="s">
        <v>24</v>
      </c>
      <c r="E30" s="5">
        <f t="shared" ref="E30" si="12">SUM(E28:E29)</f>
        <v>248</v>
      </c>
      <c r="F30" s="5">
        <f t="shared" ref="F30:N30" si="13">SUM(F28:F29)</f>
        <v>252</v>
      </c>
      <c r="G30" s="5">
        <f t="shared" si="13"/>
        <v>268</v>
      </c>
      <c r="H30" s="5">
        <f t="shared" si="13"/>
        <v>252</v>
      </c>
      <c r="I30" s="5">
        <f t="shared" si="13"/>
        <v>239</v>
      </c>
      <c r="J30" s="5">
        <f t="shared" si="13"/>
        <v>243</v>
      </c>
      <c r="K30" s="5">
        <f t="shared" si="13"/>
        <v>221</v>
      </c>
      <c r="L30" s="5">
        <f t="shared" ref="L30" si="14">SUM(L28:L29)</f>
        <v>234</v>
      </c>
      <c r="M30" s="5">
        <f t="shared" si="13"/>
        <v>212</v>
      </c>
      <c r="N30" s="5">
        <f t="shared" si="13"/>
        <v>162</v>
      </c>
      <c r="O30" s="5">
        <f t="shared" si="2"/>
        <v>2331</v>
      </c>
    </row>
    <row r="31" spans="1:15" x14ac:dyDescent="0.4">
      <c r="A31" s="55"/>
      <c r="B31" s="68"/>
      <c r="C31" s="68"/>
      <c r="D31" s="51"/>
      <c r="E31" s="6"/>
      <c r="F31" s="6"/>
      <c r="G31" s="6"/>
      <c r="H31" s="6"/>
      <c r="I31" s="6"/>
      <c r="J31" s="6"/>
      <c r="K31" s="6"/>
      <c r="L31" s="6"/>
      <c r="M31" s="6"/>
      <c r="N31" s="6"/>
      <c r="O31" s="28"/>
    </row>
    <row r="32" spans="1:15" x14ac:dyDescent="0.4">
      <c r="A32" s="14" t="s">
        <v>35</v>
      </c>
      <c r="B32" s="60" t="s">
        <v>36</v>
      </c>
      <c r="C32" s="68"/>
      <c r="D32" s="51"/>
      <c r="E32" s="5"/>
      <c r="F32" s="5"/>
      <c r="G32" s="5"/>
      <c r="H32" s="5"/>
      <c r="I32" s="5"/>
      <c r="J32" s="5"/>
      <c r="K32" s="5"/>
      <c r="L32" s="5"/>
      <c r="M32" s="5"/>
      <c r="N32" s="5"/>
      <c r="O32" s="28"/>
    </row>
    <row r="33" spans="1:15" x14ac:dyDescent="0.4">
      <c r="A33" s="6">
        <v>1</v>
      </c>
      <c r="B33" s="78" t="s">
        <v>37</v>
      </c>
      <c r="C33" s="68"/>
      <c r="D33" s="51"/>
      <c r="E33" s="6">
        <v>301</v>
      </c>
      <c r="F33" s="6">
        <v>298</v>
      </c>
      <c r="G33" s="6">
        <v>301</v>
      </c>
      <c r="H33" s="6">
        <v>299</v>
      </c>
      <c r="I33" s="6">
        <v>297</v>
      </c>
      <c r="J33" s="6">
        <v>291</v>
      </c>
      <c r="K33" s="6">
        <v>265</v>
      </c>
      <c r="L33" s="6">
        <v>265</v>
      </c>
      <c r="M33" s="6">
        <v>252</v>
      </c>
      <c r="N33" s="6">
        <v>189</v>
      </c>
      <c r="O33" s="5">
        <f>SUM(E33:N33)</f>
        <v>2758</v>
      </c>
    </row>
    <row r="34" spans="1:15" x14ac:dyDescent="0.4">
      <c r="A34" s="6">
        <v>2</v>
      </c>
      <c r="B34" s="78" t="s">
        <v>38</v>
      </c>
      <c r="C34" s="68"/>
      <c r="D34" s="51"/>
      <c r="E34" s="5">
        <v>248</v>
      </c>
      <c r="F34" s="5">
        <v>252</v>
      </c>
      <c r="G34" s="5">
        <v>268</v>
      </c>
      <c r="H34" s="5">
        <v>252</v>
      </c>
      <c r="I34" s="5">
        <v>239</v>
      </c>
      <c r="J34" s="5">
        <v>243</v>
      </c>
      <c r="K34" s="5">
        <v>221</v>
      </c>
      <c r="L34" s="5">
        <v>234</v>
      </c>
      <c r="M34" s="5">
        <v>212</v>
      </c>
      <c r="N34" s="5">
        <v>162</v>
      </c>
      <c r="O34" s="5">
        <f>SUM(E34:N34)</f>
        <v>2331</v>
      </c>
    </row>
    <row r="35" spans="1:15" x14ac:dyDescent="0.4">
      <c r="A35" s="6">
        <v>3</v>
      </c>
      <c r="B35" s="78" t="s">
        <v>39</v>
      </c>
      <c r="C35" s="68"/>
      <c r="D35" s="51"/>
      <c r="E35" s="6">
        <v>1</v>
      </c>
      <c r="F35" s="6"/>
      <c r="G35" s="6"/>
      <c r="H35" s="6"/>
      <c r="I35" s="6"/>
      <c r="J35" s="6">
        <v>2</v>
      </c>
      <c r="K35" s="6"/>
      <c r="L35" s="6"/>
      <c r="M35" s="6">
        <v>13</v>
      </c>
      <c r="N35" s="6"/>
      <c r="O35" s="5">
        <f>SUM(E35:N35)</f>
        <v>16</v>
      </c>
    </row>
    <row r="36" spans="1:15" x14ac:dyDescent="0.4">
      <c r="A36" s="6">
        <v>4</v>
      </c>
      <c r="B36" s="78" t="s">
        <v>40</v>
      </c>
      <c r="C36" s="68"/>
      <c r="D36" s="51"/>
      <c r="E36" s="5">
        <f t="shared" ref="E36:N36" si="15">E33-(E34+E35)</f>
        <v>52</v>
      </c>
      <c r="F36" s="5">
        <f t="shared" si="15"/>
        <v>46</v>
      </c>
      <c r="G36" s="5">
        <f t="shared" si="15"/>
        <v>33</v>
      </c>
      <c r="H36" s="5">
        <f t="shared" si="15"/>
        <v>47</v>
      </c>
      <c r="I36" s="5">
        <f t="shared" si="15"/>
        <v>58</v>
      </c>
      <c r="J36" s="5">
        <f t="shared" si="15"/>
        <v>46</v>
      </c>
      <c r="K36" s="5">
        <f t="shared" si="15"/>
        <v>44</v>
      </c>
      <c r="L36" s="5">
        <f t="shared" ref="L36" si="16">L33-(L34+L35)</f>
        <v>31</v>
      </c>
      <c r="M36" s="5">
        <f t="shared" si="15"/>
        <v>27</v>
      </c>
      <c r="N36" s="5">
        <f t="shared" si="15"/>
        <v>27</v>
      </c>
      <c r="O36" s="5">
        <f>SUM(E36:N36)</f>
        <v>411</v>
      </c>
    </row>
    <row r="37" spans="1:15" x14ac:dyDescent="0.4">
      <c r="A37" s="55"/>
      <c r="B37" s="68"/>
      <c r="C37" s="68"/>
      <c r="D37" s="68"/>
      <c r="E37" s="55"/>
      <c r="F37" s="73"/>
      <c r="G37" s="73"/>
      <c r="H37" s="73"/>
      <c r="I37" s="74"/>
      <c r="J37" s="6"/>
      <c r="K37" s="6"/>
      <c r="L37" s="6"/>
      <c r="M37" s="6"/>
      <c r="N37" s="6"/>
      <c r="O37" s="28"/>
    </row>
    <row r="38" spans="1:15" x14ac:dyDescent="0.4">
      <c r="A38" s="16" t="s">
        <v>41</v>
      </c>
      <c r="B38" s="60" t="s">
        <v>42</v>
      </c>
      <c r="C38" s="68"/>
      <c r="D38" s="51"/>
      <c r="E38" s="5"/>
      <c r="F38" s="5"/>
      <c r="G38" s="5"/>
      <c r="H38" s="5"/>
      <c r="I38" s="5"/>
      <c r="J38" s="5"/>
      <c r="K38" s="5"/>
      <c r="L38" s="5"/>
      <c r="M38" s="5"/>
      <c r="N38" s="5"/>
      <c r="O38" s="28"/>
    </row>
    <row r="39" spans="1:15" x14ac:dyDescent="0.4">
      <c r="A39" s="11"/>
      <c r="B39" s="71" t="s">
        <v>43</v>
      </c>
      <c r="C39" s="64"/>
      <c r="D39" s="6" t="s">
        <v>22</v>
      </c>
      <c r="E39" s="6">
        <v>2</v>
      </c>
      <c r="F39" s="6">
        <v>1</v>
      </c>
      <c r="G39" s="6"/>
      <c r="H39" s="6"/>
      <c r="I39" s="6"/>
      <c r="J39" s="6"/>
      <c r="K39" s="6"/>
      <c r="L39" s="6"/>
      <c r="M39" s="6"/>
      <c r="N39" s="6"/>
      <c r="O39" s="5">
        <f>SUM(E39:N39)</f>
        <v>3</v>
      </c>
    </row>
    <row r="40" spans="1:15" x14ac:dyDescent="0.4">
      <c r="A40" s="12"/>
      <c r="B40" s="76"/>
      <c r="C40" s="77"/>
      <c r="D40" s="6" t="s">
        <v>23</v>
      </c>
      <c r="E40" s="6"/>
      <c r="F40" s="6"/>
      <c r="G40" s="6"/>
      <c r="H40" s="6"/>
      <c r="I40" s="6">
        <v>1</v>
      </c>
      <c r="J40" s="6">
        <v>1</v>
      </c>
      <c r="K40" s="6"/>
      <c r="L40" s="6"/>
      <c r="M40" s="6"/>
      <c r="N40" s="6"/>
      <c r="O40" s="5">
        <f>SUM(E40:N40)</f>
        <v>2</v>
      </c>
    </row>
    <row r="41" spans="1:15" x14ac:dyDescent="0.4">
      <c r="A41" s="14"/>
      <c r="B41" s="70"/>
      <c r="C41" s="75"/>
      <c r="D41" s="5" t="s">
        <v>24</v>
      </c>
      <c r="E41" s="5">
        <f t="shared" ref="E41:N41" si="17">SUM(E39:E40)</f>
        <v>2</v>
      </c>
      <c r="F41" s="5">
        <f t="shared" si="17"/>
        <v>1</v>
      </c>
      <c r="G41" s="5">
        <f t="shared" si="17"/>
        <v>0</v>
      </c>
      <c r="H41" s="5">
        <f t="shared" si="17"/>
        <v>0</v>
      </c>
      <c r="I41" s="5">
        <f t="shared" si="17"/>
        <v>1</v>
      </c>
      <c r="J41" s="5">
        <f t="shared" si="17"/>
        <v>1</v>
      </c>
      <c r="K41" s="5">
        <f t="shared" si="17"/>
        <v>0</v>
      </c>
      <c r="L41" s="5">
        <f t="shared" ref="L41" si="18">SUM(L39:L40)</f>
        <v>0</v>
      </c>
      <c r="M41" s="5">
        <f t="shared" si="17"/>
        <v>0</v>
      </c>
      <c r="N41" s="5">
        <f t="shared" si="17"/>
        <v>0</v>
      </c>
      <c r="O41" s="5">
        <f>SUM(E41:N41)</f>
        <v>5</v>
      </c>
    </row>
    <row r="42" spans="1:15" x14ac:dyDescent="0.4">
      <c r="A42" s="69"/>
      <c r="B42" s="70"/>
      <c r="C42" s="70"/>
      <c r="D42" s="75"/>
      <c r="E42" s="55"/>
      <c r="F42" s="68"/>
      <c r="G42" s="68"/>
      <c r="H42" s="68"/>
      <c r="I42" s="51"/>
      <c r="J42" s="6"/>
      <c r="K42" s="6"/>
      <c r="L42" s="6"/>
      <c r="M42" s="6"/>
      <c r="N42" s="6"/>
      <c r="O42" s="5"/>
    </row>
    <row r="43" spans="1:15" ht="13.15" customHeight="1" x14ac:dyDescent="0.4">
      <c r="A43" s="16" t="s">
        <v>44</v>
      </c>
      <c r="B43" s="60" t="s">
        <v>45</v>
      </c>
      <c r="C43" s="68"/>
      <c r="D43" s="51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ht="13.15" customHeight="1" x14ac:dyDescent="0.4">
      <c r="A44" s="71" t="s">
        <v>46</v>
      </c>
      <c r="B44" s="72"/>
      <c r="C44" s="72"/>
      <c r="D44" s="64"/>
      <c r="E44" s="9"/>
      <c r="F44" s="6"/>
      <c r="G44" s="6"/>
      <c r="H44" s="6"/>
      <c r="I44" s="6"/>
      <c r="J44" s="6"/>
      <c r="K44" s="6"/>
      <c r="L44" s="6"/>
      <c r="M44" s="6"/>
      <c r="N44" s="6"/>
      <c r="O44" s="5"/>
    </row>
    <row r="45" spans="1:15" x14ac:dyDescent="0.4">
      <c r="A45" s="11" t="s">
        <v>47</v>
      </c>
      <c r="B45" s="17" t="s">
        <v>27</v>
      </c>
      <c r="C45" s="50" t="s">
        <v>48</v>
      </c>
      <c r="D45" s="51"/>
      <c r="E45" s="6">
        <v>5</v>
      </c>
      <c r="F45" s="6">
        <v>11</v>
      </c>
      <c r="G45" s="6">
        <v>4</v>
      </c>
      <c r="H45" s="6">
        <v>14</v>
      </c>
      <c r="I45" s="6">
        <v>24</v>
      </c>
      <c r="J45" s="6">
        <v>26</v>
      </c>
      <c r="K45" s="6">
        <v>25</v>
      </c>
      <c r="L45" s="6">
        <v>25</v>
      </c>
      <c r="M45" s="6">
        <v>29</v>
      </c>
      <c r="N45" s="6">
        <v>19</v>
      </c>
      <c r="O45" s="5">
        <f t="shared" ref="O45:O51" si="19">SUM(E45:N45)</f>
        <v>182</v>
      </c>
    </row>
    <row r="46" spans="1:15" x14ac:dyDescent="0.4">
      <c r="A46" s="11" t="s">
        <v>49</v>
      </c>
      <c r="B46" s="46">
        <v>1</v>
      </c>
      <c r="C46" s="24" t="s">
        <v>103</v>
      </c>
      <c r="D46" s="47"/>
      <c r="E46" s="6">
        <v>20</v>
      </c>
      <c r="F46" s="6">
        <v>15</v>
      </c>
      <c r="G46" s="6">
        <v>63</v>
      </c>
      <c r="H46" s="6">
        <v>52</v>
      </c>
      <c r="I46" s="6">
        <v>54</v>
      </c>
      <c r="J46" s="6">
        <v>73</v>
      </c>
      <c r="K46" s="6">
        <v>60</v>
      </c>
      <c r="L46" s="6">
        <v>80</v>
      </c>
      <c r="M46" s="6">
        <v>104</v>
      </c>
      <c r="N46" s="6">
        <v>49</v>
      </c>
      <c r="O46" s="5">
        <f t="shared" si="19"/>
        <v>570</v>
      </c>
    </row>
    <row r="47" spans="1:15" x14ac:dyDescent="0.4">
      <c r="A47" s="7"/>
      <c r="B47" s="46">
        <v>2</v>
      </c>
      <c r="C47" s="24" t="s">
        <v>104</v>
      </c>
      <c r="D47" s="47"/>
      <c r="E47" s="6">
        <v>1</v>
      </c>
      <c r="F47" s="6">
        <v>3</v>
      </c>
      <c r="G47" s="6">
        <v>0</v>
      </c>
      <c r="H47" s="6">
        <v>2</v>
      </c>
      <c r="I47" s="6">
        <v>1</v>
      </c>
      <c r="J47" s="6">
        <v>0</v>
      </c>
      <c r="K47" s="6">
        <v>1</v>
      </c>
      <c r="L47" s="6">
        <v>2</v>
      </c>
      <c r="M47" s="6">
        <v>1</v>
      </c>
      <c r="N47" s="6">
        <v>1</v>
      </c>
      <c r="O47" s="5">
        <f t="shared" si="19"/>
        <v>12</v>
      </c>
    </row>
    <row r="48" spans="1:15" x14ac:dyDescent="0.4">
      <c r="A48" s="7"/>
      <c r="B48" s="46">
        <v>3</v>
      </c>
      <c r="C48" s="24" t="s">
        <v>105</v>
      </c>
      <c r="D48" s="47"/>
      <c r="E48" s="6">
        <v>0</v>
      </c>
      <c r="F48" s="6">
        <v>0</v>
      </c>
      <c r="G48" s="6">
        <v>2</v>
      </c>
      <c r="H48" s="6">
        <v>1</v>
      </c>
      <c r="I48" s="6">
        <v>0</v>
      </c>
      <c r="J48" s="6">
        <v>0</v>
      </c>
      <c r="K48" s="6">
        <v>0</v>
      </c>
      <c r="L48" s="6">
        <v>3</v>
      </c>
      <c r="M48" s="6">
        <v>0</v>
      </c>
      <c r="N48" s="6">
        <v>1</v>
      </c>
      <c r="O48" s="5">
        <f t="shared" si="19"/>
        <v>7</v>
      </c>
    </row>
    <row r="49" spans="1:15" x14ac:dyDescent="0.4">
      <c r="A49" s="7"/>
      <c r="B49" s="46">
        <v>4</v>
      </c>
      <c r="C49" s="24" t="s">
        <v>106</v>
      </c>
      <c r="D49" s="47"/>
      <c r="E49" s="6">
        <v>1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1</v>
      </c>
      <c r="N49" s="6">
        <v>0</v>
      </c>
      <c r="O49" s="5">
        <f t="shared" si="19"/>
        <v>2</v>
      </c>
    </row>
    <row r="50" spans="1:15" x14ac:dyDescent="0.4">
      <c r="A50" s="7"/>
      <c r="B50" s="46">
        <v>5</v>
      </c>
      <c r="C50" s="24" t="s">
        <v>107</v>
      </c>
      <c r="D50" s="47"/>
      <c r="E50" s="6">
        <v>0</v>
      </c>
      <c r="F50" s="6">
        <v>0</v>
      </c>
      <c r="G50" s="6">
        <v>1</v>
      </c>
      <c r="H50" s="6">
        <v>0</v>
      </c>
      <c r="I50" s="6">
        <v>3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5">
        <f t="shared" si="19"/>
        <v>4</v>
      </c>
    </row>
    <row r="51" spans="1:15" x14ac:dyDescent="0.4">
      <c r="A51" s="7"/>
      <c r="B51" s="46">
        <v>6</v>
      </c>
      <c r="C51" s="24" t="s">
        <v>108</v>
      </c>
      <c r="D51" s="47"/>
      <c r="E51" s="6">
        <v>1</v>
      </c>
      <c r="F51" s="6">
        <v>0</v>
      </c>
      <c r="G51" s="6">
        <v>2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5">
        <f t="shared" si="19"/>
        <v>3</v>
      </c>
    </row>
    <row r="52" spans="1:15" x14ac:dyDescent="0.4">
      <c r="A52" s="6" t="s">
        <v>25</v>
      </c>
      <c r="B52" s="52" t="s">
        <v>50</v>
      </c>
      <c r="C52" s="68"/>
      <c r="D52" s="51"/>
      <c r="E52" s="5">
        <f t="shared" ref="E52:O52" si="20">SUM(E45:E51)</f>
        <v>28</v>
      </c>
      <c r="F52" s="5">
        <f t="shared" si="20"/>
        <v>29</v>
      </c>
      <c r="G52" s="5">
        <f t="shared" si="20"/>
        <v>72</v>
      </c>
      <c r="H52" s="5">
        <f t="shared" si="20"/>
        <v>69</v>
      </c>
      <c r="I52" s="5">
        <f t="shared" si="20"/>
        <v>82</v>
      </c>
      <c r="J52" s="5">
        <f t="shared" si="20"/>
        <v>99</v>
      </c>
      <c r="K52" s="5">
        <f t="shared" si="20"/>
        <v>86</v>
      </c>
      <c r="L52" s="5">
        <f t="shared" si="20"/>
        <v>110</v>
      </c>
      <c r="M52" s="5">
        <f t="shared" si="20"/>
        <v>135</v>
      </c>
      <c r="N52" s="5">
        <f t="shared" si="20"/>
        <v>70</v>
      </c>
      <c r="O52" s="5">
        <f t="shared" si="20"/>
        <v>780</v>
      </c>
    </row>
    <row r="53" spans="1:15" x14ac:dyDescent="0.4">
      <c r="A53" s="69"/>
      <c r="B53" s="70"/>
      <c r="C53" s="70"/>
      <c r="D53" s="70"/>
      <c r="E53" s="70"/>
      <c r="O53" s="5"/>
    </row>
    <row r="54" spans="1:15" x14ac:dyDescent="0.4">
      <c r="A54" s="11" t="s">
        <v>47</v>
      </c>
      <c r="B54" s="17" t="s">
        <v>29</v>
      </c>
      <c r="C54" s="50" t="s">
        <v>51</v>
      </c>
      <c r="D54" s="51"/>
      <c r="E54" s="6">
        <v>19</v>
      </c>
      <c r="F54" s="6">
        <v>20</v>
      </c>
      <c r="G54" s="6">
        <v>7</v>
      </c>
      <c r="H54" s="6">
        <v>7</v>
      </c>
      <c r="I54" s="6">
        <v>11</v>
      </c>
      <c r="J54" s="6">
        <v>10</v>
      </c>
      <c r="K54" s="6">
        <v>8</v>
      </c>
      <c r="L54" s="6">
        <v>2</v>
      </c>
      <c r="M54" s="6">
        <v>6</v>
      </c>
      <c r="N54" s="6">
        <v>9</v>
      </c>
      <c r="O54" s="5">
        <f t="shared" ref="O54:O60" si="21">SUM(E54:N54)</f>
        <v>99</v>
      </c>
    </row>
    <row r="55" spans="1:15" x14ac:dyDescent="0.4">
      <c r="A55" s="11" t="s">
        <v>49</v>
      </c>
      <c r="B55" s="46">
        <v>1</v>
      </c>
      <c r="C55" s="24" t="s">
        <v>109</v>
      </c>
      <c r="D55" s="47"/>
      <c r="E55" s="6">
        <v>6</v>
      </c>
      <c r="F55" s="6">
        <v>5</v>
      </c>
      <c r="G55" s="6">
        <v>2</v>
      </c>
      <c r="H55" s="6">
        <v>21</v>
      </c>
      <c r="I55" s="6">
        <v>12</v>
      </c>
      <c r="J55" s="6">
        <v>9</v>
      </c>
      <c r="K55" s="6">
        <v>6</v>
      </c>
      <c r="L55" s="6">
        <v>0</v>
      </c>
      <c r="M55" s="6">
        <v>3</v>
      </c>
      <c r="N55" s="6">
        <v>3</v>
      </c>
      <c r="O55" s="5">
        <f t="shared" si="21"/>
        <v>67</v>
      </c>
    </row>
    <row r="56" spans="1:15" x14ac:dyDescent="0.4">
      <c r="A56" s="7"/>
      <c r="B56" s="46">
        <v>2</v>
      </c>
      <c r="C56" s="24" t="s">
        <v>110</v>
      </c>
      <c r="D56" s="47"/>
      <c r="E56" s="6">
        <v>4</v>
      </c>
      <c r="F56" s="6">
        <v>1</v>
      </c>
      <c r="G56" s="6">
        <v>5</v>
      </c>
      <c r="H56" s="6">
        <v>3</v>
      </c>
      <c r="I56" s="6">
        <v>5</v>
      </c>
      <c r="J56" s="6">
        <v>4</v>
      </c>
      <c r="K56" s="6">
        <v>2</v>
      </c>
      <c r="L56" s="6">
        <v>7</v>
      </c>
      <c r="M56" s="6">
        <v>3</v>
      </c>
      <c r="N56" s="6">
        <v>3</v>
      </c>
      <c r="O56" s="5">
        <f t="shared" si="21"/>
        <v>37</v>
      </c>
    </row>
    <row r="57" spans="1:15" x14ac:dyDescent="0.4">
      <c r="A57" s="7"/>
      <c r="B57" s="46">
        <v>3</v>
      </c>
      <c r="C57" s="24" t="s">
        <v>111</v>
      </c>
      <c r="D57" s="47"/>
      <c r="E57" s="6">
        <v>0</v>
      </c>
      <c r="F57" s="6">
        <v>0</v>
      </c>
      <c r="G57" s="6">
        <v>0</v>
      </c>
      <c r="H57" s="6">
        <v>0</v>
      </c>
      <c r="I57" s="6">
        <v>3</v>
      </c>
      <c r="J57" s="6">
        <v>0</v>
      </c>
      <c r="K57" s="6">
        <v>0</v>
      </c>
      <c r="L57" s="6">
        <v>3</v>
      </c>
      <c r="M57" s="6">
        <v>0</v>
      </c>
      <c r="N57" s="6">
        <v>1</v>
      </c>
      <c r="O57" s="5">
        <f t="shared" si="21"/>
        <v>7</v>
      </c>
    </row>
    <row r="58" spans="1:15" x14ac:dyDescent="0.4">
      <c r="A58" s="7"/>
      <c r="B58" s="46">
        <v>4</v>
      </c>
      <c r="C58" s="24" t="s">
        <v>112</v>
      </c>
      <c r="D58" s="47"/>
      <c r="E58" s="6">
        <v>0</v>
      </c>
      <c r="F58" s="6">
        <v>0</v>
      </c>
      <c r="G58" s="6">
        <v>2</v>
      </c>
      <c r="H58" s="6">
        <v>0</v>
      </c>
      <c r="I58" s="6">
        <v>0</v>
      </c>
      <c r="J58" s="6">
        <v>0</v>
      </c>
      <c r="K58" s="6">
        <v>0</v>
      </c>
      <c r="L58" s="6">
        <v>1</v>
      </c>
      <c r="M58" s="6">
        <v>0</v>
      </c>
      <c r="N58" s="6">
        <v>0</v>
      </c>
      <c r="O58" s="5">
        <f t="shared" si="21"/>
        <v>3</v>
      </c>
    </row>
    <row r="59" spans="1:15" x14ac:dyDescent="0.4">
      <c r="A59" s="7"/>
      <c r="B59" s="46">
        <v>5</v>
      </c>
      <c r="C59" s="24" t="s">
        <v>113</v>
      </c>
      <c r="D59" s="47"/>
      <c r="E59" s="6">
        <v>0</v>
      </c>
      <c r="F59" s="6">
        <v>0</v>
      </c>
      <c r="G59" s="6">
        <v>1</v>
      </c>
      <c r="H59" s="6">
        <v>0</v>
      </c>
      <c r="I59" s="6">
        <v>0</v>
      </c>
      <c r="J59" s="6">
        <v>1</v>
      </c>
      <c r="K59" s="6">
        <v>0</v>
      </c>
      <c r="L59" s="6">
        <v>0</v>
      </c>
      <c r="M59" s="6">
        <v>0</v>
      </c>
      <c r="N59" s="6">
        <v>0</v>
      </c>
      <c r="O59" s="5">
        <f t="shared" si="21"/>
        <v>2</v>
      </c>
    </row>
    <row r="60" spans="1:15" ht="13.15" customHeight="1" x14ac:dyDescent="0.4">
      <c r="A60" s="7"/>
      <c r="B60" s="46">
        <v>6</v>
      </c>
      <c r="C60" s="24" t="s">
        <v>114</v>
      </c>
      <c r="D60" s="47"/>
      <c r="E60" s="6">
        <v>0</v>
      </c>
      <c r="F60" s="6">
        <v>0</v>
      </c>
      <c r="G60" s="6">
        <v>0</v>
      </c>
      <c r="H60" s="6">
        <v>1</v>
      </c>
      <c r="I60" s="6">
        <v>0</v>
      </c>
      <c r="J60" s="6">
        <v>4</v>
      </c>
      <c r="K60" s="6">
        <v>2</v>
      </c>
      <c r="L60" s="6">
        <v>15</v>
      </c>
      <c r="M60" s="6">
        <v>3</v>
      </c>
      <c r="N60" s="6">
        <v>0</v>
      </c>
      <c r="O60" s="5">
        <f t="shared" si="21"/>
        <v>25</v>
      </c>
    </row>
    <row r="61" spans="1:15" x14ac:dyDescent="0.4">
      <c r="A61" s="6" t="s">
        <v>25</v>
      </c>
      <c r="B61" s="52" t="s">
        <v>50</v>
      </c>
      <c r="C61" s="68"/>
      <c r="D61" s="51"/>
      <c r="E61" s="5">
        <f t="shared" ref="E61:O61" si="22">SUM(E54:E60)</f>
        <v>29</v>
      </c>
      <c r="F61" s="5">
        <f t="shared" si="22"/>
        <v>26</v>
      </c>
      <c r="G61" s="5">
        <f t="shared" si="22"/>
        <v>17</v>
      </c>
      <c r="H61" s="5">
        <f t="shared" si="22"/>
        <v>32</v>
      </c>
      <c r="I61" s="5">
        <f t="shared" si="22"/>
        <v>31</v>
      </c>
      <c r="J61" s="5">
        <f t="shared" si="22"/>
        <v>28</v>
      </c>
      <c r="K61" s="5">
        <f t="shared" si="22"/>
        <v>18</v>
      </c>
      <c r="L61" s="5">
        <f t="shared" si="22"/>
        <v>28</v>
      </c>
      <c r="M61" s="5">
        <f t="shared" si="22"/>
        <v>15</v>
      </c>
      <c r="N61" s="5">
        <f t="shared" si="22"/>
        <v>16</v>
      </c>
      <c r="O61" s="5">
        <f t="shared" si="22"/>
        <v>240</v>
      </c>
    </row>
    <row r="62" spans="1:15" x14ac:dyDescent="0.4">
      <c r="A62" s="69"/>
      <c r="B62" s="70"/>
      <c r="C62" s="70"/>
      <c r="D62" s="70"/>
      <c r="E62" s="70"/>
    </row>
    <row r="63" spans="1:15" x14ac:dyDescent="0.4">
      <c r="A63" s="11" t="s">
        <v>47</v>
      </c>
      <c r="B63" s="17" t="s">
        <v>31</v>
      </c>
      <c r="C63" s="50" t="s">
        <v>52</v>
      </c>
      <c r="D63" s="51"/>
      <c r="E63" s="6">
        <v>6</v>
      </c>
      <c r="F63" s="6">
        <v>3</v>
      </c>
      <c r="G63" s="6">
        <v>2</v>
      </c>
      <c r="H63" s="6">
        <v>6</v>
      </c>
      <c r="I63" s="6">
        <v>2</v>
      </c>
      <c r="J63" s="6">
        <v>2</v>
      </c>
      <c r="K63" s="6">
        <v>2</v>
      </c>
      <c r="L63" s="6">
        <v>0</v>
      </c>
      <c r="M63" s="6">
        <v>6</v>
      </c>
      <c r="N63" s="6">
        <v>2</v>
      </c>
      <c r="O63" s="5">
        <f t="shared" ref="O63:O69" si="23">SUM(E63:N63)</f>
        <v>31</v>
      </c>
    </row>
    <row r="64" spans="1:15" x14ac:dyDescent="0.4">
      <c r="A64" s="11" t="s">
        <v>49</v>
      </c>
      <c r="B64" s="46">
        <v>1</v>
      </c>
      <c r="C64" s="24" t="s">
        <v>115</v>
      </c>
      <c r="D64" s="47"/>
      <c r="E64" s="6">
        <v>2</v>
      </c>
      <c r="F64" s="6">
        <v>1</v>
      </c>
      <c r="G64" s="6">
        <v>3</v>
      </c>
      <c r="H64" s="6">
        <v>2</v>
      </c>
      <c r="I64" s="6">
        <v>2</v>
      </c>
      <c r="J64" s="6">
        <v>1</v>
      </c>
      <c r="K64" s="6">
        <v>0</v>
      </c>
      <c r="L64" s="6">
        <v>2</v>
      </c>
      <c r="M64" s="6">
        <v>0</v>
      </c>
      <c r="N64" s="6">
        <v>0</v>
      </c>
      <c r="O64" s="5">
        <f t="shared" si="23"/>
        <v>13</v>
      </c>
    </row>
    <row r="65" spans="1:15" x14ac:dyDescent="0.4">
      <c r="A65" s="7"/>
      <c r="B65" s="46">
        <v>2</v>
      </c>
      <c r="C65" s="24" t="s">
        <v>116</v>
      </c>
      <c r="D65" s="47"/>
      <c r="E65" s="6">
        <v>1</v>
      </c>
      <c r="F65" s="6">
        <v>0</v>
      </c>
      <c r="G65" s="6">
        <v>0</v>
      </c>
      <c r="H65" s="6">
        <v>2</v>
      </c>
      <c r="I65" s="6">
        <v>0</v>
      </c>
      <c r="J65" s="6">
        <v>2</v>
      </c>
      <c r="K65" s="6">
        <v>0</v>
      </c>
      <c r="L65" s="6">
        <v>0</v>
      </c>
      <c r="M65" s="6">
        <v>0</v>
      </c>
      <c r="N65" s="6">
        <v>2</v>
      </c>
      <c r="O65" s="5">
        <f t="shared" si="23"/>
        <v>7</v>
      </c>
    </row>
    <row r="66" spans="1:15" x14ac:dyDescent="0.4">
      <c r="A66" s="7"/>
      <c r="B66" s="46">
        <v>3</v>
      </c>
      <c r="C66" s="24" t="s">
        <v>117</v>
      </c>
      <c r="D66" s="47"/>
      <c r="E66" s="6">
        <v>3</v>
      </c>
      <c r="F66" s="6">
        <v>1</v>
      </c>
      <c r="G66" s="6">
        <v>0</v>
      </c>
      <c r="H66" s="6">
        <v>0</v>
      </c>
      <c r="I66" s="6">
        <v>1</v>
      </c>
      <c r="J66" s="6">
        <v>1</v>
      </c>
      <c r="K66" s="6">
        <v>0</v>
      </c>
      <c r="L66" s="6">
        <v>0</v>
      </c>
      <c r="M66" s="6">
        <v>0</v>
      </c>
      <c r="N66" s="6">
        <v>0</v>
      </c>
      <c r="O66" s="5">
        <f t="shared" si="23"/>
        <v>6</v>
      </c>
    </row>
    <row r="67" spans="1:15" x14ac:dyDescent="0.4">
      <c r="A67" s="7"/>
      <c r="B67" s="46">
        <v>4</v>
      </c>
      <c r="C67" s="24" t="s">
        <v>118</v>
      </c>
      <c r="D67" s="47"/>
      <c r="E67" s="6">
        <v>0</v>
      </c>
      <c r="F67" s="6">
        <v>1</v>
      </c>
      <c r="G67" s="6">
        <v>1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5">
        <f t="shared" si="23"/>
        <v>2</v>
      </c>
    </row>
    <row r="68" spans="1:15" ht="13.15" customHeight="1" x14ac:dyDescent="0.4">
      <c r="A68" s="7"/>
      <c r="B68" s="46">
        <v>5</v>
      </c>
      <c r="C68" s="24" t="s">
        <v>119</v>
      </c>
      <c r="D68" s="47"/>
      <c r="E68" s="6">
        <v>2</v>
      </c>
      <c r="F68" s="6">
        <v>2</v>
      </c>
      <c r="G68" s="6">
        <v>5</v>
      </c>
      <c r="H68" s="6">
        <v>7</v>
      </c>
      <c r="I68" s="6">
        <v>1</v>
      </c>
      <c r="J68" s="6">
        <v>5</v>
      </c>
      <c r="K68" s="6">
        <v>6</v>
      </c>
      <c r="L68" s="6">
        <v>4</v>
      </c>
      <c r="M68" s="6">
        <v>2</v>
      </c>
      <c r="N68" s="6">
        <v>3</v>
      </c>
      <c r="O68" s="5">
        <f t="shared" si="23"/>
        <v>37</v>
      </c>
    </row>
    <row r="69" spans="1:15" x14ac:dyDescent="0.4">
      <c r="A69" s="7"/>
      <c r="B69" s="46">
        <v>6</v>
      </c>
      <c r="C69" s="24" t="s">
        <v>120</v>
      </c>
      <c r="D69" s="47"/>
      <c r="E69" s="6">
        <v>0</v>
      </c>
      <c r="F69" s="6">
        <v>1</v>
      </c>
      <c r="G69" s="6">
        <v>0</v>
      </c>
      <c r="H69" s="6">
        <v>0</v>
      </c>
      <c r="I69" s="6">
        <v>0</v>
      </c>
      <c r="J69" s="6">
        <v>1</v>
      </c>
      <c r="K69" s="6">
        <v>1</v>
      </c>
      <c r="L69" s="6">
        <v>0</v>
      </c>
      <c r="M69" s="6">
        <v>0</v>
      </c>
      <c r="N69" s="6">
        <v>0</v>
      </c>
      <c r="O69" s="5">
        <f t="shared" si="23"/>
        <v>3</v>
      </c>
    </row>
    <row r="70" spans="1:15" x14ac:dyDescent="0.4">
      <c r="A70" s="6" t="s">
        <v>25</v>
      </c>
      <c r="B70" s="52" t="s">
        <v>50</v>
      </c>
      <c r="C70" s="68"/>
      <c r="D70" s="51"/>
      <c r="E70" s="5">
        <f t="shared" ref="E70:O70" si="24">SUM(E63:E69)</f>
        <v>14</v>
      </c>
      <c r="F70" s="5">
        <f t="shared" si="24"/>
        <v>9</v>
      </c>
      <c r="G70" s="5">
        <f t="shared" si="24"/>
        <v>11</v>
      </c>
      <c r="H70" s="5">
        <f t="shared" si="24"/>
        <v>17</v>
      </c>
      <c r="I70" s="5">
        <f t="shared" si="24"/>
        <v>6</v>
      </c>
      <c r="J70" s="5">
        <f t="shared" si="24"/>
        <v>12</v>
      </c>
      <c r="K70" s="5">
        <f t="shared" si="24"/>
        <v>9</v>
      </c>
      <c r="L70" s="5">
        <f t="shared" si="24"/>
        <v>6</v>
      </c>
      <c r="M70" s="5">
        <f t="shared" si="24"/>
        <v>8</v>
      </c>
      <c r="N70" s="5">
        <f t="shared" si="24"/>
        <v>7</v>
      </c>
      <c r="O70" s="5">
        <f t="shared" si="24"/>
        <v>99</v>
      </c>
    </row>
    <row r="71" spans="1:15" x14ac:dyDescent="0.4">
      <c r="A71" s="69"/>
      <c r="B71" s="70"/>
      <c r="C71" s="70"/>
      <c r="D71" s="70"/>
      <c r="E71" s="70"/>
    </row>
    <row r="72" spans="1:15" x14ac:dyDescent="0.4">
      <c r="A72" s="11" t="s">
        <v>47</v>
      </c>
      <c r="B72" s="17" t="s">
        <v>33</v>
      </c>
      <c r="C72" s="50" t="s">
        <v>53</v>
      </c>
      <c r="D72" s="51"/>
      <c r="E72" s="6">
        <v>9</v>
      </c>
      <c r="F72" s="6">
        <v>4</v>
      </c>
      <c r="G72" s="6">
        <v>10</v>
      </c>
      <c r="H72" s="6">
        <v>9</v>
      </c>
      <c r="I72" s="6">
        <v>9</v>
      </c>
      <c r="J72" s="6">
        <v>4</v>
      </c>
      <c r="K72" s="6">
        <v>3</v>
      </c>
      <c r="L72" s="6">
        <v>1</v>
      </c>
      <c r="M72" s="6">
        <v>1</v>
      </c>
      <c r="N72" s="6">
        <v>5</v>
      </c>
      <c r="O72" s="5">
        <f t="shared" ref="O72:O78" si="25">SUM(E72:N72)</f>
        <v>55</v>
      </c>
    </row>
    <row r="73" spans="1:15" x14ac:dyDescent="0.4">
      <c r="A73" s="11" t="s">
        <v>49</v>
      </c>
      <c r="B73" s="46">
        <v>1</v>
      </c>
      <c r="C73" s="24" t="s">
        <v>121</v>
      </c>
      <c r="D73" s="47"/>
      <c r="E73" s="6">
        <v>14</v>
      </c>
      <c r="F73" s="6">
        <v>20</v>
      </c>
      <c r="G73" s="6">
        <v>34</v>
      </c>
      <c r="H73" s="6">
        <v>32</v>
      </c>
      <c r="I73" s="6">
        <v>15</v>
      </c>
      <c r="J73" s="6">
        <v>7</v>
      </c>
      <c r="K73" s="6">
        <v>15</v>
      </c>
      <c r="L73" s="6">
        <v>12</v>
      </c>
      <c r="M73" s="6">
        <v>3</v>
      </c>
      <c r="N73" s="6">
        <v>47</v>
      </c>
      <c r="O73" s="5">
        <f t="shared" si="25"/>
        <v>199</v>
      </c>
    </row>
    <row r="74" spans="1:15" x14ac:dyDescent="0.4">
      <c r="A74" s="7"/>
      <c r="B74" s="46">
        <v>2</v>
      </c>
      <c r="C74" s="24" t="s">
        <v>122</v>
      </c>
      <c r="D74" s="47"/>
      <c r="E74" s="6">
        <v>70</v>
      </c>
      <c r="F74" s="6">
        <v>13</v>
      </c>
      <c r="G74" s="6">
        <v>29</v>
      </c>
      <c r="H74" s="6">
        <v>7</v>
      </c>
      <c r="I74" s="6">
        <v>45</v>
      </c>
      <c r="J74" s="6">
        <v>1</v>
      </c>
      <c r="K74" s="6">
        <v>4</v>
      </c>
      <c r="L74" s="6">
        <v>3</v>
      </c>
      <c r="M74" s="6">
        <v>3</v>
      </c>
      <c r="N74" s="6">
        <v>0</v>
      </c>
      <c r="O74" s="5">
        <f t="shared" si="25"/>
        <v>175</v>
      </c>
    </row>
    <row r="75" spans="1:15" x14ac:dyDescent="0.4">
      <c r="A75" s="7"/>
      <c r="B75" s="46">
        <v>3</v>
      </c>
      <c r="C75" s="24" t="s">
        <v>123</v>
      </c>
      <c r="D75" s="47"/>
      <c r="E75" s="6">
        <v>1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5">
        <f t="shared" si="25"/>
        <v>1</v>
      </c>
    </row>
    <row r="76" spans="1:15" ht="13.15" customHeight="1" x14ac:dyDescent="0.4">
      <c r="A76" s="7"/>
      <c r="B76" s="46">
        <v>4</v>
      </c>
      <c r="C76" s="24" t="s">
        <v>124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5">
        <f t="shared" si="25"/>
        <v>0</v>
      </c>
    </row>
    <row r="77" spans="1:15" x14ac:dyDescent="0.4">
      <c r="A77" s="7"/>
      <c r="B77" s="46">
        <v>5</v>
      </c>
      <c r="C77" s="24" t="s">
        <v>125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5">
        <f t="shared" si="25"/>
        <v>0</v>
      </c>
    </row>
    <row r="78" spans="1:15" x14ac:dyDescent="0.4">
      <c r="A78" s="7"/>
      <c r="B78" s="46">
        <v>6</v>
      </c>
      <c r="C78" s="24" t="s">
        <v>126</v>
      </c>
      <c r="D78" s="47"/>
      <c r="E78" s="6">
        <v>0</v>
      </c>
      <c r="F78" s="6">
        <v>0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5">
        <f t="shared" si="25"/>
        <v>1</v>
      </c>
    </row>
    <row r="79" spans="1:15" x14ac:dyDescent="0.4">
      <c r="A79" s="6" t="s">
        <v>25</v>
      </c>
      <c r="B79" s="52" t="s">
        <v>50</v>
      </c>
      <c r="C79" s="68"/>
      <c r="D79" s="51"/>
      <c r="E79" s="5">
        <f t="shared" ref="E79:O79" si="26">SUM(E72:E78)</f>
        <v>94</v>
      </c>
      <c r="F79" s="5">
        <f t="shared" si="26"/>
        <v>37</v>
      </c>
      <c r="G79" s="5">
        <f t="shared" si="26"/>
        <v>74</v>
      </c>
      <c r="H79" s="5">
        <f t="shared" si="26"/>
        <v>48</v>
      </c>
      <c r="I79" s="5">
        <f t="shared" si="26"/>
        <v>69</v>
      </c>
      <c r="J79" s="5">
        <f t="shared" si="26"/>
        <v>12</v>
      </c>
      <c r="K79" s="5">
        <f t="shared" si="26"/>
        <v>22</v>
      </c>
      <c r="L79" s="5">
        <f t="shared" si="26"/>
        <v>16</v>
      </c>
      <c r="M79" s="5">
        <f t="shared" si="26"/>
        <v>7</v>
      </c>
      <c r="N79" s="5">
        <f t="shared" si="26"/>
        <v>52</v>
      </c>
      <c r="O79" s="5">
        <f t="shared" si="26"/>
        <v>431</v>
      </c>
    </row>
    <row r="80" spans="1:15" x14ac:dyDescent="0.4">
      <c r="A80" s="69"/>
      <c r="B80" s="70"/>
      <c r="C80" s="70"/>
      <c r="D80" s="70"/>
      <c r="E80" s="70"/>
    </row>
    <row r="81" spans="1:15" x14ac:dyDescent="0.4">
      <c r="A81" s="11" t="s">
        <v>47</v>
      </c>
      <c r="B81" s="17" t="s">
        <v>54</v>
      </c>
      <c r="C81" s="50" t="s">
        <v>55</v>
      </c>
      <c r="D81" s="51"/>
      <c r="E81" s="6">
        <v>4</v>
      </c>
      <c r="F81" s="6">
        <v>3</v>
      </c>
      <c r="G81" s="6">
        <v>3</v>
      </c>
      <c r="H81" s="6">
        <v>11</v>
      </c>
      <c r="I81" s="6">
        <v>4</v>
      </c>
      <c r="J81" s="6">
        <v>0</v>
      </c>
      <c r="K81" s="6">
        <v>0</v>
      </c>
      <c r="L81" s="6">
        <v>5</v>
      </c>
      <c r="M81" s="6">
        <v>3</v>
      </c>
      <c r="N81" s="6">
        <v>0</v>
      </c>
      <c r="O81" s="5">
        <f t="shared" ref="O81:O87" si="27">SUM(E81:N81)</f>
        <v>33</v>
      </c>
    </row>
    <row r="82" spans="1:15" x14ac:dyDescent="0.4">
      <c r="A82" s="11" t="s">
        <v>49</v>
      </c>
      <c r="B82" s="46">
        <v>1</v>
      </c>
      <c r="C82" s="24" t="s">
        <v>127</v>
      </c>
      <c r="D82" s="47"/>
      <c r="E82" s="6">
        <v>3</v>
      </c>
      <c r="F82" s="6">
        <v>0</v>
      </c>
      <c r="G82" s="6">
        <v>0</v>
      </c>
      <c r="H82" s="6">
        <v>30</v>
      </c>
      <c r="I82" s="6">
        <v>2</v>
      </c>
      <c r="J82" s="6">
        <v>0</v>
      </c>
      <c r="K82" s="6">
        <v>3</v>
      </c>
      <c r="L82" s="6">
        <v>30</v>
      </c>
      <c r="M82" s="6">
        <v>6</v>
      </c>
      <c r="N82" s="6">
        <v>3</v>
      </c>
      <c r="O82" s="5">
        <f t="shared" si="27"/>
        <v>77</v>
      </c>
    </row>
    <row r="83" spans="1:15" x14ac:dyDescent="0.4">
      <c r="A83" s="7"/>
      <c r="B83" s="46">
        <v>2</v>
      </c>
      <c r="C83" s="24" t="s">
        <v>128</v>
      </c>
      <c r="D83" s="47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5">
        <f t="shared" si="27"/>
        <v>0</v>
      </c>
    </row>
    <row r="84" spans="1:15" ht="13.15" customHeight="1" x14ac:dyDescent="0.4">
      <c r="A84" s="7"/>
      <c r="B84" s="46">
        <v>3</v>
      </c>
      <c r="C84" s="24" t="s">
        <v>129</v>
      </c>
      <c r="D84" s="47"/>
      <c r="E84" s="6">
        <v>1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5">
        <f t="shared" si="27"/>
        <v>1</v>
      </c>
    </row>
    <row r="85" spans="1:15" x14ac:dyDescent="0.4">
      <c r="A85" s="7"/>
      <c r="B85" s="46">
        <v>4</v>
      </c>
      <c r="C85" s="24" t="s">
        <v>130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5">
        <f t="shared" si="27"/>
        <v>0</v>
      </c>
    </row>
    <row r="86" spans="1:15" x14ac:dyDescent="0.4">
      <c r="A86" s="7"/>
      <c r="B86" s="46">
        <v>5</v>
      </c>
      <c r="C86" s="24" t="s">
        <v>131</v>
      </c>
      <c r="D86" s="47"/>
      <c r="E86" s="6">
        <v>0</v>
      </c>
      <c r="F86" s="6">
        <v>0</v>
      </c>
      <c r="G86" s="6">
        <v>1</v>
      </c>
      <c r="H86" s="6">
        <v>0</v>
      </c>
      <c r="I86" s="6">
        <v>3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5">
        <f t="shared" si="27"/>
        <v>4</v>
      </c>
    </row>
    <row r="87" spans="1:15" x14ac:dyDescent="0.4">
      <c r="A87" s="7"/>
      <c r="B87" s="46">
        <v>6</v>
      </c>
      <c r="C87" s="24" t="s">
        <v>132</v>
      </c>
      <c r="D87" s="47"/>
      <c r="E87" s="6">
        <v>15</v>
      </c>
      <c r="F87" s="6">
        <v>16</v>
      </c>
      <c r="G87" s="6">
        <v>2</v>
      </c>
      <c r="H87" s="6">
        <v>5</v>
      </c>
      <c r="I87" s="6">
        <v>4</v>
      </c>
      <c r="J87" s="6">
        <v>0</v>
      </c>
      <c r="K87" s="6">
        <v>5</v>
      </c>
      <c r="L87" s="6">
        <v>10</v>
      </c>
      <c r="M87" s="6">
        <v>2</v>
      </c>
      <c r="N87" s="6">
        <v>0</v>
      </c>
      <c r="O87" s="5">
        <f t="shared" si="27"/>
        <v>59</v>
      </c>
    </row>
    <row r="88" spans="1:15" x14ac:dyDescent="0.4">
      <c r="A88" s="6" t="s">
        <v>25</v>
      </c>
      <c r="B88" s="52" t="s">
        <v>50</v>
      </c>
      <c r="C88" s="68"/>
      <c r="D88" s="51"/>
      <c r="E88" s="5">
        <f t="shared" ref="E88:O88" si="28">SUM(E81:E87)</f>
        <v>23</v>
      </c>
      <c r="F88" s="5">
        <f t="shared" si="28"/>
        <v>19</v>
      </c>
      <c r="G88" s="5">
        <f t="shared" si="28"/>
        <v>6</v>
      </c>
      <c r="H88" s="5">
        <f t="shared" si="28"/>
        <v>46</v>
      </c>
      <c r="I88" s="5">
        <f t="shared" si="28"/>
        <v>13</v>
      </c>
      <c r="J88" s="5">
        <f t="shared" si="28"/>
        <v>0</v>
      </c>
      <c r="K88" s="5">
        <f t="shared" si="28"/>
        <v>8</v>
      </c>
      <c r="L88" s="5">
        <f t="shared" si="28"/>
        <v>45</v>
      </c>
      <c r="M88" s="5">
        <f t="shared" si="28"/>
        <v>11</v>
      </c>
      <c r="N88" s="5">
        <f t="shared" si="28"/>
        <v>3</v>
      </c>
      <c r="O88" s="5">
        <f t="shared" si="28"/>
        <v>174</v>
      </c>
    </row>
    <row r="89" spans="1:15" x14ac:dyDescent="0.4">
      <c r="A89" s="69"/>
      <c r="B89" s="70"/>
      <c r="C89" s="70"/>
      <c r="D89" s="70"/>
      <c r="E89" s="70"/>
      <c r="F89" s="18"/>
      <c r="G89" s="18"/>
      <c r="H89" s="18"/>
      <c r="I89" s="18"/>
      <c r="J89" s="18"/>
      <c r="K89" s="18"/>
      <c r="L89" s="18"/>
      <c r="M89" s="18"/>
      <c r="N89" s="18"/>
      <c r="O89" s="18"/>
    </row>
    <row r="90" spans="1:15" x14ac:dyDescent="0.4">
      <c r="A90" s="11" t="s">
        <v>47</v>
      </c>
      <c r="B90" s="17" t="s">
        <v>56</v>
      </c>
      <c r="C90" s="50" t="s">
        <v>57</v>
      </c>
      <c r="D90" s="51"/>
      <c r="E90" s="6">
        <v>2</v>
      </c>
      <c r="F90" s="6">
        <v>2</v>
      </c>
      <c r="G90" s="6">
        <v>1</v>
      </c>
      <c r="H90" s="6">
        <v>0</v>
      </c>
      <c r="I90" s="6">
        <v>1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5">
        <f t="shared" ref="O90" si="29">SUM(E90:N90)</f>
        <v>6</v>
      </c>
    </row>
    <row r="91" spans="1:15" ht="13.15" customHeight="1" x14ac:dyDescent="0.4">
      <c r="A91" s="6" t="s">
        <v>25</v>
      </c>
      <c r="B91" s="52" t="s">
        <v>50</v>
      </c>
      <c r="C91" s="53"/>
      <c r="D91" s="54"/>
      <c r="E91" s="5">
        <f t="shared" ref="E91:O91" si="30">SUM(E90:E90)</f>
        <v>2</v>
      </c>
      <c r="F91" s="5">
        <f t="shared" si="30"/>
        <v>2</v>
      </c>
      <c r="G91" s="5">
        <f t="shared" si="30"/>
        <v>1</v>
      </c>
      <c r="H91" s="5">
        <f t="shared" si="30"/>
        <v>0</v>
      </c>
      <c r="I91" s="5">
        <f t="shared" si="30"/>
        <v>1</v>
      </c>
      <c r="J91" s="5">
        <f t="shared" si="30"/>
        <v>0</v>
      </c>
      <c r="K91" s="5">
        <f t="shared" si="30"/>
        <v>0</v>
      </c>
      <c r="L91" s="5">
        <f t="shared" si="30"/>
        <v>0</v>
      </c>
      <c r="M91" s="5">
        <f t="shared" si="30"/>
        <v>0</v>
      </c>
      <c r="N91" s="5">
        <f t="shared" si="30"/>
        <v>0</v>
      </c>
      <c r="O91" s="5">
        <f t="shared" si="30"/>
        <v>6</v>
      </c>
    </row>
    <row r="92" spans="1:15" x14ac:dyDescent="0.4">
      <c r="A92" s="55"/>
      <c r="B92" s="56"/>
      <c r="C92" s="56"/>
      <c r="D92" s="56"/>
      <c r="E92" s="57"/>
      <c r="F92" s="18"/>
      <c r="G92" s="18"/>
      <c r="H92" s="18"/>
      <c r="I92" s="18"/>
      <c r="J92" s="18"/>
      <c r="K92" s="18"/>
      <c r="L92" s="18"/>
      <c r="M92" s="18"/>
      <c r="N92" s="18"/>
      <c r="O92" s="5"/>
    </row>
    <row r="93" spans="1:15" x14ac:dyDescent="0.4">
      <c r="A93" s="11" t="s">
        <v>47</v>
      </c>
      <c r="B93" s="17" t="s">
        <v>58</v>
      </c>
      <c r="C93" s="50" t="s">
        <v>59</v>
      </c>
      <c r="D93" s="51"/>
      <c r="E93" s="6">
        <v>1</v>
      </c>
      <c r="F93" s="6">
        <v>0</v>
      </c>
      <c r="G93" s="6">
        <v>0</v>
      </c>
      <c r="H93" s="6">
        <v>1</v>
      </c>
      <c r="I93" s="6">
        <v>1</v>
      </c>
      <c r="J93" s="6">
        <v>0</v>
      </c>
      <c r="K93" s="6">
        <v>1</v>
      </c>
      <c r="L93" s="6">
        <v>1</v>
      </c>
      <c r="M93" s="6">
        <v>0</v>
      </c>
      <c r="N93" s="6">
        <v>0</v>
      </c>
      <c r="O93" s="5">
        <f t="shared" ref="O93:O97" si="31">SUM(E93:N93)</f>
        <v>5</v>
      </c>
    </row>
    <row r="94" spans="1:15" x14ac:dyDescent="0.4">
      <c r="A94" s="11" t="s">
        <v>49</v>
      </c>
      <c r="B94" s="46">
        <v>1</v>
      </c>
      <c r="C94" s="24" t="s">
        <v>133</v>
      </c>
      <c r="D94" s="47"/>
      <c r="E94" s="6">
        <v>0</v>
      </c>
      <c r="F94" s="6">
        <v>0</v>
      </c>
      <c r="G94" s="6">
        <v>1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5">
        <f t="shared" si="31"/>
        <v>1</v>
      </c>
    </row>
    <row r="95" spans="1:15" x14ac:dyDescent="0.4">
      <c r="A95" s="7"/>
      <c r="B95" s="46">
        <v>2</v>
      </c>
      <c r="C95" s="24" t="s">
        <v>134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5">
        <f t="shared" si="31"/>
        <v>0</v>
      </c>
    </row>
    <row r="96" spans="1:15" x14ac:dyDescent="0.4">
      <c r="A96" s="7"/>
      <c r="B96" s="46">
        <v>3</v>
      </c>
      <c r="C96" s="24" t="s">
        <v>135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5">
        <f t="shared" si="31"/>
        <v>0</v>
      </c>
    </row>
    <row r="97" spans="1:15" x14ac:dyDescent="0.4">
      <c r="A97" s="7"/>
      <c r="B97" s="46">
        <v>4</v>
      </c>
      <c r="C97" s="24" t="s">
        <v>136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5">
        <f t="shared" si="31"/>
        <v>0</v>
      </c>
    </row>
    <row r="98" spans="1:15" x14ac:dyDescent="0.4">
      <c r="A98" s="6" t="s">
        <v>25</v>
      </c>
      <c r="B98" s="52" t="s">
        <v>50</v>
      </c>
      <c r="C98" s="53"/>
      <c r="D98" s="54"/>
      <c r="E98" s="5">
        <f t="shared" ref="E98:O98" si="32">SUM(E93:E97)</f>
        <v>1</v>
      </c>
      <c r="F98" s="5">
        <f t="shared" si="32"/>
        <v>0</v>
      </c>
      <c r="G98" s="5">
        <f t="shared" si="32"/>
        <v>1</v>
      </c>
      <c r="H98" s="5">
        <f t="shared" si="32"/>
        <v>1</v>
      </c>
      <c r="I98" s="5">
        <f t="shared" si="32"/>
        <v>1</v>
      </c>
      <c r="J98" s="5">
        <f t="shared" si="32"/>
        <v>0</v>
      </c>
      <c r="K98" s="5">
        <f t="shared" si="32"/>
        <v>1</v>
      </c>
      <c r="L98" s="5">
        <f t="shared" si="32"/>
        <v>1</v>
      </c>
      <c r="M98" s="5">
        <f t="shared" si="32"/>
        <v>0</v>
      </c>
      <c r="N98" s="5">
        <f t="shared" si="32"/>
        <v>0</v>
      </c>
      <c r="O98" s="5">
        <f t="shared" si="32"/>
        <v>6</v>
      </c>
    </row>
    <row r="99" spans="1:15" x14ac:dyDescent="0.4">
      <c r="A99" s="55"/>
      <c r="B99" s="56"/>
      <c r="C99" s="56"/>
      <c r="D99" s="56"/>
      <c r="E99" s="57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 spans="1:15" x14ac:dyDescent="0.4">
      <c r="A100" s="11" t="s">
        <v>47</v>
      </c>
      <c r="B100" s="17" t="s">
        <v>60</v>
      </c>
      <c r="C100" s="50" t="s">
        <v>61</v>
      </c>
      <c r="D100" s="51"/>
      <c r="E100" s="6">
        <v>0</v>
      </c>
      <c r="F100" s="6">
        <v>1</v>
      </c>
      <c r="G100" s="6">
        <v>0</v>
      </c>
      <c r="H100" s="6">
        <v>0</v>
      </c>
      <c r="I100" s="6">
        <v>1</v>
      </c>
      <c r="J100" s="6">
        <v>0</v>
      </c>
      <c r="K100" s="6">
        <v>2</v>
      </c>
      <c r="L100" s="6">
        <v>0</v>
      </c>
      <c r="M100" s="6">
        <v>0</v>
      </c>
      <c r="N100" s="6">
        <v>0</v>
      </c>
      <c r="O100" s="5">
        <f t="shared" ref="O100:O106" si="33">SUM(E100:N100)</f>
        <v>4</v>
      </c>
    </row>
    <row r="101" spans="1:15" ht="13.15" customHeight="1" x14ac:dyDescent="0.4">
      <c r="A101" s="11" t="s">
        <v>49</v>
      </c>
      <c r="B101" s="46">
        <v>1</v>
      </c>
      <c r="C101" s="24" t="s">
        <v>137</v>
      </c>
      <c r="D101" s="47"/>
      <c r="E101" s="6">
        <v>1</v>
      </c>
      <c r="F101" s="6">
        <v>1</v>
      </c>
      <c r="G101" s="6">
        <v>4</v>
      </c>
      <c r="H101" s="6">
        <v>1</v>
      </c>
      <c r="I101" s="6">
        <v>1</v>
      </c>
      <c r="J101" s="6">
        <v>0</v>
      </c>
      <c r="K101" s="6">
        <v>1</v>
      </c>
      <c r="L101" s="6">
        <v>0</v>
      </c>
      <c r="M101" s="6">
        <v>0</v>
      </c>
      <c r="N101" s="6">
        <v>0</v>
      </c>
      <c r="O101" s="5">
        <f t="shared" si="33"/>
        <v>9</v>
      </c>
    </row>
    <row r="102" spans="1:15" x14ac:dyDescent="0.4">
      <c r="A102" s="7"/>
      <c r="B102" s="46">
        <v>2</v>
      </c>
      <c r="C102" s="24" t="s">
        <v>138</v>
      </c>
      <c r="D102" s="47"/>
      <c r="E102" s="6">
        <v>1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5">
        <f t="shared" si="33"/>
        <v>1</v>
      </c>
    </row>
    <row r="103" spans="1:15" x14ac:dyDescent="0.4">
      <c r="A103" s="7"/>
      <c r="B103" s="46">
        <v>3</v>
      </c>
      <c r="C103" s="24" t="s">
        <v>139</v>
      </c>
      <c r="D103" s="47"/>
      <c r="E103" s="6">
        <v>0</v>
      </c>
      <c r="F103" s="6">
        <v>1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5">
        <f t="shared" si="33"/>
        <v>1</v>
      </c>
    </row>
    <row r="104" spans="1:15" x14ac:dyDescent="0.4">
      <c r="A104" s="7"/>
      <c r="B104" s="46">
        <v>4</v>
      </c>
      <c r="C104" s="24" t="s">
        <v>140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5">
        <f t="shared" si="33"/>
        <v>0</v>
      </c>
    </row>
    <row r="105" spans="1:15" x14ac:dyDescent="0.4">
      <c r="A105" s="7"/>
      <c r="B105" s="46">
        <v>5</v>
      </c>
      <c r="C105" s="24" t="s">
        <v>141</v>
      </c>
      <c r="D105" s="47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5">
        <f t="shared" si="33"/>
        <v>0</v>
      </c>
    </row>
    <row r="106" spans="1:15" x14ac:dyDescent="0.4">
      <c r="A106" s="7"/>
      <c r="B106" s="46">
        <v>6</v>
      </c>
      <c r="C106" s="24" t="s">
        <v>142</v>
      </c>
      <c r="D106" s="47"/>
      <c r="E106" s="6">
        <v>0</v>
      </c>
      <c r="F106" s="6">
        <v>1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5">
        <f t="shared" si="33"/>
        <v>1</v>
      </c>
    </row>
    <row r="107" spans="1:15" x14ac:dyDescent="0.4">
      <c r="A107" s="6" t="s">
        <v>25</v>
      </c>
      <c r="B107" s="52" t="s">
        <v>50</v>
      </c>
      <c r="C107" s="53"/>
      <c r="D107" s="54"/>
      <c r="E107" s="5">
        <f t="shared" ref="E107:O107" si="34">SUM(E100:E106)</f>
        <v>2</v>
      </c>
      <c r="F107" s="5">
        <f t="shared" si="34"/>
        <v>4</v>
      </c>
      <c r="G107" s="5">
        <f t="shared" si="34"/>
        <v>4</v>
      </c>
      <c r="H107" s="5">
        <f t="shared" si="34"/>
        <v>1</v>
      </c>
      <c r="I107" s="5">
        <f t="shared" si="34"/>
        <v>2</v>
      </c>
      <c r="J107" s="5">
        <f t="shared" si="34"/>
        <v>0</v>
      </c>
      <c r="K107" s="5">
        <f t="shared" si="34"/>
        <v>3</v>
      </c>
      <c r="L107" s="5">
        <f t="shared" si="34"/>
        <v>0</v>
      </c>
      <c r="M107" s="5">
        <f t="shared" si="34"/>
        <v>0</v>
      </c>
      <c r="N107" s="5">
        <f t="shared" si="34"/>
        <v>0</v>
      </c>
      <c r="O107" s="5">
        <f t="shared" si="34"/>
        <v>16</v>
      </c>
    </row>
    <row r="108" spans="1:15" x14ac:dyDescent="0.4">
      <c r="A108" s="55"/>
      <c r="B108" s="56"/>
      <c r="C108" s="56"/>
      <c r="D108" s="56"/>
      <c r="E108" s="57"/>
      <c r="F108" s="18"/>
      <c r="G108" s="18"/>
      <c r="H108" s="18"/>
      <c r="I108" s="18"/>
      <c r="J108" s="18"/>
      <c r="K108" s="18"/>
      <c r="L108" s="18"/>
      <c r="M108" s="18"/>
      <c r="N108" s="18"/>
      <c r="O108" s="18"/>
    </row>
    <row r="109" spans="1:15" ht="13.15" customHeight="1" x14ac:dyDescent="0.4">
      <c r="A109" s="11" t="s">
        <v>47</v>
      </c>
      <c r="B109" s="17" t="s">
        <v>62</v>
      </c>
      <c r="C109" s="50" t="s">
        <v>63</v>
      </c>
      <c r="D109" s="51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5">
        <f t="shared" ref="O109:O112" si="35">SUM(E109:N109)</f>
        <v>0</v>
      </c>
    </row>
    <row r="110" spans="1:15" x14ac:dyDescent="0.4">
      <c r="A110" s="11" t="s">
        <v>49</v>
      </c>
      <c r="B110" s="46">
        <v>1</v>
      </c>
      <c r="C110" s="24" t="s">
        <v>143</v>
      </c>
      <c r="D110" s="45"/>
      <c r="E110" s="6">
        <v>0</v>
      </c>
      <c r="F110" s="6">
        <v>0</v>
      </c>
      <c r="G110" s="6">
        <v>1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5">
        <f t="shared" si="35"/>
        <v>1</v>
      </c>
    </row>
    <row r="111" spans="1:15" x14ac:dyDescent="0.4">
      <c r="A111" s="7"/>
      <c r="B111" s="46">
        <v>2</v>
      </c>
      <c r="C111" s="24" t="s">
        <v>144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5">
        <f t="shared" si="35"/>
        <v>0</v>
      </c>
    </row>
    <row r="112" spans="1:15" x14ac:dyDescent="0.4">
      <c r="A112" s="7"/>
      <c r="B112" s="46">
        <v>3</v>
      </c>
      <c r="C112" s="24" t="s">
        <v>145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5">
        <f t="shared" si="35"/>
        <v>0</v>
      </c>
    </row>
    <row r="113" spans="1:15" ht="13.15" customHeight="1" x14ac:dyDescent="0.4">
      <c r="A113" s="6" t="s">
        <v>25</v>
      </c>
      <c r="B113" s="52" t="s">
        <v>50</v>
      </c>
      <c r="C113" s="53"/>
      <c r="D113" s="54"/>
      <c r="E113" s="5">
        <f t="shared" ref="E113:O113" si="36">SUM(E109:E112)</f>
        <v>0</v>
      </c>
      <c r="F113" s="5">
        <f t="shared" si="36"/>
        <v>0</v>
      </c>
      <c r="G113" s="5">
        <f t="shared" si="36"/>
        <v>1</v>
      </c>
      <c r="H113" s="5">
        <f t="shared" si="36"/>
        <v>0</v>
      </c>
      <c r="I113" s="5">
        <f t="shared" si="36"/>
        <v>0</v>
      </c>
      <c r="J113" s="5">
        <f t="shared" si="36"/>
        <v>0</v>
      </c>
      <c r="K113" s="5">
        <f t="shared" si="36"/>
        <v>0</v>
      </c>
      <c r="L113" s="5">
        <f t="shared" si="36"/>
        <v>0</v>
      </c>
      <c r="M113" s="5">
        <f t="shared" si="36"/>
        <v>0</v>
      </c>
      <c r="N113" s="5">
        <f t="shared" si="36"/>
        <v>0</v>
      </c>
      <c r="O113" s="5">
        <f t="shared" si="36"/>
        <v>1</v>
      </c>
    </row>
    <row r="114" spans="1:15" x14ac:dyDescent="0.4">
      <c r="A114" s="55"/>
      <c r="B114" s="56"/>
      <c r="C114" s="56"/>
      <c r="D114" s="56"/>
      <c r="E114" s="57"/>
      <c r="F114" s="18"/>
      <c r="G114" s="18"/>
      <c r="H114" s="18"/>
      <c r="I114" s="18"/>
      <c r="J114" s="18"/>
      <c r="K114" s="18"/>
      <c r="L114" s="18"/>
      <c r="M114" s="18"/>
      <c r="N114" s="18"/>
      <c r="O114" s="5"/>
    </row>
    <row r="115" spans="1:15" x14ac:dyDescent="0.4">
      <c r="A115" s="11" t="s">
        <v>47</v>
      </c>
      <c r="B115" s="44" t="s">
        <v>64</v>
      </c>
      <c r="C115" s="63" t="s">
        <v>65</v>
      </c>
      <c r="D115" s="64"/>
      <c r="E115" s="6">
        <v>0</v>
      </c>
      <c r="F115" s="6">
        <v>1</v>
      </c>
      <c r="G115" s="6">
        <v>0</v>
      </c>
      <c r="H115" s="6">
        <v>0</v>
      </c>
      <c r="I115" s="6">
        <v>1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5">
        <f t="shared" ref="O115:O121" si="37">SUM(E115:N115)</f>
        <v>2</v>
      </c>
    </row>
    <row r="116" spans="1:15" x14ac:dyDescent="0.4">
      <c r="A116" s="48" t="s">
        <v>49</v>
      </c>
      <c r="B116" s="46">
        <v>1</v>
      </c>
      <c r="C116" s="24" t="s">
        <v>146</v>
      </c>
      <c r="D116" s="47"/>
      <c r="E116" s="49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5">
        <f t="shared" si="37"/>
        <v>0</v>
      </c>
    </row>
    <row r="117" spans="1:15" x14ac:dyDescent="0.4">
      <c r="A117" s="7"/>
      <c r="B117" s="46">
        <v>2</v>
      </c>
      <c r="C117" s="24" t="s">
        <v>147</v>
      </c>
      <c r="D117" s="47"/>
      <c r="E117" s="49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5">
        <f t="shared" si="37"/>
        <v>0</v>
      </c>
    </row>
    <row r="118" spans="1:15" x14ac:dyDescent="0.4">
      <c r="A118" s="7"/>
      <c r="B118" s="46">
        <v>3</v>
      </c>
      <c r="C118" s="24" t="s">
        <v>148</v>
      </c>
      <c r="D118" s="47"/>
      <c r="E118" s="49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1</v>
      </c>
      <c r="O118" s="5">
        <f t="shared" si="37"/>
        <v>1</v>
      </c>
    </row>
    <row r="119" spans="1:15" x14ac:dyDescent="0.4">
      <c r="A119" s="7"/>
      <c r="B119" s="46">
        <v>4</v>
      </c>
      <c r="C119" s="24" t="s">
        <v>149</v>
      </c>
      <c r="D119" s="47"/>
      <c r="E119" s="49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5">
        <f t="shared" si="37"/>
        <v>0</v>
      </c>
    </row>
    <row r="120" spans="1:15" x14ac:dyDescent="0.4">
      <c r="A120" s="7"/>
      <c r="B120" s="46">
        <v>5</v>
      </c>
      <c r="C120" s="24" t="s">
        <v>150</v>
      </c>
      <c r="D120" s="47"/>
      <c r="E120" s="49">
        <v>0</v>
      </c>
      <c r="F120" s="6">
        <v>1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5">
        <f t="shared" si="37"/>
        <v>1</v>
      </c>
    </row>
    <row r="121" spans="1:15" x14ac:dyDescent="0.4">
      <c r="A121" s="7"/>
      <c r="B121" s="46">
        <v>6</v>
      </c>
      <c r="C121" s="24" t="s">
        <v>151</v>
      </c>
      <c r="D121" s="47"/>
      <c r="E121" s="49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5">
        <f t="shared" si="37"/>
        <v>0</v>
      </c>
    </row>
    <row r="122" spans="1:15" x14ac:dyDescent="0.4">
      <c r="A122" s="6" t="s">
        <v>25</v>
      </c>
      <c r="B122" s="65" t="s">
        <v>50</v>
      </c>
      <c r="C122" s="66"/>
      <c r="D122" s="67"/>
      <c r="E122" s="5">
        <f t="shared" ref="E122:O122" si="38">SUM(E115:E121)</f>
        <v>0</v>
      </c>
      <c r="F122" s="5">
        <f t="shared" si="38"/>
        <v>2</v>
      </c>
      <c r="G122" s="5">
        <f t="shared" si="38"/>
        <v>0</v>
      </c>
      <c r="H122" s="5">
        <f t="shared" si="38"/>
        <v>0</v>
      </c>
      <c r="I122" s="5">
        <f t="shared" si="38"/>
        <v>1</v>
      </c>
      <c r="J122" s="5">
        <f t="shared" si="38"/>
        <v>0</v>
      </c>
      <c r="K122" s="5">
        <f t="shared" si="38"/>
        <v>0</v>
      </c>
      <c r="L122" s="5">
        <f t="shared" si="38"/>
        <v>0</v>
      </c>
      <c r="M122" s="5">
        <f t="shared" si="38"/>
        <v>0</v>
      </c>
      <c r="N122" s="5">
        <f t="shared" si="38"/>
        <v>1</v>
      </c>
      <c r="O122" s="5">
        <f t="shared" si="38"/>
        <v>4</v>
      </c>
    </row>
    <row r="123" spans="1:15" x14ac:dyDescent="0.4">
      <c r="A123" s="55"/>
      <c r="B123" s="56"/>
      <c r="C123" s="56"/>
      <c r="D123" s="56"/>
      <c r="E123" s="57"/>
      <c r="F123" s="18"/>
      <c r="G123" s="18"/>
      <c r="H123" s="18"/>
      <c r="I123" s="18"/>
      <c r="J123" s="18"/>
      <c r="K123" s="18"/>
      <c r="L123" s="18"/>
      <c r="M123" s="18"/>
      <c r="N123" s="18"/>
      <c r="O123" s="18"/>
    </row>
    <row r="124" spans="1:15" ht="13.15" customHeight="1" x14ac:dyDescent="0.4">
      <c r="A124" s="11" t="s">
        <v>47</v>
      </c>
      <c r="B124" s="17" t="s">
        <v>66</v>
      </c>
      <c r="C124" s="50" t="s">
        <v>67</v>
      </c>
      <c r="D124" s="51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5">
        <f t="shared" ref="O124" si="39">SUM(E124:N124)</f>
        <v>0</v>
      </c>
    </row>
    <row r="125" spans="1:15" x14ac:dyDescent="0.4">
      <c r="A125" s="6" t="s">
        <v>25</v>
      </c>
      <c r="B125" s="52" t="s">
        <v>50</v>
      </c>
      <c r="C125" s="53"/>
      <c r="D125" s="54"/>
      <c r="E125" s="5">
        <f t="shared" ref="E125:O125" si="40">SUM(E124:E124)</f>
        <v>0</v>
      </c>
      <c r="F125" s="5">
        <f t="shared" si="40"/>
        <v>0</v>
      </c>
      <c r="G125" s="5">
        <f t="shared" si="40"/>
        <v>0</v>
      </c>
      <c r="H125" s="5">
        <f t="shared" si="40"/>
        <v>0</v>
      </c>
      <c r="I125" s="5">
        <f t="shared" si="40"/>
        <v>0</v>
      </c>
      <c r="J125" s="5">
        <f t="shared" si="40"/>
        <v>0</v>
      </c>
      <c r="K125" s="5">
        <f t="shared" si="40"/>
        <v>0</v>
      </c>
      <c r="L125" s="5">
        <f t="shared" si="40"/>
        <v>0</v>
      </c>
      <c r="M125" s="5">
        <f t="shared" si="40"/>
        <v>0</v>
      </c>
      <c r="N125" s="5">
        <f t="shared" si="40"/>
        <v>0</v>
      </c>
      <c r="O125" s="5">
        <f t="shared" si="40"/>
        <v>0</v>
      </c>
    </row>
    <row r="126" spans="1:15" ht="13.15" customHeight="1" x14ac:dyDescent="0.4">
      <c r="A126" s="55"/>
      <c r="B126" s="56"/>
      <c r="C126" s="56"/>
      <c r="D126" s="56"/>
      <c r="E126" s="57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 spans="1:15" x14ac:dyDescent="0.4">
      <c r="A127" s="11" t="s">
        <v>47</v>
      </c>
      <c r="B127" s="17" t="s">
        <v>68</v>
      </c>
      <c r="C127" s="50" t="s">
        <v>69</v>
      </c>
      <c r="D127" s="51"/>
      <c r="E127" s="6">
        <v>1</v>
      </c>
      <c r="F127" s="6">
        <v>2</v>
      </c>
      <c r="G127" s="6">
        <v>2</v>
      </c>
      <c r="H127" s="6">
        <v>2</v>
      </c>
      <c r="I127" s="6">
        <v>1</v>
      </c>
      <c r="J127" s="6">
        <v>2</v>
      </c>
      <c r="K127" s="6">
        <v>1</v>
      </c>
      <c r="L127" s="6">
        <v>0</v>
      </c>
      <c r="M127" s="6">
        <v>2</v>
      </c>
      <c r="N127" s="6">
        <v>0</v>
      </c>
      <c r="O127" s="5">
        <f t="shared" ref="O127:O133" si="41">SUM(E127:N127)</f>
        <v>13</v>
      </c>
    </row>
    <row r="128" spans="1:15" x14ac:dyDescent="0.4">
      <c r="A128" s="11" t="s">
        <v>49</v>
      </c>
      <c r="B128" s="46">
        <v>1</v>
      </c>
      <c r="C128" s="24" t="s">
        <v>152</v>
      </c>
      <c r="D128" s="47"/>
      <c r="E128" s="6">
        <v>1</v>
      </c>
      <c r="F128" s="6">
        <v>10</v>
      </c>
      <c r="G128" s="6">
        <v>15</v>
      </c>
      <c r="H128" s="6">
        <v>2</v>
      </c>
      <c r="I128" s="6">
        <v>5</v>
      </c>
      <c r="J128" s="6">
        <v>1</v>
      </c>
      <c r="K128" s="6">
        <v>0</v>
      </c>
      <c r="L128" s="6">
        <v>4</v>
      </c>
      <c r="M128" s="6">
        <v>3</v>
      </c>
      <c r="N128" s="6">
        <v>0</v>
      </c>
      <c r="O128" s="5">
        <f t="shared" si="41"/>
        <v>41</v>
      </c>
    </row>
    <row r="129" spans="1:15" x14ac:dyDescent="0.4">
      <c r="A129" s="7"/>
      <c r="B129" s="46">
        <v>2</v>
      </c>
      <c r="C129" s="24" t="s">
        <v>153</v>
      </c>
      <c r="D129" s="47"/>
      <c r="E129" s="6">
        <v>1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5">
        <f t="shared" si="41"/>
        <v>1</v>
      </c>
    </row>
    <row r="130" spans="1:15" x14ac:dyDescent="0.4">
      <c r="A130" s="7"/>
      <c r="B130" s="46">
        <v>3</v>
      </c>
      <c r="C130" s="24" t="s">
        <v>154</v>
      </c>
      <c r="D130" s="47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5">
        <f t="shared" si="41"/>
        <v>0</v>
      </c>
    </row>
    <row r="131" spans="1:15" x14ac:dyDescent="0.4">
      <c r="A131" s="7"/>
      <c r="B131" s="46">
        <v>4</v>
      </c>
      <c r="C131" s="24" t="s">
        <v>155</v>
      </c>
      <c r="D131" s="47"/>
      <c r="E131" s="6">
        <v>0</v>
      </c>
      <c r="F131" s="6">
        <v>0</v>
      </c>
      <c r="G131" s="6">
        <v>0</v>
      </c>
      <c r="H131" s="6">
        <v>1</v>
      </c>
      <c r="I131" s="6">
        <v>1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5">
        <f t="shared" si="41"/>
        <v>2</v>
      </c>
    </row>
    <row r="132" spans="1:15" x14ac:dyDescent="0.4">
      <c r="A132" s="7"/>
      <c r="B132" s="46">
        <v>5</v>
      </c>
      <c r="C132" s="24" t="s">
        <v>156</v>
      </c>
      <c r="D132" s="47"/>
      <c r="E132" s="6">
        <v>0</v>
      </c>
      <c r="F132" s="6">
        <v>0</v>
      </c>
      <c r="G132" s="6">
        <v>1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5">
        <f t="shared" si="41"/>
        <v>1</v>
      </c>
    </row>
    <row r="133" spans="1:15" x14ac:dyDescent="0.4">
      <c r="A133" s="7"/>
      <c r="B133" s="46">
        <v>6</v>
      </c>
      <c r="C133" s="24" t="s">
        <v>157</v>
      </c>
      <c r="D133" s="47"/>
      <c r="E133" s="6">
        <v>0</v>
      </c>
      <c r="F133" s="6">
        <v>5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5">
        <f t="shared" si="41"/>
        <v>5</v>
      </c>
    </row>
    <row r="134" spans="1:15" ht="13.15" customHeight="1" x14ac:dyDescent="0.4">
      <c r="A134" s="6" t="s">
        <v>25</v>
      </c>
      <c r="B134" s="52" t="s">
        <v>50</v>
      </c>
      <c r="C134" s="53"/>
      <c r="D134" s="54"/>
      <c r="E134" s="5">
        <f t="shared" ref="E134:O134" si="42">SUM(E127:E133)</f>
        <v>3</v>
      </c>
      <c r="F134" s="5">
        <f t="shared" si="42"/>
        <v>17</v>
      </c>
      <c r="G134" s="5">
        <f t="shared" si="42"/>
        <v>18</v>
      </c>
      <c r="H134" s="5">
        <f t="shared" si="42"/>
        <v>5</v>
      </c>
      <c r="I134" s="5">
        <f t="shared" si="42"/>
        <v>7</v>
      </c>
      <c r="J134" s="5">
        <f t="shared" si="42"/>
        <v>3</v>
      </c>
      <c r="K134" s="5">
        <f t="shared" si="42"/>
        <v>1</v>
      </c>
      <c r="L134" s="5">
        <f t="shared" si="42"/>
        <v>4</v>
      </c>
      <c r="M134" s="5">
        <f t="shared" si="42"/>
        <v>5</v>
      </c>
      <c r="N134" s="5">
        <f t="shared" si="42"/>
        <v>0</v>
      </c>
      <c r="O134" s="5">
        <f t="shared" si="42"/>
        <v>63</v>
      </c>
    </row>
    <row r="135" spans="1:15" x14ac:dyDescent="0.4">
      <c r="A135" s="55"/>
      <c r="B135" s="56"/>
      <c r="C135" s="56"/>
      <c r="D135" s="56"/>
      <c r="E135" s="57"/>
      <c r="F135" s="18"/>
      <c r="G135" s="18"/>
      <c r="H135" s="18"/>
      <c r="I135" s="18"/>
      <c r="J135" s="18"/>
      <c r="K135" s="18"/>
      <c r="L135" s="18"/>
      <c r="M135" s="18"/>
      <c r="N135" s="18"/>
      <c r="O135" s="5"/>
    </row>
    <row r="136" spans="1:15" x14ac:dyDescent="0.4">
      <c r="A136" s="11" t="s">
        <v>47</v>
      </c>
      <c r="B136" s="17" t="s">
        <v>70</v>
      </c>
      <c r="C136" s="50" t="s">
        <v>71</v>
      </c>
      <c r="D136" s="5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5">
        <f t="shared" ref="O136:O141" si="43">SUM(E136:N136)</f>
        <v>0</v>
      </c>
    </row>
    <row r="137" spans="1:15" x14ac:dyDescent="0.4">
      <c r="A137" s="11" t="s">
        <v>49</v>
      </c>
      <c r="B137" s="46">
        <v>1</v>
      </c>
      <c r="C137" s="24" t="s">
        <v>158</v>
      </c>
      <c r="D137" s="4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5">
        <f t="shared" si="43"/>
        <v>0</v>
      </c>
    </row>
    <row r="138" spans="1:15" x14ac:dyDescent="0.4">
      <c r="A138" s="7"/>
      <c r="B138" s="46">
        <v>2</v>
      </c>
      <c r="C138" s="24" t="s">
        <v>159</v>
      </c>
      <c r="D138" s="4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5">
        <f t="shared" si="43"/>
        <v>0</v>
      </c>
    </row>
    <row r="139" spans="1:15" x14ac:dyDescent="0.4">
      <c r="A139" s="7"/>
      <c r="B139" s="46">
        <v>3</v>
      </c>
      <c r="C139" s="24" t="s">
        <v>160</v>
      </c>
      <c r="D139" s="4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5">
        <f t="shared" si="43"/>
        <v>0</v>
      </c>
    </row>
    <row r="140" spans="1:15" x14ac:dyDescent="0.4">
      <c r="A140" s="7"/>
      <c r="B140" s="46">
        <v>4</v>
      </c>
      <c r="C140" s="24" t="s">
        <v>161</v>
      </c>
      <c r="D140" s="4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5">
        <f t="shared" si="43"/>
        <v>0</v>
      </c>
    </row>
    <row r="141" spans="1:15" x14ac:dyDescent="0.4">
      <c r="A141" s="7"/>
      <c r="B141" s="46">
        <v>5</v>
      </c>
      <c r="C141" s="24" t="s">
        <v>162</v>
      </c>
      <c r="D141" s="4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5">
        <f t="shared" si="43"/>
        <v>0</v>
      </c>
    </row>
    <row r="142" spans="1:15" x14ac:dyDescent="0.4">
      <c r="A142" s="6" t="s">
        <v>25</v>
      </c>
      <c r="B142" s="52" t="s">
        <v>50</v>
      </c>
      <c r="C142" s="53"/>
      <c r="D142" s="54"/>
      <c r="E142" s="5">
        <f t="shared" ref="E142:O142" si="44">SUM(E136:E141)</f>
        <v>0</v>
      </c>
      <c r="F142" s="5">
        <f t="shared" si="44"/>
        <v>0</v>
      </c>
      <c r="G142" s="5">
        <f t="shared" si="44"/>
        <v>0</v>
      </c>
      <c r="H142" s="5">
        <f t="shared" si="44"/>
        <v>0</v>
      </c>
      <c r="I142" s="5">
        <f t="shared" si="44"/>
        <v>0</v>
      </c>
      <c r="J142" s="5">
        <f t="shared" si="44"/>
        <v>0</v>
      </c>
      <c r="K142" s="5">
        <f t="shared" si="44"/>
        <v>0</v>
      </c>
      <c r="L142" s="5">
        <f t="shared" si="44"/>
        <v>0</v>
      </c>
      <c r="M142" s="5">
        <f t="shared" si="44"/>
        <v>0</v>
      </c>
      <c r="N142" s="5">
        <f t="shared" si="44"/>
        <v>0</v>
      </c>
      <c r="O142" s="5">
        <f t="shared" si="44"/>
        <v>0</v>
      </c>
    </row>
    <row r="143" spans="1:15" x14ac:dyDescent="0.4">
      <c r="A143" s="55"/>
      <c r="B143" s="56"/>
      <c r="C143" s="56"/>
      <c r="D143" s="56"/>
      <c r="E143" s="57"/>
      <c r="F143" s="18"/>
      <c r="G143" s="18"/>
      <c r="H143" s="18"/>
      <c r="I143" s="18"/>
      <c r="J143" s="18"/>
      <c r="K143" s="18"/>
      <c r="L143" s="18"/>
      <c r="M143" s="18"/>
      <c r="N143" s="18"/>
      <c r="O143" s="18"/>
    </row>
    <row r="144" spans="1:15" x14ac:dyDescent="0.4">
      <c r="A144" s="11" t="s">
        <v>47</v>
      </c>
      <c r="B144" s="17" t="s">
        <v>72</v>
      </c>
      <c r="C144" s="50" t="s">
        <v>73</v>
      </c>
      <c r="D144" s="51"/>
      <c r="E144" s="6">
        <v>0</v>
      </c>
      <c r="F144" s="6">
        <v>1</v>
      </c>
      <c r="G144" s="6">
        <v>0</v>
      </c>
      <c r="H144" s="6">
        <v>0</v>
      </c>
      <c r="I144" s="6">
        <v>1</v>
      </c>
      <c r="J144" s="6">
        <v>1</v>
      </c>
      <c r="K144" s="6">
        <v>6</v>
      </c>
      <c r="L144" s="6">
        <v>0</v>
      </c>
      <c r="M144" s="6">
        <v>0</v>
      </c>
      <c r="N144" s="6">
        <v>1</v>
      </c>
      <c r="O144" s="5">
        <f t="shared" ref="O144:O150" si="45">SUM(E144:N144)</f>
        <v>10</v>
      </c>
    </row>
    <row r="145" spans="1:15" x14ac:dyDescent="0.4">
      <c r="A145" s="11" t="s">
        <v>49</v>
      </c>
      <c r="B145" s="46">
        <v>1</v>
      </c>
      <c r="C145" s="24" t="s">
        <v>163</v>
      </c>
      <c r="D145" s="47"/>
      <c r="E145" s="6">
        <v>0</v>
      </c>
      <c r="F145" s="6">
        <v>3</v>
      </c>
      <c r="G145" s="6">
        <v>2</v>
      </c>
      <c r="H145" s="6">
        <v>0</v>
      </c>
      <c r="I145" s="6">
        <v>0</v>
      </c>
      <c r="J145" s="6">
        <v>1</v>
      </c>
      <c r="K145" s="6">
        <v>0</v>
      </c>
      <c r="L145" s="6">
        <v>1</v>
      </c>
      <c r="M145" s="6">
        <v>0</v>
      </c>
      <c r="N145" s="6">
        <v>0</v>
      </c>
      <c r="O145" s="5">
        <f t="shared" si="45"/>
        <v>7</v>
      </c>
    </row>
    <row r="146" spans="1:15" x14ac:dyDescent="0.4">
      <c r="A146" s="7"/>
      <c r="B146" s="46">
        <v>2</v>
      </c>
      <c r="C146" s="24" t="s">
        <v>164</v>
      </c>
      <c r="D146" s="47"/>
      <c r="E146" s="6">
        <v>7</v>
      </c>
      <c r="F146" s="6">
        <v>0</v>
      </c>
      <c r="G146" s="6">
        <v>4</v>
      </c>
      <c r="H146" s="6">
        <v>0</v>
      </c>
      <c r="I146" s="6">
        <v>3</v>
      </c>
      <c r="J146" s="6">
        <v>22</v>
      </c>
      <c r="K146" s="6">
        <v>42</v>
      </c>
      <c r="L146" s="6">
        <v>5</v>
      </c>
      <c r="M146" s="6">
        <v>4</v>
      </c>
      <c r="N146" s="6">
        <v>0</v>
      </c>
      <c r="O146" s="5">
        <f t="shared" si="45"/>
        <v>87</v>
      </c>
    </row>
    <row r="147" spans="1:15" x14ac:dyDescent="0.4">
      <c r="A147" s="7"/>
      <c r="B147" s="46">
        <v>3</v>
      </c>
      <c r="C147" s="24" t="s">
        <v>165</v>
      </c>
      <c r="D147" s="47"/>
      <c r="E147" s="6">
        <v>0</v>
      </c>
      <c r="F147" s="6">
        <v>0</v>
      </c>
      <c r="G147" s="6">
        <v>0</v>
      </c>
      <c r="H147" s="6">
        <v>0</v>
      </c>
      <c r="I147" s="6">
        <v>1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5">
        <f t="shared" si="45"/>
        <v>1</v>
      </c>
    </row>
    <row r="148" spans="1:15" x14ac:dyDescent="0.4">
      <c r="A148" s="7"/>
      <c r="B148" s="46">
        <v>4</v>
      </c>
      <c r="C148" s="24" t="s">
        <v>166</v>
      </c>
      <c r="D148" s="47"/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1</v>
      </c>
      <c r="L148" s="6">
        <v>0</v>
      </c>
      <c r="M148" s="6">
        <v>0</v>
      </c>
      <c r="N148" s="6">
        <v>1</v>
      </c>
      <c r="O148" s="5">
        <f t="shared" si="45"/>
        <v>2</v>
      </c>
    </row>
    <row r="149" spans="1:15" x14ac:dyDescent="0.4">
      <c r="A149" s="7"/>
      <c r="B149" s="46">
        <v>5</v>
      </c>
      <c r="C149" s="24" t="s">
        <v>167</v>
      </c>
      <c r="D149" s="47"/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5">
        <f t="shared" si="45"/>
        <v>0</v>
      </c>
    </row>
    <row r="150" spans="1:15" ht="13.15" customHeight="1" x14ac:dyDescent="0.4">
      <c r="A150" s="7"/>
      <c r="B150" s="46">
        <v>6</v>
      </c>
      <c r="C150" s="24" t="s">
        <v>168</v>
      </c>
      <c r="D150" s="47"/>
      <c r="E150" s="6">
        <v>3</v>
      </c>
      <c r="F150" s="6">
        <v>2</v>
      </c>
      <c r="G150" s="6">
        <v>6</v>
      </c>
      <c r="H150" s="6">
        <v>0</v>
      </c>
      <c r="I150" s="6">
        <v>0</v>
      </c>
      <c r="J150" s="6">
        <v>1</v>
      </c>
      <c r="K150" s="6">
        <v>4</v>
      </c>
      <c r="L150" s="6">
        <v>0</v>
      </c>
      <c r="M150" s="6">
        <v>1</v>
      </c>
      <c r="N150" s="6">
        <v>0</v>
      </c>
      <c r="O150" s="5">
        <f t="shared" si="45"/>
        <v>17</v>
      </c>
    </row>
    <row r="151" spans="1:15" x14ac:dyDescent="0.4">
      <c r="A151" s="6" t="s">
        <v>25</v>
      </c>
      <c r="B151" s="52" t="s">
        <v>50</v>
      </c>
      <c r="C151" s="53"/>
      <c r="D151" s="54"/>
      <c r="E151" s="5">
        <f t="shared" ref="E151:O151" si="46">SUM(E144:E150)</f>
        <v>10</v>
      </c>
      <c r="F151" s="5">
        <f t="shared" si="46"/>
        <v>6</v>
      </c>
      <c r="G151" s="5">
        <f t="shared" si="46"/>
        <v>12</v>
      </c>
      <c r="H151" s="5">
        <f t="shared" si="46"/>
        <v>0</v>
      </c>
      <c r="I151" s="5">
        <f t="shared" si="46"/>
        <v>5</v>
      </c>
      <c r="J151" s="5">
        <f t="shared" si="46"/>
        <v>25</v>
      </c>
      <c r="K151" s="5">
        <f t="shared" si="46"/>
        <v>53</v>
      </c>
      <c r="L151" s="5">
        <f t="shared" si="46"/>
        <v>6</v>
      </c>
      <c r="M151" s="5">
        <f t="shared" si="46"/>
        <v>5</v>
      </c>
      <c r="N151" s="5">
        <f t="shared" si="46"/>
        <v>2</v>
      </c>
      <c r="O151" s="5">
        <f t="shared" si="46"/>
        <v>124</v>
      </c>
    </row>
    <row r="152" spans="1:15" x14ac:dyDescent="0.4">
      <c r="A152" s="55"/>
      <c r="B152" s="56"/>
      <c r="C152" s="56"/>
      <c r="D152" s="56"/>
      <c r="E152" s="57"/>
      <c r="F152" s="18"/>
      <c r="G152" s="18"/>
      <c r="H152" s="18"/>
      <c r="I152" s="18"/>
      <c r="J152" s="18"/>
      <c r="K152" s="18"/>
      <c r="L152" s="18"/>
      <c r="M152" s="18"/>
      <c r="N152" s="18"/>
      <c r="O152" s="18"/>
    </row>
    <row r="153" spans="1:15" x14ac:dyDescent="0.4">
      <c r="A153" s="11" t="s">
        <v>47</v>
      </c>
      <c r="B153" s="17" t="s">
        <v>74</v>
      </c>
      <c r="C153" s="50" t="s">
        <v>75</v>
      </c>
      <c r="D153" s="51"/>
      <c r="E153" s="6">
        <v>1</v>
      </c>
      <c r="F153" s="6">
        <v>0</v>
      </c>
      <c r="G153" s="6">
        <v>1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3</v>
      </c>
      <c r="O153" s="5">
        <f t="shared" ref="O153:O155" si="47">SUM(E153:N153)</f>
        <v>5</v>
      </c>
    </row>
    <row r="154" spans="1:15" x14ac:dyDescent="0.4">
      <c r="A154" s="11" t="s">
        <v>49</v>
      </c>
      <c r="B154" s="46">
        <v>1</v>
      </c>
      <c r="C154" s="24" t="s">
        <v>169</v>
      </c>
      <c r="D154" s="47"/>
      <c r="E154" s="6">
        <v>1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5">
        <f t="shared" si="47"/>
        <v>1</v>
      </c>
    </row>
    <row r="155" spans="1:15" x14ac:dyDescent="0.4">
      <c r="A155" s="7"/>
      <c r="B155" s="46">
        <v>2</v>
      </c>
      <c r="C155" s="24" t="s">
        <v>170</v>
      </c>
      <c r="D155" s="47"/>
      <c r="E155" s="6">
        <v>4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5">
        <f t="shared" si="47"/>
        <v>4</v>
      </c>
    </row>
    <row r="156" spans="1:15" x14ac:dyDescent="0.4">
      <c r="A156" s="6" t="s">
        <v>25</v>
      </c>
      <c r="B156" s="52" t="s">
        <v>50</v>
      </c>
      <c r="C156" s="53"/>
      <c r="D156" s="54"/>
      <c r="E156" s="5">
        <f t="shared" ref="E156:O156" si="48">SUM(E153:E155)</f>
        <v>6</v>
      </c>
      <c r="F156" s="5">
        <f t="shared" si="48"/>
        <v>0</v>
      </c>
      <c r="G156" s="5">
        <f t="shared" si="48"/>
        <v>1</v>
      </c>
      <c r="H156" s="5">
        <f t="shared" si="48"/>
        <v>0</v>
      </c>
      <c r="I156" s="5">
        <f t="shared" si="48"/>
        <v>0</v>
      </c>
      <c r="J156" s="5">
        <f t="shared" si="48"/>
        <v>0</v>
      </c>
      <c r="K156" s="5">
        <f t="shared" si="48"/>
        <v>0</v>
      </c>
      <c r="L156" s="5">
        <f t="shared" si="48"/>
        <v>0</v>
      </c>
      <c r="M156" s="5">
        <f t="shared" si="48"/>
        <v>0</v>
      </c>
      <c r="N156" s="5">
        <f t="shared" si="48"/>
        <v>3</v>
      </c>
      <c r="O156" s="5">
        <f t="shared" si="48"/>
        <v>10</v>
      </c>
    </row>
    <row r="157" spans="1:15" x14ac:dyDescent="0.4">
      <c r="A157" s="55"/>
      <c r="B157" s="56"/>
      <c r="C157" s="56"/>
      <c r="D157" s="56"/>
      <c r="E157" s="57"/>
      <c r="F157" s="18"/>
      <c r="G157" s="18"/>
      <c r="H157" s="18"/>
      <c r="I157" s="18"/>
      <c r="J157" s="18"/>
      <c r="K157" s="18"/>
      <c r="L157" s="18"/>
      <c r="M157" s="18"/>
      <c r="N157" s="18"/>
      <c r="O157" s="18"/>
    </row>
    <row r="158" spans="1:15" x14ac:dyDescent="0.4">
      <c r="A158" s="11" t="s">
        <v>47</v>
      </c>
      <c r="B158" s="17" t="s">
        <v>76</v>
      </c>
      <c r="C158" s="50" t="s">
        <v>77</v>
      </c>
      <c r="D158" s="51"/>
      <c r="E158" s="6">
        <v>0</v>
      </c>
      <c r="F158" s="6">
        <v>1</v>
      </c>
      <c r="G158" s="6">
        <v>0</v>
      </c>
      <c r="H158" s="6">
        <v>2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5">
        <f t="shared" ref="O158:O161" si="49">SUM(E158:N158)</f>
        <v>3</v>
      </c>
    </row>
    <row r="159" spans="1:15" x14ac:dyDescent="0.4">
      <c r="A159" s="11" t="s">
        <v>49</v>
      </c>
      <c r="B159" s="46">
        <v>1</v>
      </c>
      <c r="C159" s="24" t="s">
        <v>171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5">
        <f t="shared" si="49"/>
        <v>0</v>
      </c>
    </row>
    <row r="160" spans="1:15" x14ac:dyDescent="0.4">
      <c r="A160" s="7"/>
      <c r="B160" s="46">
        <v>2</v>
      </c>
      <c r="C160" s="24" t="s">
        <v>172</v>
      </c>
      <c r="D160" s="45"/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5">
        <f t="shared" si="49"/>
        <v>0</v>
      </c>
    </row>
    <row r="161" spans="1:15" x14ac:dyDescent="0.4">
      <c r="A161" s="7"/>
      <c r="B161" s="46">
        <v>3</v>
      </c>
      <c r="C161" s="24" t="s">
        <v>173</v>
      </c>
      <c r="D161" s="45"/>
      <c r="E161" s="6">
        <v>1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5">
        <f t="shared" si="49"/>
        <v>1</v>
      </c>
    </row>
    <row r="162" spans="1:15" x14ac:dyDescent="0.4">
      <c r="A162" s="6" t="s">
        <v>25</v>
      </c>
      <c r="B162" s="52" t="s">
        <v>50</v>
      </c>
      <c r="C162" s="53"/>
      <c r="D162" s="54"/>
      <c r="E162" s="5">
        <f t="shared" ref="E162:O162" si="50">SUM(E158:E161)</f>
        <v>1</v>
      </c>
      <c r="F162" s="5">
        <f t="shared" si="50"/>
        <v>1</v>
      </c>
      <c r="G162" s="5">
        <f t="shared" si="50"/>
        <v>0</v>
      </c>
      <c r="H162" s="5">
        <f t="shared" si="50"/>
        <v>2</v>
      </c>
      <c r="I162" s="5">
        <f t="shared" si="50"/>
        <v>0</v>
      </c>
      <c r="J162" s="5">
        <f t="shared" si="50"/>
        <v>0</v>
      </c>
      <c r="K162" s="5">
        <f t="shared" si="50"/>
        <v>0</v>
      </c>
      <c r="L162" s="5">
        <f t="shared" si="50"/>
        <v>0</v>
      </c>
      <c r="M162" s="5">
        <f t="shared" si="50"/>
        <v>0</v>
      </c>
      <c r="N162" s="5">
        <f t="shared" si="50"/>
        <v>0</v>
      </c>
      <c r="O162" s="5">
        <f t="shared" si="50"/>
        <v>4</v>
      </c>
    </row>
    <row r="163" spans="1:15" x14ac:dyDescent="0.4">
      <c r="A163" s="55"/>
      <c r="B163" s="56"/>
      <c r="C163" s="56"/>
      <c r="D163" s="56"/>
      <c r="E163" s="57"/>
      <c r="F163" s="18"/>
      <c r="G163" s="18"/>
      <c r="H163" s="18"/>
      <c r="I163" s="18"/>
      <c r="J163" s="18"/>
      <c r="K163" s="18"/>
      <c r="L163" s="18"/>
      <c r="M163" s="18"/>
      <c r="N163" s="18"/>
      <c r="O163" s="18"/>
    </row>
    <row r="164" spans="1:15" x14ac:dyDescent="0.4">
      <c r="A164" s="11" t="s">
        <v>47</v>
      </c>
      <c r="B164" s="17" t="s">
        <v>78</v>
      </c>
      <c r="C164" s="50" t="s">
        <v>79</v>
      </c>
      <c r="D164" s="51"/>
      <c r="E164" s="6">
        <v>1</v>
      </c>
      <c r="F164" s="6">
        <v>6</v>
      </c>
      <c r="G164" s="6">
        <v>3</v>
      </c>
      <c r="H164" s="6">
        <v>3</v>
      </c>
      <c r="I164" s="6">
        <v>1</v>
      </c>
      <c r="J164" s="6">
        <v>1</v>
      </c>
      <c r="K164" s="6">
        <v>0</v>
      </c>
      <c r="L164" s="6">
        <v>0</v>
      </c>
      <c r="M164" s="6">
        <v>1</v>
      </c>
      <c r="N164" s="6">
        <v>0</v>
      </c>
      <c r="O164" s="5">
        <f t="shared" ref="O164:O170" si="51">SUM(E164:N164)</f>
        <v>16</v>
      </c>
    </row>
    <row r="165" spans="1:15" x14ac:dyDescent="0.4">
      <c r="A165" s="11" t="s">
        <v>49</v>
      </c>
      <c r="B165" s="46">
        <v>1</v>
      </c>
      <c r="C165" s="24" t="s">
        <v>174</v>
      </c>
      <c r="D165" s="47"/>
      <c r="E165" s="6">
        <v>0</v>
      </c>
      <c r="F165" s="6">
        <v>9</v>
      </c>
      <c r="G165" s="6">
        <v>3</v>
      </c>
      <c r="H165" s="6">
        <v>1</v>
      </c>
      <c r="I165" s="6">
        <v>0</v>
      </c>
      <c r="J165" s="6">
        <v>0</v>
      </c>
      <c r="K165" s="6">
        <v>0</v>
      </c>
      <c r="L165" s="6">
        <v>0</v>
      </c>
      <c r="M165" s="6">
        <v>2</v>
      </c>
      <c r="N165" s="6">
        <v>0</v>
      </c>
      <c r="O165" s="5">
        <f t="shared" si="51"/>
        <v>15</v>
      </c>
    </row>
    <row r="166" spans="1:15" x14ac:dyDescent="0.4">
      <c r="A166" s="7"/>
      <c r="B166" s="46">
        <v>2</v>
      </c>
      <c r="C166" s="24" t="s">
        <v>175</v>
      </c>
      <c r="D166" s="47"/>
      <c r="E166" s="6">
        <v>15</v>
      </c>
      <c r="F166" s="6">
        <v>75</v>
      </c>
      <c r="G166" s="6">
        <v>24</v>
      </c>
      <c r="H166" s="6">
        <v>9</v>
      </c>
      <c r="I166" s="6">
        <v>0</v>
      </c>
      <c r="J166" s="6">
        <v>20</v>
      </c>
      <c r="K166" s="6">
        <v>0</v>
      </c>
      <c r="L166" s="6">
        <v>0</v>
      </c>
      <c r="M166" s="6">
        <v>10</v>
      </c>
      <c r="N166" s="6">
        <v>1</v>
      </c>
      <c r="O166" s="5">
        <f t="shared" si="51"/>
        <v>154</v>
      </c>
    </row>
    <row r="167" spans="1:15" ht="13.15" customHeight="1" x14ac:dyDescent="0.4">
      <c r="A167" s="7"/>
      <c r="B167" s="46">
        <v>3</v>
      </c>
      <c r="C167" s="24" t="s">
        <v>176</v>
      </c>
      <c r="D167" s="47"/>
      <c r="E167" s="6">
        <v>0</v>
      </c>
      <c r="F167" s="6">
        <v>0</v>
      </c>
      <c r="G167" s="6">
        <v>1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5">
        <f t="shared" si="51"/>
        <v>1</v>
      </c>
    </row>
    <row r="168" spans="1:15" x14ac:dyDescent="0.4">
      <c r="A168" s="7"/>
      <c r="B168" s="46">
        <v>4</v>
      </c>
      <c r="C168" s="24" t="s">
        <v>177</v>
      </c>
      <c r="D168" s="47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5">
        <f t="shared" si="51"/>
        <v>0</v>
      </c>
    </row>
    <row r="169" spans="1:15" ht="12.75" customHeight="1" x14ac:dyDescent="0.4">
      <c r="A169" s="7"/>
      <c r="B169" s="46">
        <v>5</v>
      </c>
      <c r="C169" s="24" t="s">
        <v>178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2</v>
      </c>
      <c r="O169" s="5">
        <f t="shared" si="51"/>
        <v>2</v>
      </c>
    </row>
    <row r="170" spans="1:15" x14ac:dyDescent="0.4">
      <c r="A170" s="7"/>
      <c r="B170" s="46">
        <v>6</v>
      </c>
      <c r="C170" s="24" t="s">
        <v>179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1</v>
      </c>
      <c r="K170" s="6">
        <v>0</v>
      </c>
      <c r="L170" s="6">
        <v>1</v>
      </c>
      <c r="M170" s="6">
        <v>0</v>
      </c>
      <c r="N170" s="6">
        <v>0</v>
      </c>
      <c r="O170" s="5">
        <f t="shared" si="51"/>
        <v>2</v>
      </c>
    </row>
    <row r="171" spans="1:15" ht="12.75" customHeight="1" x14ac:dyDescent="0.4">
      <c r="A171" s="6" t="s">
        <v>25</v>
      </c>
      <c r="B171" s="52" t="s">
        <v>50</v>
      </c>
      <c r="C171" s="53"/>
      <c r="D171" s="54"/>
      <c r="E171" s="5">
        <f t="shared" ref="E171:O171" si="52">SUM(E164:E170)</f>
        <v>16</v>
      </c>
      <c r="F171" s="5">
        <f t="shared" si="52"/>
        <v>90</v>
      </c>
      <c r="G171" s="5">
        <f t="shared" si="52"/>
        <v>31</v>
      </c>
      <c r="H171" s="5">
        <f t="shared" si="52"/>
        <v>13</v>
      </c>
      <c r="I171" s="5">
        <f t="shared" si="52"/>
        <v>1</v>
      </c>
      <c r="J171" s="5">
        <f t="shared" si="52"/>
        <v>22</v>
      </c>
      <c r="K171" s="5">
        <f t="shared" si="52"/>
        <v>0</v>
      </c>
      <c r="L171" s="5">
        <f t="shared" si="52"/>
        <v>1</v>
      </c>
      <c r="M171" s="5">
        <f t="shared" si="52"/>
        <v>13</v>
      </c>
      <c r="N171" s="5">
        <f t="shared" si="52"/>
        <v>3</v>
      </c>
      <c r="O171" s="5">
        <f t="shared" si="52"/>
        <v>190</v>
      </c>
    </row>
    <row r="172" spans="1:15" x14ac:dyDescent="0.4">
      <c r="A172" s="55"/>
      <c r="B172" s="56"/>
      <c r="C172" s="56"/>
      <c r="D172" s="56"/>
      <c r="E172" s="57"/>
    </row>
    <row r="173" spans="1:15" x14ac:dyDescent="0.4">
      <c r="A173" s="11" t="s">
        <v>47</v>
      </c>
      <c r="B173" s="17" t="s">
        <v>80</v>
      </c>
      <c r="C173" s="50" t="s">
        <v>81</v>
      </c>
      <c r="D173" s="51"/>
      <c r="E173" s="6">
        <v>0</v>
      </c>
      <c r="F173" s="6">
        <v>1</v>
      </c>
      <c r="G173" s="6">
        <v>1</v>
      </c>
      <c r="H173" s="6">
        <v>0</v>
      </c>
      <c r="I173" s="6">
        <v>2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5">
        <f t="shared" ref="O173:O175" si="53">SUM(E173:N173)</f>
        <v>4</v>
      </c>
    </row>
    <row r="174" spans="1:15" x14ac:dyDescent="0.4">
      <c r="A174" s="11" t="s">
        <v>49</v>
      </c>
      <c r="B174" s="46">
        <v>1</v>
      </c>
      <c r="C174" s="24" t="s">
        <v>180</v>
      </c>
      <c r="D174" s="45"/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5">
        <f t="shared" si="53"/>
        <v>0</v>
      </c>
    </row>
    <row r="175" spans="1:15" x14ac:dyDescent="0.4">
      <c r="A175" s="7"/>
      <c r="B175" s="46">
        <v>2</v>
      </c>
      <c r="C175" s="24" t="s">
        <v>181</v>
      </c>
      <c r="D175" s="47"/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1</v>
      </c>
      <c r="L175" s="6">
        <v>0</v>
      </c>
      <c r="M175" s="6">
        <v>0</v>
      </c>
      <c r="N175" s="6">
        <v>0</v>
      </c>
      <c r="O175" s="5">
        <f t="shared" si="53"/>
        <v>1</v>
      </c>
    </row>
    <row r="176" spans="1:15" x14ac:dyDescent="0.4">
      <c r="A176" s="6" t="s">
        <v>25</v>
      </c>
      <c r="B176" s="52" t="s">
        <v>50</v>
      </c>
      <c r="C176" s="53"/>
      <c r="D176" s="54"/>
      <c r="E176" s="5">
        <f t="shared" ref="E176:O176" si="54">SUM(E173:E175)</f>
        <v>0</v>
      </c>
      <c r="F176" s="5">
        <f t="shared" si="54"/>
        <v>1</v>
      </c>
      <c r="G176" s="5">
        <f t="shared" si="54"/>
        <v>1</v>
      </c>
      <c r="H176" s="5">
        <f t="shared" si="54"/>
        <v>0</v>
      </c>
      <c r="I176" s="5">
        <f t="shared" si="54"/>
        <v>2</v>
      </c>
      <c r="J176" s="5">
        <f t="shared" si="54"/>
        <v>0</v>
      </c>
      <c r="K176" s="5">
        <f t="shared" si="54"/>
        <v>1</v>
      </c>
      <c r="L176" s="5">
        <f t="shared" si="54"/>
        <v>0</v>
      </c>
      <c r="M176" s="5">
        <f t="shared" si="54"/>
        <v>0</v>
      </c>
      <c r="N176" s="5">
        <f t="shared" si="54"/>
        <v>0</v>
      </c>
      <c r="O176" s="5">
        <f t="shared" si="54"/>
        <v>5</v>
      </c>
    </row>
    <row r="178" spans="1:15" x14ac:dyDescent="0.4">
      <c r="A178" s="16" t="s">
        <v>82</v>
      </c>
      <c r="B178" s="60" t="s">
        <v>83</v>
      </c>
      <c r="C178" s="61"/>
      <c r="D178" s="6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x14ac:dyDescent="0.4">
      <c r="A179" s="16"/>
      <c r="B179" s="19" t="s">
        <v>84</v>
      </c>
      <c r="C179" s="58" t="s">
        <v>85</v>
      </c>
      <c r="D179" s="59"/>
      <c r="E179" s="6">
        <f t="shared" ref="E179:N179" si="55">E52+E61+E70+E79+E88+E91+E98+E107+E113+E122+E125+E134+E142+E151+E156+E162+E171+E176</f>
        <v>229</v>
      </c>
      <c r="F179" s="6">
        <f t="shared" si="55"/>
        <v>243</v>
      </c>
      <c r="G179" s="6">
        <f t="shared" si="55"/>
        <v>250</v>
      </c>
      <c r="H179" s="6">
        <f t="shared" si="55"/>
        <v>234</v>
      </c>
      <c r="I179" s="6">
        <f t="shared" si="55"/>
        <v>221</v>
      </c>
      <c r="J179" s="6">
        <f t="shared" si="55"/>
        <v>201</v>
      </c>
      <c r="K179" s="6">
        <f t="shared" si="55"/>
        <v>202</v>
      </c>
      <c r="L179" s="6">
        <f t="shared" si="55"/>
        <v>217</v>
      </c>
      <c r="M179" s="6">
        <f t="shared" si="55"/>
        <v>199</v>
      </c>
      <c r="N179" s="6">
        <f t="shared" si="55"/>
        <v>157</v>
      </c>
      <c r="O179" s="5">
        <f>SUM(E179:N179)</f>
        <v>2153</v>
      </c>
    </row>
    <row r="180" spans="1:15" x14ac:dyDescent="0.4">
      <c r="A180" s="13"/>
      <c r="B180" s="19" t="s">
        <v>86</v>
      </c>
      <c r="C180" s="58" t="s">
        <v>87</v>
      </c>
      <c r="D180" s="59"/>
      <c r="E180" s="6">
        <v>19</v>
      </c>
      <c r="F180" s="6">
        <v>9</v>
      </c>
      <c r="G180" s="6">
        <v>18</v>
      </c>
      <c r="H180" s="6">
        <v>18</v>
      </c>
      <c r="I180" s="6">
        <v>18</v>
      </c>
      <c r="J180" s="6">
        <v>42</v>
      </c>
      <c r="K180" s="6">
        <v>19</v>
      </c>
      <c r="L180" s="6">
        <v>17</v>
      </c>
      <c r="M180" s="6">
        <v>13</v>
      </c>
      <c r="N180" s="6">
        <v>5</v>
      </c>
      <c r="O180" s="5">
        <f>SUM(E180:N180)</f>
        <v>178</v>
      </c>
    </row>
    <row r="181" spans="1:15" x14ac:dyDescent="0.4">
      <c r="A181" s="14"/>
      <c r="B181" s="19" t="s">
        <v>88</v>
      </c>
      <c r="C181" s="58" t="s">
        <v>89</v>
      </c>
      <c r="D181" s="59"/>
      <c r="E181" s="5">
        <f>SUM(E179:E180)</f>
        <v>248</v>
      </c>
      <c r="F181" s="5">
        <f t="shared" ref="F181:N181" si="56">SUM(F179:F180)</f>
        <v>252</v>
      </c>
      <c r="G181" s="5">
        <f t="shared" si="56"/>
        <v>268</v>
      </c>
      <c r="H181" s="5">
        <f t="shared" si="56"/>
        <v>252</v>
      </c>
      <c r="I181" s="5">
        <f t="shared" si="56"/>
        <v>239</v>
      </c>
      <c r="J181" s="5">
        <f t="shared" si="56"/>
        <v>243</v>
      </c>
      <c r="K181" s="5">
        <f t="shared" si="56"/>
        <v>221</v>
      </c>
      <c r="L181" s="5">
        <f t="shared" ref="L181" si="57">SUM(L179:L180)</f>
        <v>234</v>
      </c>
      <c r="M181" s="5">
        <f t="shared" si="56"/>
        <v>212</v>
      </c>
      <c r="N181" s="5">
        <f t="shared" si="56"/>
        <v>162</v>
      </c>
      <c r="O181" s="5">
        <f>SUM(E181:N181)</f>
        <v>2331</v>
      </c>
    </row>
  </sheetData>
  <mergeCells count="86">
    <mergeCell ref="C181:D181"/>
    <mergeCell ref="A172:E172"/>
    <mergeCell ref="C173:D173"/>
    <mergeCell ref="B176:D176"/>
    <mergeCell ref="B178:D178"/>
    <mergeCell ref="C179:D179"/>
    <mergeCell ref="C180:D180"/>
    <mergeCell ref="B171:D171"/>
    <mergeCell ref="A143:E143"/>
    <mergeCell ref="C144:D144"/>
    <mergeCell ref="B151:D151"/>
    <mergeCell ref="A152:E152"/>
    <mergeCell ref="C153:D153"/>
    <mergeCell ref="B156:D156"/>
    <mergeCell ref="A157:E157"/>
    <mergeCell ref="C158:D158"/>
    <mergeCell ref="B162:D162"/>
    <mergeCell ref="A163:E163"/>
    <mergeCell ref="C164:D164"/>
    <mergeCell ref="B142:D142"/>
    <mergeCell ref="A114:E114"/>
    <mergeCell ref="C115:D115"/>
    <mergeCell ref="B122:D122"/>
    <mergeCell ref="A123:E123"/>
    <mergeCell ref="C124:D124"/>
    <mergeCell ref="B125:D125"/>
    <mergeCell ref="A126:E126"/>
    <mergeCell ref="C127:D127"/>
    <mergeCell ref="B134:D134"/>
    <mergeCell ref="A135:E135"/>
    <mergeCell ref="C136:D136"/>
    <mergeCell ref="B113:D113"/>
    <mergeCell ref="A89:E89"/>
    <mergeCell ref="C90:D90"/>
    <mergeCell ref="B91:D91"/>
    <mergeCell ref="A92:E92"/>
    <mergeCell ref="C93:D93"/>
    <mergeCell ref="B98:D98"/>
    <mergeCell ref="A99:E99"/>
    <mergeCell ref="C100:D100"/>
    <mergeCell ref="B107:D107"/>
    <mergeCell ref="A108:E108"/>
    <mergeCell ref="C109:D109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E37:I37"/>
    <mergeCell ref="B38:D38"/>
    <mergeCell ref="B39:C41"/>
    <mergeCell ref="A42:D42"/>
    <mergeCell ref="E42:I42"/>
    <mergeCell ref="A31:D31"/>
    <mergeCell ref="B32:D32"/>
    <mergeCell ref="B33:D33"/>
    <mergeCell ref="B52:D52"/>
    <mergeCell ref="B35:D35"/>
    <mergeCell ref="B36:D36"/>
    <mergeCell ref="A37:D37"/>
    <mergeCell ref="B43:D43"/>
    <mergeCell ref="A44:D44"/>
    <mergeCell ref="C45:D45"/>
    <mergeCell ref="B34:D34"/>
    <mergeCell ref="A17:D17"/>
    <mergeCell ref="B12:D12"/>
    <mergeCell ref="E12:N12"/>
    <mergeCell ref="O12:O13"/>
    <mergeCell ref="B13:D13"/>
    <mergeCell ref="B14:C16"/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</mergeCells>
  <phoneticPr fontId="8" type="noConversion"/>
  <conditionalFormatting sqref="E14:N15">
    <cfRule type="containsBlanks" dxfId="83" priority="20">
      <formula>LEN(TRIM(E14))=0</formula>
    </cfRule>
  </conditionalFormatting>
  <conditionalFormatting sqref="E19:N20">
    <cfRule type="containsBlanks" dxfId="82" priority="23">
      <formula>LEN(TRIM(E19))=0</formula>
    </cfRule>
  </conditionalFormatting>
  <conditionalFormatting sqref="E22:N23 E25:N26 E33:N33 E35:N35 E39:N40">
    <cfRule type="containsBlanks" dxfId="81" priority="24">
      <formula>LEN(TRIM(E22))=0</formula>
    </cfRule>
  </conditionalFormatting>
  <conditionalFormatting sqref="E30:N30">
    <cfRule type="expression" dxfId="80" priority="25">
      <formula>E30&lt;&gt;E47</formula>
    </cfRule>
    <cfRule type="expression" dxfId="79" priority="26">
      <formula>E30&lt;&gt;E34</formula>
    </cfRule>
  </conditionalFormatting>
  <conditionalFormatting sqref="E34:N34">
    <cfRule type="expression" dxfId="78" priority="79">
      <formula>E30&lt;&gt;E34</formula>
    </cfRule>
    <cfRule type="expression" dxfId="77" priority="80">
      <formula>E30=E34</formula>
    </cfRule>
    <cfRule type="expression" dxfId="76" priority="81">
      <formula>E34&lt;&gt;E30</formula>
    </cfRule>
    <cfRule type="expression" dxfId="75" priority="82">
      <formula>E34&lt;&gt;#REF!</formula>
    </cfRule>
  </conditionalFormatting>
  <conditionalFormatting sqref="E45:N51">
    <cfRule type="containsBlanks" dxfId="74" priority="19">
      <formula>LEN(TRIM(E45))=0</formula>
    </cfRule>
  </conditionalFormatting>
  <conditionalFormatting sqref="E54:N60">
    <cfRule type="containsBlanks" dxfId="73" priority="18">
      <formula>LEN(TRIM(E54))=0</formula>
    </cfRule>
  </conditionalFormatting>
  <conditionalFormatting sqref="E63:N69">
    <cfRule type="containsBlanks" dxfId="72" priority="17">
      <formula>LEN(TRIM(E63))=0</formula>
    </cfRule>
  </conditionalFormatting>
  <conditionalFormatting sqref="E72:N78">
    <cfRule type="containsBlanks" dxfId="71" priority="16">
      <formula>LEN(TRIM(E72))=0</formula>
    </cfRule>
  </conditionalFormatting>
  <conditionalFormatting sqref="E81:N87">
    <cfRule type="containsBlanks" dxfId="70" priority="15">
      <formula>LEN(TRIM(E81))=0</formula>
    </cfRule>
  </conditionalFormatting>
  <conditionalFormatting sqref="E90:N90">
    <cfRule type="containsBlanks" dxfId="69" priority="14">
      <formula>LEN(TRIM(E90))=0</formula>
    </cfRule>
  </conditionalFormatting>
  <conditionalFormatting sqref="E93:N97">
    <cfRule type="containsBlanks" dxfId="68" priority="1">
      <formula>LEN(TRIM(E93))=0</formula>
    </cfRule>
  </conditionalFormatting>
  <conditionalFormatting sqref="E100:N106">
    <cfRule type="containsBlanks" dxfId="67" priority="13">
      <formula>LEN(TRIM(E100))=0</formula>
    </cfRule>
  </conditionalFormatting>
  <conditionalFormatting sqref="E109:N112">
    <cfRule type="containsBlanks" dxfId="66" priority="12">
      <formula>LEN(TRIM(E109))=0</formula>
    </cfRule>
  </conditionalFormatting>
  <conditionalFormatting sqref="E115:N121">
    <cfRule type="containsBlanks" dxfId="65" priority="3">
      <formula>LEN(TRIM(E115))=0</formula>
    </cfRule>
  </conditionalFormatting>
  <conditionalFormatting sqref="E124:N124">
    <cfRule type="containsBlanks" dxfId="64" priority="11">
      <formula>LEN(TRIM(E124))=0</formula>
    </cfRule>
  </conditionalFormatting>
  <conditionalFormatting sqref="E127:N133">
    <cfRule type="containsBlanks" dxfId="63" priority="10">
      <formula>LEN(TRIM(E127))=0</formula>
    </cfRule>
  </conditionalFormatting>
  <conditionalFormatting sqref="E136:N141">
    <cfRule type="containsBlanks" dxfId="62" priority="9">
      <formula>LEN(TRIM(E136))=0</formula>
    </cfRule>
  </conditionalFormatting>
  <conditionalFormatting sqref="E144:N150">
    <cfRule type="containsBlanks" dxfId="61" priority="8">
      <formula>LEN(TRIM(E144))=0</formula>
    </cfRule>
  </conditionalFormatting>
  <conditionalFormatting sqref="E153:N155">
    <cfRule type="containsBlanks" dxfId="60" priority="7">
      <formula>LEN(TRIM(E153))=0</formula>
    </cfRule>
  </conditionalFormatting>
  <conditionalFormatting sqref="E158:N161">
    <cfRule type="containsBlanks" dxfId="59" priority="6">
      <formula>LEN(TRIM(E158))=0</formula>
    </cfRule>
  </conditionalFormatting>
  <conditionalFormatting sqref="E164:N170">
    <cfRule type="containsBlanks" dxfId="58" priority="5">
      <formula>LEN(TRIM(E164))=0</formula>
    </cfRule>
  </conditionalFormatting>
  <conditionalFormatting sqref="E173:N175">
    <cfRule type="containsBlanks" dxfId="57" priority="4">
      <formula>LEN(TRIM(E173))=0</formula>
    </cfRule>
  </conditionalFormatting>
  <conditionalFormatting sqref="E179:N180">
    <cfRule type="containsBlanks" dxfId="56" priority="2">
      <formula>LEN(TRIM(E179))=0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722-C187-41FF-B0C7-8E67ED7B078D}">
  <sheetPr>
    <tabColor rgb="FF92D050"/>
  </sheetPr>
  <dimension ref="A2:V181"/>
  <sheetViews>
    <sheetView topLeftCell="D13" zoomScaleNormal="100" workbookViewId="0">
      <pane ySplit="1" topLeftCell="A174" activePane="bottomLeft" state="frozen"/>
      <selection activeCell="A13" sqref="A13"/>
      <selection pane="bottomLeft" activeCell="V180" sqref="V180"/>
    </sheetView>
  </sheetViews>
  <sheetFormatPr defaultRowHeight="13.15" x14ac:dyDescent="0.4"/>
  <cols>
    <col min="3" max="3" width="67.140625" bestFit="1" customWidth="1"/>
    <col min="4" max="4" width="5.85546875" bestFit="1" customWidth="1"/>
    <col min="22" max="22" width="13.28515625" customWidth="1"/>
  </cols>
  <sheetData>
    <row r="2" spans="1:22" x14ac:dyDescent="0.4">
      <c r="C2" s="43" t="s">
        <v>91</v>
      </c>
      <c r="D2" s="43" t="s">
        <v>98</v>
      </c>
    </row>
    <row r="3" spans="1:22" x14ac:dyDescent="0.4">
      <c r="C3" s="43" t="s">
        <v>92</v>
      </c>
      <c r="D3" s="43" t="s">
        <v>93</v>
      </c>
    </row>
    <row r="4" spans="1:22" x14ac:dyDescent="0.4">
      <c r="C4" s="43" t="s">
        <v>94</v>
      </c>
      <c r="D4" s="43" t="s">
        <v>95</v>
      </c>
    </row>
    <row r="5" spans="1:22" x14ac:dyDescent="0.4">
      <c r="C5" s="43"/>
      <c r="D5" s="43"/>
    </row>
    <row r="6" spans="1:22" x14ac:dyDescent="0.4">
      <c r="C6" s="43"/>
      <c r="D6" s="43"/>
    </row>
    <row r="7" spans="1:22" x14ac:dyDescent="0.4">
      <c r="C7" s="43"/>
      <c r="D7" s="43"/>
    </row>
    <row r="8" spans="1:22" x14ac:dyDescent="0.4">
      <c r="C8" s="43"/>
      <c r="D8" s="43"/>
    </row>
    <row r="9" spans="1:22" x14ac:dyDescent="0.4">
      <c r="C9" s="43" t="s">
        <v>96</v>
      </c>
      <c r="D9" s="43" t="s">
        <v>101</v>
      </c>
    </row>
    <row r="11" spans="1:22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U11" s="1"/>
    </row>
    <row r="12" spans="1:22" x14ac:dyDescent="0.4">
      <c r="A12" s="5" t="s">
        <v>0</v>
      </c>
      <c r="B12" s="60" t="s">
        <v>1</v>
      </c>
      <c r="C12" s="68"/>
      <c r="D12" s="51"/>
      <c r="E12" s="85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7" t="s">
        <v>90</v>
      </c>
    </row>
    <row r="13" spans="1:22" x14ac:dyDescent="0.4">
      <c r="A13" s="6" t="s">
        <v>2</v>
      </c>
      <c r="B13" s="78" t="s">
        <v>3</v>
      </c>
      <c r="C13" s="68"/>
      <c r="D13" s="5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88"/>
    </row>
    <row r="14" spans="1:22" x14ac:dyDescent="0.4">
      <c r="A14" s="7"/>
      <c r="B14" s="89" t="s">
        <v>21</v>
      </c>
      <c r="C14" s="64"/>
      <c r="D14" s="6" t="s">
        <v>22</v>
      </c>
      <c r="E14" s="6">
        <v>137</v>
      </c>
      <c r="F14" s="6">
        <v>134</v>
      </c>
      <c r="G14" s="6">
        <v>136</v>
      </c>
      <c r="H14" s="6">
        <v>139</v>
      </c>
      <c r="I14" s="6">
        <v>135</v>
      </c>
      <c r="J14" s="6">
        <v>127</v>
      </c>
      <c r="K14" s="6">
        <v>116</v>
      </c>
      <c r="L14" s="6">
        <v>120</v>
      </c>
      <c r="M14" s="6">
        <v>127</v>
      </c>
      <c r="N14" s="6">
        <v>141</v>
      </c>
      <c r="O14" s="6">
        <v>123</v>
      </c>
      <c r="P14" s="6">
        <v>119</v>
      </c>
      <c r="Q14" s="6">
        <v>129</v>
      </c>
      <c r="R14" s="6">
        <v>137</v>
      </c>
      <c r="S14" s="6">
        <v>155</v>
      </c>
      <c r="T14" s="6">
        <v>140</v>
      </c>
      <c r="U14" s="6">
        <v>135</v>
      </c>
      <c r="V14" s="5">
        <f>SUM(E14:U14)</f>
        <v>2250</v>
      </c>
    </row>
    <row r="15" spans="1:22" x14ac:dyDescent="0.4">
      <c r="A15" s="7"/>
      <c r="B15" s="90"/>
      <c r="C15" s="77"/>
      <c r="D15" s="6" t="s">
        <v>23</v>
      </c>
      <c r="E15" s="6">
        <v>142</v>
      </c>
      <c r="F15" s="6">
        <v>134</v>
      </c>
      <c r="G15" s="6">
        <v>136</v>
      </c>
      <c r="H15" s="6">
        <v>141</v>
      </c>
      <c r="I15" s="6">
        <v>157</v>
      </c>
      <c r="J15" s="6">
        <v>150</v>
      </c>
      <c r="K15" s="6">
        <v>139</v>
      </c>
      <c r="L15" s="6">
        <v>139</v>
      </c>
      <c r="M15" s="6">
        <v>123</v>
      </c>
      <c r="N15" s="6">
        <v>133</v>
      </c>
      <c r="O15" s="6">
        <v>118</v>
      </c>
      <c r="P15" s="6">
        <v>121</v>
      </c>
      <c r="Q15" s="6">
        <v>152</v>
      </c>
      <c r="R15" s="6">
        <v>162</v>
      </c>
      <c r="S15" s="6">
        <v>140</v>
      </c>
      <c r="T15" s="6">
        <v>143</v>
      </c>
      <c r="U15" s="6">
        <v>147</v>
      </c>
      <c r="V15" s="5">
        <f>SUM(E15:U15)</f>
        <v>2377</v>
      </c>
    </row>
    <row r="16" spans="1:22" x14ac:dyDescent="0.4">
      <c r="A16" s="8"/>
      <c r="B16" s="91"/>
      <c r="C16" s="75"/>
      <c r="D16" s="5" t="s">
        <v>24</v>
      </c>
      <c r="E16" s="5">
        <f t="shared" ref="E16:U16" si="0">SUM(E14:E15)</f>
        <v>279</v>
      </c>
      <c r="F16" s="5">
        <f t="shared" si="0"/>
        <v>268</v>
      </c>
      <c r="G16" s="5">
        <f t="shared" si="0"/>
        <v>272</v>
      </c>
      <c r="H16" s="5">
        <f t="shared" si="0"/>
        <v>280</v>
      </c>
      <c r="I16" s="5">
        <f t="shared" si="0"/>
        <v>292</v>
      </c>
      <c r="J16" s="5">
        <f t="shared" si="0"/>
        <v>277</v>
      </c>
      <c r="K16" s="5">
        <f t="shared" si="0"/>
        <v>255</v>
      </c>
      <c r="L16" s="5">
        <f t="shared" ref="L16:T16" si="1">SUM(L14:L15)</f>
        <v>259</v>
      </c>
      <c r="M16" s="5">
        <f t="shared" si="1"/>
        <v>250</v>
      </c>
      <c r="N16" s="5">
        <f t="shared" si="1"/>
        <v>274</v>
      </c>
      <c r="O16" s="5">
        <f t="shared" ref="O16:Q16" si="2">SUM(O14:O15)</f>
        <v>241</v>
      </c>
      <c r="P16" s="5">
        <f t="shared" si="2"/>
        <v>240</v>
      </c>
      <c r="Q16" s="5">
        <f t="shared" si="2"/>
        <v>281</v>
      </c>
      <c r="R16" s="5">
        <f t="shared" si="1"/>
        <v>299</v>
      </c>
      <c r="S16" s="5">
        <f t="shared" si="1"/>
        <v>295</v>
      </c>
      <c r="T16" s="5">
        <f t="shared" si="1"/>
        <v>283</v>
      </c>
      <c r="U16" s="5">
        <f t="shared" si="0"/>
        <v>282</v>
      </c>
      <c r="V16" s="5">
        <f>SUM(E16:U16)</f>
        <v>4627</v>
      </c>
    </row>
    <row r="17" spans="1:22" x14ac:dyDescent="0.4">
      <c r="A17" s="55"/>
      <c r="B17" s="68"/>
      <c r="C17" s="68"/>
      <c r="D17" s="51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6"/>
      <c r="V17" s="28"/>
    </row>
    <row r="18" spans="1:22" x14ac:dyDescent="0.4">
      <c r="A18" s="11" t="s">
        <v>25</v>
      </c>
      <c r="B18" s="78" t="s">
        <v>26</v>
      </c>
      <c r="C18" s="68"/>
      <c r="D18" s="51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6"/>
      <c r="V18" s="28"/>
    </row>
    <row r="19" spans="1:22" x14ac:dyDescent="0.4">
      <c r="A19" s="11"/>
      <c r="B19" s="79" t="s">
        <v>27</v>
      </c>
      <c r="C19" s="80" t="s">
        <v>28</v>
      </c>
      <c r="D19" s="6" t="s">
        <v>22</v>
      </c>
      <c r="E19" s="6">
        <v>95</v>
      </c>
      <c r="F19" s="6">
        <v>96</v>
      </c>
      <c r="G19" s="6">
        <v>107</v>
      </c>
      <c r="H19" s="6">
        <v>105</v>
      </c>
      <c r="I19" s="6">
        <v>93</v>
      </c>
      <c r="J19" s="6">
        <v>96</v>
      </c>
      <c r="K19" s="6">
        <v>83</v>
      </c>
      <c r="L19" s="6">
        <v>93</v>
      </c>
      <c r="M19" s="6">
        <v>98</v>
      </c>
      <c r="N19" s="6">
        <v>117</v>
      </c>
      <c r="O19" s="6">
        <v>89</v>
      </c>
      <c r="P19" s="6">
        <v>96</v>
      </c>
      <c r="Q19" s="6">
        <v>106</v>
      </c>
      <c r="R19" s="6">
        <v>97</v>
      </c>
      <c r="S19" s="6">
        <v>123</v>
      </c>
      <c r="T19" s="6">
        <v>100</v>
      </c>
      <c r="U19" s="6">
        <v>97</v>
      </c>
      <c r="V19" s="5">
        <f t="shared" ref="V19:V30" si="3">SUM(E19:U19)</f>
        <v>1691</v>
      </c>
    </row>
    <row r="20" spans="1:22" x14ac:dyDescent="0.4">
      <c r="A20" s="12"/>
      <c r="B20" s="77"/>
      <c r="C20" s="81"/>
      <c r="D20" s="6" t="s">
        <v>23</v>
      </c>
      <c r="E20" s="6">
        <v>112</v>
      </c>
      <c r="F20" s="6">
        <v>102</v>
      </c>
      <c r="G20" s="6">
        <v>109</v>
      </c>
      <c r="H20" s="6">
        <v>115</v>
      </c>
      <c r="I20" s="6">
        <v>121</v>
      </c>
      <c r="J20" s="6">
        <v>124</v>
      </c>
      <c r="K20" s="6">
        <v>109</v>
      </c>
      <c r="L20" s="6">
        <v>112</v>
      </c>
      <c r="M20" s="6">
        <v>104</v>
      </c>
      <c r="N20" s="6">
        <v>120</v>
      </c>
      <c r="O20" s="6">
        <v>91</v>
      </c>
      <c r="P20" s="6">
        <v>112</v>
      </c>
      <c r="Q20" s="6">
        <v>128</v>
      </c>
      <c r="R20" s="6">
        <v>127</v>
      </c>
      <c r="S20" s="6">
        <v>114</v>
      </c>
      <c r="T20" s="6">
        <v>117</v>
      </c>
      <c r="U20" s="6">
        <v>120</v>
      </c>
      <c r="V20" s="5">
        <f t="shared" si="3"/>
        <v>1937</v>
      </c>
    </row>
    <row r="21" spans="1:22" x14ac:dyDescent="0.4">
      <c r="A21" s="13"/>
      <c r="B21" s="75"/>
      <c r="C21" s="82"/>
      <c r="D21" s="5" t="s">
        <v>24</v>
      </c>
      <c r="E21" s="5">
        <f t="shared" ref="E21:U21" si="4">SUM(E19:E20)</f>
        <v>207</v>
      </c>
      <c r="F21" s="5">
        <f t="shared" si="4"/>
        <v>198</v>
      </c>
      <c r="G21" s="5">
        <f t="shared" si="4"/>
        <v>216</v>
      </c>
      <c r="H21" s="5">
        <f t="shared" si="4"/>
        <v>220</v>
      </c>
      <c r="I21" s="5">
        <f t="shared" si="4"/>
        <v>214</v>
      </c>
      <c r="J21" s="5">
        <f t="shared" si="4"/>
        <v>220</v>
      </c>
      <c r="K21" s="5">
        <f t="shared" si="4"/>
        <v>192</v>
      </c>
      <c r="L21" s="5">
        <f t="shared" ref="L21:T21" si="5">SUM(L19:L20)</f>
        <v>205</v>
      </c>
      <c r="M21" s="5">
        <f t="shared" si="5"/>
        <v>202</v>
      </c>
      <c r="N21" s="5">
        <f t="shared" si="5"/>
        <v>237</v>
      </c>
      <c r="O21" s="5">
        <f t="shared" ref="O21:Q21" si="6">SUM(O19:O20)</f>
        <v>180</v>
      </c>
      <c r="P21" s="5">
        <f t="shared" si="6"/>
        <v>208</v>
      </c>
      <c r="Q21" s="5">
        <f t="shared" si="6"/>
        <v>234</v>
      </c>
      <c r="R21" s="5">
        <f t="shared" si="5"/>
        <v>224</v>
      </c>
      <c r="S21" s="5">
        <f t="shared" si="5"/>
        <v>237</v>
      </c>
      <c r="T21" s="5">
        <f t="shared" si="5"/>
        <v>217</v>
      </c>
      <c r="U21" s="5">
        <f t="shared" si="4"/>
        <v>217</v>
      </c>
      <c r="V21" s="5">
        <f t="shared" si="3"/>
        <v>3628</v>
      </c>
    </row>
    <row r="22" spans="1:22" x14ac:dyDescent="0.4">
      <c r="A22" s="12"/>
      <c r="B22" s="79" t="s">
        <v>29</v>
      </c>
      <c r="C22" s="80" t="s">
        <v>30</v>
      </c>
      <c r="D22" s="6" t="s">
        <v>22</v>
      </c>
      <c r="E22" s="6"/>
      <c r="F22" s="6"/>
      <c r="G22" s="6"/>
      <c r="H22" s="6">
        <v>2</v>
      </c>
      <c r="I22" s="6">
        <v>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1</v>
      </c>
      <c r="U22" s="6"/>
      <c r="V22" s="5">
        <f t="shared" si="3"/>
        <v>4</v>
      </c>
    </row>
    <row r="23" spans="1:22" x14ac:dyDescent="0.4">
      <c r="A23" s="12"/>
      <c r="B23" s="77"/>
      <c r="C23" s="81"/>
      <c r="D23" s="6" t="s">
        <v>23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5">
        <f t="shared" si="3"/>
        <v>0</v>
      </c>
    </row>
    <row r="24" spans="1:22" x14ac:dyDescent="0.4">
      <c r="A24" s="13"/>
      <c r="B24" s="75"/>
      <c r="C24" s="82"/>
      <c r="D24" s="5" t="s">
        <v>24</v>
      </c>
      <c r="E24" s="5">
        <f t="shared" ref="E24:U24" si="7">SUM(E22:E23)</f>
        <v>0</v>
      </c>
      <c r="F24" s="5">
        <f t="shared" si="7"/>
        <v>0</v>
      </c>
      <c r="G24" s="5">
        <f t="shared" si="7"/>
        <v>0</v>
      </c>
      <c r="H24" s="5">
        <f t="shared" si="7"/>
        <v>2</v>
      </c>
      <c r="I24" s="5">
        <f t="shared" si="7"/>
        <v>1</v>
      </c>
      <c r="J24" s="5">
        <f t="shared" si="7"/>
        <v>0</v>
      </c>
      <c r="K24" s="5">
        <f t="shared" si="7"/>
        <v>0</v>
      </c>
      <c r="L24" s="5">
        <f t="shared" ref="L24:T24" si="8">SUM(L22:L23)</f>
        <v>0</v>
      </c>
      <c r="M24" s="5">
        <f t="shared" si="8"/>
        <v>0</v>
      </c>
      <c r="N24" s="5">
        <f t="shared" si="8"/>
        <v>0</v>
      </c>
      <c r="O24" s="5">
        <f t="shared" ref="O24:Q24" si="9">SUM(O22:O23)</f>
        <v>0</v>
      </c>
      <c r="P24" s="5">
        <f t="shared" si="9"/>
        <v>0</v>
      </c>
      <c r="Q24" s="5">
        <f t="shared" si="9"/>
        <v>0</v>
      </c>
      <c r="R24" s="5">
        <f t="shared" si="8"/>
        <v>0</v>
      </c>
      <c r="S24" s="5">
        <f t="shared" si="8"/>
        <v>0</v>
      </c>
      <c r="T24" s="5">
        <f t="shared" si="8"/>
        <v>1</v>
      </c>
      <c r="U24" s="5">
        <f t="shared" si="7"/>
        <v>0</v>
      </c>
      <c r="V24" s="5">
        <f t="shared" si="3"/>
        <v>4</v>
      </c>
    </row>
    <row r="25" spans="1:22" x14ac:dyDescent="0.4">
      <c r="A25" s="12"/>
      <c r="B25" s="79" t="s">
        <v>31</v>
      </c>
      <c r="C25" s="80" t="s">
        <v>32</v>
      </c>
      <c r="D25" s="6" t="s">
        <v>22</v>
      </c>
      <c r="E25" s="6"/>
      <c r="F25" s="6">
        <v>2</v>
      </c>
      <c r="G25" s="6"/>
      <c r="H25" s="6"/>
      <c r="I25" s="6">
        <v>2</v>
      </c>
      <c r="J25" s="6"/>
      <c r="K25" s="6"/>
      <c r="L25" s="6"/>
      <c r="M25" s="6"/>
      <c r="N25" s="6"/>
      <c r="O25" s="6"/>
      <c r="P25" s="6">
        <v>1</v>
      </c>
      <c r="Q25" s="6"/>
      <c r="R25" s="6">
        <v>1</v>
      </c>
      <c r="S25" s="6">
        <v>2</v>
      </c>
      <c r="T25" s="6">
        <v>1</v>
      </c>
      <c r="U25" s="6">
        <v>2</v>
      </c>
      <c r="V25" s="5">
        <f t="shared" si="3"/>
        <v>11</v>
      </c>
    </row>
    <row r="26" spans="1:22" x14ac:dyDescent="0.4">
      <c r="A26" s="12"/>
      <c r="B26" s="77"/>
      <c r="C26" s="81"/>
      <c r="D26" s="6" t="s">
        <v>23</v>
      </c>
      <c r="E26" s="6"/>
      <c r="F26" s="6">
        <v>2</v>
      </c>
      <c r="G26" s="6"/>
      <c r="H26" s="6">
        <v>1</v>
      </c>
      <c r="I26" s="6">
        <v>3</v>
      </c>
      <c r="J26" s="6">
        <v>1</v>
      </c>
      <c r="K26" s="6">
        <v>2</v>
      </c>
      <c r="L26" s="6"/>
      <c r="M26" s="6">
        <v>1</v>
      </c>
      <c r="N26" s="6"/>
      <c r="O26" s="6"/>
      <c r="P26" s="6"/>
      <c r="Q26" s="6"/>
      <c r="R26" s="6"/>
      <c r="S26" s="6">
        <v>1</v>
      </c>
      <c r="T26" s="6">
        <v>5</v>
      </c>
      <c r="U26" s="6">
        <v>1</v>
      </c>
      <c r="V26" s="5">
        <f t="shared" si="3"/>
        <v>17</v>
      </c>
    </row>
    <row r="27" spans="1:22" x14ac:dyDescent="0.4">
      <c r="A27" s="13"/>
      <c r="B27" s="75"/>
      <c r="C27" s="82"/>
      <c r="D27" s="5" t="s">
        <v>24</v>
      </c>
      <c r="E27" s="5">
        <f t="shared" ref="E27:U27" si="10">SUM(E25:E26)</f>
        <v>0</v>
      </c>
      <c r="F27" s="5">
        <f t="shared" si="10"/>
        <v>4</v>
      </c>
      <c r="G27" s="5">
        <f t="shared" si="10"/>
        <v>0</v>
      </c>
      <c r="H27" s="5">
        <f t="shared" si="10"/>
        <v>1</v>
      </c>
      <c r="I27" s="5">
        <f t="shared" si="10"/>
        <v>5</v>
      </c>
      <c r="J27" s="5">
        <f t="shared" si="10"/>
        <v>1</v>
      </c>
      <c r="K27" s="5">
        <f t="shared" si="10"/>
        <v>2</v>
      </c>
      <c r="L27" s="5">
        <f t="shared" ref="L27:T27" si="11">SUM(L25:L26)</f>
        <v>0</v>
      </c>
      <c r="M27" s="5">
        <f t="shared" si="11"/>
        <v>1</v>
      </c>
      <c r="N27" s="5">
        <f t="shared" si="11"/>
        <v>0</v>
      </c>
      <c r="O27" s="5">
        <f t="shared" ref="O27:Q27" si="12">SUM(O25:O26)</f>
        <v>0</v>
      </c>
      <c r="P27" s="5">
        <f t="shared" si="12"/>
        <v>1</v>
      </c>
      <c r="Q27" s="5">
        <f t="shared" si="12"/>
        <v>0</v>
      </c>
      <c r="R27" s="5">
        <f t="shared" si="11"/>
        <v>1</v>
      </c>
      <c r="S27" s="5">
        <f t="shared" si="11"/>
        <v>3</v>
      </c>
      <c r="T27" s="5">
        <f t="shared" si="11"/>
        <v>6</v>
      </c>
      <c r="U27" s="5">
        <f t="shared" si="10"/>
        <v>3</v>
      </c>
      <c r="V27" s="5">
        <f t="shared" si="3"/>
        <v>28</v>
      </c>
    </row>
    <row r="28" spans="1:22" x14ac:dyDescent="0.4">
      <c r="A28" s="13"/>
      <c r="B28" s="83" t="s">
        <v>33</v>
      </c>
      <c r="C28" s="84" t="s">
        <v>34</v>
      </c>
      <c r="D28" s="5" t="s">
        <v>22</v>
      </c>
      <c r="E28" s="5">
        <f>SUM(E19,E22,E25)</f>
        <v>95</v>
      </c>
      <c r="F28" s="5">
        <f t="shared" ref="F28:U29" si="13">SUM(F19,F22,F25)</f>
        <v>98</v>
      </c>
      <c r="G28" s="5">
        <f t="shared" si="13"/>
        <v>107</v>
      </c>
      <c r="H28" s="5">
        <f t="shared" si="13"/>
        <v>107</v>
      </c>
      <c r="I28" s="5">
        <f t="shared" si="13"/>
        <v>96</v>
      </c>
      <c r="J28" s="5">
        <f t="shared" si="13"/>
        <v>96</v>
      </c>
      <c r="K28" s="5">
        <f t="shared" si="13"/>
        <v>83</v>
      </c>
      <c r="L28" s="5">
        <f t="shared" ref="L28:T28" si="14">SUM(L19,L22,L25)</f>
        <v>93</v>
      </c>
      <c r="M28" s="5">
        <f t="shared" si="14"/>
        <v>98</v>
      </c>
      <c r="N28" s="5">
        <f t="shared" si="14"/>
        <v>117</v>
      </c>
      <c r="O28" s="5">
        <f t="shared" ref="O28:Q28" si="15">SUM(O19,O22,O25)</f>
        <v>89</v>
      </c>
      <c r="P28" s="5">
        <f t="shared" si="15"/>
        <v>97</v>
      </c>
      <c r="Q28" s="5">
        <f t="shared" si="15"/>
        <v>106</v>
      </c>
      <c r="R28" s="5">
        <f t="shared" si="14"/>
        <v>98</v>
      </c>
      <c r="S28" s="5">
        <f t="shared" si="14"/>
        <v>125</v>
      </c>
      <c r="T28" s="5">
        <f t="shared" si="14"/>
        <v>102</v>
      </c>
      <c r="U28" s="5">
        <f t="shared" si="13"/>
        <v>99</v>
      </c>
      <c r="V28" s="5">
        <f t="shared" si="3"/>
        <v>1706</v>
      </c>
    </row>
    <row r="29" spans="1:22" x14ac:dyDescent="0.4">
      <c r="A29" s="13"/>
      <c r="B29" s="77"/>
      <c r="C29" s="81"/>
      <c r="D29" s="5" t="s">
        <v>23</v>
      </c>
      <c r="E29" s="5">
        <f>SUM(E20,E23,E26)</f>
        <v>112</v>
      </c>
      <c r="F29" s="5">
        <f t="shared" si="13"/>
        <v>104</v>
      </c>
      <c r="G29" s="5">
        <f t="shared" si="13"/>
        <v>109</v>
      </c>
      <c r="H29" s="5">
        <f t="shared" si="13"/>
        <v>116</v>
      </c>
      <c r="I29" s="5">
        <f t="shared" si="13"/>
        <v>124</v>
      </c>
      <c r="J29" s="5">
        <f t="shared" si="13"/>
        <v>125</v>
      </c>
      <c r="K29" s="5">
        <f t="shared" si="13"/>
        <v>111</v>
      </c>
      <c r="L29" s="5">
        <f t="shared" ref="L29:T29" si="16">SUM(L20,L23,L26)</f>
        <v>112</v>
      </c>
      <c r="M29" s="5">
        <f t="shared" si="16"/>
        <v>105</v>
      </c>
      <c r="N29" s="5">
        <f t="shared" si="16"/>
        <v>120</v>
      </c>
      <c r="O29" s="5">
        <f t="shared" ref="O29:Q29" si="17">SUM(O20,O23,O26)</f>
        <v>91</v>
      </c>
      <c r="P29" s="5">
        <f t="shared" si="17"/>
        <v>112</v>
      </c>
      <c r="Q29" s="5">
        <f t="shared" si="17"/>
        <v>128</v>
      </c>
      <c r="R29" s="5">
        <f t="shared" si="16"/>
        <v>127</v>
      </c>
      <c r="S29" s="5">
        <f t="shared" si="16"/>
        <v>115</v>
      </c>
      <c r="T29" s="5">
        <f t="shared" si="16"/>
        <v>122</v>
      </c>
      <c r="U29" s="5">
        <f t="shared" si="13"/>
        <v>121</v>
      </c>
      <c r="V29" s="5">
        <f t="shared" si="3"/>
        <v>1954</v>
      </c>
    </row>
    <row r="30" spans="1:22" x14ac:dyDescent="0.4">
      <c r="A30" s="13"/>
      <c r="B30" s="75"/>
      <c r="C30" s="82"/>
      <c r="D30" s="5" t="s">
        <v>24</v>
      </c>
      <c r="E30" s="5">
        <f t="shared" ref="E30" si="18">SUM(E28:E29)</f>
        <v>207</v>
      </c>
      <c r="F30" s="5">
        <f t="shared" ref="F30:U30" si="19">SUM(F28:F29)</f>
        <v>202</v>
      </c>
      <c r="G30" s="5">
        <f t="shared" si="19"/>
        <v>216</v>
      </c>
      <c r="H30" s="5">
        <f t="shared" si="19"/>
        <v>223</v>
      </c>
      <c r="I30" s="5">
        <f t="shared" si="19"/>
        <v>220</v>
      </c>
      <c r="J30" s="5">
        <f t="shared" si="19"/>
        <v>221</v>
      </c>
      <c r="K30" s="5">
        <f t="shared" si="19"/>
        <v>194</v>
      </c>
      <c r="L30" s="5">
        <f t="shared" ref="L30:T30" si="20">SUM(L28:L29)</f>
        <v>205</v>
      </c>
      <c r="M30" s="5">
        <f t="shared" si="20"/>
        <v>203</v>
      </c>
      <c r="N30" s="5">
        <f t="shared" si="20"/>
        <v>237</v>
      </c>
      <c r="O30" s="5">
        <f t="shared" ref="O30:Q30" si="21">SUM(O28:O29)</f>
        <v>180</v>
      </c>
      <c r="P30" s="5">
        <f t="shared" si="21"/>
        <v>209</v>
      </c>
      <c r="Q30" s="5">
        <f t="shared" si="21"/>
        <v>234</v>
      </c>
      <c r="R30" s="5">
        <f t="shared" si="20"/>
        <v>225</v>
      </c>
      <c r="S30" s="5">
        <f t="shared" si="20"/>
        <v>240</v>
      </c>
      <c r="T30" s="5">
        <f t="shared" si="20"/>
        <v>224</v>
      </c>
      <c r="U30" s="5">
        <f t="shared" si="19"/>
        <v>220</v>
      </c>
      <c r="V30" s="5">
        <f t="shared" si="3"/>
        <v>3660</v>
      </c>
    </row>
    <row r="31" spans="1:22" x14ac:dyDescent="0.4">
      <c r="A31" s="55"/>
      <c r="B31" s="68"/>
      <c r="C31" s="68"/>
      <c r="D31" s="51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6"/>
      <c r="V31" s="28"/>
    </row>
    <row r="32" spans="1:22" x14ac:dyDescent="0.4">
      <c r="A32" s="14" t="s">
        <v>35</v>
      </c>
      <c r="B32" s="60" t="s">
        <v>36</v>
      </c>
      <c r="C32" s="68"/>
      <c r="D32" s="51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5"/>
      <c r="V32" s="28"/>
    </row>
    <row r="33" spans="1:22" x14ac:dyDescent="0.4">
      <c r="A33" s="6">
        <v>1</v>
      </c>
      <c r="B33" s="78" t="s">
        <v>37</v>
      </c>
      <c r="C33" s="68"/>
      <c r="D33" s="51"/>
      <c r="E33" s="6">
        <v>285</v>
      </c>
      <c r="F33" s="6">
        <v>274</v>
      </c>
      <c r="G33" s="6">
        <v>278</v>
      </c>
      <c r="H33" s="6">
        <v>286</v>
      </c>
      <c r="I33" s="6">
        <v>299</v>
      </c>
      <c r="J33" s="6">
        <v>283</v>
      </c>
      <c r="K33" s="6">
        <v>261</v>
      </c>
      <c r="L33" s="6">
        <v>265</v>
      </c>
      <c r="M33" s="6">
        <v>255</v>
      </c>
      <c r="N33" s="6">
        <v>281</v>
      </c>
      <c r="O33" s="6">
        <v>273</v>
      </c>
      <c r="P33" s="6">
        <v>246</v>
      </c>
      <c r="Q33" s="6">
        <v>287</v>
      </c>
      <c r="R33" s="6">
        <v>305</v>
      </c>
      <c r="S33" s="6">
        <v>291</v>
      </c>
      <c r="T33" s="6">
        <v>292</v>
      </c>
      <c r="U33" s="6">
        <v>285</v>
      </c>
      <c r="V33" s="5">
        <f>SUM(E33:U33)</f>
        <v>4746</v>
      </c>
    </row>
    <row r="34" spans="1:22" x14ac:dyDescent="0.4">
      <c r="A34" s="6">
        <v>2</v>
      </c>
      <c r="B34" s="78" t="s">
        <v>38</v>
      </c>
      <c r="C34" s="68"/>
      <c r="D34" s="51"/>
      <c r="E34" s="5">
        <v>207</v>
      </c>
      <c r="F34" s="5">
        <v>202</v>
      </c>
      <c r="G34" s="5">
        <v>216</v>
      </c>
      <c r="H34" s="5">
        <v>223</v>
      </c>
      <c r="I34" s="5">
        <v>220</v>
      </c>
      <c r="J34" s="5">
        <v>221</v>
      </c>
      <c r="K34" s="5">
        <v>194</v>
      </c>
      <c r="L34" s="5">
        <v>205</v>
      </c>
      <c r="M34" s="5">
        <v>203</v>
      </c>
      <c r="N34" s="5">
        <v>237</v>
      </c>
      <c r="O34" s="5">
        <v>180</v>
      </c>
      <c r="P34" s="5">
        <v>209</v>
      </c>
      <c r="Q34" s="5">
        <v>234</v>
      </c>
      <c r="R34" s="5">
        <v>225</v>
      </c>
      <c r="S34" s="5">
        <v>240</v>
      </c>
      <c r="T34" s="5">
        <v>224</v>
      </c>
      <c r="U34" s="5">
        <v>220</v>
      </c>
      <c r="V34" s="5">
        <f>SUM(E34:U34)</f>
        <v>3660</v>
      </c>
    </row>
    <row r="35" spans="1:22" x14ac:dyDescent="0.4">
      <c r="A35" s="6">
        <v>3</v>
      </c>
      <c r="B35" s="78" t="s">
        <v>39</v>
      </c>
      <c r="C35" s="68"/>
      <c r="D35" s="51"/>
      <c r="E35" s="6"/>
      <c r="F35" s="6"/>
      <c r="G35" s="6"/>
      <c r="H35" s="6">
        <v>1</v>
      </c>
      <c r="I35" s="6"/>
      <c r="J35" s="6">
        <v>2</v>
      </c>
      <c r="K35" s="6"/>
      <c r="L35" s="6"/>
      <c r="M35" s="6"/>
      <c r="N35" s="6"/>
      <c r="O35" s="6">
        <v>1</v>
      </c>
      <c r="P35" s="6"/>
      <c r="Q35" s="6">
        <v>3</v>
      </c>
      <c r="R35" s="6"/>
      <c r="S35" s="6">
        <v>1</v>
      </c>
      <c r="T35" s="6">
        <v>3</v>
      </c>
      <c r="U35" s="6"/>
      <c r="V35" s="5">
        <f>SUM(E35:U35)</f>
        <v>11</v>
      </c>
    </row>
    <row r="36" spans="1:22" x14ac:dyDescent="0.4">
      <c r="A36" s="6">
        <v>4</v>
      </c>
      <c r="B36" s="78" t="s">
        <v>40</v>
      </c>
      <c r="C36" s="68"/>
      <c r="D36" s="51"/>
      <c r="E36" s="5">
        <f t="shared" ref="E36:U36" si="22">E33-(E34+E35)</f>
        <v>78</v>
      </c>
      <c r="F36" s="5">
        <f t="shared" si="22"/>
        <v>72</v>
      </c>
      <c r="G36" s="5">
        <f t="shared" si="22"/>
        <v>62</v>
      </c>
      <c r="H36" s="5">
        <f t="shared" si="22"/>
        <v>62</v>
      </c>
      <c r="I36" s="5">
        <f t="shared" si="22"/>
        <v>79</v>
      </c>
      <c r="J36" s="5">
        <f t="shared" si="22"/>
        <v>60</v>
      </c>
      <c r="K36" s="5">
        <f t="shared" si="22"/>
        <v>67</v>
      </c>
      <c r="L36" s="5">
        <f t="shared" ref="L36:T36" si="23">L33-(L34+L35)</f>
        <v>60</v>
      </c>
      <c r="M36" s="5">
        <f t="shared" si="23"/>
        <v>52</v>
      </c>
      <c r="N36" s="5">
        <f t="shared" si="23"/>
        <v>44</v>
      </c>
      <c r="O36" s="5">
        <f t="shared" ref="O36:Q36" si="24">O33-(O34+O35)</f>
        <v>92</v>
      </c>
      <c r="P36" s="5">
        <f t="shared" si="24"/>
        <v>37</v>
      </c>
      <c r="Q36" s="5">
        <f t="shared" si="24"/>
        <v>50</v>
      </c>
      <c r="R36" s="5">
        <f t="shared" si="23"/>
        <v>80</v>
      </c>
      <c r="S36" s="5">
        <f t="shared" si="23"/>
        <v>50</v>
      </c>
      <c r="T36" s="5">
        <f t="shared" si="23"/>
        <v>65</v>
      </c>
      <c r="U36" s="5">
        <f t="shared" si="22"/>
        <v>65</v>
      </c>
      <c r="V36" s="5">
        <f>SUM(E36:U36)</f>
        <v>1075</v>
      </c>
    </row>
    <row r="37" spans="1:22" x14ac:dyDescent="0.4">
      <c r="A37" s="55"/>
      <c r="B37" s="68"/>
      <c r="C37" s="68"/>
      <c r="D37" s="68"/>
      <c r="E37" s="55"/>
      <c r="F37" s="73"/>
      <c r="G37" s="73"/>
      <c r="H37" s="73"/>
      <c r="I37" s="74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6"/>
      <c r="U37" s="6"/>
      <c r="V37" s="28"/>
    </row>
    <row r="38" spans="1:22" x14ac:dyDescent="0.4">
      <c r="A38" s="16" t="s">
        <v>41</v>
      </c>
      <c r="B38" s="60" t="s">
        <v>42</v>
      </c>
      <c r="C38" s="68"/>
      <c r="D38" s="51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5"/>
      <c r="V38" s="28"/>
    </row>
    <row r="39" spans="1:22" x14ac:dyDescent="0.4">
      <c r="A39" s="11"/>
      <c r="B39" s="71" t="s">
        <v>43</v>
      </c>
      <c r="C39" s="64"/>
      <c r="D39" s="6" t="s">
        <v>22</v>
      </c>
      <c r="E39" s="6"/>
      <c r="F39" s="6"/>
      <c r="G39" s="6">
        <v>1</v>
      </c>
      <c r="H39" s="6">
        <v>1</v>
      </c>
      <c r="I39" s="6">
        <v>1</v>
      </c>
      <c r="J39" s="6"/>
      <c r="K39" s="6"/>
      <c r="L39" s="6">
        <v>1</v>
      </c>
      <c r="M39" s="6"/>
      <c r="N39" s="6">
        <v>1</v>
      </c>
      <c r="O39" s="6">
        <v>4</v>
      </c>
      <c r="P39" s="6"/>
      <c r="Q39" s="6"/>
      <c r="R39" s="6">
        <v>1</v>
      </c>
      <c r="S39" s="6"/>
      <c r="T39" s="6"/>
      <c r="U39" s="6">
        <v>1</v>
      </c>
      <c r="V39" s="5">
        <f>SUM(E39:U39)</f>
        <v>11</v>
      </c>
    </row>
    <row r="40" spans="1:22" x14ac:dyDescent="0.4">
      <c r="A40" s="12"/>
      <c r="B40" s="76"/>
      <c r="C40" s="77"/>
      <c r="D40" s="6" t="s">
        <v>23</v>
      </c>
      <c r="E40" s="6"/>
      <c r="F40" s="6"/>
      <c r="G40" s="6"/>
      <c r="H40" s="6"/>
      <c r="I40" s="6"/>
      <c r="J40" s="6"/>
      <c r="K40" s="6"/>
      <c r="L40" s="6">
        <v>5</v>
      </c>
      <c r="M40" s="6"/>
      <c r="N40" s="6">
        <v>1</v>
      </c>
      <c r="O40" s="6">
        <v>3</v>
      </c>
      <c r="P40" s="6"/>
      <c r="Q40" s="6"/>
      <c r="R40" s="6"/>
      <c r="S40" s="6"/>
      <c r="T40" s="6"/>
      <c r="U40" s="6"/>
      <c r="V40" s="5">
        <f>SUM(E40:U40)</f>
        <v>9</v>
      </c>
    </row>
    <row r="41" spans="1:22" x14ac:dyDescent="0.4">
      <c r="A41" s="14"/>
      <c r="B41" s="70"/>
      <c r="C41" s="75"/>
      <c r="D41" s="5" t="s">
        <v>24</v>
      </c>
      <c r="E41" s="5">
        <f t="shared" ref="E41:U41" si="25">SUM(E39:E40)</f>
        <v>0</v>
      </c>
      <c r="F41" s="5">
        <f t="shared" si="25"/>
        <v>0</v>
      </c>
      <c r="G41" s="5">
        <f t="shared" si="25"/>
        <v>1</v>
      </c>
      <c r="H41" s="5">
        <f t="shared" si="25"/>
        <v>1</v>
      </c>
      <c r="I41" s="5">
        <f t="shared" si="25"/>
        <v>1</v>
      </c>
      <c r="J41" s="5">
        <f t="shared" si="25"/>
        <v>0</v>
      </c>
      <c r="K41" s="5">
        <f t="shared" si="25"/>
        <v>0</v>
      </c>
      <c r="L41" s="5">
        <f t="shared" ref="L41:T41" si="26">SUM(L39:L40)</f>
        <v>6</v>
      </c>
      <c r="M41" s="5">
        <f t="shared" si="26"/>
        <v>0</v>
      </c>
      <c r="N41" s="5">
        <f t="shared" si="26"/>
        <v>2</v>
      </c>
      <c r="O41" s="5">
        <f t="shared" ref="O41:Q41" si="27">SUM(O39:O40)</f>
        <v>7</v>
      </c>
      <c r="P41" s="5">
        <f t="shared" si="27"/>
        <v>0</v>
      </c>
      <c r="Q41" s="5">
        <f t="shared" si="27"/>
        <v>0</v>
      </c>
      <c r="R41" s="5">
        <f t="shared" si="26"/>
        <v>1</v>
      </c>
      <c r="S41" s="5">
        <f t="shared" si="26"/>
        <v>0</v>
      </c>
      <c r="T41" s="5">
        <f t="shared" si="26"/>
        <v>0</v>
      </c>
      <c r="U41" s="5">
        <f t="shared" si="25"/>
        <v>1</v>
      </c>
      <c r="V41" s="5">
        <f>SUM(E41:U41)</f>
        <v>20</v>
      </c>
    </row>
    <row r="42" spans="1:22" x14ac:dyDescent="0.4">
      <c r="A42" s="69"/>
      <c r="B42" s="70"/>
      <c r="C42" s="70"/>
      <c r="D42" s="75"/>
      <c r="E42" s="55"/>
      <c r="F42" s="68"/>
      <c r="G42" s="68"/>
      <c r="H42" s="68"/>
      <c r="I42" s="51"/>
      <c r="J42" s="6"/>
      <c r="K42" s="6"/>
      <c r="L42" s="6"/>
      <c r="M42" s="6"/>
      <c r="N42" s="10"/>
      <c r="O42" s="6"/>
      <c r="P42" s="10"/>
      <c r="Q42" s="6"/>
      <c r="R42" s="6"/>
      <c r="S42" s="10"/>
      <c r="T42" s="6"/>
      <c r="U42" s="6"/>
      <c r="V42" s="5"/>
    </row>
    <row r="43" spans="1:22" ht="13.15" customHeight="1" x14ac:dyDescent="0.4">
      <c r="A43" s="16" t="s">
        <v>44</v>
      </c>
      <c r="B43" s="60" t="s">
        <v>45</v>
      </c>
      <c r="C43" s="68"/>
      <c r="D43" s="51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  <c r="S43" s="15"/>
      <c r="T43" s="5"/>
      <c r="U43" s="5"/>
      <c r="V43" s="5"/>
    </row>
    <row r="44" spans="1:22" ht="13.15" customHeight="1" x14ac:dyDescent="0.4">
      <c r="A44" s="71" t="s">
        <v>46</v>
      </c>
      <c r="B44" s="72"/>
      <c r="C44" s="72"/>
      <c r="D44" s="64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6"/>
      <c r="S44" s="10"/>
      <c r="T44" s="6"/>
      <c r="U44" s="6"/>
      <c r="V44" s="5"/>
    </row>
    <row r="45" spans="1:22" x14ac:dyDescent="0.4">
      <c r="A45" s="11" t="s">
        <v>47</v>
      </c>
      <c r="B45" s="17" t="s">
        <v>27</v>
      </c>
      <c r="C45" s="50" t="s">
        <v>48</v>
      </c>
      <c r="D45" s="51"/>
      <c r="E45" s="6">
        <v>4</v>
      </c>
      <c r="F45" s="6">
        <v>2</v>
      </c>
      <c r="G45" s="6">
        <v>6</v>
      </c>
      <c r="H45" s="6">
        <v>10</v>
      </c>
      <c r="I45" s="6">
        <v>3</v>
      </c>
      <c r="J45" s="6">
        <v>6</v>
      </c>
      <c r="K45" s="6">
        <v>1</v>
      </c>
      <c r="L45" s="6">
        <v>2</v>
      </c>
      <c r="M45" s="6">
        <v>6</v>
      </c>
      <c r="N45" s="6">
        <v>10</v>
      </c>
      <c r="O45" s="6">
        <v>4</v>
      </c>
      <c r="P45" s="6">
        <v>6</v>
      </c>
      <c r="Q45" s="6">
        <v>2</v>
      </c>
      <c r="R45" s="6">
        <v>6</v>
      </c>
      <c r="S45" s="6">
        <v>13</v>
      </c>
      <c r="T45" s="6">
        <v>5</v>
      </c>
      <c r="U45" s="6"/>
      <c r="V45" s="5">
        <f t="shared" ref="V45:V51" si="28">SUM(E45:U45)</f>
        <v>86</v>
      </c>
    </row>
    <row r="46" spans="1:22" x14ac:dyDescent="0.4">
      <c r="A46" s="11" t="s">
        <v>49</v>
      </c>
      <c r="B46" s="46">
        <v>1</v>
      </c>
      <c r="C46" s="24" t="s">
        <v>103</v>
      </c>
      <c r="D46" s="47"/>
      <c r="E46" s="6">
        <v>9</v>
      </c>
      <c r="F46" s="6">
        <v>6</v>
      </c>
      <c r="G46" s="6">
        <v>10</v>
      </c>
      <c r="H46" s="6">
        <v>10</v>
      </c>
      <c r="I46" s="6">
        <v>7</v>
      </c>
      <c r="J46" s="6">
        <v>15</v>
      </c>
      <c r="K46" s="6">
        <v>10</v>
      </c>
      <c r="L46" s="6">
        <v>3</v>
      </c>
      <c r="M46" s="6">
        <v>22</v>
      </c>
      <c r="N46" s="6">
        <v>21</v>
      </c>
      <c r="O46" s="6">
        <v>14</v>
      </c>
      <c r="P46" s="6">
        <v>6</v>
      </c>
      <c r="Q46" s="6">
        <v>2</v>
      </c>
      <c r="R46" s="6">
        <v>10</v>
      </c>
      <c r="S46" s="6">
        <v>6</v>
      </c>
      <c r="T46" s="6">
        <v>8</v>
      </c>
      <c r="U46" s="6">
        <v>9</v>
      </c>
      <c r="V46" s="5">
        <f t="shared" si="28"/>
        <v>168</v>
      </c>
    </row>
    <row r="47" spans="1:22" x14ac:dyDescent="0.4">
      <c r="A47" s="7"/>
      <c r="B47" s="46">
        <v>2</v>
      </c>
      <c r="C47" s="24" t="s">
        <v>104</v>
      </c>
      <c r="D47" s="47"/>
      <c r="E47" s="6">
        <v>1</v>
      </c>
      <c r="F47" s="6">
        <v>1</v>
      </c>
      <c r="G47" s="6">
        <v>2</v>
      </c>
      <c r="H47" s="6">
        <v>3</v>
      </c>
      <c r="I47" s="6">
        <v>2</v>
      </c>
      <c r="J47" s="6">
        <v>2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1</v>
      </c>
      <c r="Q47" s="6">
        <v>0</v>
      </c>
      <c r="R47" s="6">
        <v>0</v>
      </c>
      <c r="S47" s="6">
        <v>0</v>
      </c>
      <c r="T47" s="6">
        <v>1</v>
      </c>
      <c r="U47" s="6">
        <v>2</v>
      </c>
      <c r="V47" s="5">
        <f t="shared" si="28"/>
        <v>15</v>
      </c>
    </row>
    <row r="48" spans="1:22" x14ac:dyDescent="0.4">
      <c r="A48" s="7"/>
      <c r="B48" s="46">
        <v>3</v>
      </c>
      <c r="C48" s="24" t="s">
        <v>105</v>
      </c>
      <c r="D48" s="47"/>
      <c r="E48" s="6">
        <v>0</v>
      </c>
      <c r="F48" s="6">
        <v>1</v>
      </c>
      <c r="G48" s="6">
        <v>2</v>
      </c>
      <c r="H48" s="6">
        <v>0</v>
      </c>
      <c r="I48" s="6">
        <v>1</v>
      </c>
      <c r="J48" s="6">
        <v>1</v>
      </c>
      <c r="K48" s="6">
        <v>1</v>
      </c>
      <c r="L48" s="6">
        <v>1</v>
      </c>
      <c r="M48" s="6">
        <v>1</v>
      </c>
      <c r="N48" s="6">
        <v>0</v>
      </c>
      <c r="O48" s="6">
        <v>1</v>
      </c>
      <c r="P48" s="6">
        <v>2</v>
      </c>
      <c r="Q48" s="6">
        <v>0</v>
      </c>
      <c r="R48" s="6">
        <v>1</v>
      </c>
      <c r="S48" s="6">
        <v>0</v>
      </c>
      <c r="T48" s="6">
        <v>2</v>
      </c>
      <c r="U48" s="6"/>
      <c r="V48" s="5">
        <f t="shared" si="28"/>
        <v>14</v>
      </c>
    </row>
    <row r="49" spans="1:22" x14ac:dyDescent="0.4">
      <c r="A49" s="7"/>
      <c r="B49" s="46">
        <v>4</v>
      </c>
      <c r="C49" s="24" t="s">
        <v>106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1</v>
      </c>
      <c r="J49" s="6">
        <v>0</v>
      </c>
      <c r="K49" s="6">
        <v>1</v>
      </c>
      <c r="L49" s="6">
        <v>0</v>
      </c>
      <c r="M49" s="6">
        <v>1</v>
      </c>
      <c r="N49" s="6">
        <v>0</v>
      </c>
      <c r="O49" s="6">
        <v>0</v>
      </c>
      <c r="P49" s="6">
        <v>0</v>
      </c>
      <c r="Q49" s="6">
        <v>0</v>
      </c>
      <c r="R49" s="6">
        <v>1</v>
      </c>
      <c r="S49" s="6">
        <v>0</v>
      </c>
      <c r="T49" s="6">
        <v>2</v>
      </c>
      <c r="U49" s="6">
        <v>1</v>
      </c>
      <c r="V49" s="5">
        <f t="shared" si="28"/>
        <v>7</v>
      </c>
    </row>
    <row r="50" spans="1:22" x14ac:dyDescent="0.4">
      <c r="A50" s="7"/>
      <c r="B50" s="46">
        <v>5</v>
      </c>
      <c r="C50" s="24" t="s">
        <v>107</v>
      </c>
      <c r="D50" s="47"/>
      <c r="E50" s="6">
        <v>0</v>
      </c>
      <c r="F50" s="6">
        <v>0</v>
      </c>
      <c r="G50" s="6">
        <v>1</v>
      </c>
      <c r="H50" s="6">
        <v>0</v>
      </c>
      <c r="I50" s="6">
        <v>0</v>
      </c>
      <c r="J50" s="6">
        <v>1</v>
      </c>
      <c r="K50" s="6">
        <v>1</v>
      </c>
      <c r="L50" s="6">
        <v>1</v>
      </c>
      <c r="M50" s="6">
        <v>4</v>
      </c>
      <c r="N50" s="6">
        <v>2</v>
      </c>
      <c r="O50" s="6">
        <v>1</v>
      </c>
      <c r="P50" s="6">
        <v>1</v>
      </c>
      <c r="Q50" s="6">
        <v>0</v>
      </c>
      <c r="R50" s="6">
        <v>0</v>
      </c>
      <c r="S50" s="6">
        <v>0</v>
      </c>
      <c r="T50" s="6">
        <v>2</v>
      </c>
      <c r="U50" s="6">
        <v>2</v>
      </c>
      <c r="V50" s="5">
        <f t="shared" si="28"/>
        <v>16</v>
      </c>
    </row>
    <row r="51" spans="1:22" x14ac:dyDescent="0.4">
      <c r="A51" s="7"/>
      <c r="B51" s="46">
        <v>6</v>
      </c>
      <c r="C51" s="24" t="s">
        <v>108</v>
      </c>
      <c r="D51" s="47"/>
      <c r="E51" s="6">
        <v>3</v>
      </c>
      <c r="F51" s="6">
        <v>0</v>
      </c>
      <c r="G51" s="6">
        <v>1</v>
      </c>
      <c r="H51" s="6">
        <v>5</v>
      </c>
      <c r="I51" s="6">
        <v>1</v>
      </c>
      <c r="J51" s="6">
        <v>2</v>
      </c>
      <c r="K51" s="6">
        <v>1</v>
      </c>
      <c r="L51" s="6">
        <v>1</v>
      </c>
      <c r="M51" s="6">
        <v>4</v>
      </c>
      <c r="N51" s="6">
        <v>8</v>
      </c>
      <c r="O51" s="6">
        <v>5</v>
      </c>
      <c r="P51" s="6">
        <v>5</v>
      </c>
      <c r="Q51" s="6">
        <v>2</v>
      </c>
      <c r="R51" s="6">
        <v>1</v>
      </c>
      <c r="S51" s="6">
        <v>1</v>
      </c>
      <c r="T51" s="6"/>
      <c r="U51" s="6"/>
      <c r="V51" s="5">
        <f t="shared" si="28"/>
        <v>40</v>
      </c>
    </row>
    <row r="52" spans="1:22" x14ac:dyDescent="0.4">
      <c r="A52" s="6" t="s">
        <v>25</v>
      </c>
      <c r="B52" s="52" t="s">
        <v>50</v>
      </c>
      <c r="C52" s="68"/>
      <c r="D52" s="51"/>
      <c r="E52" s="5">
        <f t="shared" ref="E52:V52" si="29">SUM(E45:E51)</f>
        <v>17</v>
      </c>
      <c r="F52" s="5">
        <f t="shared" si="29"/>
        <v>10</v>
      </c>
      <c r="G52" s="5">
        <f t="shared" si="29"/>
        <v>22</v>
      </c>
      <c r="H52" s="5">
        <f t="shared" si="29"/>
        <v>28</v>
      </c>
      <c r="I52" s="5">
        <f t="shared" si="29"/>
        <v>15</v>
      </c>
      <c r="J52" s="5">
        <f t="shared" si="29"/>
        <v>27</v>
      </c>
      <c r="K52" s="5">
        <f t="shared" si="29"/>
        <v>15</v>
      </c>
      <c r="L52" s="5">
        <f t="shared" si="29"/>
        <v>8</v>
      </c>
      <c r="M52" s="5">
        <f t="shared" si="29"/>
        <v>38</v>
      </c>
      <c r="N52" s="5">
        <f t="shared" si="29"/>
        <v>41</v>
      </c>
      <c r="O52" s="5">
        <f t="shared" si="29"/>
        <v>25</v>
      </c>
      <c r="P52" s="5">
        <f t="shared" si="29"/>
        <v>21</v>
      </c>
      <c r="Q52" s="5">
        <f t="shared" si="29"/>
        <v>6</v>
      </c>
      <c r="R52" s="5">
        <f t="shared" si="29"/>
        <v>19</v>
      </c>
      <c r="S52" s="5">
        <f t="shared" si="29"/>
        <v>20</v>
      </c>
      <c r="T52" s="5">
        <f t="shared" si="29"/>
        <v>20</v>
      </c>
      <c r="U52" s="5">
        <f t="shared" si="29"/>
        <v>14</v>
      </c>
      <c r="V52" s="5">
        <f t="shared" si="29"/>
        <v>346</v>
      </c>
    </row>
    <row r="53" spans="1:22" x14ac:dyDescent="0.4">
      <c r="A53" s="69"/>
      <c r="B53" s="70"/>
      <c r="C53" s="70"/>
      <c r="D53" s="70"/>
      <c r="E53" s="70"/>
      <c r="V53" s="5"/>
    </row>
    <row r="54" spans="1:22" x14ac:dyDescent="0.4">
      <c r="A54" s="11" t="s">
        <v>47</v>
      </c>
      <c r="B54" s="17" t="s">
        <v>29</v>
      </c>
      <c r="C54" s="50" t="s">
        <v>51</v>
      </c>
      <c r="D54" s="51"/>
      <c r="E54" s="6">
        <v>11</v>
      </c>
      <c r="F54" s="6">
        <v>12</v>
      </c>
      <c r="G54" s="6">
        <v>4</v>
      </c>
      <c r="H54" s="6">
        <v>9</v>
      </c>
      <c r="I54" s="6">
        <v>9</v>
      </c>
      <c r="J54" s="6">
        <v>18</v>
      </c>
      <c r="K54" s="6">
        <v>11</v>
      </c>
      <c r="L54" s="6">
        <v>9</v>
      </c>
      <c r="M54" s="6">
        <v>4</v>
      </c>
      <c r="N54" s="6">
        <v>8</v>
      </c>
      <c r="O54" s="6">
        <v>6</v>
      </c>
      <c r="P54" s="6">
        <v>4</v>
      </c>
      <c r="Q54" s="6">
        <v>7</v>
      </c>
      <c r="R54" s="6">
        <v>11</v>
      </c>
      <c r="S54" s="6">
        <v>15</v>
      </c>
      <c r="T54" s="6">
        <v>10</v>
      </c>
      <c r="U54" s="6">
        <v>14</v>
      </c>
      <c r="V54" s="5">
        <f t="shared" ref="V54:V60" si="30">SUM(E54:U54)</f>
        <v>162</v>
      </c>
    </row>
    <row r="55" spans="1:22" x14ac:dyDescent="0.4">
      <c r="A55" s="11" t="s">
        <v>49</v>
      </c>
      <c r="B55" s="46">
        <v>1</v>
      </c>
      <c r="C55" s="24" t="s">
        <v>109</v>
      </c>
      <c r="D55" s="47"/>
      <c r="E55" s="6">
        <v>7</v>
      </c>
      <c r="F55" s="6">
        <v>5</v>
      </c>
      <c r="G55" s="6">
        <v>6</v>
      </c>
      <c r="H55" s="6">
        <v>4</v>
      </c>
      <c r="I55" s="6">
        <v>4</v>
      </c>
      <c r="J55" s="6">
        <v>7</v>
      </c>
      <c r="K55" s="6">
        <v>4</v>
      </c>
      <c r="L55" s="6">
        <v>15</v>
      </c>
      <c r="M55" s="6">
        <v>3</v>
      </c>
      <c r="N55" s="6">
        <v>7</v>
      </c>
      <c r="O55" s="6">
        <v>2</v>
      </c>
      <c r="P55" s="6">
        <v>10</v>
      </c>
      <c r="Q55" s="6">
        <v>4</v>
      </c>
      <c r="R55" s="6">
        <v>12</v>
      </c>
      <c r="S55" s="6">
        <v>7</v>
      </c>
      <c r="T55" s="6">
        <v>12</v>
      </c>
      <c r="U55" s="6">
        <v>6</v>
      </c>
      <c r="V55" s="5">
        <f t="shared" si="30"/>
        <v>115</v>
      </c>
    </row>
    <row r="56" spans="1:22" x14ac:dyDescent="0.4">
      <c r="A56" s="7"/>
      <c r="B56" s="46">
        <v>2</v>
      </c>
      <c r="C56" s="24" t="s">
        <v>110</v>
      </c>
      <c r="D56" s="47"/>
      <c r="E56" s="6">
        <v>3</v>
      </c>
      <c r="F56" s="6">
        <v>3</v>
      </c>
      <c r="G56" s="6">
        <v>3</v>
      </c>
      <c r="H56" s="6">
        <v>4</v>
      </c>
      <c r="I56" s="6">
        <v>1</v>
      </c>
      <c r="J56" s="6">
        <v>4</v>
      </c>
      <c r="K56" s="6">
        <v>3</v>
      </c>
      <c r="L56" s="6">
        <v>2</v>
      </c>
      <c r="M56" s="6">
        <v>2</v>
      </c>
      <c r="N56" s="6">
        <v>1</v>
      </c>
      <c r="O56" s="6">
        <v>2</v>
      </c>
      <c r="P56" s="6">
        <v>1</v>
      </c>
      <c r="Q56" s="6">
        <v>2</v>
      </c>
      <c r="R56" s="6">
        <v>2</v>
      </c>
      <c r="S56" s="6">
        <v>2</v>
      </c>
      <c r="T56" s="6">
        <v>3</v>
      </c>
      <c r="U56" s="6">
        <v>3</v>
      </c>
      <c r="V56" s="5">
        <f t="shared" si="30"/>
        <v>41</v>
      </c>
    </row>
    <row r="57" spans="1:22" x14ac:dyDescent="0.4">
      <c r="A57" s="7"/>
      <c r="B57" s="46">
        <v>3</v>
      </c>
      <c r="C57" s="24" t="s">
        <v>111</v>
      </c>
      <c r="D57" s="47"/>
      <c r="E57" s="6">
        <v>1</v>
      </c>
      <c r="F57" s="6">
        <v>1</v>
      </c>
      <c r="G57" s="6">
        <v>2</v>
      </c>
      <c r="H57" s="6">
        <v>6</v>
      </c>
      <c r="I57" s="6">
        <v>0</v>
      </c>
      <c r="J57" s="6">
        <v>0</v>
      </c>
      <c r="K57" s="6">
        <v>1</v>
      </c>
      <c r="L57" s="6">
        <v>1</v>
      </c>
      <c r="M57" s="6">
        <v>0</v>
      </c>
      <c r="N57" s="6">
        <v>1</v>
      </c>
      <c r="O57" s="6">
        <v>0</v>
      </c>
      <c r="P57" s="6">
        <v>0</v>
      </c>
      <c r="Q57" s="6">
        <v>0</v>
      </c>
      <c r="R57" s="6">
        <v>2</v>
      </c>
      <c r="S57" s="6">
        <v>1</v>
      </c>
      <c r="T57" s="6">
        <v>3</v>
      </c>
      <c r="U57" s="6"/>
      <c r="V57" s="5">
        <f t="shared" si="30"/>
        <v>19</v>
      </c>
    </row>
    <row r="58" spans="1:22" x14ac:dyDescent="0.4">
      <c r="A58" s="7"/>
      <c r="B58" s="46">
        <v>4</v>
      </c>
      <c r="C58" s="24" t="s">
        <v>112</v>
      </c>
      <c r="D58" s="47"/>
      <c r="E58" s="6">
        <v>0</v>
      </c>
      <c r="F58" s="6">
        <v>2</v>
      </c>
      <c r="G58" s="6">
        <v>1</v>
      </c>
      <c r="H58" s="6">
        <v>1</v>
      </c>
      <c r="I58" s="6">
        <v>1</v>
      </c>
      <c r="J58" s="6">
        <v>1</v>
      </c>
      <c r="K58" s="6">
        <v>2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1</v>
      </c>
      <c r="T58" s="6">
        <v>1</v>
      </c>
      <c r="U58" s="6">
        <v>1</v>
      </c>
      <c r="V58" s="5">
        <f t="shared" si="30"/>
        <v>11</v>
      </c>
    </row>
    <row r="59" spans="1:22" x14ac:dyDescent="0.4">
      <c r="A59" s="7"/>
      <c r="B59" s="46">
        <v>5</v>
      </c>
      <c r="C59" s="24" t="s">
        <v>113</v>
      </c>
      <c r="D59" s="47"/>
      <c r="E59" s="6">
        <v>0</v>
      </c>
      <c r="F59" s="6">
        <v>1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1</v>
      </c>
      <c r="O59" s="6">
        <v>2</v>
      </c>
      <c r="P59" s="6">
        <v>0</v>
      </c>
      <c r="Q59" s="6">
        <v>0</v>
      </c>
      <c r="R59" s="6">
        <v>1</v>
      </c>
      <c r="S59" s="6">
        <v>0</v>
      </c>
      <c r="T59" s="6"/>
      <c r="U59" s="6">
        <v>2</v>
      </c>
      <c r="V59" s="5">
        <f t="shared" si="30"/>
        <v>7</v>
      </c>
    </row>
    <row r="60" spans="1:22" ht="13.15" customHeight="1" x14ac:dyDescent="0.4">
      <c r="A60" s="7"/>
      <c r="B60" s="46">
        <v>6</v>
      </c>
      <c r="C60" s="24" t="s">
        <v>114</v>
      </c>
      <c r="D60" s="47"/>
      <c r="E60" s="6">
        <v>2</v>
      </c>
      <c r="F60" s="6">
        <v>0</v>
      </c>
      <c r="G60" s="6">
        <v>2</v>
      </c>
      <c r="H60" s="6">
        <v>0</v>
      </c>
      <c r="I60" s="6">
        <v>0</v>
      </c>
      <c r="J60" s="6">
        <v>0</v>
      </c>
      <c r="K60" s="6">
        <v>0</v>
      </c>
      <c r="L60" s="6">
        <v>1</v>
      </c>
      <c r="M60" s="6">
        <v>0</v>
      </c>
      <c r="N60" s="6">
        <v>0</v>
      </c>
      <c r="O60" s="6">
        <v>0</v>
      </c>
      <c r="P60" s="6">
        <v>0</v>
      </c>
      <c r="Q60" s="6">
        <v>2</v>
      </c>
      <c r="R60" s="6">
        <v>1</v>
      </c>
      <c r="S60" s="6">
        <v>1</v>
      </c>
      <c r="T60" s="6">
        <v>2</v>
      </c>
      <c r="U60" s="6">
        <v>2</v>
      </c>
      <c r="V60" s="5">
        <f t="shared" si="30"/>
        <v>13</v>
      </c>
    </row>
    <row r="61" spans="1:22" x14ac:dyDescent="0.4">
      <c r="A61" s="6" t="s">
        <v>25</v>
      </c>
      <c r="B61" s="52" t="s">
        <v>50</v>
      </c>
      <c r="C61" s="68"/>
      <c r="D61" s="51"/>
      <c r="E61" s="5">
        <f t="shared" ref="E61:V61" si="31">SUM(E54:E60)</f>
        <v>24</v>
      </c>
      <c r="F61" s="5">
        <f t="shared" si="31"/>
        <v>24</v>
      </c>
      <c r="G61" s="5">
        <f t="shared" si="31"/>
        <v>18</v>
      </c>
      <c r="H61" s="5">
        <f t="shared" si="31"/>
        <v>24</v>
      </c>
      <c r="I61" s="5">
        <f t="shared" si="31"/>
        <v>15</v>
      </c>
      <c r="J61" s="5">
        <f t="shared" si="31"/>
        <v>30</v>
      </c>
      <c r="K61" s="5">
        <f t="shared" si="31"/>
        <v>21</v>
      </c>
      <c r="L61" s="5">
        <f t="shared" si="31"/>
        <v>28</v>
      </c>
      <c r="M61" s="5">
        <f t="shared" si="31"/>
        <v>9</v>
      </c>
      <c r="N61" s="5">
        <f t="shared" si="31"/>
        <v>18</v>
      </c>
      <c r="O61" s="5">
        <f t="shared" si="31"/>
        <v>12</v>
      </c>
      <c r="P61" s="5">
        <f t="shared" si="31"/>
        <v>15</v>
      </c>
      <c r="Q61" s="5">
        <f t="shared" si="31"/>
        <v>15</v>
      </c>
      <c r="R61" s="5">
        <f t="shared" si="31"/>
        <v>29</v>
      </c>
      <c r="S61" s="5">
        <f t="shared" si="31"/>
        <v>27</v>
      </c>
      <c r="T61" s="5">
        <f t="shared" si="31"/>
        <v>31</v>
      </c>
      <c r="U61" s="5">
        <f t="shared" si="31"/>
        <v>28</v>
      </c>
      <c r="V61" s="5">
        <f t="shared" si="31"/>
        <v>368</v>
      </c>
    </row>
    <row r="62" spans="1:22" x14ac:dyDescent="0.4">
      <c r="A62" s="69"/>
      <c r="B62" s="70"/>
      <c r="C62" s="70"/>
      <c r="D62" s="70"/>
      <c r="E62" s="70"/>
    </row>
    <row r="63" spans="1:22" x14ac:dyDescent="0.4">
      <c r="A63" s="11" t="s">
        <v>47</v>
      </c>
      <c r="B63" s="17" t="s">
        <v>31</v>
      </c>
      <c r="C63" s="50" t="s">
        <v>52</v>
      </c>
      <c r="D63" s="51"/>
      <c r="E63" s="6">
        <v>10</v>
      </c>
      <c r="F63" s="6">
        <v>7</v>
      </c>
      <c r="G63" s="6">
        <v>9</v>
      </c>
      <c r="H63" s="6">
        <v>18</v>
      </c>
      <c r="I63" s="6">
        <v>13</v>
      </c>
      <c r="J63" s="6">
        <v>12</v>
      </c>
      <c r="K63" s="6">
        <v>15</v>
      </c>
      <c r="L63" s="6">
        <v>18</v>
      </c>
      <c r="M63" s="6">
        <v>14</v>
      </c>
      <c r="N63" s="6">
        <v>15</v>
      </c>
      <c r="O63" s="6">
        <v>12</v>
      </c>
      <c r="P63" s="6">
        <v>7</v>
      </c>
      <c r="Q63" s="6">
        <v>20</v>
      </c>
      <c r="R63" s="6">
        <v>6</v>
      </c>
      <c r="S63" s="6">
        <v>18</v>
      </c>
      <c r="T63" s="6">
        <v>10</v>
      </c>
      <c r="U63" s="6">
        <v>14</v>
      </c>
      <c r="V63" s="5">
        <f t="shared" ref="V63:V69" si="32">SUM(E63:U63)</f>
        <v>218</v>
      </c>
    </row>
    <row r="64" spans="1:22" x14ac:dyDescent="0.4">
      <c r="A64" s="11" t="s">
        <v>49</v>
      </c>
      <c r="B64" s="46">
        <v>1</v>
      </c>
      <c r="C64" s="24" t="s">
        <v>115</v>
      </c>
      <c r="D64" s="47"/>
      <c r="E64" s="6">
        <v>5</v>
      </c>
      <c r="F64" s="6">
        <v>15</v>
      </c>
      <c r="G64" s="6">
        <v>2</v>
      </c>
      <c r="H64" s="6">
        <v>6</v>
      </c>
      <c r="I64" s="6">
        <v>13</v>
      </c>
      <c r="J64" s="6">
        <v>6</v>
      </c>
      <c r="K64" s="6">
        <v>7</v>
      </c>
      <c r="L64" s="6">
        <v>6</v>
      </c>
      <c r="M64" s="6">
        <v>3</v>
      </c>
      <c r="N64" s="6">
        <v>7</v>
      </c>
      <c r="O64" s="6">
        <v>1</v>
      </c>
      <c r="P64" s="6">
        <v>2</v>
      </c>
      <c r="Q64" s="6">
        <v>8</v>
      </c>
      <c r="R64" s="6">
        <v>35</v>
      </c>
      <c r="S64" s="6">
        <v>13</v>
      </c>
      <c r="T64" s="6">
        <v>20</v>
      </c>
      <c r="U64" s="6">
        <v>21</v>
      </c>
      <c r="V64" s="5">
        <f t="shared" si="32"/>
        <v>170</v>
      </c>
    </row>
    <row r="65" spans="1:22" x14ac:dyDescent="0.4">
      <c r="A65" s="7"/>
      <c r="B65" s="46">
        <v>2</v>
      </c>
      <c r="C65" s="24" t="s">
        <v>116</v>
      </c>
      <c r="D65" s="47"/>
      <c r="E65" s="6">
        <v>2</v>
      </c>
      <c r="F65" s="6">
        <v>3</v>
      </c>
      <c r="G65" s="6">
        <v>3</v>
      </c>
      <c r="H65" s="6">
        <v>5</v>
      </c>
      <c r="I65" s="6">
        <v>2</v>
      </c>
      <c r="J65" s="6">
        <v>2</v>
      </c>
      <c r="K65" s="6">
        <v>5</v>
      </c>
      <c r="L65" s="6">
        <v>1</v>
      </c>
      <c r="M65" s="6">
        <v>1</v>
      </c>
      <c r="N65" s="6">
        <v>3</v>
      </c>
      <c r="O65" s="6">
        <v>0</v>
      </c>
      <c r="P65" s="6">
        <v>4</v>
      </c>
      <c r="Q65" s="6">
        <v>2</v>
      </c>
      <c r="R65" s="6">
        <v>2</v>
      </c>
      <c r="S65" s="6">
        <v>1</v>
      </c>
      <c r="T65" s="6">
        <v>3</v>
      </c>
      <c r="U65" s="6">
        <v>5</v>
      </c>
      <c r="V65" s="5">
        <f t="shared" si="32"/>
        <v>44</v>
      </c>
    </row>
    <row r="66" spans="1:22" x14ac:dyDescent="0.4">
      <c r="A66" s="7"/>
      <c r="B66" s="46">
        <v>3</v>
      </c>
      <c r="C66" s="24" t="s">
        <v>117</v>
      </c>
      <c r="D66" s="47"/>
      <c r="E66" s="6">
        <v>1</v>
      </c>
      <c r="F66" s="6">
        <v>2</v>
      </c>
      <c r="G66" s="6">
        <v>4</v>
      </c>
      <c r="H66" s="6">
        <v>4</v>
      </c>
      <c r="I66" s="6">
        <v>2</v>
      </c>
      <c r="J66" s="6">
        <v>0</v>
      </c>
      <c r="K66" s="6">
        <v>2</v>
      </c>
      <c r="L66" s="6">
        <v>3</v>
      </c>
      <c r="M66" s="6">
        <v>1</v>
      </c>
      <c r="N66" s="6">
        <v>4</v>
      </c>
      <c r="O66" s="6">
        <v>1</v>
      </c>
      <c r="P66" s="6">
        <v>3</v>
      </c>
      <c r="Q66" s="6">
        <v>1</v>
      </c>
      <c r="R66" s="6">
        <v>3</v>
      </c>
      <c r="S66" s="6">
        <v>4</v>
      </c>
      <c r="T66" s="6">
        <v>1</v>
      </c>
      <c r="U66" s="6">
        <v>3</v>
      </c>
      <c r="V66" s="5">
        <f t="shared" si="32"/>
        <v>39</v>
      </c>
    </row>
    <row r="67" spans="1:22" x14ac:dyDescent="0.4">
      <c r="A67" s="7"/>
      <c r="B67" s="46">
        <v>4</v>
      </c>
      <c r="C67" s="24" t="s">
        <v>118</v>
      </c>
      <c r="D67" s="47"/>
      <c r="E67" s="6">
        <v>0</v>
      </c>
      <c r="F67" s="6">
        <v>1</v>
      </c>
      <c r="G67" s="6">
        <v>1</v>
      </c>
      <c r="H67" s="6">
        <v>2</v>
      </c>
      <c r="I67" s="6">
        <v>0</v>
      </c>
      <c r="J67" s="6">
        <v>0</v>
      </c>
      <c r="K67" s="6">
        <v>1</v>
      </c>
      <c r="L67" s="6">
        <v>0</v>
      </c>
      <c r="M67" s="6">
        <v>0</v>
      </c>
      <c r="N67" s="6">
        <v>0</v>
      </c>
      <c r="O67" s="6">
        <v>1</v>
      </c>
      <c r="P67" s="6">
        <v>2</v>
      </c>
      <c r="Q67" s="6">
        <v>2</v>
      </c>
      <c r="R67" s="6">
        <v>2</v>
      </c>
      <c r="S67" s="6">
        <v>0</v>
      </c>
      <c r="T67" s="6">
        <v>1</v>
      </c>
      <c r="U67" s="6"/>
      <c r="V67" s="5">
        <f t="shared" si="32"/>
        <v>13</v>
      </c>
    </row>
    <row r="68" spans="1:22" ht="13.15" customHeight="1" x14ac:dyDescent="0.4">
      <c r="A68" s="7"/>
      <c r="B68" s="46">
        <v>5</v>
      </c>
      <c r="C68" s="24" t="s">
        <v>119</v>
      </c>
      <c r="D68" s="47"/>
      <c r="E68" s="6">
        <v>15</v>
      </c>
      <c r="F68" s="6">
        <v>13</v>
      </c>
      <c r="G68" s="6">
        <v>22</v>
      </c>
      <c r="H68" s="6">
        <v>18</v>
      </c>
      <c r="I68" s="6">
        <v>10</v>
      </c>
      <c r="J68" s="6">
        <v>5</v>
      </c>
      <c r="K68" s="6">
        <v>19</v>
      </c>
      <c r="L68" s="6">
        <v>25</v>
      </c>
      <c r="M68" s="6">
        <v>9</v>
      </c>
      <c r="N68" s="6">
        <v>55</v>
      </c>
      <c r="O68" s="6">
        <v>26</v>
      </c>
      <c r="P68" s="6">
        <v>53</v>
      </c>
      <c r="Q68" s="6">
        <v>39</v>
      </c>
      <c r="R68" s="6">
        <v>2</v>
      </c>
      <c r="S68" s="6">
        <v>54</v>
      </c>
      <c r="T68" s="6">
        <v>17</v>
      </c>
      <c r="U68" s="6">
        <v>18</v>
      </c>
      <c r="V68" s="5">
        <f t="shared" si="32"/>
        <v>400</v>
      </c>
    </row>
    <row r="69" spans="1:22" x14ac:dyDescent="0.4">
      <c r="A69" s="7"/>
      <c r="B69" s="46">
        <v>6</v>
      </c>
      <c r="C69" s="24" t="s">
        <v>120</v>
      </c>
      <c r="D69" s="47"/>
      <c r="E69" s="6">
        <v>2</v>
      </c>
      <c r="F69" s="6">
        <v>3</v>
      </c>
      <c r="G69" s="6">
        <v>1</v>
      </c>
      <c r="H69" s="6">
        <v>1</v>
      </c>
      <c r="I69" s="6">
        <v>1</v>
      </c>
      <c r="J69" s="6">
        <v>0</v>
      </c>
      <c r="K69" s="6">
        <v>2</v>
      </c>
      <c r="L69" s="6">
        <v>0</v>
      </c>
      <c r="M69" s="6">
        <v>1</v>
      </c>
      <c r="N69" s="6">
        <v>0</v>
      </c>
      <c r="O69" s="6">
        <v>0</v>
      </c>
      <c r="P69" s="6">
        <v>0</v>
      </c>
      <c r="Q69" s="6">
        <v>0</v>
      </c>
      <c r="R69" s="6">
        <v>1</v>
      </c>
      <c r="S69" s="6">
        <v>1</v>
      </c>
      <c r="T69" s="6"/>
      <c r="U69" s="6">
        <v>1</v>
      </c>
      <c r="V69" s="5">
        <f t="shared" si="32"/>
        <v>14</v>
      </c>
    </row>
    <row r="70" spans="1:22" x14ac:dyDescent="0.4">
      <c r="A70" s="6" t="s">
        <v>25</v>
      </c>
      <c r="B70" s="52" t="s">
        <v>50</v>
      </c>
      <c r="C70" s="68"/>
      <c r="D70" s="51"/>
      <c r="E70" s="5">
        <f t="shared" ref="E70:V70" si="33">SUM(E63:E69)</f>
        <v>35</v>
      </c>
      <c r="F70" s="5">
        <f t="shared" si="33"/>
        <v>44</v>
      </c>
      <c r="G70" s="5">
        <f t="shared" si="33"/>
        <v>42</v>
      </c>
      <c r="H70" s="5">
        <f t="shared" si="33"/>
        <v>54</v>
      </c>
      <c r="I70" s="5">
        <f t="shared" si="33"/>
        <v>41</v>
      </c>
      <c r="J70" s="5">
        <f t="shared" si="33"/>
        <v>25</v>
      </c>
      <c r="K70" s="5">
        <f t="shared" si="33"/>
        <v>51</v>
      </c>
      <c r="L70" s="5">
        <f t="shared" si="33"/>
        <v>53</v>
      </c>
      <c r="M70" s="5">
        <f t="shared" si="33"/>
        <v>29</v>
      </c>
      <c r="N70" s="5">
        <f t="shared" si="33"/>
        <v>84</v>
      </c>
      <c r="O70" s="5">
        <f t="shared" si="33"/>
        <v>41</v>
      </c>
      <c r="P70" s="5">
        <f t="shared" si="33"/>
        <v>71</v>
      </c>
      <c r="Q70" s="5">
        <f t="shared" si="33"/>
        <v>72</v>
      </c>
      <c r="R70" s="5">
        <f t="shared" si="33"/>
        <v>51</v>
      </c>
      <c r="S70" s="5">
        <f t="shared" si="33"/>
        <v>91</v>
      </c>
      <c r="T70" s="5">
        <f t="shared" si="33"/>
        <v>52</v>
      </c>
      <c r="U70" s="5">
        <f t="shared" si="33"/>
        <v>62</v>
      </c>
      <c r="V70" s="5">
        <f t="shared" si="33"/>
        <v>898</v>
      </c>
    </row>
    <row r="71" spans="1:22" x14ac:dyDescent="0.4">
      <c r="A71" s="69"/>
      <c r="B71" s="70"/>
      <c r="C71" s="70"/>
      <c r="D71" s="70"/>
      <c r="E71" s="70"/>
    </row>
    <row r="72" spans="1:22" x14ac:dyDescent="0.4">
      <c r="A72" s="11" t="s">
        <v>47</v>
      </c>
      <c r="B72" s="17" t="s">
        <v>33</v>
      </c>
      <c r="C72" s="50" t="s">
        <v>53</v>
      </c>
      <c r="D72" s="51"/>
      <c r="E72" s="6">
        <v>11</v>
      </c>
      <c r="F72" s="6">
        <v>5</v>
      </c>
      <c r="G72" s="6">
        <v>5</v>
      </c>
      <c r="H72" s="6">
        <v>11</v>
      </c>
      <c r="I72" s="6">
        <v>3</v>
      </c>
      <c r="J72" s="6">
        <v>6</v>
      </c>
      <c r="K72" s="6">
        <v>4</v>
      </c>
      <c r="L72" s="6">
        <v>4</v>
      </c>
      <c r="M72" s="6">
        <v>4</v>
      </c>
      <c r="N72" s="6">
        <v>7</v>
      </c>
      <c r="O72" s="6">
        <v>8</v>
      </c>
      <c r="P72" s="6">
        <v>3</v>
      </c>
      <c r="Q72" s="6">
        <v>10</v>
      </c>
      <c r="R72" s="6">
        <v>4</v>
      </c>
      <c r="S72" s="6">
        <v>0</v>
      </c>
      <c r="T72" s="6">
        <v>3</v>
      </c>
      <c r="U72" s="6">
        <v>5</v>
      </c>
      <c r="V72" s="5">
        <f t="shared" ref="V72:V78" si="34">SUM(E72:U72)</f>
        <v>93</v>
      </c>
    </row>
    <row r="73" spans="1:22" x14ac:dyDescent="0.4">
      <c r="A73" s="11" t="s">
        <v>49</v>
      </c>
      <c r="B73" s="46">
        <v>1</v>
      </c>
      <c r="C73" s="24" t="s">
        <v>121</v>
      </c>
      <c r="D73" s="47"/>
      <c r="E73" s="6">
        <v>55</v>
      </c>
      <c r="F73" s="6">
        <v>43</v>
      </c>
      <c r="G73" s="6">
        <v>40</v>
      </c>
      <c r="H73" s="6">
        <v>33</v>
      </c>
      <c r="I73" s="6">
        <v>21</v>
      </c>
      <c r="J73" s="6">
        <v>20</v>
      </c>
      <c r="K73" s="6">
        <v>20</v>
      </c>
      <c r="L73" s="6">
        <v>24</v>
      </c>
      <c r="M73" s="6">
        <v>49</v>
      </c>
      <c r="N73" s="6">
        <v>27</v>
      </c>
      <c r="O73" s="6">
        <v>35</v>
      </c>
      <c r="P73" s="6">
        <v>19</v>
      </c>
      <c r="Q73" s="6">
        <v>50</v>
      </c>
      <c r="R73" s="6">
        <v>15</v>
      </c>
      <c r="S73" s="6">
        <v>10</v>
      </c>
      <c r="T73" s="6">
        <v>8</v>
      </c>
      <c r="U73" s="6">
        <v>8</v>
      </c>
      <c r="V73" s="5">
        <f t="shared" si="34"/>
        <v>477</v>
      </c>
    </row>
    <row r="74" spans="1:22" x14ac:dyDescent="0.4">
      <c r="A74" s="7"/>
      <c r="B74" s="46">
        <v>2</v>
      </c>
      <c r="C74" s="24" t="s">
        <v>122</v>
      </c>
      <c r="D74" s="47"/>
      <c r="E74" s="6">
        <v>3</v>
      </c>
      <c r="F74" s="6">
        <v>0</v>
      </c>
      <c r="G74" s="6">
        <v>2</v>
      </c>
      <c r="H74" s="6">
        <v>1</v>
      </c>
      <c r="I74" s="6">
        <v>1</v>
      </c>
      <c r="J74" s="6">
        <v>2</v>
      </c>
      <c r="K74" s="6">
        <v>0</v>
      </c>
      <c r="L74" s="6">
        <v>2</v>
      </c>
      <c r="M74" s="6">
        <v>1</v>
      </c>
      <c r="N74" s="6">
        <v>4</v>
      </c>
      <c r="O74" s="6">
        <v>6</v>
      </c>
      <c r="P74" s="6">
        <v>3</v>
      </c>
      <c r="Q74" s="6">
        <v>0</v>
      </c>
      <c r="R74" s="6">
        <v>0</v>
      </c>
      <c r="S74" s="6">
        <v>2</v>
      </c>
      <c r="T74" s="6"/>
      <c r="U74" s="6">
        <v>1</v>
      </c>
      <c r="V74" s="5">
        <f t="shared" si="34"/>
        <v>28</v>
      </c>
    </row>
    <row r="75" spans="1:22" x14ac:dyDescent="0.4">
      <c r="A75" s="7"/>
      <c r="B75" s="46">
        <v>3</v>
      </c>
      <c r="C75" s="24" t="s">
        <v>123</v>
      </c>
      <c r="D75" s="47"/>
      <c r="E75" s="6">
        <v>0</v>
      </c>
      <c r="F75" s="6">
        <v>0</v>
      </c>
      <c r="G75" s="6">
        <v>2</v>
      </c>
      <c r="H75" s="6">
        <v>0</v>
      </c>
      <c r="I75" s="6">
        <v>1</v>
      </c>
      <c r="J75" s="6">
        <v>1</v>
      </c>
      <c r="K75" s="6">
        <v>0</v>
      </c>
      <c r="L75" s="6">
        <v>1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2</v>
      </c>
      <c r="T75" s="6">
        <v>1</v>
      </c>
      <c r="U75" s="6">
        <v>1</v>
      </c>
      <c r="V75" s="5">
        <f t="shared" si="34"/>
        <v>9</v>
      </c>
    </row>
    <row r="76" spans="1:22" ht="13.15" customHeight="1" x14ac:dyDescent="0.4">
      <c r="A76" s="7"/>
      <c r="B76" s="46">
        <v>4</v>
      </c>
      <c r="C76" s="24" t="s">
        <v>124</v>
      </c>
      <c r="D76" s="47"/>
      <c r="E76" s="6">
        <v>0</v>
      </c>
      <c r="F76" s="6">
        <v>0</v>
      </c>
      <c r="G76" s="6">
        <v>0</v>
      </c>
      <c r="H76" s="6">
        <v>0</v>
      </c>
      <c r="I76" s="6">
        <v>1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2</v>
      </c>
      <c r="R76" s="6">
        <v>0</v>
      </c>
      <c r="S76" s="6">
        <v>0</v>
      </c>
      <c r="T76" s="6"/>
      <c r="U76" s="6"/>
      <c r="V76" s="5">
        <f t="shared" si="34"/>
        <v>3</v>
      </c>
    </row>
    <row r="77" spans="1:22" x14ac:dyDescent="0.4">
      <c r="A77" s="7"/>
      <c r="B77" s="46">
        <v>5</v>
      </c>
      <c r="C77" s="24" t="s">
        <v>125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1</v>
      </c>
      <c r="J77" s="6">
        <v>1</v>
      </c>
      <c r="K77" s="6">
        <v>0</v>
      </c>
      <c r="L77" s="6">
        <v>0</v>
      </c>
      <c r="M77" s="6">
        <v>1</v>
      </c>
      <c r="N77" s="6">
        <v>0</v>
      </c>
      <c r="O77" s="6">
        <v>0</v>
      </c>
      <c r="P77" s="6">
        <v>1</v>
      </c>
      <c r="Q77" s="6">
        <v>0</v>
      </c>
      <c r="R77" s="6">
        <v>0</v>
      </c>
      <c r="S77" s="6">
        <v>0</v>
      </c>
      <c r="T77" s="6">
        <v>2</v>
      </c>
      <c r="U77" s="6"/>
      <c r="V77" s="5">
        <f t="shared" si="34"/>
        <v>6</v>
      </c>
    </row>
    <row r="78" spans="1:22" x14ac:dyDescent="0.4">
      <c r="A78" s="7"/>
      <c r="B78" s="46">
        <v>6</v>
      </c>
      <c r="C78" s="24" t="s">
        <v>126</v>
      </c>
      <c r="D78" s="47"/>
      <c r="E78" s="6">
        <v>0</v>
      </c>
      <c r="F78" s="6">
        <v>0</v>
      </c>
      <c r="G78" s="6">
        <v>1</v>
      </c>
      <c r="H78" s="6">
        <v>1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2</v>
      </c>
      <c r="S78" s="6">
        <v>0</v>
      </c>
      <c r="T78" s="6"/>
      <c r="U78" s="6"/>
      <c r="V78" s="5">
        <f t="shared" si="34"/>
        <v>4</v>
      </c>
    </row>
    <row r="79" spans="1:22" x14ac:dyDescent="0.4">
      <c r="A79" s="6" t="s">
        <v>25</v>
      </c>
      <c r="B79" s="52" t="s">
        <v>50</v>
      </c>
      <c r="C79" s="68"/>
      <c r="D79" s="51"/>
      <c r="E79" s="5">
        <f t="shared" ref="E79:V79" si="35">SUM(E72:E78)</f>
        <v>69</v>
      </c>
      <c r="F79" s="5">
        <f t="shared" si="35"/>
        <v>48</v>
      </c>
      <c r="G79" s="5">
        <f t="shared" si="35"/>
        <v>50</v>
      </c>
      <c r="H79" s="5">
        <f t="shared" si="35"/>
        <v>46</v>
      </c>
      <c r="I79" s="5">
        <f t="shared" si="35"/>
        <v>28</v>
      </c>
      <c r="J79" s="5">
        <f t="shared" si="35"/>
        <v>30</v>
      </c>
      <c r="K79" s="5">
        <f t="shared" si="35"/>
        <v>24</v>
      </c>
      <c r="L79" s="5">
        <f t="shared" si="35"/>
        <v>31</v>
      </c>
      <c r="M79" s="5">
        <f t="shared" si="35"/>
        <v>55</v>
      </c>
      <c r="N79" s="5">
        <f t="shared" si="35"/>
        <v>38</v>
      </c>
      <c r="O79" s="5">
        <f t="shared" si="35"/>
        <v>49</v>
      </c>
      <c r="P79" s="5">
        <f t="shared" si="35"/>
        <v>26</v>
      </c>
      <c r="Q79" s="5">
        <f t="shared" si="35"/>
        <v>62</v>
      </c>
      <c r="R79" s="5">
        <f t="shared" si="35"/>
        <v>21</v>
      </c>
      <c r="S79" s="5">
        <f t="shared" si="35"/>
        <v>14</v>
      </c>
      <c r="T79" s="5">
        <f t="shared" si="35"/>
        <v>14</v>
      </c>
      <c r="U79" s="5">
        <f t="shared" si="35"/>
        <v>15</v>
      </c>
      <c r="V79" s="5">
        <f t="shared" si="35"/>
        <v>620</v>
      </c>
    </row>
    <row r="80" spans="1:22" x14ac:dyDescent="0.4">
      <c r="A80" s="69"/>
      <c r="B80" s="70"/>
      <c r="C80" s="70"/>
      <c r="D80" s="70"/>
      <c r="E80" s="70"/>
    </row>
    <row r="81" spans="1:22" x14ac:dyDescent="0.4">
      <c r="A81" s="11" t="s">
        <v>47</v>
      </c>
      <c r="B81" s="17" t="s">
        <v>54</v>
      </c>
      <c r="C81" s="50" t="s">
        <v>55</v>
      </c>
      <c r="D81" s="51"/>
      <c r="E81" s="6">
        <v>0</v>
      </c>
      <c r="F81" s="6">
        <v>0</v>
      </c>
      <c r="G81" s="6">
        <v>1</v>
      </c>
      <c r="H81" s="6">
        <v>3</v>
      </c>
      <c r="I81" s="6">
        <v>0</v>
      </c>
      <c r="J81" s="6">
        <v>1</v>
      </c>
      <c r="K81" s="6">
        <v>0</v>
      </c>
      <c r="L81" s="6">
        <v>1</v>
      </c>
      <c r="M81" s="6">
        <v>0</v>
      </c>
      <c r="N81" s="6">
        <v>1</v>
      </c>
      <c r="O81" s="6">
        <v>2</v>
      </c>
      <c r="P81" s="6">
        <v>2</v>
      </c>
      <c r="Q81" s="6">
        <v>3</v>
      </c>
      <c r="R81" s="6">
        <v>2</v>
      </c>
      <c r="S81" s="6">
        <v>2</v>
      </c>
      <c r="T81" s="6">
        <v>3</v>
      </c>
      <c r="U81" s="6">
        <v>3</v>
      </c>
      <c r="V81" s="5">
        <f t="shared" ref="V81:V87" si="36">SUM(E81:U81)</f>
        <v>24</v>
      </c>
    </row>
    <row r="82" spans="1:22" x14ac:dyDescent="0.4">
      <c r="A82" s="11" t="s">
        <v>49</v>
      </c>
      <c r="B82" s="46">
        <v>1</v>
      </c>
      <c r="C82" s="24" t="s">
        <v>127</v>
      </c>
      <c r="D82" s="47"/>
      <c r="E82" s="6">
        <v>1</v>
      </c>
      <c r="F82" s="6">
        <v>0</v>
      </c>
      <c r="G82" s="6">
        <v>0</v>
      </c>
      <c r="H82" s="6">
        <v>0</v>
      </c>
      <c r="I82" s="6">
        <v>0</v>
      </c>
      <c r="J82" s="6">
        <v>4</v>
      </c>
      <c r="K82" s="6">
        <v>0</v>
      </c>
      <c r="L82" s="6">
        <v>0</v>
      </c>
      <c r="M82" s="6">
        <v>0</v>
      </c>
      <c r="N82" s="6">
        <v>0</v>
      </c>
      <c r="O82" s="6">
        <v>1</v>
      </c>
      <c r="P82" s="6">
        <v>1</v>
      </c>
      <c r="Q82" s="6">
        <v>0</v>
      </c>
      <c r="R82" s="6">
        <v>2</v>
      </c>
      <c r="S82" s="6">
        <v>1</v>
      </c>
      <c r="T82" s="6"/>
      <c r="U82" s="6"/>
      <c r="V82" s="5">
        <f t="shared" si="36"/>
        <v>10</v>
      </c>
    </row>
    <row r="83" spans="1:22" x14ac:dyDescent="0.4">
      <c r="A83" s="7"/>
      <c r="B83" s="46">
        <v>2</v>
      </c>
      <c r="C83" s="24" t="s">
        <v>128</v>
      </c>
      <c r="D83" s="47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</v>
      </c>
      <c r="Q83" s="6">
        <v>1</v>
      </c>
      <c r="R83" s="6">
        <v>0</v>
      </c>
      <c r="S83" s="6">
        <v>0</v>
      </c>
      <c r="T83" s="6">
        <v>1</v>
      </c>
      <c r="U83" s="6"/>
      <c r="V83" s="5">
        <f t="shared" si="36"/>
        <v>3</v>
      </c>
    </row>
    <row r="84" spans="1:22" ht="13.15" customHeight="1" x14ac:dyDescent="0.4">
      <c r="A84" s="7"/>
      <c r="B84" s="46">
        <v>3</v>
      </c>
      <c r="C84" s="24" t="s">
        <v>129</v>
      </c>
      <c r="D84" s="47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2</v>
      </c>
      <c r="Q84" s="6">
        <v>1</v>
      </c>
      <c r="R84" s="6">
        <v>2</v>
      </c>
      <c r="S84" s="6">
        <v>0</v>
      </c>
      <c r="T84" s="6"/>
      <c r="U84" s="6"/>
      <c r="V84" s="5">
        <f t="shared" si="36"/>
        <v>5</v>
      </c>
    </row>
    <row r="85" spans="1:22" x14ac:dyDescent="0.4">
      <c r="A85" s="7"/>
      <c r="B85" s="46">
        <v>4</v>
      </c>
      <c r="C85" s="24" t="s">
        <v>130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1</v>
      </c>
      <c r="Q85" s="6">
        <v>1</v>
      </c>
      <c r="R85" s="6">
        <v>0</v>
      </c>
      <c r="S85" s="6">
        <v>0</v>
      </c>
      <c r="T85" s="6">
        <v>1</v>
      </c>
      <c r="U85" s="6"/>
      <c r="V85" s="5">
        <f t="shared" si="36"/>
        <v>3</v>
      </c>
    </row>
    <row r="86" spans="1:22" x14ac:dyDescent="0.4">
      <c r="A86" s="7"/>
      <c r="B86" s="46">
        <v>5</v>
      </c>
      <c r="C86" s="24" t="s">
        <v>131</v>
      </c>
      <c r="D86" s="47"/>
      <c r="E86" s="6">
        <v>2</v>
      </c>
      <c r="F86" s="6">
        <v>0</v>
      </c>
      <c r="G86" s="6">
        <v>0</v>
      </c>
      <c r="H86" s="6">
        <v>0</v>
      </c>
      <c r="I86" s="6">
        <v>0</v>
      </c>
      <c r="J86" s="6">
        <v>2</v>
      </c>
      <c r="K86" s="6">
        <v>2</v>
      </c>
      <c r="L86" s="6">
        <v>1</v>
      </c>
      <c r="M86" s="6">
        <v>0</v>
      </c>
      <c r="N86" s="6">
        <v>2</v>
      </c>
      <c r="O86" s="6">
        <v>1</v>
      </c>
      <c r="P86" s="6">
        <v>1</v>
      </c>
      <c r="Q86" s="6">
        <v>1</v>
      </c>
      <c r="R86" s="6">
        <v>3</v>
      </c>
      <c r="S86" s="6">
        <v>2</v>
      </c>
      <c r="T86" s="6">
        <v>4</v>
      </c>
      <c r="U86" s="6">
        <v>1</v>
      </c>
      <c r="V86" s="5">
        <f t="shared" si="36"/>
        <v>22</v>
      </c>
    </row>
    <row r="87" spans="1:22" x14ac:dyDescent="0.4">
      <c r="A87" s="7"/>
      <c r="B87" s="46">
        <v>6</v>
      </c>
      <c r="C87" s="24" t="s">
        <v>132</v>
      </c>
      <c r="D87" s="47"/>
      <c r="E87" s="6">
        <v>1</v>
      </c>
      <c r="F87" s="6">
        <v>1</v>
      </c>
      <c r="G87" s="6">
        <v>0</v>
      </c>
      <c r="H87" s="6">
        <v>0</v>
      </c>
      <c r="I87" s="6">
        <v>1</v>
      </c>
      <c r="J87" s="6">
        <v>1</v>
      </c>
      <c r="K87" s="6">
        <v>0</v>
      </c>
      <c r="L87" s="6">
        <v>2</v>
      </c>
      <c r="M87" s="6">
        <v>6</v>
      </c>
      <c r="N87" s="6">
        <v>3</v>
      </c>
      <c r="O87" s="6">
        <v>0</v>
      </c>
      <c r="P87" s="6">
        <v>0</v>
      </c>
      <c r="Q87" s="6">
        <v>0</v>
      </c>
      <c r="R87" s="6">
        <v>2</v>
      </c>
      <c r="S87" s="6"/>
      <c r="T87" s="6">
        <v>1</v>
      </c>
      <c r="U87" s="6"/>
      <c r="V87" s="5">
        <f t="shared" si="36"/>
        <v>18</v>
      </c>
    </row>
    <row r="88" spans="1:22" x14ac:dyDescent="0.4">
      <c r="A88" s="6" t="s">
        <v>25</v>
      </c>
      <c r="B88" s="52" t="s">
        <v>50</v>
      </c>
      <c r="C88" s="68"/>
      <c r="D88" s="51"/>
      <c r="E88" s="5">
        <f t="shared" ref="E88:V88" si="37">SUM(E81:E87)</f>
        <v>4</v>
      </c>
      <c r="F88" s="5">
        <f t="shared" si="37"/>
        <v>1</v>
      </c>
      <c r="G88" s="5">
        <f t="shared" si="37"/>
        <v>1</v>
      </c>
      <c r="H88" s="5">
        <f t="shared" si="37"/>
        <v>3</v>
      </c>
      <c r="I88" s="5">
        <f t="shared" si="37"/>
        <v>1</v>
      </c>
      <c r="J88" s="5">
        <f t="shared" si="37"/>
        <v>8</v>
      </c>
      <c r="K88" s="5">
        <f t="shared" si="37"/>
        <v>2</v>
      </c>
      <c r="L88" s="5">
        <f t="shared" si="37"/>
        <v>4</v>
      </c>
      <c r="M88" s="5">
        <f t="shared" si="37"/>
        <v>6</v>
      </c>
      <c r="N88" s="5">
        <f t="shared" si="37"/>
        <v>6</v>
      </c>
      <c r="O88" s="5">
        <f t="shared" si="37"/>
        <v>4</v>
      </c>
      <c r="P88" s="5">
        <f t="shared" si="37"/>
        <v>8</v>
      </c>
      <c r="Q88" s="5">
        <f t="shared" si="37"/>
        <v>7</v>
      </c>
      <c r="R88" s="5">
        <f t="shared" si="37"/>
        <v>11</v>
      </c>
      <c r="S88" s="5">
        <f t="shared" si="37"/>
        <v>5</v>
      </c>
      <c r="T88" s="5">
        <f t="shared" si="37"/>
        <v>10</v>
      </c>
      <c r="U88" s="5">
        <f t="shared" si="37"/>
        <v>4</v>
      </c>
      <c r="V88" s="5">
        <f t="shared" si="37"/>
        <v>85</v>
      </c>
    </row>
    <row r="89" spans="1:22" x14ac:dyDescent="0.4">
      <c r="A89" s="69"/>
      <c r="B89" s="70"/>
      <c r="C89" s="70"/>
      <c r="D89" s="70"/>
      <c r="E89" s="70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 spans="1:22" x14ac:dyDescent="0.4">
      <c r="A90" s="11" t="s">
        <v>47</v>
      </c>
      <c r="B90" s="17" t="s">
        <v>56</v>
      </c>
      <c r="C90" s="50" t="s">
        <v>57</v>
      </c>
      <c r="D90" s="51"/>
      <c r="E90" s="6"/>
      <c r="F90" s="6"/>
      <c r="G90" s="6">
        <v>1</v>
      </c>
      <c r="H90" s="6">
        <v>1</v>
      </c>
      <c r="I90" s="6">
        <v>4</v>
      </c>
      <c r="J90" s="6"/>
      <c r="K90" s="6">
        <v>1</v>
      </c>
      <c r="L90" s="6"/>
      <c r="M90" s="6">
        <v>2</v>
      </c>
      <c r="N90" s="6"/>
      <c r="O90" s="6"/>
      <c r="P90" s="6"/>
      <c r="Q90" s="6"/>
      <c r="R90" s="6">
        <v>4</v>
      </c>
      <c r="S90" s="6"/>
      <c r="T90" s="6">
        <v>2</v>
      </c>
      <c r="U90" s="6">
        <v>1</v>
      </c>
      <c r="V90" s="5">
        <f t="shared" ref="V90" si="38">SUM(E90:U90)</f>
        <v>16</v>
      </c>
    </row>
    <row r="91" spans="1:22" ht="13.15" customHeight="1" x14ac:dyDescent="0.4">
      <c r="A91" s="6" t="s">
        <v>25</v>
      </c>
      <c r="B91" s="52" t="s">
        <v>50</v>
      </c>
      <c r="C91" s="53"/>
      <c r="D91" s="54"/>
      <c r="E91" s="5">
        <f t="shared" ref="E91:V91" si="39">SUM(E90:E90)</f>
        <v>0</v>
      </c>
      <c r="F91" s="5">
        <f t="shared" si="39"/>
        <v>0</v>
      </c>
      <c r="G91" s="5">
        <f t="shared" si="39"/>
        <v>1</v>
      </c>
      <c r="H91" s="5">
        <f t="shared" si="39"/>
        <v>1</v>
      </c>
      <c r="I91" s="5">
        <f t="shared" si="39"/>
        <v>4</v>
      </c>
      <c r="J91" s="5">
        <f t="shared" si="39"/>
        <v>0</v>
      </c>
      <c r="K91" s="5">
        <f t="shared" si="39"/>
        <v>1</v>
      </c>
      <c r="L91" s="5">
        <f t="shared" si="39"/>
        <v>0</v>
      </c>
      <c r="M91" s="5">
        <f t="shared" si="39"/>
        <v>2</v>
      </c>
      <c r="N91" s="5">
        <f t="shared" si="39"/>
        <v>0</v>
      </c>
      <c r="O91" s="5">
        <f t="shared" si="39"/>
        <v>0</v>
      </c>
      <c r="P91" s="5">
        <f t="shared" si="39"/>
        <v>0</v>
      </c>
      <c r="Q91" s="5">
        <f t="shared" si="39"/>
        <v>0</v>
      </c>
      <c r="R91" s="5">
        <f t="shared" si="39"/>
        <v>4</v>
      </c>
      <c r="S91" s="5">
        <f t="shared" si="39"/>
        <v>0</v>
      </c>
      <c r="T91" s="5">
        <f t="shared" si="39"/>
        <v>2</v>
      </c>
      <c r="U91" s="5">
        <f t="shared" si="39"/>
        <v>1</v>
      </c>
      <c r="V91" s="5">
        <f t="shared" si="39"/>
        <v>16</v>
      </c>
    </row>
    <row r="92" spans="1:22" x14ac:dyDescent="0.4">
      <c r="A92" s="55"/>
      <c r="B92" s="56"/>
      <c r="C92" s="56"/>
      <c r="D92" s="56"/>
      <c r="E92" s="5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5"/>
    </row>
    <row r="93" spans="1:22" x14ac:dyDescent="0.4">
      <c r="A93" s="11" t="s">
        <v>47</v>
      </c>
      <c r="B93" s="17" t="s">
        <v>58</v>
      </c>
      <c r="C93" s="50" t="s">
        <v>59</v>
      </c>
      <c r="D93" s="51"/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2</v>
      </c>
      <c r="P93" s="6">
        <v>0</v>
      </c>
      <c r="Q93" s="6">
        <v>1</v>
      </c>
      <c r="R93" s="6">
        <v>0</v>
      </c>
      <c r="S93" s="6">
        <v>0</v>
      </c>
      <c r="T93" s="6"/>
      <c r="U93" s="6"/>
      <c r="V93" s="5">
        <f t="shared" ref="V93:V97" si="40">SUM(E93:U93)</f>
        <v>3</v>
      </c>
    </row>
    <row r="94" spans="1:22" x14ac:dyDescent="0.4">
      <c r="A94" s="11" t="s">
        <v>49</v>
      </c>
      <c r="B94" s="46">
        <v>1</v>
      </c>
      <c r="C94" s="24" t="s">
        <v>133</v>
      </c>
      <c r="D94" s="47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/>
      <c r="U94" s="6"/>
      <c r="V94" s="5">
        <f t="shared" si="40"/>
        <v>0</v>
      </c>
    </row>
    <row r="95" spans="1:22" x14ac:dyDescent="0.4">
      <c r="A95" s="7"/>
      <c r="B95" s="46">
        <v>2</v>
      </c>
      <c r="C95" s="24" t="s">
        <v>134</v>
      </c>
      <c r="D95" s="47"/>
      <c r="E95" s="6">
        <v>0</v>
      </c>
      <c r="F95" s="6">
        <v>0</v>
      </c>
      <c r="G95" s="6">
        <v>0</v>
      </c>
      <c r="H95" s="6">
        <v>1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2</v>
      </c>
      <c r="P95" s="6">
        <v>1</v>
      </c>
      <c r="Q95" s="6">
        <v>0</v>
      </c>
      <c r="R95" s="6">
        <v>0</v>
      </c>
      <c r="S95" s="6">
        <v>0</v>
      </c>
      <c r="T95" s="6"/>
      <c r="U95" s="6">
        <v>1</v>
      </c>
      <c r="V95" s="5">
        <f t="shared" si="40"/>
        <v>5</v>
      </c>
    </row>
    <row r="96" spans="1:22" x14ac:dyDescent="0.4">
      <c r="A96" s="7"/>
      <c r="B96" s="46">
        <v>3</v>
      </c>
      <c r="C96" s="24" t="s">
        <v>135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/>
      <c r="U96" s="6"/>
      <c r="V96" s="5">
        <f t="shared" si="40"/>
        <v>0</v>
      </c>
    </row>
    <row r="97" spans="1:22" x14ac:dyDescent="0.4">
      <c r="A97" s="7"/>
      <c r="B97" s="46">
        <v>4</v>
      </c>
      <c r="C97" s="24" t="s">
        <v>136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/>
      <c r="U97" s="6">
        <v>1</v>
      </c>
      <c r="V97" s="5">
        <f t="shared" si="40"/>
        <v>1</v>
      </c>
    </row>
    <row r="98" spans="1:22" x14ac:dyDescent="0.4">
      <c r="A98" s="6" t="s">
        <v>25</v>
      </c>
      <c r="B98" s="52" t="s">
        <v>50</v>
      </c>
      <c r="C98" s="53"/>
      <c r="D98" s="54"/>
      <c r="E98" s="5">
        <f t="shared" ref="E98:V98" si="41">SUM(E93:E97)</f>
        <v>0</v>
      </c>
      <c r="F98" s="5">
        <f t="shared" si="41"/>
        <v>0</v>
      </c>
      <c r="G98" s="5">
        <f t="shared" si="41"/>
        <v>0</v>
      </c>
      <c r="H98" s="5">
        <f t="shared" si="41"/>
        <v>1</v>
      </c>
      <c r="I98" s="5">
        <f t="shared" si="41"/>
        <v>0</v>
      </c>
      <c r="J98" s="5">
        <f t="shared" si="41"/>
        <v>0</v>
      </c>
      <c r="K98" s="5">
        <f t="shared" si="41"/>
        <v>0</v>
      </c>
      <c r="L98" s="5">
        <f t="shared" si="41"/>
        <v>0</v>
      </c>
      <c r="M98" s="5">
        <f t="shared" si="41"/>
        <v>0</v>
      </c>
      <c r="N98" s="5">
        <f t="shared" si="41"/>
        <v>0</v>
      </c>
      <c r="O98" s="5">
        <f t="shared" si="41"/>
        <v>4</v>
      </c>
      <c r="P98" s="5">
        <f t="shared" si="41"/>
        <v>1</v>
      </c>
      <c r="Q98" s="5">
        <f t="shared" si="41"/>
        <v>1</v>
      </c>
      <c r="R98" s="5">
        <f t="shared" si="41"/>
        <v>0</v>
      </c>
      <c r="S98" s="5">
        <f t="shared" si="41"/>
        <v>0</v>
      </c>
      <c r="T98" s="5">
        <f t="shared" si="41"/>
        <v>0</v>
      </c>
      <c r="U98" s="5">
        <f t="shared" si="41"/>
        <v>2</v>
      </c>
      <c r="V98" s="5">
        <f t="shared" si="41"/>
        <v>9</v>
      </c>
    </row>
    <row r="99" spans="1:22" x14ac:dyDescent="0.4">
      <c r="A99" s="55"/>
      <c r="B99" s="56"/>
      <c r="C99" s="56"/>
      <c r="D99" s="56"/>
      <c r="E99" s="5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spans="1:22" x14ac:dyDescent="0.4">
      <c r="A100" s="11" t="s">
        <v>47</v>
      </c>
      <c r="B100" s="17" t="s">
        <v>60</v>
      </c>
      <c r="C100" s="50" t="s">
        <v>61</v>
      </c>
      <c r="D100" s="51"/>
      <c r="E100" s="6">
        <v>2</v>
      </c>
      <c r="F100" s="6">
        <v>2</v>
      </c>
      <c r="G100" s="6">
        <v>4</v>
      </c>
      <c r="H100" s="6">
        <v>1</v>
      </c>
      <c r="I100" s="6">
        <v>4</v>
      </c>
      <c r="J100" s="6">
        <v>11</v>
      </c>
      <c r="K100" s="6">
        <v>2</v>
      </c>
      <c r="L100" s="6">
        <v>5</v>
      </c>
      <c r="M100" s="6">
        <v>2</v>
      </c>
      <c r="N100" s="6">
        <v>0</v>
      </c>
      <c r="O100" s="6">
        <v>1</v>
      </c>
      <c r="P100" s="6">
        <v>0</v>
      </c>
      <c r="Q100" s="6">
        <v>3</v>
      </c>
      <c r="R100" s="6">
        <v>4</v>
      </c>
      <c r="S100" s="6">
        <v>2</v>
      </c>
      <c r="T100" s="6">
        <v>8</v>
      </c>
      <c r="U100" s="6">
        <v>7</v>
      </c>
      <c r="V100" s="5">
        <f t="shared" ref="V100:V106" si="42">SUM(E100:U100)</f>
        <v>58</v>
      </c>
    </row>
    <row r="101" spans="1:22" ht="13.15" customHeight="1" x14ac:dyDescent="0.4">
      <c r="A101" s="11" t="s">
        <v>49</v>
      </c>
      <c r="B101" s="46">
        <v>1</v>
      </c>
      <c r="C101" s="24" t="s">
        <v>137</v>
      </c>
      <c r="D101" s="47"/>
      <c r="E101" s="6">
        <v>2</v>
      </c>
      <c r="F101" s="6">
        <v>4</v>
      </c>
      <c r="G101" s="6">
        <v>4</v>
      </c>
      <c r="H101" s="6">
        <v>5</v>
      </c>
      <c r="I101" s="6">
        <v>8</v>
      </c>
      <c r="J101" s="6">
        <v>15</v>
      </c>
      <c r="K101" s="6">
        <v>9</v>
      </c>
      <c r="L101" s="6">
        <v>34</v>
      </c>
      <c r="M101" s="6">
        <v>8</v>
      </c>
      <c r="N101" s="6">
        <v>4</v>
      </c>
      <c r="O101" s="6">
        <v>7</v>
      </c>
      <c r="P101" s="6">
        <v>7</v>
      </c>
      <c r="Q101" s="6">
        <v>10</v>
      </c>
      <c r="R101" s="6">
        <v>14</v>
      </c>
      <c r="S101" s="6">
        <v>1</v>
      </c>
      <c r="T101" s="6">
        <v>6</v>
      </c>
      <c r="U101" s="6">
        <v>4</v>
      </c>
      <c r="V101" s="5">
        <f t="shared" si="42"/>
        <v>142</v>
      </c>
    </row>
    <row r="102" spans="1:22" x14ac:dyDescent="0.4">
      <c r="A102" s="7"/>
      <c r="B102" s="46">
        <v>2</v>
      </c>
      <c r="C102" s="24" t="s">
        <v>138</v>
      </c>
      <c r="D102" s="47"/>
      <c r="E102" s="6">
        <v>0</v>
      </c>
      <c r="F102" s="6">
        <v>0</v>
      </c>
      <c r="G102" s="6">
        <v>3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1</v>
      </c>
      <c r="S102" s="6">
        <v>0</v>
      </c>
      <c r="T102" s="6">
        <v>3</v>
      </c>
      <c r="U102" s="6">
        <v>2</v>
      </c>
      <c r="V102" s="5">
        <f t="shared" si="42"/>
        <v>9</v>
      </c>
    </row>
    <row r="103" spans="1:22" x14ac:dyDescent="0.4">
      <c r="A103" s="7"/>
      <c r="B103" s="46">
        <v>3</v>
      </c>
      <c r="C103" s="24" t="s">
        <v>139</v>
      </c>
      <c r="D103" s="47"/>
      <c r="E103" s="6">
        <v>0</v>
      </c>
      <c r="F103" s="6">
        <v>1</v>
      </c>
      <c r="G103" s="6">
        <v>0</v>
      </c>
      <c r="H103" s="6">
        <v>1</v>
      </c>
      <c r="I103" s="6">
        <v>10</v>
      </c>
      <c r="J103" s="6">
        <v>0</v>
      </c>
      <c r="K103" s="6">
        <v>1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3</v>
      </c>
      <c r="S103" s="6">
        <v>0</v>
      </c>
      <c r="T103" s="6">
        <v>2</v>
      </c>
      <c r="U103" s="6">
        <v>3</v>
      </c>
      <c r="V103" s="5">
        <f t="shared" si="42"/>
        <v>21</v>
      </c>
    </row>
    <row r="104" spans="1:22" x14ac:dyDescent="0.4">
      <c r="A104" s="7"/>
      <c r="B104" s="46">
        <v>4</v>
      </c>
      <c r="C104" s="24" t="s">
        <v>140</v>
      </c>
      <c r="D104" s="47"/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4</v>
      </c>
      <c r="K104" s="6">
        <v>0</v>
      </c>
      <c r="L104" s="6">
        <v>0</v>
      </c>
      <c r="M104" s="6">
        <v>0</v>
      </c>
      <c r="N104" s="6">
        <v>0</v>
      </c>
      <c r="O104" s="6">
        <v>1</v>
      </c>
      <c r="P104" s="6">
        <v>0</v>
      </c>
      <c r="Q104" s="6">
        <v>0</v>
      </c>
      <c r="R104" s="6">
        <v>0</v>
      </c>
      <c r="S104" s="6">
        <v>0</v>
      </c>
      <c r="T104" s="6"/>
      <c r="U104" s="6"/>
      <c r="V104" s="5">
        <f t="shared" si="42"/>
        <v>5</v>
      </c>
    </row>
    <row r="105" spans="1:22" x14ac:dyDescent="0.4">
      <c r="A105" s="7"/>
      <c r="B105" s="46">
        <v>5</v>
      </c>
      <c r="C105" s="24" t="s">
        <v>141</v>
      </c>
      <c r="D105" s="47"/>
      <c r="E105" s="6">
        <v>0</v>
      </c>
      <c r="F105" s="6">
        <v>0</v>
      </c>
      <c r="G105" s="6">
        <v>2</v>
      </c>
      <c r="H105" s="6">
        <v>0</v>
      </c>
      <c r="I105" s="6">
        <v>1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1</v>
      </c>
      <c r="Q105" s="6">
        <v>0</v>
      </c>
      <c r="R105" s="6">
        <v>1</v>
      </c>
      <c r="S105" s="6">
        <v>0</v>
      </c>
      <c r="T105" s="6"/>
      <c r="U105" s="6"/>
      <c r="V105" s="5">
        <f t="shared" si="42"/>
        <v>5</v>
      </c>
    </row>
    <row r="106" spans="1:22" x14ac:dyDescent="0.4">
      <c r="A106" s="7"/>
      <c r="B106" s="46">
        <v>6</v>
      </c>
      <c r="C106" s="24" t="s">
        <v>142</v>
      </c>
      <c r="D106" s="47"/>
      <c r="E106" s="6">
        <v>0</v>
      </c>
      <c r="F106" s="6">
        <v>0</v>
      </c>
      <c r="G106" s="6">
        <v>0</v>
      </c>
      <c r="H106" s="6">
        <v>0</v>
      </c>
      <c r="I106" s="6">
        <v>3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3</v>
      </c>
      <c r="U106" s="6">
        <v>1</v>
      </c>
      <c r="V106" s="5">
        <f t="shared" si="42"/>
        <v>7</v>
      </c>
    </row>
    <row r="107" spans="1:22" x14ac:dyDescent="0.4">
      <c r="A107" s="6" t="s">
        <v>25</v>
      </c>
      <c r="B107" s="52" t="s">
        <v>50</v>
      </c>
      <c r="C107" s="53"/>
      <c r="D107" s="54"/>
      <c r="E107" s="5">
        <f t="shared" ref="E107:V107" si="43">SUM(E100:E106)</f>
        <v>4</v>
      </c>
      <c r="F107" s="5">
        <f t="shared" si="43"/>
        <v>7</v>
      </c>
      <c r="G107" s="5">
        <f t="shared" si="43"/>
        <v>13</v>
      </c>
      <c r="H107" s="5">
        <f t="shared" si="43"/>
        <v>7</v>
      </c>
      <c r="I107" s="5">
        <f t="shared" si="43"/>
        <v>26</v>
      </c>
      <c r="J107" s="5">
        <f t="shared" si="43"/>
        <v>30</v>
      </c>
      <c r="K107" s="5">
        <f t="shared" si="43"/>
        <v>12</v>
      </c>
      <c r="L107" s="5">
        <f t="shared" si="43"/>
        <v>39</v>
      </c>
      <c r="M107" s="5">
        <f t="shared" si="43"/>
        <v>10</v>
      </c>
      <c r="N107" s="5">
        <f t="shared" si="43"/>
        <v>4</v>
      </c>
      <c r="O107" s="5">
        <f t="shared" si="43"/>
        <v>9</v>
      </c>
      <c r="P107" s="5">
        <f t="shared" si="43"/>
        <v>8</v>
      </c>
      <c r="Q107" s="5">
        <f t="shared" si="43"/>
        <v>13</v>
      </c>
      <c r="R107" s="5">
        <f t="shared" si="43"/>
        <v>23</v>
      </c>
      <c r="S107" s="5">
        <f t="shared" si="43"/>
        <v>3</v>
      </c>
      <c r="T107" s="5">
        <f t="shared" si="43"/>
        <v>22</v>
      </c>
      <c r="U107" s="5">
        <f t="shared" si="43"/>
        <v>17</v>
      </c>
      <c r="V107" s="5">
        <f t="shared" si="43"/>
        <v>247</v>
      </c>
    </row>
    <row r="108" spans="1:22" x14ac:dyDescent="0.4">
      <c r="A108" s="55"/>
      <c r="B108" s="56"/>
      <c r="C108" s="56"/>
      <c r="D108" s="56"/>
      <c r="E108" s="5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spans="1:22" ht="13.15" customHeight="1" x14ac:dyDescent="0.4">
      <c r="A109" s="11" t="s">
        <v>47</v>
      </c>
      <c r="B109" s="17" t="s">
        <v>62</v>
      </c>
      <c r="C109" s="50" t="s">
        <v>63</v>
      </c>
      <c r="D109" s="51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/>
      <c r="U109" s="6"/>
      <c r="V109" s="5">
        <f t="shared" ref="V109:V112" si="44">SUM(E109:U109)</f>
        <v>0</v>
      </c>
    </row>
    <row r="110" spans="1:22" x14ac:dyDescent="0.4">
      <c r="A110" s="11" t="s">
        <v>49</v>
      </c>
      <c r="B110" s="46">
        <v>1</v>
      </c>
      <c r="C110" s="24" t="s">
        <v>143</v>
      </c>
      <c r="D110" s="45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/>
      <c r="U110" s="6"/>
      <c r="V110" s="5">
        <f t="shared" si="44"/>
        <v>0</v>
      </c>
    </row>
    <row r="111" spans="1:22" x14ac:dyDescent="0.4">
      <c r="A111" s="7"/>
      <c r="B111" s="46">
        <v>2</v>
      </c>
      <c r="C111" s="24" t="s">
        <v>144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1</v>
      </c>
      <c r="T111" s="6">
        <v>1</v>
      </c>
      <c r="U111" s="6"/>
      <c r="V111" s="5">
        <f t="shared" si="44"/>
        <v>2</v>
      </c>
    </row>
    <row r="112" spans="1:22" x14ac:dyDescent="0.4">
      <c r="A112" s="7"/>
      <c r="B112" s="46">
        <v>3</v>
      </c>
      <c r="C112" s="24" t="s">
        <v>145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/>
      <c r="U112" s="6"/>
      <c r="V112" s="5">
        <f t="shared" si="44"/>
        <v>0</v>
      </c>
    </row>
    <row r="113" spans="1:22" ht="13.15" customHeight="1" x14ac:dyDescent="0.4">
      <c r="A113" s="6" t="s">
        <v>25</v>
      </c>
      <c r="B113" s="52" t="s">
        <v>50</v>
      </c>
      <c r="C113" s="53"/>
      <c r="D113" s="54"/>
      <c r="E113" s="5">
        <f t="shared" ref="E113:V113" si="45">SUM(E109:E112)</f>
        <v>0</v>
      </c>
      <c r="F113" s="5">
        <f t="shared" si="45"/>
        <v>0</v>
      </c>
      <c r="G113" s="5">
        <f t="shared" si="45"/>
        <v>0</v>
      </c>
      <c r="H113" s="5">
        <f t="shared" si="45"/>
        <v>0</v>
      </c>
      <c r="I113" s="5">
        <f t="shared" si="45"/>
        <v>0</v>
      </c>
      <c r="J113" s="5">
        <f t="shared" si="45"/>
        <v>0</v>
      </c>
      <c r="K113" s="5">
        <f t="shared" si="45"/>
        <v>0</v>
      </c>
      <c r="L113" s="5">
        <f t="shared" si="45"/>
        <v>0</v>
      </c>
      <c r="M113" s="5">
        <f t="shared" si="45"/>
        <v>0</v>
      </c>
      <c r="N113" s="5">
        <f t="shared" si="45"/>
        <v>0</v>
      </c>
      <c r="O113" s="5">
        <f t="shared" si="45"/>
        <v>0</v>
      </c>
      <c r="P113" s="5">
        <f t="shared" si="45"/>
        <v>0</v>
      </c>
      <c r="Q113" s="5">
        <f t="shared" si="45"/>
        <v>0</v>
      </c>
      <c r="R113" s="5">
        <f t="shared" si="45"/>
        <v>0</v>
      </c>
      <c r="S113" s="5">
        <f t="shared" si="45"/>
        <v>1</v>
      </c>
      <c r="T113" s="5">
        <f t="shared" si="45"/>
        <v>1</v>
      </c>
      <c r="U113" s="5">
        <f t="shared" si="45"/>
        <v>0</v>
      </c>
      <c r="V113" s="5">
        <f t="shared" si="45"/>
        <v>2</v>
      </c>
    </row>
    <row r="114" spans="1:22" x14ac:dyDescent="0.4">
      <c r="A114" s="55"/>
      <c r="B114" s="56"/>
      <c r="C114" s="56"/>
      <c r="D114" s="56"/>
      <c r="E114" s="5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5"/>
    </row>
    <row r="115" spans="1:22" x14ac:dyDescent="0.4">
      <c r="A115" s="11" t="s">
        <v>47</v>
      </c>
      <c r="B115" s="44" t="s">
        <v>64</v>
      </c>
      <c r="C115" s="63" t="s">
        <v>65</v>
      </c>
      <c r="D115" s="64"/>
      <c r="E115" s="6">
        <v>0</v>
      </c>
      <c r="F115" s="6">
        <v>0</v>
      </c>
      <c r="G115" s="6">
        <v>0</v>
      </c>
      <c r="H115" s="6">
        <v>0</v>
      </c>
      <c r="I115" s="6">
        <v>1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1</v>
      </c>
      <c r="Q115" s="6">
        <v>0</v>
      </c>
      <c r="R115" s="6">
        <v>0</v>
      </c>
      <c r="S115" s="6">
        <v>0</v>
      </c>
      <c r="T115" s="6"/>
      <c r="U115" s="6">
        <v>2</v>
      </c>
      <c r="V115" s="5">
        <f t="shared" ref="V115:V121" si="46">SUM(E115:U115)</f>
        <v>4</v>
      </c>
    </row>
    <row r="116" spans="1:22" x14ac:dyDescent="0.4">
      <c r="A116" s="48" t="s">
        <v>49</v>
      </c>
      <c r="B116" s="46">
        <v>1</v>
      </c>
      <c r="C116" s="24" t="s">
        <v>146</v>
      </c>
      <c r="D116" s="47"/>
      <c r="E116" s="49">
        <v>0</v>
      </c>
      <c r="F116" s="6">
        <v>0</v>
      </c>
      <c r="G116" s="6">
        <v>4</v>
      </c>
      <c r="H116" s="6">
        <v>0</v>
      </c>
      <c r="I116" s="6">
        <v>1</v>
      </c>
      <c r="J116" s="6">
        <v>1</v>
      </c>
      <c r="K116" s="6">
        <v>1</v>
      </c>
      <c r="L116" s="6">
        <v>0</v>
      </c>
      <c r="M116" s="6">
        <v>1</v>
      </c>
      <c r="N116" s="6">
        <v>0</v>
      </c>
      <c r="O116" s="6">
        <v>1</v>
      </c>
      <c r="P116" s="6">
        <v>1</v>
      </c>
      <c r="Q116" s="6">
        <v>0</v>
      </c>
      <c r="R116" s="6">
        <v>1</v>
      </c>
      <c r="S116" s="6">
        <v>0</v>
      </c>
      <c r="T116" s="6"/>
      <c r="U116" s="6"/>
      <c r="V116" s="5">
        <f t="shared" si="46"/>
        <v>11</v>
      </c>
    </row>
    <row r="117" spans="1:22" x14ac:dyDescent="0.4">
      <c r="A117" s="7"/>
      <c r="B117" s="46">
        <v>2</v>
      </c>
      <c r="C117" s="24" t="s">
        <v>147</v>
      </c>
      <c r="D117" s="47"/>
      <c r="E117" s="49">
        <v>2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1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2</v>
      </c>
      <c r="S117" s="6">
        <v>0</v>
      </c>
      <c r="T117" s="6">
        <v>3</v>
      </c>
      <c r="U117" s="6"/>
      <c r="V117" s="5">
        <f t="shared" si="46"/>
        <v>8</v>
      </c>
    </row>
    <row r="118" spans="1:22" x14ac:dyDescent="0.4">
      <c r="A118" s="7"/>
      <c r="B118" s="46">
        <v>3</v>
      </c>
      <c r="C118" s="24" t="s">
        <v>148</v>
      </c>
      <c r="D118" s="47"/>
      <c r="E118" s="49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/>
      <c r="U118" s="6"/>
      <c r="V118" s="5">
        <f t="shared" si="46"/>
        <v>0</v>
      </c>
    </row>
    <row r="119" spans="1:22" x14ac:dyDescent="0.4">
      <c r="A119" s="7"/>
      <c r="B119" s="46">
        <v>4</v>
      </c>
      <c r="C119" s="24" t="s">
        <v>149</v>
      </c>
      <c r="D119" s="47"/>
      <c r="E119" s="49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/>
      <c r="U119" s="6">
        <v>1</v>
      </c>
      <c r="V119" s="5">
        <f t="shared" si="46"/>
        <v>1</v>
      </c>
    </row>
    <row r="120" spans="1:22" x14ac:dyDescent="0.4">
      <c r="A120" s="7"/>
      <c r="B120" s="46">
        <v>5</v>
      </c>
      <c r="C120" s="24" t="s">
        <v>150</v>
      </c>
      <c r="D120" s="47"/>
      <c r="E120" s="49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1</v>
      </c>
      <c r="O120" s="6">
        <v>0</v>
      </c>
      <c r="P120" s="6">
        <v>0</v>
      </c>
      <c r="Q120" s="6">
        <v>0</v>
      </c>
      <c r="R120" s="6">
        <v>1</v>
      </c>
      <c r="S120" s="6">
        <v>0</v>
      </c>
      <c r="T120" s="6"/>
      <c r="U120" s="6"/>
      <c r="V120" s="5">
        <f t="shared" si="46"/>
        <v>2</v>
      </c>
    </row>
    <row r="121" spans="1:22" x14ac:dyDescent="0.4">
      <c r="A121" s="7"/>
      <c r="B121" s="46">
        <v>6</v>
      </c>
      <c r="C121" s="24" t="s">
        <v>151</v>
      </c>
      <c r="D121" s="47"/>
      <c r="E121" s="49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/>
      <c r="U121" s="6"/>
      <c r="V121" s="5">
        <f t="shared" si="46"/>
        <v>0</v>
      </c>
    </row>
    <row r="122" spans="1:22" x14ac:dyDescent="0.4">
      <c r="A122" s="6" t="s">
        <v>25</v>
      </c>
      <c r="B122" s="65" t="s">
        <v>50</v>
      </c>
      <c r="C122" s="66"/>
      <c r="D122" s="67"/>
      <c r="E122" s="5">
        <f t="shared" ref="E122:V122" si="47">SUM(E115:E121)</f>
        <v>2</v>
      </c>
      <c r="F122" s="5">
        <f t="shared" si="47"/>
        <v>0</v>
      </c>
      <c r="G122" s="5">
        <f t="shared" si="47"/>
        <v>4</v>
      </c>
      <c r="H122" s="5">
        <f t="shared" si="47"/>
        <v>0</v>
      </c>
      <c r="I122" s="5">
        <f t="shared" si="47"/>
        <v>2</v>
      </c>
      <c r="J122" s="5">
        <f t="shared" si="47"/>
        <v>1</v>
      </c>
      <c r="K122" s="5">
        <f t="shared" si="47"/>
        <v>1</v>
      </c>
      <c r="L122" s="5">
        <f t="shared" si="47"/>
        <v>1</v>
      </c>
      <c r="M122" s="5">
        <f t="shared" si="47"/>
        <v>1</v>
      </c>
      <c r="N122" s="5">
        <f t="shared" si="47"/>
        <v>1</v>
      </c>
      <c r="O122" s="5">
        <f t="shared" si="47"/>
        <v>1</v>
      </c>
      <c r="P122" s="5">
        <f t="shared" si="47"/>
        <v>2</v>
      </c>
      <c r="Q122" s="5">
        <f t="shared" si="47"/>
        <v>0</v>
      </c>
      <c r="R122" s="5">
        <f t="shared" si="47"/>
        <v>4</v>
      </c>
      <c r="S122" s="5">
        <f t="shared" si="47"/>
        <v>0</v>
      </c>
      <c r="T122" s="5">
        <f t="shared" si="47"/>
        <v>3</v>
      </c>
      <c r="U122" s="5">
        <f t="shared" si="47"/>
        <v>3</v>
      </c>
      <c r="V122" s="5">
        <f t="shared" si="47"/>
        <v>26</v>
      </c>
    </row>
    <row r="123" spans="1:22" x14ac:dyDescent="0.4">
      <c r="A123" s="55"/>
      <c r="B123" s="56"/>
      <c r="C123" s="56"/>
      <c r="D123" s="56"/>
      <c r="E123" s="5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spans="1:22" ht="13.15" customHeight="1" x14ac:dyDescent="0.4">
      <c r="A124" s="11" t="s">
        <v>47</v>
      </c>
      <c r="B124" s="17" t="s">
        <v>66</v>
      </c>
      <c r="C124" s="50" t="s">
        <v>67</v>
      </c>
      <c r="D124" s="51"/>
      <c r="E124" s="6"/>
      <c r="F124" s="6">
        <v>1</v>
      </c>
      <c r="G124" s="6">
        <v>1</v>
      </c>
      <c r="H124" s="6"/>
      <c r="I124" s="6">
        <v>1</v>
      </c>
      <c r="J124" s="6"/>
      <c r="K124" s="6"/>
      <c r="L124" s="6"/>
      <c r="M124" s="6"/>
      <c r="N124" s="6"/>
      <c r="O124" s="6"/>
      <c r="P124" s="6"/>
      <c r="Q124" s="6">
        <v>1</v>
      </c>
      <c r="R124" s="6">
        <v>1</v>
      </c>
      <c r="S124" s="6">
        <v>1</v>
      </c>
      <c r="T124" s="6"/>
      <c r="U124" s="6"/>
      <c r="V124" s="5">
        <f t="shared" ref="V124" si="48">SUM(E124:U124)</f>
        <v>6</v>
      </c>
    </row>
    <row r="125" spans="1:22" x14ac:dyDescent="0.4">
      <c r="A125" s="6" t="s">
        <v>25</v>
      </c>
      <c r="B125" s="52" t="s">
        <v>50</v>
      </c>
      <c r="C125" s="53"/>
      <c r="D125" s="54"/>
      <c r="E125" s="5">
        <f t="shared" ref="E125:V125" si="49">SUM(E124:E124)</f>
        <v>0</v>
      </c>
      <c r="F125" s="5">
        <f t="shared" si="49"/>
        <v>1</v>
      </c>
      <c r="G125" s="5">
        <f t="shared" si="49"/>
        <v>1</v>
      </c>
      <c r="H125" s="5">
        <f t="shared" si="49"/>
        <v>0</v>
      </c>
      <c r="I125" s="5">
        <f t="shared" si="49"/>
        <v>1</v>
      </c>
      <c r="J125" s="5">
        <f t="shared" si="49"/>
        <v>0</v>
      </c>
      <c r="K125" s="5">
        <f t="shared" si="49"/>
        <v>0</v>
      </c>
      <c r="L125" s="5">
        <f t="shared" si="49"/>
        <v>0</v>
      </c>
      <c r="M125" s="5">
        <f t="shared" si="49"/>
        <v>0</v>
      </c>
      <c r="N125" s="5">
        <f t="shared" si="49"/>
        <v>0</v>
      </c>
      <c r="O125" s="5">
        <f t="shared" si="49"/>
        <v>0</v>
      </c>
      <c r="P125" s="5">
        <f t="shared" si="49"/>
        <v>0</v>
      </c>
      <c r="Q125" s="5">
        <f t="shared" si="49"/>
        <v>1</v>
      </c>
      <c r="R125" s="5">
        <f t="shared" si="49"/>
        <v>1</v>
      </c>
      <c r="S125" s="5">
        <f t="shared" si="49"/>
        <v>1</v>
      </c>
      <c r="T125" s="5">
        <f t="shared" si="49"/>
        <v>0</v>
      </c>
      <c r="U125" s="5">
        <f t="shared" si="49"/>
        <v>0</v>
      </c>
      <c r="V125" s="5">
        <f t="shared" si="49"/>
        <v>6</v>
      </c>
    </row>
    <row r="126" spans="1:22" ht="13.15" customHeight="1" x14ac:dyDescent="0.4">
      <c r="A126" s="55"/>
      <c r="B126" s="56"/>
      <c r="C126" s="56"/>
      <c r="D126" s="56"/>
      <c r="E126" s="5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 spans="1:22" x14ac:dyDescent="0.4">
      <c r="A127" s="11" t="s">
        <v>47</v>
      </c>
      <c r="B127" s="17" t="s">
        <v>68</v>
      </c>
      <c r="C127" s="50" t="s">
        <v>69</v>
      </c>
      <c r="D127" s="51"/>
      <c r="E127" s="6">
        <v>0</v>
      </c>
      <c r="F127" s="6">
        <v>3</v>
      </c>
      <c r="G127" s="6">
        <v>0</v>
      </c>
      <c r="H127" s="6">
        <v>0</v>
      </c>
      <c r="I127" s="6">
        <v>5</v>
      </c>
      <c r="J127" s="6">
        <v>0</v>
      </c>
      <c r="K127" s="6">
        <v>0</v>
      </c>
      <c r="L127" s="6">
        <v>0</v>
      </c>
      <c r="M127" s="6">
        <v>2</v>
      </c>
      <c r="N127" s="6">
        <v>0</v>
      </c>
      <c r="O127" s="6">
        <v>0</v>
      </c>
      <c r="P127" s="6">
        <v>1</v>
      </c>
      <c r="Q127" s="6">
        <v>0</v>
      </c>
      <c r="R127" s="6">
        <v>0</v>
      </c>
      <c r="S127" s="6">
        <v>0</v>
      </c>
      <c r="T127" s="6"/>
      <c r="U127" s="6">
        <v>1</v>
      </c>
      <c r="V127" s="5">
        <f t="shared" ref="V127:V133" si="50">SUM(E127:U127)</f>
        <v>12</v>
      </c>
    </row>
    <row r="128" spans="1:22" x14ac:dyDescent="0.4">
      <c r="A128" s="11" t="s">
        <v>49</v>
      </c>
      <c r="B128" s="46">
        <v>1</v>
      </c>
      <c r="C128" s="24" t="s">
        <v>152</v>
      </c>
      <c r="D128" s="47"/>
      <c r="E128" s="6">
        <v>0</v>
      </c>
      <c r="F128" s="6">
        <v>4</v>
      </c>
      <c r="G128" s="6">
        <v>1</v>
      </c>
      <c r="H128" s="6">
        <v>2</v>
      </c>
      <c r="I128" s="6">
        <v>7</v>
      </c>
      <c r="J128" s="6">
        <v>7</v>
      </c>
      <c r="K128" s="6">
        <v>4</v>
      </c>
      <c r="L128" s="6">
        <v>0</v>
      </c>
      <c r="M128" s="6">
        <v>4</v>
      </c>
      <c r="N128" s="6">
        <v>6</v>
      </c>
      <c r="O128" s="6">
        <v>0</v>
      </c>
      <c r="P128" s="6">
        <v>1</v>
      </c>
      <c r="Q128" s="6">
        <v>0</v>
      </c>
      <c r="R128" s="6">
        <v>4</v>
      </c>
      <c r="S128" s="6">
        <v>2</v>
      </c>
      <c r="T128" s="6">
        <v>2</v>
      </c>
      <c r="U128" s="6">
        <v>1</v>
      </c>
      <c r="V128" s="5">
        <f t="shared" si="50"/>
        <v>45</v>
      </c>
    </row>
    <row r="129" spans="1:22" x14ac:dyDescent="0.4">
      <c r="A129" s="7"/>
      <c r="B129" s="46">
        <v>2</v>
      </c>
      <c r="C129" s="24" t="s">
        <v>153</v>
      </c>
      <c r="D129" s="47"/>
      <c r="E129" s="6">
        <v>0</v>
      </c>
      <c r="F129" s="6">
        <v>0</v>
      </c>
      <c r="G129" s="6">
        <v>1</v>
      </c>
      <c r="H129" s="6">
        <v>0</v>
      </c>
      <c r="I129" s="6">
        <v>1</v>
      </c>
      <c r="J129" s="6">
        <v>3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1</v>
      </c>
      <c r="S129" s="6">
        <v>1</v>
      </c>
      <c r="T129" s="6"/>
      <c r="U129" s="6">
        <v>1</v>
      </c>
      <c r="V129" s="5">
        <f t="shared" si="50"/>
        <v>8</v>
      </c>
    </row>
    <row r="130" spans="1:22" x14ac:dyDescent="0.4">
      <c r="A130" s="7"/>
      <c r="B130" s="46">
        <v>3</v>
      </c>
      <c r="C130" s="24" t="s">
        <v>154</v>
      </c>
      <c r="D130" s="47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1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/>
      <c r="U130" s="6"/>
      <c r="V130" s="5">
        <f t="shared" si="50"/>
        <v>1</v>
      </c>
    </row>
    <row r="131" spans="1:22" x14ac:dyDescent="0.4">
      <c r="A131" s="7"/>
      <c r="B131" s="46">
        <v>4</v>
      </c>
      <c r="C131" s="24" t="s">
        <v>155</v>
      </c>
      <c r="D131" s="47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1</v>
      </c>
      <c r="Q131" s="6">
        <v>0</v>
      </c>
      <c r="R131" s="6">
        <v>0</v>
      </c>
      <c r="S131" s="6">
        <v>1</v>
      </c>
      <c r="T131" s="6"/>
      <c r="U131" s="6"/>
      <c r="V131" s="5">
        <f t="shared" si="50"/>
        <v>2</v>
      </c>
    </row>
    <row r="132" spans="1:22" x14ac:dyDescent="0.4">
      <c r="A132" s="7"/>
      <c r="B132" s="46">
        <v>5</v>
      </c>
      <c r="C132" s="24" t="s">
        <v>156</v>
      </c>
      <c r="D132" s="47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1</v>
      </c>
      <c r="S132" s="6">
        <v>0</v>
      </c>
      <c r="T132" s="6">
        <v>1</v>
      </c>
      <c r="U132" s="6"/>
      <c r="V132" s="5">
        <f t="shared" si="50"/>
        <v>2</v>
      </c>
    </row>
    <row r="133" spans="1:22" x14ac:dyDescent="0.4">
      <c r="A133" s="7"/>
      <c r="B133" s="46">
        <v>6</v>
      </c>
      <c r="C133" s="24" t="s">
        <v>157</v>
      </c>
      <c r="D133" s="47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/>
      <c r="U133" s="6"/>
      <c r="V133" s="5">
        <f t="shared" si="50"/>
        <v>0</v>
      </c>
    </row>
    <row r="134" spans="1:22" ht="13.15" customHeight="1" x14ac:dyDescent="0.4">
      <c r="A134" s="6" t="s">
        <v>25</v>
      </c>
      <c r="B134" s="52" t="s">
        <v>50</v>
      </c>
      <c r="C134" s="53"/>
      <c r="D134" s="54"/>
      <c r="E134" s="5">
        <f t="shared" ref="E134:V134" si="51">SUM(E127:E133)</f>
        <v>0</v>
      </c>
      <c r="F134" s="5">
        <f t="shared" si="51"/>
        <v>7</v>
      </c>
      <c r="G134" s="5">
        <f t="shared" si="51"/>
        <v>2</v>
      </c>
      <c r="H134" s="5">
        <f t="shared" si="51"/>
        <v>2</v>
      </c>
      <c r="I134" s="5">
        <f t="shared" si="51"/>
        <v>13</v>
      </c>
      <c r="J134" s="5">
        <f t="shared" si="51"/>
        <v>11</v>
      </c>
      <c r="K134" s="5">
        <f t="shared" si="51"/>
        <v>4</v>
      </c>
      <c r="L134" s="5">
        <f t="shared" si="51"/>
        <v>0</v>
      </c>
      <c r="M134" s="5">
        <f t="shared" si="51"/>
        <v>6</v>
      </c>
      <c r="N134" s="5">
        <f t="shared" si="51"/>
        <v>6</v>
      </c>
      <c r="O134" s="5">
        <f t="shared" si="51"/>
        <v>0</v>
      </c>
      <c r="P134" s="5">
        <f t="shared" si="51"/>
        <v>3</v>
      </c>
      <c r="Q134" s="5">
        <f t="shared" si="51"/>
        <v>0</v>
      </c>
      <c r="R134" s="5">
        <f t="shared" si="51"/>
        <v>6</v>
      </c>
      <c r="S134" s="5">
        <f t="shared" si="51"/>
        <v>4</v>
      </c>
      <c r="T134" s="5">
        <f t="shared" si="51"/>
        <v>3</v>
      </c>
      <c r="U134" s="5">
        <f t="shared" si="51"/>
        <v>3</v>
      </c>
      <c r="V134" s="5">
        <f t="shared" si="51"/>
        <v>70</v>
      </c>
    </row>
    <row r="135" spans="1:22" x14ac:dyDescent="0.4">
      <c r="A135" s="55"/>
      <c r="B135" s="56"/>
      <c r="C135" s="56"/>
      <c r="D135" s="56"/>
      <c r="E135" s="57"/>
      <c r="F135" s="18"/>
      <c r="G135" s="18"/>
      <c r="H135" s="18"/>
      <c r="I135" s="18"/>
      <c r="J135" s="18"/>
      <c r="K135" s="18"/>
      <c r="L135" s="18"/>
      <c r="M135" s="18"/>
      <c r="N135" s="18"/>
      <c r="U135" s="18"/>
      <c r="V135" s="5"/>
    </row>
    <row r="136" spans="1:22" x14ac:dyDescent="0.4">
      <c r="A136" s="11" t="s">
        <v>47</v>
      </c>
      <c r="B136" s="17" t="s">
        <v>70</v>
      </c>
      <c r="C136" s="50" t="s">
        <v>71</v>
      </c>
      <c r="D136" s="51"/>
      <c r="E136" s="6">
        <v>1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1</v>
      </c>
      <c r="N136" s="6">
        <v>1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/>
      <c r="U136" s="6">
        <v>1</v>
      </c>
      <c r="V136" s="5">
        <f t="shared" ref="V136:V141" si="52">SUM(E136:U136)</f>
        <v>4</v>
      </c>
    </row>
    <row r="137" spans="1:22" x14ac:dyDescent="0.4">
      <c r="A137" s="11" t="s">
        <v>49</v>
      </c>
      <c r="B137" s="46">
        <v>1</v>
      </c>
      <c r="C137" s="24" t="s">
        <v>158</v>
      </c>
      <c r="D137" s="47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1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1</v>
      </c>
      <c r="T137" s="6"/>
      <c r="U137" s="6"/>
      <c r="V137" s="5">
        <f t="shared" si="52"/>
        <v>2</v>
      </c>
    </row>
    <row r="138" spans="1:22" x14ac:dyDescent="0.4">
      <c r="A138" s="7"/>
      <c r="B138" s="46">
        <v>2</v>
      </c>
      <c r="C138" s="24" t="s">
        <v>159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/>
      <c r="U138" s="6"/>
      <c r="V138" s="5">
        <f t="shared" si="52"/>
        <v>0</v>
      </c>
    </row>
    <row r="139" spans="1:22" x14ac:dyDescent="0.4">
      <c r="A139" s="7"/>
      <c r="B139" s="46">
        <v>3</v>
      </c>
      <c r="C139" s="24" t="s">
        <v>160</v>
      </c>
      <c r="D139" s="47"/>
      <c r="E139" s="6">
        <v>0</v>
      </c>
      <c r="F139" s="6">
        <v>0</v>
      </c>
      <c r="G139" s="6">
        <v>0</v>
      </c>
      <c r="H139" s="6">
        <v>1</v>
      </c>
      <c r="I139" s="6">
        <v>0</v>
      </c>
      <c r="J139" s="6">
        <v>0</v>
      </c>
      <c r="K139" s="6">
        <v>0</v>
      </c>
      <c r="L139" s="6">
        <v>1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/>
      <c r="U139" s="6"/>
      <c r="V139" s="5">
        <f t="shared" si="52"/>
        <v>2</v>
      </c>
    </row>
    <row r="140" spans="1:22" x14ac:dyDescent="0.4">
      <c r="A140" s="7"/>
      <c r="B140" s="46">
        <v>4</v>
      </c>
      <c r="C140" s="24" t="s">
        <v>161</v>
      </c>
      <c r="D140" s="47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/>
      <c r="U140" s="6"/>
      <c r="V140" s="5">
        <f t="shared" si="52"/>
        <v>0</v>
      </c>
    </row>
    <row r="141" spans="1:22" x14ac:dyDescent="0.4">
      <c r="A141" s="7"/>
      <c r="B141" s="46">
        <v>5</v>
      </c>
      <c r="C141" s="24" t="s">
        <v>162</v>
      </c>
      <c r="D141" s="47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/>
      <c r="T141" s="6"/>
      <c r="U141" s="6"/>
      <c r="V141" s="5">
        <f t="shared" si="52"/>
        <v>0</v>
      </c>
    </row>
    <row r="142" spans="1:22" x14ac:dyDescent="0.4">
      <c r="A142" s="6" t="s">
        <v>25</v>
      </c>
      <c r="B142" s="52" t="s">
        <v>50</v>
      </c>
      <c r="C142" s="53"/>
      <c r="D142" s="54"/>
      <c r="E142" s="5">
        <f t="shared" ref="E142:V142" si="53">SUM(E136:E141)</f>
        <v>1</v>
      </c>
      <c r="F142" s="5">
        <f t="shared" si="53"/>
        <v>0</v>
      </c>
      <c r="G142" s="5">
        <f t="shared" si="53"/>
        <v>0</v>
      </c>
      <c r="H142" s="5">
        <f t="shared" si="53"/>
        <v>1</v>
      </c>
      <c r="I142" s="5">
        <f t="shared" si="53"/>
        <v>0</v>
      </c>
      <c r="J142" s="5">
        <f t="shared" si="53"/>
        <v>1</v>
      </c>
      <c r="K142" s="5">
        <f t="shared" si="53"/>
        <v>0</v>
      </c>
      <c r="L142" s="5">
        <f t="shared" si="53"/>
        <v>1</v>
      </c>
      <c r="M142" s="5">
        <f t="shared" si="53"/>
        <v>1</v>
      </c>
      <c r="N142" s="5">
        <f t="shared" si="53"/>
        <v>1</v>
      </c>
      <c r="O142" s="5">
        <f t="shared" si="53"/>
        <v>0</v>
      </c>
      <c r="P142" s="5">
        <f t="shared" si="53"/>
        <v>0</v>
      </c>
      <c r="Q142" s="5">
        <f t="shared" si="53"/>
        <v>0</v>
      </c>
      <c r="R142" s="5">
        <f t="shared" si="53"/>
        <v>0</v>
      </c>
      <c r="S142" s="5">
        <f t="shared" si="53"/>
        <v>1</v>
      </c>
      <c r="T142" s="5">
        <f t="shared" si="53"/>
        <v>0</v>
      </c>
      <c r="U142" s="5">
        <f t="shared" si="53"/>
        <v>1</v>
      </c>
      <c r="V142" s="5">
        <f t="shared" si="53"/>
        <v>8</v>
      </c>
    </row>
    <row r="143" spans="1:22" x14ac:dyDescent="0.4">
      <c r="A143" s="55"/>
      <c r="B143" s="56"/>
      <c r="C143" s="56"/>
      <c r="D143" s="56"/>
      <c r="E143" s="5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 spans="1:22" x14ac:dyDescent="0.4">
      <c r="A144" s="11" t="s">
        <v>47</v>
      </c>
      <c r="B144" s="17" t="s">
        <v>72</v>
      </c>
      <c r="C144" s="50" t="s">
        <v>73</v>
      </c>
      <c r="D144" s="51"/>
      <c r="E144" s="6">
        <v>6</v>
      </c>
      <c r="F144" s="6">
        <v>3</v>
      </c>
      <c r="G144" s="6">
        <v>9</v>
      </c>
      <c r="H144" s="6">
        <v>1</v>
      </c>
      <c r="I144" s="6">
        <v>4</v>
      </c>
      <c r="J144" s="6">
        <v>7</v>
      </c>
      <c r="K144" s="6">
        <v>3</v>
      </c>
      <c r="L144" s="6">
        <v>2</v>
      </c>
      <c r="M144" s="6">
        <v>4</v>
      </c>
      <c r="N144" s="6">
        <v>3</v>
      </c>
      <c r="O144" s="6">
        <v>1</v>
      </c>
      <c r="P144" s="6">
        <v>3</v>
      </c>
      <c r="Q144" s="6">
        <v>5</v>
      </c>
      <c r="R144" s="6">
        <v>4</v>
      </c>
      <c r="S144" s="6">
        <v>5</v>
      </c>
      <c r="T144" s="6">
        <v>4</v>
      </c>
      <c r="U144" s="6">
        <v>5</v>
      </c>
      <c r="V144" s="5">
        <f t="shared" ref="V144:V150" si="54">SUM(E144:U144)</f>
        <v>69</v>
      </c>
    </row>
    <row r="145" spans="1:22" x14ac:dyDescent="0.4">
      <c r="A145" s="11" t="s">
        <v>49</v>
      </c>
      <c r="B145" s="46">
        <v>1</v>
      </c>
      <c r="C145" s="24" t="s">
        <v>163</v>
      </c>
      <c r="D145" s="47"/>
      <c r="E145" s="6">
        <v>1</v>
      </c>
      <c r="F145" s="6">
        <v>3</v>
      </c>
      <c r="G145" s="6">
        <v>1</v>
      </c>
      <c r="H145" s="6">
        <v>2</v>
      </c>
      <c r="I145" s="6">
        <v>4</v>
      </c>
      <c r="J145" s="6">
        <v>0</v>
      </c>
      <c r="K145" s="6">
        <v>1</v>
      </c>
      <c r="L145" s="6">
        <v>0</v>
      </c>
      <c r="M145" s="6">
        <v>1</v>
      </c>
      <c r="N145" s="6">
        <v>2</v>
      </c>
      <c r="O145" s="6">
        <v>1</v>
      </c>
      <c r="P145" s="6">
        <v>2</v>
      </c>
      <c r="Q145" s="6">
        <v>6</v>
      </c>
      <c r="R145" s="6">
        <v>4</v>
      </c>
      <c r="S145" s="6">
        <v>10</v>
      </c>
      <c r="T145" s="6">
        <v>3</v>
      </c>
      <c r="U145" s="6">
        <v>4</v>
      </c>
      <c r="V145" s="5">
        <f t="shared" si="54"/>
        <v>45</v>
      </c>
    </row>
    <row r="146" spans="1:22" x14ac:dyDescent="0.4">
      <c r="A146" s="7"/>
      <c r="B146" s="46">
        <v>2</v>
      </c>
      <c r="C146" s="24" t="s">
        <v>164</v>
      </c>
      <c r="D146" s="47"/>
      <c r="E146" s="6">
        <v>8</v>
      </c>
      <c r="F146" s="6">
        <v>22</v>
      </c>
      <c r="G146" s="6">
        <v>7</v>
      </c>
      <c r="H146" s="6">
        <v>10</v>
      </c>
      <c r="I146" s="6">
        <v>12</v>
      </c>
      <c r="J146" s="6">
        <v>7</v>
      </c>
      <c r="K146" s="6">
        <v>3</v>
      </c>
      <c r="L146" s="6">
        <v>11</v>
      </c>
      <c r="M146" s="6">
        <v>25</v>
      </c>
      <c r="N146" s="6">
        <v>6</v>
      </c>
      <c r="O146" s="6">
        <v>18</v>
      </c>
      <c r="P146" s="6">
        <v>10</v>
      </c>
      <c r="Q146" s="6">
        <v>17</v>
      </c>
      <c r="R146" s="6">
        <v>5</v>
      </c>
      <c r="S146" s="6">
        <v>16</v>
      </c>
      <c r="T146" s="6">
        <v>12</v>
      </c>
      <c r="U146" s="6">
        <v>8</v>
      </c>
      <c r="V146" s="5">
        <f t="shared" si="54"/>
        <v>197</v>
      </c>
    </row>
    <row r="147" spans="1:22" x14ac:dyDescent="0.4">
      <c r="A147" s="7"/>
      <c r="B147" s="46">
        <v>3</v>
      </c>
      <c r="C147" s="24" t="s">
        <v>165</v>
      </c>
      <c r="D147" s="47"/>
      <c r="E147" s="6">
        <v>0</v>
      </c>
      <c r="F147" s="6">
        <v>0</v>
      </c>
      <c r="G147" s="6">
        <v>0</v>
      </c>
      <c r="H147" s="6">
        <v>1</v>
      </c>
      <c r="I147" s="6">
        <v>2</v>
      </c>
      <c r="J147" s="6">
        <v>0</v>
      </c>
      <c r="K147" s="6">
        <v>0</v>
      </c>
      <c r="L147" s="6">
        <v>1</v>
      </c>
      <c r="M147" s="6">
        <v>0</v>
      </c>
      <c r="N147" s="6">
        <v>0</v>
      </c>
      <c r="O147" s="6">
        <v>1</v>
      </c>
      <c r="P147" s="6">
        <v>0</v>
      </c>
      <c r="Q147" s="6">
        <v>0</v>
      </c>
      <c r="R147" s="6">
        <v>0</v>
      </c>
      <c r="S147" s="6">
        <v>0</v>
      </c>
      <c r="T147" s="6"/>
      <c r="U147" s="6"/>
      <c r="V147" s="5">
        <f t="shared" si="54"/>
        <v>5</v>
      </c>
    </row>
    <row r="148" spans="1:22" x14ac:dyDescent="0.4">
      <c r="A148" s="7"/>
      <c r="B148" s="46">
        <v>4</v>
      </c>
      <c r="C148" s="24" t="s">
        <v>166</v>
      </c>
      <c r="D148" s="47"/>
      <c r="E148" s="6">
        <v>1</v>
      </c>
      <c r="F148" s="6">
        <v>0</v>
      </c>
      <c r="G148" s="6">
        <v>0</v>
      </c>
      <c r="H148" s="6">
        <v>1</v>
      </c>
      <c r="I148" s="6">
        <v>1</v>
      </c>
      <c r="J148" s="6">
        <v>1</v>
      </c>
      <c r="K148" s="6">
        <v>1</v>
      </c>
      <c r="L148" s="6">
        <v>0</v>
      </c>
      <c r="M148" s="6">
        <v>1</v>
      </c>
      <c r="N148" s="6">
        <v>2</v>
      </c>
      <c r="O148" s="6">
        <v>1</v>
      </c>
      <c r="P148" s="6">
        <v>0</v>
      </c>
      <c r="Q148" s="6">
        <v>0</v>
      </c>
      <c r="R148" s="6">
        <v>2</v>
      </c>
      <c r="S148" s="6">
        <v>0</v>
      </c>
      <c r="T148" s="6">
        <v>2</v>
      </c>
      <c r="U148" s="6">
        <v>2</v>
      </c>
      <c r="V148" s="5">
        <f t="shared" si="54"/>
        <v>15</v>
      </c>
    </row>
    <row r="149" spans="1:22" x14ac:dyDescent="0.4">
      <c r="A149" s="7"/>
      <c r="B149" s="46">
        <v>5</v>
      </c>
      <c r="C149" s="24" t="s">
        <v>167</v>
      </c>
      <c r="D149" s="47"/>
      <c r="E149" s="6">
        <v>1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1</v>
      </c>
      <c r="M149" s="6">
        <v>0</v>
      </c>
      <c r="N149" s="6">
        <v>0</v>
      </c>
      <c r="O149" s="6">
        <v>0</v>
      </c>
      <c r="P149" s="6">
        <v>1</v>
      </c>
      <c r="Q149" s="6">
        <v>0</v>
      </c>
      <c r="R149" s="6">
        <v>0</v>
      </c>
      <c r="S149" s="6">
        <v>1</v>
      </c>
      <c r="T149" s="6"/>
      <c r="U149" s="6"/>
      <c r="V149" s="5">
        <f t="shared" si="54"/>
        <v>4</v>
      </c>
    </row>
    <row r="150" spans="1:22" ht="13.15" customHeight="1" x14ac:dyDescent="0.4">
      <c r="A150" s="7"/>
      <c r="B150" s="46">
        <v>6</v>
      </c>
      <c r="C150" s="24" t="s">
        <v>168</v>
      </c>
      <c r="D150" s="47"/>
      <c r="E150" s="6">
        <v>0</v>
      </c>
      <c r="F150" s="6">
        <v>0</v>
      </c>
      <c r="G150" s="6">
        <v>1</v>
      </c>
      <c r="H150" s="6">
        <v>0</v>
      </c>
      <c r="I150" s="6">
        <v>1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1</v>
      </c>
      <c r="R150" s="6">
        <v>2</v>
      </c>
      <c r="S150" s="6">
        <v>0</v>
      </c>
      <c r="T150" s="6"/>
      <c r="U150" s="6"/>
      <c r="V150" s="5">
        <f t="shared" si="54"/>
        <v>5</v>
      </c>
    </row>
    <row r="151" spans="1:22" x14ac:dyDescent="0.4">
      <c r="A151" s="6" t="s">
        <v>25</v>
      </c>
      <c r="B151" s="52" t="s">
        <v>50</v>
      </c>
      <c r="C151" s="53"/>
      <c r="D151" s="54"/>
      <c r="E151" s="5">
        <f t="shared" ref="E151:V151" si="55">SUM(E144:E150)</f>
        <v>17</v>
      </c>
      <c r="F151" s="5">
        <f t="shared" si="55"/>
        <v>28</v>
      </c>
      <c r="G151" s="5">
        <f t="shared" si="55"/>
        <v>18</v>
      </c>
      <c r="H151" s="5">
        <f t="shared" si="55"/>
        <v>15</v>
      </c>
      <c r="I151" s="5">
        <f t="shared" si="55"/>
        <v>24</v>
      </c>
      <c r="J151" s="5">
        <f t="shared" si="55"/>
        <v>15</v>
      </c>
      <c r="K151" s="5">
        <f t="shared" si="55"/>
        <v>8</v>
      </c>
      <c r="L151" s="5">
        <f t="shared" si="55"/>
        <v>15</v>
      </c>
      <c r="M151" s="5">
        <f t="shared" si="55"/>
        <v>31</v>
      </c>
      <c r="N151" s="5">
        <f t="shared" si="55"/>
        <v>13</v>
      </c>
      <c r="O151" s="5">
        <f t="shared" si="55"/>
        <v>22</v>
      </c>
      <c r="P151" s="5">
        <f t="shared" si="55"/>
        <v>16</v>
      </c>
      <c r="Q151" s="5">
        <f t="shared" si="55"/>
        <v>29</v>
      </c>
      <c r="R151" s="5">
        <f t="shared" si="55"/>
        <v>17</v>
      </c>
      <c r="S151" s="5">
        <f t="shared" si="55"/>
        <v>32</v>
      </c>
      <c r="T151" s="5">
        <f t="shared" si="55"/>
        <v>21</v>
      </c>
      <c r="U151" s="5">
        <f t="shared" si="55"/>
        <v>19</v>
      </c>
      <c r="V151" s="5">
        <f t="shared" si="55"/>
        <v>340</v>
      </c>
    </row>
    <row r="152" spans="1:22" x14ac:dyDescent="0.4">
      <c r="A152" s="55"/>
      <c r="B152" s="56"/>
      <c r="C152" s="56"/>
      <c r="D152" s="56"/>
      <c r="E152" s="5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1:22" x14ac:dyDescent="0.4">
      <c r="A153" s="11" t="s">
        <v>47</v>
      </c>
      <c r="B153" s="17" t="s">
        <v>74</v>
      </c>
      <c r="C153" s="50" t="s">
        <v>75</v>
      </c>
      <c r="D153" s="51"/>
      <c r="E153" s="6">
        <v>1</v>
      </c>
      <c r="F153" s="6">
        <v>0</v>
      </c>
      <c r="G153" s="6">
        <v>1</v>
      </c>
      <c r="H153" s="6">
        <v>2</v>
      </c>
      <c r="I153" s="6">
        <v>6</v>
      </c>
      <c r="J153" s="6">
        <v>3</v>
      </c>
      <c r="K153" s="6">
        <v>2</v>
      </c>
      <c r="L153" s="6">
        <v>0</v>
      </c>
      <c r="M153" s="6">
        <v>2</v>
      </c>
      <c r="N153" s="6">
        <v>1</v>
      </c>
      <c r="O153" s="6">
        <v>0</v>
      </c>
      <c r="P153" s="6">
        <v>0</v>
      </c>
      <c r="Q153" s="6">
        <v>2</v>
      </c>
      <c r="R153" s="6">
        <v>7</v>
      </c>
      <c r="S153" s="6">
        <v>1</v>
      </c>
      <c r="T153" s="6">
        <v>2</v>
      </c>
      <c r="U153" s="6">
        <v>9</v>
      </c>
      <c r="V153" s="5">
        <f t="shared" ref="V153:V155" si="56">SUM(E153:U153)</f>
        <v>39</v>
      </c>
    </row>
    <row r="154" spans="1:22" x14ac:dyDescent="0.4">
      <c r="A154" s="11" t="s">
        <v>49</v>
      </c>
      <c r="B154" s="46">
        <v>1</v>
      </c>
      <c r="C154" s="24" t="s">
        <v>169</v>
      </c>
      <c r="D154" s="47"/>
      <c r="E154" s="6">
        <v>0</v>
      </c>
      <c r="F154" s="6">
        <v>1</v>
      </c>
      <c r="G154" s="6">
        <v>1</v>
      </c>
      <c r="H154" s="6">
        <v>0</v>
      </c>
      <c r="I154" s="6">
        <v>3</v>
      </c>
      <c r="J154" s="6">
        <v>0</v>
      </c>
      <c r="K154" s="6">
        <v>1</v>
      </c>
      <c r="L154" s="6">
        <v>1</v>
      </c>
      <c r="M154" s="6">
        <v>0</v>
      </c>
      <c r="N154" s="6">
        <v>0</v>
      </c>
      <c r="O154" s="6">
        <v>1</v>
      </c>
      <c r="P154" s="6">
        <v>0</v>
      </c>
      <c r="Q154" s="6">
        <v>1</v>
      </c>
      <c r="R154" s="6">
        <v>4</v>
      </c>
      <c r="S154" s="6">
        <v>1</v>
      </c>
      <c r="T154" s="6">
        <v>5</v>
      </c>
      <c r="U154" s="6">
        <v>1</v>
      </c>
      <c r="V154" s="5">
        <f t="shared" si="56"/>
        <v>20</v>
      </c>
    </row>
    <row r="155" spans="1:22" x14ac:dyDescent="0.4">
      <c r="A155" s="7"/>
      <c r="B155" s="46">
        <v>2</v>
      </c>
      <c r="C155" s="24" t="s">
        <v>170</v>
      </c>
      <c r="D155" s="47"/>
      <c r="E155" s="6">
        <v>2</v>
      </c>
      <c r="F155" s="6">
        <v>2</v>
      </c>
      <c r="G155" s="6">
        <v>3</v>
      </c>
      <c r="H155" s="6">
        <v>1</v>
      </c>
      <c r="I155" s="6">
        <v>5</v>
      </c>
      <c r="J155" s="6">
        <v>2</v>
      </c>
      <c r="K155" s="6">
        <v>5</v>
      </c>
      <c r="L155" s="6">
        <v>0</v>
      </c>
      <c r="M155" s="6">
        <v>0</v>
      </c>
      <c r="N155" s="6">
        <v>0</v>
      </c>
      <c r="O155" s="6">
        <v>1</v>
      </c>
      <c r="P155" s="6">
        <v>3</v>
      </c>
      <c r="Q155" s="6">
        <v>0</v>
      </c>
      <c r="R155" s="6">
        <v>1</v>
      </c>
      <c r="S155" s="6">
        <v>2</v>
      </c>
      <c r="T155" s="6">
        <v>7</v>
      </c>
      <c r="U155" s="6">
        <v>3</v>
      </c>
      <c r="V155" s="5">
        <f t="shared" si="56"/>
        <v>37</v>
      </c>
    </row>
    <row r="156" spans="1:22" x14ac:dyDescent="0.4">
      <c r="A156" s="6" t="s">
        <v>25</v>
      </c>
      <c r="B156" s="52" t="s">
        <v>50</v>
      </c>
      <c r="C156" s="53"/>
      <c r="D156" s="54"/>
      <c r="E156" s="5">
        <f t="shared" ref="E156:V156" si="57">SUM(E153:E155)</f>
        <v>3</v>
      </c>
      <c r="F156" s="5">
        <f t="shared" si="57"/>
        <v>3</v>
      </c>
      <c r="G156" s="5">
        <f t="shared" si="57"/>
        <v>5</v>
      </c>
      <c r="H156" s="5">
        <f t="shared" si="57"/>
        <v>3</v>
      </c>
      <c r="I156" s="5">
        <f t="shared" si="57"/>
        <v>14</v>
      </c>
      <c r="J156" s="5">
        <f t="shared" si="57"/>
        <v>5</v>
      </c>
      <c r="K156" s="5">
        <f t="shared" si="57"/>
        <v>8</v>
      </c>
      <c r="L156" s="5">
        <f t="shared" si="57"/>
        <v>1</v>
      </c>
      <c r="M156" s="5">
        <f t="shared" si="57"/>
        <v>2</v>
      </c>
      <c r="N156" s="5">
        <f t="shared" si="57"/>
        <v>1</v>
      </c>
      <c r="O156" s="5">
        <f t="shared" si="57"/>
        <v>2</v>
      </c>
      <c r="P156" s="5">
        <f t="shared" si="57"/>
        <v>3</v>
      </c>
      <c r="Q156" s="5">
        <f t="shared" si="57"/>
        <v>3</v>
      </c>
      <c r="R156" s="5">
        <f t="shared" si="57"/>
        <v>12</v>
      </c>
      <c r="S156" s="5">
        <f t="shared" si="57"/>
        <v>4</v>
      </c>
      <c r="T156" s="5">
        <f t="shared" si="57"/>
        <v>14</v>
      </c>
      <c r="U156" s="5">
        <f t="shared" si="57"/>
        <v>13</v>
      </c>
      <c r="V156" s="5">
        <f t="shared" si="57"/>
        <v>96</v>
      </c>
    </row>
    <row r="157" spans="1:22" x14ac:dyDescent="0.4">
      <c r="A157" s="55"/>
      <c r="B157" s="56"/>
      <c r="C157" s="56"/>
      <c r="D157" s="56"/>
      <c r="E157" s="5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 spans="1:22" x14ac:dyDescent="0.4">
      <c r="A158" s="11" t="s">
        <v>47</v>
      </c>
      <c r="B158" s="17" t="s">
        <v>76</v>
      </c>
      <c r="C158" s="50" t="s">
        <v>77</v>
      </c>
      <c r="D158" s="51"/>
      <c r="E158" s="6">
        <v>1</v>
      </c>
      <c r="F158" s="6">
        <v>0</v>
      </c>
      <c r="G158" s="6">
        <v>0</v>
      </c>
      <c r="H158" s="6">
        <v>1</v>
      </c>
      <c r="I158" s="6">
        <v>1</v>
      </c>
      <c r="J158" s="6">
        <v>0</v>
      </c>
      <c r="K158" s="6">
        <v>3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/>
      <c r="U158" s="6">
        <v>1</v>
      </c>
      <c r="V158" s="5">
        <f t="shared" ref="V158:V161" si="58">SUM(E158:U158)</f>
        <v>7</v>
      </c>
    </row>
    <row r="159" spans="1:22" x14ac:dyDescent="0.4">
      <c r="A159" s="11" t="s">
        <v>49</v>
      </c>
      <c r="B159" s="46">
        <v>1</v>
      </c>
      <c r="C159" s="24" t="s">
        <v>171</v>
      </c>
      <c r="D159" s="45"/>
      <c r="E159" s="6">
        <v>1</v>
      </c>
      <c r="F159" s="6">
        <v>0</v>
      </c>
      <c r="G159" s="6">
        <v>0</v>
      </c>
      <c r="H159" s="6">
        <v>1</v>
      </c>
      <c r="I159" s="6">
        <v>0</v>
      </c>
      <c r="J159" s="6">
        <v>1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3</v>
      </c>
      <c r="Q159" s="6">
        <v>0</v>
      </c>
      <c r="R159" s="6">
        <v>4</v>
      </c>
      <c r="S159" s="6">
        <v>1</v>
      </c>
      <c r="T159" s="6"/>
      <c r="U159" s="6"/>
      <c r="V159" s="5">
        <f t="shared" si="58"/>
        <v>11</v>
      </c>
    </row>
    <row r="160" spans="1:22" x14ac:dyDescent="0.4">
      <c r="A160" s="7"/>
      <c r="B160" s="46">
        <v>2</v>
      </c>
      <c r="C160" s="24" t="s">
        <v>172</v>
      </c>
      <c r="D160" s="45"/>
      <c r="E160" s="6">
        <v>1</v>
      </c>
      <c r="F160" s="6">
        <v>0</v>
      </c>
      <c r="G160" s="6">
        <v>3</v>
      </c>
      <c r="H160" s="6">
        <v>1</v>
      </c>
      <c r="I160" s="6">
        <v>1</v>
      </c>
      <c r="J160" s="6">
        <v>4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/>
      <c r="U160" s="6">
        <v>2</v>
      </c>
      <c r="V160" s="5">
        <f t="shared" si="58"/>
        <v>12</v>
      </c>
    </row>
    <row r="161" spans="1:22" x14ac:dyDescent="0.4">
      <c r="A161" s="7"/>
      <c r="B161" s="46">
        <v>3</v>
      </c>
      <c r="C161" s="24" t="s">
        <v>173</v>
      </c>
      <c r="D161" s="45"/>
      <c r="E161" s="6">
        <v>2</v>
      </c>
      <c r="F161" s="6">
        <v>3</v>
      </c>
      <c r="G161" s="6">
        <v>0</v>
      </c>
      <c r="H161" s="6">
        <v>5</v>
      </c>
      <c r="I161" s="6">
        <v>0</v>
      </c>
      <c r="J161" s="6">
        <v>0</v>
      </c>
      <c r="K161" s="6">
        <v>2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1</v>
      </c>
      <c r="U161" s="6"/>
      <c r="V161" s="5">
        <f t="shared" si="58"/>
        <v>13</v>
      </c>
    </row>
    <row r="162" spans="1:22" x14ac:dyDescent="0.4">
      <c r="A162" s="6" t="s">
        <v>25</v>
      </c>
      <c r="B162" s="52" t="s">
        <v>50</v>
      </c>
      <c r="C162" s="53"/>
      <c r="D162" s="54"/>
      <c r="E162" s="5">
        <f t="shared" ref="E162:V162" si="59">SUM(E158:E161)</f>
        <v>5</v>
      </c>
      <c r="F162" s="5">
        <f t="shared" si="59"/>
        <v>3</v>
      </c>
      <c r="G162" s="5">
        <f t="shared" si="59"/>
        <v>3</v>
      </c>
      <c r="H162" s="5">
        <f t="shared" si="59"/>
        <v>8</v>
      </c>
      <c r="I162" s="5">
        <f t="shared" si="59"/>
        <v>2</v>
      </c>
      <c r="J162" s="5">
        <f t="shared" si="59"/>
        <v>5</v>
      </c>
      <c r="K162" s="5">
        <f t="shared" si="59"/>
        <v>5</v>
      </c>
      <c r="L162" s="5">
        <f t="shared" si="59"/>
        <v>0</v>
      </c>
      <c r="M162" s="5">
        <f t="shared" si="59"/>
        <v>0</v>
      </c>
      <c r="N162" s="5">
        <f t="shared" si="59"/>
        <v>0</v>
      </c>
      <c r="O162" s="5">
        <f t="shared" si="59"/>
        <v>0</v>
      </c>
      <c r="P162" s="5">
        <f t="shared" si="59"/>
        <v>3</v>
      </c>
      <c r="Q162" s="5">
        <f t="shared" si="59"/>
        <v>0</v>
      </c>
      <c r="R162" s="5">
        <f t="shared" si="59"/>
        <v>4</v>
      </c>
      <c r="S162" s="5">
        <f t="shared" si="59"/>
        <v>1</v>
      </c>
      <c r="T162" s="5">
        <f t="shared" si="59"/>
        <v>1</v>
      </c>
      <c r="U162" s="5">
        <f t="shared" si="59"/>
        <v>3</v>
      </c>
      <c r="V162" s="5">
        <f t="shared" si="59"/>
        <v>43</v>
      </c>
    </row>
    <row r="163" spans="1:22" x14ac:dyDescent="0.4">
      <c r="A163" s="55"/>
      <c r="B163" s="56"/>
      <c r="C163" s="56"/>
      <c r="D163" s="56"/>
      <c r="E163" s="5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 spans="1:22" x14ac:dyDescent="0.4">
      <c r="A164" s="11" t="s">
        <v>47</v>
      </c>
      <c r="B164" s="17" t="s">
        <v>78</v>
      </c>
      <c r="C164" s="50" t="s">
        <v>79</v>
      </c>
      <c r="D164" s="51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1</v>
      </c>
      <c r="N164" s="6">
        <v>1</v>
      </c>
      <c r="O164" s="6">
        <v>1</v>
      </c>
      <c r="P164" s="6">
        <v>0</v>
      </c>
      <c r="Q164" s="6">
        <v>2</v>
      </c>
      <c r="R164" s="6">
        <v>1</v>
      </c>
      <c r="S164" s="6">
        <v>0</v>
      </c>
      <c r="T164" s="6"/>
      <c r="U164" s="6">
        <v>1</v>
      </c>
      <c r="V164" s="5">
        <f t="shared" ref="V164:V170" si="60">SUM(E164:U164)</f>
        <v>7</v>
      </c>
    </row>
    <row r="165" spans="1:22" x14ac:dyDescent="0.4">
      <c r="A165" s="11" t="s">
        <v>49</v>
      </c>
      <c r="B165" s="46">
        <v>1</v>
      </c>
      <c r="C165" s="24" t="s">
        <v>174</v>
      </c>
      <c r="D165" s="47"/>
      <c r="E165" s="6">
        <v>0</v>
      </c>
      <c r="F165" s="6">
        <v>0</v>
      </c>
      <c r="G165" s="6">
        <v>0</v>
      </c>
      <c r="H165" s="6">
        <v>0</v>
      </c>
      <c r="I165" s="6">
        <v>2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1</v>
      </c>
      <c r="T165" s="6"/>
      <c r="U165" s="6">
        <v>2</v>
      </c>
      <c r="V165" s="5">
        <f t="shared" si="60"/>
        <v>5</v>
      </c>
    </row>
    <row r="166" spans="1:22" x14ac:dyDescent="0.4">
      <c r="A166" s="7"/>
      <c r="B166" s="46">
        <v>2</v>
      </c>
      <c r="C166" s="24" t="s">
        <v>175</v>
      </c>
      <c r="D166" s="47"/>
      <c r="E166" s="6">
        <v>0</v>
      </c>
      <c r="F166" s="6">
        <v>0</v>
      </c>
      <c r="G166" s="6">
        <v>3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1</v>
      </c>
      <c r="R166" s="6">
        <v>0</v>
      </c>
      <c r="S166" s="6">
        <v>1</v>
      </c>
      <c r="T166" s="6">
        <v>2</v>
      </c>
      <c r="U166" s="6">
        <v>1</v>
      </c>
      <c r="V166" s="5">
        <f t="shared" si="60"/>
        <v>8</v>
      </c>
    </row>
    <row r="167" spans="1:22" ht="13.15" customHeight="1" x14ac:dyDescent="0.4">
      <c r="A167" s="7"/>
      <c r="B167" s="46">
        <v>3</v>
      </c>
      <c r="C167" s="24" t="s">
        <v>176</v>
      </c>
      <c r="D167" s="47"/>
      <c r="E167" s="6">
        <v>1</v>
      </c>
      <c r="F167" s="6">
        <v>1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1</v>
      </c>
      <c r="R167" s="6">
        <v>0</v>
      </c>
      <c r="S167" s="6">
        <v>0</v>
      </c>
      <c r="T167" s="6"/>
      <c r="U167" s="6"/>
      <c r="V167" s="5">
        <f t="shared" si="60"/>
        <v>3</v>
      </c>
    </row>
    <row r="168" spans="1:22" x14ac:dyDescent="0.4">
      <c r="A168" s="7"/>
      <c r="B168" s="46">
        <v>4</v>
      </c>
      <c r="C168" s="24" t="s">
        <v>177</v>
      </c>
      <c r="D168" s="47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1</v>
      </c>
      <c r="T168" s="6"/>
      <c r="U168" s="6"/>
      <c r="V168" s="5">
        <f t="shared" si="60"/>
        <v>1</v>
      </c>
    </row>
    <row r="169" spans="1:22" ht="12.75" customHeight="1" x14ac:dyDescent="0.4">
      <c r="A169" s="7"/>
      <c r="B169" s="46">
        <v>5</v>
      </c>
      <c r="C169" s="24" t="s">
        <v>178</v>
      </c>
      <c r="D169" s="47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/>
      <c r="U169" s="6"/>
      <c r="V169" s="5">
        <f t="shared" si="60"/>
        <v>0</v>
      </c>
    </row>
    <row r="170" spans="1:22" x14ac:dyDescent="0.4">
      <c r="A170" s="7"/>
      <c r="B170" s="46">
        <v>6</v>
      </c>
      <c r="C170" s="24" t="s">
        <v>179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1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1</v>
      </c>
      <c r="R170" s="6">
        <v>0</v>
      </c>
      <c r="S170" s="6">
        <v>0</v>
      </c>
      <c r="T170" s="6"/>
      <c r="U170" s="6"/>
      <c r="V170" s="5">
        <f t="shared" si="60"/>
        <v>2</v>
      </c>
    </row>
    <row r="171" spans="1:22" ht="12.75" customHeight="1" x14ac:dyDescent="0.4">
      <c r="A171" s="6" t="s">
        <v>25</v>
      </c>
      <c r="B171" s="52" t="s">
        <v>50</v>
      </c>
      <c r="C171" s="53"/>
      <c r="D171" s="54"/>
      <c r="E171" s="5">
        <f t="shared" ref="E171:V171" si="61">SUM(E164:E170)</f>
        <v>1</v>
      </c>
      <c r="F171" s="5">
        <f t="shared" si="61"/>
        <v>1</v>
      </c>
      <c r="G171" s="5">
        <f t="shared" si="61"/>
        <v>3</v>
      </c>
      <c r="H171" s="5">
        <f t="shared" si="61"/>
        <v>0</v>
      </c>
      <c r="I171" s="5">
        <f t="shared" si="61"/>
        <v>2</v>
      </c>
      <c r="J171" s="5">
        <f t="shared" si="61"/>
        <v>0</v>
      </c>
      <c r="K171" s="5">
        <f t="shared" si="61"/>
        <v>1</v>
      </c>
      <c r="L171" s="5">
        <f t="shared" si="61"/>
        <v>0</v>
      </c>
      <c r="M171" s="5">
        <f t="shared" si="61"/>
        <v>1</v>
      </c>
      <c r="N171" s="5">
        <f t="shared" si="61"/>
        <v>1</v>
      </c>
      <c r="O171" s="5">
        <f t="shared" si="61"/>
        <v>1</v>
      </c>
      <c r="P171" s="5">
        <f t="shared" si="61"/>
        <v>0</v>
      </c>
      <c r="Q171" s="5">
        <f t="shared" si="61"/>
        <v>5</v>
      </c>
      <c r="R171" s="5">
        <f t="shared" si="61"/>
        <v>1</v>
      </c>
      <c r="S171" s="5">
        <f t="shared" si="61"/>
        <v>3</v>
      </c>
      <c r="T171" s="5">
        <f t="shared" si="61"/>
        <v>2</v>
      </c>
      <c r="U171" s="5">
        <f t="shared" si="61"/>
        <v>4</v>
      </c>
      <c r="V171" s="5">
        <f t="shared" si="61"/>
        <v>26</v>
      </c>
    </row>
    <row r="172" spans="1:22" x14ac:dyDescent="0.4">
      <c r="A172" s="55"/>
      <c r="B172" s="56"/>
      <c r="C172" s="56"/>
      <c r="D172" s="56"/>
      <c r="E172" s="57"/>
    </row>
    <row r="173" spans="1:22" x14ac:dyDescent="0.4">
      <c r="A173" s="11" t="s">
        <v>47</v>
      </c>
      <c r="B173" s="17" t="s">
        <v>80</v>
      </c>
      <c r="C173" s="50" t="s">
        <v>81</v>
      </c>
      <c r="D173" s="51"/>
      <c r="E173" s="6">
        <v>0</v>
      </c>
      <c r="F173" s="6">
        <v>0</v>
      </c>
      <c r="G173" s="6">
        <v>1</v>
      </c>
      <c r="H173" s="6">
        <v>0</v>
      </c>
      <c r="I173" s="6">
        <v>0</v>
      </c>
      <c r="J173" s="6">
        <v>1</v>
      </c>
      <c r="K173" s="6">
        <v>0</v>
      </c>
      <c r="L173" s="6">
        <v>1</v>
      </c>
      <c r="M173" s="6">
        <v>1</v>
      </c>
      <c r="N173" s="6">
        <v>0</v>
      </c>
      <c r="O173" s="6">
        <v>0</v>
      </c>
      <c r="P173" s="6">
        <v>0</v>
      </c>
      <c r="Q173" s="6">
        <v>0</v>
      </c>
      <c r="R173" s="6">
        <v>2</v>
      </c>
      <c r="S173" s="6">
        <v>0</v>
      </c>
      <c r="T173" s="6"/>
      <c r="U173" s="6"/>
      <c r="V173" s="5">
        <f t="shared" ref="V173:V175" si="62">SUM(E173:U173)</f>
        <v>6</v>
      </c>
    </row>
    <row r="174" spans="1:22" x14ac:dyDescent="0.4">
      <c r="A174" s="11" t="s">
        <v>49</v>
      </c>
      <c r="B174" s="46">
        <v>1</v>
      </c>
      <c r="C174" s="24" t="s">
        <v>180</v>
      </c>
      <c r="D174" s="45"/>
      <c r="E174" s="6">
        <v>0</v>
      </c>
      <c r="F174" s="6">
        <v>0</v>
      </c>
      <c r="G174" s="6">
        <v>2</v>
      </c>
      <c r="H174" s="6">
        <v>1</v>
      </c>
      <c r="I174" s="6">
        <v>1</v>
      </c>
      <c r="J174" s="6">
        <v>1</v>
      </c>
      <c r="K174" s="6">
        <v>1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3</v>
      </c>
      <c r="R174" s="6">
        <v>0</v>
      </c>
      <c r="S174" s="6">
        <v>0</v>
      </c>
      <c r="T174" s="6">
        <v>2</v>
      </c>
      <c r="U174" s="6">
        <v>2</v>
      </c>
      <c r="V174" s="5">
        <f t="shared" si="62"/>
        <v>13</v>
      </c>
    </row>
    <row r="175" spans="1:22" x14ac:dyDescent="0.4">
      <c r="A175" s="7"/>
      <c r="B175" s="46">
        <v>2</v>
      </c>
      <c r="C175" s="24" t="s">
        <v>181</v>
      </c>
      <c r="D175" s="47"/>
      <c r="E175" s="6">
        <v>0</v>
      </c>
      <c r="F175" s="6">
        <v>0</v>
      </c>
      <c r="G175" s="6">
        <v>0</v>
      </c>
      <c r="H175" s="6">
        <v>1</v>
      </c>
      <c r="I175" s="6">
        <v>1</v>
      </c>
      <c r="J175" s="6">
        <v>1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1</v>
      </c>
      <c r="T175" s="6"/>
      <c r="U175" s="6"/>
      <c r="V175" s="5">
        <f t="shared" si="62"/>
        <v>4</v>
      </c>
    </row>
    <row r="176" spans="1:22" x14ac:dyDescent="0.4">
      <c r="A176" s="6" t="s">
        <v>25</v>
      </c>
      <c r="B176" s="52" t="s">
        <v>50</v>
      </c>
      <c r="C176" s="53"/>
      <c r="D176" s="54"/>
      <c r="E176" s="5">
        <f t="shared" ref="E176:V176" si="63">SUM(E173:E175)</f>
        <v>0</v>
      </c>
      <c r="F176" s="5">
        <f t="shared" si="63"/>
        <v>0</v>
      </c>
      <c r="G176" s="5">
        <f t="shared" si="63"/>
        <v>3</v>
      </c>
      <c r="H176" s="5">
        <f t="shared" si="63"/>
        <v>2</v>
      </c>
      <c r="I176" s="5">
        <f t="shared" si="63"/>
        <v>2</v>
      </c>
      <c r="J176" s="5">
        <f t="shared" si="63"/>
        <v>3</v>
      </c>
      <c r="K176" s="5">
        <f t="shared" si="63"/>
        <v>1</v>
      </c>
      <c r="L176" s="5">
        <f t="shared" si="63"/>
        <v>1</v>
      </c>
      <c r="M176" s="5">
        <f t="shared" si="63"/>
        <v>1</v>
      </c>
      <c r="N176" s="5">
        <f t="shared" si="63"/>
        <v>0</v>
      </c>
      <c r="O176" s="5">
        <f t="shared" si="63"/>
        <v>0</v>
      </c>
      <c r="P176" s="5">
        <f t="shared" si="63"/>
        <v>0</v>
      </c>
      <c r="Q176" s="5">
        <f t="shared" si="63"/>
        <v>3</v>
      </c>
      <c r="R176" s="5">
        <f t="shared" si="63"/>
        <v>2</v>
      </c>
      <c r="S176" s="5">
        <f t="shared" si="63"/>
        <v>1</v>
      </c>
      <c r="T176" s="5">
        <f t="shared" si="63"/>
        <v>2</v>
      </c>
      <c r="U176" s="5">
        <f t="shared" si="63"/>
        <v>2</v>
      </c>
      <c r="V176" s="5">
        <f t="shared" si="63"/>
        <v>23</v>
      </c>
    </row>
    <row r="178" spans="1:22" x14ac:dyDescent="0.4">
      <c r="A178" s="16" t="s">
        <v>82</v>
      </c>
      <c r="B178" s="60" t="s">
        <v>83</v>
      </c>
      <c r="C178" s="61"/>
      <c r="D178" s="62"/>
      <c r="E178" s="5"/>
      <c r="F178" s="5"/>
      <c r="G178" s="5"/>
      <c r="H178" s="5"/>
      <c r="I178" s="5"/>
      <c r="J178" s="5"/>
      <c r="K178" s="5"/>
      <c r="L178" s="5"/>
      <c r="M178" s="5"/>
      <c r="N178" s="15"/>
      <c r="O178" s="15"/>
      <c r="P178" s="15"/>
      <c r="Q178" s="15"/>
      <c r="R178" s="15"/>
      <c r="S178" s="15"/>
      <c r="T178" s="15"/>
      <c r="U178" s="5"/>
      <c r="V178" s="5"/>
    </row>
    <row r="179" spans="1:22" x14ac:dyDescent="0.4">
      <c r="A179" s="16"/>
      <c r="B179" s="19" t="s">
        <v>84</v>
      </c>
      <c r="C179" s="58" t="s">
        <v>85</v>
      </c>
      <c r="D179" s="59"/>
      <c r="E179" s="6">
        <f t="shared" ref="E179:U179" si="64">E52+E61+E70+E79+E88+E91+E98+E107+E113+E122+E125+E134+E142+E151+E156+E162+E171+E176</f>
        <v>182</v>
      </c>
      <c r="F179" s="6">
        <f t="shared" si="64"/>
        <v>177</v>
      </c>
      <c r="G179" s="6">
        <f t="shared" si="64"/>
        <v>186</v>
      </c>
      <c r="H179" s="6">
        <f t="shared" si="64"/>
        <v>195</v>
      </c>
      <c r="I179" s="6">
        <f t="shared" si="64"/>
        <v>190</v>
      </c>
      <c r="J179" s="6">
        <f t="shared" si="64"/>
        <v>191</v>
      </c>
      <c r="K179" s="6">
        <f t="shared" si="64"/>
        <v>154</v>
      </c>
      <c r="L179" s="6">
        <f t="shared" si="64"/>
        <v>182</v>
      </c>
      <c r="M179" s="6">
        <f t="shared" si="64"/>
        <v>192</v>
      </c>
      <c r="N179" s="6">
        <f t="shared" si="64"/>
        <v>214</v>
      </c>
      <c r="O179" s="6">
        <f t="shared" si="64"/>
        <v>170</v>
      </c>
      <c r="P179" s="6">
        <f t="shared" si="64"/>
        <v>177</v>
      </c>
      <c r="Q179" s="6">
        <f t="shared" si="64"/>
        <v>217</v>
      </c>
      <c r="R179" s="6">
        <f t="shared" si="64"/>
        <v>205</v>
      </c>
      <c r="S179" s="6">
        <f t="shared" si="64"/>
        <v>208</v>
      </c>
      <c r="T179" s="6">
        <f t="shared" si="64"/>
        <v>198</v>
      </c>
      <c r="U179" s="6">
        <f t="shared" si="64"/>
        <v>191</v>
      </c>
      <c r="V179" s="5">
        <f>SUM(E179:U179)</f>
        <v>3229</v>
      </c>
    </row>
    <row r="180" spans="1:22" x14ac:dyDescent="0.4">
      <c r="A180" s="13"/>
      <c r="B180" s="19" t="s">
        <v>86</v>
      </c>
      <c r="C180" s="58" t="s">
        <v>87</v>
      </c>
      <c r="D180" s="59"/>
      <c r="E180" s="6">
        <v>25</v>
      </c>
      <c r="F180" s="6">
        <v>25</v>
      </c>
      <c r="G180" s="6">
        <v>30</v>
      </c>
      <c r="H180" s="6">
        <v>28</v>
      </c>
      <c r="I180" s="6">
        <v>30</v>
      </c>
      <c r="J180" s="6">
        <v>30</v>
      </c>
      <c r="K180" s="6">
        <v>40</v>
      </c>
      <c r="L180" s="6">
        <v>23</v>
      </c>
      <c r="M180" s="6">
        <v>11</v>
      </c>
      <c r="N180" s="6">
        <v>23</v>
      </c>
      <c r="O180" s="6">
        <v>10</v>
      </c>
      <c r="P180" s="6">
        <v>32</v>
      </c>
      <c r="Q180" s="6">
        <v>17</v>
      </c>
      <c r="R180" s="6">
        <v>20</v>
      </c>
      <c r="S180" s="6">
        <v>32</v>
      </c>
      <c r="T180" s="6">
        <v>26</v>
      </c>
      <c r="U180" s="6">
        <v>29</v>
      </c>
      <c r="V180" s="5">
        <f>SUM(E180:U180)</f>
        <v>431</v>
      </c>
    </row>
    <row r="181" spans="1:22" x14ac:dyDescent="0.4">
      <c r="A181" s="14"/>
      <c r="B181" s="19" t="s">
        <v>88</v>
      </c>
      <c r="C181" s="58" t="s">
        <v>89</v>
      </c>
      <c r="D181" s="59"/>
      <c r="E181" s="5">
        <f>SUM(E179:E180)</f>
        <v>207</v>
      </c>
      <c r="F181" s="5">
        <f t="shared" ref="F181:U181" si="65">SUM(F179:F180)</f>
        <v>202</v>
      </c>
      <c r="G181" s="5">
        <f t="shared" si="65"/>
        <v>216</v>
      </c>
      <c r="H181" s="5">
        <f t="shared" si="65"/>
        <v>223</v>
      </c>
      <c r="I181" s="5">
        <f t="shared" si="65"/>
        <v>220</v>
      </c>
      <c r="J181" s="5">
        <f t="shared" si="65"/>
        <v>221</v>
      </c>
      <c r="K181" s="5">
        <f t="shared" si="65"/>
        <v>194</v>
      </c>
      <c r="L181" s="5">
        <f t="shared" ref="L181:T181" si="66">SUM(L179:L180)</f>
        <v>205</v>
      </c>
      <c r="M181" s="5">
        <f t="shared" si="66"/>
        <v>203</v>
      </c>
      <c r="N181" s="5">
        <f t="shared" si="66"/>
        <v>237</v>
      </c>
      <c r="O181" s="5">
        <f t="shared" ref="O181:Q181" si="67">SUM(O179:O180)</f>
        <v>180</v>
      </c>
      <c r="P181" s="5">
        <f t="shared" si="67"/>
        <v>209</v>
      </c>
      <c r="Q181" s="5">
        <f t="shared" si="67"/>
        <v>234</v>
      </c>
      <c r="R181" s="5">
        <f t="shared" si="66"/>
        <v>225</v>
      </c>
      <c r="S181" s="5">
        <f t="shared" si="66"/>
        <v>240</v>
      </c>
      <c r="T181" s="5">
        <f t="shared" si="66"/>
        <v>224</v>
      </c>
      <c r="U181" s="5">
        <f t="shared" si="65"/>
        <v>220</v>
      </c>
      <c r="V181" s="5">
        <f>SUM(E181:U181)</f>
        <v>3660</v>
      </c>
    </row>
  </sheetData>
  <mergeCells count="86">
    <mergeCell ref="C181:D181"/>
    <mergeCell ref="A172:E172"/>
    <mergeCell ref="C173:D173"/>
    <mergeCell ref="B176:D176"/>
    <mergeCell ref="B178:D178"/>
    <mergeCell ref="C179:D179"/>
    <mergeCell ref="C180:D180"/>
    <mergeCell ref="B171:D171"/>
    <mergeCell ref="A143:E143"/>
    <mergeCell ref="C144:D144"/>
    <mergeCell ref="B151:D151"/>
    <mergeCell ref="A152:E152"/>
    <mergeCell ref="C153:D153"/>
    <mergeCell ref="B156:D156"/>
    <mergeCell ref="A157:E157"/>
    <mergeCell ref="C158:D158"/>
    <mergeCell ref="B162:D162"/>
    <mergeCell ref="A163:E163"/>
    <mergeCell ref="C164:D164"/>
    <mergeCell ref="B142:D142"/>
    <mergeCell ref="A114:E114"/>
    <mergeCell ref="C115:D115"/>
    <mergeCell ref="B122:D122"/>
    <mergeCell ref="A123:E123"/>
    <mergeCell ref="C124:D124"/>
    <mergeCell ref="B125:D125"/>
    <mergeCell ref="A126:E126"/>
    <mergeCell ref="C127:D127"/>
    <mergeCell ref="B134:D134"/>
    <mergeCell ref="A135:E135"/>
    <mergeCell ref="C136:D136"/>
    <mergeCell ref="B113:D113"/>
    <mergeCell ref="A89:E89"/>
    <mergeCell ref="C90:D90"/>
    <mergeCell ref="B91:D91"/>
    <mergeCell ref="A92:E92"/>
    <mergeCell ref="C93:D93"/>
    <mergeCell ref="B98:D98"/>
    <mergeCell ref="A99:E99"/>
    <mergeCell ref="C100:D100"/>
    <mergeCell ref="B107:D107"/>
    <mergeCell ref="A108:E108"/>
    <mergeCell ref="C109:D109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E37:I37"/>
    <mergeCell ref="B38:D38"/>
    <mergeCell ref="B39:C41"/>
    <mergeCell ref="A42:D42"/>
    <mergeCell ref="E42:I42"/>
    <mergeCell ref="A31:D31"/>
    <mergeCell ref="B32:D32"/>
    <mergeCell ref="B33:D33"/>
    <mergeCell ref="B52:D52"/>
    <mergeCell ref="B35:D35"/>
    <mergeCell ref="B36:D36"/>
    <mergeCell ref="A37:D37"/>
    <mergeCell ref="B43:D43"/>
    <mergeCell ref="A44:D44"/>
    <mergeCell ref="C45:D45"/>
    <mergeCell ref="B34:D34"/>
    <mergeCell ref="A17:D17"/>
    <mergeCell ref="B12:D12"/>
    <mergeCell ref="E12:U12"/>
    <mergeCell ref="V12:V13"/>
    <mergeCell ref="B13:D13"/>
    <mergeCell ref="B14:C16"/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</mergeCells>
  <phoneticPr fontId="8" type="noConversion"/>
  <conditionalFormatting sqref="E14:U15">
    <cfRule type="containsBlanks" dxfId="55" priority="20">
      <formula>LEN(TRIM(E14))=0</formula>
    </cfRule>
  </conditionalFormatting>
  <conditionalFormatting sqref="E19:U20">
    <cfRule type="containsBlanks" dxfId="54" priority="23">
      <formula>LEN(TRIM(E19))=0</formula>
    </cfRule>
  </conditionalFormatting>
  <conditionalFormatting sqref="E22:U23 E25:U26 E33:U33 E35:U35 E39:U40">
    <cfRule type="containsBlanks" dxfId="53" priority="24">
      <formula>LEN(TRIM(E22))=0</formula>
    </cfRule>
  </conditionalFormatting>
  <conditionalFormatting sqref="E30:U30">
    <cfRule type="expression" dxfId="52" priority="25">
      <formula>E30&lt;&gt;E47</formula>
    </cfRule>
    <cfRule type="expression" dxfId="51" priority="26">
      <formula>E30&lt;&gt;E34</formula>
    </cfRule>
  </conditionalFormatting>
  <conditionalFormatting sqref="E34:U34">
    <cfRule type="expression" dxfId="50" priority="75">
      <formula>E30&lt;&gt;E34</formula>
    </cfRule>
    <cfRule type="expression" dxfId="49" priority="76">
      <formula>E30=E34</formula>
    </cfRule>
    <cfRule type="expression" dxfId="48" priority="77">
      <formula>E34&lt;&gt;E30</formula>
    </cfRule>
    <cfRule type="expression" dxfId="47" priority="78">
      <formula>E34&lt;&gt;#REF!</formula>
    </cfRule>
  </conditionalFormatting>
  <conditionalFormatting sqref="E45:U51">
    <cfRule type="containsBlanks" dxfId="46" priority="19">
      <formula>LEN(TRIM(E45))=0</formula>
    </cfRule>
  </conditionalFormatting>
  <conditionalFormatting sqref="E54:U60">
    <cfRule type="containsBlanks" dxfId="45" priority="18">
      <formula>LEN(TRIM(E54))=0</formula>
    </cfRule>
  </conditionalFormatting>
  <conditionalFormatting sqref="E63:U69">
    <cfRule type="containsBlanks" dxfId="44" priority="17">
      <formula>LEN(TRIM(E63))=0</formula>
    </cfRule>
  </conditionalFormatting>
  <conditionalFormatting sqref="E72:U78">
    <cfRule type="containsBlanks" dxfId="43" priority="16">
      <formula>LEN(TRIM(E72))=0</formula>
    </cfRule>
  </conditionalFormatting>
  <conditionalFormatting sqref="E81:U87">
    <cfRule type="containsBlanks" dxfId="42" priority="15">
      <formula>LEN(TRIM(E81))=0</formula>
    </cfRule>
  </conditionalFormatting>
  <conditionalFormatting sqref="E90:U90">
    <cfRule type="containsBlanks" dxfId="41" priority="14">
      <formula>LEN(TRIM(E90))=0</formula>
    </cfRule>
  </conditionalFormatting>
  <conditionalFormatting sqref="E93:U97">
    <cfRule type="containsBlanks" dxfId="40" priority="1">
      <formula>LEN(TRIM(E93))=0</formula>
    </cfRule>
  </conditionalFormatting>
  <conditionalFormatting sqref="E100:U106">
    <cfRule type="containsBlanks" dxfId="39" priority="13">
      <formula>LEN(TRIM(E100))=0</formula>
    </cfRule>
  </conditionalFormatting>
  <conditionalFormatting sqref="E109:U112">
    <cfRule type="containsBlanks" dxfId="38" priority="12">
      <formula>LEN(TRIM(E109))=0</formula>
    </cfRule>
  </conditionalFormatting>
  <conditionalFormatting sqref="E115:U121">
    <cfRule type="containsBlanks" dxfId="37" priority="3">
      <formula>LEN(TRIM(E115))=0</formula>
    </cfRule>
  </conditionalFormatting>
  <conditionalFormatting sqref="E124:U124">
    <cfRule type="containsBlanks" dxfId="36" priority="11">
      <formula>LEN(TRIM(E124))=0</formula>
    </cfRule>
  </conditionalFormatting>
  <conditionalFormatting sqref="E127:U133">
    <cfRule type="containsBlanks" dxfId="35" priority="10">
      <formula>LEN(TRIM(E127))=0</formula>
    </cfRule>
  </conditionalFormatting>
  <conditionalFormatting sqref="E136:U141">
    <cfRule type="containsBlanks" dxfId="34" priority="9">
      <formula>LEN(TRIM(E136))=0</formula>
    </cfRule>
  </conditionalFormatting>
  <conditionalFormatting sqref="E144:U150">
    <cfRule type="containsBlanks" dxfId="33" priority="8">
      <formula>LEN(TRIM(E144))=0</formula>
    </cfRule>
  </conditionalFormatting>
  <conditionalFormatting sqref="E153:U155">
    <cfRule type="containsBlanks" dxfId="32" priority="7">
      <formula>LEN(TRIM(E153))=0</formula>
    </cfRule>
  </conditionalFormatting>
  <conditionalFormatting sqref="E158:U161">
    <cfRule type="containsBlanks" dxfId="31" priority="6">
      <formula>LEN(TRIM(E158))=0</formula>
    </cfRule>
  </conditionalFormatting>
  <conditionalFormatting sqref="E164:U170">
    <cfRule type="containsBlanks" dxfId="30" priority="5">
      <formula>LEN(TRIM(E164))=0</formula>
    </cfRule>
  </conditionalFormatting>
  <conditionalFormatting sqref="E173:U175">
    <cfRule type="containsBlanks" dxfId="29" priority="4">
      <formula>LEN(TRIM(E173))=0</formula>
    </cfRule>
  </conditionalFormatting>
  <conditionalFormatting sqref="E179:U180">
    <cfRule type="containsBlanks" dxfId="28" priority="2">
      <formula>LEN(TRIM(E179))=0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CD85-E373-4744-A74F-63DA70D05679}">
  <sheetPr>
    <tabColor rgb="FF92D050"/>
  </sheetPr>
  <dimension ref="A2:V181"/>
  <sheetViews>
    <sheetView topLeftCell="E13" zoomScale="115" zoomScaleNormal="115" workbookViewId="0">
      <pane ySplit="1" topLeftCell="A178" activePane="bottomLeft" state="frozen"/>
      <selection activeCell="A13" sqref="A13"/>
      <selection pane="bottomLeft" activeCell="V180" sqref="V180"/>
    </sheetView>
  </sheetViews>
  <sheetFormatPr defaultRowHeight="13.15" x14ac:dyDescent="0.4"/>
  <cols>
    <col min="3" max="3" width="67.140625" bestFit="1" customWidth="1"/>
    <col min="4" max="4" width="5.85546875" bestFit="1" customWidth="1"/>
    <col min="22" max="22" width="13.28515625" customWidth="1"/>
  </cols>
  <sheetData>
    <row r="2" spans="1:22" x14ac:dyDescent="0.4">
      <c r="C2" s="43" t="s">
        <v>91</v>
      </c>
      <c r="D2" s="43" t="s">
        <v>98</v>
      </c>
    </row>
    <row r="3" spans="1:22" x14ac:dyDescent="0.4">
      <c r="C3" s="43" t="s">
        <v>92</v>
      </c>
      <c r="D3" s="43" t="s">
        <v>93</v>
      </c>
    </row>
    <row r="4" spans="1:22" x14ac:dyDescent="0.4">
      <c r="C4" s="43" t="s">
        <v>94</v>
      </c>
      <c r="D4" s="43" t="s">
        <v>95</v>
      </c>
    </row>
    <row r="5" spans="1:22" x14ac:dyDescent="0.4">
      <c r="C5" s="43"/>
      <c r="D5" s="43"/>
    </row>
    <row r="6" spans="1:22" x14ac:dyDescent="0.4">
      <c r="C6" s="43"/>
      <c r="D6" s="43"/>
    </row>
    <row r="7" spans="1:22" x14ac:dyDescent="0.4">
      <c r="C7" s="43"/>
      <c r="D7" s="43"/>
    </row>
    <row r="8" spans="1:22" x14ac:dyDescent="0.4">
      <c r="C8" s="43"/>
      <c r="D8" s="43"/>
    </row>
    <row r="9" spans="1:22" x14ac:dyDescent="0.4">
      <c r="C9" s="43" t="s">
        <v>96</v>
      </c>
      <c r="D9" s="43" t="s">
        <v>102</v>
      </c>
    </row>
    <row r="11" spans="1:22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Q11" s="3"/>
    </row>
    <row r="12" spans="1:22" x14ac:dyDescent="0.4">
      <c r="A12" s="5" t="s">
        <v>0</v>
      </c>
      <c r="B12" s="60" t="s">
        <v>1</v>
      </c>
      <c r="C12" s="68"/>
      <c r="D12" s="51"/>
      <c r="E12" s="85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7" t="s">
        <v>90</v>
      </c>
    </row>
    <row r="13" spans="1:22" x14ac:dyDescent="0.4">
      <c r="A13" s="6" t="s">
        <v>2</v>
      </c>
      <c r="B13" s="78" t="s">
        <v>3</v>
      </c>
      <c r="C13" s="68"/>
      <c r="D13" s="51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182</v>
      </c>
      <c r="S13" s="5" t="s">
        <v>183</v>
      </c>
      <c r="T13" s="5" t="s">
        <v>184</v>
      </c>
      <c r="U13" s="5" t="s">
        <v>185</v>
      </c>
      <c r="V13" s="88"/>
    </row>
    <row r="14" spans="1:22" x14ac:dyDescent="0.4">
      <c r="A14" s="7"/>
      <c r="B14" s="89" t="s">
        <v>21</v>
      </c>
      <c r="C14" s="64"/>
      <c r="D14" s="6" t="s">
        <v>22</v>
      </c>
      <c r="E14" s="6">
        <v>142</v>
      </c>
      <c r="F14" s="6">
        <v>145</v>
      </c>
      <c r="G14" s="6">
        <v>140</v>
      </c>
      <c r="H14" s="6">
        <v>144</v>
      </c>
      <c r="I14" s="6">
        <v>144</v>
      </c>
      <c r="J14" s="6">
        <v>147</v>
      </c>
      <c r="K14" s="6">
        <v>145</v>
      </c>
      <c r="L14" s="6">
        <v>159</v>
      </c>
      <c r="M14" s="6">
        <v>142</v>
      </c>
      <c r="N14" s="6">
        <v>129</v>
      </c>
      <c r="O14" s="6">
        <v>143</v>
      </c>
      <c r="P14" s="6">
        <v>115</v>
      </c>
      <c r="Q14" s="6">
        <v>77</v>
      </c>
      <c r="R14" s="6">
        <v>249</v>
      </c>
      <c r="S14" s="6">
        <v>252</v>
      </c>
      <c r="T14" s="6">
        <v>235</v>
      </c>
      <c r="U14" s="6">
        <v>189</v>
      </c>
      <c r="V14" s="5">
        <f>SUM(E14:U14)</f>
        <v>2697</v>
      </c>
    </row>
    <row r="15" spans="1:22" x14ac:dyDescent="0.4">
      <c r="A15" s="7"/>
      <c r="B15" s="90"/>
      <c r="C15" s="77"/>
      <c r="D15" s="6" t="s">
        <v>23</v>
      </c>
      <c r="E15" s="6">
        <v>147</v>
      </c>
      <c r="F15" s="6">
        <v>150</v>
      </c>
      <c r="G15" s="6">
        <v>151</v>
      </c>
      <c r="H15" s="6">
        <v>141</v>
      </c>
      <c r="I15" s="6">
        <v>147</v>
      </c>
      <c r="J15" s="6">
        <v>138</v>
      </c>
      <c r="K15" s="6">
        <v>140</v>
      </c>
      <c r="L15" s="6">
        <v>134</v>
      </c>
      <c r="M15" s="6">
        <v>131</v>
      </c>
      <c r="N15" s="6">
        <v>137</v>
      </c>
      <c r="O15" s="6">
        <v>154</v>
      </c>
      <c r="P15" s="6">
        <v>134</v>
      </c>
      <c r="Q15" s="6">
        <v>97</v>
      </c>
      <c r="R15" s="6">
        <v>9</v>
      </c>
      <c r="S15" s="6">
        <v>7</v>
      </c>
      <c r="T15" s="6">
        <v>14</v>
      </c>
      <c r="U15" s="6">
        <v>8</v>
      </c>
      <c r="V15" s="5">
        <f>SUM(E15:U15)</f>
        <v>1839</v>
      </c>
    </row>
    <row r="16" spans="1:22" x14ac:dyDescent="0.4">
      <c r="A16" s="8"/>
      <c r="B16" s="91"/>
      <c r="C16" s="75"/>
      <c r="D16" s="5" t="s">
        <v>24</v>
      </c>
      <c r="E16" s="5">
        <f t="shared" ref="E16:U16" si="0">SUM(E14:E15)</f>
        <v>289</v>
      </c>
      <c r="F16" s="5">
        <f t="shared" si="0"/>
        <v>295</v>
      </c>
      <c r="G16" s="5">
        <f t="shared" si="0"/>
        <v>291</v>
      </c>
      <c r="H16" s="5">
        <f t="shared" si="0"/>
        <v>285</v>
      </c>
      <c r="I16" s="5">
        <f t="shared" si="0"/>
        <v>291</v>
      </c>
      <c r="J16" s="5">
        <f t="shared" si="0"/>
        <v>285</v>
      </c>
      <c r="K16" s="5">
        <f t="shared" si="0"/>
        <v>285</v>
      </c>
      <c r="L16" s="5">
        <f t="shared" si="0"/>
        <v>293</v>
      </c>
      <c r="M16" s="5">
        <f t="shared" si="0"/>
        <v>273</v>
      </c>
      <c r="N16" s="5">
        <f t="shared" ref="N16:P16" si="1">SUM(N14:N15)</f>
        <v>266</v>
      </c>
      <c r="O16" s="5">
        <f t="shared" si="1"/>
        <v>297</v>
      </c>
      <c r="P16" s="5">
        <f t="shared" si="1"/>
        <v>249</v>
      </c>
      <c r="Q16" s="5">
        <f t="shared" si="0"/>
        <v>174</v>
      </c>
      <c r="R16" s="5">
        <f t="shared" si="0"/>
        <v>258</v>
      </c>
      <c r="S16" s="5">
        <f t="shared" ref="S16" si="2">SUM(S14:S15)</f>
        <v>259</v>
      </c>
      <c r="T16" s="5">
        <f t="shared" si="0"/>
        <v>249</v>
      </c>
      <c r="U16" s="5">
        <f t="shared" si="0"/>
        <v>197</v>
      </c>
      <c r="V16" s="5">
        <f>SUM(E16:U16)</f>
        <v>4536</v>
      </c>
    </row>
    <row r="17" spans="1:22" x14ac:dyDescent="0.4">
      <c r="A17" s="55"/>
      <c r="B17" s="68"/>
      <c r="C17" s="68"/>
      <c r="D17" s="51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28"/>
    </row>
    <row r="18" spans="1:22" x14ac:dyDescent="0.4">
      <c r="A18" s="11" t="s">
        <v>25</v>
      </c>
      <c r="B18" s="78" t="s">
        <v>26</v>
      </c>
      <c r="C18" s="68"/>
      <c r="D18" s="51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28"/>
    </row>
    <row r="19" spans="1:22" x14ac:dyDescent="0.4">
      <c r="A19" s="11"/>
      <c r="B19" s="79" t="s">
        <v>27</v>
      </c>
      <c r="C19" s="80" t="s">
        <v>28</v>
      </c>
      <c r="D19" s="6" t="s">
        <v>22</v>
      </c>
      <c r="E19" s="6">
        <v>114</v>
      </c>
      <c r="F19" s="6">
        <v>114</v>
      </c>
      <c r="G19" s="6">
        <v>108</v>
      </c>
      <c r="H19" s="6">
        <v>107</v>
      </c>
      <c r="I19" s="6">
        <v>111</v>
      </c>
      <c r="J19" s="6">
        <v>111</v>
      </c>
      <c r="K19" s="6">
        <v>124</v>
      </c>
      <c r="L19" s="6">
        <v>116</v>
      </c>
      <c r="M19" s="6">
        <v>122</v>
      </c>
      <c r="N19" s="6">
        <v>107</v>
      </c>
      <c r="O19" s="6">
        <v>117</v>
      </c>
      <c r="P19" s="6">
        <v>92</v>
      </c>
      <c r="Q19" s="6">
        <v>63</v>
      </c>
      <c r="R19" s="6">
        <v>47</v>
      </c>
      <c r="S19" s="6">
        <v>2</v>
      </c>
      <c r="T19" s="6">
        <v>13</v>
      </c>
      <c r="U19" s="6">
        <v>8</v>
      </c>
      <c r="V19" s="5">
        <f t="shared" ref="V19:V30" si="3">SUM(E19:U19)</f>
        <v>1476</v>
      </c>
    </row>
    <row r="20" spans="1:22" x14ac:dyDescent="0.4">
      <c r="A20" s="12"/>
      <c r="B20" s="77"/>
      <c r="C20" s="81"/>
      <c r="D20" s="6" t="s">
        <v>23</v>
      </c>
      <c r="E20" s="6">
        <v>124</v>
      </c>
      <c r="F20" s="6">
        <v>114</v>
      </c>
      <c r="G20" s="6">
        <v>128</v>
      </c>
      <c r="H20" s="6">
        <v>115</v>
      </c>
      <c r="I20" s="6">
        <v>125</v>
      </c>
      <c r="J20" s="6">
        <v>116</v>
      </c>
      <c r="K20" s="6">
        <v>123</v>
      </c>
      <c r="L20" s="6">
        <v>110</v>
      </c>
      <c r="M20" s="6">
        <v>121</v>
      </c>
      <c r="N20" s="6">
        <v>115</v>
      </c>
      <c r="O20" s="6">
        <v>126</v>
      </c>
      <c r="P20" s="6">
        <v>102</v>
      </c>
      <c r="Q20" s="6">
        <v>85</v>
      </c>
      <c r="R20" s="6">
        <v>2</v>
      </c>
      <c r="S20" s="6">
        <v>0</v>
      </c>
      <c r="T20" s="6">
        <v>0</v>
      </c>
      <c r="U20" s="6">
        <v>0</v>
      </c>
      <c r="V20" s="5">
        <f t="shared" si="3"/>
        <v>1506</v>
      </c>
    </row>
    <row r="21" spans="1:22" x14ac:dyDescent="0.4">
      <c r="A21" s="13"/>
      <c r="B21" s="75"/>
      <c r="C21" s="82"/>
      <c r="D21" s="5" t="s">
        <v>24</v>
      </c>
      <c r="E21" s="5">
        <f t="shared" ref="E21:U21" si="4">SUM(E19:E20)</f>
        <v>238</v>
      </c>
      <c r="F21" s="5">
        <f t="shared" si="4"/>
        <v>228</v>
      </c>
      <c r="G21" s="5">
        <f t="shared" si="4"/>
        <v>236</v>
      </c>
      <c r="H21" s="5">
        <f t="shared" si="4"/>
        <v>222</v>
      </c>
      <c r="I21" s="5">
        <f t="shared" si="4"/>
        <v>236</v>
      </c>
      <c r="J21" s="5">
        <f t="shared" si="4"/>
        <v>227</v>
      </c>
      <c r="K21" s="5">
        <f t="shared" si="4"/>
        <v>247</v>
      </c>
      <c r="L21" s="5">
        <f t="shared" si="4"/>
        <v>226</v>
      </c>
      <c r="M21" s="5">
        <f t="shared" si="4"/>
        <v>243</v>
      </c>
      <c r="N21" s="5">
        <f t="shared" ref="N21:P21" si="5">SUM(N19:N20)</f>
        <v>222</v>
      </c>
      <c r="O21" s="5">
        <f t="shared" si="5"/>
        <v>243</v>
      </c>
      <c r="P21" s="5">
        <f t="shared" si="5"/>
        <v>194</v>
      </c>
      <c r="Q21" s="5">
        <f t="shared" si="4"/>
        <v>148</v>
      </c>
      <c r="R21" s="5">
        <f t="shared" si="4"/>
        <v>49</v>
      </c>
      <c r="S21" s="5">
        <f t="shared" ref="S21" si="6">SUM(S19:S20)</f>
        <v>2</v>
      </c>
      <c r="T21" s="5">
        <f t="shared" si="4"/>
        <v>13</v>
      </c>
      <c r="U21" s="5">
        <f t="shared" si="4"/>
        <v>8</v>
      </c>
      <c r="V21" s="5">
        <f t="shared" si="3"/>
        <v>2982</v>
      </c>
    </row>
    <row r="22" spans="1:22" x14ac:dyDescent="0.4">
      <c r="A22" s="12"/>
      <c r="B22" s="79" t="s">
        <v>29</v>
      </c>
      <c r="C22" s="80" t="s">
        <v>30</v>
      </c>
      <c r="D22" s="6" t="s">
        <v>22</v>
      </c>
      <c r="E22" s="6"/>
      <c r="F22" s="6">
        <v>2</v>
      </c>
      <c r="G22" s="6"/>
      <c r="H22" s="6"/>
      <c r="I22" s="6"/>
      <c r="J22" s="6"/>
      <c r="K22" s="6">
        <v>1</v>
      </c>
      <c r="L22" s="6"/>
      <c r="M22" s="6"/>
      <c r="N22" s="6"/>
      <c r="O22" s="6"/>
      <c r="P22" s="6"/>
      <c r="Q22" s="6">
        <v>1</v>
      </c>
      <c r="R22" s="6">
        <v>11</v>
      </c>
      <c r="S22" s="6">
        <v>7</v>
      </c>
      <c r="T22" s="6">
        <v>16</v>
      </c>
      <c r="U22" s="6">
        <v>5</v>
      </c>
      <c r="V22" s="5">
        <f t="shared" si="3"/>
        <v>43</v>
      </c>
    </row>
    <row r="23" spans="1:22" x14ac:dyDescent="0.4">
      <c r="A23" s="12"/>
      <c r="B23" s="77"/>
      <c r="C23" s="81"/>
      <c r="D23" s="6" t="s">
        <v>23</v>
      </c>
      <c r="E23" s="6">
        <v>1</v>
      </c>
      <c r="F23" s="6"/>
      <c r="G23" s="6">
        <v>1</v>
      </c>
      <c r="H23" s="6"/>
      <c r="I23" s="6"/>
      <c r="J23" s="6"/>
      <c r="K23" s="6"/>
      <c r="L23" s="6"/>
      <c r="M23" s="6"/>
      <c r="N23" s="6"/>
      <c r="O23" s="6"/>
      <c r="P23" s="6"/>
      <c r="Q23" s="6">
        <v>1</v>
      </c>
      <c r="R23" s="6"/>
      <c r="S23" s="6"/>
      <c r="T23" s="6"/>
      <c r="U23" s="6">
        <v>1</v>
      </c>
      <c r="V23" s="5">
        <f t="shared" si="3"/>
        <v>4</v>
      </c>
    </row>
    <row r="24" spans="1:22" x14ac:dyDescent="0.4">
      <c r="A24" s="13"/>
      <c r="B24" s="75"/>
      <c r="C24" s="82"/>
      <c r="D24" s="5" t="s">
        <v>24</v>
      </c>
      <c r="E24" s="5">
        <f t="shared" ref="E24:U24" si="7">SUM(E22:E23)</f>
        <v>1</v>
      </c>
      <c r="F24" s="5">
        <f t="shared" si="7"/>
        <v>2</v>
      </c>
      <c r="G24" s="5">
        <f t="shared" si="7"/>
        <v>1</v>
      </c>
      <c r="H24" s="5">
        <f t="shared" si="7"/>
        <v>0</v>
      </c>
      <c r="I24" s="5">
        <f t="shared" si="7"/>
        <v>0</v>
      </c>
      <c r="J24" s="5">
        <f t="shared" si="7"/>
        <v>0</v>
      </c>
      <c r="K24" s="5">
        <f t="shared" si="7"/>
        <v>1</v>
      </c>
      <c r="L24" s="5">
        <f t="shared" si="7"/>
        <v>0</v>
      </c>
      <c r="M24" s="5">
        <f t="shared" si="7"/>
        <v>0</v>
      </c>
      <c r="N24" s="5">
        <f t="shared" ref="N24:P24" si="8">SUM(N22:N23)</f>
        <v>0</v>
      </c>
      <c r="O24" s="5">
        <f t="shared" si="8"/>
        <v>0</v>
      </c>
      <c r="P24" s="5">
        <f t="shared" si="8"/>
        <v>0</v>
      </c>
      <c r="Q24" s="5">
        <f t="shared" si="7"/>
        <v>2</v>
      </c>
      <c r="R24" s="5">
        <f t="shared" si="7"/>
        <v>11</v>
      </c>
      <c r="S24" s="5">
        <f t="shared" ref="S24" si="9">SUM(S22:S23)</f>
        <v>7</v>
      </c>
      <c r="T24" s="5">
        <f t="shared" si="7"/>
        <v>16</v>
      </c>
      <c r="U24" s="5">
        <f t="shared" si="7"/>
        <v>6</v>
      </c>
      <c r="V24" s="5">
        <f t="shared" si="3"/>
        <v>47</v>
      </c>
    </row>
    <row r="25" spans="1:22" x14ac:dyDescent="0.4">
      <c r="A25" s="12"/>
      <c r="B25" s="79" t="s">
        <v>31</v>
      </c>
      <c r="C25" s="80" t="s">
        <v>32</v>
      </c>
      <c r="D25" s="6" t="s">
        <v>22</v>
      </c>
      <c r="E25" s="6"/>
      <c r="F25" s="6">
        <v>1</v>
      </c>
      <c r="G25" s="6">
        <v>2</v>
      </c>
      <c r="H25" s="6">
        <v>1</v>
      </c>
      <c r="I25" s="6"/>
      <c r="J25" s="6">
        <v>3</v>
      </c>
      <c r="K25" s="6">
        <v>2</v>
      </c>
      <c r="L25" s="6">
        <v>3</v>
      </c>
      <c r="M25" s="6">
        <v>1</v>
      </c>
      <c r="N25" s="6"/>
      <c r="O25" s="6"/>
      <c r="P25" s="6"/>
      <c r="Q25" s="6"/>
      <c r="R25" s="6"/>
      <c r="S25" s="6"/>
      <c r="T25" s="6"/>
      <c r="U25" s="6"/>
      <c r="V25" s="5">
        <f t="shared" si="3"/>
        <v>13</v>
      </c>
    </row>
    <row r="26" spans="1:22" x14ac:dyDescent="0.4">
      <c r="A26" s="12"/>
      <c r="B26" s="77"/>
      <c r="C26" s="81"/>
      <c r="D26" s="6" t="s">
        <v>23</v>
      </c>
      <c r="E26" s="6"/>
      <c r="F26" s="6"/>
      <c r="G26" s="6">
        <v>4</v>
      </c>
      <c r="H26" s="6">
        <v>1</v>
      </c>
      <c r="I26" s="6">
        <v>2</v>
      </c>
      <c r="J26" s="6">
        <v>1</v>
      </c>
      <c r="K26" s="6">
        <v>1</v>
      </c>
      <c r="L26" s="6">
        <v>3</v>
      </c>
      <c r="M26" s="6">
        <v>1</v>
      </c>
      <c r="N26" s="6"/>
      <c r="O26" s="6">
        <v>3</v>
      </c>
      <c r="P26" s="6">
        <v>3</v>
      </c>
      <c r="Q26" s="6">
        <v>1</v>
      </c>
      <c r="R26" s="6"/>
      <c r="S26" s="6"/>
      <c r="T26" s="6"/>
      <c r="U26" s="6"/>
      <c r="V26" s="5">
        <f t="shared" si="3"/>
        <v>20</v>
      </c>
    </row>
    <row r="27" spans="1:22" x14ac:dyDescent="0.4">
      <c r="A27" s="13"/>
      <c r="B27" s="75"/>
      <c r="C27" s="82"/>
      <c r="D27" s="5" t="s">
        <v>24</v>
      </c>
      <c r="E27" s="5">
        <f t="shared" ref="E27:U27" si="10">SUM(E25:E26)</f>
        <v>0</v>
      </c>
      <c r="F27" s="5">
        <f t="shared" si="10"/>
        <v>1</v>
      </c>
      <c r="G27" s="5">
        <f t="shared" si="10"/>
        <v>6</v>
      </c>
      <c r="H27" s="5">
        <f t="shared" si="10"/>
        <v>2</v>
      </c>
      <c r="I27" s="5">
        <f t="shared" si="10"/>
        <v>2</v>
      </c>
      <c r="J27" s="5">
        <f t="shared" si="10"/>
        <v>4</v>
      </c>
      <c r="K27" s="5">
        <f t="shared" si="10"/>
        <v>3</v>
      </c>
      <c r="L27" s="5">
        <f t="shared" si="10"/>
        <v>6</v>
      </c>
      <c r="M27" s="5">
        <f t="shared" si="10"/>
        <v>2</v>
      </c>
      <c r="N27" s="5">
        <f t="shared" ref="N27:P27" si="11">SUM(N25:N26)</f>
        <v>0</v>
      </c>
      <c r="O27" s="5">
        <f t="shared" si="11"/>
        <v>3</v>
      </c>
      <c r="P27" s="5">
        <f t="shared" si="11"/>
        <v>3</v>
      </c>
      <c r="Q27" s="5">
        <f t="shared" si="10"/>
        <v>1</v>
      </c>
      <c r="R27" s="5">
        <f t="shared" si="10"/>
        <v>0</v>
      </c>
      <c r="S27" s="5">
        <f t="shared" ref="S27" si="12">SUM(S25:S26)</f>
        <v>0</v>
      </c>
      <c r="T27" s="5">
        <f t="shared" si="10"/>
        <v>0</v>
      </c>
      <c r="U27" s="5">
        <f t="shared" si="10"/>
        <v>0</v>
      </c>
      <c r="V27" s="5">
        <f t="shared" si="3"/>
        <v>33</v>
      </c>
    </row>
    <row r="28" spans="1:22" x14ac:dyDescent="0.4">
      <c r="A28" s="13"/>
      <c r="B28" s="83" t="s">
        <v>33</v>
      </c>
      <c r="C28" s="84" t="s">
        <v>34</v>
      </c>
      <c r="D28" s="5" t="s">
        <v>22</v>
      </c>
      <c r="E28" s="5">
        <f>SUM(E19,E22,E25)</f>
        <v>114</v>
      </c>
      <c r="F28" s="5">
        <f t="shared" ref="F28:U29" si="13">SUM(F19,F22,F25)</f>
        <v>117</v>
      </c>
      <c r="G28" s="5">
        <f t="shared" si="13"/>
        <v>110</v>
      </c>
      <c r="H28" s="5">
        <f t="shared" si="13"/>
        <v>108</v>
      </c>
      <c r="I28" s="5">
        <f t="shared" si="13"/>
        <v>111</v>
      </c>
      <c r="J28" s="5">
        <f t="shared" si="13"/>
        <v>114</v>
      </c>
      <c r="K28" s="5">
        <f t="shared" si="13"/>
        <v>127</v>
      </c>
      <c r="L28" s="5">
        <f t="shared" si="13"/>
        <v>119</v>
      </c>
      <c r="M28" s="5">
        <f t="shared" si="13"/>
        <v>123</v>
      </c>
      <c r="N28" s="5">
        <f t="shared" ref="N28:P28" si="14">SUM(N19,N22,N25)</f>
        <v>107</v>
      </c>
      <c r="O28" s="5">
        <f t="shared" si="14"/>
        <v>117</v>
      </c>
      <c r="P28" s="5">
        <f t="shared" si="14"/>
        <v>92</v>
      </c>
      <c r="Q28" s="5">
        <f t="shared" si="13"/>
        <v>64</v>
      </c>
      <c r="R28" s="5">
        <f t="shared" si="13"/>
        <v>58</v>
      </c>
      <c r="S28" s="5">
        <f t="shared" ref="S28" si="15">SUM(S19,S22,S25)</f>
        <v>9</v>
      </c>
      <c r="T28" s="5">
        <f t="shared" si="13"/>
        <v>29</v>
      </c>
      <c r="U28" s="5">
        <f t="shared" si="13"/>
        <v>13</v>
      </c>
      <c r="V28" s="5">
        <f t="shared" si="3"/>
        <v>1532</v>
      </c>
    </row>
    <row r="29" spans="1:22" x14ac:dyDescent="0.4">
      <c r="A29" s="13"/>
      <c r="B29" s="77"/>
      <c r="C29" s="81"/>
      <c r="D29" s="5" t="s">
        <v>23</v>
      </c>
      <c r="E29" s="5">
        <f>SUM(E20,E23,E26)</f>
        <v>125</v>
      </c>
      <c r="F29" s="5">
        <f t="shared" si="13"/>
        <v>114</v>
      </c>
      <c r="G29" s="5">
        <f t="shared" si="13"/>
        <v>133</v>
      </c>
      <c r="H29" s="5">
        <f t="shared" si="13"/>
        <v>116</v>
      </c>
      <c r="I29" s="5">
        <f t="shared" si="13"/>
        <v>127</v>
      </c>
      <c r="J29" s="5">
        <f t="shared" si="13"/>
        <v>117</v>
      </c>
      <c r="K29" s="5">
        <f t="shared" si="13"/>
        <v>124</v>
      </c>
      <c r="L29" s="5">
        <f t="shared" si="13"/>
        <v>113</v>
      </c>
      <c r="M29" s="5">
        <f t="shared" si="13"/>
        <v>122</v>
      </c>
      <c r="N29" s="5">
        <f t="shared" ref="N29:P29" si="16">SUM(N20,N23,N26)</f>
        <v>115</v>
      </c>
      <c r="O29" s="5">
        <f t="shared" si="16"/>
        <v>129</v>
      </c>
      <c r="P29" s="5">
        <f t="shared" si="16"/>
        <v>105</v>
      </c>
      <c r="Q29" s="5">
        <f t="shared" si="13"/>
        <v>87</v>
      </c>
      <c r="R29" s="5">
        <f t="shared" si="13"/>
        <v>2</v>
      </c>
      <c r="S29" s="5">
        <f t="shared" ref="S29" si="17">SUM(S20,S23,S26)</f>
        <v>0</v>
      </c>
      <c r="T29" s="5">
        <f t="shared" si="13"/>
        <v>0</v>
      </c>
      <c r="U29" s="5">
        <f t="shared" si="13"/>
        <v>1</v>
      </c>
      <c r="V29" s="5">
        <f t="shared" si="3"/>
        <v>1530</v>
      </c>
    </row>
    <row r="30" spans="1:22" x14ac:dyDescent="0.4">
      <c r="A30" s="13"/>
      <c r="B30" s="75"/>
      <c r="C30" s="82"/>
      <c r="D30" s="5" t="s">
        <v>24</v>
      </c>
      <c r="E30" s="5">
        <f t="shared" ref="E30" si="18">SUM(E28:E29)</f>
        <v>239</v>
      </c>
      <c r="F30" s="5">
        <f t="shared" ref="F30:U30" si="19">SUM(F28:F29)</f>
        <v>231</v>
      </c>
      <c r="G30" s="5">
        <f t="shared" si="19"/>
        <v>243</v>
      </c>
      <c r="H30" s="5">
        <f t="shared" si="19"/>
        <v>224</v>
      </c>
      <c r="I30" s="5">
        <f t="shared" si="19"/>
        <v>238</v>
      </c>
      <c r="J30" s="5">
        <f t="shared" si="19"/>
        <v>231</v>
      </c>
      <c r="K30" s="5">
        <f t="shared" si="19"/>
        <v>251</v>
      </c>
      <c r="L30" s="5">
        <f t="shared" si="19"/>
        <v>232</v>
      </c>
      <c r="M30" s="5">
        <f t="shared" si="19"/>
        <v>245</v>
      </c>
      <c r="N30" s="5">
        <f t="shared" ref="N30:P30" si="20">SUM(N28:N29)</f>
        <v>222</v>
      </c>
      <c r="O30" s="5">
        <f t="shared" si="20"/>
        <v>246</v>
      </c>
      <c r="P30" s="5">
        <f t="shared" si="20"/>
        <v>197</v>
      </c>
      <c r="Q30" s="5">
        <f t="shared" si="19"/>
        <v>151</v>
      </c>
      <c r="R30" s="5">
        <f t="shared" si="19"/>
        <v>60</v>
      </c>
      <c r="S30" s="5">
        <f t="shared" ref="S30" si="21">SUM(S28:S29)</f>
        <v>9</v>
      </c>
      <c r="T30" s="5">
        <f t="shared" si="19"/>
        <v>29</v>
      </c>
      <c r="U30" s="5">
        <f t="shared" si="19"/>
        <v>14</v>
      </c>
      <c r="V30" s="5">
        <f t="shared" si="3"/>
        <v>3062</v>
      </c>
    </row>
    <row r="31" spans="1:22" x14ac:dyDescent="0.4">
      <c r="A31" s="55"/>
      <c r="B31" s="68"/>
      <c r="C31" s="68"/>
      <c r="D31" s="51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28"/>
    </row>
    <row r="32" spans="1:22" x14ac:dyDescent="0.4">
      <c r="A32" s="14" t="s">
        <v>35</v>
      </c>
      <c r="B32" s="60" t="s">
        <v>36</v>
      </c>
      <c r="C32" s="68"/>
      <c r="D32" s="51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28"/>
    </row>
    <row r="33" spans="1:22" x14ac:dyDescent="0.4">
      <c r="A33" s="6">
        <v>1</v>
      </c>
      <c r="B33" s="78" t="s">
        <v>37</v>
      </c>
      <c r="C33" s="68"/>
      <c r="D33" s="51"/>
      <c r="E33" s="6">
        <v>294</v>
      </c>
      <c r="F33" s="6">
        <v>300</v>
      </c>
      <c r="G33" s="6">
        <v>297</v>
      </c>
      <c r="H33" s="6">
        <v>292</v>
      </c>
      <c r="I33" s="6">
        <v>297</v>
      </c>
      <c r="J33" s="6">
        <v>291</v>
      </c>
      <c r="K33" s="6">
        <v>291</v>
      </c>
      <c r="L33" s="6">
        <v>299</v>
      </c>
      <c r="M33" s="6">
        <v>278</v>
      </c>
      <c r="N33" s="6">
        <v>272</v>
      </c>
      <c r="O33" s="6">
        <v>303</v>
      </c>
      <c r="P33" s="6">
        <v>254</v>
      </c>
      <c r="Q33" s="6">
        <v>178</v>
      </c>
      <c r="R33" s="6">
        <v>264</v>
      </c>
      <c r="S33" s="6">
        <v>265</v>
      </c>
      <c r="T33" s="6">
        <v>254</v>
      </c>
      <c r="U33" s="6">
        <v>201</v>
      </c>
      <c r="V33" s="5">
        <f>SUM(E33:U33)</f>
        <v>4630</v>
      </c>
    </row>
    <row r="34" spans="1:22" x14ac:dyDescent="0.4">
      <c r="A34" s="6">
        <v>2</v>
      </c>
      <c r="B34" s="78" t="s">
        <v>38</v>
      </c>
      <c r="C34" s="68"/>
      <c r="D34" s="51"/>
      <c r="E34" s="5">
        <v>239</v>
      </c>
      <c r="F34" s="5">
        <v>231</v>
      </c>
      <c r="G34" s="5">
        <v>243</v>
      </c>
      <c r="H34" s="5">
        <v>224</v>
      </c>
      <c r="I34" s="5">
        <v>238</v>
      </c>
      <c r="J34" s="5">
        <v>231</v>
      </c>
      <c r="K34" s="5">
        <v>251</v>
      </c>
      <c r="L34" s="5">
        <v>232</v>
      </c>
      <c r="M34" s="5">
        <v>245</v>
      </c>
      <c r="N34" s="5">
        <v>222</v>
      </c>
      <c r="O34" s="5">
        <v>246</v>
      </c>
      <c r="P34" s="5">
        <v>197</v>
      </c>
      <c r="Q34" s="5">
        <v>151</v>
      </c>
      <c r="R34" s="5">
        <v>60</v>
      </c>
      <c r="S34" s="5">
        <v>9</v>
      </c>
      <c r="T34" s="5">
        <v>29</v>
      </c>
      <c r="U34" s="5">
        <v>14</v>
      </c>
      <c r="V34" s="5">
        <f>SUM(E34:U34)</f>
        <v>3062</v>
      </c>
    </row>
    <row r="35" spans="1:22" x14ac:dyDescent="0.4">
      <c r="A35" s="6">
        <v>3</v>
      </c>
      <c r="B35" s="78" t="s">
        <v>39</v>
      </c>
      <c r="C35" s="68"/>
      <c r="D35" s="51"/>
      <c r="E35" s="6"/>
      <c r="F35" s="6"/>
      <c r="G35" s="6"/>
      <c r="H35" s="6"/>
      <c r="I35" s="6"/>
      <c r="J35" s="6">
        <v>1</v>
      </c>
      <c r="K35" s="6"/>
      <c r="L35" s="6">
        <v>1</v>
      </c>
      <c r="M35" s="6"/>
      <c r="N35" s="6"/>
      <c r="O35" s="6"/>
      <c r="P35" s="6"/>
      <c r="Q35" s="6"/>
      <c r="R35" s="6"/>
      <c r="S35" s="6"/>
      <c r="T35" s="6"/>
      <c r="U35" s="6"/>
      <c r="V35" s="5">
        <f>SUM(E35:U35)</f>
        <v>2</v>
      </c>
    </row>
    <row r="36" spans="1:22" x14ac:dyDescent="0.4">
      <c r="A36" s="6">
        <v>4</v>
      </c>
      <c r="B36" s="78" t="s">
        <v>40</v>
      </c>
      <c r="C36" s="68"/>
      <c r="D36" s="51"/>
      <c r="E36" s="5">
        <f t="shared" ref="E36:U36" si="22">E33-(E34+E35)</f>
        <v>55</v>
      </c>
      <c r="F36" s="5">
        <f t="shared" si="22"/>
        <v>69</v>
      </c>
      <c r="G36" s="5">
        <f t="shared" si="22"/>
        <v>54</v>
      </c>
      <c r="H36" s="5">
        <f t="shared" si="22"/>
        <v>68</v>
      </c>
      <c r="I36" s="5">
        <f t="shared" si="22"/>
        <v>59</v>
      </c>
      <c r="J36" s="5">
        <f t="shared" si="22"/>
        <v>59</v>
      </c>
      <c r="K36" s="5">
        <f t="shared" si="22"/>
        <v>40</v>
      </c>
      <c r="L36" s="5">
        <f t="shared" si="22"/>
        <v>66</v>
      </c>
      <c r="M36" s="5">
        <f t="shared" si="22"/>
        <v>33</v>
      </c>
      <c r="N36" s="5">
        <f t="shared" ref="N36:P36" si="23">N33-(N34+N35)</f>
        <v>50</v>
      </c>
      <c r="O36" s="5">
        <f t="shared" si="23"/>
        <v>57</v>
      </c>
      <c r="P36" s="5">
        <f t="shared" si="23"/>
        <v>57</v>
      </c>
      <c r="Q36" s="5">
        <f t="shared" si="22"/>
        <v>27</v>
      </c>
      <c r="R36" s="5">
        <f t="shared" si="22"/>
        <v>204</v>
      </c>
      <c r="S36" s="5">
        <f t="shared" ref="S36" si="24">S33-(S34+S35)</f>
        <v>256</v>
      </c>
      <c r="T36" s="5">
        <f t="shared" si="22"/>
        <v>225</v>
      </c>
      <c r="U36" s="5">
        <f t="shared" si="22"/>
        <v>187</v>
      </c>
      <c r="V36" s="5">
        <f>SUM(E36:U36)</f>
        <v>1566</v>
      </c>
    </row>
    <row r="37" spans="1:22" x14ac:dyDescent="0.4">
      <c r="A37" s="55"/>
      <c r="B37" s="68"/>
      <c r="C37" s="68"/>
      <c r="D37" s="68"/>
      <c r="E37" s="55"/>
      <c r="F37" s="73"/>
      <c r="G37" s="73"/>
      <c r="H37" s="73"/>
      <c r="I37" s="74"/>
      <c r="J37" s="6"/>
      <c r="K37" s="6"/>
      <c r="L37" s="6"/>
      <c r="M37" s="6"/>
      <c r="N37" s="10"/>
      <c r="O37" s="26"/>
      <c r="P37" s="26"/>
      <c r="Q37" s="10"/>
      <c r="R37" s="26"/>
      <c r="S37" s="26"/>
      <c r="T37" s="26"/>
      <c r="U37" s="26"/>
      <c r="V37" s="28"/>
    </row>
    <row r="38" spans="1:22" x14ac:dyDescent="0.4">
      <c r="A38" s="16" t="s">
        <v>41</v>
      </c>
      <c r="B38" s="60" t="s">
        <v>42</v>
      </c>
      <c r="C38" s="68"/>
      <c r="D38" s="51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28"/>
    </row>
    <row r="39" spans="1:22" x14ac:dyDescent="0.4">
      <c r="A39" s="11"/>
      <c r="B39" s="71" t="s">
        <v>43</v>
      </c>
      <c r="C39" s="64"/>
      <c r="D39" s="6" t="s">
        <v>22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2</v>
      </c>
      <c r="Q39" s="6"/>
      <c r="R39" s="6"/>
      <c r="S39" s="6"/>
      <c r="T39" s="6"/>
      <c r="U39" s="6"/>
      <c r="V39" s="5">
        <f>SUM(E39:U39)</f>
        <v>2</v>
      </c>
    </row>
    <row r="40" spans="1:22" x14ac:dyDescent="0.4">
      <c r="A40" s="12"/>
      <c r="B40" s="76"/>
      <c r="C40" s="77"/>
      <c r="D40" s="6" t="s">
        <v>23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>
        <v>3</v>
      </c>
      <c r="Q40" s="6"/>
      <c r="R40" s="6"/>
      <c r="S40" s="6"/>
      <c r="T40" s="6"/>
      <c r="U40" s="6"/>
      <c r="V40" s="5">
        <f>SUM(E40:U40)</f>
        <v>3</v>
      </c>
    </row>
    <row r="41" spans="1:22" x14ac:dyDescent="0.4">
      <c r="A41" s="14"/>
      <c r="B41" s="70"/>
      <c r="C41" s="75"/>
      <c r="D41" s="5" t="s">
        <v>24</v>
      </c>
      <c r="E41" s="5">
        <f t="shared" ref="E41:U41" si="25">SUM(E39:E40)</f>
        <v>0</v>
      </c>
      <c r="F41" s="5">
        <f t="shared" si="25"/>
        <v>0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0</v>
      </c>
      <c r="K41" s="5">
        <f t="shared" si="25"/>
        <v>0</v>
      </c>
      <c r="L41" s="5">
        <f t="shared" si="25"/>
        <v>0</v>
      </c>
      <c r="M41" s="5">
        <f t="shared" si="25"/>
        <v>0</v>
      </c>
      <c r="N41" s="5">
        <f t="shared" ref="N41:P41" si="26">SUM(N39:N40)</f>
        <v>0</v>
      </c>
      <c r="O41" s="5">
        <f t="shared" si="26"/>
        <v>0</v>
      </c>
      <c r="P41" s="5">
        <f t="shared" si="26"/>
        <v>5</v>
      </c>
      <c r="Q41" s="5">
        <f t="shared" si="25"/>
        <v>0</v>
      </c>
      <c r="R41" s="5">
        <f t="shared" si="25"/>
        <v>0</v>
      </c>
      <c r="S41" s="5">
        <f t="shared" ref="S41" si="27">SUM(S39:S40)</f>
        <v>0</v>
      </c>
      <c r="T41" s="5">
        <f t="shared" si="25"/>
        <v>0</v>
      </c>
      <c r="U41" s="5">
        <f t="shared" si="25"/>
        <v>0</v>
      </c>
      <c r="V41" s="5">
        <f>SUM(E41:U41)</f>
        <v>5</v>
      </c>
    </row>
    <row r="42" spans="1:22" x14ac:dyDescent="0.4">
      <c r="A42" s="69"/>
      <c r="B42" s="70"/>
      <c r="C42" s="70"/>
      <c r="D42" s="75"/>
      <c r="E42" s="55"/>
      <c r="F42" s="68"/>
      <c r="G42" s="68"/>
      <c r="H42" s="68"/>
      <c r="I42" s="51"/>
      <c r="J42" s="6"/>
      <c r="K42" s="6"/>
      <c r="L42" s="6"/>
      <c r="M42" s="6"/>
      <c r="N42" s="10"/>
      <c r="O42" s="6"/>
      <c r="P42" s="10"/>
      <c r="Q42" s="10"/>
      <c r="R42" s="6"/>
      <c r="S42" s="10"/>
      <c r="T42" s="10"/>
      <c r="U42" s="6"/>
      <c r="V42" s="5"/>
    </row>
    <row r="43" spans="1:22" ht="13.15" customHeight="1" x14ac:dyDescent="0.4">
      <c r="A43" s="16" t="s">
        <v>44</v>
      </c>
      <c r="B43" s="60" t="s">
        <v>45</v>
      </c>
      <c r="C43" s="68"/>
      <c r="D43" s="51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15"/>
      <c r="R43" s="5"/>
      <c r="S43" s="15"/>
      <c r="T43" s="15"/>
      <c r="U43" s="5"/>
      <c r="V43" s="5"/>
    </row>
    <row r="44" spans="1:22" ht="13.15" customHeight="1" x14ac:dyDescent="0.4">
      <c r="A44" s="71" t="s">
        <v>46</v>
      </c>
      <c r="B44" s="72"/>
      <c r="C44" s="72"/>
      <c r="D44" s="64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10"/>
      <c r="R44" s="6"/>
      <c r="S44" s="10"/>
      <c r="T44" s="10"/>
      <c r="U44" s="6"/>
      <c r="V44" s="5"/>
    </row>
    <row r="45" spans="1:22" x14ac:dyDescent="0.4">
      <c r="A45" s="11" t="s">
        <v>47</v>
      </c>
      <c r="B45" s="17" t="s">
        <v>27</v>
      </c>
      <c r="C45" s="50" t="s">
        <v>48</v>
      </c>
      <c r="D45" s="51"/>
      <c r="E45" s="6">
        <v>13</v>
      </c>
      <c r="F45" s="6">
        <v>11</v>
      </c>
      <c r="G45" s="6">
        <v>16</v>
      </c>
      <c r="H45" s="6">
        <v>11</v>
      </c>
      <c r="I45" s="6">
        <v>10</v>
      </c>
      <c r="J45" s="6">
        <v>9</v>
      </c>
      <c r="K45" s="6">
        <v>16</v>
      </c>
      <c r="L45" s="6">
        <v>6</v>
      </c>
      <c r="M45" s="6">
        <v>18</v>
      </c>
      <c r="N45" s="6">
        <v>9</v>
      </c>
      <c r="O45" s="6">
        <v>14</v>
      </c>
      <c r="P45" s="6">
        <v>3</v>
      </c>
      <c r="Q45" s="6">
        <v>2</v>
      </c>
      <c r="R45" s="6">
        <v>0</v>
      </c>
      <c r="S45" s="6">
        <v>0</v>
      </c>
      <c r="T45" s="6">
        <v>1</v>
      </c>
      <c r="U45" s="6">
        <v>0</v>
      </c>
      <c r="V45" s="5">
        <f t="shared" ref="V45:V51" si="28">SUM(E45:U45)</f>
        <v>139</v>
      </c>
    </row>
    <row r="46" spans="1:22" x14ac:dyDescent="0.4">
      <c r="A46" s="11" t="s">
        <v>49</v>
      </c>
      <c r="B46" s="46">
        <v>1</v>
      </c>
      <c r="C46" s="24" t="s">
        <v>103</v>
      </c>
      <c r="D46" s="47"/>
      <c r="E46" s="6">
        <v>69</v>
      </c>
      <c r="F46" s="6">
        <v>48</v>
      </c>
      <c r="G46" s="6">
        <v>45</v>
      </c>
      <c r="H46" s="6">
        <v>38</v>
      </c>
      <c r="I46" s="6">
        <v>39</v>
      </c>
      <c r="J46" s="6">
        <v>35</v>
      </c>
      <c r="K46" s="6">
        <v>47</v>
      </c>
      <c r="L46" s="6">
        <v>37</v>
      </c>
      <c r="M46" s="6">
        <v>66</v>
      </c>
      <c r="N46" s="6">
        <v>49</v>
      </c>
      <c r="O46" s="6">
        <v>22</v>
      </c>
      <c r="P46" s="6">
        <v>4</v>
      </c>
      <c r="Q46" s="6">
        <v>55</v>
      </c>
      <c r="R46" s="6">
        <v>0</v>
      </c>
      <c r="S46" s="6">
        <v>0</v>
      </c>
      <c r="T46" s="6">
        <v>1</v>
      </c>
      <c r="U46" s="6">
        <v>0</v>
      </c>
      <c r="V46" s="5">
        <f t="shared" si="28"/>
        <v>555</v>
      </c>
    </row>
    <row r="47" spans="1:22" x14ac:dyDescent="0.4">
      <c r="A47" s="7"/>
      <c r="B47" s="46">
        <v>2</v>
      </c>
      <c r="C47" s="24" t="s">
        <v>104</v>
      </c>
      <c r="D47" s="47"/>
      <c r="E47" s="6">
        <v>1</v>
      </c>
      <c r="F47" s="6">
        <v>2</v>
      </c>
      <c r="G47" s="6">
        <v>1</v>
      </c>
      <c r="H47" s="6">
        <v>0</v>
      </c>
      <c r="I47" s="6">
        <v>1</v>
      </c>
      <c r="J47" s="6">
        <v>3</v>
      </c>
      <c r="K47" s="6">
        <v>0</v>
      </c>
      <c r="L47" s="6">
        <v>1</v>
      </c>
      <c r="M47" s="6">
        <v>0</v>
      </c>
      <c r="N47" s="6">
        <v>2</v>
      </c>
      <c r="O47" s="6">
        <v>1</v>
      </c>
      <c r="P47" s="6">
        <v>0</v>
      </c>
      <c r="Q47" s="6">
        <v>0</v>
      </c>
      <c r="R47" s="6">
        <v>1</v>
      </c>
      <c r="S47" s="6">
        <v>0</v>
      </c>
      <c r="T47" s="6">
        <v>0</v>
      </c>
      <c r="U47" s="6">
        <v>1</v>
      </c>
      <c r="V47" s="5">
        <f t="shared" si="28"/>
        <v>14</v>
      </c>
    </row>
    <row r="48" spans="1:22" x14ac:dyDescent="0.4">
      <c r="A48" s="7"/>
      <c r="B48" s="46">
        <v>3</v>
      </c>
      <c r="C48" s="24" t="s">
        <v>105</v>
      </c>
      <c r="D48" s="47"/>
      <c r="E48" s="6">
        <v>1</v>
      </c>
      <c r="F48" s="6">
        <v>0</v>
      </c>
      <c r="G48" s="6">
        <v>2</v>
      </c>
      <c r="H48" s="6">
        <v>0</v>
      </c>
      <c r="I48" s="6">
        <v>1</v>
      </c>
      <c r="J48" s="6">
        <v>2</v>
      </c>
      <c r="K48" s="6">
        <v>2</v>
      </c>
      <c r="L48" s="6">
        <v>0</v>
      </c>
      <c r="M48" s="6">
        <v>4</v>
      </c>
      <c r="N48" s="6">
        <v>2</v>
      </c>
      <c r="O48" s="6">
        <v>2</v>
      </c>
      <c r="P48" s="6">
        <v>0</v>
      </c>
      <c r="Q48" s="6">
        <v>1</v>
      </c>
      <c r="R48" s="6">
        <v>0</v>
      </c>
      <c r="S48" s="6">
        <v>0</v>
      </c>
      <c r="T48" s="6">
        <v>0</v>
      </c>
      <c r="U48" s="6">
        <v>0</v>
      </c>
      <c r="V48" s="5">
        <f t="shared" si="28"/>
        <v>17</v>
      </c>
    </row>
    <row r="49" spans="1:22" x14ac:dyDescent="0.4">
      <c r="A49" s="7"/>
      <c r="B49" s="46">
        <v>4</v>
      </c>
      <c r="C49" s="24" t="s">
        <v>106</v>
      </c>
      <c r="D49" s="47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5">
        <f t="shared" si="28"/>
        <v>0</v>
      </c>
    </row>
    <row r="50" spans="1:22" x14ac:dyDescent="0.4">
      <c r="A50" s="7"/>
      <c r="B50" s="46">
        <v>5</v>
      </c>
      <c r="C50" s="24" t="s">
        <v>107</v>
      </c>
      <c r="D50" s="47"/>
      <c r="E50" s="6">
        <v>2</v>
      </c>
      <c r="F50" s="6">
        <v>0</v>
      </c>
      <c r="G50" s="6">
        <v>0</v>
      </c>
      <c r="H50" s="6">
        <v>2</v>
      </c>
      <c r="I50" s="6">
        <v>0</v>
      </c>
      <c r="J50" s="6">
        <v>1</v>
      </c>
      <c r="K50" s="6">
        <v>0</v>
      </c>
      <c r="L50" s="6">
        <v>0</v>
      </c>
      <c r="M50" s="6">
        <v>0</v>
      </c>
      <c r="N50" s="6">
        <v>0</v>
      </c>
      <c r="O50" s="6">
        <v>1</v>
      </c>
      <c r="P50" s="6">
        <v>1</v>
      </c>
      <c r="Q50" s="6">
        <v>0</v>
      </c>
      <c r="R50" s="6">
        <v>1</v>
      </c>
      <c r="S50" s="6">
        <v>0</v>
      </c>
      <c r="T50" s="6">
        <v>1</v>
      </c>
      <c r="U50" s="6">
        <v>0</v>
      </c>
      <c r="V50" s="5">
        <f t="shared" si="28"/>
        <v>9</v>
      </c>
    </row>
    <row r="51" spans="1:22" x14ac:dyDescent="0.4">
      <c r="A51" s="7"/>
      <c r="B51" s="46">
        <v>6</v>
      </c>
      <c r="C51" s="24" t="s">
        <v>108</v>
      </c>
      <c r="D51" s="47"/>
      <c r="E51" s="6">
        <v>1</v>
      </c>
      <c r="F51" s="6">
        <v>2</v>
      </c>
      <c r="G51" s="6">
        <v>3</v>
      </c>
      <c r="H51" s="6">
        <v>0</v>
      </c>
      <c r="I51" s="6">
        <v>3</v>
      </c>
      <c r="J51" s="6">
        <v>0</v>
      </c>
      <c r="K51" s="6">
        <v>1</v>
      </c>
      <c r="L51" s="6">
        <v>0</v>
      </c>
      <c r="M51" s="6">
        <v>1</v>
      </c>
      <c r="N51" s="6">
        <v>0</v>
      </c>
      <c r="O51" s="6">
        <v>2</v>
      </c>
      <c r="P51" s="6">
        <v>0</v>
      </c>
      <c r="Q51" s="6">
        <v>1</v>
      </c>
      <c r="R51" s="6">
        <v>0</v>
      </c>
      <c r="S51" s="6">
        <v>1</v>
      </c>
      <c r="T51" s="6">
        <v>0</v>
      </c>
      <c r="U51" s="6">
        <v>0</v>
      </c>
      <c r="V51" s="5">
        <f t="shared" si="28"/>
        <v>15</v>
      </c>
    </row>
    <row r="52" spans="1:22" x14ac:dyDescent="0.4">
      <c r="A52" s="6" t="s">
        <v>25</v>
      </c>
      <c r="B52" s="52" t="s">
        <v>50</v>
      </c>
      <c r="C52" s="68"/>
      <c r="D52" s="51"/>
      <c r="E52" s="5">
        <f t="shared" ref="E52:V52" si="29">SUM(E45:E51)</f>
        <v>87</v>
      </c>
      <c r="F52" s="5">
        <f t="shared" si="29"/>
        <v>63</v>
      </c>
      <c r="G52" s="5">
        <f t="shared" si="29"/>
        <v>67</v>
      </c>
      <c r="H52" s="5">
        <f t="shared" si="29"/>
        <v>51</v>
      </c>
      <c r="I52" s="5">
        <f t="shared" si="29"/>
        <v>54</v>
      </c>
      <c r="J52" s="5">
        <f t="shared" si="29"/>
        <v>50</v>
      </c>
      <c r="K52" s="5">
        <f t="shared" si="29"/>
        <v>66</v>
      </c>
      <c r="L52" s="5">
        <f t="shared" si="29"/>
        <v>44</v>
      </c>
      <c r="M52" s="5">
        <f t="shared" si="29"/>
        <v>89</v>
      </c>
      <c r="N52" s="5">
        <f t="shared" si="29"/>
        <v>62</v>
      </c>
      <c r="O52" s="5">
        <f t="shared" si="29"/>
        <v>42</v>
      </c>
      <c r="P52" s="5">
        <f t="shared" si="29"/>
        <v>8</v>
      </c>
      <c r="Q52" s="5">
        <f t="shared" si="29"/>
        <v>59</v>
      </c>
      <c r="R52" s="5">
        <f t="shared" si="29"/>
        <v>2</v>
      </c>
      <c r="S52" s="5">
        <f t="shared" si="29"/>
        <v>1</v>
      </c>
      <c r="T52" s="5">
        <f t="shared" si="29"/>
        <v>3</v>
      </c>
      <c r="U52" s="5">
        <f t="shared" si="29"/>
        <v>1</v>
      </c>
      <c r="V52" s="5">
        <f t="shared" si="29"/>
        <v>749</v>
      </c>
    </row>
    <row r="53" spans="1:22" x14ac:dyDescent="0.4">
      <c r="A53" s="69"/>
      <c r="B53" s="70"/>
      <c r="C53" s="70"/>
      <c r="D53" s="70"/>
      <c r="E53" s="70"/>
      <c r="V53" s="5"/>
    </row>
    <row r="54" spans="1:22" x14ac:dyDescent="0.4">
      <c r="A54" s="11" t="s">
        <v>47</v>
      </c>
      <c r="B54" s="17" t="s">
        <v>29</v>
      </c>
      <c r="C54" s="50" t="s">
        <v>51</v>
      </c>
      <c r="D54" s="51"/>
      <c r="E54" s="6">
        <v>10</v>
      </c>
      <c r="F54" s="6">
        <v>11</v>
      </c>
      <c r="G54" s="6">
        <v>5</v>
      </c>
      <c r="H54" s="6">
        <v>10</v>
      </c>
      <c r="I54" s="6">
        <v>4</v>
      </c>
      <c r="J54" s="6">
        <v>4</v>
      </c>
      <c r="K54" s="6">
        <v>4</v>
      </c>
      <c r="L54" s="6">
        <v>5</v>
      </c>
      <c r="M54" s="6">
        <v>7</v>
      </c>
      <c r="N54" s="6">
        <v>9</v>
      </c>
      <c r="O54" s="6">
        <v>12</v>
      </c>
      <c r="P54" s="6">
        <v>10</v>
      </c>
      <c r="Q54" s="6">
        <v>6</v>
      </c>
      <c r="R54" s="6">
        <v>2</v>
      </c>
      <c r="S54" s="6">
        <v>0</v>
      </c>
      <c r="T54" s="6">
        <v>3</v>
      </c>
      <c r="U54" s="6">
        <v>0</v>
      </c>
      <c r="V54" s="5">
        <f t="shared" ref="V54:V60" si="30">SUM(E54:U54)</f>
        <v>102</v>
      </c>
    </row>
    <row r="55" spans="1:22" x14ac:dyDescent="0.4">
      <c r="A55" s="11" t="s">
        <v>49</v>
      </c>
      <c r="B55" s="46">
        <v>1</v>
      </c>
      <c r="C55" s="24" t="s">
        <v>109</v>
      </c>
      <c r="D55" s="47"/>
      <c r="E55" s="6">
        <v>6</v>
      </c>
      <c r="F55" s="6">
        <v>13</v>
      </c>
      <c r="G55" s="6">
        <v>1</v>
      </c>
      <c r="H55" s="6">
        <v>5</v>
      </c>
      <c r="I55" s="6">
        <v>15</v>
      </c>
      <c r="J55" s="6">
        <v>4</v>
      </c>
      <c r="K55" s="6">
        <v>2</v>
      </c>
      <c r="L55" s="6">
        <v>4</v>
      </c>
      <c r="M55" s="6">
        <v>2</v>
      </c>
      <c r="N55" s="6">
        <v>3</v>
      </c>
      <c r="O55" s="6">
        <v>11</v>
      </c>
      <c r="P55" s="6">
        <v>5</v>
      </c>
      <c r="Q55" s="6">
        <v>4</v>
      </c>
      <c r="R55" s="6">
        <v>8</v>
      </c>
      <c r="S55" s="6">
        <v>0</v>
      </c>
      <c r="T55" s="6">
        <v>5</v>
      </c>
      <c r="U55" s="6">
        <v>3</v>
      </c>
      <c r="V55" s="5">
        <f t="shared" si="30"/>
        <v>91</v>
      </c>
    </row>
    <row r="56" spans="1:22" x14ac:dyDescent="0.4">
      <c r="A56" s="7"/>
      <c r="B56" s="46">
        <v>2</v>
      </c>
      <c r="C56" s="24" t="s">
        <v>110</v>
      </c>
      <c r="D56" s="47"/>
      <c r="E56" s="6">
        <v>22</v>
      </c>
      <c r="F56" s="6">
        <v>17</v>
      </c>
      <c r="G56" s="6">
        <v>8</v>
      </c>
      <c r="H56" s="6">
        <v>26</v>
      </c>
      <c r="I56" s="6">
        <v>19</v>
      </c>
      <c r="J56" s="6">
        <v>18</v>
      </c>
      <c r="K56" s="6">
        <v>12</v>
      </c>
      <c r="L56" s="6">
        <v>16</v>
      </c>
      <c r="M56" s="6">
        <v>22</v>
      </c>
      <c r="N56" s="6">
        <v>24</v>
      </c>
      <c r="O56" s="6">
        <v>28</v>
      </c>
      <c r="P56" s="6">
        <v>2</v>
      </c>
      <c r="Q56" s="6">
        <v>1</v>
      </c>
      <c r="R56" s="6">
        <v>2</v>
      </c>
      <c r="S56" s="6">
        <v>0</v>
      </c>
      <c r="T56" s="6">
        <v>1</v>
      </c>
      <c r="U56" s="6">
        <v>0</v>
      </c>
      <c r="V56" s="5">
        <f t="shared" si="30"/>
        <v>218</v>
      </c>
    </row>
    <row r="57" spans="1:22" x14ac:dyDescent="0.4">
      <c r="A57" s="7"/>
      <c r="B57" s="46">
        <v>3</v>
      </c>
      <c r="C57" s="24" t="s">
        <v>111</v>
      </c>
      <c r="D57" s="47"/>
      <c r="E57" s="6">
        <v>0</v>
      </c>
      <c r="F57" s="6">
        <v>1</v>
      </c>
      <c r="G57" s="6">
        <v>1</v>
      </c>
      <c r="H57" s="6">
        <v>2</v>
      </c>
      <c r="I57" s="6">
        <v>0</v>
      </c>
      <c r="J57" s="6">
        <v>0</v>
      </c>
      <c r="K57" s="6">
        <v>0</v>
      </c>
      <c r="L57" s="6">
        <v>1</v>
      </c>
      <c r="M57" s="6">
        <v>5</v>
      </c>
      <c r="N57" s="6">
        <v>1</v>
      </c>
      <c r="O57" s="6">
        <v>3</v>
      </c>
      <c r="P57" s="6">
        <v>2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5">
        <f t="shared" si="30"/>
        <v>16</v>
      </c>
    </row>
    <row r="58" spans="1:22" x14ac:dyDescent="0.4">
      <c r="A58" s="7"/>
      <c r="B58" s="46">
        <v>4</v>
      </c>
      <c r="C58" s="24" t="s">
        <v>112</v>
      </c>
      <c r="D58" s="47"/>
      <c r="E58" s="6">
        <v>1</v>
      </c>
      <c r="F58" s="6">
        <v>1</v>
      </c>
      <c r="G58" s="6">
        <v>0</v>
      </c>
      <c r="H58" s="6">
        <v>0</v>
      </c>
      <c r="I58" s="6">
        <v>1</v>
      </c>
      <c r="J58" s="6">
        <v>0</v>
      </c>
      <c r="K58" s="6">
        <v>2</v>
      </c>
      <c r="L58" s="6">
        <v>1</v>
      </c>
      <c r="M58" s="6">
        <v>0</v>
      </c>
      <c r="N58" s="6">
        <v>2</v>
      </c>
      <c r="O58" s="6">
        <v>1</v>
      </c>
      <c r="P58" s="6">
        <v>1</v>
      </c>
      <c r="Q58" s="6">
        <v>2</v>
      </c>
      <c r="R58" s="6">
        <v>0</v>
      </c>
      <c r="S58" s="6">
        <v>0</v>
      </c>
      <c r="T58" s="6">
        <v>0</v>
      </c>
      <c r="U58" s="6">
        <v>0</v>
      </c>
      <c r="V58" s="5">
        <f t="shared" si="30"/>
        <v>12</v>
      </c>
    </row>
    <row r="59" spans="1:22" x14ac:dyDescent="0.4">
      <c r="A59" s="7"/>
      <c r="B59" s="46">
        <v>5</v>
      </c>
      <c r="C59" s="24" t="s">
        <v>113</v>
      </c>
      <c r="D59" s="47"/>
      <c r="E59" s="6">
        <v>1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2</v>
      </c>
      <c r="L59" s="6">
        <v>0</v>
      </c>
      <c r="M59" s="6">
        <v>0</v>
      </c>
      <c r="N59" s="6">
        <v>0</v>
      </c>
      <c r="O59" s="6">
        <v>1</v>
      </c>
      <c r="P59" s="6">
        <v>1</v>
      </c>
      <c r="Q59" s="6">
        <v>0</v>
      </c>
      <c r="R59" s="6">
        <v>1</v>
      </c>
      <c r="S59" s="6">
        <v>0</v>
      </c>
      <c r="T59" s="6">
        <v>0</v>
      </c>
      <c r="U59" s="6">
        <v>0</v>
      </c>
      <c r="V59" s="5">
        <f t="shared" si="30"/>
        <v>6</v>
      </c>
    </row>
    <row r="60" spans="1:22" ht="13.15" customHeight="1" x14ac:dyDescent="0.4">
      <c r="A60" s="7"/>
      <c r="B60" s="46">
        <v>6</v>
      </c>
      <c r="C60" s="24" t="s">
        <v>114</v>
      </c>
      <c r="D60" s="47"/>
      <c r="E60" s="6">
        <v>1</v>
      </c>
      <c r="F60" s="6">
        <v>2</v>
      </c>
      <c r="G60" s="6">
        <v>0</v>
      </c>
      <c r="H60" s="6">
        <v>2</v>
      </c>
      <c r="I60" s="6">
        <v>1</v>
      </c>
      <c r="J60" s="6">
        <v>1</v>
      </c>
      <c r="K60" s="6">
        <v>0</v>
      </c>
      <c r="L60" s="6">
        <v>0</v>
      </c>
      <c r="M60" s="6">
        <v>1</v>
      </c>
      <c r="N60" s="6">
        <v>1</v>
      </c>
      <c r="O60" s="6">
        <v>4</v>
      </c>
      <c r="P60" s="6">
        <v>1</v>
      </c>
      <c r="Q60" s="6">
        <v>3</v>
      </c>
      <c r="R60" s="6">
        <v>1</v>
      </c>
      <c r="S60" s="6">
        <v>0</v>
      </c>
      <c r="T60" s="6">
        <v>0</v>
      </c>
      <c r="U60" s="6">
        <v>0</v>
      </c>
      <c r="V60" s="5">
        <f t="shared" si="30"/>
        <v>18</v>
      </c>
    </row>
    <row r="61" spans="1:22" x14ac:dyDescent="0.4">
      <c r="A61" s="6" t="s">
        <v>25</v>
      </c>
      <c r="B61" s="52" t="s">
        <v>50</v>
      </c>
      <c r="C61" s="68"/>
      <c r="D61" s="51"/>
      <c r="E61" s="5">
        <v>41</v>
      </c>
      <c r="F61" s="5">
        <v>45</v>
      </c>
      <c r="G61" s="5">
        <v>15</v>
      </c>
      <c r="H61" s="5">
        <v>45</v>
      </c>
      <c r="I61" s="5">
        <v>40</v>
      </c>
      <c r="J61" s="5">
        <v>27</v>
      </c>
      <c r="K61" s="5">
        <v>22</v>
      </c>
      <c r="L61" s="5">
        <v>27</v>
      </c>
      <c r="M61" s="5">
        <v>37</v>
      </c>
      <c r="N61" s="5">
        <v>40</v>
      </c>
      <c r="O61" s="5">
        <v>60</v>
      </c>
      <c r="P61" s="5">
        <v>22</v>
      </c>
      <c r="Q61" s="5">
        <v>16</v>
      </c>
      <c r="R61" s="5">
        <v>14</v>
      </c>
      <c r="S61" s="5">
        <v>0</v>
      </c>
      <c r="T61" s="5">
        <f t="shared" ref="T61:V61" si="31">SUM(T54:T60)</f>
        <v>9</v>
      </c>
      <c r="U61" s="5">
        <f t="shared" si="31"/>
        <v>3</v>
      </c>
      <c r="V61" s="5">
        <f t="shared" si="31"/>
        <v>463</v>
      </c>
    </row>
    <row r="62" spans="1:22" x14ac:dyDescent="0.4">
      <c r="A62" s="69"/>
      <c r="B62" s="70"/>
      <c r="C62" s="70"/>
      <c r="D62" s="70"/>
      <c r="E62" s="70"/>
    </row>
    <row r="63" spans="1:22" x14ac:dyDescent="0.4">
      <c r="A63" s="11" t="s">
        <v>47</v>
      </c>
      <c r="B63" s="17" t="s">
        <v>31</v>
      </c>
      <c r="C63" s="50" t="s">
        <v>52</v>
      </c>
      <c r="D63" s="51"/>
      <c r="E63" s="6">
        <v>6</v>
      </c>
      <c r="F63" s="6">
        <v>3</v>
      </c>
      <c r="G63" s="6">
        <v>3</v>
      </c>
      <c r="H63" s="6">
        <v>7</v>
      </c>
      <c r="I63" s="6">
        <v>4</v>
      </c>
      <c r="J63" s="6">
        <v>3</v>
      </c>
      <c r="K63" s="6">
        <v>7</v>
      </c>
      <c r="L63" s="6">
        <v>4</v>
      </c>
      <c r="M63" s="6">
        <v>7</v>
      </c>
      <c r="N63" s="6">
        <v>8</v>
      </c>
      <c r="O63" s="6">
        <v>3</v>
      </c>
      <c r="P63" s="6">
        <v>7</v>
      </c>
      <c r="Q63" s="6">
        <v>4</v>
      </c>
      <c r="R63" s="6">
        <v>7</v>
      </c>
      <c r="S63" s="6">
        <v>1</v>
      </c>
      <c r="T63" s="6">
        <v>2</v>
      </c>
      <c r="U63" s="6">
        <v>3</v>
      </c>
      <c r="V63" s="5">
        <f t="shared" ref="V63:V69" si="32">SUM(E63:U63)</f>
        <v>79</v>
      </c>
    </row>
    <row r="64" spans="1:22" x14ac:dyDescent="0.4">
      <c r="A64" s="11" t="s">
        <v>49</v>
      </c>
      <c r="B64" s="46">
        <v>1</v>
      </c>
      <c r="C64" s="24" t="s">
        <v>115</v>
      </c>
      <c r="D64" s="47"/>
      <c r="E64" s="6">
        <v>24</v>
      </c>
      <c r="F64" s="6">
        <v>15</v>
      </c>
      <c r="G64" s="6">
        <v>6</v>
      </c>
      <c r="H64" s="6">
        <v>8</v>
      </c>
      <c r="I64" s="6">
        <v>18</v>
      </c>
      <c r="J64" s="6">
        <v>5</v>
      </c>
      <c r="K64" s="6">
        <v>2</v>
      </c>
      <c r="L64" s="6">
        <v>4</v>
      </c>
      <c r="M64" s="6">
        <v>40</v>
      </c>
      <c r="N64" s="6">
        <v>12</v>
      </c>
      <c r="O64" s="6">
        <v>19</v>
      </c>
      <c r="P64" s="6">
        <v>14</v>
      </c>
      <c r="Q64" s="6">
        <v>5</v>
      </c>
      <c r="R64" s="6">
        <v>10</v>
      </c>
      <c r="S64" s="6">
        <v>2</v>
      </c>
      <c r="T64" s="6">
        <v>7</v>
      </c>
      <c r="U64" s="6">
        <v>4</v>
      </c>
      <c r="V64" s="5">
        <f t="shared" si="32"/>
        <v>195</v>
      </c>
    </row>
    <row r="65" spans="1:22" x14ac:dyDescent="0.4">
      <c r="A65" s="7"/>
      <c r="B65" s="46">
        <v>2</v>
      </c>
      <c r="C65" s="24" t="s">
        <v>116</v>
      </c>
      <c r="D65" s="47"/>
      <c r="E65" s="6">
        <v>2</v>
      </c>
      <c r="F65" s="6">
        <v>1</v>
      </c>
      <c r="G65" s="6">
        <v>1</v>
      </c>
      <c r="H65" s="6">
        <v>3</v>
      </c>
      <c r="I65" s="6">
        <v>2</v>
      </c>
      <c r="J65" s="6">
        <v>1</v>
      </c>
      <c r="K65" s="6">
        <v>1</v>
      </c>
      <c r="L65" s="6">
        <v>0</v>
      </c>
      <c r="M65" s="6">
        <v>1</v>
      </c>
      <c r="N65" s="6">
        <v>0</v>
      </c>
      <c r="O65" s="6">
        <v>3</v>
      </c>
      <c r="P65" s="6">
        <v>4</v>
      </c>
      <c r="Q65" s="6">
        <v>1</v>
      </c>
      <c r="R65" s="6">
        <v>7</v>
      </c>
      <c r="S65" s="6">
        <v>1</v>
      </c>
      <c r="T65" s="6">
        <v>1</v>
      </c>
      <c r="U65" s="6">
        <v>2</v>
      </c>
      <c r="V65" s="5">
        <f t="shared" si="32"/>
        <v>31</v>
      </c>
    </row>
    <row r="66" spans="1:22" x14ac:dyDescent="0.4">
      <c r="A66" s="7"/>
      <c r="B66" s="46">
        <v>3</v>
      </c>
      <c r="C66" s="24" t="s">
        <v>117</v>
      </c>
      <c r="D66" s="47"/>
      <c r="E66" s="6">
        <v>0</v>
      </c>
      <c r="F66" s="6">
        <v>0</v>
      </c>
      <c r="G66" s="6">
        <v>0</v>
      </c>
      <c r="H66" s="6">
        <v>1</v>
      </c>
      <c r="I66" s="6">
        <v>0</v>
      </c>
      <c r="J66" s="6">
        <v>0</v>
      </c>
      <c r="K66" s="6">
        <v>2</v>
      </c>
      <c r="L66" s="6">
        <v>1</v>
      </c>
      <c r="M66" s="6">
        <v>1</v>
      </c>
      <c r="N66" s="6">
        <v>1</v>
      </c>
      <c r="O66" s="6">
        <v>1</v>
      </c>
      <c r="P66" s="6">
        <v>3</v>
      </c>
      <c r="Q66" s="6">
        <v>1</v>
      </c>
      <c r="R66" s="6">
        <v>2</v>
      </c>
      <c r="S66" s="6">
        <v>0</v>
      </c>
      <c r="T66" s="6">
        <v>1</v>
      </c>
      <c r="U66" s="6">
        <v>1</v>
      </c>
      <c r="V66" s="5">
        <f t="shared" si="32"/>
        <v>15</v>
      </c>
    </row>
    <row r="67" spans="1:22" x14ac:dyDescent="0.4">
      <c r="A67" s="7"/>
      <c r="B67" s="46">
        <v>4</v>
      </c>
      <c r="C67" s="24" t="s">
        <v>118</v>
      </c>
      <c r="D67" s="47"/>
      <c r="E67" s="6">
        <v>1</v>
      </c>
      <c r="F67" s="6">
        <v>1</v>
      </c>
      <c r="G67" s="6">
        <v>1</v>
      </c>
      <c r="H67" s="6">
        <v>1</v>
      </c>
      <c r="I67" s="6">
        <v>1</v>
      </c>
      <c r="J67" s="6">
        <v>1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4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5">
        <f t="shared" si="32"/>
        <v>10</v>
      </c>
    </row>
    <row r="68" spans="1:22" ht="13.15" customHeight="1" x14ac:dyDescent="0.4">
      <c r="A68" s="7"/>
      <c r="B68" s="46">
        <v>5</v>
      </c>
      <c r="C68" s="24" t="s">
        <v>119</v>
      </c>
      <c r="D68" s="47"/>
      <c r="E68" s="6">
        <v>4</v>
      </c>
      <c r="F68" s="6">
        <v>3</v>
      </c>
      <c r="G68" s="6">
        <v>2</v>
      </c>
      <c r="H68" s="6">
        <v>2</v>
      </c>
      <c r="I68" s="6">
        <v>6</v>
      </c>
      <c r="J68" s="6">
        <v>5</v>
      </c>
      <c r="K68" s="6">
        <v>5</v>
      </c>
      <c r="L68" s="6">
        <v>4</v>
      </c>
      <c r="M68" s="6">
        <v>2</v>
      </c>
      <c r="N68" s="6">
        <v>3</v>
      </c>
      <c r="O68" s="6">
        <v>12</v>
      </c>
      <c r="P68" s="6">
        <v>5</v>
      </c>
      <c r="Q68" s="6">
        <v>4</v>
      </c>
      <c r="R68" s="6">
        <v>1</v>
      </c>
      <c r="S68" s="6">
        <v>0</v>
      </c>
      <c r="T68" s="6">
        <v>1</v>
      </c>
      <c r="U68" s="6">
        <v>0</v>
      </c>
      <c r="V68" s="5">
        <f t="shared" si="32"/>
        <v>59</v>
      </c>
    </row>
    <row r="69" spans="1:22" x14ac:dyDescent="0.4">
      <c r="A69" s="7"/>
      <c r="B69" s="46">
        <v>6</v>
      </c>
      <c r="C69" s="24" t="s">
        <v>120</v>
      </c>
      <c r="D69" s="47"/>
      <c r="E69" s="6">
        <v>1</v>
      </c>
      <c r="F69" s="6">
        <v>0</v>
      </c>
      <c r="G69" s="6">
        <v>0</v>
      </c>
      <c r="H69" s="6">
        <v>2</v>
      </c>
      <c r="I69" s="6">
        <v>0</v>
      </c>
      <c r="J69" s="6">
        <v>0</v>
      </c>
      <c r="K69" s="6">
        <v>2</v>
      </c>
      <c r="L69" s="6">
        <v>0</v>
      </c>
      <c r="M69" s="6">
        <v>0</v>
      </c>
      <c r="N69" s="6">
        <v>0</v>
      </c>
      <c r="O69" s="6">
        <v>1</v>
      </c>
      <c r="P69" s="6">
        <v>1</v>
      </c>
      <c r="Q69" s="6">
        <v>2</v>
      </c>
      <c r="R69" s="6">
        <v>1</v>
      </c>
      <c r="S69" s="6">
        <v>0</v>
      </c>
      <c r="T69" s="6">
        <v>0</v>
      </c>
      <c r="U69" s="6">
        <v>0</v>
      </c>
      <c r="V69" s="5">
        <f t="shared" si="32"/>
        <v>10</v>
      </c>
    </row>
    <row r="70" spans="1:22" x14ac:dyDescent="0.4">
      <c r="A70" s="6" t="s">
        <v>25</v>
      </c>
      <c r="B70" s="52" t="s">
        <v>50</v>
      </c>
      <c r="C70" s="68"/>
      <c r="D70" s="51"/>
      <c r="E70" s="5">
        <f t="shared" ref="E70:V70" si="33">SUM(E63:E69)</f>
        <v>38</v>
      </c>
      <c r="F70" s="5">
        <f t="shared" si="33"/>
        <v>23</v>
      </c>
      <c r="G70" s="5">
        <f t="shared" si="33"/>
        <v>13</v>
      </c>
      <c r="H70" s="5">
        <f t="shared" si="33"/>
        <v>24</v>
      </c>
      <c r="I70" s="5">
        <f t="shared" si="33"/>
        <v>31</v>
      </c>
      <c r="J70" s="5">
        <f t="shared" si="33"/>
        <v>15</v>
      </c>
      <c r="K70" s="5">
        <f t="shared" si="33"/>
        <v>19</v>
      </c>
      <c r="L70" s="5">
        <f t="shared" si="33"/>
        <v>13</v>
      </c>
      <c r="M70" s="5">
        <f t="shared" si="33"/>
        <v>51</v>
      </c>
      <c r="N70" s="5">
        <f t="shared" si="33"/>
        <v>24</v>
      </c>
      <c r="O70" s="5">
        <f t="shared" si="33"/>
        <v>39</v>
      </c>
      <c r="P70" s="5">
        <f t="shared" si="33"/>
        <v>38</v>
      </c>
      <c r="Q70" s="5">
        <f t="shared" si="33"/>
        <v>17</v>
      </c>
      <c r="R70" s="5">
        <f t="shared" si="33"/>
        <v>28</v>
      </c>
      <c r="S70" s="5">
        <f t="shared" si="33"/>
        <v>4</v>
      </c>
      <c r="T70" s="5">
        <f t="shared" si="33"/>
        <v>12</v>
      </c>
      <c r="U70" s="5">
        <f t="shared" si="33"/>
        <v>10</v>
      </c>
      <c r="V70" s="5">
        <f t="shared" si="33"/>
        <v>399</v>
      </c>
    </row>
    <row r="71" spans="1:22" x14ac:dyDescent="0.4">
      <c r="A71" s="69"/>
      <c r="B71" s="70"/>
      <c r="C71" s="70"/>
      <c r="D71" s="70"/>
      <c r="E71" s="70"/>
    </row>
    <row r="72" spans="1:22" x14ac:dyDescent="0.4">
      <c r="A72" s="11" t="s">
        <v>47</v>
      </c>
      <c r="B72" s="17" t="s">
        <v>33</v>
      </c>
      <c r="C72" s="50" t="s">
        <v>53</v>
      </c>
      <c r="D72" s="51"/>
      <c r="E72" s="6">
        <v>4</v>
      </c>
      <c r="F72" s="6">
        <v>3</v>
      </c>
      <c r="G72" s="6">
        <v>2</v>
      </c>
      <c r="H72" s="6">
        <v>2</v>
      </c>
      <c r="I72" s="6">
        <v>3</v>
      </c>
      <c r="J72" s="6">
        <v>0</v>
      </c>
      <c r="K72" s="6">
        <v>1</v>
      </c>
      <c r="L72" s="6">
        <v>2</v>
      </c>
      <c r="M72" s="6">
        <v>3</v>
      </c>
      <c r="N72" s="6">
        <v>3</v>
      </c>
      <c r="O72" s="6">
        <v>4</v>
      </c>
      <c r="P72" s="6">
        <v>2</v>
      </c>
      <c r="Q72" s="6">
        <v>1</v>
      </c>
      <c r="R72" s="6">
        <v>1</v>
      </c>
      <c r="S72" s="6">
        <v>0</v>
      </c>
      <c r="T72" s="6">
        <v>1</v>
      </c>
      <c r="U72" s="6">
        <v>0</v>
      </c>
      <c r="V72" s="5">
        <f t="shared" ref="V72:V78" si="34">SUM(E72:U72)</f>
        <v>32</v>
      </c>
    </row>
    <row r="73" spans="1:22" x14ac:dyDescent="0.4">
      <c r="A73" s="11" t="s">
        <v>49</v>
      </c>
      <c r="B73" s="46">
        <v>1</v>
      </c>
      <c r="C73" s="24" t="s">
        <v>121</v>
      </c>
      <c r="D73" s="47"/>
      <c r="E73" s="6">
        <v>4</v>
      </c>
      <c r="F73" s="6">
        <v>2</v>
      </c>
      <c r="G73" s="6">
        <v>10</v>
      </c>
      <c r="H73" s="6">
        <v>4</v>
      </c>
      <c r="I73" s="6">
        <v>6</v>
      </c>
      <c r="J73" s="6">
        <v>5</v>
      </c>
      <c r="K73" s="6">
        <v>16</v>
      </c>
      <c r="L73" s="6">
        <v>0</v>
      </c>
      <c r="M73" s="6">
        <v>10</v>
      </c>
      <c r="N73" s="6">
        <v>11</v>
      </c>
      <c r="O73" s="6">
        <v>5</v>
      </c>
      <c r="P73" s="6">
        <v>12</v>
      </c>
      <c r="Q73" s="6">
        <v>2</v>
      </c>
      <c r="R73" s="6">
        <v>1</v>
      </c>
      <c r="S73" s="6">
        <v>1</v>
      </c>
      <c r="T73" s="6">
        <v>0</v>
      </c>
      <c r="U73" s="6">
        <v>0</v>
      </c>
      <c r="V73" s="5">
        <f t="shared" si="34"/>
        <v>89</v>
      </c>
    </row>
    <row r="74" spans="1:22" x14ac:dyDescent="0.4">
      <c r="A74" s="7"/>
      <c r="B74" s="46">
        <v>2</v>
      </c>
      <c r="C74" s="24" t="s">
        <v>122</v>
      </c>
      <c r="D74" s="47"/>
      <c r="E74" s="6">
        <v>4</v>
      </c>
      <c r="F74" s="6">
        <v>1</v>
      </c>
      <c r="G74" s="6">
        <v>2</v>
      </c>
      <c r="H74" s="6">
        <v>2</v>
      </c>
      <c r="I74" s="6">
        <v>1</v>
      </c>
      <c r="J74" s="6">
        <v>2</v>
      </c>
      <c r="K74" s="6">
        <v>1</v>
      </c>
      <c r="L74" s="6">
        <v>2</v>
      </c>
      <c r="M74" s="6">
        <v>2</v>
      </c>
      <c r="N74" s="6">
        <v>0</v>
      </c>
      <c r="O74" s="6">
        <v>2</v>
      </c>
      <c r="P74" s="6">
        <v>3</v>
      </c>
      <c r="Q74" s="6">
        <v>3</v>
      </c>
      <c r="R74" s="6">
        <v>0</v>
      </c>
      <c r="S74" s="6">
        <v>0</v>
      </c>
      <c r="T74" s="6">
        <v>0</v>
      </c>
      <c r="U74" s="6">
        <v>0</v>
      </c>
      <c r="V74" s="5">
        <f t="shared" si="34"/>
        <v>25</v>
      </c>
    </row>
    <row r="75" spans="1:22" x14ac:dyDescent="0.4">
      <c r="A75" s="7"/>
      <c r="B75" s="46">
        <v>3</v>
      </c>
      <c r="C75" s="24" t="s">
        <v>123</v>
      </c>
      <c r="D75" s="47"/>
      <c r="E75" s="6">
        <v>0</v>
      </c>
      <c r="F75" s="6">
        <v>0</v>
      </c>
      <c r="G75" s="6">
        <v>0</v>
      </c>
      <c r="H75" s="6">
        <v>1</v>
      </c>
      <c r="I75" s="6">
        <v>0</v>
      </c>
      <c r="J75" s="6">
        <v>0</v>
      </c>
      <c r="K75" s="6">
        <v>0</v>
      </c>
      <c r="L75" s="6">
        <v>0</v>
      </c>
      <c r="M75" s="6">
        <v>1</v>
      </c>
      <c r="N75" s="6">
        <v>1</v>
      </c>
      <c r="O75" s="6">
        <v>0</v>
      </c>
      <c r="P75" s="6">
        <v>2</v>
      </c>
      <c r="Q75" s="6">
        <v>0</v>
      </c>
      <c r="R75" s="6">
        <v>1</v>
      </c>
      <c r="S75" s="6">
        <v>0</v>
      </c>
      <c r="T75" s="6">
        <v>0</v>
      </c>
      <c r="U75" s="6">
        <v>0</v>
      </c>
      <c r="V75" s="5">
        <f t="shared" si="34"/>
        <v>6</v>
      </c>
    </row>
    <row r="76" spans="1:22" ht="13.15" customHeight="1" x14ac:dyDescent="0.4">
      <c r="A76" s="7"/>
      <c r="B76" s="46">
        <v>4</v>
      </c>
      <c r="C76" s="24" t="s">
        <v>124</v>
      </c>
      <c r="D76" s="47"/>
      <c r="E76" s="6">
        <v>0</v>
      </c>
      <c r="F76" s="6">
        <v>1</v>
      </c>
      <c r="G76" s="6">
        <v>0</v>
      </c>
      <c r="H76" s="6">
        <v>1</v>
      </c>
      <c r="I76" s="6">
        <v>1</v>
      </c>
      <c r="J76" s="6">
        <v>0</v>
      </c>
      <c r="K76" s="6">
        <v>0</v>
      </c>
      <c r="L76" s="6">
        <v>1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5">
        <f t="shared" si="34"/>
        <v>4</v>
      </c>
    </row>
    <row r="77" spans="1:22" x14ac:dyDescent="0.4">
      <c r="A77" s="7"/>
      <c r="B77" s="46">
        <v>5</v>
      </c>
      <c r="C77" s="24" t="s">
        <v>125</v>
      </c>
      <c r="D77" s="47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1</v>
      </c>
      <c r="P77" s="6">
        <v>2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5">
        <f t="shared" si="34"/>
        <v>3</v>
      </c>
    </row>
    <row r="78" spans="1:22" x14ac:dyDescent="0.4">
      <c r="A78" s="7"/>
      <c r="B78" s="46">
        <v>6</v>
      </c>
      <c r="C78" s="24" t="s">
        <v>126</v>
      </c>
      <c r="D78" s="47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1</v>
      </c>
      <c r="Q78" s="6">
        <v>1</v>
      </c>
      <c r="R78" s="6">
        <v>0</v>
      </c>
      <c r="S78" s="6">
        <v>0</v>
      </c>
      <c r="T78" s="6">
        <v>0</v>
      </c>
      <c r="U78" s="6">
        <v>0</v>
      </c>
      <c r="V78" s="5">
        <f t="shared" si="34"/>
        <v>2</v>
      </c>
    </row>
    <row r="79" spans="1:22" x14ac:dyDescent="0.4">
      <c r="A79" s="6" t="s">
        <v>25</v>
      </c>
      <c r="B79" s="52" t="s">
        <v>50</v>
      </c>
      <c r="C79" s="68"/>
      <c r="D79" s="51"/>
      <c r="E79" s="5">
        <f t="shared" ref="E79:V79" si="35">SUM(E72:E78)</f>
        <v>12</v>
      </c>
      <c r="F79" s="5">
        <f t="shared" si="35"/>
        <v>7</v>
      </c>
      <c r="G79" s="5">
        <f t="shared" si="35"/>
        <v>14</v>
      </c>
      <c r="H79" s="5">
        <f t="shared" si="35"/>
        <v>10</v>
      </c>
      <c r="I79" s="5">
        <f t="shared" si="35"/>
        <v>11</v>
      </c>
      <c r="J79" s="5">
        <f t="shared" si="35"/>
        <v>7</v>
      </c>
      <c r="K79" s="5">
        <f t="shared" si="35"/>
        <v>18</v>
      </c>
      <c r="L79" s="5">
        <f t="shared" si="35"/>
        <v>5</v>
      </c>
      <c r="M79" s="5">
        <f t="shared" si="35"/>
        <v>16</v>
      </c>
      <c r="N79" s="5">
        <f t="shared" si="35"/>
        <v>15</v>
      </c>
      <c r="O79" s="5">
        <f t="shared" si="35"/>
        <v>12</v>
      </c>
      <c r="P79" s="5">
        <f t="shared" si="35"/>
        <v>22</v>
      </c>
      <c r="Q79" s="5">
        <f t="shared" si="35"/>
        <v>7</v>
      </c>
      <c r="R79" s="5">
        <f t="shared" si="35"/>
        <v>3</v>
      </c>
      <c r="S79" s="5">
        <f t="shared" si="35"/>
        <v>1</v>
      </c>
      <c r="T79" s="5">
        <f t="shared" si="35"/>
        <v>1</v>
      </c>
      <c r="U79" s="5">
        <f t="shared" si="35"/>
        <v>0</v>
      </c>
      <c r="V79" s="5">
        <f t="shared" si="35"/>
        <v>161</v>
      </c>
    </row>
    <row r="80" spans="1:22" x14ac:dyDescent="0.4">
      <c r="A80" s="69"/>
      <c r="B80" s="70"/>
      <c r="C80" s="70"/>
      <c r="D80" s="70"/>
      <c r="E80" s="70"/>
    </row>
    <row r="81" spans="1:22" x14ac:dyDescent="0.4">
      <c r="A81" s="11" t="s">
        <v>47</v>
      </c>
      <c r="B81" s="17" t="s">
        <v>54</v>
      </c>
      <c r="C81" s="50" t="s">
        <v>55</v>
      </c>
      <c r="D81" s="51"/>
      <c r="E81" s="6">
        <v>1</v>
      </c>
      <c r="F81" s="6">
        <v>2</v>
      </c>
      <c r="G81" s="6">
        <v>8</v>
      </c>
      <c r="H81" s="6">
        <v>4</v>
      </c>
      <c r="I81" s="6">
        <v>1</v>
      </c>
      <c r="J81" s="6">
        <v>4</v>
      </c>
      <c r="K81" s="6">
        <v>4</v>
      </c>
      <c r="L81" s="6">
        <v>0</v>
      </c>
      <c r="M81" s="6">
        <v>0</v>
      </c>
      <c r="N81" s="6">
        <v>2</v>
      </c>
      <c r="O81" s="6">
        <v>2</v>
      </c>
      <c r="P81" s="6">
        <v>3</v>
      </c>
      <c r="Q81" s="6">
        <v>2</v>
      </c>
      <c r="R81" s="6">
        <v>0</v>
      </c>
      <c r="S81" s="6">
        <v>0</v>
      </c>
      <c r="T81" s="6"/>
      <c r="U81" s="6"/>
      <c r="V81" s="5">
        <f t="shared" ref="V81:V87" si="36">SUM(E81:U81)</f>
        <v>33</v>
      </c>
    </row>
    <row r="82" spans="1:22" x14ac:dyDescent="0.4">
      <c r="A82" s="11" t="s">
        <v>49</v>
      </c>
      <c r="B82" s="46">
        <v>1</v>
      </c>
      <c r="C82" s="24" t="s">
        <v>127</v>
      </c>
      <c r="D82" s="47"/>
      <c r="E82" s="6">
        <v>7</v>
      </c>
      <c r="F82" s="6">
        <v>18</v>
      </c>
      <c r="G82" s="6">
        <v>33</v>
      </c>
      <c r="H82" s="6">
        <v>10</v>
      </c>
      <c r="I82" s="6">
        <v>19</v>
      </c>
      <c r="J82" s="6">
        <v>8</v>
      </c>
      <c r="K82" s="6">
        <v>30</v>
      </c>
      <c r="L82" s="6">
        <v>0</v>
      </c>
      <c r="M82" s="6">
        <v>16</v>
      </c>
      <c r="N82" s="6">
        <v>18</v>
      </c>
      <c r="O82" s="6">
        <v>1</v>
      </c>
      <c r="P82" s="6">
        <v>0</v>
      </c>
      <c r="Q82" s="6">
        <v>1</v>
      </c>
      <c r="R82" s="6">
        <v>0</v>
      </c>
      <c r="S82" s="6">
        <v>0</v>
      </c>
      <c r="T82" s="6"/>
      <c r="U82" s="6"/>
      <c r="V82" s="5">
        <f t="shared" si="36"/>
        <v>161</v>
      </c>
    </row>
    <row r="83" spans="1:22" x14ac:dyDescent="0.4">
      <c r="A83" s="7"/>
      <c r="B83" s="46">
        <v>2</v>
      </c>
      <c r="C83" s="24" t="s">
        <v>128</v>
      </c>
      <c r="D83" s="47"/>
      <c r="E83" s="6">
        <v>0</v>
      </c>
      <c r="F83" s="6">
        <v>0</v>
      </c>
      <c r="G83" s="6">
        <v>1</v>
      </c>
      <c r="H83" s="6">
        <v>0</v>
      </c>
      <c r="I83" s="6">
        <v>0</v>
      </c>
      <c r="J83" s="6">
        <v>1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</v>
      </c>
      <c r="Q83" s="6">
        <v>0</v>
      </c>
      <c r="R83" s="6">
        <v>0</v>
      </c>
      <c r="S83" s="6">
        <v>0</v>
      </c>
      <c r="T83" s="6"/>
      <c r="U83" s="6"/>
      <c r="V83" s="5">
        <f t="shared" si="36"/>
        <v>3</v>
      </c>
    </row>
    <row r="84" spans="1:22" ht="13.15" customHeight="1" x14ac:dyDescent="0.4">
      <c r="A84" s="7"/>
      <c r="B84" s="46">
        <v>3</v>
      </c>
      <c r="C84" s="24" t="s">
        <v>129</v>
      </c>
      <c r="D84" s="47"/>
      <c r="E84" s="6">
        <v>1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1</v>
      </c>
      <c r="M84" s="6">
        <v>0</v>
      </c>
      <c r="N84" s="6">
        <v>0</v>
      </c>
      <c r="O84" s="6">
        <v>0</v>
      </c>
      <c r="P84" s="6">
        <v>0</v>
      </c>
      <c r="Q84" s="6">
        <v>1</v>
      </c>
      <c r="R84" s="6">
        <v>0</v>
      </c>
      <c r="S84" s="6">
        <v>0</v>
      </c>
      <c r="T84" s="6"/>
      <c r="U84" s="6"/>
      <c r="V84" s="5">
        <f t="shared" si="36"/>
        <v>3</v>
      </c>
    </row>
    <row r="85" spans="1:22" x14ac:dyDescent="0.4">
      <c r="A85" s="7"/>
      <c r="B85" s="46">
        <v>4</v>
      </c>
      <c r="C85" s="24" t="s">
        <v>130</v>
      </c>
      <c r="D85" s="47"/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/>
      <c r="U85" s="6"/>
      <c r="V85" s="5">
        <f t="shared" si="36"/>
        <v>0</v>
      </c>
    </row>
    <row r="86" spans="1:22" x14ac:dyDescent="0.4">
      <c r="A86" s="7"/>
      <c r="B86" s="46">
        <v>5</v>
      </c>
      <c r="C86" s="24" t="s">
        <v>131</v>
      </c>
      <c r="D86" s="47"/>
      <c r="E86" s="6">
        <v>1</v>
      </c>
      <c r="F86" s="6">
        <v>3</v>
      </c>
      <c r="G86" s="6">
        <v>0</v>
      </c>
      <c r="H86" s="6">
        <v>1</v>
      </c>
      <c r="I86" s="6">
        <v>1</v>
      </c>
      <c r="J86" s="6">
        <v>1</v>
      </c>
      <c r="K86" s="6">
        <v>5</v>
      </c>
      <c r="L86" s="6">
        <v>0</v>
      </c>
      <c r="M86" s="6">
        <v>0</v>
      </c>
      <c r="N86" s="6">
        <v>0</v>
      </c>
      <c r="O86" s="6">
        <v>2</v>
      </c>
      <c r="P86" s="6">
        <v>4</v>
      </c>
      <c r="Q86" s="6">
        <v>0</v>
      </c>
      <c r="R86" s="6">
        <v>0</v>
      </c>
      <c r="S86" s="6">
        <v>0</v>
      </c>
      <c r="T86" s="6"/>
      <c r="U86" s="6"/>
      <c r="V86" s="5">
        <f t="shared" si="36"/>
        <v>18</v>
      </c>
    </row>
    <row r="87" spans="1:22" x14ac:dyDescent="0.4">
      <c r="A87" s="7"/>
      <c r="B87" s="46">
        <v>6</v>
      </c>
      <c r="C87" s="24" t="s">
        <v>132</v>
      </c>
      <c r="D87" s="47"/>
      <c r="E87" s="6">
        <v>0</v>
      </c>
      <c r="F87" s="6">
        <v>1</v>
      </c>
      <c r="G87" s="6">
        <v>3</v>
      </c>
      <c r="H87" s="6">
        <v>0</v>
      </c>
      <c r="I87" s="6">
        <v>1</v>
      </c>
      <c r="J87" s="6">
        <v>0</v>
      </c>
      <c r="K87" s="6">
        <v>3</v>
      </c>
      <c r="L87" s="6">
        <v>0</v>
      </c>
      <c r="M87" s="6">
        <v>0</v>
      </c>
      <c r="N87" s="6">
        <v>1</v>
      </c>
      <c r="O87" s="6">
        <v>3</v>
      </c>
      <c r="P87" s="6">
        <v>0</v>
      </c>
      <c r="Q87" s="6">
        <v>2</v>
      </c>
      <c r="R87" s="6">
        <v>0</v>
      </c>
      <c r="S87" s="6">
        <v>0</v>
      </c>
      <c r="T87" s="6"/>
      <c r="U87" s="6"/>
      <c r="V87" s="5">
        <f t="shared" si="36"/>
        <v>14</v>
      </c>
    </row>
    <row r="88" spans="1:22" x14ac:dyDescent="0.4">
      <c r="A88" s="6" t="s">
        <v>25</v>
      </c>
      <c r="B88" s="52" t="s">
        <v>50</v>
      </c>
      <c r="C88" s="68"/>
      <c r="D88" s="51"/>
      <c r="E88" s="5">
        <f t="shared" ref="E88:V88" si="37">SUM(E81:E87)</f>
        <v>10</v>
      </c>
      <c r="F88" s="5">
        <f t="shared" si="37"/>
        <v>24</v>
      </c>
      <c r="G88" s="5">
        <f t="shared" si="37"/>
        <v>45</v>
      </c>
      <c r="H88" s="5">
        <f t="shared" si="37"/>
        <v>15</v>
      </c>
      <c r="I88" s="5">
        <f t="shared" si="37"/>
        <v>22</v>
      </c>
      <c r="J88" s="5">
        <f t="shared" si="37"/>
        <v>14</v>
      </c>
      <c r="K88" s="5">
        <f t="shared" si="37"/>
        <v>42</v>
      </c>
      <c r="L88" s="5">
        <f t="shared" si="37"/>
        <v>1</v>
      </c>
      <c r="M88" s="5">
        <f t="shared" si="37"/>
        <v>16</v>
      </c>
      <c r="N88" s="5">
        <f t="shared" si="37"/>
        <v>21</v>
      </c>
      <c r="O88" s="5">
        <f t="shared" si="37"/>
        <v>8</v>
      </c>
      <c r="P88" s="5">
        <f t="shared" si="37"/>
        <v>8</v>
      </c>
      <c r="Q88" s="5">
        <f t="shared" si="37"/>
        <v>6</v>
      </c>
      <c r="R88" s="5">
        <f t="shared" si="37"/>
        <v>0</v>
      </c>
      <c r="S88" s="5">
        <f t="shared" si="37"/>
        <v>0</v>
      </c>
      <c r="T88" s="5">
        <f t="shared" si="37"/>
        <v>0</v>
      </c>
      <c r="U88" s="5">
        <f t="shared" si="37"/>
        <v>0</v>
      </c>
      <c r="V88" s="5">
        <f t="shared" si="37"/>
        <v>232</v>
      </c>
    </row>
    <row r="89" spans="1:22" x14ac:dyDescent="0.4">
      <c r="A89" s="69"/>
      <c r="B89" s="70"/>
      <c r="C89" s="70"/>
      <c r="D89" s="70"/>
      <c r="E89" s="70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 spans="1:22" x14ac:dyDescent="0.4">
      <c r="A90" s="11" t="s">
        <v>47</v>
      </c>
      <c r="B90" s="17" t="s">
        <v>56</v>
      </c>
      <c r="C90" s="50" t="s">
        <v>57</v>
      </c>
      <c r="D90" s="51"/>
      <c r="E90" s="6">
        <v>0</v>
      </c>
      <c r="F90" s="6">
        <v>0</v>
      </c>
      <c r="G90" s="6">
        <v>0</v>
      </c>
      <c r="H90" s="6">
        <v>1</v>
      </c>
      <c r="I90" s="6">
        <v>0</v>
      </c>
      <c r="J90" s="6">
        <v>1</v>
      </c>
      <c r="K90" s="6">
        <v>1</v>
      </c>
      <c r="L90" s="6">
        <v>0</v>
      </c>
      <c r="M90" s="6">
        <v>0</v>
      </c>
      <c r="N90" s="6">
        <v>0</v>
      </c>
      <c r="O90" s="6">
        <v>1</v>
      </c>
      <c r="P90" s="6">
        <v>1</v>
      </c>
      <c r="Q90" s="6">
        <v>0</v>
      </c>
      <c r="R90" s="6">
        <v>1</v>
      </c>
      <c r="S90" s="6">
        <v>0</v>
      </c>
      <c r="T90" s="6">
        <v>0</v>
      </c>
      <c r="U90" s="6"/>
      <c r="V90" s="5">
        <f t="shared" ref="V90" si="38">SUM(E90:U90)</f>
        <v>6</v>
      </c>
    </row>
    <row r="91" spans="1:22" ht="13.15" customHeight="1" x14ac:dyDescent="0.4">
      <c r="A91" s="6" t="s">
        <v>25</v>
      </c>
      <c r="B91" s="52" t="s">
        <v>50</v>
      </c>
      <c r="C91" s="53"/>
      <c r="D91" s="54"/>
      <c r="E91" s="5">
        <f t="shared" ref="E91:V91" si="39">SUM(E90:E90)</f>
        <v>0</v>
      </c>
      <c r="F91" s="5">
        <f t="shared" si="39"/>
        <v>0</v>
      </c>
      <c r="G91" s="5">
        <f t="shared" si="39"/>
        <v>0</v>
      </c>
      <c r="H91" s="5">
        <f t="shared" si="39"/>
        <v>1</v>
      </c>
      <c r="I91" s="5">
        <f t="shared" si="39"/>
        <v>0</v>
      </c>
      <c r="J91" s="5">
        <f t="shared" si="39"/>
        <v>1</v>
      </c>
      <c r="K91" s="5">
        <f t="shared" si="39"/>
        <v>1</v>
      </c>
      <c r="L91" s="5">
        <f t="shared" si="39"/>
        <v>0</v>
      </c>
      <c r="M91" s="5">
        <f t="shared" si="39"/>
        <v>0</v>
      </c>
      <c r="N91" s="5">
        <f t="shared" si="39"/>
        <v>0</v>
      </c>
      <c r="O91" s="5">
        <f t="shared" si="39"/>
        <v>1</v>
      </c>
      <c r="P91" s="5">
        <f t="shared" si="39"/>
        <v>1</v>
      </c>
      <c r="Q91" s="5">
        <f t="shared" si="39"/>
        <v>0</v>
      </c>
      <c r="R91" s="5">
        <f t="shared" si="39"/>
        <v>1</v>
      </c>
      <c r="S91" s="5">
        <f t="shared" si="39"/>
        <v>0</v>
      </c>
      <c r="T91" s="5">
        <f t="shared" si="39"/>
        <v>0</v>
      </c>
      <c r="U91" s="5">
        <f t="shared" si="39"/>
        <v>0</v>
      </c>
      <c r="V91" s="5">
        <f t="shared" si="39"/>
        <v>6</v>
      </c>
    </row>
    <row r="92" spans="1:22" x14ac:dyDescent="0.4">
      <c r="A92" s="55"/>
      <c r="B92" s="56"/>
      <c r="C92" s="56"/>
      <c r="D92" s="56"/>
      <c r="E92" s="5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5"/>
    </row>
    <row r="93" spans="1:22" x14ac:dyDescent="0.4">
      <c r="A93" s="11" t="s">
        <v>47</v>
      </c>
      <c r="B93" s="17" t="s">
        <v>58</v>
      </c>
      <c r="C93" s="50" t="s">
        <v>59</v>
      </c>
      <c r="D93" s="51"/>
      <c r="E93" s="6">
        <v>1</v>
      </c>
      <c r="F93" s="6">
        <v>1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2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/>
      <c r="U93" s="6"/>
      <c r="V93" s="5">
        <f t="shared" ref="V93:V97" si="40">SUM(E93:U93)</f>
        <v>4</v>
      </c>
    </row>
    <row r="94" spans="1:22" x14ac:dyDescent="0.4">
      <c r="A94" s="11" t="s">
        <v>49</v>
      </c>
      <c r="B94" s="46">
        <v>1</v>
      </c>
      <c r="C94" s="24" t="s">
        <v>133</v>
      </c>
      <c r="D94" s="47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1</v>
      </c>
      <c r="L94" s="6">
        <v>0</v>
      </c>
      <c r="M94" s="6">
        <v>0</v>
      </c>
      <c r="N94" s="6">
        <v>0</v>
      </c>
      <c r="O94" s="6">
        <v>1</v>
      </c>
      <c r="P94" s="6">
        <v>0</v>
      </c>
      <c r="Q94" s="6">
        <v>0</v>
      </c>
      <c r="R94" s="6">
        <v>0</v>
      </c>
      <c r="S94" s="6">
        <v>0</v>
      </c>
      <c r="T94" s="6"/>
      <c r="U94" s="6"/>
      <c r="V94" s="5">
        <f t="shared" si="40"/>
        <v>2</v>
      </c>
    </row>
    <row r="95" spans="1:22" x14ac:dyDescent="0.4">
      <c r="A95" s="7"/>
      <c r="B95" s="46">
        <v>2</v>
      </c>
      <c r="C95" s="24" t="s">
        <v>134</v>
      </c>
      <c r="D95" s="47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2</v>
      </c>
      <c r="Q95" s="6">
        <v>0</v>
      </c>
      <c r="R95" s="6">
        <v>0</v>
      </c>
      <c r="S95" s="6">
        <v>0</v>
      </c>
      <c r="T95" s="6"/>
      <c r="U95" s="6"/>
      <c r="V95" s="5">
        <f t="shared" si="40"/>
        <v>2</v>
      </c>
    </row>
    <row r="96" spans="1:22" x14ac:dyDescent="0.4">
      <c r="A96" s="7"/>
      <c r="B96" s="46">
        <v>3</v>
      </c>
      <c r="C96" s="24" t="s">
        <v>135</v>
      </c>
      <c r="D96" s="47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/>
      <c r="U96" s="6"/>
      <c r="V96" s="5">
        <f t="shared" si="40"/>
        <v>0</v>
      </c>
    </row>
    <row r="97" spans="1:22" x14ac:dyDescent="0.4">
      <c r="A97" s="7"/>
      <c r="B97" s="46">
        <v>4</v>
      </c>
      <c r="C97" s="24" t="s">
        <v>136</v>
      </c>
      <c r="D97" s="47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/>
      <c r="U97" s="6"/>
      <c r="V97" s="5">
        <f t="shared" si="40"/>
        <v>0</v>
      </c>
    </row>
    <row r="98" spans="1:22" x14ac:dyDescent="0.4">
      <c r="A98" s="6" t="s">
        <v>25</v>
      </c>
      <c r="B98" s="52" t="s">
        <v>50</v>
      </c>
      <c r="C98" s="53"/>
      <c r="D98" s="54"/>
      <c r="E98" s="5">
        <f t="shared" ref="E98:V98" si="41">SUM(E93:E97)</f>
        <v>1</v>
      </c>
      <c r="F98" s="5">
        <f t="shared" si="41"/>
        <v>1</v>
      </c>
      <c r="G98" s="5">
        <f t="shared" si="41"/>
        <v>0</v>
      </c>
      <c r="H98" s="5">
        <f t="shared" si="41"/>
        <v>0</v>
      </c>
      <c r="I98" s="5">
        <f t="shared" si="41"/>
        <v>0</v>
      </c>
      <c r="J98" s="5">
        <f t="shared" si="41"/>
        <v>0</v>
      </c>
      <c r="K98" s="5">
        <f t="shared" si="41"/>
        <v>1</v>
      </c>
      <c r="L98" s="5">
        <f t="shared" si="41"/>
        <v>0</v>
      </c>
      <c r="M98" s="5">
        <f t="shared" si="41"/>
        <v>2</v>
      </c>
      <c r="N98" s="5">
        <f t="shared" si="41"/>
        <v>0</v>
      </c>
      <c r="O98" s="5">
        <f t="shared" si="41"/>
        <v>1</v>
      </c>
      <c r="P98" s="5">
        <f t="shared" si="41"/>
        <v>2</v>
      </c>
      <c r="Q98" s="5">
        <f t="shared" si="41"/>
        <v>0</v>
      </c>
      <c r="R98" s="5">
        <f t="shared" si="41"/>
        <v>0</v>
      </c>
      <c r="S98" s="5">
        <f t="shared" si="41"/>
        <v>0</v>
      </c>
      <c r="T98" s="5">
        <f t="shared" si="41"/>
        <v>0</v>
      </c>
      <c r="U98" s="5">
        <f t="shared" si="41"/>
        <v>0</v>
      </c>
      <c r="V98" s="5">
        <f t="shared" si="41"/>
        <v>8</v>
      </c>
    </row>
    <row r="99" spans="1:22" x14ac:dyDescent="0.4">
      <c r="A99" s="55"/>
      <c r="B99" s="56"/>
      <c r="C99" s="56"/>
      <c r="D99" s="56"/>
      <c r="E99" s="5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spans="1:22" x14ac:dyDescent="0.4">
      <c r="A100" s="11" t="s">
        <v>47</v>
      </c>
      <c r="B100" s="17" t="s">
        <v>60</v>
      </c>
      <c r="C100" s="50" t="s">
        <v>61</v>
      </c>
      <c r="D100" s="51"/>
      <c r="E100" s="6">
        <v>1</v>
      </c>
      <c r="F100" s="6">
        <v>2</v>
      </c>
      <c r="G100" s="6">
        <v>7</v>
      </c>
      <c r="H100" s="6">
        <v>4</v>
      </c>
      <c r="I100" s="6">
        <v>2</v>
      </c>
      <c r="J100" s="6">
        <v>2</v>
      </c>
      <c r="K100" s="6">
        <v>3</v>
      </c>
      <c r="L100" s="6">
        <v>3</v>
      </c>
      <c r="M100" s="6">
        <v>1</v>
      </c>
      <c r="N100" s="6">
        <v>5</v>
      </c>
      <c r="O100" s="6">
        <v>0</v>
      </c>
      <c r="P100" s="6">
        <v>5</v>
      </c>
      <c r="Q100" s="6">
        <v>0</v>
      </c>
      <c r="R100" s="6">
        <v>0</v>
      </c>
      <c r="S100" s="6">
        <v>0</v>
      </c>
      <c r="T100" s="6"/>
      <c r="U100" s="6"/>
      <c r="V100" s="5">
        <f t="shared" ref="V100:V106" si="42">SUM(E100:U100)</f>
        <v>35</v>
      </c>
    </row>
    <row r="101" spans="1:22" ht="13.15" customHeight="1" x14ac:dyDescent="0.4">
      <c r="A101" s="11" t="s">
        <v>49</v>
      </c>
      <c r="B101" s="46">
        <v>1</v>
      </c>
      <c r="C101" s="24" t="s">
        <v>137</v>
      </c>
      <c r="D101" s="47"/>
      <c r="E101" s="6">
        <v>7</v>
      </c>
      <c r="F101" s="6">
        <v>6</v>
      </c>
      <c r="G101" s="6">
        <v>27</v>
      </c>
      <c r="H101" s="6">
        <v>8</v>
      </c>
      <c r="I101" s="6">
        <v>9</v>
      </c>
      <c r="J101" s="6">
        <v>18</v>
      </c>
      <c r="K101" s="6">
        <v>19</v>
      </c>
      <c r="L101" s="6">
        <v>40</v>
      </c>
      <c r="M101" s="6">
        <v>3</v>
      </c>
      <c r="N101" s="6">
        <v>7</v>
      </c>
      <c r="O101" s="6">
        <v>10</v>
      </c>
      <c r="P101" s="6">
        <v>13</v>
      </c>
      <c r="Q101" s="6">
        <v>4</v>
      </c>
      <c r="R101" s="6">
        <v>0</v>
      </c>
      <c r="S101" s="6">
        <v>0</v>
      </c>
      <c r="T101" s="6"/>
      <c r="U101" s="6"/>
      <c r="V101" s="5">
        <f t="shared" si="42"/>
        <v>171</v>
      </c>
    </row>
    <row r="102" spans="1:22" x14ac:dyDescent="0.4">
      <c r="A102" s="7"/>
      <c r="B102" s="46">
        <v>2</v>
      </c>
      <c r="C102" s="24" t="s">
        <v>138</v>
      </c>
      <c r="D102" s="47"/>
      <c r="E102" s="6">
        <v>2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1</v>
      </c>
      <c r="L102" s="6">
        <v>0</v>
      </c>
      <c r="M102" s="6">
        <v>3</v>
      </c>
      <c r="N102" s="6">
        <v>0</v>
      </c>
      <c r="O102" s="6">
        <v>1</v>
      </c>
      <c r="P102" s="6">
        <v>0</v>
      </c>
      <c r="Q102" s="6">
        <v>2</v>
      </c>
      <c r="R102" s="6">
        <v>0</v>
      </c>
      <c r="S102" s="6">
        <v>0</v>
      </c>
      <c r="T102" s="6"/>
      <c r="U102" s="6"/>
      <c r="V102" s="5">
        <f t="shared" si="42"/>
        <v>9</v>
      </c>
    </row>
    <row r="103" spans="1:22" x14ac:dyDescent="0.4">
      <c r="A103" s="7"/>
      <c r="B103" s="46">
        <v>3</v>
      </c>
      <c r="C103" s="24" t="s">
        <v>139</v>
      </c>
      <c r="D103" s="47"/>
      <c r="E103" s="6">
        <v>0</v>
      </c>
      <c r="F103" s="6">
        <v>2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10</v>
      </c>
      <c r="Q103" s="6">
        <v>0</v>
      </c>
      <c r="R103" s="6">
        <v>0</v>
      </c>
      <c r="S103" s="6">
        <v>0</v>
      </c>
      <c r="T103" s="6"/>
      <c r="U103" s="6"/>
      <c r="V103" s="5">
        <f t="shared" si="42"/>
        <v>12</v>
      </c>
    </row>
    <row r="104" spans="1:22" x14ac:dyDescent="0.4">
      <c r="A104" s="7"/>
      <c r="B104" s="46">
        <v>4</v>
      </c>
      <c r="C104" s="24" t="s">
        <v>140</v>
      </c>
      <c r="D104" s="47"/>
      <c r="E104" s="6">
        <v>0</v>
      </c>
      <c r="F104" s="6">
        <v>0</v>
      </c>
      <c r="G104" s="6">
        <v>1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/>
      <c r="U104" s="6"/>
      <c r="V104" s="5">
        <f t="shared" si="42"/>
        <v>1</v>
      </c>
    </row>
    <row r="105" spans="1:22" x14ac:dyDescent="0.4">
      <c r="A105" s="7"/>
      <c r="B105" s="46">
        <v>5</v>
      </c>
      <c r="C105" s="24" t="s">
        <v>141</v>
      </c>
      <c r="D105" s="47"/>
      <c r="E105" s="6">
        <v>1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2</v>
      </c>
      <c r="R105" s="6">
        <v>0</v>
      </c>
      <c r="S105" s="6">
        <v>0</v>
      </c>
      <c r="T105" s="6"/>
      <c r="U105" s="6"/>
      <c r="V105" s="5">
        <f t="shared" si="42"/>
        <v>3</v>
      </c>
    </row>
    <row r="106" spans="1:22" x14ac:dyDescent="0.4">
      <c r="A106" s="7"/>
      <c r="B106" s="46">
        <v>6</v>
      </c>
      <c r="C106" s="24" t="s">
        <v>142</v>
      </c>
      <c r="D106" s="47"/>
      <c r="E106" s="6">
        <v>0</v>
      </c>
      <c r="F106" s="6">
        <v>1</v>
      </c>
      <c r="G106" s="6">
        <v>0</v>
      </c>
      <c r="H106" s="6">
        <v>0</v>
      </c>
      <c r="I106" s="6">
        <v>3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1</v>
      </c>
      <c r="P106" s="6">
        <v>0</v>
      </c>
      <c r="Q106" s="6">
        <v>1</v>
      </c>
      <c r="R106" s="6">
        <v>0</v>
      </c>
      <c r="S106" s="6">
        <v>0</v>
      </c>
      <c r="T106" s="6"/>
      <c r="U106" s="6"/>
      <c r="V106" s="5">
        <f t="shared" si="42"/>
        <v>6</v>
      </c>
    </row>
    <row r="107" spans="1:22" x14ac:dyDescent="0.4">
      <c r="A107" s="6" t="s">
        <v>25</v>
      </c>
      <c r="B107" s="52" t="s">
        <v>50</v>
      </c>
      <c r="C107" s="53"/>
      <c r="D107" s="54"/>
      <c r="E107" s="5">
        <f t="shared" ref="E107:V107" si="43">SUM(E100:E106)</f>
        <v>11</v>
      </c>
      <c r="F107" s="5">
        <f t="shared" si="43"/>
        <v>11</v>
      </c>
      <c r="G107" s="5">
        <f t="shared" si="43"/>
        <v>35</v>
      </c>
      <c r="H107" s="5">
        <f t="shared" si="43"/>
        <v>12</v>
      </c>
      <c r="I107" s="5">
        <f t="shared" si="43"/>
        <v>14</v>
      </c>
      <c r="J107" s="5">
        <f t="shared" si="43"/>
        <v>20</v>
      </c>
      <c r="K107" s="5">
        <f t="shared" si="43"/>
        <v>23</v>
      </c>
      <c r="L107" s="5">
        <f t="shared" si="43"/>
        <v>43</v>
      </c>
      <c r="M107" s="5">
        <f t="shared" si="43"/>
        <v>7</v>
      </c>
      <c r="N107" s="5">
        <f t="shared" si="43"/>
        <v>12</v>
      </c>
      <c r="O107" s="5">
        <f t="shared" si="43"/>
        <v>12</v>
      </c>
      <c r="P107" s="5">
        <f t="shared" si="43"/>
        <v>28</v>
      </c>
      <c r="Q107" s="5">
        <f t="shared" si="43"/>
        <v>9</v>
      </c>
      <c r="R107" s="5">
        <f t="shared" si="43"/>
        <v>0</v>
      </c>
      <c r="S107" s="5">
        <f t="shared" si="43"/>
        <v>0</v>
      </c>
      <c r="T107" s="5">
        <f t="shared" si="43"/>
        <v>0</v>
      </c>
      <c r="U107" s="5">
        <f t="shared" si="43"/>
        <v>0</v>
      </c>
      <c r="V107" s="5">
        <f t="shared" si="43"/>
        <v>237</v>
      </c>
    </row>
    <row r="108" spans="1:22" x14ac:dyDescent="0.4">
      <c r="A108" s="55"/>
      <c r="B108" s="56"/>
      <c r="C108" s="56"/>
      <c r="D108" s="56"/>
      <c r="E108" s="5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spans="1:22" ht="13.15" customHeight="1" x14ac:dyDescent="0.4">
      <c r="A109" s="11" t="s">
        <v>47</v>
      </c>
      <c r="B109" s="17" t="s">
        <v>62</v>
      </c>
      <c r="C109" s="50" t="s">
        <v>63</v>
      </c>
      <c r="D109" s="51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/>
      <c r="U109" s="6"/>
      <c r="V109" s="5">
        <f t="shared" ref="V109:V112" si="44">SUM(E109:U109)</f>
        <v>0</v>
      </c>
    </row>
    <row r="110" spans="1:22" x14ac:dyDescent="0.4">
      <c r="A110" s="11" t="s">
        <v>49</v>
      </c>
      <c r="B110" s="46">
        <v>1</v>
      </c>
      <c r="C110" s="24" t="s">
        <v>143</v>
      </c>
      <c r="D110" s="45"/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/>
      <c r="U110" s="6"/>
      <c r="V110" s="5">
        <f t="shared" si="44"/>
        <v>0</v>
      </c>
    </row>
    <row r="111" spans="1:22" x14ac:dyDescent="0.4">
      <c r="A111" s="7"/>
      <c r="B111" s="46">
        <v>2</v>
      </c>
      <c r="C111" s="24" t="s">
        <v>144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/>
      <c r="U111" s="6"/>
      <c r="V111" s="5">
        <f t="shared" si="44"/>
        <v>0</v>
      </c>
    </row>
    <row r="112" spans="1:22" x14ac:dyDescent="0.4">
      <c r="A112" s="7"/>
      <c r="B112" s="46">
        <v>3</v>
      </c>
      <c r="C112" s="24" t="s">
        <v>145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/>
      <c r="U112" s="6"/>
      <c r="V112" s="5">
        <f t="shared" si="44"/>
        <v>0</v>
      </c>
    </row>
    <row r="113" spans="1:22" ht="13.15" customHeight="1" x14ac:dyDescent="0.4">
      <c r="A113" s="6" t="s">
        <v>25</v>
      </c>
      <c r="B113" s="52" t="s">
        <v>50</v>
      </c>
      <c r="C113" s="53"/>
      <c r="D113" s="54"/>
      <c r="E113" s="5">
        <f t="shared" ref="E113:V113" si="45">SUM(E109:E112)</f>
        <v>0</v>
      </c>
      <c r="F113" s="5">
        <f t="shared" si="45"/>
        <v>0</v>
      </c>
      <c r="G113" s="5">
        <f t="shared" si="45"/>
        <v>0</v>
      </c>
      <c r="H113" s="5">
        <f t="shared" si="45"/>
        <v>0</v>
      </c>
      <c r="I113" s="5">
        <f t="shared" si="45"/>
        <v>0</v>
      </c>
      <c r="J113" s="5">
        <f t="shared" si="45"/>
        <v>0</v>
      </c>
      <c r="K113" s="5">
        <f t="shared" si="45"/>
        <v>0</v>
      </c>
      <c r="L113" s="5">
        <f t="shared" si="45"/>
        <v>0</v>
      </c>
      <c r="M113" s="5">
        <f t="shared" si="45"/>
        <v>0</v>
      </c>
      <c r="N113" s="5">
        <f t="shared" si="45"/>
        <v>0</v>
      </c>
      <c r="O113" s="5">
        <f t="shared" si="45"/>
        <v>0</v>
      </c>
      <c r="P113" s="5">
        <f t="shared" si="45"/>
        <v>0</v>
      </c>
      <c r="Q113" s="5">
        <f t="shared" si="45"/>
        <v>0</v>
      </c>
      <c r="R113" s="5">
        <f t="shared" si="45"/>
        <v>0</v>
      </c>
      <c r="S113" s="5">
        <f t="shared" si="45"/>
        <v>0</v>
      </c>
      <c r="T113" s="5">
        <f t="shared" si="45"/>
        <v>0</v>
      </c>
      <c r="U113" s="5">
        <f t="shared" si="45"/>
        <v>0</v>
      </c>
      <c r="V113" s="5">
        <f t="shared" si="45"/>
        <v>0</v>
      </c>
    </row>
    <row r="114" spans="1:22" x14ac:dyDescent="0.4">
      <c r="A114" s="55"/>
      <c r="B114" s="56"/>
      <c r="C114" s="56"/>
      <c r="D114" s="56"/>
      <c r="E114" s="5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5"/>
    </row>
    <row r="115" spans="1:22" x14ac:dyDescent="0.4">
      <c r="A115" s="11" t="s">
        <v>47</v>
      </c>
      <c r="B115" s="44" t="s">
        <v>64</v>
      </c>
      <c r="C115" s="63" t="s">
        <v>65</v>
      </c>
      <c r="D115" s="64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1</v>
      </c>
      <c r="P115" s="6">
        <v>0</v>
      </c>
      <c r="Q115" s="6">
        <v>0</v>
      </c>
      <c r="R115" s="6">
        <v>0</v>
      </c>
      <c r="S115" s="6">
        <v>0</v>
      </c>
      <c r="T115" s="6"/>
      <c r="U115" s="6"/>
      <c r="V115" s="5">
        <f t="shared" ref="V115:V121" si="46">SUM(E115:U115)</f>
        <v>1</v>
      </c>
    </row>
    <row r="116" spans="1:22" x14ac:dyDescent="0.4">
      <c r="A116" s="48" t="s">
        <v>49</v>
      </c>
      <c r="B116" s="46">
        <v>1</v>
      </c>
      <c r="C116" s="24" t="s">
        <v>146</v>
      </c>
      <c r="D116" s="47"/>
      <c r="E116" s="49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1</v>
      </c>
      <c r="L116" s="6">
        <v>0</v>
      </c>
      <c r="M116" s="6">
        <v>0</v>
      </c>
      <c r="N116" s="6">
        <v>1</v>
      </c>
      <c r="O116" s="6">
        <v>0</v>
      </c>
      <c r="P116" s="6">
        <v>2</v>
      </c>
      <c r="Q116" s="6">
        <v>0</v>
      </c>
      <c r="R116" s="6">
        <v>0</v>
      </c>
      <c r="S116" s="6">
        <v>0</v>
      </c>
      <c r="T116" s="6"/>
      <c r="U116" s="6"/>
      <c r="V116" s="5">
        <f t="shared" si="46"/>
        <v>4</v>
      </c>
    </row>
    <row r="117" spans="1:22" x14ac:dyDescent="0.4">
      <c r="A117" s="7"/>
      <c r="B117" s="46">
        <v>2</v>
      </c>
      <c r="C117" s="24" t="s">
        <v>147</v>
      </c>
      <c r="D117" s="47"/>
      <c r="E117" s="49">
        <v>0</v>
      </c>
      <c r="F117" s="6">
        <v>0</v>
      </c>
      <c r="G117" s="6">
        <v>0</v>
      </c>
      <c r="H117" s="6">
        <v>1</v>
      </c>
      <c r="I117" s="6">
        <v>3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3</v>
      </c>
      <c r="P117" s="6">
        <v>0</v>
      </c>
      <c r="Q117" s="6">
        <v>0</v>
      </c>
      <c r="R117" s="6">
        <v>0</v>
      </c>
      <c r="S117" s="6">
        <v>0</v>
      </c>
      <c r="T117" s="6"/>
      <c r="U117" s="6"/>
      <c r="V117" s="5">
        <f t="shared" si="46"/>
        <v>7</v>
      </c>
    </row>
    <row r="118" spans="1:22" x14ac:dyDescent="0.4">
      <c r="A118" s="7"/>
      <c r="B118" s="46">
        <v>3</v>
      </c>
      <c r="C118" s="24" t="s">
        <v>148</v>
      </c>
      <c r="D118" s="47"/>
      <c r="E118" s="49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/>
      <c r="U118" s="6"/>
      <c r="V118" s="5">
        <f t="shared" si="46"/>
        <v>0</v>
      </c>
    </row>
    <row r="119" spans="1:22" x14ac:dyDescent="0.4">
      <c r="A119" s="7"/>
      <c r="B119" s="46">
        <v>4</v>
      </c>
      <c r="C119" s="24" t="s">
        <v>149</v>
      </c>
      <c r="D119" s="47"/>
      <c r="E119" s="49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/>
      <c r="U119" s="6"/>
      <c r="V119" s="5">
        <f t="shared" si="46"/>
        <v>0</v>
      </c>
    </row>
    <row r="120" spans="1:22" x14ac:dyDescent="0.4">
      <c r="A120" s="7"/>
      <c r="B120" s="46">
        <v>5</v>
      </c>
      <c r="C120" s="24" t="s">
        <v>150</v>
      </c>
      <c r="D120" s="47"/>
      <c r="E120" s="49">
        <v>1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/>
      <c r="U120" s="6"/>
      <c r="V120" s="5">
        <f t="shared" si="46"/>
        <v>1</v>
      </c>
    </row>
    <row r="121" spans="1:22" x14ac:dyDescent="0.4">
      <c r="A121" s="7"/>
      <c r="B121" s="46">
        <v>6</v>
      </c>
      <c r="C121" s="24" t="s">
        <v>151</v>
      </c>
      <c r="D121" s="47"/>
      <c r="E121" s="49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/>
      <c r="U121" s="6"/>
      <c r="V121" s="5">
        <f t="shared" si="46"/>
        <v>0</v>
      </c>
    </row>
    <row r="122" spans="1:22" x14ac:dyDescent="0.4">
      <c r="A122" s="6" t="s">
        <v>25</v>
      </c>
      <c r="B122" s="65" t="s">
        <v>50</v>
      </c>
      <c r="C122" s="66"/>
      <c r="D122" s="67"/>
      <c r="E122" s="5">
        <f t="shared" ref="E122:V122" si="47">SUM(E115:E121)</f>
        <v>1</v>
      </c>
      <c r="F122" s="5">
        <f t="shared" si="47"/>
        <v>0</v>
      </c>
      <c r="G122" s="5">
        <f t="shared" si="47"/>
        <v>0</v>
      </c>
      <c r="H122" s="5">
        <f t="shared" si="47"/>
        <v>1</v>
      </c>
      <c r="I122" s="5">
        <f t="shared" si="47"/>
        <v>3</v>
      </c>
      <c r="J122" s="5">
        <f t="shared" si="47"/>
        <v>0</v>
      </c>
      <c r="K122" s="5">
        <f t="shared" si="47"/>
        <v>1</v>
      </c>
      <c r="L122" s="5">
        <f t="shared" si="47"/>
        <v>0</v>
      </c>
      <c r="M122" s="5">
        <f t="shared" si="47"/>
        <v>0</v>
      </c>
      <c r="N122" s="5">
        <f t="shared" si="47"/>
        <v>1</v>
      </c>
      <c r="O122" s="5">
        <f t="shared" si="47"/>
        <v>4</v>
      </c>
      <c r="P122" s="5">
        <f t="shared" si="47"/>
        <v>2</v>
      </c>
      <c r="Q122" s="5">
        <f t="shared" si="47"/>
        <v>0</v>
      </c>
      <c r="R122" s="5">
        <f t="shared" si="47"/>
        <v>0</v>
      </c>
      <c r="S122" s="5">
        <f t="shared" si="47"/>
        <v>0</v>
      </c>
      <c r="T122" s="5">
        <f t="shared" si="47"/>
        <v>0</v>
      </c>
      <c r="U122" s="5">
        <f t="shared" si="47"/>
        <v>0</v>
      </c>
      <c r="V122" s="5">
        <f t="shared" si="47"/>
        <v>13</v>
      </c>
    </row>
    <row r="123" spans="1:22" x14ac:dyDescent="0.4">
      <c r="A123" s="55"/>
      <c r="B123" s="56"/>
      <c r="C123" s="56"/>
      <c r="D123" s="56"/>
      <c r="E123" s="5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spans="1:22" ht="13.15" customHeight="1" x14ac:dyDescent="0.4">
      <c r="A124" s="11" t="s">
        <v>47</v>
      </c>
      <c r="B124" s="17" t="s">
        <v>66</v>
      </c>
      <c r="C124" s="50" t="s">
        <v>67</v>
      </c>
      <c r="D124" s="51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1</v>
      </c>
      <c r="O124" s="6">
        <v>0</v>
      </c>
      <c r="P124" s="6">
        <v>2</v>
      </c>
      <c r="Q124" s="6">
        <v>0</v>
      </c>
      <c r="R124" s="6">
        <v>0</v>
      </c>
      <c r="S124" s="6">
        <v>0</v>
      </c>
      <c r="T124" s="6"/>
      <c r="U124" s="6"/>
      <c r="V124" s="5">
        <f t="shared" ref="V124" si="48">SUM(E124:U124)</f>
        <v>3</v>
      </c>
    </row>
    <row r="125" spans="1:22" x14ac:dyDescent="0.4">
      <c r="A125" s="6" t="s">
        <v>25</v>
      </c>
      <c r="B125" s="52" t="s">
        <v>50</v>
      </c>
      <c r="C125" s="53"/>
      <c r="D125" s="54"/>
      <c r="E125" s="5">
        <f t="shared" ref="E125:V125" si="49">SUM(E124:E124)</f>
        <v>0</v>
      </c>
      <c r="F125" s="5">
        <f t="shared" si="49"/>
        <v>0</v>
      </c>
      <c r="G125" s="5">
        <f t="shared" si="49"/>
        <v>0</v>
      </c>
      <c r="H125" s="5">
        <f t="shared" si="49"/>
        <v>0</v>
      </c>
      <c r="I125" s="5">
        <f t="shared" si="49"/>
        <v>0</v>
      </c>
      <c r="J125" s="5">
        <f t="shared" si="49"/>
        <v>0</v>
      </c>
      <c r="K125" s="5">
        <f t="shared" si="49"/>
        <v>0</v>
      </c>
      <c r="L125" s="5">
        <f t="shared" si="49"/>
        <v>0</v>
      </c>
      <c r="M125" s="5">
        <f t="shared" si="49"/>
        <v>0</v>
      </c>
      <c r="N125" s="5">
        <f t="shared" si="49"/>
        <v>1</v>
      </c>
      <c r="O125" s="5">
        <f t="shared" si="49"/>
        <v>0</v>
      </c>
      <c r="P125" s="5">
        <f t="shared" si="49"/>
        <v>2</v>
      </c>
      <c r="Q125" s="5">
        <f t="shared" si="49"/>
        <v>0</v>
      </c>
      <c r="R125" s="5">
        <f t="shared" si="49"/>
        <v>0</v>
      </c>
      <c r="S125" s="5">
        <f t="shared" si="49"/>
        <v>0</v>
      </c>
      <c r="T125" s="5">
        <f t="shared" si="49"/>
        <v>0</v>
      </c>
      <c r="U125" s="5">
        <f t="shared" si="49"/>
        <v>0</v>
      </c>
      <c r="V125" s="5">
        <f t="shared" si="49"/>
        <v>3</v>
      </c>
    </row>
    <row r="126" spans="1:22" ht="13.15" customHeight="1" x14ac:dyDescent="0.4">
      <c r="A126" s="55"/>
      <c r="B126" s="56"/>
      <c r="C126" s="56"/>
      <c r="D126" s="56"/>
      <c r="E126" s="5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 spans="1:22" x14ac:dyDescent="0.4">
      <c r="A127" s="11" t="s">
        <v>47</v>
      </c>
      <c r="B127" s="17" t="s">
        <v>68</v>
      </c>
      <c r="C127" s="50" t="s">
        <v>69</v>
      </c>
      <c r="D127" s="51"/>
      <c r="E127" s="6">
        <v>1</v>
      </c>
      <c r="F127" s="6">
        <v>0</v>
      </c>
      <c r="G127" s="6">
        <v>0</v>
      </c>
      <c r="H127" s="6">
        <v>1</v>
      </c>
      <c r="I127" s="6">
        <v>0</v>
      </c>
      <c r="J127" s="6">
        <v>1</v>
      </c>
      <c r="K127" s="6">
        <v>1</v>
      </c>
      <c r="L127" s="6">
        <v>2</v>
      </c>
      <c r="M127" s="6">
        <v>0</v>
      </c>
      <c r="N127" s="6">
        <v>0</v>
      </c>
      <c r="O127" s="6">
        <v>1</v>
      </c>
      <c r="P127" s="6">
        <v>1</v>
      </c>
      <c r="Q127" s="6">
        <v>2</v>
      </c>
      <c r="R127" s="6">
        <v>1</v>
      </c>
      <c r="S127" s="6">
        <v>0</v>
      </c>
      <c r="T127" s="6">
        <v>1</v>
      </c>
      <c r="U127" s="6"/>
      <c r="V127" s="5">
        <f t="shared" ref="V127:V133" si="50">SUM(E127:U127)</f>
        <v>12</v>
      </c>
    </row>
    <row r="128" spans="1:22" x14ac:dyDescent="0.4">
      <c r="A128" s="11" t="s">
        <v>49</v>
      </c>
      <c r="B128" s="46">
        <v>1</v>
      </c>
      <c r="C128" s="24" t="s">
        <v>152</v>
      </c>
      <c r="D128" s="47"/>
      <c r="E128" s="6">
        <v>1</v>
      </c>
      <c r="F128" s="6">
        <v>0</v>
      </c>
      <c r="G128" s="6">
        <v>5</v>
      </c>
      <c r="H128" s="6">
        <v>0</v>
      </c>
      <c r="I128" s="6">
        <v>2</v>
      </c>
      <c r="J128" s="6">
        <v>4</v>
      </c>
      <c r="K128" s="6">
        <v>0</v>
      </c>
      <c r="L128" s="6">
        <v>2</v>
      </c>
      <c r="M128" s="6">
        <v>2</v>
      </c>
      <c r="N128" s="6">
        <v>2</v>
      </c>
      <c r="O128" s="6">
        <v>2</v>
      </c>
      <c r="P128" s="6">
        <v>1</v>
      </c>
      <c r="Q128" s="6">
        <v>1</v>
      </c>
      <c r="R128" s="6">
        <v>1</v>
      </c>
      <c r="S128" s="6">
        <v>0</v>
      </c>
      <c r="T128" s="6"/>
      <c r="U128" s="6"/>
      <c r="V128" s="5">
        <f t="shared" si="50"/>
        <v>23</v>
      </c>
    </row>
    <row r="129" spans="1:22" x14ac:dyDescent="0.4">
      <c r="A129" s="7"/>
      <c r="B129" s="46">
        <v>2</v>
      </c>
      <c r="C129" s="24" t="s">
        <v>153</v>
      </c>
      <c r="D129" s="47"/>
      <c r="E129" s="6">
        <v>0</v>
      </c>
      <c r="F129" s="6">
        <v>0</v>
      </c>
      <c r="G129" s="6">
        <v>2</v>
      </c>
      <c r="H129" s="6">
        <v>1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6</v>
      </c>
      <c r="Q129" s="6">
        <v>0</v>
      </c>
      <c r="R129" s="6">
        <v>0</v>
      </c>
      <c r="S129" s="6">
        <v>0</v>
      </c>
      <c r="T129" s="6"/>
      <c r="U129" s="6"/>
      <c r="V129" s="5">
        <f t="shared" si="50"/>
        <v>9</v>
      </c>
    </row>
    <row r="130" spans="1:22" x14ac:dyDescent="0.4">
      <c r="A130" s="7"/>
      <c r="B130" s="46">
        <v>3</v>
      </c>
      <c r="C130" s="24" t="s">
        <v>154</v>
      </c>
      <c r="D130" s="47"/>
      <c r="E130" s="6">
        <v>0</v>
      </c>
      <c r="F130" s="6">
        <v>0</v>
      </c>
      <c r="G130" s="6">
        <v>1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/>
      <c r="U130" s="6"/>
      <c r="V130" s="5">
        <f t="shared" si="50"/>
        <v>1</v>
      </c>
    </row>
    <row r="131" spans="1:22" x14ac:dyDescent="0.4">
      <c r="A131" s="7"/>
      <c r="B131" s="46">
        <v>4</v>
      </c>
      <c r="C131" s="24" t="s">
        <v>155</v>
      </c>
      <c r="D131" s="47"/>
      <c r="E131" s="6">
        <v>0</v>
      </c>
      <c r="F131" s="6">
        <v>0</v>
      </c>
      <c r="G131" s="6">
        <v>0</v>
      </c>
      <c r="H131" s="6">
        <v>1</v>
      </c>
      <c r="I131" s="6">
        <v>1</v>
      </c>
      <c r="J131" s="6">
        <v>0</v>
      </c>
      <c r="K131" s="6">
        <v>1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/>
      <c r="U131" s="6"/>
      <c r="V131" s="5">
        <f t="shared" si="50"/>
        <v>3</v>
      </c>
    </row>
    <row r="132" spans="1:22" x14ac:dyDescent="0.4">
      <c r="A132" s="7"/>
      <c r="B132" s="46">
        <v>5</v>
      </c>
      <c r="C132" s="24" t="s">
        <v>156</v>
      </c>
      <c r="D132" s="47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1</v>
      </c>
      <c r="L132" s="6">
        <v>1</v>
      </c>
      <c r="M132" s="6">
        <v>0</v>
      </c>
      <c r="N132" s="6">
        <v>0</v>
      </c>
      <c r="O132" s="6">
        <v>0</v>
      </c>
      <c r="P132" s="6">
        <v>1</v>
      </c>
      <c r="Q132" s="6">
        <v>0</v>
      </c>
      <c r="R132" s="6">
        <v>1</v>
      </c>
      <c r="S132" s="6">
        <v>0</v>
      </c>
      <c r="T132" s="6"/>
      <c r="U132" s="6"/>
      <c r="V132" s="5">
        <f t="shared" si="50"/>
        <v>4</v>
      </c>
    </row>
    <row r="133" spans="1:22" x14ac:dyDescent="0.4">
      <c r="A133" s="7"/>
      <c r="B133" s="46">
        <v>6</v>
      </c>
      <c r="C133" s="24" t="s">
        <v>157</v>
      </c>
      <c r="D133" s="47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1</v>
      </c>
      <c r="S133" s="6">
        <v>0</v>
      </c>
      <c r="T133" s="6">
        <v>1</v>
      </c>
      <c r="U133" s="6"/>
      <c r="V133" s="5">
        <f t="shared" si="50"/>
        <v>2</v>
      </c>
    </row>
    <row r="134" spans="1:22" ht="13.15" customHeight="1" x14ac:dyDescent="0.4">
      <c r="A134" s="6" t="s">
        <v>25</v>
      </c>
      <c r="B134" s="52" t="s">
        <v>50</v>
      </c>
      <c r="C134" s="53"/>
      <c r="D134" s="54"/>
      <c r="E134" s="5">
        <f t="shared" ref="E134:V134" si="51">SUM(E127:E133)</f>
        <v>2</v>
      </c>
      <c r="F134" s="5">
        <f t="shared" si="51"/>
        <v>0</v>
      </c>
      <c r="G134" s="5">
        <f t="shared" si="51"/>
        <v>8</v>
      </c>
      <c r="H134" s="5">
        <f t="shared" si="51"/>
        <v>3</v>
      </c>
      <c r="I134" s="5">
        <f t="shared" si="51"/>
        <v>3</v>
      </c>
      <c r="J134" s="5">
        <f t="shared" si="51"/>
        <v>5</v>
      </c>
      <c r="K134" s="5">
        <f t="shared" si="51"/>
        <v>3</v>
      </c>
      <c r="L134" s="5">
        <f t="shared" si="51"/>
        <v>5</v>
      </c>
      <c r="M134" s="5">
        <f t="shared" si="51"/>
        <v>2</v>
      </c>
      <c r="N134" s="5">
        <f t="shared" si="51"/>
        <v>2</v>
      </c>
      <c r="O134" s="5">
        <f t="shared" si="51"/>
        <v>3</v>
      </c>
      <c r="P134" s="5">
        <f t="shared" si="51"/>
        <v>9</v>
      </c>
      <c r="Q134" s="5">
        <f t="shared" si="51"/>
        <v>3</v>
      </c>
      <c r="R134" s="5">
        <f t="shared" si="51"/>
        <v>4</v>
      </c>
      <c r="S134" s="5">
        <f t="shared" si="51"/>
        <v>0</v>
      </c>
      <c r="T134" s="5">
        <f t="shared" si="51"/>
        <v>2</v>
      </c>
      <c r="U134" s="5">
        <f t="shared" si="51"/>
        <v>0</v>
      </c>
      <c r="V134" s="5">
        <f t="shared" si="51"/>
        <v>54</v>
      </c>
    </row>
    <row r="135" spans="1:22" x14ac:dyDescent="0.4">
      <c r="A135" s="55"/>
      <c r="B135" s="56"/>
      <c r="C135" s="56"/>
      <c r="D135" s="56"/>
      <c r="E135" s="57"/>
      <c r="F135" s="18"/>
      <c r="G135" s="18"/>
      <c r="H135" s="18"/>
      <c r="I135" s="18"/>
      <c r="J135" s="18"/>
      <c r="K135" s="18"/>
      <c r="L135" s="18"/>
      <c r="M135" s="18"/>
      <c r="N135" s="18"/>
      <c r="Q135" s="18"/>
      <c r="V135" s="5"/>
    </row>
    <row r="136" spans="1:22" x14ac:dyDescent="0.4">
      <c r="A136" s="11" t="s">
        <v>47</v>
      </c>
      <c r="B136" s="17" t="s">
        <v>70</v>
      </c>
      <c r="C136" s="50" t="s">
        <v>71</v>
      </c>
      <c r="D136" s="51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1</v>
      </c>
      <c r="Q136" s="6">
        <v>0</v>
      </c>
      <c r="R136" s="6">
        <v>0</v>
      </c>
      <c r="S136" s="6">
        <v>0</v>
      </c>
      <c r="T136" s="6"/>
      <c r="U136" s="6"/>
      <c r="V136" s="5">
        <f t="shared" ref="V136:V141" si="52">SUM(E136:U136)</f>
        <v>1</v>
      </c>
    </row>
    <row r="137" spans="1:22" x14ac:dyDescent="0.4">
      <c r="A137" s="11" t="s">
        <v>49</v>
      </c>
      <c r="B137" s="46">
        <v>1</v>
      </c>
      <c r="C137" s="24" t="s">
        <v>158</v>
      </c>
      <c r="D137" s="47"/>
      <c r="E137" s="6">
        <v>0</v>
      </c>
      <c r="F137" s="6">
        <v>1</v>
      </c>
      <c r="G137" s="6">
        <v>0</v>
      </c>
      <c r="H137" s="6">
        <v>0</v>
      </c>
      <c r="I137" s="6">
        <v>1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1</v>
      </c>
      <c r="P137" s="6">
        <v>0</v>
      </c>
      <c r="Q137" s="6">
        <v>0</v>
      </c>
      <c r="R137" s="6">
        <v>0</v>
      </c>
      <c r="S137" s="6">
        <v>0</v>
      </c>
      <c r="T137" s="6"/>
      <c r="U137" s="6"/>
      <c r="V137" s="5">
        <f t="shared" si="52"/>
        <v>3</v>
      </c>
    </row>
    <row r="138" spans="1:22" x14ac:dyDescent="0.4">
      <c r="A138" s="7"/>
      <c r="B138" s="46">
        <v>2</v>
      </c>
      <c r="C138" s="24" t="s">
        <v>159</v>
      </c>
      <c r="D138" s="47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/>
      <c r="U138" s="6"/>
      <c r="V138" s="5">
        <f t="shared" si="52"/>
        <v>0</v>
      </c>
    </row>
    <row r="139" spans="1:22" x14ac:dyDescent="0.4">
      <c r="A139" s="7"/>
      <c r="B139" s="46">
        <v>3</v>
      </c>
      <c r="C139" s="24" t="s">
        <v>160</v>
      </c>
      <c r="D139" s="47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/>
      <c r="U139" s="6"/>
      <c r="V139" s="5">
        <f t="shared" si="52"/>
        <v>0</v>
      </c>
    </row>
    <row r="140" spans="1:22" x14ac:dyDescent="0.4">
      <c r="A140" s="7"/>
      <c r="B140" s="46">
        <v>4</v>
      </c>
      <c r="C140" s="24" t="s">
        <v>161</v>
      </c>
      <c r="D140" s="47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1</v>
      </c>
      <c r="Q140" s="6">
        <v>0</v>
      </c>
      <c r="R140" s="6">
        <v>0</v>
      </c>
      <c r="S140" s="6">
        <v>0</v>
      </c>
      <c r="T140" s="6"/>
      <c r="U140" s="6"/>
      <c r="V140" s="5">
        <f t="shared" si="52"/>
        <v>1</v>
      </c>
    </row>
    <row r="141" spans="1:22" x14ac:dyDescent="0.4">
      <c r="A141" s="7"/>
      <c r="B141" s="46">
        <v>5</v>
      </c>
      <c r="C141" s="24" t="s">
        <v>162</v>
      </c>
      <c r="D141" s="47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1</v>
      </c>
      <c r="Q141" s="6">
        <v>0</v>
      </c>
      <c r="R141" s="6">
        <v>0</v>
      </c>
      <c r="S141" s="6">
        <v>0</v>
      </c>
      <c r="T141" s="6"/>
      <c r="U141" s="6"/>
      <c r="V141" s="5">
        <f t="shared" si="52"/>
        <v>1</v>
      </c>
    </row>
    <row r="142" spans="1:22" x14ac:dyDescent="0.4">
      <c r="A142" s="6" t="s">
        <v>25</v>
      </c>
      <c r="B142" s="52" t="s">
        <v>50</v>
      </c>
      <c r="C142" s="53"/>
      <c r="D142" s="54"/>
      <c r="E142" s="5">
        <f t="shared" ref="E142:V142" si="53">SUM(E136:E141)</f>
        <v>0</v>
      </c>
      <c r="F142" s="5">
        <f t="shared" si="53"/>
        <v>1</v>
      </c>
      <c r="G142" s="5">
        <f t="shared" si="53"/>
        <v>0</v>
      </c>
      <c r="H142" s="5">
        <f t="shared" si="53"/>
        <v>0</v>
      </c>
      <c r="I142" s="5">
        <f t="shared" si="53"/>
        <v>1</v>
      </c>
      <c r="J142" s="5">
        <f t="shared" si="53"/>
        <v>0</v>
      </c>
      <c r="K142" s="5">
        <f t="shared" si="53"/>
        <v>0</v>
      </c>
      <c r="L142" s="5">
        <f t="shared" si="53"/>
        <v>0</v>
      </c>
      <c r="M142" s="5">
        <f t="shared" si="53"/>
        <v>0</v>
      </c>
      <c r="N142" s="5">
        <f t="shared" si="53"/>
        <v>0</v>
      </c>
      <c r="O142" s="5">
        <f t="shared" si="53"/>
        <v>1</v>
      </c>
      <c r="P142" s="5">
        <f t="shared" si="53"/>
        <v>3</v>
      </c>
      <c r="Q142" s="5">
        <f t="shared" si="53"/>
        <v>0</v>
      </c>
      <c r="R142" s="5">
        <f t="shared" si="53"/>
        <v>0</v>
      </c>
      <c r="S142" s="5">
        <f t="shared" si="53"/>
        <v>0</v>
      </c>
      <c r="T142" s="5">
        <f t="shared" si="53"/>
        <v>0</v>
      </c>
      <c r="U142" s="5">
        <f t="shared" si="53"/>
        <v>0</v>
      </c>
      <c r="V142" s="5">
        <f t="shared" si="53"/>
        <v>6</v>
      </c>
    </row>
    <row r="143" spans="1:22" x14ac:dyDescent="0.4">
      <c r="A143" s="55"/>
      <c r="B143" s="56"/>
      <c r="C143" s="56"/>
      <c r="D143" s="56"/>
      <c r="E143" s="5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 spans="1:22" x14ac:dyDescent="0.4">
      <c r="A144" s="11" t="s">
        <v>47</v>
      </c>
      <c r="B144" s="17" t="s">
        <v>72</v>
      </c>
      <c r="C144" s="50" t="s">
        <v>73</v>
      </c>
      <c r="D144" s="51"/>
      <c r="E144" s="6">
        <v>2</v>
      </c>
      <c r="F144" s="6">
        <v>5</v>
      </c>
      <c r="G144" s="6">
        <v>3</v>
      </c>
      <c r="H144" s="6">
        <v>4</v>
      </c>
      <c r="I144" s="6">
        <v>4</v>
      </c>
      <c r="J144" s="6">
        <v>7</v>
      </c>
      <c r="K144" s="6">
        <v>2</v>
      </c>
      <c r="L144" s="6">
        <v>10</v>
      </c>
      <c r="M144" s="6">
        <v>1</v>
      </c>
      <c r="N144" s="6">
        <v>3</v>
      </c>
      <c r="O144" s="6">
        <v>5</v>
      </c>
      <c r="P144" s="6">
        <v>3</v>
      </c>
      <c r="Q144" s="6">
        <v>0</v>
      </c>
      <c r="R144" s="6">
        <v>0</v>
      </c>
      <c r="S144" s="6">
        <v>0</v>
      </c>
      <c r="T144" s="6"/>
      <c r="U144" s="6"/>
      <c r="V144" s="5">
        <f t="shared" ref="V144:V150" si="54">SUM(E144:U144)</f>
        <v>49</v>
      </c>
    </row>
    <row r="145" spans="1:22" x14ac:dyDescent="0.4">
      <c r="A145" s="11" t="s">
        <v>49</v>
      </c>
      <c r="B145" s="46">
        <v>1</v>
      </c>
      <c r="C145" s="24" t="s">
        <v>163</v>
      </c>
      <c r="D145" s="47"/>
      <c r="E145" s="6">
        <v>1</v>
      </c>
      <c r="F145" s="6">
        <v>1</v>
      </c>
      <c r="G145" s="6">
        <v>4</v>
      </c>
      <c r="H145" s="6">
        <v>4</v>
      </c>
      <c r="I145" s="6">
        <v>3</v>
      </c>
      <c r="J145" s="6">
        <v>4</v>
      </c>
      <c r="K145" s="6">
        <v>2</v>
      </c>
      <c r="L145" s="6">
        <v>2</v>
      </c>
      <c r="M145" s="6">
        <v>1</v>
      </c>
      <c r="N145" s="6">
        <v>1</v>
      </c>
      <c r="O145" s="6">
        <v>5</v>
      </c>
      <c r="P145" s="6">
        <v>3</v>
      </c>
      <c r="Q145" s="6">
        <v>0</v>
      </c>
      <c r="R145" s="6">
        <v>0</v>
      </c>
      <c r="S145" s="6">
        <v>0</v>
      </c>
      <c r="T145" s="6"/>
      <c r="U145" s="6"/>
      <c r="V145" s="5">
        <f t="shared" si="54"/>
        <v>31</v>
      </c>
    </row>
    <row r="146" spans="1:22" x14ac:dyDescent="0.4">
      <c r="A146" s="7"/>
      <c r="B146" s="46">
        <v>2</v>
      </c>
      <c r="C146" s="24" t="s">
        <v>164</v>
      </c>
      <c r="D146" s="47"/>
      <c r="E146" s="6">
        <v>4</v>
      </c>
      <c r="F146" s="6">
        <v>22</v>
      </c>
      <c r="G146" s="6">
        <v>19</v>
      </c>
      <c r="H146" s="6">
        <v>28</v>
      </c>
      <c r="I146" s="6">
        <v>28</v>
      </c>
      <c r="J146" s="6">
        <v>60</v>
      </c>
      <c r="K146" s="6">
        <v>20</v>
      </c>
      <c r="L146" s="6">
        <v>63</v>
      </c>
      <c r="M146" s="6">
        <v>8</v>
      </c>
      <c r="N146" s="6">
        <v>4</v>
      </c>
      <c r="O146" s="6">
        <v>13</v>
      </c>
      <c r="P146" s="6">
        <v>4</v>
      </c>
      <c r="Q146" s="6">
        <v>3</v>
      </c>
      <c r="R146" s="6">
        <v>0</v>
      </c>
      <c r="S146" s="6">
        <v>0</v>
      </c>
      <c r="T146" s="6"/>
      <c r="U146" s="6"/>
      <c r="V146" s="5">
        <f t="shared" si="54"/>
        <v>276</v>
      </c>
    </row>
    <row r="147" spans="1:22" x14ac:dyDescent="0.4">
      <c r="A147" s="7"/>
      <c r="B147" s="46">
        <v>3</v>
      </c>
      <c r="C147" s="24" t="s">
        <v>165</v>
      </c>
      <c r="D147" s="47"/>
      <c r="E147" s="6">
        <v>1</v>
      </c>
      <c r="F147" s="6">
        <v>0</v>
      </c>
      <c r="G147" s="6">
        <v>0</v>
      </c>
      <c r="H147" s="6">
        <v>3</v>
      </c>
      <c r="I147" s="6">
        <v>0</v>
      </c>
      <c r="J147" s="6">
        <v>0</v>
      </c>
      <c r="K147" s="6">
        <v>1</v>
      </c>
      <c r="L147" s="6">
        <v>0</v>
      </c>
      <c r="M147" s="6">
        <v>0</v>
      </c>
      <c r="N147" s="6">
        <v>0</v>
      </c>
      <c r="O147" s="6">
        <v>1</v>
      </c>
      <c r="P147" s="6">
        <v>0</v>
      </c>
      <c r="Q147" s="6">
        <v>0</v>
      </c>
      <c r="R147" s="6">
        <v>0</v>
      </c>
      <c r="S147" s="6">
        <v>1</v>
      </c>
      <c r="T147" s="6"/>
      <c r="U147" s="6"/>
      <c r="V147" s="5">
        <f t="shared" si="54"/>
        <v>7</v>
      </c>
    </row>
    <row r="148" spans="1:22" x14ac:dyDescent="0.4">
      <c r="A148" s="7"/>
      <c r="B148" s="46">
        <v>4</v>
      </c>
      <c r="C148" s="24" t="s">
        <v>166</v>
      </c>
      <c r="D148" s="47"/>
      <c r="E148" s="6">
        <v>1</v>
      </c>
      <c r="F148" s="6">
        <v>0</v>
      </c>
      <c r="G148" s="6">
        <v>0</v>
      </c>
      <c r="H148" s="6">
        <v>1</v>
      </c>
      <c r="I148" s="6">
        <v>0</v>
      </c>
      <c r="J148" s="6">
        <v>0</v>
      </c>
      <c r="K148" s="6">
        <v>0</v>
      </c>
      <c r="L148" s="6">
        <v>1</v>
      </c>
      <c r="M148" s="6">
        <v>0</v>
      </c>
      <c r="N148" s="6">
        <v>0</v>
      </c>
      <c r="O148" s="6">
        <v>2</v>
      </c>
      <c r="P148" s="6">
        <v>0</v>
      </c>
      <c r="Q148" s="6">
        <v>2</v>
      </c>
      <c r="R148" s="6">
        <v>0</v>
      </c>
      <c r="S148" s="6">
        <v>0</v>
      </c>
      <c r="T148" s="6"/>
      <c r="U148" s="6"/>
      <c r="V148" s="5">
        <f t="shared" si="54"/>
        <v>7</v>
      </c>
    </row>
    <row r="149" spans="1:22" x14ac:dyDescent="0.4">
      <c r="A149" s="7"/>
      <c r="B149" s="46">
        <v>5</v>
      </c>
      <c r="C149" s="24" t="s">
        <v>167</v>
      </c>
      <c r="D149" s="47"/>
      <c r="E149" s="6">
        <v>0</v>
      </c>
      <c r="F149" s="6">
        <v>2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/>
      <c r="U149" s="6"/>
      <c r="V149" s="5">
        <f t="shared" si="54"/>
        <v>2</v>
      </c>
    </row>
    <row r="150" spans="1:22" ht="13.15" customHeight="1" x14ac:dyDescent="0.4">
      <c r="A150" s="7"/>
      <c r="B150" s="46">
        <v>6</v>
      </c>
      <c r="C150" s="24" t="s">
        <v>168</v>
      </c>
      <c r="D150" s="47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1</v>
      </c>
      <c r="O150" s="6">
        <v>0</v>
      </c>
      <c r="P150" s="6">
        <v>0</v>
      </c>
      <c r="Q150" s="6">
        <v>1</v>
      </c>
      <c r="R150" s="6">
        <v>0</v>
      </c>
      <c r="S150" s="6">
        <v>0</v>
      </c>
      <c r="T150" s="6"/>
      <c r="U150" s="6"/>
      <c r="V150" s="5">
        <f t="shared" si="54"/>
        <v>2</v>
      </c>
    </row>
    <row r="151" spans="1:22" x14ac:dyDescent="0.4">
      <c r="A151" s="6" t="s">
        <v>25</v>
      </c>
      <c r="B151" s="52" t="s">
        <v>50</v>
      </c>
      <c r="C151" s="53"/>
      <c r="D151" s="54"/>
      <c r="E151" s="5">
        <f t="shared" ref="E151:V151" si="55">SUM(E144:E150)</f>
        <v>9</v>
      </c>
      <c r="F151" s="5">
        <f t="shared" si="55"/>
        <v>30</v>
      </c>
      <c r="G151" s="5">
        <f t="shared" si="55"/>
        <v>26</v>
      </c>
      <c r="H151" s="5">
        <f t="shared" si="55"/>
        <v>40</v>
      </c>
      <c r="I151" s="5">
        <f t="shared" si="55"/>
        <v>35</v>
      </c>
      <c r="J151" s="5">
        <f t="shared" si="55"/>
        <v>71</v>
      </c>
      <c r="K151" s="5">
        <f t="shared" si="55"/>
        <v>25</v>
      </c>
      <c r="L151" s="5">
        <f t="shared" si="55"/>
        <v>76</v>
      </c>
      <c r="M151" s="5">
        <f t="shared" si="55"/>
        <v>10</v>
      </c>
      <c r="N151" s="5">
        <f t="shared" si="55"/>
        <v>9</v>
      </c>
      <c r="O151" s="5">
        <f t="shared" si="55"/>
        <v>26</v>
      </c>
      <c r="P151" s="5">
        <f t="shared" si="55"/>
        <v>10</v>
      </c>
      <c r="Q151" s="5">
        <f t="shared" si="55"/>
        <v>6</v>
      </c>
      <c r="R151" s="5">
        <f t="shared" si="55"/>
        <v>0</v>
      </c>
      <c r="S151" s="5">
        <f t="shared" si="55"/>
        <v>1</v>
      </c>
      <c r="T151" s="5">
        <f t="shared" si="55"/>
        <v>0</v>
      </c>
      <c r="U151" s="5">
        <f t="shared" si="55"/>
        <v>0</v>
      </c>
      <c r="V151" s="5">
        <f t="shared" si="55"/>
        <v>374</v>
      </c>
    </row>
    <row r="152" spans="1:22" x14ac:dyDescent="0.4">
      <c r="A152" s="55"/>
      <c r="B152" s="56"/>
      <c r="C152" s="56"/>
      <c r="D152" s="56"/>
      <c r="E152" s="5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1:22" x14ac:dyDescent="0.4">
      <c r="A153" s="11" t="s">
        <v>47</v>
      </c>
      <c r="B153" s="17" t="s">
        <v>74</v>
      </c>
      <c r="C153" s="50" t="s">
        <v>75</v>
      </c>
      <c r="D153" s="51"/>
      <c r="E153" s="6">
        <v>1</v>
      </c>
      <c r="F153" s="6">
        <v>1</v>
      </c>
      <c r="G153" s="6">
        <v>0</v>
      </c>
      <c r="H153" s="6">
        <v>0</v>
      </c>
      <c r="I153" s="6">
        <v>2</v>
      </c>
      <c r="J153" s="6">
        <v>0</v>
      </c>
      <c r="K153" s="6">
        <v>0</v>
      </c>
      <c r="L153" s="6">
        <v>1</v>
      </c>
      <c r="M153" s="6">
        <v>1</v>
      </c>
      <c r="N153" s="6">
        <v>0</v>
      </c>
      <c r="O153" s="6">
        <v>7</v>
      </c>
      <c r="P153" s="6">
        <v>3</v>
      </c>
      <c r="Q153" s="6">
        <v>2</v>
      </c>
      <c r="R153" s="6">
        <v>0</v>
      </c>
      <c r="S153" s="6">
        <v>0</v>
      </c>
      <c r="T153" s="6"/>
      <c r="U153" s="6"/>
      <c r="V153" s="5">
        <f t="shared" ref="V153:V155" si="56">SUM(E153:U153)</f>
        <v>18</v>
      </c>
    </row>
    <row r="154" spans="1:22" x14ac:dyDescent="0.4">
      <c r="A154" s="11" t="s">
        <v>49</v>
      </c>
      <c r="B154" s="46">
        <v>1</v>
      </c>
      <c r="C154" s="24" t="s">
        <v>169</v>
      </c>
      <c r="D154" s="47"/>
      <c r="E154" s="6">
        <v>0</v>
      </c>
      <c r="F154" s="6">
        <v>1</v>
      </c>
      <c r="G154" s="6">
        <v>0</v>
      </c>
      <c r="H154" s="6">
        <v>0</v>
      </c>
      <c r="I154" s="6">
        <v>0</v>
      </c>
      <c r="J154" s="6">
        <v>1</v>
      </c>
      <c r="K154" s="6">
        <v>0</v>
      </c>
      <c r="L154" s="6">
        <v>0</v>
      </c>
      <c r="M154" s="6">
        <v>0</v>
      </c>
      <c r="N154" s="6">
        <v>1</v>
      </c>
      <c r="O154" s="6">
        <v>0</v>
      </c>
      <c r="P154" s="6">
        <v>3</v>
      </c>
      <c r="Q154" s="6">
        <v>0</v>
      </c>
      <c r="R154" s="6">
        <v>0</v>
      </c>
      <c r="S154" s="6">
        <v>0</v>
      </c>
      <c r="T154" s="6"/>
      <c r="U154" s="6"/>
      <c r="V154" s="5">
        <f t="shared" si="56"/>
        <v>6</v>
      </c>
    </row>
    <row r="155" spans="1:22" x14ac:dyDescent="0.4">
      <c r="A155" s="7"/>
      <c r="B155" s="46">
        <v>2</v>
      </c>
      <c r="C155" s="24" t="s">
        <v>170</v>
      </c>
      <c r="D155" s="47"/>
      <c r="E155" s="6">
        <v>0</v>
      </c>
      <c r="F155" s="6">
        <v>2</v>
      </c>
      <c r="G155" s="6">
        <v>0</v>
      </c>
      <c r="H155" s="6">
        <v>1</v>
      </c>
      <c r="I155" s="6">
        <v>0</v>
      </c>
      <c r="J155" s="6">
        <v>2</v>
      </c>
      <c r="K155" s="6">
        <v>2</v>
      </c>
      <c r="L155" s="6">
        <v>1</v>
      </c>
      <c r="M155" s="6">
        <v>1</v>
      </c>
      <c r="N155" s="6">
        <v>1</v>
      </c>
      <c r="O155" s="6">
        <v>1</v>
      </c>
      <c r="P155" s="6">
        <v>2</v>
      </c>
      <c r="Q155" s="6">
        <v>1</v>
      </c>
      <c r="R155" s="6">
        <v>0</v>
      </c>
      <c r="S155" s="6">
        <v>0</v>
      </c>
      <c r="T155" s="6"/>
      <c r="U155" s="6"/>
      <c r="V155" s="5">
        <f t="shared" si="56"/>
        <v>14</v>
      </c>
    </row>
    <row r="156" spans="1:22" x14ac:dyDescent="0.4">
      <c r="A156" s="6" t="s">
        <v>25</v>
      </c>
      <c r="B156" s="52" t="s">
        <v>50</v>
      </c>
      <c r="C156" s="53"/>
      <c r="D156" s="54"/>
      <c r="E156" s="5">
        <f t="shared" ref="E156:V156" si="57">SUM(E153:E155)</f>
        <v>1</v>
      </c>
      <c r="F156" s="5">
        <f t="shared" si="57"/>
        <v>4</v>
      </c>
      <c r="G156" s="5">
        <f t="shared" si="57"/>
        <v>0</v>
      </c>
      <c r="H156" s="5">
        <f t="shared" si="57"/>
        <v>1</v>
      </c>
      <c r="I156" s="5">
        <f t="shared" si="57"/>
        <v>2</v>
      </c>
      <c r="J156" s="5">
        <f t="shared" si="57"/>
        <v>3</v>
      </c>
      <c r="K156" s="5">
        <f t="shared" si="57"/>
        <v>2</v>
      </c>
      <c r="L156" s="5">
        <f t="shared" si="57"/>
        <v>2</v>
      </c>
      <c r="M156" s="5">
        <f t="shared" si="57"/>
        <v>2</v>
      </c>
      <c r="N156" s="5">
        <f t="shared" si="57"/>
        <v>2</v>
      </c>
      <c r="O156" s="5">
        <f t="shared" si="57"/>
        <v>8</v>
      </c>
      <c r="P156" s="5">
        <f t="shared" si="57"/>
        <v>8</v>
      </c>
      <c r="Q156" s="5">
        <f t="shared" si="57"/>
        <v>3</v>
      </c>
      <c r="R156" s="5">
        <f t="shared" si="57"/>
        <v>0</v>
      </c>
      <c r="S156" s="5">
        <f t="shared" si="57"/>
        <v>0</v>
      </c>
      <c r="T156" s="5">
        <f t="shared" si="57"/>
        <v>0</v>
      </c>
      <c r="U156" s="5">
        <f t="shared" si="57"/>
        <v>0</v>
      </c>
      <c r="V156" s="5">
        <f t="shared" si="57"/>
        <v>38</v>
      </c>
    </row>
    <row r="157" spans="1:22" x14ac:dyDescent="0.4">
      <c r="A157" s="55"/>
      <c r="B157" s="56"/>
      <c r="C157" s="56"/>
      <c r="D157" s="56"/>
      <c r="E157" s="5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 spans="1:22" x14ac:dyDescent="0.4">
      <c r="A158" s="11" t="s">
        <v>47</v>
      </c>
      <c r="B158" s="17" t="s">
        <v>76</v>
      </c>
      <c r="C158" s="50" t="s">
        <v>77</v>
      </c>
      <c r="D158" s="51"/>
      <c r="E158" s="6">
        <v>0</v>
      </c>
      <c r="F158" s="6">
        <v>0</v>
      </c>
      <c r="G158" s="6">
        <v>0</v>
      </c>
      <c r="H158" s="6">
        <v>0</v>
      </c>
      <c r="I158" s="6">
        <v>1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/>
      <c r="U158" s="6"/>
      <c r="V158" s="5">
        <f t="shared" ref="V158:V161" si="58">SUM(E158:U158)</f>
        <v>1</v>
      </c>
    </row>
    <row r="159" spans="1:22" x14ac:dyDescent="0.4">
      <c r="A159" s="11" t="s">
        <v>49</v>
      </c>
      <c r="B159" s="46">
        <v>1</v>
      </c>
      <c r="C159" s="24" t="s">
        <v>171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1</v>
      </c>
      <c r="P159" s="6">
        <v>1</v>
      </c>
      <c r="Q159" s="6">
        <v>1</v>
      </c>
      <c r="R159" s="6">
        <v>0</v>
      </c>
      <c r="S159" s="6">
        <v>0</v>
      </c>
      <c r="T159" s="6"/>
      <c r="U159" s="6"/>
      <c r="V159" s="5">
        <f t="shared" si="58"/>
        <v>3</v>
      </c>
    </row>
    <row r="160" spans="1:22" x14ac:dyDescent="0.4">
      <c r="A160" s="7"/>
      <c r="B160" s="46">
        <v>2</v>
      </c>
      <c r="C160" s="24" t="s">
        <v>172</v>
      </c>
      <c r="D160" s="45"/>
      <c r="E160" s="6">
        <v>1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1</v>
      </c>
      <c r="L160" s="6">
        <v>0</v>
      </c>
      <c r="M160" s="6">
        <v>0</v>
      </c>
      <c r="N160" s="6">
        <v>0</v>
      </c>
      <c r="O160" s="6">
        <v>0</v>
      </c>
      <c r="P160" s="6">
        <v>1</v>
      </c>
      <c r="Q160" s="6">
        <v>0</v>
      </c>
      <c r="R160" s="6">
        <v>0</v>
      </c>
      <c r="S160" s="6">
        <v>0</v>
      </c>
      <c r="T160" s="6"/>
      <c r="U160" s="6"/>
      <c r="V160" s="5">
        <f t="shared" si="58"/>
        <v>3</v>
      </c>
    </row>
    <row r="161" spans="1:22" x14ac:dyDescent="0.4">
      <c r="A161" s="7"/>
      <c r="B161" s="46">
        <v>3</v>
      </c>
      <c r="C161" s="24" t="s">
        <v>173</v>
      </c>
      <c r="D161" s="45"/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1</v>
      </c>
      <c r="N161" s="6">
        <v>0</v>
      </c>
      <c r="O161" s="6">
        <v>0</v>
      </c>
      <c r="P161" s="6">
        <v>0</v>
      </c>
      <c r="Q161" s="6">
        <v>0</v>
      </c>
      <c r="R161" s="6">
        <v>1</v>
      </c>
      <c r="S161" s="6">
        <v>0</v>
      </c>
      <c r="T161" s="6"/>
      <c r="U161" s="6"/>
      <c r="V161" s="5">
        <f t="shared" si="58"/>
        <v>2</v>
      </c>
    </row>
    <row r="162" spans="1:22" x14ac:dyDescent="0.4">
      <c r="A162" s="6" t="s">
        <v>25</v>
      </c>
      <c r="B162" s="52" t="s">
        <v>50</v>
      </c>
      <c r="C162" s="53"/>
      <c r="D162" s="54"/>
      <c r="E162" s="5">
        <f t="shared" ref="E162:V162" si="59">SUM(E158:E161)</f>
        <v>1</v>
      </c>
      <c r="F162" s="5">
        <f t="shared" si="59"/>
        <v>0</v>
      </c>
      <c r="G162" s="5">
        <f t="shared" si="59"/>
        <v>0</v>
      </c>
      <c r="H162" s="5">
        <f t="shared" si="59"/>
        <v>0</v>
      </c>
      <c r="I162" s="5">
        <f t="shared" si="59"/>
        <v>1</v>
      </c>
      <c r="J162" s="5">
        <f t="shared" si="59"/>
        <v>0</v>
      </c>
      <c r="K162" s="5">
        <f t="shared" si="59"/>
        <v>1</v>
      </c>
      <c r="L162" s="5">
        <f t="shared" si="59"/>
        <v>0</v>
      </c>
      <c r="M162" s="5">
        <f t="shared" si="59"/>
        <v>1</v>
      </c>
      <c r="N162" s="5">
        <f t="shared" si="59"/>
        <v>0</v>
      </c>
      <c r="O162" s="5">
        <f t="shared" si="59"/>
        <v>1</v>
      </c>
      <c r="P162" s="5">
        <f t="shared" si="59"/>
        <v>2</v>
      </c>
      <c r="Q162" s="5">
        <f t="shared" si="59"/>
        <v>1</v>
      </c>
      <c r="R162" s="5">
        <f t="shared" si="59"/>
        <v>1</v>
      </c>
      <c r="S162" s="5">
        <f t="shared" si="59"/>
        <v>0</v>
      </c>
      <c r="T162" s="5">
        <f t="shared" si="59"/>
        <v>0</v>
      </c>
      <c r="U162" s="5">
        <f t="shared" si="59"/>
        <v>0</v>
      </c>
      <c r="V162" s="5">
        <f t="shared" si="59"/>
        <v>9</v>
      </c>
    </row>
    <row r="163" spans="1:22" x14ac:dyDescent="0.4">
      <c r="A163" s="55"/>
      <c r="B163" s="56"/>
      <c r="C163" s="56"/>
      <c r="D163" s="56"/>
      <c r="E163" s="5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 spans="1:22" x14ac:dyDescent="0.4">
      <c r="A164" s="11" t="s">
        <v>47</v>
      </c>
      <c r="B164" s="17" t="s">
        <v>78</v>
      </c>
      <c r="C164" s="50" t="s">
        <v>79</v>
      </c>
      <c r="D164" s="51"/>
      <c r="E164" s="6">
        <v>0</v>
      </c>
      <c r="F164" s="6">
        <v>0</v>
      </c>
      <c r="G164" s="6">
        <v>0</v>
      </c>
      <c r="H164" s="6">
        <v>1</v>
      </c>
      <c r="I164" s="6">
        <v>0</v>
      </c>
      <c r="J164" s="6">
        <v>0</v>
      </c>
      <c r="K164" s="6">
        <v>3</v>
      </c>
      <c r="L164" s="6">
        <v>0</v>
      </c>
      <c r="M164" s="6">
        <v>3</v>
      </c>
      <c r="N164" s="6">
        <v>4</v>
      </c>
      <c r="O164" s="6">
        <v>1</v>
      </c>
      <c r="P164" s="6">
        <v>1</v>
      </c>
      <c r="Q164" s="6">
        <v>1</v>
      </c>
      <c r="R164" s="6">
        <v>1</v>
      </c>
      <c r="S164" s="6">
        <v>0</v>
      </c>
      <c r="T164" s="6"/>
      <c r="U164" s="6"/>
      <c r="V164" s="5">
        <f t="shared" ref="V164:V170" si="60">SUM(E164:U164)</f>
        <v>15</v>
      </c>
    </row>
    <row r="165" spans="1:22" x14ac:dyDescent="0.4">
      <c r="A165" s="11" t="s">
        <v>49</v>
      </c>
      <c r="B165" s="46">
        <v>1</v>
      </c>
      <c r="C165" s="24" t="s">
        <v>174</v>
      </c>
      <c r="D165" s="47"/>
      <c r="E165" s="6">
        <v>0</v>
      </c>
      <c r="F165" s="6">
        <v>0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2</v>
      </c>
      <c r="N165" s="6">
        <v>4</v>
      </c>
      <c r="O165" s="6">
        <v>0</v>
      </c>
      <c r="P165" s="6">
        <v>2</v>
      </c>
      <c r="Q165" s="6">
        <v>0</v>
      </c>
      <c r="R165" s="6">
        <v>1</v>
      </c>
      <c r="S165" s="6">
        <v>0</v>
      </c>
      <c r="T165" s="6">
        <v>1</v>
      </c>
      <c r="U165" s="6"/>
      <c r="V165" s="5">
        <f t="shared" si="60"/>
        <v>11</v>
      </c>
    </row>
    <row r="166" spans="1:22" x14ac:dyDescent="0.4">
      <c r="A166" s="7"/>
      <c r="B166" s="46">
        <v>2</v>
      </c>
      <c r="C166" s="24" t="s">
        <v>175</v>
      </c>
      <c r="D166" s="47"/>
      <c r="E166" s="6">
        <v>0</v>
      </c>
      <c r="F166" s="6">
        <v>1</v>
      </c>
      <c r="G166" s="6">
        <v>0</v>
      </c>
      <c r="H166" s="6">
        <v>0</v>
      </c>
      <c r="I166" s="6">
        <v>2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2</v>
      </c>
      <c r="Q166" s="6">
        <v>1</v>
      </c>
      <c r="R166" s="6">
        <v>0</v>
      </c>
      <c r="S166" s="6">
        <v>1</v>
      </c>
      <c r="T166" s="6"/>
      <c r="U166" s="6"/>
      <c r="V166" s="5">
        <f t="shared" si="60"/>
        <v>7</v>
      </c>
    </row>
    <row r="167" spans="1:22" ht="13.15" customHeight="1" x14ac:dyDescent="0.4">
      <c r="A167" s="7"/>
      <c r="B167" s="46">
        <v>3</v>
      </c>
      <c r="C167" s="24" t="s">
        <v>176</v>
      </c>
      <c r="D167" s="47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1</v>
      </c>
      <c r="O167" s="6">
        <v>0</v>
      </c>
      <c r="P167" s="6">
        <v>0</v>
      </c>
      <c r="Q167" s="6">
        <v>0</v>
      </c>
      <c r="R167" s="6">
        <v>1</v>
      </c>
      <c r="S167" s="6">
        <v>0</v>
      </c>
      <c r="T167" s="6"/>
      <c r="U167" s="6"/>
      <c r="V167" s="5">
        <f t="shared" si="60"/>
        <v>2</v>
      </c>
    </row>
    <row r="168" spans="1:22" x14ac:dyDescent="0.4">
      <c r="A168" s="7"/>
      <c r="B168" s="46">
        <v>4</v>
      </c>
      <c r="C168" s="24" t="s">
        <v>177</v>
      </c>
      <c r="D168" s="47"/>
      <c r="E168" s="6">
        <v>0</v>
      </c>
      <c r="F168" s="6">
        <v>0</v>
      </c>
      <c r="G168" s="6">
        <v>0</v>
      </c>
      <c r="H168" s="6">
        <v>1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/>
      <c r="U168" s="6"/>
      <c r="V168" s="5">
        <f t="shared" si="60"/>
        <v>1</v>
      </c>
    </row>
    <row r="169" spans="1:22" ht="12.75" customHeight="1" x14ac:dyDescent="0.4">
      <c r="A169" s="7"/>
      <c r="B169" s="46">
        <v>5</v>
      </c>
      <c r="C169" s="24" t="s">
        <v>178</v>
      </c>
      <c r="D169" s="47"/>
      <c r="E169" s="6">
        <v>0</v>
      </c>
      <c r="F169" s="6">
        <v>0</v>
      </c>
      <c r="G169" s="6">
        <v>0</v>
      </c>
      <c r="H169" s="6">
        <v>1</v>
      </c>
      <c r="I169" s="6">
        <v>1</v>
      </c>
      <c r="J169" s="6">
        <v>1</v>
      </c>
      <c r="K169" s="6">
        <v>1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/>
      <c r="U169" s="6"/>
      <c r="V169" s="5">
        <f t="shared" si="60"/>
        <v>4</v>
      </c>
    </row>
    <row r="170" spans="1:22" x14ac:dyDescent="0.4">
      <c r="A170" s="7"/>
      <c r="B170" s="46">
        <v>6</v>
      </c>
      <c r="C170" s="24" t="s">
        <v>179</v>
      </c>
      <c r="D170" s="47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/>
      <c r="U170" s="6"/>
      <c r="V170" s="5">
        <f t="shared" si="60"/>
        <v>0</v>
      </c>
    </row>
    <row r="171" spans="1:22" ht="12.75" customHeight="1" x14ac:dyDescent="0.4">
      <c r="A171" s="6" t="s">
        <v>25</v>
      </c>
      <c r="B171" s="52" t="s">
        <v>50</v>
      </c>
      <c r="C171" s="53"/>
      <c r="D171" s="54"/>
      <c r="E171" s="5">
        <f t="shared" ref="E171:V171" si="61">SUM(E164:E170)</f>
        <v>0</v>
      </c>
      <c r="F171" s="5">
        <f t="shared" si="61"/>
        <v>1</v>
      </c>
      <c r="G171" s="5">
        <f t="shared" si="61"/>
        <v>1</v>
      </c>
      <c r="H171" s="5">
        <f t="shared" si="61"/>
        <v>3</v>
      </c>
      <c r="I171" s="5">
        <f t="shared" si="61"/>
        <v>3</v>
      </c>
      <c r="J171" s="5">
        <f t="shared" si="61"/>
        <v>1</v>
      </c>
      <c r="K171" s="5">
        <f t="shared" si="61"/>
        <v>4</v>
      </c>
      <c r="L171" s="5">
        <f t="shared" si="61"/>
        <v>0</v>
      </c>
      <c r="M171" s="5">
        <f t="shared" si="61"/>
        <v>5</v>
      </c>
      <c r="N171" s="5">
        <f t="shared" si="61"/>
        <v>9</v>
      </c>
      <c r="O171" s="5">
        <f t="shared" si="61"/>
        <v>1</v>
      </c>
      <c r="P171" s="5">
        <f t="shared" si="61"/>
        <v>5</v>
      </c>
      <c r="Q171" s="5">
        <f t="shared" si="61"/>
        <v>2</v>
      </c>
      <c r="R171" s="5">
        <f t="shared" si="61"/>
        <v>3</v>
      </c>
      <c r="S171" s="5">
        <f t="shared" si="61"/>
        <v>1</v>
      </c>
      <c r="T171" s="5">
        <f t="shared" si="61"/>
        <v>1</v>
      </c>
      <c r="U171" s="5">
        <f t="shared" si="61"/>
        <v>0</v>
      </c>
      <c r="V171" s="5">
        <f t="shared" si="61"/>
        <v>40</v>
      </c>
    </row>
    <row r="172" spans="1:22" x14ac:dyDescent="0.4">
      <c r="A172" s="55"/>
      <c r="B172" s="56"/>
      <c r="C172" s="56"/>
      <c r="D172" s="56"/>
      <c r="E172" s="57"/>
    </row>
    <row r="173" spans="1:22" x14ac:dyDescent="0.4">
      <c r="A173" s="11" t="s">
        <v>47</v>
      </c>
      <c r="B173" s="17" t="s">
        <v>80</v>
      </c>
      <c r="C173" s="50" t="s">
        <v>81</v>
      </c>
      <c r="D173" s="51"/>
      <c r="E173" s="6">
        <v>4</v>
      </c>
      <c r="F173" s="6">
        <v>0</v>
      </c>
      <c r="G173" s="6">
        <v>0</v>
      </c>
      <c r="H173" s="6">
        <v>1</v>
      </c>
      <c r="I173" s="6">
        <v>0</v>
      </c>
      <c r="J173" s="6">
        <v>0</v>
      </c>
      <c r="K173" s="6">
        <v>2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/>
      <c r="U173" s="6"/>
      <c r="V173" s="5">
        <f t="shared" ref="V173:V175" si="62">SUM(E173:U173)</f>
        <v>7</v>
      </c>
    </row>
    <row r="174" spans="1:22" x14ac:dyDescent="0.4">
      <c r="A174" s="11" t="s">
        <v>49</v>
      </c>
      <c r="B174" s="46">
        <v>1</v>
      </c>
      <c r="C174" s="24" t="s">
        <v>180</v>
      </c>
      <c r="D174" s="45"/>
      <c r="E174" s="6">
        <v>2</v>
      </c>
      <c r="F174" s="6">
        <v>0</v>
      </c>
      <c r="G174" s="6">
        <v>1</v>
      </c>
      <c r="H174" s="6">
        <v>0</v>
      </c>
      <c r="I174" s="6">
        <v>0</v>
      </c>
      <c r="J174" s="6">
        <v>0</v>
      </c>
      <c r="K174" s="6">
        <v>2</v>
      </c>
      <c r="L174" s="6">
        <v>0</v>
      </c>
      <c r="M174" s="6">
        <v>0</v>
      </c>
      <c r="N174" s="6">
        <v>3</v>
      </c>
      <c r="O174" s="6">
        <v>0</v>
      </c>
      <c r="P174" s="6">
        <v>1</v>
      </c>
      <c r="Q174" s="6">
        <v>2</v>
      </c>
      <c r="R174" s="6">
        <v>0</v>
      </c>
      <c r="S174" s="6">
        <v>0</v>
      </c>
      <c r="T174" s="6"/>
      <c r="U174" s="6"/>
      <c r="V174" s="5">
        <f t="shared" si="62"/>
        <v>11</v>
      </c>
    </row>
    <row r="175" spans="1:22" x14ac:dyDescent="0.4">
      <c r="A175" s="7"/>
      <c r="B175" s="46">
        <v>2</v>
      </c>
      <c r="C175" s="24" t="s">
        <v>181</v>
      </c>
      <c r="D175" s="47"/>
      <c r="E175" s="6">
        <v>1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1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/>
      <c r="U175" s="6"/>
      <c r="V175" s="5">
        <f t="shared" si="62"/>
        <v>2</v>
      </c>
    </row>
    <row r="176" spans="1:22" x14ac:dyDescent="0.4">
      <c r="A176" s="6" t="s">
        <v>25</v>
      </c>
      <c r="B176" s="52" t="s">
        <v>50</v>
      </c>
      <c r="C176" s="53"/>
      <c r="D176" s="54"/>
      <c r="E176" s="5">
        <f t="shared" ref="E176:V176" si="63">SUM(E173:E175)</f>
        <v>7</v>
      </c>
      <c r="F176" s="5">
        <f t="shared" si="63"/>
        <v>0</v>
      </c>
      <c r="G176" s="5">
        <f t="shared" si="63"/>
        <v>1</v>
      </c>
      <c r="H176" s="5">
        <f t="shared" si="63"/>
        <v>1</v>
      </c>
      <c r="I176" s="5">
        <f t="shared" si="63"/>
        <v>0</v>
      </c>
      <c r="J176" s="5">
        <f t="shared" si="63"/>
        <v>0</v>
      </c>
      <c r="K176" s="5">
        <f t="shared" si="63"/>
        <v>4</v>
      </c>
      <c r="L176" s="5">
        <f t="shared" si="63"/>
        <v>0</v>
      </c>
      <c r="M176" s="5">
        <f t="shared" si="63"/>
        <v>1</v>
      </c>
      <c r="N176" s="5">
        <f t="shared" si="63"/>
        <v>3</v>
      </c>
      <c r="O176" s="5">
        <f t="shared" si="63"/>
        <v>0</v>
      </c>
      <c r="P176" s="5">
        <f t="shared" si="63"/>
        <v>1</v>
      </c>
      <c r="Q176" s="5">
        <f t="shared" si="63"/>
        <v>2</v>
      </c>
      <c r="R176" s="5">
        <f t="shared" si="63"/>
        <v>0</v>
      </c>
      <c r="S176" s="5">
        <f t="shared" si="63"/>
        <v>0</v>
      </c>
      <c r="T176" s="5">
        <f t="shared" si="63"/>
        <v>0</v>
      </c>
      <c r="U176" s="5">
        <f t="shared" si="63"/>
        <v>0</v>
      </c>
      <c r="V176" s="5">
        <f t="shared" si="63"/>
        <v>20</v>
      </c>
    </row>
    <row r="178" spans="1:22" x14ac:dyDescent="0.4">
      <c r="A178" s="16" t="s">
        <v>82</v>
      </c>
      <c r="B178" s="60" t="s">
        <v>83</v>
      </c>
      <c r="C178" s="61"/>
      <c r="D178" s="62"/>
      <c r="E178" s="5"/>
      <c r="F178" s="5"/>
      <c r="G178" s="5"/>
      <c r="H178" s="5"/>
      <c r="I178" s="5"/>
      <c r="J178" s="5"/>
      <c r="K178" s="5"/>
      <c r="L178" s="5"/>
      <c r="M178" s="5"/>
      <c r="N178" s="15"/>
      <c r="O178" s="15"/>
      <c r="P178" s="15"/>
      <c r="Q178" s="15"/>
      <c r="R178" s="15"/>
      <c r="S178" s="15"/>
      <c r="T178" s="15"/>
      <c r="U178" s="15"/>
      <c r="V178" s="5"/>
    </row>
    <row r="179" spans="1:22" x14ac:dyDescent="0.4">
      <c r="A179" s="16"/>
      <c r="B179" s="19" t="s">
        <v>84</v>
      </c>
      <c r="C179" s="58" t="s">
        <v>85</v>
      </c>
      <c r="D179" s="59"/>
      <c r="E179" s="6">
        <f t="shared" ref="E179:U179" si="64">E52+E61+E70+E79+E88+E91+E98+E107+E113+E122+E125+E134+E142+E151+E156+E162+E171+E176</f>
        <v>221</v>
      </c>
      <c r="F179" s="6">
        <f t="shared" si="64"/>
        <v>210</v>
      </c>
      <c r="G179" s="6">
        <f t="shared" si="64"/>
        <v>225</v>
      </c>
      <c r="H179" s="6">
        <f t="shared" si="64"/>
        <v>207</v>
      </c>
      <c r="I179" s="6">
        <f t="shared" si="64"/>
        <v>220</v>
      </c>
      <c r="J179" s="6">
        <f t="shared" si="64"/>
        <v>214</v>
      </c>
      <c r="K179" s="6">
        <f t="shared" si="64"/>
        <v>232</v>
      </c>
      <c r="L179" s="6">
        <f t="shared" si="64"/>
        <v>216</v>
      </c>
      <c r="M179" s="6">
        <f t="shared" si="64"/>
        <v>239</v>
      </c>
      <c r="N179" s="6">
        <f t="shared" si="64"/>
        <v>201</v>
      </c>
      <c r="O179" s="6">
        <f t="shared" si="64"/>
        <v>219</v>
      </c>
      <c r="P179" s="6">
        <f t="shared" si="64"/>
        <v>171</v>
      </c>
      <c r="Q179" s="6">
        <f t="shared" si="64"/>
        <v>131</v>
      </c>
      <c r="R179" s="6">
        <f t="shared" si="64"/>
        <v>56</v>
      </c>
      <c r="S179" s="6">
        <f t="shared" si="64"/>
        <v>8</v>
      </c>
      <c r="T179" s="6">
        <f t="shared" si="64"/>
        <v>28</v>
      </c>
      <c r="U179" s="6">
        <f t="shared" si="64"/>
        <v>14</v>
      </c>
      <c r="V179" s="5">
        <f>SUM(E179:U179)</f>
        <v>2812</v>
      </c>
    </row>
    <row r="180" spans="1:22" x14ac:dyDescent="0.4">
      <c r="A180" s="13"/>
      <c r="B180" s="19" t="s">
        <v>86</v>
      </c>
      <c r="C180" s="58" t="s">
        <v>87</v>
      </c>
      <c r="D180" s="59"/>
      <c r="E180" s="6">
        <v>18</v>
      </c>
      <c r="F180" s="6">
        <v>21</v>
      </c>
      <c r="G180" s="6">
        <v>18</v>
      </c>
      <c r="H180" s="6">
        <v>17</v>
      </c>
      <c r="I180" s="6">
        <v>18</v>
      </c>
      <c r="J180" s="6">
        <v>17</v>
      </c>
      <c r="K180" s="6">
        <v>19</v>
      </c>
      <c r="L180" s="6">
        <v>16</v>
      </c>
      <c r="M180" s="6">
        <v>6</v>
      </c>
      <c r="N180" s="6">
        <v>21</v>
      </c>
      <c r="O180" s="6">
        <v>27</v>
      </c>
      <c r="P180" s="6">
        <v>26</v>
      </c>
      <c r="Q180" s="6">
        <v>20</v>
      </c>
      <c r="R180" s="6">
        <v>4</v>
      </c>
      <c r="S180" s="6">
        <v>1</v>
      </c>
      <c r="T180" s="6">
        <v>1</v>
      </c>
      <c r="U180" s="6">
        <v>0</v>
      </c>
      <c r="V180" s="5">
        <f>SUM(E180:U180)</f>
        <v>250</v>
      </c>
    </row>
    <row r="181" spans="1:22" x14ac:dyDescent="0.4">
      <c r="A181" s="14"/>
      <c r="B181" s="19" t="s">
        <v>88</v>
      </c>
      <c r="C181" s="58" t="s">
        <v>89</v>
      </c>
      <c r="D181" s="59"/>
      <c r="E181" s="5">
        <f>SUM(E179:E180)</f>
        <v>239</v>
      </c>
      <c r="F181" s="5">
        <f t="shared" ref="F181:U181" si="65">SUM(F179:F180)</f>
        <v>231</v>
      </c>
      <c r="G181" s="5">
        <f t="shared" si="65"/>
        <v>243</v>
      </c>
      <c r="H181" s="5">
        <f t="shared" si="65"/>
        <v>224</v>
      </c>
      <c r="I181" s="5">
        <f t="shared" si="65"/>
        <v>238</v>
      </c>
      <c r="J181" s="5">
        <f t="shared" si="65"/>
        <v>231</v>
      </c>
      <c r="K181" s="5">
        <f t="shared" si="65"/>
        <v>251</v>
      </c>
      <c r="L181" s="5">
        <f t="shared" si="65"/>
        <v>232</v>
      </c>
      <c r="M181" s="5">
        <f t="shared" si="65"/>
        <v>245</v>
      </c>
      <c r="N181" s="5">
        <f t="shared" ref="N181:P181" si="66">SUM(N179:N180)</f>
        <v>222</v>
      </c>
      <c r="O181" s="5">
        <f t="shared" si="66"/>
        <v>246</v>
      </c>
      <c r="P181" s="5">
        <f t="shared" si="66"/>
        <v>197</v>
      </c>
      <c r="Q181" s="5">
        <f t="shared" si="65"/>
        <v>151</v>
      </c>
      <c r="R181" s="5">
        <f t="shared" si="65"/>
        <v>60</v>
      </c>
      <c r="S181" s="5">
        <f t="shared" ref="S181" si="67">SUM(S179:S180)</f>
        <v>9</v>
      </c>
      <c r="T181" s="5">
        <f t="shared" si="65"/>
        <v>29</v>
      </c>
      <c r="U181" s="5">
        <f t="shared" si="65"/>
        <v>14</v>
      </c>
      <c r="V181" s="5">
        <f>SUM(E181:U181)</f>
        <v>3062</v>
      </c>
    </row>
  </sheetData>
  <mergeCells count="86">
    <mergeCell ref="C181:D181"/>
    <mergeCell ref="A172:E172"/>
    <mergeCell ref="C173:D173"/>
    <mergeCell ref="B176:D176"/>
    <mergeCell ref="B178:D178"/>
    <mergeCell ref="C179:D179"/>
    <mergeCell ref="C180:D180"/>
    <mergeCell ref="B171:D171"/>
    <mergeCell ref="A143:E143"/>
    <mergeCell ref="C144:D144"/>
    <mergeCell ref="B151:D151"/>
    <mergeCell ref="A152:E152"/>
    <mergeCell ref="C153:D153"/>
    <mergeCell ref="B156:D156"/>
    <mergeCell ref="A157:E157"/>
    <mergeCell ref="C158:D158"/>
    <mergeCell ref="B162:D162"/>
    <mergeCell ref="A163:E163"/>
    <mergeCell ref="C164:D164"/>
    <mergeCell ref="B142:D142"/>
    <mergeCell ref="A114:E114"/>
    <mergeCell ref="C115:D115"/>
    <mergeCell ref="B122:D122"/>
    <mergeCell ref="A123:E123"/>
    <mergeCell ref="C124:D124"/>
    <mergeCell ref="B125:D125"/>
    <mergeCell ref="A126:E126"/>
    <mergeCell ref="C127:D127"/>
    <mergeCell ref="B134:D134"/>
    <mergeCell ref="A135:E135"/>
    <mergeCell ref="C136:D136"/>
    <mergeCell ref="B113:D113"/>
    <mergeCell ref="A89:E89"/>
    <mergeCell ref="C90:D90"/>
    <mergeCell ref="B91:D91"/>
    <mergeCell ref="A92:E92"/>
    <mergeCell ref="C93:D93"/>
    <mergeCell ref="B98:D98"/>
    <mergeCell ref="A99:E99"/>
    <mergeCell ref="C100:D100"/>
    <mergeCell ref="B107:D107"/>
    <mergeCell ref="A108:E108"/>
    <mergeCell ref="C109:D109"/>
    <mergeCell ref="B88:D88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E37:I37"/>
    <mergeCell ref="B38:D38"/>
    <mergeCell ref="B39:C41"/>
    <mergeCell ref="A42:D42"/>
    <mergeCell ref="E42:I42"/>
    <mergeCell ref="A31:D31"/>
    <mergeCell ref="B32:D32"/>
    <mergeCell ref="B33:D33"/>
    <mergeCell ref="B52:D52"/>
    <mergeCell ref="B35:D35"/>
    <mergeCell ref="B36:D36"/>
    <mergeCell ref="A37:D37"/>
    <mergeCell ref="B43:D43"/>
    <mergeCell ref="A44:D44"/>
    <mergeCell ref="C45:D45"/>
    <mergeCell ref="B34:D34"/>
    <mergeCell ref="A17:D17"/>
    <mergeCell ref="B12:D12"/>
    <mergeCell ref="E12:U12"/>
    <mergeCell ref="V12:V13"/>
    <mergeCell ref="B13:D13"/>
    <mergeCell ref="B14:C16"/>
    <mergeCell ref="B25:B27"/>
    <mergeCell ref="C25:C27"/>
    <mergeCell ref="B28:B30"/>
    <mergeCell ref="B18:D18"/>
    <mergeCell ref="B19:B21"/>
    <mergeCell ref="C19:C21"/>
    <mergeCell ref="B22:B24"/>
    <mergeCell ref="C22:C24"/>
    <mergeCell ref="C28:C30"/>
  </mergeCells>
  <phoneticPr fontId="8" type="noConversion"/>
  <conditionalFormatting sqref="E14:U15">
    <cfRule type="containsBlanks" dxfId="27" priority="20">
      <formula>LEN(TRIM(E14))=0</formula>
    </cfRule>
  </conditionalFormatting>
  <conditionalFormatting sqref="E19:U20">
    <cfRule type="containsBlanks" dxfId="26" priority="23">
      <formula>LEN(TRIM(E19))=0</formula>
    </cfRule>
  </conditionalFormatting>
  <conditionalFormatting sqref="E22:U23 E25:U26 E33:U33 E35:U35 E39:U40">
    <cfRule type="containsBlanks" dxfId="25" priority="24">
      <formula>LEN(TRIM(E22))=0</formula>
    </cfRule>
  </conditionalFormatting>
  <conditionalFormatting sqref="E30:U30">
    <cfRule type="expression" dxfId="24" priority="25">
      <formula>E30&lt;&gt;E47</formula>
    </cfRule>
    <cfRule type="expression" dxfId="23" priority="26">
      <formula>E30&lt;&gt;E34</formula>
    </cfRule>
  </conditionalFormatting>
  <conditionalFormatting sqref="E34:U34">
    <cfRule type="expression" dxfId="22" priority="71">
      <formula>E30&lt;&gt;E34</formula>
    </cfRule>
    <cfRule type="expression" dxfId="21" priority="72">
      <formula>E30=E34</formula>
    </cfRule>
    <cfRule type="expression" dxfId="20" priority="73">
      <formula>E34&lt;&gt;E30</formula>
    </cfRule>
    <cfRule type="expression" dxfId="19" priority="74">
      <formula>E34&lt;&gt;#REF!</formula>
    </cfRule>
  </conditionalFormatting>
  <conditionalFormatting sqref="E45:U51">
    <cfRule type="containsBlanks" dxfId="18" priority="19">
      <formula>LEN(TRIM(E45))=0</formula>
    </cfRule>
  </conditionalFormatting>
  <conditionalFormatting sqref="E54:U60">
    <cfRule type="containsBlanks" dxfId="17" priority="18">
      <formula>LEN(TRIM(E54))=0</formula>
    </cfRule>
  </conditionalFormatting>
  <conditionalFormatting sqref="E63:U69">
    <cfRule type="containsBlanks" dxfId="16" priority="17">
      <formula>LEN(TRIM(E63))=0</formula>
    </cfRule>
  </conditionalFormatting>
  <conditionalFormatting sqref="E72:U78">
    <cfRule type="containsBlanks" dxfId="15" priority="16">
      <formula>LEN(TRIM(E72))=0</formula>
    </cfRule>
  </conditionalFormatting>
  <conditionalFormatting sqref="E81:U87">
    <cfRule type="containsBlanks" dxfId="14" priority="15">
      <formula>LEN(TRIM(E81))=0</formula>
    </cfRule>
  </conditionalFormatting>
  <conditionalFormatting sqref="E90:U90">
    <cfRule type="containsBlanks" dxfId="13" priority="14">
      <formula>LEN(TRIM(E90))=0</formula>
    </cfRule>
  </conditionalFormatting>
  <conditionalFormatting sqref="E93:U97">
    <cfRule type="containsBlanks" dxfId="12" priority="1">
      <formula>LEN(TRIM(E93))=0</formula>
    </cfRule>
  </conditionalFormatting>
  <conditionalFormatting sqref="E100:U106">
    <cfRule type="containsBlanks" dxfId="11" priority="13">
      <formula>LEN(TRIM(E100))=0</formula>
    </cfRule>
  </conditionalFormatting>
  <conditionalFormatting sqref="E109:U112">
    <cfRule type="containsBlanks" dxfId="10" priority="12">
      <formula>LEN(TRIM(E109))=0</formula>
    </cfRule>
  </conditionalFormatting>
  <conditionalFormatting sqref="E115:U121">
    <cfRule type="containsBlanks" dxfId="9" priority="3">
      <formula>LEN(TRIM(E115))=0</formula>
    </cfRule>
  </conditionalFormatting>
  <conditionalFormatting sqref="E124:U124">
    <cfRule type="containsBlanks" dxfId="8" priority="11">
      <formula>LEN(TRIM(E124))=0</formula>
    </cfRule>
  </conditionalFormatting>
  <conditionalFormatting sqref="E127:U133">
    <cfRule type="containsBlanks" dxfId="7" priority="10">
      <formula>LEN(TRIM(E127))=0</formula>
    </cfRule>
  </conditionalFormatting>
  <conditionalFormatting sqref="E136:U141">
    <cfRule type="containsBlanks" dxfId="6" priority="9">
      <formula>LEN(TRIM(E136))=0</formula>
    </cfRule>
  </conditionalFormatting>
  <conditionalFormatting sqref="E144:U150">
    <cfRule type="containsBlanks" dxfId="5" priority="8">
      <formula>LEN(TRIM(E144))=0</formula>
    </cfRule>
  </conditionalFormatting>
  <conditionalFormatting sqref="E153:U155">
    <cfRule type="containsBlanks" dxfId="4" priority="7">
      <formula>LEN(TRIM(E153))=0</formula>
    </cfRule>
  </conditionalFormatting>
  <conditionalFormatting sqref="E158:U161">
    <cfRule type="containsBlanks" dxfId="3" priority="6">
      <formula>LEN(TRIM(E158))=0</formula>
    </cfRule>
  </conditionalFormatting>
  <conditionalFormatting sqref="E164:U170">
    <cfRule type="containsBlanks" dxfId="2" priority="5">
      <formula>LEN(TRIM(E164))=0</formula>
    </cfRule>
  </conditionalFormatting>
  <conditionalFormatting sqref="E173:U175">
    <cfRule type="containsBlanks" dxfId="1" priority="4">
      <formula>LEN(TRIM(E173))=0</formula>
    </cfRule>
  </conditionalFormatting>
  <conditionalFormatting sqref="E179:U180">
    <cfRule type="containsBlanks" dxfId="0" priority="2">
      <formula>LEN(TRIM(E179))=0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DPRD KABUPATEN</vt:lpstr>
      <vt:lpstr>BOYOLANGU</vt:lpstr>
      <vt:lpstr>GIRI</vt:lpstr>
      <vt:lpstr>GROGOL</vt:lpstr>
      <vt:lpstr>JAMBESARI</vt:lpstr>
      <vt:lpstr>MOJOPANGGUNG</vt:lpstr>
      <vt:lpstr>PENATABAN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dokumentasi.kpubwi@gmail.com</cp:lastModifiedBy>
  <dcterms:created xsi:type="dcterms:W3CDTF">2026-01-14T02:26:01Z</dcterms:created>
  <dcterms:modified xsi:type="dcterms:W3CDTF">2026-01-25T23:39:40Z</dcterms:modified>
</cp:coreProperties>
</file>