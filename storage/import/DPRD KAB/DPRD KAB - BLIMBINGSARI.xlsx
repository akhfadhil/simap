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PRD KAB" sheetId="1" r:id="rId4"/>
    <sheet state="visible" name="BADEAN" sheetId="2" r:id="rId5"/>
    <sheet state="visible" name="BLIMBINGSARI" sheetId="3" r:id="rId6"/>
    <sheet state="visible" name="BOMO" sheetId="4" r:id="rId7"/>
    <sheet state="visible" name="GINTANGAN" sheetId="5" r:id="rId8"/>
    <sheet state="visible" name="KALIGUNG" sheetId="6" r:id="rId9"/>
    <sheet state="visible" name="KAOTAN" sheetId="7" r:id="rId10"/>
    <sheet state="visible" name="KARANGREJO" sheetId="8" r:id="rId11"/>
    <sheet state="visible" name="PATOMAN" sheetId="9" r:id="rId12"/>
    <sheet state="visible" name="SUKOJATI" sheetId="10" r:id="rId13"/>
    <sheet state="visible" name="WATUKEBO" sheetId="11" r:id="rId14"/>
  </sheets>
  <definedNames/>
  <calcPr/>
  <extLst>
    <ext uri="GoogleSheetsCustomDataVersion2">
      <go:sheetsCustomData xmlns:go="http://customooxmlschemas.google.com/" r:id="rId15" roundtripDataChecksum="iNS2bVtQ3IdUEutJpYfyKWEVg0DjCgdaVGh5vLSYYnQ="/>
    </ext>
  </extLst>
</workbook>
</file>

<file path=xl/sharedStrings.xml><?xml version="1.0" encoding="utf-8"?>
<sst xmlns="http://schemas.openxmlformats.org/spreadsheetml/2006/main" count="4758" uniqueCount="267">
  <si>
    <t>Kecamatan</t>
  </si>
  <si>
    <t>BLIMBINGSARI</t>
  </si>
  <si>
    <t>Kabupaten</t>
  </si>
  <si>
    <t>BANYUWANGI</t>
  </si>
  <si>
    <t>Provinsi</t>
  </si>
  <si>
    <t>JAWA TIMUR</t>
  </si>
  <si>
    <t>I</t>
  </si>
  <si>
    <t>DATA PEMILIH DAN PENGGUNAAN HAK PILIH</t>
  </si>
  <si>
    <t>JUMLAH AKHIR</t>
  </si>
  <si>
    <t>A</t>
  </si>
  <si>
    <t xml:space="preserve">DATA PEMILIH  </t>
  </si>
  <si>
    <t>Jumlah Pemilih dalam Daftar Pemilih Tetap (DPT)</t>
  </si>
  <si>
    <t>LK</t>
  </si>
  <si>
    <t>PR</t>
  </si>
  <si>
    <t>JML</t>
  </si>
  <si>
    <t>B</t>
  </si>
  <si>
    <t>PENGGUNA HAK PILIH</t>
  </si>
  <si>
    <t>1.</t>
  </si>
  <si>
    <t>Jumlah pengguna hak pilih dalam Daftar Pemilih Tetap (DPT)</t>
  </si>
  <si>
    <t>2.</t>
  </si>
  <si>
    <t>Jumlah pengguna hak pilih dalam Daftar Pemilih Tambahan (DPTb)</t>
  </si>
  <si>
    <t>3.</t>
  </si>
  <si>
    <t>Jumlah pengguna hak pilih dalam Daftar Pemilih Khusus (DPK)</t>
  </si>
  <si>
    <t>4.</t>
  </si>
  <si>
    <t>Jumlah Pengguna Hak Pilih (B.1+B.2+B.3)</t>
  </si>
  <si>
    <t>II</t>
  </si>
  <si>
    <t>DATA PENGGUNAAN SURAT SUARA</t>
  </si>
  <si>
    <t>Jumlah surat suara yang diterima, termasuk surat suara cadangan 2,5% dari DPT</t>
  </si>
  <si>
    <t>Jumlah surat suara yang digunakan</t>
  </si>
  <si>
    <t>Jumlah surat suara dikembalikan oleh pemilih (karena rusak atau keliru coblos)</t>
  </si>
  <si>
    <t>Jumlah surat suara yang tidak digunakan/tidak terpakai, termasuk sisa surat suara cadangan</t>
  </si>
  <si>
    <t>III</t>
  </si>
  <si>
    <t>DATA PEMILIH DISABILITAS</t>
  </si>
  <si>
    <t>Jumlah seluruh Pemilih disabilitas yang menggunakan hak pilih</t>
  </si>
  <si>
    <t>IV</t>
  </si>
  <si>
    <t>DATA RINCIAN PEROLEHAN SUARA PASANGAN CALON BUPATI DAN WAKIL BUPATI</t>
  </si>
  <si>
    <t>NOMOR DAN NAMA CALON</t>
  </si>
  <si>
    <t>A.1</t>
  </si>
  <si>
    <t>Partai Kebangkitan Bangsa</t>
  </si>
  <si>
    <t>A.2</t>
  </si>
  <si>
    <t>1. ARVY RIZALDY, S.E.</t>
  </si>
  <si>
    <t>2. HILMI MUSTOFA</t>
  </si>
  <si>
    <t>3. RUSDIANAH, A.Ma.Pd</t>
  </si>
  <si>
    <t>4. USMAN YUSUF</t>
  </si>
  <si>
    <t>5. SA`ADAH</t>
  </si>
  <si>
    <t>6. FARIHA HASANATUL AMALIA</t>
  </si>
  <si>
    <t>JUMLAH SUARA SAH PARTAI POLITIK DAN CALON (A1 + A2)</t>
  </si>
  <si>
    <t>Partai Gerakan Indonesia Raya</t>
  </si>
  <si>
    <t>1. SUPARMAN EDY H.</t>
  </si>
  <si>
    <t>2. NASIKHUN AMIN</t>
  </si>
  <si>
    <t>3. ENY SETIAWATI, S.H</t>
  </si>
  <si>
    <t>4. H. ABDUL QODIR, S.H., M.H.</t>
  </si>
  <si>
    <t>5. FATMAWATI, S.E.</t>
  </si>
  <si>
    <t>6. NANANG NUR AHMADI</t>
  </si>
  <si>
    <t>Partai Demokrasi Indonesia Perjuangan</t>
  </si>
  <si>
    <t>1. WAGIANTO</t>
  </si>
  <si>
    <t>2. ERIK TRISDIANTANA</t>
  </si>
  <si>
    <t>3. NI GALUH PARWATI</t>
  </si>
  <si>
    <t>4. DZULFIKAR REZKY</t>
  </si>
  <si>
    <t>5. AMALIYAH</t>
  </si>
  <si>
    <t>6. PUTRI PARAMITA CIPTASARI</t>
  </si>
  <si>
    <t>Partai Golongan Karya</t>
  </si>
  <si>
    <t>1. MARIFATUL KAMILA, S.H.</t>
  </si>
  <si>
    <t>2. KUSWORO, S.Pd.</t>
  </si>
  <si>
    <t>3. DIDIK SANTOSO, S.Pd.</t>
  </si>
  <si>
    <t>4. ASYIQ RAHMATULLAH, H</t>
  </si>
  <si>
    <t>5. ARI PANGESTI</t>
  </si>
  <si>
    <t>6. H. HANDOKO, S.E.</t>
  </si>
  <si>
    <t>5.</t>
  </si>
  <si>
    <t>Partai NasDem</t>
  </si>
  <si>
    <t>1. H. EDI PURNOMO</t>
  </si>
  <si>
    <t>2. I GEDE SUDRO WICANO</t>
  </si>
  <si>
    <t>3. TRI MARVILA SUKMANA, S.H.</t>
  </si>
  <si>
    <t>4. ISLAMIYAH LESTARI</t>
  </si>
  <si>
    <t>5. LUTFI WAHYUDI</t>
  </si>
  <si>
    <t>6. AGUS MAIDO</t>
  </si>
  <si>
    <t>6.</t>
  </si>
  <si>
    <t>Partai Buruh</t>
  </si>
  <si>
    <t>1. ERWIN SANTOSO</t>
  </si>
  <si>
    <t>7.</t>
  </si>
  <si>
    <t>Partai Gelombang Rakyat Indonesia</t>
  </si>
  <si>
    <t>1. SUTRISNO</t>
  </si>
  <si>
    <t>2. MOH. ANNAS</t>
  </si>
  <si>
    <t>3. NI MADE AYU PUNIARSI</t>
  </si>
  <si>
    <t>4. HENDRA KURNIAWAN</t>
  </si>
  <si>
    <t>5. DEASY GITTA PERWITASARI</t>
  </si>
  <si>
    <t>6. SUPRAPTO</t>
  </si>
  <si>
    <t>8.</t>
  </si>
  <si>
    <t>Partai Keadilan Sejahtera</t>
  </si>
  <si>
    <t>1. ARIEF WAHYUDI DJ, S.T.</t>
  </si>
  <si>
    <t>2. SUMAJI</t>
  </si>
  <si>
    <t>3. LILIK MARIYANA, S.Pd.</t>
  </si>
  <si>
    <t>4. M. HARUN</t>
  </si>
  <si>
    <t>5. SHOLIHIN, S.P.</t>
  </si>
  <si>
    <t>6. HANIFATUL IMTITSAL, S.K.M.</t>
  </si>
  <si>
    <t>9.</t>
  </si>
  <si>
    <t>Partai Kebangkitan Nusantara</t>
  </si>
  <si>
    <t>1. AGUS TARMIDI</t>
  </si>
  <si>
    <t>2. DIAH AYU PERDANA</t>
  </si>
  <si>
    <t>3. SITI SUNARSIH</t>
  </si>
  <si>
    <t>4. DIDIK BASUKI</t>
  </si>
  <si>
    <t>5. PUTRI SARI APRILIA</t>
  </si>
  <si>
    <t>6. H. IMAM SOLIKHIN, B.E.</t>
  </si>
  <si>
    <t>10.</t>
  </si>
  <si>
    <t>Partai Hati Nurani Rakyat</t>
  </si>
  <si>
    <t>1. JUMLANI, S.Pd.</t>
  </si>
  <si>
    <t>2. FIRDA DIAN PRAMANA, S.Pd.</t>
  </si>
  <si>
    <t>3. ENDANG SRI UTAMININGSIH, M.M.Kes.</t>
  </si>
  <si>
    <t>4. SULISTIYOWATI, S.E.I.</t>
  </si>
  <si>
    <t>5. GUNAWAN, S.H.</t>
  </si>
  <si>
    <t>6. ROHIDAH, S.T.</t>
  </si>
  <si>
    <t>11.</t>
  </si>
  <si>
    <t>Partai Garda Republik Indonesia</t>
  </si>
  <si>
    <t>-</t>
  </si>
  <si>
    <t>12.</t>
  </si>
  <si>
    <t>Partai Amanat Nasional</t>
  </si>
  <si>
    <t>1. TIMBUL, S.T., M.M.</t>
  </si>
  <si>
    <t>2. DIDIK BUDIHARTO</t>
  </si>
  <si>
    <t>3. RICA DEBY ARIANTI</t>
  </si>
  <si>
    <t>4. PRANOTO</t>
  </si>
  <si>
    <t>5. NOVIA DEWI MAHARANY</t>
  </si>
  <si>
    <t>6. H. SIGIT WIDIYANTO, S.E.</t>
  </si>
  <si>
    <t>13.</t>
  </si>
  <si>
    <t>Partai Bulan Bintang</t>
  </si>
  <si>
    <t>1. NURHADI</t>
  </si>
  <si>
    <t>2. GEDE YANTI ARBAWA</t>
  </si>
  <si>
    <t>3. NURI PURWANINGSIH</t>
  </si>
  <si>
    <t>4. NILU ARISKA PERMATASARI</t>
  </si>
  <si>
    <t>5. AHMAD HOLILI</t>
  </si>
  <si>
    <t>6. ICHMAN HENRY RISANG</t>
  </si>
  <si>
    <t>14.</t>
  </si>
  <si>
    <t>Partai Demokrat</t>
  </si>
  <si>
    <t>1. A. DANNY KURNIAWAN, S.M.</t>
  </si>
  <si>
    <t>2. MICHAEL EDY HARIYANTO, S.H., M.H.</t>
  </si>
  <si>
    <t>3. LEONA VELESIA</t>
  </si>
  <si>
    <t>4. MUHAMMAD IQBAL ALFANANI</t>
  </si>
  <si>
    <t>5. GARRY OKTAVIAN TARYONO</t>
  </si>
  <si>
    <t>6. SULIS SETYOWATI</t>
  </si>
  <si>
    <t>15.</t>
  </si>
  <si>
    <t>Partai Solidaritas Indonesia</t>
  </si>
  <si>
    <t>1. MOCH. FATHUR ALFIANTO</t>
  </si>
  <si>
    <t>2. ERIZKY NINGTYA BLIMA RAYA</t>
  </si>
  <si>
    <t>16.</t>
  </si>
  <si>
    <t>PARTAI PERINDO</t>
  </si>
  <si>
    <t>1. EKO BANDRIONO</t>
  </si>
  <si>
    <t>2. SUTIYONO</t>
  </si>
  <si>
    <t>3. KHARISMA YUSI RAMADHANI</t>
  </si>
  <si>
    <t>4. SUGENG WICAKSONO</t>
  </si>
  <si>
    <t>5. HERY KURNIAWAN</t>
  </si>
  <si>
    <t>6. DINDA PUTRI FAYZA</t>
  </si>
  <si>
    <t>17.</t>
  </si>
  <si>
    <t>Partai Persatuan Pembangunan</t>
  </si>
  <si>
    <t>1. SYAHRONI</t>
  </si>
  <si>
    <t>2. H. MULYADI, S.Ag.</t>
  </si>
  <si>
    <t>3. INDRIANI SRI LESTARI</t>
  </si>
  <si>
    <t>4. ADHADI SUSILO, S.T.</t>
  </si>
  <si>
    <t>5. MUHAMMAD KHOLILURROHMAN</t>
  </si>
  <si>
    <t>6. INDIRA DIAS AYU VRISTANTI, A.Md.Kom.</t>
  </si>
  <si>
    <t>18.</t>
  </si>
  <si>
    <t>Partai Ummat</t>
  </si>
  <si>
    <t>1. MAULANA AFFANDI</t>
  </si>
  <si>
    <t>V</t>
  </si>
  <si>
    <t>DATA SUARA SAH DAN TIDAK SAH</t>
  </si>
  <si>
    <t>A.</t>
  </si>
  <si>
    <t>JUMLAH SELURUH SUARA SAH</t>
  </si>
  <si>
    <t>B.</t>
  </si>
  <si>
    <t>JUMLAH SUARA TIDAK SAH</t>
  </si>
  <si>
    <t>C.</t>
  </si>
  <si>
    <t>JUMLAH SELURUH SUARA SAH DAN SUARA TIDAK SAH (V.A + V.B)</t>
  </si>
  <si>
    <t>Kelurahan</t>
  </si>
  <si>
    <t>BADEAN</t>
  </si>
  <si>
    <t>TPS 001</t>
  </si>
  <si>
    <t>TPS 002</t>
  </si>
  <si>
    <t>TPS 003</t>
  </si>
  <si>
    <t>TPS 004</t>
  </si>
  <si>
    <t>TPS 005</t>
  </si>
  <si>
    <t>TPS 006</t>
  </si>
  <si>
    <t>TPS 007</t>
  </si>
  <si>
    <t>TPS 008</t>
  </si>
  <si>
    <t>TPS 009</t>
  </si>
  <si>
    <t>TPS 010</t>
  </si>
  <si>
    <t>TPS 011</t>
  </si>
  <si>
    <t>TPS 012</t>
  </si>
  <si>
    <t>TPS 013</t>
  </si>
  <si>
    <t>TPS 014</t>
  </si>
  <si>
    <t>TPS 015</t>
  </si>
  <si>
    <t>TPS 016</t>
  </si>
  <si>
    <t>TPS 017</t>
  </si>
  <si>
    <t>TPS 018</t>
  </si>
  <si>
    <t>TPS 019</t>
  </si>
  <si>
    <t>TPS 020</t>
  </si>
  <si>
    <t>TPS 021</t>
  </si>
  <si>
    <t>TPS 022</t>
  </si>
  <si>
    <t>TPS 023</t>
  </si>
  <si>
    <t>BOMO</t>
  </si>
  <si>
    <t>GINTANGAN</t>
  </si>
  <si>
    <t>KALIGUNG</t>
  </si>
  <si>
    <t>TPS 901</t>
  </si>
  <si>
    <t>TPS 902</t>
  </si>
  <si>
    <t>8</t>
  </si>
  <si>
    <t>7</t>
  </si>
  <si>
    <t>5</t>
  </si>
  <si>
    <t>2</t>
  </si>
  <si>
    <t>6</t>
  </si>
  <si>
    <t>10</t>
  </si>
  <si>
    <t>3</t>
  </si>
  <si>
    <t>0</t>
  </si>
  <si>
    <t>47</t>
  </si>
  <si>
    <t>27</t>
  </si>
  <si>
    <t>14</t>
  </si>
  <si>
    <t>17</t>
  </si>
  <si>
    <t>45</t>
  </si>
  <si>
    <t>37</t>
  </si>
  <si>
    <t>24</t>
  </si>
  <si>
    <t>9</t>
  </si>
  <si>
    <t>31</t>
  </si>
  <si>
    <t>1</t>
  </si>
  <si>
    <t>4</t>
  </si>
  <si>
    <t>12</t>
  </si>
  <si>
    <t>20</t>
  </si>
  <si>
    <t>21</t>
  </si>
  <si>
    <t>15</t>
  </si>
  <si>
    <t>29</t>
  </si>
  <si>
    <t>38</t>
  </si>
  <si>
    <t>78</t>
  </si>
  <si>
    <t>23</t>
  </si>
  <si>
    <t>58</t>
  </si>
  <si>
    <t>53</t>
  </si>
  <si>
    <t>26</t>
  </si>
  <si>
    <t>48</t>
  </si>
  <si>
    <t>35</t>
  </si>
  <si>
    <t>19</t>
  </si>
  <si>
    <t>28</t>
  </si>
  <si>
    <t>32</t>
  </si>
  <si>
    <t>16</t>
  </si>
  <si>
    <t>13</t>
  </si>
  <si>
    <t>34</t>
  </si>
  <si>
    <t>25</t>
  </si>
  <si>
    <t>43</t>
  </si>
  <si>
    <t>44</t>
  </si>
  <si>
    <t>KAOTAN</t>
  </si>
  <si>
    <t>33</t>
  </si>
  <si>
    <t>36</t>
  </si>
  <si>
    <t>18</t>
  </si>
  <si>
    <t>11</t>
  </si>
  <si>
    <t>51</t>
  </si>
  <si>
    <t>100</t>
  </si>
  <si>
    <t>80</t>
  </si>
  <si>
    <t>50</t>
  </si>
  <si>
    <t>91</t>
  </si>
  <si>
    <t>107</t>
  </si>
  <si>
    <t>129</t>
  </si>
  <si>
    <t>119</t>
  </si>
  <si>
    <t>83</t>
  </si>
  <si>
    <t>KARANGREJO</t>
  </si>
  <si>
    <t>PATOMAN</t>
  </si>
  <si>
    <t>SUKOJATI</t>
  </si>
  <si>
    <t>WATUKEBO</t>
  </si>
  <si>
    <t>TPS 024</t>
  </si>
  <si>
    <t>TPS 025</t>
  </si>
  <si>
    <t>TPS 026</t>
  </si>
  <si>
    <t>TPS 027</t>
  </si>
  <si>
    <t>TPS 028</t>
  </si>
  <si>
    <t>TPS 029</t>
  </si>
  <si>
    <t>TPS 030</t>
  </si>
  <si>
    <t>TPS 031</t>
  </si>
  <si>
    <t>TPS 032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</si>
</sst>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Calibri"/>
      <scheme val="minor"/>
    </font>
    <font>
      <b/>
      <sz val="10.0"/>
      <color theme="1"/>
      <name val="Bookman Old Style"/>
    </font>
    <font>
      <sz val="10.0"/>
      <color theme="1"/>
      <name val="Arial"/>
    </font>
    <font>
      <sz val="10.0"/>
      <color theme="1"/>
      <name val="Bookman Old Style"/>
    </font>
    <font>
      <sz val="10.0"/>
      <color rgb="FF000000"/>
      <name val="Bookman Old Style"/>
    </font>
    <font/>
    <font>
      <b/>
      <sz val="10.0"/>
      <color rgb="FF000000"/>
      <name val="Bookman Old Style"/>
    </font>
    <font>
      <sz val="10.0"/>
      <color rgb="FF000000"/>
      <name val="Calibri"/>
    </font>
    <font>
      <color theme="1"/>
      <name val="Bookman Old Style"/>
    </font>
    <font>
      <b/>
      <color theme="1"/>
      <name val="Bookman Old Style"/>
    </font>
    <font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  <fill>
      <patternFill patternType="solid">
        <fgColor rgb="FF00B050"/>
        <bgColor rgb="FF00B05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1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0" fillId="0" fontId="3" numFmtId="3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4" numFmtId="0" xfId="0" applyFont="1"/>
    <xf borderId="0" fillId="0" fontId="1" numFmtId="3" xfId="0" applyAlignment="1" applyFont="1" applyNumberFormat="1">
      <alignment horizontal="center"/>
    </xf>
    <xf borderId="0" fillId="0" fontId="3" numFmtId="0" xfId="0" applyAlignment="1" applyFont="1">
      <alignment vertical="center"/>
    </xf>
    <xf borderId="0" fillId="0" fontId="2" numFmtId="3" xfId="0" applyFont="1" applyNumberFormat="1"/>
    <xf borderId="0" fillId="0" fontId="1" numFmtId="0" xfId="0" applyAlignment="1" applyFont="1">
      <alignment horizontal="left" shrinkToFit="0" vertical="center" wrapText="1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shrinkToFit="0" vertical="center" wrapText="1"/>
    </xf>
    <xf borderId="3" fillId="0" fontId="5" numFmtId="0" xfId="0" applyBorder="1" applyFont="1"/>
    <xf borderId="4" fillId="0" fontId="5" numFmtId="0" xfId="0" applyBorder="1" applyFont="1"/>
    <xf borderId="5" fillId="0" fontId="1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left" shrinkToFit="0" vertical="center" wrapText="1"/>
    </xf>
    <xf borderId="7" fillId="0" fontId="5" numFmtId="0" xfId="0" applyBorder="1" applyFont="1"/>
    <xf borderId="5" fillId="0" fontId="3" numFmtId="0" xfId="0" applyAlignment="1" applyBorder="1" applyFont="1">
      <alignment horizontal="left" shrinkToFit="0" vertical="center" wrapText="1"/>
    </xf>
    <xf borderId="8" fillId="0" fontId="5" numFmtId="0" xfId="0" applyBorder="1" applyFont="1"/>
    <xf borderId="2" fillId="0" fontId="3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2" fillId="0" fontId="1" numFmtId="0" xfId="0" applyAlignment="1" applyBorder="1" applyFont="1">
      <alignment horizontal="center" vertical="center"/>
    </xf>
    <xf borderId="11" fillId="0" fontId="3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 shrinkToFit="0" vertical="center" wrapText="1"/>
    </xf>
    <xf borderId="11" fillId="0" fontId="3" numFmtId="0" xfId="0" applyAlignment="1" applyBorder="1" applyFont="1">
      <alignment shrinkToFit="0" vertical="center" wrapText="1"/>
    </xf>
    <xf borderId="12" fillId="0" fontId="3" numFmtId="0" xfId="0" applyAlignment="1" applyBorder="1" applyFont="1">
      <alignment horizontal="center" vertical="center"/>
    </xf>
    <xf borderId="12" fillId="0" fontId="5" numFmtId="0" xfId="0" applyBorder="1" applyFont="1"/>
    <xf borderId="12" fillId="0" fontId="1" numFmtId="0" xfId="0" applyAlignment="1" applyBorder="1" applyFont="1">
      <alignment horizontal="center" vertical="center"/>
    </xf>
    <xf borderId="13" fillId="0" fontId="5" numFmtId="0" xfId="0" applyBorder="1" applyFont="1"/>
    <xf borderId="8" fillId="0" fontId="1" numFmtId="0" xfId="0" applyAlignment="1" applyBorder="1" applyFont="1">
      <alignment horizontal="center" shrinkToFit="0" vertical="center" wrapText="1"/>
    </xf>
    <xf borderId="11" fillId="0" fontId="1" numFmtId="0" xfId="0" applyAlignment="1" applyBorder="1" applyFont="1">
      <alignment shrinkToFit="0" vertical="center" wrapText="1"/>
    </xf>
    <xf borderId="6" fillId="0" fontId="3" numFmtId="0" xfId="0" applyAlignment="1" applyBorder="1" applyFont="1">
      <alignment vertical="center"/>
    </xf>
    <xf borderId="3" fillId="0" fontId="3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center" vertical="center"/>
    </xf>
    <xf borderId="11" fillId="0" fontId="1" numFmtId="0" xfId="0" applyAlignment="1" applyBorder="1" applyFont="1">
      <alignment horizontal="center" vertical="center"/>
    </xf>
    <xf borderId="14" fillId="0" fontId="3" numFmtId="0" xfId="0" applyAlignment="1" applyBorder="1" applyFont="1">
      <alignment horizontal="left" shrinkToFit="0" vertical="center" wrapText="1"/>
    </xf>
    <xf borderId="15" fillId="0" fontId="5" numFmtId="0" xfId="0" applyBorder="1" applyFont="1"/>
    <xf borderId="7" fillId="0" fontId="3" numFmtId="0" xfId="0" applyAlignment="1" applyBorder="1" applyFont="1">
      <alignment horizontal="center" vertical="center"/>
    </xf>
    <xf borderId="14" fillId="0" fontId="5" numFmtId="0" xfId="0" applyBorder="1" applyFont="1"/>
    <xf borderId="2" fillId="0" fontId="1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shrinkToFit="0" vertical="center" wrapText="1"/>
    </xf>
    <xf borderId="16" fillId="2" fontId="3" numFmtId="0" xfId="0" applyAlignment="1" applyBorder="1" applyFill="1" applyFont="1">
      <alignment horizontal="center" vertical="center"/>
    </xf>
    <xf borderId="17" fillId="2" fontId="3" numFmtId="0" xfId="0" applyAlignment="1" applyBorder="1" applyFont="1">
      <alignment horizontal="center" vertical="center"/>
    </xf>
    <xf borderId="17" fillId="2" fontId="2" numFmtId="3" xfId="0" applyBorder="1" applyFont="1" applyNumberFormat="1"/>
    <xf borderId="17" fillId="2" fontId="2" numFmtId="0" xfId="0" applyBorder="1" applyFont="1"/>
    <xf borderId="7" fillId="0" fontId="3" numFmtId="0" xfId="0" applyAlignment="1" applyBorder="1" applyFont="1">
      <alignment vertical="center"/>
    </xf>
    <xf borderId="15" fillId="0" fontId="2" numFmtId="0" xfId="0" applyBorder="1" applyFont="1"/>
    <xf borderId="15" fillId="0" fontId="1" numFmtId="0" xfId="0" applyAlignment="1" applyBorder="1" applyFont="1">
      <alignment horizontal="center" vertical="center"/>
    </xf>
    <xf borderId="4" fillId="0" fontId="2" numFmtId="0" xfId="0" applyBorder="1" applyFont="1"/>
    <xf borderId="4" fillId="0" fontId="3" numFmtId="0" xfId="0" applyAlignment="1" applyBorder="1" applyFont="1">
      <alignment vertical="center"/>
    </xf>
    <xf borderId="4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1" fillId="0" fontId="6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vertical="center"/>
    </xf>
    <xf borderId="1" fillId="0" fontId="7" numFmtId="0" xfId="0" applyBorder="1" applyFont="1"/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vertical="center"/>
    </xf>
    <xf borderId="2" fillId="0" fontId="3" numFmtId="0" xfId="0" applyAlignment="1" applyBorder="1" applyFont="1">
      <alignment vertical="center"/>
    </xf>
    <xf borderId="15" fillId="0" fontId="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0" fontId="10" numFmtId="0" xfId="0" applyBorder="1" applyFont="1"/>
    <xf borderId="1" fillId="3" fontId="9" numFmtId="0" xfId="0" applyAlignment="1" applyBorder="1" applyFill="1" applyFont="1">
      <alignment horizontal="center"/>
    </xf>
    <xf borderId="1" fillId="4" fontId="9" numFmtId="0" xfId="0" applyAlignment="1" applyBorder="1" applyFill="1" applyFont="1">
      <alignment horizontal="center"/>
    </xf>
    <xf borderId="1" fillId="0" fontId="8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center" readingOrder="0"/>
    </xf>
    <xf borderId="2" fillId="0" fontId="10" numFmtId="0" xfId="0" applyBorder="1" applyFont="1"/>
    <xf borderId="1" fillId="0" fontId="8" numFmtId="0" xfId="0" applyAlignment="1" applyBorder="1" applyFont="1">
      <alignment horizontal="center" vertical="bottom"/>
    </xf>
    <xf borderId="1" fillId="0" fontId="9" numFmtId="0" xfId="0" applyAlignment="1" applyBorder="1" applyFont="1">
      <alignment horizontal="center" vertical="bottom"/>
    </xf>
    <xf borderId="1" fillId="0" fontId="10" numFmtId="0" xfId="0" applyAlignment="1" applyBorder="1" applyFont="1">
      <alignment vertical="bottom"/>
    </xf>
    <xf borderId="1" fillId="0" fontId="8" numFmtId="0" xfId="0" applyAlignment="1" applyBorder="1" applyFont="1">
      <alignment horizontal="center" readingOrder="0" vertical="bottom"/>
    </xf>
    <xf borderId="1" fillId="4" fontId="9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bottom"/>
    </xf>
    <xf borderId="1" fillId="3" fontId="9" numFmtId="0" xfId="0" applyAlignment="1" applyBorder="1" applyFont="1">
      <alignment horizontal="center" vertical="bottom"/>
    </xf>
    <xf borderId="1" fillId="4" fontId="9" numFmtId="0" xfId="0" applyAlignment="1" applyBorder="1" applyFont="1">
      <alignment horizontal="center" vertical="bottom"/>
    </xf>
    <xf borderId="1" fillId="4" fontId="9" numFmtId="0" xfId="0" applyAlignment="1" applyBorder="1" applyFont="1">
      <alignment horizontal="center" readingOrder="0" vertical="bottom"/>
    </xf>
    <xf borderId="2" fillId="0" fontId="10" numFmtId="0" xfId="0" applyAlignment="1" applyBorder="1" applyFont="1">
      <alignment vertical="bottom"/>
    </xf>
    <xf borderId="1" fillId="3" fontId="9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3.57"/>
    <col customWidth="1" min="2" max="2" width="4.0"/>
    <col customWidth="1" min="3" max="3" width="64.57"/>
    <col customWidth="1" min="4" max="4" width="6.57"/>
    <col customWidth="1" min="5" max="5" width="18.86"/>
    <col customWidth="1" min="6" max="7" width="10.14"/>
    <col customWidth="1" hidden="1" min="8" max="16" width="10.14"/>
    <col customWidth="1" hidden="1" min="17" max="25" width="8.71"/>
    <col customWidth="1" min="26" max="26" width="8.71"/>
  </cols>
  <sheetData>
    <row r="1" ht="15.0" customHeight="1"/>
    <row r="2" ht="15.0" customHeight="1"/>
    <row r="3" ht="15.0" customHeight="1"/>
    <row r="4" ht="15.0" customHeight="1"/>
    <row r="5" ht="15.75" customHeight="1">
      <c r="F5" s="1"/>
      <c r="G5" s="1"/>
      <c r="H5" s="1"/>
      <c r="I5" s="1"/>
      <c r="J5" s="1"/>
      <c r="K5" s="1"/>
      <c r="L5" s="1"/>
      <c r="M5" s="1"/>
      <c r="N5" s="1"/>
      <c r="O5" s="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F6" s="1"/>
      <c r="G6" s="1"/>
      <c r="H6" s="1"/>
      <c r="I6" s="1"/>
      <c r="J6" s="1"/>
      <c r="K6" s="1"/>
      <c r="L6" s="1"/>
      <c r="M6" s="1"/>
      <c r="N6" s="1"/>
      <c r="O6" s="1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F7" s="5"/>
      <c r="G7" s="5"/>
      <c r="H7" s="5"/>
      <c r="I7" s="5"/>
      <c r="J7" s="5"/>
      <c r="K7" s="5"/>
      <c r="L7" s="5"/>
      <c r="M7" s="5"/>
      <c r="N7" s="5"/>
      <c r="O7" s="5"/>
      <c r="P7" s="6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C8" s="8" t="s">
        <v>0</v>
      </c>
      <c r="D8" s="8" t="s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6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C9" s="8" t="s">
        <v>2</v>
      </c>
      <c r="D9" s="8" t="s">
        <v>3</v>
      </c>
      <c r="F9" s="1"/>
      <c r="G9" s="1"/>
      <c r="H9" s="1"/>
      <c r="I9" s="1"/>
      <c r="J9" s="1"/>
      <c r="K9" s="1"/>
      <c r="L9" s="1"/>
      <c r="M9" s="1"/>
      <c r="N9" s="1"/>
      <c r="O9" s="1"/>
      <c r="P9" s="9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C10" s="8" t="s">
        <v>4</v>
      </c>
      <c r="D10" s="8" t="s">
        <v>5</v>
      </c>
      <c r="F10" s="5"/>
      <c r="G10" s="5"/>
      <c r="H10" s="5"/>
      <c r="I10" s="5"/>
      <c r="J10" s="5"/>
      <c r="K10" s="5"/>
      <c r="L10" s="5"/>
      <c r="M10" s="5"/>
      <c r="N10" s="5"/>
      <c r="O10" s="10"/>
      <c r="P10" s="11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1"/>
      <c r="B11" s="12"/>
      <c r="C11" s="12"/>
      <c r="D11" s="12"/>
      <c r="E11" s="1"/>
      <c r="F11" s="5"/>
      <c r="G11" s="5"/>
      <c r="H11" s="5"/>
      <c r="I11" s="5"/>
      <c r="J11" s="5"/>
      <c r="K11" s="5"/>
      <c r="L11" s="5"/>
      <c r="M11" s="5"/>
      <c r="N11" s="5"/>
      <c r="O11" s="10"/>
      <c r="P11" s="11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13" t="s">
        <v>6</v>
      </c>
      <c r="B12" s="14" t="s">
        <v>7</v>
      </c>
      <c r="C12" s="15"/>
      <c r="D12" s="16"/>
      <c r="E12" s="17" t="s">
        <v>8</v>
      </c>
      <c r="F12" s="18"/>
      <c r="G12" s="5"/>
      <c r="H12" s="5"/>
      <c r="I12" s="5"/>
      <c r="J12" s="5"/>
      <c r="K12" s="5"/>
      <c r="L12" s="5"/>
      <c r="M12" s="5"/>
      <c r="N12" s="5"/>
      <c r="O12" s="5"/>
      <c r="P12" s="6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19" t="s">
        <v>9</v>
      </c>
      <c r="B13" s="20" t="s">
        <v>10</v>
      </c>
      <c r="C13" s="15"/>
      <c r="D13" s="16"/>
      <c r="E13" s="21"/>
      <c r="F13" s="18"/>
      <c r="G13" s="5"/>
      <c r="H13" s="5"/>
      <c r="I13" s="5"/>
      <c r="J13" s="5"/>
      <c r="K13" s="5"/>
      <c r="L13" s="5"/>
      <c r="M13" s="5"/>
      <c r="N13" s="5"/>
      <c r="O13" s="5"/>
      <c r="P13" s="6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18"/>
      <c r="B14" s="22" t="s">
        <v>11</v>
      </c>
      <c r="C14" s="23"/>
      <c r="D14" s="19" t="s">
        <v>12</v>
      </c>
      <c r="E14" s="24">
        <f>BADEAN!AB14+BLIMBINGSARI!U14+BOMO!W14+GINTANGAN!Z14+KALIGUNG!R14+KAOTAN!M14+KARANGREJO!P14+PATOMAN!W14+SUKOJATI!P14+WATUKEBO!AK14</f>
        <v>21865</v>
      </c>
      <c r="F14" s="25"/>
      <c r="G14" s="1"/>
      <c r="H14" s="1"/>
      <c r="I14" s="1"/>
      <c r="J14" s="1"/>
      <c r="K14" s="1"/>
      <c r="L14" s="1"/>
      <c r="M14" s="1"/>
      <c r="N14" s="1"/>
      <c r="O14" s="1"/>
      <c r="P14" s="9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18"/>
      <c r="B15" s="26"/>
      <c r="C15" s="27"/>
      <c r="D15" s="19" t="s">
        <v>13</v>
      </c>
      <c r="E15" s="24">
        <f>BADEAN!AB15+BLIMBINGSARI!U15+BOMO!W15+GINTANGAN!Z15+KALIGUNG!R15+KAOTAN!M15+KARANGREJO!P15+PATOMAN!W15+SUKOJATI!P15+WATUKEBO!AK15</f>
        <v>21891</v>
      </c>
      <c r="F15" s="18"/>
      <c r="G15" s="5"/>
      <c r="H15" s="5"/>
      <c r="I15" s="5"/>
      <c r="J15" s="5"/>
      <c r="K15" s="5"/>
      <c r="L15" s="5"/>
      <c r="M15" s="5"/>
      <c r="N15" s="5"/>
      <c r="O15" s="5"/>
      <c r="P15" s="6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25"/>
      <c r="B16" s="21"/>
      <c r="C16" s="28"/>
      <c r="D16" s="13" t="s">
        <v>14</v>
      </c>
      <c r="E16" s="29">
        <f>SUM(E14:E15)</f>
        <v>43756</v>
      </c>
      <c r="F16" s="18"/>
      <c r="G16" s="5"/>
      <c r="H16" s="5"/>
      <c r="I16" s="5"/>
      <c r="J16" s="5"/>
      <c r="K16" s="5"/>
      <c r="L16" s="5"/>
      <c r="M16" s="5"/>
      <c r="N16" s="5"/>
      <c r="O16" s="5"/>
      <c r="P16" s="6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24"/>
      <c r="B17" s="15"/>
      <c r="C17" s="15"/>
      <c r="D17" s="16"/>
      <c r="E17" s="24"/>
      <c r="F17" s="25"/>
      <c r="G17" s="1"/>
      <c r="H17" s="1"/>
      <c r="I17" s="1"/>
      <c r="J17" s="1"/>
      <c r="K17" s="1"/>
      <c r="L17" s="1"/>
      <c r="M17" s="1"/>
      <c r="N17" s="1"/>
      <c r="O17" s="1"/>
      <c r="P17" s="9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30" t="s">
        <v>15</v>
      </c>
      <c r="B18" s="20" t="s">
        <v>16</v>
      </c>
      <c r="C18" s="15"/>
      <c r="D18" s="16"/>
      <c r="E18" s="24"/>
      <c r="F18" s="18"/>
      <c r="G18" s="5"/>
      <c r="H18" s="5"/>
      <c r="I18" s="5"/>
      <c r="J18" s="5"/>
      <c r="K18" s="5"/>
      <c r="L18" s="5"/>
      <c r="M18" s="5"/>
      <c r="N18" s="5"/>
      <c r="O18" s="5"/>
      <c r="P18" s="6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30"/>
      <c r="B19" s="31" t="s">
        <v>17</v>
      </c>
      <c r="C19" s="32" t="s">
        <v>18</v>
      </c>
      <c r="D19" s="19" t="s">
        <v>12</v>
      </c>
      <c r="E19" s="24">
        <f>BADEAN!AB19+BLIMBINGSARI!U19+BOMO!W19+GINTANGAN!Z19+KALIGUNG!R19+KAOTAN!M19+KARANGREJO!P19+PATOMAN!W19+SUKOJATI!P19+WATUKEBO!AK19</f>
        <v>16216</v>
      </c>
      <c r="F19" s="18"/>
      <c r="G19" s="5"/>
      <c r="H19" s="5"/>
      <c r="I19" s="5"/>
      <c r="J19" s="5"/>
      <c r="K19" s="5"/>
      <c r="L19" s="5"/>
      <c r="M19" s="5"/>
      <c r="N19" s="5"/>
      <c r="O19" s="5"/>
      <c r="P19" s="6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33"/>
      <c r="B20" s="27"/>
      <c r="C20" s="34"/>
      <c r="D20" s="19" t="s">
        <v>13</v>
      </c>
      <c r="E20" s="24">
        <f>BADEAN!AB20+BLIMBINGSARI!U20+BOMO!W20+GINTANGAN!Z20+KALIGUNG!R20+KAOTAN!M20+KARANGREJO!P20+PATOMAN!W20+SUKOJATI!P20+WATUKEBO!AK20</f>
        <v>17851</v>
      </c>
      <c r="F20" s="25"/>
      <c r="G20" s="1"/>
      <c r="H20" s="1"/>
      <c r="I20" s="1"/>
      <c r="J20" s="1"/>
      <c r="K20" s="1"/>
      <c r="L20" s="1"/>
      <c r="M20" s="1"/>
      <c r="N20" s="1"/>
      <c r="O20" s="1"/>
      <c r="P20" s="9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35"/>
      <c r="B21" s="28"/>
      <c r="C21" s="36"/>
      <c r="D21" s="13" t="s">
        <v>14</v>
      </c>
      <c r="E21" s="29">
        <f>SUM(E19:E20)</f>
        <v>34067</v>
      </c>
      <c r="F21" s="25"/>
      <c r="G21" s="1"/>
      <c r="H21" s="1"/>
      <c r="I21" s="1"/>
      <c r="J21" s="1"/>
      <c r="K21" s="1"/>
      <c r="L21" s="1"/>
      <c r="M21" s="1"/>
      <c r="N21" s="1"/>
      <c r="O21" s="1"/>
      <c r="P21" s="9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33"/>
      <c r="B22" s="31" t="s">
        <v>19</v>
      </c>
      <c r="C22" s="32" t="s">
        <v>20</v>
      </c>
      <c r="D22" s="19" t="s">
        <v>12</v>
      </c>
      <c r="E22" s="24">
        <f>BADEAN!AB22+BLIMBINGSARI!U22+BOMO!W22+GINTANGAN!Z22+KALIGUNG!R22+KAOTAN!M22+KARANGREJO!P22+PATOMAN!W22+SUKOJATI!P22+WATUKEBO!AK22</f>
        <v>75</v>
      </c>
      <c r="F22" s="25"/>
      <c r="G22" s="1"/>
      <c r="H22" s="1"/>
      <c r="I22" s="1"/>
      <c r="J22" s="1"/>
      <c r="K22" s="1"/>
      <c r="L22" s="1"/>
      <c r="M22" s="1"/>
      <c r="N22" s="1"/>
      <c r="O22" s="1"/>
      <c r="P22" s="9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33"/>
      <c r="B23" s="27"/>
      <c r="C23" s="34"/>
      <c r="D23" s="19" t="s">
        <v>13</v>
      </c>
      <c r="E23" s="24">
        <f>BADEAN!AB23+BLIMBINGSARI!U23+BOMO!W23+GINTANGAN!Z23+KALIGUNG!R23+KAOTAN!M23+KARANGREJO!P23+PATOMAN!W23+SUKOJATI!P23+WATUKEBO!AK23</f>
        <v>17</v>
      </c>
      <c r="F23" s="25"/>
      <c r="G23" s="1"/>
      <c r="H23" s="1"/>
      <c r="I23" s="1"/>
      <c r="J23" s="1"/>
      <c r="K23" s="1"/>
      <c r="L23" s="1"/>
      <c r="M23" s="1"/>
      <c r="N23" s="1"/>
      <c r="O23" s="1"/>
      <c r="P23" s="9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35"/>
      <c r="B24" s="28"/>
      <c r="C24" s="36"/>
      <c r="D24" s="13" t="s">
        <v>14</v>
      </c>
      <c r="E24" s="29">
        <f>SUM(E22:E23)</f>
        <v>92</v>
      </c>
      <c r="F24" s="18"/>
      <c r="G24" s="5"/>
      <c r="H24" s="5"/>
      <c r="I24" s="5"/>
      <c r="J24" s="5"/>
      <c r="K24" s="5"/>
      <c r="L24" s="5"/>
      <c r="M24" s="5"/>
      <c r="N24" s="5"/>
      <c r="O24" s="10"/>
      <c r="P24" s="11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3"/>
      <c r="B25" s="31" t="s">
        <v>21</v>
      </c>
      <c r="C25" s="32" t="s">
        <v>22</v>
      </c>
      <c r="D25" s="19" t="s">
        <v>12</v>
      </c>
      <c r="E25" s="24">
        <f>BADEAN!AB25+BLIMBINGSARI!U25+BOMO!W25+GINTANGAN!Z25+KALIGUNG!R25+KAOTAN!M25+KARANGREJO!P25+PATOMAN!W25+SUKOJATI!P25+WATUKEBO!AK25</f>
        <v>100</v>
      </c>
      <c r="F25" s="25"/>
      <c r="G25" s="1"/>
      <c r="H25" s="1"/>
      <c r="I25" s="1"/>
      <c r="J25" s="1"/>
      <c r="K25" s="1"/>
      <c r="L25" s="1"/>
      <c r="M25" s="1"/>
      <c r="N25" s="1"/>
      <c r="O25" s="2"/>
      <c r="P25" s="11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3"/>
      <c r="B26" s="27"/>
      <c r="C26" s="34"/>
      <c r="D26" s="19" t="s">
        <v>13</v>
      </c>
      <c r="E26" s="24">
        <f>BADEAN!AB26+BLIMBINGSARI!U26+BOMO!W26+GINTANGAN!Z26+KALIGUNG!R26+KAOTAN!M26+KARANGREJO!P26+PATOMAN!W26+SUKOJATI!P26+WATUKEBO!AK26</f>
        <v>137</v>
      </c>
      <c r="F26" s="18"/>
      <c r="G26" s="5"/>
      <c r="H26" s="5"/>
      <c r="I26" s="5"/>
      <c r="J26" s="5"/>
      <c r="K26" s="5"/>
      <c r="L26" s="5"/>
      <c r="M26" s="5"/>
      <c r="N26" s="5"/>
      <c r="O26" s="5"/>
      <c r="P26" s="6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35"/>
      <c r="B27" s="28"/>
      <c r="C27" s="36"/>
      <c r="D27" s="13" t="s">
        <v>14</v>
      </c>
      <c r="E27" s="29">
        <f>SUM(E25:E26)</f>
        <v>237</v>
      </c>
      <c r="F27" s="25"/>
      <c r="G27" s="1"/>
      <c r="H27" s="1"/>
      <c r="I27" s="1"/>
      <c r="J27" s="1"/>
      <c r="K27" s="1"/>
      <c r="L27" s="1"/>
      <c r="M27" s="1"/>
      <c r="N27" s="1"/>
      <c r="O27" s="1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5"/>
      <c r="B28" s="37" t="s">
        <v>23</v>
      </c>
      <c r="C28" s="38" t="s">
        <v>24</v>
      </c>
      <c r="D28" s="13" t="s">
        <v>12</v>
      </c>
      <c r="E28" s="29">
        <f t="shared" ref="E28:E29" si="1">E19+E22+E25</f>
        <v>16391</v>
      </c>
      <c r="F28" s="18"/>
      <c r="G28" s="5"/>
      <c r="H28" s="5"/>
      <c r="I28" s="5"/>
      <c r="J28" s="5"/>
      <c r="K28" s="5"/>
      <c r="L28" s="5"/>
      <c r="M28" s="5"/>
      <c r="N28" s="5"/>
      <c r="O28" s="5"/>
      <c r="P28" s="6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35"/>
      <c r="B29" s="27"/>
      <c r="C29" s="34"/>
      <c r="D29" s="13" t="s">
        <v>13</v>
      </c>
      <c r="E29" s="29">
        <f t="shared" si="1"/>
        <v>18005</v>
      </c>
      <c r="F29" s="25"/>
      <c r="G29" s="1"/>
      <c r="H29" s="1"/>
      <c r="I29" s="1"/>
      <c r="J29" s="1"/>
      <c r="K29" s="1"/>
      <c r="L29" s="1"/>
      <c r="M29" s="1"/>
      <c r="N29" s="1"/>
      <c r="O29" s="1"/>
      <c r="P29" s="9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5"/>
      <c r="B30" s="28"/>
      <c r="C30" s="36"/>
      <c r="D30" s="13" t="s">
        <v>14</v>
      </c>
      <c r="E30" s="29">
        <f>SUM(E28:E29)</f>
        <v>34396</v>
      </c>
      <c r="F30" s="39"/>
      <c r="G30" s="3"/>
      <c r="H30" s="3"/>
      <c r="I30" s="3"/>
      <c r="J30" s="3"/>
      <c r="K30" s="5"/>
      <c r="L30" s="5"/>
      <c r="M30" s="5"/>
      <c r="N30" s="5"/>
      <c r="O30" s="10"/>
      <c r="P30" s="11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24"/>
      <c r="B31" s="15"/>
      <c r="C31" s="15"/>
      <c r="D31" s="16"/>
      <c r="E31" s="40"/>
      <c r="F31" s="25"/>
      <c r="G31" s="1"/>
      <c r="H31" s="1"/>
      <c r="I31" s="1"/>
      <c r="J31" s="1"/>
      <c r="K31" s="1"/>
      <c r="L31" s="1"/>
      <c r="M31" s="1"/>
      <c r="N31" s="1"/>
      <c r="O31" s="2"/>
      <c r="P31" s="11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1" t="s">
        <v>25</v>
      </c>
      <c r="B32" s="14" t="s">
        <v>26</v>
      </c>
      <c r="C32" s="15"/>
      <c r="D32" s="16"/>
      <c r="E32" s="29"/>
      <c r="F32" s="18"/>
      <c r="G32" s="5"/>
      <c r="H32" s="5"/>
      <c r="I32" s="5"/>
      <c r="J32" s="5"/>
      <c r="K32" s="5"/>
      <c r="L32" s="5"/>
      <c r="M32" s="5"/>
      <c r="N32" s="5"/>
      <c r="O32" s="5"/>
      <c r="P32" s="6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19">
        <v>1.0</v>
      </c>
      <c r="B33" s="20" t="s">
        <v>27</v>
      </c>
      <c r="C33" s="15"/>
      <c r="D33" s="16"/>
      <c r="E33" s="24">
        <f>BADEAN!AB33+BLIMBINGSARI!U33+BOMO!W33+GINTANGAN!Z33+KALIGUNG!R33+KAOTAN!M33+KARANGREJO!P33+PATOMAN!W33+SUKOJATI!P33+WATUKEBO!AK33</f>
        <v>44702</v>
      </c>
      <c r="F33" s="18"/>
      <c r="G33" s="5"/>
      <c r="H33" s="5"/>
      <c r="I33" s="5"/>
      <c r="J33" s="5"/>
      <c r="K33" s="5"/>
      <c r="L33" s="5"/>
      <c r="M33" s="5"/>
      <c r="N33" s="5"/>
      <c r="O33" s="5"/>
      <c r="P33" s="6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19">
        <v>2.0</v>
      </c>
      <c r="B34" s="20" t="s">
        <v>28</v>
      </c>
      <c r="C34" s="15"/>
      <c r="D34" s="16"/>
      <c r="E34" s="24">
        <f>BADEAN!AB34+BLIMBINGSARI!U34+BOMO!W34+GINTANGAN!Z34+KALIGUNG!R34+KAOTAN!M34+KARANGREJO!P34+PATOMAN!W34+SUKOJATI!P34+WATUKEBO!AK34</f>
        <v>34304</v>
      </c>
      <c r="F34" s="25"/>
      <c r="G34" s="1"/>
      <c r="H34" s="1"/>
      <c r="I34" s="1"/>
      <c r="J34" s="1"/>
      <c r="K34" s="1"/>
      <c r="L34" s="1"/>
      <c r="M34" s="1"/>
      <c r="N34" s="1"/>
      <c r="O34" s="1"/>
      <c r="P34" s="9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9">
        <v>3.0</v>
      </c>
      <c r="B35" s="20" t="s">
        <v>29</v>
      </c>
      <c r="C35" s="15"/>
      <c r="D35" s="16"/>
      <c r="E35" s="24">
        <f>BADEAN!AB35+BLIMBINGSARI!U35+BOMO!W35+GINTANGAN!Z35+KALIGUNG!R35+KAOTAN!M35+KARANGREJO!P35+PATOMAN!W35+SUKOJATI!P35+WATUKEBO!AK35</f>
        <v>118</v>
      </c>
      <c r="F35" s="39"/>
      <c r="G35" s="3"/>
      <c r="H35" s="3"/>
      <c r="I35" s="3"/>
      <c r="J35" s="3"/>
      <c r="K35" s="5"/>
      <c r="L35" s="5"/>
      <c r="M35" s="5"/>
      <c r="N35" s="5"/>
      <c r="O35" s="10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9">
        <v>4.0</v>
      </c>
      <c r="B36" s="20" t="s">
        <v>30</v>
      </c>
      <c r="C36" s="15"/>
      <c r="D36" s="16"/>
      <c r="E36" s="29">
        <f>E33-(E34+E35)</f>
        <v>10280</v>
      </c>
      <c r="F36" s="25"/>
      <c r="G36" s="1"/>
      <c r="H36" s="1"/>
      <c r="I36" s="1"/>
      <c r="J36" s="1"/>
      <c r="K36" s="1"/>
      <c r="L36" s="1"/>
      <c r="M36" s="1"/>
      <c r="N36" s="1"/>
      <c r="O36" s="2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24"/>
      <c r="B37" s="15"/>
      <c r="C37" s="15"/>
      <c r="D37" s="15"/>
      <c r="E37" s="15"/>
      <c r="F37" s="18"/>
      <c r="G37" s="5"/>
      <c r="H37" s="5"/>
      <c r="I37" s="5"/>
      <c r="J37" s="5"/>
      <c r="K37" s="5"/>
      <c r="L37" s="5"/>
      <c r="M37" s="5"/>
      <c r="N37" s="5"/>
      <c r="O37" s="10"/>
      <c r="P37" s="11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42" t="s">
        <v>31</v>
      </c>
      <c r="B38" s="14" t="s">
        <v>32</v>
      </c>
      <c r="C38" s="15"/>
      <c r="D38" s="16"/>
      <c r="E38" s="29"/>
      <c r="F38" s="18"/>
      <c r="G38" s="5"/>
      <c r="H38" s="5"/>
      <c r="I38" s="5"/>
      <c r="J38" s="5"/>
      <c r="K38" s="5"/>
      <c r="L38" s="5"/>
      <c r="M38" s="5"/>
      <c r="N38" s="5"/>
      <c r="O38" s="5"/>
      <c r="P38" s="6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30"/>
      <c r="B39" s="43" t="s">
        <v>33</v>
      </c>
      <c r="C39" s="23"/>
      <c r="D39" s="19" t="s">
        <v>12</v>
      </c>
      <c r="E39" s="24">
        <f>BADEAN!AB39+BLIMBINGSARI!U39+BOMO!W39+GINTANGAN!Z39+KALIGUNG!R39+KAOTAN!M39+KARANGREJO!P39+PATOMAN!W39+SUKOJATI!P39+WATUKEBO!AK39</f>
        <v>45</v>
      </c>
      <c r="F39" s="18"/>
      <c r="G39" s="5"/>
      <c r="H39" s="5"/>
      <c r="I39" s="5"/>
      <c r="J39" s="5"/>
      <c r="K39" s="5"/>
      <c r="L39" s="5"/>
      <c r="M39" s="5"/>
      <c r="N39" s="5"/>
      <c r="O39" s="5"/>
      <c r="P39" s="6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33"/>
      <c r="C40" s="27"/>
      <c r="D40" s="19" t="s">
        <v>13</v>
      </c>
      <c r="E40" s="24">
        <f>BADEAN!AB40+BLIMBINGSARI!U40+BOMO!W40+GINTANGAN!Z40+KALIGUNG!R40+KAOTAN!M40+KARANGREJO!P40+PATOMAN!W40+SUKOJATI!P40+WATUKEBO!AK40</f>
        <v>49</v>
      </c>
      <c r="F40" s="18"/>
      <c r="G40" s="5"/>
      <c r="H40" s="5"/>
      <c r="I40" s="5"/>
      <c r="J40" s="5"/>
      <c r="K40" s="5"/>
      <c r="L40" s="5"/>
      <c r="M40" s="5"/>
      <c r="N40" s="5"/>
      <c r="O40" s="5"/>
      <c r="P40" s="6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41"/>
      <c r="B41" s="44"/>
      <c r="C41" s="28"/>
      <c r="D41" s="13" t="s">
        <v>14</v>
      </c>
      <c r="E41" s="29">
        <f>SUM(E39:E40)</f>
        <v>94</v>
      </c>
      <c r="F41" s="18"/>
      <c r="G41" s="5"/>
      <c r="H41" s="5"/>
      <c r="I41" s="5"/>
      <c r="J41" s="5"/>
      <c r="K41" s="5"/>
      <c r="L41" s="5"/>
      <c r="M41" s="5"/>
      <c r="N41" s="5"/>
      <c r="O41" s="5"/>
      <c r="P41" s="6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45"/>
      <c r="B42" s="44"/>
      <c r="C42" s="44"/>
      <c r="D42" s="28"/>
      <c r="E42" s="24"/>
      <c r="F42" s="18"/>
      <c r="G42" s="5"/>
      <c r="H42" s="5"/>
      <c r="I42" s="5"/>
      <c r="J42" s="5"/>
      <c r="K42" s="5"/>
      <c r="L42" s="5"/>
      <c r="M42" s="5"/>
      <c r="N42" s="5"/>
      <c r="O42" s="5"/>
      <c r="P42" s="6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42" t="s">
        <v>34</v>
      </c>
      <c r="B43" s="14" t="s">
        <v>35</v>
      </c>
      <c r="C43" s="15"/>
      <c r="D43" s="16"/>
      <c r="E43" s="29"/>
      <c r="F43" s="18"/>
      <c r="G43" s="5"/>
      <c r="H43" s="5"/>
      <c r="I43" s="5"/>
      <c r="J43" s="5"/>
      <c r="K43" s="5"/>
      <c r="L43" s="5"/>
      <c r="M43" s="5"/>
      <c r="N43" s="5"/>
      <c r="O43" s="5"/>
      <c r="P43" s="6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43" t="s">
        <v>36</v>
      </c>
      <c r="B44" s="46"/>
      <c r="C44" s="46"/>
      <c r="D44" s="23"/>
      <c r="E44" s="24"/>
      <c r="F44" s="18"/>
      <c r="G44" s="5"/>
      <c r="H44" s="5"/>
      <c r="I44" s="5"/>
      <c r="J44" s="5"/>
      <c r="K44" s="5"/>
      <c r="L44" s="5"/>
      <c r="M44" s="5"/>
      <c r="N44" s="5"/>
      <c r="O44" s="5"/>
      <c r="P44" s="6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30" t="s">
        <v>37</v>
      </c>
      <c r="B45" s="47" t="s">
        <v>17</v>
      </c>
      <c r="C45" s="48" t="s">
        <v>38</v>
      </c>
      <c r="D45" s="16"/>
      <c r="E45" s="24">
        <f>BADEAN!AB45+BLIMBINGSARI!U45+BOMO!W45+GINTANGAN!Z45+KALIGUNG!R45+KAOTAN!M45+KARANGREJO!P45+PATOMAN!W45+SUKOJATI!P45+WATUKEBO!AK45</f>
        <v>1164</v>
      </c>
      <c r="F45" s="25"/>
      <c r="G45" s="1"/>
      <c r="H45" s="1"/>
      <c r="I45" s="1"/>
      <c r="J45" s="1"/>
      <c r="K45" s="1"/>
      <c r="L45" s="1"/>
      <c r="M45" s="1"/>
      <c r="N45" s="1"/>
      <c r="O45" s="1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30" t="s">
        <v>39</v>
      </c>
      <c r="B46" s="49"/>
      <c r="C46" s="50" t="s">
        <v>40</v>
      </c>
      <c r="D46" s="51"/>
      <c r="E46" s="24">
        <f>BADEAN!AB46+BLIMBINGSARI!U46+BOMO!W46+GINTANGAN!Z46+KALIGUNG!R46+KAOTAN!M46+KARANGREJO!P46+PATOMAN!W46+SUKOJATI!P46+WATUKEBO!AK46</f>
        <v>6847</v>
      </c>
      <c r="F46" s="52"/>
      <c r="G46" s="53"/>
      <c r="H46" s="53"/>
      <c r="I46" s="53"/>
      <c r="J46" s="53"/>
      <c r="K46" s="53"/>
      <c r="L46" s="53"/>
      <c r="M46" s="53"/>
      <c r="N46" s="53"/>
      <c r="O46" s="53"/>
      <c r="P46" s="54"/>
      <c r="Q46" s="3"/>
      <c r="R46" s="3"/>
      <c r="S46" s="3"/>
      <c r="T46" s="3"/>
      <c r="U46" s="3"/>
      <c r="V46" s="3"/>
      <c r="W46" s="55"/>
      <c r="X46" s="3"/>
      <c r="Y46" s="3"/>
      <c r="Z46" s="3"/>
    </row>
    <row r="47" ht="15.75" customHeight="1">
      <c r="A47" s="18"/>
      <c r="B47" s="49"/>
      <c r="C47" s="50" t="s">
        <v>41</v>
      </c>
      <c r="D47" s="51"/>
      <c r="E47" s="24">
        <f>BADEAN!AB47+BLIMBINGSARI!U47+BOMO!W47+GINTANGAN!Z47+KALIGUNG!R47+KAOTAN!M47+KARANGREJO!P47+PATOMAN!W47+SUKOJATI!P47+WATUKEBO!AK47</f>
        <v>183</v>
      </c>
      <c r="F47" s="18"/>
      <c r="G47" s="5"/>
      <c r="H47" s="5"/>
      <c r="I47" s="5"/>
      <c r="J47" s="5"/>
      <c r="K47" s="5"/>
      <c r="L47" s="5"/>
      <c r="M47" s="5"/>
      <c r="N47" s="5"/>
      <c r="O47" s="5"/>
      <c r="P47" s="6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18"/>
      <c r="B48" s="49"/>
      <c r="C48" s="50" t="s">
        <v>42</v>
      </c>
      <c r="D48" s="51"/>
      <c r="E48" s="24">
        <f>BADEAN!AB48+BLIMBINGSARI!U48+BOMO!W48+GINTANGAN!Z48+KALIGUNG!R48+KAOTAN!M48+KARANGREJO!P48+PATOMAN!W48+SUKOJATI!P48+WATUKEBO!AK48</f>
        <v>135</v>
      </c>
      <c r="F48" s="18"/>
      <c r="G48" s="5"/>
      <c r="H48" s="5"/>
      <c r="I48" s="5"/>
      <c r="J48" s="5"/>
      <c r="K48" s="5"/>
      <c r="L48" s="5"/>
      <c r="M48" s="5"/>
      <c r="N48" s="5"/>
      <c r="O48" s="5"/>
      <c r="P48" s="6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18"/>
      <c r="B49" s="49"/>
      <c r="C49" s="50" t="s">
        <v>43</v>
      </c>
      <c r="D49" s="51"/>
      <c r="E49" s="24">
        <f>BADEAN!AB49+BLIMBINGSARI!U49+BOMO!W49+GINTANGAN!Z49+KALIGUNG!R49+KAOTAN!M49+KARANGREJO!P49+PATOMAN!W49+SUKOJATI!P49+WATUKEBO!AK49</f>
        <v>49</v>
      </c>
      <c r="F49" s="18"/>
      <c r="G49" s="5"/>
      <c r="H49" s="5"/>
      <c r="I49" s="5"/>
      <c r="J49" s="5"/>
      <c r="K49" s="5"/>
      <c r="L49" s="5"/>
      <c r="M49" s="5"/>
      <c r="N49" s="5"/>
      <c r="O49" s="5"/>
      <c r="P49" s="6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18"/>
      <c r="B50" s="49"/>
      <c r="C50" s="50" t="s">
        <v>44</v>
      </c>
      <c r="D50" s="51"/>
      <c r="E50" s="24">
        <f>BADEAN!AB50+BLIMBINGSARI!U50+BOMO!W50+GINTANGAN!Z50+KALIGUNG!R50+KAOTAN!M50+KARANGREJO!P50+PATOMAN!W50+SUKOJATI!P50+WATUKEBO!AK50</f>
        <v>12</v>
      </c>
      <c r="F50" s="18"/>
      <c r="G50" s="5"/>
      <c r="H50" s="5"/>
      <c r="I50" s="5"/>
      <c r="J50" s="5"/>
      <c r="K50" s="5"/>
      <c r="L50" s="5"/>
      <c r="M50" s="5"/>
      <c r="N50" s="5"/>
      <c r="O50" s="5"/>
      <c r="P50" s="6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18"/>
      <c r="B51" s="49"/>
      <c r="C51" s="50" t="s">
        <v>45</v>
      </c>
      <c r="D51" s="51"/>
      <c r="E51" s="24">
        <f>BADEAN!AB51+BLIMBINGSARI!U51+BOMO!W51+GINTANGAN!Z51+KALIGUNG!R51+KAOTAN!M51+KARANGREJO!P51+PATOMAN!W51+SUKOJATI!P51+WATUKEBO!AK51</f>
        <v>39</v>
      </c>
      <c r="F51" s="18"/>
      <c r="G51" s="5"/>
      <c r="H51" s="5"/>
      <c r="I51" s="5"/>
      <c r="J51" s="5"/>
      <c r="K51" s="5"/>
      <c r="L51" s="5"/>
      <c r="M51" s="5"/>
      <c r="N51" s="5"/>
      <c r="O51" s="5"/>
      <c r="P51" s="6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19" t="s">
        <v>15</v>
      </c>
      <c r="B52" s="47" t="s">
        <v>46</v>
      </c>
      <c r="C52" s="15"/>
      <c r="D52" s="16"/>
      <c r="E52" s="13">
        <f>SUM(E45:E51)</f>
        <v>8429</v>
      </c>
      <c r="F52" s="18"/>
      <c r="G52" s="5"/>
      <c r="H52" s="5"/>
      <c r="I52" s="5"/>
      <c r="J52" s="5"/>
      <c r="K52" s="5"/>
      <c r="L52" s="5"/>
      <c r="M52" s="5"/>
      <c r="N52" s="5"/>
      <c r="O52" s="5"/>
      <c r="P52" s="6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56"/>
      <c r="B53" s="57"/>
      <c r="C53" s="57"/>
      <c r="D53" s="57"/>
      <c r="E53" s="24"/>
      <c r="F53" s="18"/>
      <c r="G53" s="5"/>
      <c r="H53" s="5"/>
      <c r="I53" s="5"/>
      <c r="J53" s="5"/>
      <c r="K53" s="5"/>
      <c r="L53" s="5"/>
      <c r="M53" s="5"/>
      <c r="N53" s="5"/>
      <c r="O53" s="5"/>
      <c r="P53" s="6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30" t="s">
        <v>37</v>
      </c>
      <c r="B54" s="47" t="s">
        <v>19</v>
      </c>
      <c r="C54" s="48" t="s">
        <v>47</v>
      </c>
      <c r="D54" s="16"/>
      <c r="E54" s="24">
        <f>BADEAN!AB54+BLIMBINGSARI!U54+BOMO!W54+GINTANGAN!Z54+KALIGUNG!R54+KAOTAN!M54+KARANGREJO!P54+PATOMAN!W54+SUKOJATI!P54+WATUKEBO!AK54</f>
        <v>662</v>
      </c>
      <c r="F54" s="18"/>
      <c r="G54" s="5"/>
      <c r="H54" s="5"/>
      <c r="I54" s="5"/>
      <c r="J54" s="5"/>
      <c r="K54" s="5"/>
      <c r="L54" s="5"/>
      <c r="M54" s="5"/>
      <c r="N54" s="5"/>
      <c r="O54" s="5"/>
      <c r="P54" s="6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30" t="s">
        <v>39</v>
      </c>
      <c r="B55" s="49"/>
      <c r="C55" s="50" t="s">
        <v>48</v>
      </c>
      <c r="D55" s="51"/>
      <c r="E55" s="24">
        <f>BADEAN!AB55+BLIMBINGSARI!U55+BOMO!W55+GINTANGAN!Z55+KALIGUNG!R55+KAOTAN!M55+KARANGREJO!P55+PATOMAN!W55+SUKOJATI!P55+WATUKEBO!AK55</f>
        <v>283</v>
      </c>
      <c r="F55" s="18"/>
      <c r="G55" s="5"/>
      <c r="H55" s="5"/>
      <c r="I55" s="5"/>
      <c r="J55" s="5"/>
      <c r="K55" s="5"/>
      <c r="L55" s="5"/>
      <c r="M55" s="5"/>
      <c r="N55" s="5"/>
      <c r="O55" s="5"/>
      <c r="P55" s="6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18"/>
      <c r="B56" s="49"/>
      <c r="C56" s="50" t="s">
        <v>49</v>
      </c>
      <c r="D56" s="51"/>
      <c r="E56" s="24">
        <f>BADEAN!AB56+BLIMBINGSARI!U56+BOMO!W56+GINTANGAN!Z56+KALIGUNG!R56+KAOTAN!M56+KARANGREJO!P56+PATOMAN!W56+SUKOJATI!P56+WATUKEBO!AK56</f>
        <v>131</v>
      </c>
      <c r="F56" s="18"/>
      <c r="G56" s="5"/>
      <c r="H56" s="5"/>
      <c r="I56" s="5"/>
      <c r="J56" s="5"/>
      <c r="K56" s="5"/>
      <c r="L56" s="5"/>
      <c r="M56" s="5"/>
      <c r="N56" s="5"/>
      <c r="O56" s="5"/>
      <c r="P56" s="6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18"/>
      <c r="B57" s="49"/>
      <c r="C57" s="50" t="s">
        <v>50</v>
      </c>
      <c r="D57" s="51"/>
      <c r="E57" s="24">
        <f>BADEAN!AB57+BLIMBINGSARI!U57+BOMO!W57+GINTANGAN!Z57+KALIGUNG!R57+KAOTAN!M57+KARANGREJO!P57+PATOMAN!W57+SUKOJATI!P57+WATUKEBO!AK57</f>
        <v>87</v>
      </c>
      <c r="F57" s="25"/>
      <c r="G57" s="1"/>
      <c r="H57" s="1"/>
      <c r="I57" s="1"/>
      <c r="J57" s="1"/>
      <c r="K57" s="1"/>
      <c r="L57" s="1"/>
      <c r="M57" s="1"/>
      <c r="N57" s="1"/>
      <c r="O57" s="1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8"/>
      <c r="B58" s="49"/>
      <c r="C58" s="50" t="s">
        <v>51</v>
      </c>
      <c r="D58" s="51"/>
      <c r="E58" s="24">
        <f>BADEAN!AB58+BLIMBINGSARI!U58+BOMO!W58+GINTANGAN!Z58+KALIGUNG!R58+KAOTAN!M58+KARANGREJO!P58+PATOMAN!W58+SUKOJATI!P58+WATUKEBO!AK58</f>
        <v>372</v>
      </c>
      <c r="F58" s="52"/>
      <c r="G58" s="53"/>
      <c r="H58" s="53"/>
      <c r="I58" s="53"/>
      <c r="J58" s="53"/>
      <c r="K58" s="53"/>
      <c r="L58" s="53"/>
      <c r="M58" s="53"/>
      <c r="N58" s="53"/>
      <c r="O58" s="53"/>
      <c r="P58" s="54"/>
      <c r="Q58" s="3"/>
      <c r="R58" s="3"/>
      <c r="S58" s="3"/>
      <c r="T58" s="3"/>
      <c r="U58" s="3"/>
      <c r="V58" s="3"/>
      <c r="W58" s="55"/>
      <c r="X58" s="3"/>
      <c r="Y58" s="3"/>
      <c r="Z58" s="3"/>
    </row>
    <row r="59" ht="15.75" customHeight="1">
      <c r="A59" s="18"/>
      <c r="B59" s="49"/>
      <c r="C59" s="50" t="s">
        <v>52</v>
      </c>
      <c r="D59" s="51"/>
      <c r="E59" s="24">
        <f>BADEAN!AB59+BLIMBINGSARI!U59+BOMO!W59+GINTANGAN!Z59+KALIGUNG!R59+KAOTAN!M59+KARANGREJO!P59+PATOMAN!W59+SUKOJATI!P59+WATUKEBO!AK59</f>
        <v>45</v>
      </c>
      <c r="F59" s="18"/>
      <c r="G59" s="5"/>
      <c r="H59" s="5"/>
      <c r="I59" s="5"/>
      <c r="J59" s="5"/>
      <c r="K59" s="5"/>
      <c r="L59" s="5"/>
      <c r="M59" s="5"/>
      <c r="N59" s="5"/>
      <c r="O59" s="5"/>
      <c r="P59" s="6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18"/>
      <c r="B60" s="49"/>
      <c r="C60" s="50" t="s">
        <v>53</v>
      </c>
      <c r="D60" s="51"/>
      <c r="E60" s="24">
        <f>BADEAN!AB60+BLIMBINGSARI!U60+BOMO!W60+GINTANGAN!Z60+KALIGUNG!R60+KAOTAN!M60+KARANGREJO!P60+PATOMAN!W60+SUKOJATI!P60+WATUKEBO!AK60</f>
        <v>199</v>
      </c>
      <c r="F60" s="18"/>
      <c r="G60" s="5"/>
      <c r="H60" s="5"/>
      <c r="I60" s="5"/>
      <c r="J60" s="5"/>
      <c r="K60" s="5"/>
      <c r="L60" s="5"/>
      <c r="M60" s="5"/>
      <c r="N60" s="5"/>
      <c r="O60" s="5"/>
      <c r="P60" s="6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19" t="s">
        <v>15</v>
      </c>
      <c r="B61" s="47" t="s">
        <v>46</v>
      </c>
      <c r="C61" s="15"/>
      <c r="D61" s="16"/>
      <c r="E61" s="13">
        <f>SUM(E54:E60)</f>
        <v>1779</v>
      </c>
      <c r="F61" s="18"/>
      <c r="G61" s="5"/>
      <c r="H61" s="5"/>
      <c r="I61" s="5"/>
      <c r="J61" s="5"/>
      <c r="K61" s="5"/>
      <c r="L61" s="5"/>
      <c r="M61" s="5"/>
      <c r="N61" s="5"/>
      <c r="O61" s="5"/>
      <c r="P61" s="6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56"/>
      <c r="B62" s="57"/>
      <c r="C62" s="57"/>
      <c r="D62" s="57"/>
      <c r="E62" s="24"/>
      <c r="F62" s="18"/>
      <c r="G62" s="5"/>
      <c r="H62" s="5"/>
      <c r="I62" s="5"/>
      <c r="J62" s="5"/>
      <c r="K62" s="5"/>
      <c r="L62" s="5"/>
      <c r="M62" s="5"/>
      <c r="N62" s="5"/>
      <c r="O62" s="5"/>
      <c r="P62" s="6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30" t="s">
        <v>37</v>
      </c>
      <c r="B63" s="47" t="s">
        <v>21</v>
      </c>
      <c r="C63" s="48" t="s">
        <v>54</v>
      </c>
      <c r="D63" s="16"/>
      <c r="E63" s="24">
        <f>BADEAN!AB63+BLIMBINGSARI!U63+BOMO!W63+GINTANGAN!Z63+KALIGUNG!R63+KAOTAN!M63+KARANGREJO!P63+PATOMAN!W63+SUKOJATI!P63+WATUKEBO!AK63</f>
        <v>659</v>
      </c>
      <c r="F63" s="18"/>
      <c r="G63" s="5"/>
      <c r="H63" s="5"/>
      <c r="I63" s="5"/>
      <c r="J63" s="5"/>
      <c r="K63" s="5"/>
      <c r="L63" s="5"/>
      <c r="M63" s="5"/>
      <c r="N63" s="5"/>
      <c r="O63" s="5"/>
      <c r="P63" s="6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30" t="s">
        <v>39</v>
      </c>
      <c r="B64" s="49"/>
      <c r="C64" s="50" t="s">
        <v>55</v>
      </c>
      <c r="D64" s="51"/>
      <c r="E64" s="24">
        <f>BADEAN!AB64+BLIMBINGSARI!U64+BOMO!W64+GINTANGAN!Z64+KALIGUNG!R64+KAOTAN!M64+KARANGREJO!P64+PATOMAN!W64+SUKOJATI!P64+WATUKEBO!AK64</f>
        <v>1288</v>
      </c>
      <c r="F64" s="18"/>
      <c r="G64" s="5"/>
      <c r="H64" s="5"/>
      <c r="I64" s="5"/>
      <c r="J64" s="5"/>
      <c r="K64" s="5"/>
      <c r="L64" s="5"/>
      <c r="M64" s="5"/>
      <c r="N64" s="5"/>
      <c r="O64" s="5"/>
      <c r="P64" s="6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18"/>
      <c r="B65" s="49"/>
      <c r="C65" s="50" t="s">
        <v>56</v>
      </c>
      <c r="D65" s="51"/>
      <c r="E65" s="24">
        <f>BADEAN!AB65+BLIMBINGSARI!U65+BOMO!W65+GINTANGAN!Z65+KALIGUNG!R65+KAOTAN!M65+KARANGREJO!P65+PATOMAN!W65+SUKOJATI!P65+WATUKEBO!AK65</f>
        <v>275</v>
      </c>
      <c r="F65" s="18"/>
      <c r="G65" s="5"/>
      <c r="H65" s="5"/>
      <c r="I65" s="5"/>
      <c r="J65" s="5"/>
      <c r="K65" s="5"/>
      <c r="L65" s="5"/>
      <c r="M65" s="5"/>
      <c r="N65" s="5"/>
      <c r="O65" s="5"/>
      <c r="P65" s="6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18"/>
      <c r="B66" s="49"/>
      <c r="C66" s="50" t="s">
        <v>57</v>
      </c>
      <c r="D66" s="51"/>
      <c r="E66" s="24">
        <f>BADEAN!AB66+BLIMBINGSARI!U66+BOMO!W66+GINTANGAN!Z66+KALIGUNG!R66+KAOTAN!M66+KARANGREJO!P66+PATOMAN!W66+SUKOJATI!P66+WATUKEBO!AK66</f>
        <v>1926</v>
      </c>
      <c r="F66" s="18"/>
      <c r="G66" s="5"/>
      <c r="H66" s="5"/>
      <c r="I66" s="5"/>
      <c r="J66" s="5"/>
      <c r="K66" s="5"/>
      <c r="L66" s="5"/>
      <c r="M66" s="5"/>
      <c r="N66" s="5"/>
      <c r="O66" s="5"/>
      <c r="P66" s="6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18"/>
      <c r="B67" s="49"/>
      <c r="C67" s="50" t="s">
        <v>58</v>
      </c>
      <c r="D67" s="51"/>
      <c r="E67" s="24">
        <f>BADEAN!AB67+BLIMBINGSARI!U67+BOMO!W67+GINTANGAN!Z67+KALIGUNG!R67+KAOTAN!M67+KARANGREJO!P67+PATOMAN!W67+SUKOJATI!P67+WATUKEBO!AK67</f>
        <v>105</v>
      </c>
      <c r="F67" s="18"/>
      <c r="G67" s="5"/>
      <c r="H67" s="5"/>
      <c r="I67" s="5"/>
      <c r="J67" s="5"/>
      <c r="K67" s="5"/>
      <c r="L67" s="5"/>
      <c r="M67" s="5"/>
      <c r="N67" s="5"/>
      <c r="O67" s="5"/>
      <c r="P67" s="6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18"/>
      <c r="B68" s="49"/>
      <c r="C68" s="50" t="s">
        <v>59</v>
      </c>
      <c r="D68" s="51"/>
      <c r="E68" s="24">
        <f>BADEAN!AB68+BLIMBINGSARI!U68+BOMO!W68+GINTANGAN!Z68+KALIGUNG!R68+KAOTAN!M68+KARANGREJO!P68+PATOMAN!W68+SUKOJATI!P68+WATUKEBO!AK68</f>
        <v>55</v>
      </c>
      <c r="F68" s="18"/>
      <c r="G68" s="5"/>
      <c r="H68" s="5"/>
      <c r="I68" s="5"/>
      <c r="J68" s="5"/>
      <c r="K68" s="5"/>
      <c r="L68" s="5"/>
      <c r="M68" s="5"/>
      <c r="N68" s="5"/>
      <c r="O68" s="5"/>
      <c r="P68" s="6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18"/>
      <c r="B69" s="49"/>
      <c r="C69" s="50" t="s">
        <v>60</v>
      </c>
      <c r="D69" s="51"/>
      <c r="E69" s="24">
        <f>BADEAN!AB69+BLIMBINGSARI!U69+BOMO!W69+GINTANGAN!Z69+KALIGUNG!R69+KAOTAN!M69+KARANGREJO!P69+PATOMAN!W69+SUKOJATI!P69+WATUKEBO!AK69</f>
        <v>42</v>
      </c>
      <c r="F69" s="25"/>
      <c r="G69" s="1"/>
      <c r="H69" s="1"/>
      <c r="I69" s="1"/>
      <c r="J69" s="1"/>
      <c r="K69" s="1"/>
      <c r="L69" s="1"/>
      <c r="M69" s="1"/>
      <c r="N69" s="1"/>
      <c r="O69" s="1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19" t="s">
        <v>15</v>
      </c>
      <c r="B70" s="47" t="s">
        <v>46</v>
      </c>
      <c r="C70" s="15"/>
      <c r="D70" s="16"/>
      <c r="E70" s="13">
        <f>SUM(E63:E69)</f>
        <v>4350</v>
      </c>
      <c r="F70" s="52"/>
      <c r="G70" s="53"/>
      <c r="H70" s="53"/>
      <c r="I70" s="53"/>
      <c r="J70" s="53"/>
      <c r="K70" s="53"/>
      <c r="L70" s="53"/>
      <c r="M70" s="53"/>
      <c r="N70" s="53"/>
      <c r="O70" s="53"/>
      <c r="P70" s="54"/>
      <c r="Q70" s="3"/>
      <c r="R70" s="3"/>
      <c r="S70" s="3"/>
      <c r="T70" s="3"/>
      <c r="U70" s="3"/>
      <c r="V70" s="3"/>
      <c r="W70" s="55"/>
      <c r="X70" s="3"/>
      <c r="Y70" s="3"/>
      <c r="Z70" s="3"/>
    </row>
    <row r="71" ht="15.75" customHeight="1">
      <c r="A71" s="56"/>
      <c r="B71" s="57"/>
      <c r="C71" s="57"/>
      <c r="D71" s="57"/>
      <c r="E71" s="24"/>
      <c r="F71" s="18"/>
      <c r="G71" s="5"/>
      <c r="H71" s="5"/>
      <c r="I71" s="5"/>
      <c r="J71" s="5"/>
      <c r="K71" s="5"/>
      <c r="L71" s="5"/>
      <c r="M71" s="5"/>
      <c r="N71" s="5"/>
      <c r="O71" s="5"/>
      <c r="P71" s="6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30" t="s">
        <v>37</v>
      </c>
      <c r="B72" s="47" t="s">
        <v>23</v>
      </c>
      <c r="C72" s="48" t="s">
        <v>61</v>
      </c>
      <c r="D72" s="16"/>
      <c r="E72" s="24">
        <f>BADEAN!AB72+BLIMBINGSARI!U72+BOMO!W72+GINTANGAN!Z72+KALIGUNG!R72+KAOTAN!M72+KARANGREJO!P72+PATOMAN!W72+SUKOJATI!P72+WATUKEBO!AK72</f>
        <v>430</v>
      </c>
      <c r="F72" s="18"/>
      <c r="G72" s="5"/>
      <c r="H72" s="5"/>
      <c r="I72" s="5"/>
      <c r="J72" s="5"/>
      <c r="K72" s="5"/>
      <c r="L72" s="5"/>
      <c r="M72" s="5"/>
      <c r="N72" s="5"/>
      <c r="O72" s="5"/>
      <c r="P72" s="6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30" t="s">
        <v>39</v>
      </c>
      <c r="B73" s="49"/>
      <c r="C73" s="50" t="s">
        <v>62</v>
      </c>
      <c r="D73" s="51"/>
      <c r="E73" s="24">
        <f>BADEAN!AB73+BLIMBINGSARI!U73+BOMO!W73+GINTANGAN!Z73+KALIGUNG!R73+KAOTAN!M73+KARANGREJO!P73+PATOMAN!W73+SUKOJATI!P73+WATUKEBO!AK73</f>
        <v>2113</v>
      </c>
      <c r="F73" s="18"/>
      <c r="G73" s="5"/>
      <c r="H73" s="5"/>
      <c r="I73" s="5"/>
      <c r="J73" s="5"/>
      <c r="K73" s="5"/>
      <c r="L73" s="5"/>
      <c r="M73" s="5"/>
      <c r="N73" s="5"/>
      <c r="O73" s="5"/>
      <c r="P73" s="6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18"/>
      <c r="B74" s="49"/>
      <c r="C74" s="50" t="s">
        <v>63</v>
      </c>
      <c r="D74" s="51"/>
      <c r="E74" s="24">
        <f>BADEAN!AB74+BLIMBINGSARI!U74+BOMO!W74+GINTANGAN!Z74+KALIGUNG!R74+KAOTAN!M74+KARANGREJO!P74+PATOMAN!W74+SUKOJATI!P74+WATUKEBO!AK74</f>
        <v>29</v>
      </c>
      <c r="F74" s="18"/>
      <c r="G74" s="5"/>
      <c r="H74" s="5"/>
      <c r="I74" s="5"/>
      <c r="J74" s="5"/>
      <c r="K74" s="5"/>
      <c r="L74" s="5"/>
      <c r="M74" s="5"/>
      <c r="N74" s="5"/>
      <c r="O74" s="5"/>
      <c r="P74" s="6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18"/>
      <c r="B75" s="49"/>
      <c r="C75" s="50" t="s">
        <v>64</v>
      </c>
      <c r="D75" s="51"/>
      <c r="E75" s="24">
        <f>BADEAN!AB75+BLIMBINGSARI!U75+BOMO!W75+GINTANGAN!Z75+KALIGUNG!R75+KAOTAN!M75+KARANGREJO!P75+PATOMAN!W75+SUKOJATI!P75+WATUKEBO!AK75</f>
        <v>17</v>
      </c>
      <c r="F75" s="18"/>
      <c r="G75" s="5"/>
      <c r="H75" s="5"/>
      <c r="I75" s="5"/>
      <c r="J75" s="5"/>
      <c r="K75" s="5"/>
      <c r="L75" s="5"/>
      <c r="M75" s="5"/>
      <c r="N75" s="5"/>
      <c r="O75" s="5"/>
      <c r="P75" s="6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18"/>
      <c r="B76" s="49"/>
      <c r="C76" s="50" t="s">
        <v>65</v>
      </c>
      <c r="D76" s="51"/>
      <c r="E76" s="24">
        <f>BADEAN!AB76+BLIMBINGSARI!U76+BOMO!W76+GINTANGAN!Z76+KALIGUNG!R76+KAOTAN!M76+KARANGREJO!P76+PATOMAN!W76+SUKOJATI!P76+WATUKEBO!AK76</f>
        <v>16</v>
      </c>
      <c r="F76" s="18"/>
      <c r="G76" s="5"/>
      <c r="H76" s="5"/>
      <c r="I76" s="5"/>
      <c r="J76" s="5"/>
      <c r="K76" s="5"/>
      <c r="L76" s="5"/>
      <c r="M76" s="5"/>
      <c r="N76" s="5"/>
      <c r="O76" s="5"/>
      <c r="P76" s="6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18"/>
      <c r="B77" s="49"/>
      <c r="C77" s="50" t="s">
        <v>66</v>
      </c>
      <c r="D77" s="51"/>
      <c r="E77" s="24">
        <f>BADEAN!AB77+BLIMBINGSARI!U77+BOMO!W77+GINTANGAN!Z77+KALIGUNG!R77+KAOTAN!M77+KARANGREJO!P77+PATOMAN!W77+SUKOJATI!P77+WATUKEBO!AK77</f>
        <v>14</v>
      </c>
      <c r="F77" s="18"/>
      <c r="G77" s="5"/>
      <c r="H77" s="5"/>
      <c r="I77" s="5"/>
      <c r="J77" s="5"/>
      <c r="K77" s="5"/>
      <c r="L77" s="5"/>
      <c r="M77" s="5"/>
      <c r="N77" s="5"/>
      <c r="O77" s="5"/>
      <c r="P77" s="6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18"/>
      <c r="B78" s="49"/>
      <c r="C78" s="50" t="s">
        <v>67</v>
      </c>
      <c r="D78" s="51"/>
      <c r="E78" s="24">
        <f>BADEAN!AB78+BLIMBINGSARI!U78+BOMO!W78+GINTANGAN!Z78+KALIGUNG!R78+KAOTAN!M78+KARANGREJO!P78+PATOMAN!W78+SUKOJATI!P78+WATUKEBO!AK78</f>
        <v>743</v>
      </c>
      <c r="F78" s="18"/>
      <c r="G78" s="5"/>
      <c r="H78" s="5"/>
      <c r="I78" s="5"/>
      <c r="J78" s="5"/>
      <c r="K78" s="5"/>
      <c r="L78" s="5"/>
      <c r="M78" s="5"/>
      <c r="N78" s="5"/>
      <c r="O78" s="5"/>
      <c r="P78" s="6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19" t="s">
        <v>15</v>
      </c>
      <c r="B79" s="47" t="s">
        <v>46</v>
      </c>
      <c r="C79" s="15"/>
      <c r="D79" s="16"/>
      <c r="E79" s="13">
        <f>SUM(E72:E78)</f>
        <v>3362</v>
      </c>
      <c r="F79" s="18"/>
      <c r="G79" s="5"/>
      <c r="H79" s="5"/>
      <c r="I79" s="5"/>
      <c r="J79" s="5"/>
      <c r="K79" s="5"/>
      <c r="L79" s="5"/>
      <c r="M79" s="5"/>
      <c r="N79" s="5"/>
      <c r="O79" s="5"/>
      <c r="P79" s="6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56"/>
      <c r="B80" s="57"/>
      <c r="C80" s="57"/>
      <c r="D80" s="57"/>
      <c r="E80" s="24"/>
      <c r="F80" s="18"/>
      <c r="G80" s="5"/>
      <c r="H80" s="5"/>
      <c r="I80" s="5"/>
      <c r="J80" s="5"/>
      <c r="K80" s="5"/>
      <c r="L80" s="5"/>
      <c r="M80" s="5"/>
      <c r="N80" s="5"/>
      <c r="O80" s="5"/>
      <c r="P80" s="6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30" t="s">
        <v>37</v>
      </c>
      <c r="B81" s="47" t="s">
        <v>68</v>
      </c>
      <c r="C81" s="48" t="s">
        <v>69</v>
      </c>
      <c r="D81" s="16"/>
      <c r="E81" s="24">
        <f>BADEAN!AB81+BLIMBINGSARI!U81+BOMO!W81+GINTANGAN!Z81+KALIGUNG!R81+KAOTAN!M81+KARANGREJO!P81+PATOMAN!W81+SUKOJATI!P81+WATUKEBO!AK81</f>
        <v>131</v>
      </c>
      <c r="F81" s="25"/>
      <c r="G81" s="1"/>
      <c r="H81" s="1"/>
      <c r="I81" s="1"/>
      <c r="J81" s="1"/>
      <c r="K81" s="1"/>
      <c r="L81" s="1"/>
      <c r="M81" s="1"/>
      <c r="N81" s="1"/>
      <c r="O81" s="1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30" t="s">
        <v>39</v>
      </c>
      <c r="B82" s="49"/>
      <c r="C82" s="50" t="s">
        <v>70</v>
      </c>
      <c r="D82" s="51"/>
      <c r="E82" s="24">
        <f>BADEAN!AB82+BLIMBINGSARI!U82+BOMO!W82+GINTANGAN!Z82+KALIGUNG!R82+KAOTAN!M82+KARANGREJO!P82+PATOMAN!W82+SUKOJATI!P82+WATUKEBO!AK82</f>
        <v>56</v>
      </c>
      <c r="F82" s="52"/>
      <c r="G82" s="53"/>
      <c r="H82" s="53"/>
      <c r="I82" s="53"/>
      <c r="J82" s="53"/>
      <c r="K82" s="53"/>
      <c r="L82" s="53"/>
      <c r="M82" s="53"/>
      <c r="N82" s="53"/>
      <c r="O82" s="53"/>
      <c r="P82" s="54"/>
      <c r="Q82" s="3"/>
      <c r="R82" s="3"/>
      <c r="S82" s="3"/>
      <c r="T82" s="3"/>
      <c r="U82" s="3"/>
      <c r="V82" s="3"/>
      <c r="W82" s="55"/>
      <c r="X82" s="3"/>
      <c r="Y82" s="3"/>
      <c r="Z82" s="3"/>
    </row>
    <row r="83" ht="15.75" customHeight="1">
      <c r="A83" s="18"/>
      <c r="B83" s="49"/>
      <c r="C83" s="50" t="s">
        <v>71</v>
      </c>
      <c r="D83" s="51"/>
      <c r="E83" s="24">
        <f>BADEAN!AB83+BLIMBINGSARI!U83+BOMO!W83+GINTANGAN!Z83+KALIGUNG!R83+KAOTAN!M83+KARANGREJO!P83+PATOMAN!W83+SUKOJATI!P83+WATUKEBO!AK83</f>
        <v>2235</v>
      </c>
      <c r="F83" s="18"/>
      <c r="G83" s="5"/>
      <c r="H83" s="5"/>
      <c r="I83" s="5"/>
      <c r="J83" s="5"/>
      <c r="K83" s="5"/>
      <c r="L83" s="5"/>
      <c r="M83" s="5"/>
      <c r="N83" s="5"/>
      <c r="O83" s="5"/>
      <c r="P83" s="6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18"/>
      <c r="B84" s="49"/>
      <c r="C84" s="50" t="s">
        <v>72</v>
      </c>
      <c r="D84" s="51"/>
      <c r="E84" s="24">
        <f>BADEAN!AB84+BLIMBINGSARI!U84+BOMO!W84+GINTANGAN!Z84+KALIGUNG!R84+KAOTAN!M84+KARANGREJO!P84+PATOMAN!W84+SUKOJATI!P84+WATUKEBO!AK84</f>
        <v>47</v>
      </c>
      <c r="F84" s="18"/>
      <c r="G84" s="5"/>
      <c r="H84" s="5"/>
      <c r="I84" s="5"/>
      <c r="J84" s="5"/>
      <c r="K84" s="5"/>
      <c r="L84" s="5"/>
      <c r="M84" s="5"/>
      <c r="N84" s="5"/>
      <c r="O84" s="5"/>
      <c r="P84" s="6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18"/>
      <c r="B85" s="49"/>
      <c r="C85" s="50" t="s">
        <v>73</v>
      </c>
      <c r="D85" s="51"/>
      <c r="E85" s="24">
        <f>BADEAN!AB85+BLIMBINGSARI!U85+BOMO!W85+GINTANGAN!Z85+KALIGUNG!R85+KAOTAN!M85+KARANGREJO!P85+PATOMAN!W85+SUKOJATI!P85+WATUKEBO!AK85</f>
        <v>3</v>
      </c>
      <c r="F85" s="18"/>
      <c r="G85" s="5"/>
      <c r="H85" s="5"/>
      <c r="I85" s="5"/>
      <c r="J85" s="5"/>
      <c r="K85" s="5"/>
      <c r="L85" s="5"/>
      <c r="M85" s="5"/>
      <c r="N85" s="5"/>
      <c r="O85" s="5"/>
      <c r="P85" s="6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18"/>
      <c r="B86" s="49"/>
      <c r="C86" s="50" t="s">
        <v>74</v>
      </c>
      <c r="D86" s="51"/>
      <c r="E86" s="24">
        <f>BADEAN!AB86+BLIMBINGSARI!U86+BOMO!W86+GINTANGAN!Z86+KALIGUNG!R86+KAOTAN!M86+KARANGREJO!P86+PATOMAN!W86+SUKOJATI!P86+WATUKEBO!AK86</f>
        <v>24</v>
      </c>
      <c r="F86" s="18"/>
      <c r="G86" s="5"/>
      <c r="H86" s="5"/>
      <c r="I86" s="5"/>
      <c r="J86" s="5"/>
      <c r="K86" s="5"/>
      <c r="L86" s="5"/>
      <c r="M86" s="5"/>
      <c r="N86" s="5"/>
      <c r="O86" s="5"/>
      <c r="P86" s="6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18"/>
      <c r="B87" s="49"/>
      <c r="C87" s="50" t="s">
        <v>75</v>
      </c>
      <c r="D87" s="51"/>
      <c r="E87" s="24">
        <f>BADEAN!AB87+BLIMBINGSARI!U87+BOMO!W87+GINTANGAN!Z87+KALIGUNG!R87+KAOTAN!M87+KARANGREJO!P87+PATOMAN!W87+SUKOJATI!P87+WATUKEBO!AK87</f>
        <v>2</v>
      </c>
      <c r="F87" s="18"/>
      <c r="G87" s="5"/>
      <c r="H87" s="5"/>
      <c r="I87" s="5"/>
      <c r="J87" s="5"/>
      <c r="K87" s="5"/>
      <c r="L87" s="5"/>
      <c r="M87" s="5"/>
      <c r="N87" s="5"/>
      <c r="O87" s="5"/>
      <c r="P87" s="6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19" t="s">
        <v>15</v>
      </c>
      <c r="B88" s="47" t="s">
        <v>46</v>
      </c>
      <c r="C88" s="15"/>
      <c r="D88" s="16"/>
      <c r="E88" s="13">
        <f>SUM(E81:E87)</f>
        <v>2498</v>
      </c>
      <c r="F88" s="18"/>
      <c r="G88" s="5"/>
      <c r="H88" s="5"/>
      <c r="I88" s="5"/>
      <c r="J88" s="5"/>
      <c r="K88" s="5"/>
      <c r="L88" s="5"/>
      <c r="M88" s="5"/>
      <c r="N88" s="5"/>
      <c r="O88" s="5"/>
      <c r="P88" s="6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56"/>
      <c r="B89" s="57"/>
      <c r="C89" s="57"/>
      <c r="D89" s="57"/>
      <c r="E89" s="24"/>
      <c r="F89" s="18"/>
      <c r="G89" s="5"/>
      <c r="H89" s="5"/>
      <c r="I89" s="5"/>
      <c r="J89" s="5"/>
      <c r="K89" s="5"/>
      <c r="L89" s="5"/>
      <c r="M89" s="5"/>
      <c r="N89" s="5"/>
      <c r="O89" s="5"/>
      <c r="P89" s="6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30" t="s">
        <v>37</v>
      </c>
      <c r="B90" s="47" t="s">
        <v>76</v>
      </c>
      <c r="C90" s="48" t="s">
        <v>77</v>
      </c>
      <c r="D90" s="16"/>
      <c r="E90" s="24">
        <f>BADEAN!AB90+BLIMBINGSARI!U90+BOMO!W90+GINTANGAN!Z90+KALIGUNG!R90+KAOTAN!M90+KARANGREJO!P90+PATOMAN!W90+SUKOJATI!P90+WATUKEBO!AK90</f>
        <v>39</v>
      </c>
      <c r="F90" s="18"/>
      <c r="G90" s="5"/>
      <c r="H90" s="5"/>
      <c r="I90" s="5"/>
      <c r="J90" s="5"/>
      <c r="K90" s="5"/>
      <c r="L90" s="5"/>
      <c r="M90" s="5"/>
      <c r="N90" s="5"/>
      <c r="O90" s="5"/>
      <c r="P90" s="6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30" t="s">
        <v>39</v>
      </c>
      <c r="B91" s="49"/>
      <c r="C91" s="50" t="s">
        <v>78</v>
      </c>
      <c r="D91" s="16"/>
      <c r="E91" s="24">
        <f>BADEAN!AB91+BLIMBINGSARI!U91+BOMO!W91+GINTANGAN!Z91+KALIGUNG!R91+KAOTAN!M91+KARANGREJO!P91+PATOMAN!W91+SUKOJATI!P91+WATUKEBO!AK91</f>
        <v>17</v>
      </c>
      <c r="F91" s="18"/>
      <c r="G91" s="5"/>
      <c r="H91" s="5"/>
      <c r="I91" s="5"/>
      <c r="J91" s="5"/>
      <c r="K91" s="5"/>
      <c r="L91" s="5"/>
      <c r="M91" s="5"/>
      <c r="N91" s="5"/>
      <c r="O91" s="5"/>
      <c r="P91" s="6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19" t="s">
        <v>15</v>
      </c>
      <c r="B92" s="47" t="s">
        <v>46</v>
      </c>
      <c r="C92" s="15"/>
      <c r="D92" s="16"/>
      <c r="E92" s="58">
        <f>SUM(E90:E91)</f>
        <v>56</v>
      </c>
      <c r="F92" s="18"/>
      <c r="G92" s="5"/>
      <c r="H92" s="5"/>
      <c r="I92" s="5"/>
      <c r="J92" s="5"/>
      <c r="K92" s="5"/>
      <c r="L92" s="5"/>
      <c r="M92" s="5"/>
      <c r="N92" s="5"/>
      <c r="O92" s="5"/>
      <c r="P92" s="6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56"/>
      <c r="B93" s="57"/>
      <c r="C93" s="57"/>
      <c r="D93" s="57"/>
      <c r="E93" s="24"/>
      <c r="F93" s="25"/>
      <c r="G93" s="1"/>
      <c r="H93" s="1"/>
      <c r="I93" s="1"/>
      <c r="J93" s="1"/>
      <c r="K93" s="1"/>
      <c r="L93" s="1"/>
      <c r="M93" s="1"/>
      <c r="N93" s="1"/>
      <c r="O93" s="1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30" t="s">
        <v>37</v>
      </c>
      <c r="B94" s="47" t="s">
        <v>79</v>
      </c>
      <c r="C94" s="48" t="s">
        <v>80</v>
      </c>
      <c r="D94" s="16"/>
      <c r="E94" s="24">
        <f>BADEAN!AB94+BLIMBINGSARI!U94+BOMO!W94+GINTANGAN!Z94+KALIGUNG!R94+KAOTAN!M94+KARANGREJO!P94+PATOMAN!W94+SUKOJATI!P94+WATUKEBO!AK94</f>
        <v>54</v>
      </c>
      <c r="F94" s="52"/>
      <c r="G94" s="53"/>
      <c r="H94" s="53"/>
      <c r="I94" s="53"/>
      <c r="J94" s="53"/>
      <c r="K94" s="53"/>
      <c r="L94" s="53"/>
      <c r="M94" s="53"/>
      <c r="N94" s="53"/>
      <c r="O94" s="53"/>
      <c r="P94" s="54"/>
      <c r="Q94" s="3"/>
      <c r="R94" s="3"/>
      <c r="S94" s="3"/>
      <c r="T94" s="3"/>
      <c r="U94" s="3"/>
      <c r="V94" s="3"/>
      <c r="W94" s="55"/>
      <c r="X94" s="3"/>
      <c r="Y94" s="3"/>
      <c r="Z94" s="3"/>
    </row>
    <row r="95" ht="15.75" customHeight="1">
      <c r="A95" s="30" t="s">
        <v>39</v>
      </c>
      <c r="B95" s="49"/>
      <c r="C95" s="50" t="s">
        <v>81</v>
      </c>
      <c r="D95" s="51"/>
      <c r="E95" s="24">
        <f>BADEAN!AB95+BLIMBINGSARI!U95+BOMO!W95+GINTANGAN!Z95+KALIGUNG!R95+KAOTAN!M95+KARANGREJO!P95+PATOMAN!W95+SUKOJATI!P95+WATUKEBO!AK95</f>
        <v>19</v>
      </c>
      <c r="F95" s="18"/>
      <c r="G95" s="5"/>
      <c r="H95" s="5"/>
      <c r="I95" s="5"/>
      <c r="J95" s="5"/>
      <c r="K95" s="5"/>
      <c r="L95" s="5"/>
      <c r="M95" s="5"/>
      <c r="N95" s="5"/>
      <c r="O95" s="5"/>
      <c r="P95" s="6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30"/>
      <c r="B96" s="49"/>
      <c r="C96" s="50" t="s">
        <v>82</v>
      </c>
      <c r="D96" s="51"/>
      <c r="E96" s="24">
        <f>BADEAN!AB96+BLIMBINGSARI!U96+BOMO!W96+GINTANGAN!Z96+KALIGUNG!R96+KAOTAN!M96+KARANGREJO!P96+PATOMAN!W96+SUKOJATI!P96+WATUKEBO!AK96</f>
        <v>41</v>
      </c>
      <c r="F96" s="18"/>
      <c r="G96" s="5"/>
      <c r="H96" s="5"/>
      <c r="I96" s="5"/>
      <c r="J96" s="5"/>
      <c r="K96" s="5"/>
      <c r="L96" s="5"/>
      <c r="M96" s="5"/>
      <c r="N96" s="5"/>
      <c r="O96" s="5"/>
      <c r="P96" s="6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30"/>
      <c r="B97" s="49"/>
      <c r="C97" s="50" t="s">
        <v>83</v>
      </c>
      <c r="D97" s="51"/>
      <c r="E97" s="24">
        <f>BADEAN!AB97+BLIMBINGSARI!U97+BOMO!W97+GINTANGAN!Z97+KALIGUNG!R97+KAOTAN!M97+KARANGREJO!P97+PATOMAN!W97+SUKOJATI!P97+WATUKEBO!AK97</f>
        <v>6</v>
      </c>
      <c r="F97" s="18"/>
      <c r="G97" s="5"/>
      <c r="H97" s="5"/>
      <c r="I97" s="5"/>
      <c r="J97" s="5"/>
      <c r="K97" s="5"/>
      <c r="L97" s="5"/>
      <c r="M97" s="5"/>
      <c r="N97" s="5"/>
      <c r="O97" s="5"/>
      <c r="P97" s="6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30"/>
      <c r="B98" s="49"/>
      <c r="C98" s="50" t="s">
        <v>84</v>
      </c>
      <c r="D98" s="51"/>
      <c r="E98" s="24">
        <f>BADEAN!AB98+BLIMBINGSARI!U98+BOMO!W98+GINTANGAN!Z98+KALIGUNG!R98+KAOTAN!M98+KARANGREJO!P98+PATOMAN!W98+SUKOJATI!P98+WATUKEBO!AK98</f>
        <v>1</v>
      </c>
      <c r="F98" s="18"/>
      <c r="G98" s="5"/>
      <c r="H98" s="5"/>
      <c r="I98" s="5"/>
      <c r="J98" s="5"/>
      <c r="K98" s="5"/>
      <c r="L98" s="5"/>
      <c r="M98" s="5"/>
      <c r="N98" s="5"/>
      <c r="O98" s="5"/>
      <c r="P98" s="6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30"/>
      <c r="B99" s="49"/>
      <c r="C99" s="50" t="s">
        <v>85</v>
      </c>
      <c r="D99" s="51"/>
      <c r="E99" s="24">
        <f>BADEAN!AB99+BLIMBINGSARI!U99+BOMO!W99+GINTANGAN!Z99+KALIGUNG!R99+KAOTAN!M99+KARANGREJO!P99+PATOMAN!W99+SUKOJATI!P99+WATUKEBO!AK99</f>
        <v>1</v>
      </c>
      <c r="F99" s="18"/>
      <c r="G99" s="5"/>
      <c r="H99" s="5"/>
      <c r="I99" s="5"/>
      <c r="J99" s="5"/>
      <c r="K99" s="5"/>
      <c r="L99" s="5"/>
      <c r="M99" s="5"/>
      <c r="N99" s="5"/>
      <c r="O99" s="5"/>
      <c r="P99" s="6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30"/>
      <c r="B100" s="49"/>
      <c r="C100" s="50" t="s">
        <v>86</v>
      </c>
      <c r="D100" s="51"/>
      <c r="E100" s="24">
        <f>BADEAN!AB100+BLIMBINGSARI!U100+BOMO!W100+GINTANGAN!Z100+KALIGUNG!R100+KAOTAN!M100+KARANGREJO!P100+PATOMAN!W100+SUKOJATI!P100+WATUKEBO!AK100</f>
        <v>5</v>
      </c>
      <c r="F100" s="18"/>
      <c r="G100" s="5"/>
      <c r="H100" s="5"/>
      <c r="I100" s="5"/>
      <c r="J100" s="5"/>
      <c r="K100" s="5"/>
      <c r="L100" s="5"/>
      <c r="M100" s="5"/>
      <c r="N100" s="5"/>
      <c r="O100" s="5"/>
      <c r="P100" s="6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19" t="s">
        <v>15</v>
      </c>
      <c r="B101" s="47" t="s">
        <v>46</v>
      </c>
      <c r="C101" s="15"/>
      <c r="D101" s="16"/>
      <c r="E101" s="13">
        <f>SUM(E94:E100)</f>
        <v>127</v>
      </c>
      <c r="F101" s="18"/>
      <c r="G101" s="5"/>
      <c r="H101" s="5"/>
      <c r="I101" s="5"/>
      <c r="J101" s="5"/>
      <c r="K101" s="5"/>
      <c r="L101" s="5"/>
      <c r="M101" s="5"/>
      <c r="N101" s="5"/>
      <c r="O101" s="5"/>
      <c r="P101" s="6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56"/>
      <c r="B102" s="57"/>
      <c r="C102" s="57"/>
      <c r="D102" s="57"/>
      <c r="E102" s="24"/>
      <c r="F102" s="18"/>
      <c r="G102" s="5"/>
      <c r="H102" s="5"/>
      <c r="I102" s="5"/>
      <c r="J102" s="5"/>
      <c r="K102" s="5"/>
      <c r="L102" s="5"/>
      <c r="M102" s="5"/>
      <c r="N102" s="5"/>
      <c r="O102" s="5"/>
      <c r="P102" s="6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30" t="s">
        <v>37</v>
      </c>
      <c r="B103" s="47" t="s">
        <v>87</v>
      </c>
      <c r="C103" s="48" t="s">
        <v>88</v>
      </c>
      <c r="D103" s="16"/>
      <c r="E103" s="24">
        <f>BADEAN!AB103+BLIMBINGSARI!U103+BOMO!W103+GINTANGAN!Z103+KALIGUNG!R103+KAOTAN!M103+KARANGREJO!P103+PATOMAN!W103+SUKOJATI!P103+WATUKEBO!AK103</f>
        <v>23</v>
      </c>
      <c r="F103" s="18"/>
      <c r="G103" s="5"/>
      <c r="H103" s="5"/>
      <c r="I103" s="5"/>
      <c r="J103" s="5"/>
      <c r="K103" s="5"/>
      <c r="L103" s="5"/>
      <c r="M103" s="5"/>
      <c r="N103" s="5"/>
      <c r="O103" s="5"/>
      <c r="P103" s="6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30" t="s">
        <v>39</v>
      </c>
      <c r="B104" s="49"/>
      <c r="C104" s="50" t="s">
        <v>89</v>
      </c>
      <c r="D104" s="51"/>
      <c r="E104" s="24">
        <f>BADEAN!AB104+BLIMBINGSARI!U104+BOMO!W104+GINTANGAN!Z104+KALIGUNG!R104+KAOTAN!M104+KARANGREJO!P104+PATOMAN!W104+SUKOJATI!P104+WATUKEBO!AK104</f>
        <v>34</v>
      </c>
      <c r="F104" s="18"/>
      <c r="G104" s="5"/>
      <c r="H104" s="5"/>
      <c r="I104" s="5"/>
      <c r="J104" s="5"/>
      <c r="K104" s="5"/>
      <c r="L104" s="5"/>
      <c r="M104" s="5"/>
      <c r="N104" s="5"/>
      <c r="O104" s="5"/>
      <c r="P104" s="6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18"/>
      <c r="B105" s="49"/>
      <c r="C105" s="50" t="s">
        <v>90</v>
      </c>
      <c r="D105" s="51"/>
      <c r="E105" s="24">
        <f>BADEAN!AB105+BLIMBINGSARI!U105+BOMO!W105+GINTANGAN!Z105+KALIGUNG!R105+KAOTAN!M105+KARANGREJO!P105+PATOMAN!W105+SUKOJATI!P105+WATUKEBO!AK105</f>
        <v>3</v>
      </c>
      <c r="F105" s="25"/>
      <c r="G105" s="1"/>
      <c r="H105" s="1"/>
      <c r="I105" s="1"/>
      <c r="J105" s="1"/>
      <c r="K105" s="1"/>
      <c r="L105" s="1"/>
      <c r="M105" s="1"/>
      <c r="N105" s="1"/>
      <c r="O105" s="1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18"/>
      <c r="B106" s="49"/>
      <c r="C106" s="50" t="s">
        <v>91</v>
      </c>
      <c r="D106" s="51"/>
      <c r="E106" s="24">
        <f>BADEAN!AB106+BLIMBINGSARI!U106+BOMO!W106+GINTANGAN!Z106+KALIGUNG!R106+KAOTAN!M106+KARANGREJO!P106+PATOMAN!W106+SUKOJATI!P106+WATUKEBO!AK106</f>
        <v>4</v>
      </c>
      <c r="F106" s="52"/>
      <c r="G106" s="53"/>
      <c r="H106" s="53"/>
      <c r="I106" s="53"/>
      <c r="J106" s="53"/>
      <c r="K106" s="53"/>
      <c r="L106" s="53"/>
      <c r="M106" s="53"/>
      <c r="N106" s="53"/>
      <c r="O106" s="53"/>
      <c r="P106" s="54"/>
      <c r="Q106" s="3"/>
      <c r="R106" s="3"/>
      <c r="S106" s="3"/>
      <c r="T106" s="3"/>
      <c r="U106" s="3"/>
      <c r="V106" s="3"/>
      <c r="W106" s="55"/>
      <c r="X106" s="3"/>
      <c r="Y106" s="3"/>
      <c r="Z106" s="3"/>
    </row>
    <row r="107" ht="15.75" customHeight="1">
      <c r="A107" s="18"/>
      <c r="B107" s="49"/>
      <c r="C107" s="50" t="s">
        <v>92</v>
      </c>
      <c r="D107" s="51"/>
      <c r="E107" s="24">
        <f>BADEAN!AB107+BLIMBINGSARI!U107+BOMO!W107+GINTANGAN!Z107+KALIGUNG!R107+KAOTAN!M107+KARANGREJO!P107+PATOMAN!W107+SUKOJATI!P107+WATUKEBO!AK107</f>
        <v>20</v>
      </c>
      <c r="F107" s="18"/>
      <c r="G107" s="5"/>
      <c r="H107" s="5"/>
      <c r="I107" s="5"/>
      <c r="J107" s="5"/>
      <c r="K107" s="5"/>
      <c r="L107" s="5"/>
      <c r="M107" s="5"/>
      <c r="N107" s="5"/>
      <c r="O107" s="5"/>
      <c r="P107" s="6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18"/>
      <c r="B108" s="49"/>
      <c r="C108" s="50" t="s">
        <v>93</v>
      </c>
      <c r="D108" s="51"/>
      <c r="E108" s="24">
        <f>BADEAN!AB108+BLIMBINGSARI!U108+BOMO!W108+GINTANGAN!Z108+KALIGUNG!R108+KAOTAN!M108+KARANGREJO!P108+PATOMAN!W108+SUKOJATI!P108+WATUKEBO!AK108</f>
        <v>2</v>
      </c>
      <c r="F108" s="18"/>
      <c r="G108" s="5"/>
      <c r="H108" s="5"/>
      <c r="I108" s="5"/>
      <c r="J108" s="5"/>
      <c r="K108" s="5"/>
      <c r="L108" s="5"/>
      <c r="M108" s="5"/>
      <c r="N108" s="5"/>
      <c r="O108" s="5"/>
      <c r="P108" s="6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18"/>
      <c r="B109" s="49"/>
      <c r="C109" s="50" t="s">
        <v>94</v>
      </c>
      <c r="D109" s="51"/>
      <c r="E109" s="24">
        <f>BADEAN!AB109+BLIMBINGSARI!U109+BOMO!W109+GINTANGAN!Z109+KALIGUNG!R109+KAOTAN!M109+KARANGREJO!P109+PATOMAN!W109+SUKOJATI!P109+WATUKEBO!AK109</f>
        <v>7</v>
      </c>
      <c r="F109" s="18"/>
      <c r="G109" s="5"/>
      <c r="H109" s="5"/>
      <c r="I109" s="5"/>
      <c r="J109" s="5"/>
      <c r="K109" s="5"/>
      <c r="L109" s="5"/>
      <c r="M109" s="5"/>
      <c r="N109" s="5"/>
      <c r="O109" s="5"/>
      <c r="P109" s="6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19" t="s">
        <v>15</v>
      </c>
      <c r="B110" s="47" t="s">
        <v>46</v>
      </c>
      <c r="C110" s="15"/>
      <c r="D110" s="16"/>
      <c r="E110" s="13">
        <f>SUM(E103:E109)</f>
        <v>93</v>
      </c>
      <c r="F110" s="18"/>
      <c r="G110" s="5"/>
      <c r="H110" s="5"/>
      <c r="I110" s="5"/>
      <c r="J110" s="5"/>
      <c r="K110" s="5"/>
      <c r="L110" s="5"/>
      <c r="M110" s="5"/>
      <c r="N110" s="5"/>
      <c r="O110" s="5"/>
      <c r="P110" s="6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56"/>
      <c r="B111" s="57"/>
      <c r="C111" s="57"/>
      <c r="D111" s="57"/>
      <c r="E111" s="24"/>
      <c r="F111" s="18"/>
      <c r="G111" s="5"/>
      <c r="H111" s="5"/>
      <c r="I111" s="5"/>
      <c r="J111" s="5"/>
      <c r="K111" s="5"/>
      <c r="L111" s="5"/>
      <c r="M111" s="5"/>
      <c r="N111" s="5"/>
      <c r="O111" s="5"/>
      <c r="P111" s="6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30" t="s">
        <v>37</v>
      </c>
      <c r="B112" s="47" t="s">
        <v>95</v>
      </c>
      <c r="C112" s="48" t="s">
        <v>96</v>
      </c>
      <c r="D112" s="16"/>
      <c r="E112" s="24">
        <f>BADEAN!AB112+BLIMBINGSARI!U112+BOMO!W112+GINTANGAN!Z112+KALIGUNG!R112+KAOTAN!M112+KARANGREJO!P112+PATOMAN!W112+SUKOJATI!P112+WATUKEBO!AK112</f>
        <v>3</v>
      </c>
      <c r="F112" s="25"/>
      <c r="G112" s="1"/>
      <c r="H112" s="1"/>
      <c r="I112" s="1"/>
      <c r="J112" s="1"/>
      <c r="K112" s="1"/>
      <c r="L112" s="1"/>
      <c r="M112" s="1"/>
      <c r="N112" s="1"/>
      <c r="O112" s="1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30"/>
      <c r="B113" s="47"/>
      <c r="C113" s="50" t="s">
        <v>97</v>
      </c>
      <c r="D113" s="59"/>
      <c r="E113" s="24">
        <f>BADEAN!AB113+BLIMBINGSARI!U113+BOMO!W113+GINTANGAN!Z113+KALIGUNG!R113+KAOTAN!M113+KARANGREJO!P113+PATOMAN!W113+SUKOJATI!P113+WATUKEBO!AK113</f>
        <v>2</v>
      </c>
      <c r="F113" s="25"/>
      <c r="G113" s="1"/>
      <c r="H113" s="1"/>
      <c r="I113" s="1"/>
      <c r="J113" s="1"/>
      <c r="K113" s="1"/>
      <c r="L113" s="1"/>
      <c r="M113" s="1"/>
      <c r="N113" s="1"/>
      <c r="O113" s="1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30"/>
      <c r="B114" s="47"/>
      <c r="C114" s="50" t="s">
        <v>98</v>
      </c>
      <c r="D114" s="59"/>
      <c r="E114" s="24">
        <f>BADEAN!AB114+BLIMBINGSARI!U114+BOMO!W114+GINTANGAN!Z114+KALIGUNG!R114+KAOTAN!M114+KARANGREJO!P114+PATOMAN!W114+SUKOJATI!P114+WATUKEBO!AK114</f>
        <v>4</v>
      </c>
      <c r="F114" s="25"/>
      <c r="G114" s="1"/>
      <c r="H114" s="1"/>
      <c r="I114" s="1"/>
      <c r="J114" s="1"/>
      <c r="K114" s="1"/>
      <c r="L114" s="1"/>
      <c r="M114" s="1"/>
      <c r="N114" s="1"/>
      <c r="O114" s="1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30"/>
      <c r="B115" s="47"/>
      <c r="C115" s="50" t="s">
        <v>99</v>
      </c>
      <c r="D115" s="59"/>
      <c r="E115" s="24">
        <f>BADEAN!AB115+BLIMBINGSARI!U115+BOMO!W115+GINTANGAN!Z115+KALIGUNG!R115+KAOTAN!M115+KARANGREJO!P115+PATOMAN!W115+SUKOJATI!P115+WATUKEBO!AK115</f>
        <v>0</v>
      </c>
      <c r="F115" s="52"/>
      <c r="G115" s="53"/>
      <c r="H115" s="53"/>
      <c r="I115" s="53"/>
      <c r="J115" s="53"/>
      <c r="K115" s="53"/>
      <c r="L115" s="53"/>
      <c r="M115" s="53"/>
      <c r="N115" s="53"/>
      <c r="O115" s="53"/>
      <c r="P115" s="54"/>
      <c r="Q115" s="3"/>
      <c r="R115" s="3"/>
      <c r="S115" s="3"/>
      <c r="T115" s="3"/>
      <c r="U115" s="3"/>
      <c r="V115" s="3"/>
      <c r="W115" s="55"/>
      <c r="X115" s="3"/>
      <c r="Y115" s="3"/>
      <c r="Z115" s="3"/>
    </row>
    <row r="116" ht="15.75" customHeight="1">
      <c r="A116" s="30" t="s">
        <v>39</v>
      </c>
      <c r="B116" s="49"/>
      <c r="C116" s="50" t="s">
        <v>100</v>
      </c>
      <c r="D116" s="51"/>
      <c r="E116" s="24">
        <f>BADEAN!AB116+BLIMBINGSARI!U116+BOMO!W116+GINTANGAN!Z116+KALIGUNG!R116+KAOTAN!M116+KARANGREJO!P116+PATOMAN!W116+SUKOJATI!P116+WATUKEBO!AK116</f>
        <v>2</v>
      </c>
      <c r="F116" s="18"/>
      <c r="G116" s="5"/>
      <c r="H116" s="5"/>
      <c r="I116" s="5"/>
      <c r="J116" s="5"/>
      <c r="K116" s="5"/>
      <c r="L116" s="5"/>
      <c r="M116" s="5"/>
      <c r="N116" s="5"/>
      <c r="O116" s="5"/>
      <c r="P116" s="6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18"/>
      <c r="B117" s="49"/>
      <c r="C117" s="50" t="s">
        <v>101</v>
      </c>
      <c r="D117" s="51"/>
      <c r="E117" s="24">
        <f>BADEAN!AB117+BLIMBINGSARI!U117+BOMO!W117+GINTANGAN!Z117+KALIGUNG!R117+KAOTAN!M117+KARANGREJO!P117+PATOMAN!W117+SUKOJATI!P117+WATUKEBO!AK117</f>
        <v>0</v>
      </c>
      <c r="F117" s="18"/>
      <c r="G117" s="5"/>
      <c r="H117" s="5"/>
      <c r="I117" s="5"/>
      <c r="J117" s="5"/>
      <c r="K117" s="5"/>
      <c r="L117" s="5"/>
      <c r="M117" s="5"/>
      <c r="N117" s="5"/>
      <c r="O117" s="5"/>
      <c r="P117" s="6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18"/>
      <c r="B118" s="49"/>
      <c r="C118" s="50" t="s">
        <v>102</v>
      </c>
      <c r="D118" s="51"/>
      <c r="E118" s="24">
        <f>BADEAN!AB118+BLIMBINGSARI!U118+BOMO!W118+GINTANGAN!Z118+KALIGUNG!R118+KAOTAN!M118+KARANGREJO!P118+PATOMAN!W118+SUKOJATI!P118+WATUKEBO!AK118</f>
        <v>0</v>
      </c>
      <c r="F118" s="18"/>
      <c r="G118" s="5"/>
      <c r="H118" s="5"/>
      <c r="I118" s="5"/>
      <c r="J118" s="5"/>
      <c r="K118" s="5"/>
      <c r="L118" s="5"/>
      <c r="M118" s="5"/>
      <c r="N118" s="5"/>
      <c r="O118" s="5"/>
      <c r="P118" s="6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19" t="s">
        <v>15</v>
      </c>
      <c r="B119" s="47" t="s">
        <v>46</v>
      </c>
      <c r="C119" s="15"/>
      <c r="D119" s="16"/>
      <c r="E119" s="13">
        <f>SUM(E112:E118)</f>
        <v>11</v>
      </c>
      <c r="F119" s="18"/>
      <c r="G119" s="5"/>
      <c r="H119" s="5"/>
      <c r="I119" s="5"/>
      <c r="J119" s="5"/>
      <c r="K119" s="5"/>
      <c r="L119" s="5"/>
      <c r="M119" s="5"/>
      <c r="N119" s="5"/>
      <c r="O119" s="5"/>
      <c r="P119" s="6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56"/>
      <c r="B120" s="57"/>
      <c r="C120" s="57"/>
      <c r="D120" s="57"/>
      <c r="E120" s="24"/>
      <c r="F120" s="18"/>
      <c r="G120" s="5"/>
      <c r="H120" s="5"/>
      <c r="I120" s="5"/>
      <c r="J120" s="5"/>
      <c r="K120" s="5"/>
      <c r="L120" s="5"/>
      <c r="M120" s="5"/>
      <c r="N120" s="5"/>
      <c r="O120" s="5"/>
      <c r="P120" s="6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30" t="s">
        <v>37</v>
      </c>
      <c r="B121" s="47" t="s">
        <v>103</v>
      </c>
      <c r="C121" s="48" t="s">
        <v>104</v>
      </c>
      <c r="D121" s="16"/>
      <c r="E121" s="24">
        <f>BADEAN!AB121+BLIMBINGSARI!U121+BOMO!W121+GINTANGAN!Z121+KALIGUNG!R121+KAOTAN!M121+KARANGREJO!P121+PATOMAN!W121+SUKOJATI!P121+WATUKEBO!AK121</f>
        <v>13</v>
      </c>
      <c r="F121" s="18"/>
      <c r="G121" s="5"/>
      <c r="H121" s="5"/>
      <c r="I121" s="5"/>
      <c r="J121" s="5"/>
      <c r="K121" s="5"/>
      <c r="L121" s="5"/>
      <c r="M121" s="5"/>
      <c r="N121" s="5"/>
      <c r="O121" s="5"/>
      <c r="P121" s="6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30" t="s">
        <v>39</v>
      </c>
      <c r="B122" s="49"/>
      <c r="C122" s="50" t="s">
        <v>105</v>
      </c>
      <c r="D122" s="51"/>
      <c r="E122" s="24">
        <f>BADEAN!AB122+BLIMBINGSARI!U122+BOMO!W122+GINTANGAN!Z122+KALIGUNG!R122+KAOTAN!M122+KARANGREJO!P122+PATOMAN!W122+SUKOJATI!P122+WATUKEBO!AK122</f>
        <v>47</v>
      </c>
      <c r="F122" s="18"/>
      <c r="G122" s="5"/>
      <c r="H122" s="5"/>
      <c r="I122" s="5"/>
      <c r="J122" s="5"/>
      <c r="K122" s="5"/>
      <c r="L122" s="5"/>
      <c r="M122" s="5"/>
      <c r="N122" s="5"/>
      <c r="O122" s="5"/>
      <c r="P122" s="6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18"/>
      <c r="B123" s="49"/>
      <c r="C123" s="50" t="s">
        <v>106</v>
      </c>
      <c r="D123" s="51"/>
      <c r="E123" s="24">
        <f>BADEAN!AB123+BLIMBINGSARI!U123+BOMO!W123+GINTANGAN!Z123+KALIGUNG!R123+KAOTAN!M123+KARANGREJO!P123+PATOMAN!W123+SUKOJATI!P123+WATUKEBO!AK123</f>
        <v>12</v>
      </c>
      <c r="F123" s="18"/>
      <c r="G123" s="5"/>
      <c r="H123" s="5"/>
      <c r="I123" s="5"/>
      <c r="J123" s="5"/>
      <c r="K123" s="5"/>
      <c r="L123" s="5"/>
      <c r="M123" s="5"/>
      <c r="N123" s="5"/>
      <c r="O123" s="5"/>
      <c r="P123" s="6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18"/>
      <c r="B124" s="49"/>
      <c r="C124" s="50" t="s">
        <v>107</v>
      </c>
      <c r="D124" s="51"/>
      <c r="E124" s="24">
        <f>BADEAN!AB124+BLIMBINGSARI!U124+BOMO!W124+GINTANGAN!Z124+KALIGUNG!R124+KAOTAN!M124+KARANGREJO!P124+PATOMAN!W124+SUKOJATI!P124+WATUKEBO!AK124</f>
        <v>8</v>
      </c>
      <c r="F124" s="18"/>
      <c r="G124" s="5"/>
      <c r="H124" s="5"/>
      <c r="I124" s="5"/>
      <c r="J124" s="5"/>
      <c r="K124" s="5"/>
      <c r="L124" s="5"/>
      <c r="M124" s="5"/>
      <c r="N124" s="5"/>
      <c r="O124" s="5"/>
      <c r="P124" s="6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18"/>
      <c r="B125" s="49"/>
      <c r="C125" s="50" t="s">
        <v>108</v>
      </c>
      <c r="D125" s="51"/>
      <c r="E125" s="24">
        <f>BADEAN!AB125+BLIMBINGSARI!U125+BOMO!W125+GINTANGAN!Z125+KALIGUNG!R125+KAOTAN!M125+KARANGREJO!P125+PATOMAN!W125+SUKOJATI!P125+WATUKEBO!AK125</f>
        <v>39</v>
      </c>
      <c r="F125" s="18"/>
      <c r="G125" s="5"/>
      <c r="H125" s="5"/>
      <c r="I125" s="5"/>
      <c r="J125" s="5"/>
      <c r="K125" s="5"/>
      <c r="L125" s="5"/>
      <c r="M125" s="5"/>
      <c r="N125" s="5"/>
      <c r="O125" s="5"/>
      <c r="P125" s="6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18"/>
      <c r="B126" s="49"/>
      <c r="C126" s="50" t="s">
        <v>109</v>
      </c>
      <c r="D126" s="51"/>
      <c r="E126" s="24">
        <f>BADEAN!AB126+BLIMBINGSARI!U126+BOMO!W126+GINTANGAN!Z126+KALIGUNG!R126+KAOTAN!M126+KARANGREJO!P126+PATOMAN!W126+SUKOJATI!P126+WATUKEBO!AK126</f>
        <v>4</v>
      </c>
      <c r="F126" s="18"/>
      <c r="G126" s="5"/>
      <c r="H126" s="5"/>
      <c r="I126" s="5"/>
      <c r="J126" s="5"/>
      <c r="K126" s="5"/>
      <c r="L126" s="5"/>
      <c r="M126" s="5"/>
      <c r="N126" s="5"/>
      <c r="O126" s="5"/>
      <c r="P126" s="6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18"/>
      <c r="B127" s="49"/>
      <c r="C127" s="50" t="s">
        <v>110</v>
      </c>
      <c r="D127" s="51"/>
      <c r="E127" s="24">
        <f>BADEAN!AB127+BLIMBINGSARI!U127+BOMO!W127+GINTANGAN!Z127+KALIGUNG!R127+KAOTAN!M127+KARANGREJO!P127+PATOMAN!W127+SUKOJATI!P127+WATUKEBO!AK127</f>
        <v>0</v>
      </c>
      <c r="F127" s="18"/>
      <c r="G127" s="5"/>
      <c r="H127" s="5"/>
      <c r="I127" s="5"/>
      <c r="J127" s="5"/>
      <c r="K127" s="5"/>
      <c r="L127" s="5"/>
      <c r="M127" s="5"/>
      <c r="N127" s="5"/>
      <c r="O127" s="5"/>
      <c r="P127" s="6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19" t="s">
        <v>15</v>
      </c>
      <c r="B128" s="47" t="s">
        <v>46</v>
      </c>
      <c r="C128" s="15"/>
      <c r="D128" s="16"/>
      <c r="E128" s="13">
        <f>SUM(E121:E127)</f>
        <v>123</v>
      </c>
      <c r="F128" s="18"/>
      <c r="G128" s="5"/>
      <c r="H128" s="5"/>
      <c r="I128" s="5"/>
      <c r="J128" s="5"/>
      <c r="K128" s="5"/>
      <c r="L128" s="5"/>
      <c r="M128" s="5"/>
      <c r="N128" s="5"/>
      <c r="O128" s="5"/>
      <c r="P128" s="6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56"/>
      <c r="B129" s="57"/>
      <c r="C129" s="57"/>
      <c r="D129" s="57"/>
      <c r="E129" s="24"/>
      <c r="F129" s="25"/>
      <c r="G129" s="1"/>
      <c r="H129" s="1"/>
      <c r="I129" s="1"/>
      <c r="J129" s="1"/>
      <c r="K129" s="1"/>
      <c r="L129" s="1"/>
      <c r="M129" s="1"/>
      <c r="N129" s="1"/>
      <c r="O129" s="1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30" t="s">
        <v>37</v>
      </c>
      <c r="B130" s="47" t="s">
        <v>111</v>
      </c>
      <c r="C130" s="48" t="s">
        <v>112</v>
      </c>
      <c r="D130" s="16"/>
      <c r="E130" s="24">
        <f>BADEAN!AB130+BLIMBINGSARI!U130+BOMO!W130+GINTANGAN!Z130+KALIGUNG!R130+KAOTAN!M130+KARANGREJO!P130+PATOMAN!W130+SUKOJATI!P130+WATUKEBO!AK130</f>
        <v>7</v>
      </c>
      <c r="F130" s="52"/>
      <c r="G130" s="53"/>
      <c r="H130" s="53"/>
      <c r="I130" s="53"/>
      <c r="J130" s="53"/>
      <c r="K130" s="53"/>
      <c r="L130" s="53"/>
      <c r="M130" s="53"/>
      <c r="N130" s="53"/>
      <c r="O130" s="53"/>
      <c r="P130" s="54"/>
      <c r="Q130" s="3"/>
      <c r="R130" s="3"/>
      <c r="S130" s="3"/>
      <c r="T130" s="3"/>
      <c r="U130" s="3"/>
      <c r="V130" s="3"/>
      <c r="W130" s="55"/>
      <c r="X130" s="3"/>
      <c r="Y130" s="3"/>
      <c r="Z130" s="3"/>
    </row>
    <row r="131" ht="15.75" customHeight="1">
      <c r="A131" s="30" t="s">
        <v>39</v>
      </c>
      <c r="B131" s="49"/>
      <c r="C131" s="50" t="s">
        <v>113</v>
      </c>
      <c r="D131" s="51"/>
      <c r="E131" s="24">
        <f>BADEAN!AB131+BLIMBINGSARI!U131+BOMO!W131+GINTANGAN!Z131+KALIGUNG!R131+KAOTAN!M131+KARANGREJO!P131+PATOMAN!W131+SUKOJATI!P131+WATUKEBO!AK131</f>
        <v>0</v>
      </c>
      <c r="F131" s="18"/>
      <c r="G131" s="5"/>
      <c r="H131" s="5"/>
      <c r="I131" s="5"/>
      <c r="J131" s="5"/>
      <c r="K131" s="5"/>
      <c r="L131" s="5"/>
      <c r="M131" s="5"/>
      <c r="N131" s="5"/>
      <c r="O131" s="5"/>
      <c r="P131" s="6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19" t="s">
        <v>15</v>
      </c>
      <c r="B132" s="47" t="s">
        <v>46</v>
      </c>
      <c r="C132" s="15"/>
      <c r="D132" s="16"/>
      <c r="E132" s="13">
        <f>SUM(E130:E131)</f>
        <v>7</v>
      </c>
      <c r="F132" s="18"/>
      <c r="G132" s="5"/>
      <c r="H132" s="5"/>
      <c r="I132" s="5"/>
      <c r="J132" s="5"/>
      <c r="K132" s="5"/>
      <c r="L132" s="5"/>
      <c r="M132" s="5"/>
      <c r="N132" s="5"/>
      <c r="O132" s="5"/>
      <c r="P132" s="6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56"/>
      <c r="B133" s="57"/>
      <c r="C133" s="57"/>
      <c r="D133" s="57"/>
      <c r="E133" s="24"/>
      <c r="F133" s="18"/>
      <c r="G133" s="5"/>
      <c r="H133" s="5"/>
      <c r="I133" s="5"/>
      <c r="J133" s="5"/>
      <c r="K133" s="5"/>
      <c r="L133" s="5"/>
      <c r="M133" s="5"/>
      <c r="N133" s="5"/>
      <c r="O133" s="5"/>
      <c r="P133" s="6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30" t="s">
        <v>37</v>
      </c>
      <c r="B134" s="47" t="s">
        <v>114</v>
      </c>
      <c r="C134" s="48" t="s">
        <v>115</v>
      </c>
      <c r="D134" s="16"/>
      <c r="E134" s="24">
        <f>BADEAN!AB134+BLIMBINGSARI!U134+BOMO!W134+GINTANGAN!Z134+KALIGUNG!R134+KAOTAN!M134+KARANGREJO!P134+PATOMAN!W134+SUKOJATI!P134+WATUKEBO!AK134</f>
        <v>20</v>
      </c>
      <c r="F134" s="18"/>
      <c r="G134" s="5"/>
      <c r="H134" s="5"/>
      <c r="I134" s="5"/>
      <c r="J134" s="5"/>
      <c r="K134" s="5"/>
      <c r="L134" s="5"/>
      <c r="M134" s="5"/>
      <c r="N134" s="5"/>
      <c r="O134" s="5"/>
      <c r="P134" s="6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30" t="s">
        <v>39</v>
      </c>
      <c r="B135" s="49"/>
      <c r="C135" s="50" t="s">
        <v>116</v>
      </c>
      <c r="D135" s="51"/>
      <c r="E135" s="24">
        <f>BADEAN!AB135+BLIMBINGSARI!U135+BOMO!W135+GINTANGAN!Z135+KALIGUNG!R135+KAOTAN!M135+KARANGREJO!P135+PATOMAN!W135+SUKOJATI!P135+WATUKEBO!AK135</f>
        <v>13</v>
      </c>
      <c r="F135" s="18"/>
      <c r="G135" s="5"/>
      <c r="H135" s="5"/>
      <c r="I135" s="5"/>
      <c r="J135" s="5"/>
      <c r="K135" s="5"/>
      <c r="L135" s="5"/>
      <c r="M135" s="5"/>
      <c r="N135" s="5"/>
      <c r="O135" s="5"/>
      <c r="P135" s="6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18"/>
      <c r="B136" s="49"/>
      <c r="C136" s="50" t="s">
        <v>117</v>
      </c>
      <c r="D136" s="51"/>
      <c r="E136" s="24">
        <f>BADEAN!AB136+BLIMBINGSARI!U136+BOMO!W136+GINTANGAN!Z136+KALIGUNG!R136+KAOTAN!M136+KARANGREJO!P136+PATOMAN!W136+SUKOJATI!P136+WATUKEBO!AK136</f>
        <v>13</v>
      </c>
      <c r="F136" s="18"/>
      <c r="G136" s="5"/>
      <c r="H136" s="5"/>
      <c r="I136" s="5"/>
      <c r="J136" s="5"/>
      <c r="K136" s="5"/>
      <c r="L136" s="5"/>
      <c r="M136" s="5"/>
      <c r="N136" s="5"/>
      <c r="O136" s="5"/>
      <c r="P136" s="6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18"/>
      <c r="B137" s="49"/>
      <c r="C137" s="50" t="s">
        <v>118</v>
      </c>
      <c r="D137" s="51"/>
      <c r="E137" s="24">
        <f>BADEAN!AB137+BLIMBINGSARI!U137+BOMO!W137+GINTANGAN!Z137+KALIGUNG!R137+KAOTAN!M137+KARANGREJO!P137+PATOMAN!W137+SUKOJATI!P137+WATUKEBO!AK137</f>
        <v>13</v>
      </c>
      <c r="F137" s="18"/>
      <c r="G137" s="5"/>
      <c r="H137" s="5"/>
      <c r="I137" s="5"/>
      <c r="J137" s="5"/>
      <c r="K137" s="5"/>
      <c r="L137" s="5"/>
      <c r="M137" s="5"/>
      <c r="N137" s="5"/>
      <c r="O137" s="5"/>
      <c r="P137" s="6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18"/>
      <c r="B138" s="49"/>
      <c r="C138" s="50" t="s">
        <v>119</v>
      </c>
      <c r="D138" s="51"/>
      <c r="E138" s="24">
        <f>BADEAN!AB138+BLIMBINGSARI!U138+BOMO!W138+GINTANGAN!Z138+KALIGUNG!R138+KAOTAN!M138+KARANGREJO!P138+PATOMAN!W138+SUKOJATI!P138+WATUKEBO!AK138</f>
        <v>3</v>
      </c>
      <c r="F138" s="18"/>
      <c r="G138" s="5"/>
      <c r="H138" s="5"/>
      <c r="I138" s="5"/>
      <c r="J138" s="5"/>
      <c r="K138" s="5"/>
      <c r="L138" s="5"/>
      <c r="M138" s="5"/>
      <c r="N138" s="5"/>
      <c r="O138" s="5"/>
      <c r="P138" s="6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18"/>
      <c r="B139" s="49"/>
      <c r="C139" s="50" t="s">
        <v>120</v>
      </c>
      <c r="D139" s="51"/>
      <c r="E139" s="24">
        <f>BADEAN!AB139+BLIMBINGSARI!U139+BOMO!W139+GINTANGAN!Z139+KALIGUNG!R139+KAOTAN!M139+KARANGREJO!P139+PATOMAN!W139+SUKOJATI!P139+WATUKEBO!AK139</f>
        <v>1</v>
      </c>
      <c r="F139" s="18"/>
      <c r="G139" s="5"/>
      <c r="H139" s="5"/>
      <c r="I139" s="5"/>
      <c r="J139" s="5"/>
      <c r="K139" s="5"/>
      <c r="L139" s="5"/>
      <c r="M139" s="5"/>
      <c r="N139" s="5"/>
      <c r="O139" s="5"/>
      <c r="P139" s="6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18"/>
      <c r="B140" s="49"/>
      <c r="C140" s="50" t="s">
        <v>121</v>
      </c>
      <c r="D140" s="51"/>
      <c r="E140" s="24">
        <f>BADEAN!AB140+BLIMBINGSARI!U140+BOMO!W140+GINTANGAN!Z140+KALIGUNG!R140+KAOTAN!M140+KARANGREJO!P140+PATOMAN!W140+SUKOJATI!P140+WATUKEBO!AK140</f>
        <v>10</v>
      </c>
      <c r="F140" s="18"/>
      <c r="G140" s="5"/>
      <c r="H140" s="5"/>
      <c r="I140" s="5"/>
      <c r="J140" s="5"/>
      <c r="K140" s="5"/>
      <c r="L140" s="5"/>
      <c r="M140" s="5"/>
      <c r="N140" s="5"/>
      <c r="O140" s="5"/>
      <c r="P140" s="6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19" t="s">
        <v>15</v>
      </c>
      <c r="B141" s="47" t="s">
        <v>46</v>
      </c>
      <c r="C141" s="15"/>
      <c r="D141" s="16"/>
      <c r="E141" s="13">
        <f>SUM(E134:E140)</f>
        <v>73</v>
      </c>
      <c r="F141" s="25"/>
      <c r="G141" s="1"/>
      <c r="H141" s="1"/>
      <c r="I141" s="1"/>
      <c r="J141" s="1"/>
      <c r="K141" s="1"/>
      <c r="L141" s="1"/>
      <c r="M141" s="1"/>
      <c r="N141" s="1"/>
      <c r="O141" s="1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56"/>
      <c r="B142" s="57"/>
      <c r="C142" s="57"/>
      <c r="D142" s="57"/>
      <c r="E142" s="24"/>
      <c r="F142" s="52"/>
      <c r="G142" s="53"/>
      <c r="H142" s="53"/>
      <c r="I142" s="53"/>
      <c r="J142" s="53"/>
      <c r="K142" s="53"/>
      <c r="L142" s="53"/>
      <c r="M142" s="53"/>
      <c r="N142" s="53"/>
      <c r="O142" s="53"/>
      <c r="P142" s="54"/>
      <c r="Q142" s="3"/>
      <c r="R142" s="3"/>
      <c r="S142" s="3"/>
      <c r="T142" s="3"/>
      <c r="U142" s="3"/>
      <c r="V142" s="3"/>
      <c r="W142" s="55"/>
      <c r="X142" s="3"/>
      <c r="Y142" s="3"/>
      <c r="Z142" s="3"/>
    </row>
    <row r="143" ht="15.75" customHeight="1">
      <c r="A143" s="30" t="s">
        <v>37</v>
      </c>
      <c r="B143" s="47" t="s">
        <v>122</v>
      </c>
      <c r="C143" s="48" t="s">
        <v>123</v>
      </c>
      <c r="D143" s="16"/>
      <c r="E143" s="24">
        <f>BADEAN!AB143+BLIMBINGSARI!U143+BOMO!W143+GINTANGAN!Z143+KALIGUNG!R143+KAOTAN!M143+KARANGREJO!P143+PATOMAN!W143+SUKOJATI!P143+WATUKEBO!AK143</f>
        <v>15</v>
      </c>
      <c r="F143" s="18"/>
      <c r="G143" s="5"/>
      <c r="H143" s="5"/>
      <c r="I143" s="5"/>
      <c r="J143" s="5"/>
      <c r="K143" s="5"/>
      <c r="L143" s="5"/>
      <c r="M143" s="5"/>
      <c r="N143" s="5"/>
      <c r="O143" s="5"/>
      <c r="P143" s="6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30" t="s">
        <v>39</v>
      </c>
      <c r="B144" s="49"/>
      <c r="C144" s="50" t="s">
        <v>124</v>
      </c>
      <c r="D144" s="51"/>
      <c r="E144" s="24">
        <f>BADEAN!AB144+BLIMBINGSARI!U144+BOMO!W144+GINTANGAN!Z144+KALIGUNG!R144+KAOTAN!M144+KARANGREJO!P144+PATOMAN!W144+SUKOJATI!P144+WATUKEBO!AK144</f>
        <v>30</v>
      </c>
      <c r="F144" s="18"/>
      <c r="G144" s="5"/>
      <c r="H144" s="5"/>
      <c r="I144" s="5"/>
      <c r="J144" s="5"/>
      <c r="K144" s="5"/>
      <c r="L144" s="5"/>
      <c r="M144" s="5"/>
      <c r="N144" s="5"/>
      <c r="O144" s="5"/>
      <c r="P144" s="6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18"/>
      <c r="B145" s="49"/>
      <c r="C145" s="50" t="s">
        <v>125</v>
      </c>
      <c r="D145" s="51"/>
      <c r="E145" s="24">
        <f>BADEAN!AB145+BLIMBINGSARI!U145+BOMO!W145+GINTANGAN!Z145+KALIGUNG!R145+KAOTAN!M145+KARANGREJO!P145+PATOMAN!W145+SUKOJATI!P145+WATUKEBO!AK145</f>
        <v>6</v>
      </c>
      <c r="F145" s="18"/>
      <c r="G145" s="5"/>
      <c r="H145" s="5"/>
      <c r="I145" s="5"/>
      <c r="J145" s="5"/>
      <c r="K145" s="5"/>
      <c r="L145" s="5"/>
      <c r="M145" s="5"/>
      <c r="N145" s="5"/>
      <c r="O145" s="5"/>
      <c r="P145" s="6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18"/>
      <c r="B146" s="49"/>
      <c r="C146" s="50" t="s">
        <v>126</v>
      </c>
      <c r="D146" s="51"/>
      <c r="E146" s="24">
        <f>BADEAN!AB146+BLIMBINGSARI!U146+BOMO!W146+GINTANGAN!Z146+KALIGUNG!R146+KAOTAN!M146+KARANGREJO!P146+PATOMAN!W146+SUKOJATI!P146+WATUKEBO!AK146</f>
        <v>1</v>
      </c>
      <c r="F146" s="18"/>
      <c r="G146" s="5"/>
      <c r="H146" s="5"/>
      <c r="I146" s="5"/>
      <c r="J146" s="5"/>
      <c r="K146" s="5"/>
      <c r="L146" s="5"/>
      <c r="M146" s="5"/>
      <c r="N146" s="5"/>
      <c r="O146" s="5"/>
      <c r="P146" s="6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18"/>
      <c r="B147" s="49"/>
      <c r="C147" s="50" t="s">
        <v>127</v>
      </c>
      <c r="D147" s="51"/>
      <c r="E147" s="24">
        <f>BADEAN!AB147+BLIMBINGSARI!U147+BOMO!W147+GINTANGAN!Z147+KALIGUNG!R147+KAOTAN!M147+KARANGREJO!P147+PATOMAN!W147+SUKOJATI!P147+WATUKEBO!AK147</f>
        <v>0</v>
      </c>
      <c r="F147" s="18"/>
      <c r="G147" s="5"/>
      <c r="H147" s="5"/>
      <c r="I147" s="5"/>
      <c r="J147" s="5"/>
      <c r="K147" s="5"/>
      <c r="L147" s="5"/>
      <c r="M147" s="5"/>
      <c r="N147" s="5"/>
      <c r="O147" s="5"/>
      <c r="P147" s="6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18"/>
      <c r="B148" s="49"/>
      <c r="C148" s="50" t="s">
        <v>128</v>
      </c>
      <c r="D148" s="51"/>
      <c r="E148" s="24">
        <f>BADEAN!AB148+BLIMBINGSARI!U148+BOMO!W148+GINTANGAN!Z148+KALIGUNG!R148+KAOTAN!M148+KARANGREJO!P148+PATOMAN!W148+SUKOJATI!P148+WATUKEBO!AK148</f>
        <v>3</v>
      </c>
      <c r="F148" s="18"/>
      <c r="G148" s="5"/>
      <c r="H148" s="5"/>
      <c r="I148" s="5"/>
      <c r="J148" s="5"/>
      <c r="K148" s="5"/>
      <c r="L148" s="5"/>
      <c r="M148" s="5"/>
      <c r="N148" s="5"/>
      <c r="O148" s="5"/>
      <c r="P148" s="6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18"/>
      <c r="B149" s="49"/>
      <c r="C149" s="50" t="s">
        <v>129</v>
      </c>
      <c r="D149" s="51"/>
      <c r="E149" s="24">
        <f>BADEAN!AB149+BLIMBINGSARI!U149+BOMO!W149+GINTANGAN!Z149+KALIGUNG!R149+KAOTAN!M149+KARANGREJO!P149+PATOMAN!W149+SUKOJATI!P149+WATUKEBO!AK149</f>
        <v>2</v>
      </c>
      <c r="F149" s="18"/>
      <c r="G149" s="5"/>
      <c r="H149" s="5"/>
      <c r="I149" s="5"/>
      <c r="J149" s="5"/>
      <c r="K149" s="5"/>
      <c r="L149" s="5"/>
      <c r="M149" s="5"/>
      <c r="N149" s="5"/>
      <c r="O149" s="5"/>
      <c r="P149" s="6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9" t="s">
        <v>15</v>
      </c>
      <c r="B150" s="47" t="s">
        <v>46</v>
      </c>
      <c r="C150" s="15"/>
      <c r="D150" s="16"/>
      <c r="E150" s="13">
        <f>SUM(E143:E149)</f>
        <v>57</v>
      </c>
      <c r="F150" s="18"/>
      <c r="G150" s="5"/>
      <c r="H150" s="5"/>
      <c r="I150" s="5"/>
      <c r="J150" s="5"/>
      <c r="K150" s="5"/>
      <c r="L150" s="5"/>
      <c r="M150" s="5"/>
      <c r="N150" s="5"/>
      <c r="O150" s="5"/>
      <c r="P150" s="6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56"/>
      <c r="B151" s="57"/>
      <c r="C151" s="57"/>
      <c r="D151" s="57"/>
      <c r="E151" s="24"/>
      <c r="F151" s="18"/>
      <c r="G151" s="5"/>
      <c r="H151" s="5"/>
      <c r="I151" s="5"/>
      <c r="J151" s="5"/>
      <c r="K151" s="5"/>
      <c r="L151" s="5"/>
      <c r="M151" s="5"/>
      <c r="N151" s="5"/>
      <c r="O151" s="5"/>
      <c r="P151" s="6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30" t="s">
        <v>37</v>
      </c>
      <c r="B152" s="47" t="s">
        <v>130</v>
      </c>
      <c r="C152" s="48" t="s">
        <v>131</v>
      </c>
      <c r="D152" s="16"/>
      <c r="E152" s="24">
        <f>BADEAN!AB152+BLIMBINGSARI!U152+BOMO!W152+GINTANGAN!Z152+KALIGUNG!R152+KAOTAN!M152+KARANGREJO!P152+PATOMAN!W152+SUKOJATI!P152+WATUKEBO!AK152</f>
        <v>705</v>
      </c>
      <c r="F152" s="25"/>
      <c r="G152" s="1"/>
      <c r="H152" s="1"/>
      <c r="I152" s="1"/>
      <c r="J152" s="1"/>
      <c r="K152" s="1"/>
      <c r="L152" s="1"/>
      <c r="M152" s="1"/>
      <c r="N152" s="1"/>
      <c r="O152" s="1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30" t="s">
        <v>39</v>
      </c>
      <c r="B153" s="49"/>
      <c r="C153" s="50" t="s">
        <v>132</v>
      </c>
      <c r="D153" s="51"/>
      <c r="E153" s="24">
        <f>BADEAN!AB153+BLIMBINGSARI!U153+BOMO!W153+GINTANGAN!Z153+KALIGUNG!R153+KAOTAN!M153+KARANGREJO!P153+PATOMAN!W153+SUKOJATI!P153+WATUKEBO!AK153</f>
        <v>376</v>
      </c>
      <c r="F153" s="52"/>
      <c r="G153" s="53"/>
      <c r="H153" s="53"/>
      <c r="I153" s="53"/>
      <c r="J153" s="53"/>
      <c r="K153" s="53"/>
      <c r="L153" s="53"/>
      <c r="M153" s="53"/>
      <c r="N153" s="53"/>
      <c r="O153" s="53"/>
      <c r="P153" s="54"/>
      <c r="Q153" s="3"/>
      <c r="R153" s="3"/>
      <c r="S153" s="3"/>
      <c r="T153" s="3"/>
      <c r="U153" s="3"/>
      <c r="V153" s="3"/>
      <c r="W153" s="55"/>
      <c r="X153" s="3"/>
      <c r="Y153" s="3"/>
      <c r="Z153" s="3"/>
    </row>
    <row r="154" ht="15.75" customHeight="1">
      <c r="A154" s="18"/>
      <c r="B154" s="49"/>
      <c r="C154" s="50" t="s">
        <v>133</v>
      </c>
      <c r="D154" s="51"/>
      <c r="E154" s="24">
        <f>BADEAN!AB154+BLIMBINGSARI!U154+BOMO!W154+GINTANGAN!Z154+KALIGUNG!R154+KAOTAN!M154+KARANGREJO!P154+PATOMAN!W154+SUKOJATI!P154+WATUKEBO!AK154</f>
        <v>3299</v>
      </c>
      <c r="F154" s="18"/>
      <c r="G154" s="5"/>
      <c r="H154" s="5"/>
      <c r="I154" s="5"/>
      <c r="J154" s="5"/>
      <c r="K154" s="5"/>
      <c r="L154" s="5"/>
      <c r="M154" s="5"/>
      <c r="N154" s="5"/>
      <c r="O154" s="5"/>
      <c r="P154" s="6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18"/>
      <c r="B155" s="49"/>
      <c r="C155" s="50" t="s">
        <v>134</v>
      </c>
      <c r="D155" s="51"/>
      <c r="E155" s="24">
        <f>BADEAN!AB155+BLIMBINGSARI!U155+BOMO!W155+GINTANGAN!Z155+KALIGUNG!R155+KAOTAN!M155+KARANGREJO!P155+PATOMAN!W155+SUKOJATI!P155+WATUKEBO!AK155</f>
        <v>2116</v>
      </c>
      <c r="F155" s="18"/>
      <c r="G155" s="5"/>
      <c r="H155" s="5"/>
      <c r="I155" s="5"/>
      <c r="J155" s="5"/>
      <c r="K155" s="5"/>
      <c r="L155" s="5"/>
      <c r="M155" s="5"/>
      <c r="N155" s="5"/>
      <c r="O155" s="5"/>
      <c r="P155" s="6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18"/>
      <c r="B156" s="49"/>
      <c r="C156" s="50" t="s">
        <v>135</v>
      </c>
      <c r="D156" s="51"/>
      <c r="E156" s="24">
        <f>BADEAN!AB156+BLIMBINGSARI!U156+BOMO!W156+GINTANGAN!Z156+KALIGUNG!R156+KAOTAN!M156+KARANGREJO!P156+PATOMAN!W156+SUKOJATI!P156+WATUKEBO!AK156</f>
        <v>30</v>
      </c>
      <c r="F156" s="18"/>
      <c r="G156" s="5"/>
      <c r="H156" s="5"/>
      <c r="I156" s="5"/>
      <c r="J156" s="5"/>
      <c r="K156" s="5"/>
      <c r="L156" s="5"/>
      <c r="M156" s="5"/>
      <c r="N156" s="5"/>
      <c r="O156" s="5"/>
      <c r="P156" s="6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18"/>
      <c r="B157" s="49"/>
      <c r="C157" s="50" t="s">
        <v>136</v>
      </c>
      <c r="D157" s="51"/>
      <c r="E157" s="24">
        <f>BADEAN!AB157+BLIMBINGSARI!U157+BOMO!W157+GINTANGAN!Z157+KALIGUNG!R157+KAOTAN!M157+KARANGREJO!P157+PATOMAN!W157+SUKOJATI!P157+WATUKEBO!AK157</f>
        <v>2</v>
      </c>
      <c r="F157" s="18"/>
      <c r="G157" s="5"/>
      <c r="H157" s="5"/>
      <c r="I157" s="5"/>
      <c r="J157" s="5"/>
      <c r="K157" s="5"/>
      <c r="L157" s="5"/>
      <c r="M157" s="5"/>
      <c r="N157" s="5"/>
      <c r="O157" s="5"/>
      <c r="P157" s="6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18"/>
      <c r="B158" s="49"/>
      <c r="C158" s="50" t="s">
        <v>137</v>
      </c>
      <c r="D158" s="51"/>
      <c r="E158" s="24">
        <f>BADEAN!AB158+BLIMBINGSARI!U158+BOMO!W158+GINTANGAN!Z158+KALIGUNG!R158+KAOTAN!M158+KARANGREJO!P158+PATOMAN!W158+SUKOJATI!P158+WATUKEBO!AK158</f>
        <v>29</v>
      </c>
      <c r="F158" s="18"/>
      <c r="G158" s="5"/>
      <c r="H158" s="5"/>
      <c r="I158" s="5"/>
      <c r="J158" s="5"/>
      <c r="K158" s="5"/>
      <c r="L158" s="5"/>
      <c r="M158" s="5"/>
      <c r="N158" s="5"/>
      <c r="O158" s="5"/>
      <c r="P158" s="6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19" t="s">
        <v>15</v>
      </c>
      <c r="B159" s="47" t="s">
        <v>46</v>
      </c>
      <c r="C159" s="15"/>
      <c r="D159" s="16"/>
      <c r="E159" s="13">
        <f>SUM(E152:E158)</f>
        <v>6557</v>
      </c>
      <c r="F159" s="18"/>
      <c r="G159" s="5"/>
      <c r="H159" s="5"/>
      <c r="I159" s="5"/>
      <c r="J159" s="5"/>
      <c r="K159" s="5"/>
      <c r="L159" s="5"/>
      <c r="M159" s="5"/>
      <c r="N159" s="5"/>
      <c r="O159" s="5"/>
      <c r="P159" s="6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56"/>
      <c r="B160" s="57"/>
      <c r="C160" s="57"/>
      <c r="D160" s="57"/>
      <c r="E160" s="24"/>
      <c r="F160" s="18"/>
      <c r="G160" s="5"/>
      <c r="H160" s="5"/>
      <c r="I160" s="5"/>
      <c r="J160" s="5"/>
      <c r="K160" s="5"/>
      <c r="L160" s="5"/>
      <c r="M160" s="5"/>
      <c r="N160" s="5"/>
      <c r="O160" s="5"/>
      <c r="P160" s="6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30" t="s">
        <v>37</v>
      </c>
      <c r="B161" s="47" t="s">
        <v>138</v>
      </c>
      <c r="C161" s="48" t="s">
        <v>139</v>
      </c>
      <c r="D161" s="16"/>
      <c r="E161" s="24">
        <f>BADEAN!AB161+BLIMBINGSARI!U161+BOMO!W161+GINTANGAN!Z161+KALIGUNG!R161+KAOTAN!M161+KARANGREJO!P161+PATOMAN!W161+SUKOJATI!P161+WATUKEBO!AK161</f>
        <v>52</v>
      </c>
      <c r="F161" s="18"/>
      <c r="G161" s="5"/>
      <c r="H161" s="5"/>
      <c r="I161" s="5"/>
      <c r="J161" s="5"/>
      <c r="K161" s="5"/>
      <c r="L161" s="5"/>
      <c r="M161" s="5"/>
      <c r="N161" s="5"/>
      <c r="O161" s="5"/>
      <c r="P161" s="6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30" t="s">
        <v>39</v>
      </c>
      <c r="B162" s="49"/>
      <c r="C162" s="50" t="s">
        <v>140</v>
      </c>
      <c r="D162" s="51"/>
      <c r="E162" s="24">
        <f>BADEAN!AB162+BLIMBINGSARI!U162+BOMO!W162+GINTANGAN!Z162+KALIGUNG!R162+KAOTAN!M162+KARANGREJO!P162+PATOMAN!W162+SUKOJATI!P162+WATUKEBO!AK162</f>
        <v>49</v>
      </c>
      <c r="F162" s="18"/>
      <c r="G162" s="5"/>
      <c r="H162" s="5"/>
      <c r="I162" s="5"/>
      <c r="J162" s="5"/>
      <c r="K162" s="5"/>
      <c r="L162" s="5"/>
      <c r="M162" s="5"/>
      <c r="N162" s="5"/>
      <c r="O162" s="5"/>
      <c r="P162" s="6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30"/>
      <c r="B163" s="49"/>
      <c r="C163" s="50" t="s">
        <v>141</v>
      </c>
      <c r="D163" s="51"/>
      <c r="E163" s="24">
        <f>BADEAN!AB163+BLIMBINGSARI!U163+BOMO!W163+GINTANGAN!Z163+KALIGUNG!R163+KAOTAN!M163+KARANGREJO!P163+PATOMAN!W163+SUKOJATI!P163+WATUKEBO!AK163</f>
        <v>26</v>
      </c>
      <c r="F163" s="18"/>
      <c r="G163" s="5"/>
      <c r="H163" s="5"/>
      <c r="I163" s="5"/>
      <c r="J163" s="5"/>
      <c r="K163" s="5"/>
      <c r="L163" s="5"/>
      <c r="M163" s="5"/>
      <c r="N163" s="5"/>
      <c r="O163" s="5"/>
      <c r="P163" s="6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19" t="s">
        <v>15</v>
      </c>
      <c r="B164" s="47" t="s">
        <v>46</v>
      </c>
      <c r="C164" s="15"/>
      <c r="D164" s="16"/>
      <c r="E164" s="13">
        <f>SUM(E161:E163)</f>
        <v>127</v>
      </c>
      <c r="F164" s="18"/>
      <c r="G164" s="5"/>
      <c r="H164" s="5"/>
      <c r="I164" s="5"/>
      <c r="J164" s="5"/>
      <c r="K164" s="5"/>
      <c r="L164" s="5"/>
      <c r="M164" s="5"/>
      <c r="N164" s="5"/>
      <c r="O164" s="5"/>
      <c r="P164" s="6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56"/>
      <c r="B165" s="57"/>
      <c r="C165" s="57"/>
      <c r="D165" s="57"/>
      <c r="E165" s="24"/>
      <c r="F165" s="25"/>
      <c r="G165" s="1"/>
      <c r="H165" s="1"/>
      <c r="I165" s="1"/>
      <c r="J165" s="1"/>
      <c r="K165" s="1"/>
      <c r="L165" s="1"/>
      <c r="M165" s="1"/>
      <c r="N165" s="1"/>
      <c r="O165" s="1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30" t="s">
        <v>37</v>
      </c>
      <c r="B166" s="47" t="s">
        <v>142</v>
      </c>
      <c r="C166" s="48" t="s">
        <v>143</v>
      </c>
      <c r="D166" s="16"/>
      <c r="E166" s="24">
        <f>BADEAN!AB166+BLIMBINGSARI!U166+BOMO!W166+GINTANGAN!Z166+KALIGUNG!R166+KAOTAN!M166+KARANGREJO!P166+PATOMAN!W166+SUKOJATI!P166+WATUKEBO!AK166</f>
        <v>3</v>
      </c>
      <c r="F166" s="52"/>
      <c r="G166" s="53"/>
      <c r="H166" s="53"/>
      <c r="I166" s="53"/>
      <c r="J166" s="53"/>
      <c r="K166" s="53"/>
      <c r="L166" s="53"/>
      <c r="M166" s="53"/>
      <c r="N166" s="53"/>
      <c r="O166" s="53"/>
      <c r="P166" s="54"/>
      <c r="Q166" s="3"/>
      <c r="R166" s="3"/>
      <c r="S166" s="3"/>
      <c r="T166" s="3"/>
      <c r="U166" s="3"/>
      <c r="V166" s="3"/>
      <c r="W166" s="55"/>
      <c r="X166" s="3"/>
      <c r="Y166" s="3"/>
      <c r="Z166" s="3"/>
    </row>
    <row r="167" ht="15.75" customHeight="1">
      <c r="A167" s="30"/>
      <c r="B167" s="47"/>
      <c r="C167" s="50" t="s">
        <v>144</v>
      </c>
      <c r="D167" s="59"/>
      <c r="E167" s="24">
        <f>BADEAN!AB167+BLIMBINGSARI!U167+BOMO!W167+GINTANGAN!Z167+KALIGUNG!R167+KAOTAN!M167+KARANGREJO!P167+PATOMAN!W167+SUKOJATI!P167+WATUKEBO!AK167</f>
        <v>21</v>
      </c>
      <c r="F167" s="18"/>
      <c r="G167" s="5"/>
      <c r="H167" s="5"/>
      <c r="I167" s="5"/>
      <c r="J167" s="5"/>
      <c r="K167" s="5"/>
      <c r="L167" s="5"/>
      <c r="M167" s="5"/>
      <c r="N167" s="5"/>
      <c r="O167" s="5"/>
      <c r="P167" s="6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30"/>
      <c r="B168" s="47"/>
      <c r="C168" s="50" t="s">
        <v>145</v>
      </c>
      <c r="D168" s="59"/>
      <c r="E168" s="24">
        <f>BADEAN!AB168+BLIMBINGSARI!U168+BOMO!W168+GINTANGAN!Z168+KALIGUNG!R168+KAOTAN!M168+KARANGREJO!P168+PATOMAN!W168+SUKOJATI!P168+WATUKEBO!AK168</f>
        <v>8</v>
      </c>
      <c r="F168" s="18"/>
      <c r="G168" s="5"/>
      <c r="H168" s="5"/>
      <c r="I168" s="5"/>
      <c r="J168" s="5"/>
      <c r="K168" s="5"/>
      <c r="L168" s="5"/>
      <c r="M168" s="5"/>
      <c r="N168" s="5"/>
      <c r="O168" s="5"/>
      <c r="P168" s="6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30"/>
      <c r="B169" s="47"/>
      <c r="C169" s="50" t="s">
        <v>146</v>
      </c>
      <c r="D169" s="59"/>
      <c r="E169" s="24">
        <f>BADEAN!AB169+BLIMBINGSARI!U169+BOMO!W169+GINTANGAN!Z169+KALIGUNG!R169+KAOTAN!M169+KARANGREJO!P169+PATOMAN!W169+SUKOJATI!P169+WATUKEBO!AK169</f>
        <v>6</v>
      </c>
      <c r="F169" s="18"/>
      <c r="G169" s="5"/>
      <c r="H169" s="5"/>
      <c r="I169" s="5"/>
      <c r="J169" s="5"/>
      <c r="K169" s="5"/>
      <c r="L169" s="5"/>
      <c r="M169" s="5"/>
      <c r="N169" s="5"/>
      <c r="O169" s="5"/>
      <c r="P169" s="6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30" t="s">
        <v>39</v>
      </c>
      <c r="B170" s="49"/>
      <c r="C170" s="50" t="s">
        <v>147</v>
      </c>
      <c r="D170" s="51"/>
      <c r="E170" s="24">
        <f>BADEAN!AB170+BLIMBINGSARI!U170+BOMO!W170+GINTANGAN!Z170+KALIGUNG!R170+KAOTAN!M170+KARANGREJO!P170+PATOMAN!W170+SUKOJATI!P170+WATUKEBO!AK170</f>
        <v>1</v>
      </c>
      <c r="F170" s="18"/>
      <c r="G170" s="5"/>
      <c r="H170" s="5"/>
      <c r="I170" s="5"/>
      <c r="J170" s="5"/>
      <c r="K170" s="5"/>
      <c r="L170" s="5"/>
      <c r="M170" s="5"/>
      <c r="N170" s="5"/>
      <c r="O170" s="5"/>
      <c r="P170" s="6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8"/>
      <c r="B171" s="49"/>
      <c r="C171" s="50" t="s">
        <v>148</v>
      </c>
      <c r="D171" s="51"/>
      <c r="E171" s="24">
        <f>BADEAN!AB171+BLIMBINGSARI!U171+BOMO!W171+GINTANGAN!Z171+KALIGUNG!R171+KAOTAN!M171+KARANGREJO!P171+PATOMAN!W171+SUKOJATI!P171+WATUKEBO!AK171</f>
        <v>5</v>
      </c>
      <c r="F171" s="18"/>
      <c r="G171" s="5"/>
      <c r="H171" s="5"/>
      <c r="I171" s="5"/>
      <c r="J171" s="5"/>
      <c r="K171" s="5"/>
      <c r="L171" s="5"/>
      <c r="M171" s="5"/>
      <c r="N171" s="5"/>
      <c r="O171" s="5"/>
      <c r="P171" s="6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18"/>
      <c r="B172" s="49"/>
      <c r="C172" s="50" t="s">
        <v>149</v>
      </c>
      <c r="D172" s="51"/>
      <c r="E172" s="24">
        <f>BADEAN!AB172+BLIMBINGSARI!U172+BOMO!W172+GINTANGAN!Z172+KALIGUNG!R172+KAOTAN!M172+KARANGREJO!P172+PATOMAN!W172+SUKOJATI!P172+WATUKEBO!AK172</f>
        <v>1</v>
      </c>
      <c r="F172" s="18"/>
      <c r="G172" s="5"/>
      <c r="H172" s="5"/>
      <c r="I172" s="5"/>
      <c r="J172" s="5"/>
      <c r="K172" s="5"/>
      <c r="L172" s="5"/>
      <c r="M172" s="5"/>
      <c r="N172" s="5"/>
      <c r="O172" s="5"/>
      <c r="P172" s="6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19" t="s">
        <v>15</v>
      </c>
      <c r="B173" s="47" t="s">
        <v>46</v>
      </c>
      <c r="C173" s="15"/>
      <c r="D173" s="16"/>
      <c r="E173" s="13">
        <f>SUM(E166:E172)</f>
        <v>45</v>
      </c>
      <c r="F173" s="18"/>
      <c r="G173" s="5"/>
      <c r="H173" s="5"/>
      <c r="I173" s="5"/>
      <c r="J173" s="5"/>
      <c r="K173" s="5"/>
      <c r="L173" s="5"/>
      <c r="M173" s="5"/>
      <c r="N173" s="5"/>
      <c r="O173" s="5"/>
      <c r="P173" s="6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56"/>
      <c r="B174" s="57"/>
      <c r="C174" s="57"/>
      <c r="D174" s="57"/>
      <c r="E174" s="24"/>
      <c r="F174" s="18"/>
      <c r="G174" s="5"/>
      <c r="H174" s="5"/>
      <c r="I174" s="5"/>
      <c r="J174" s="5"/>
      <c r="K174" s="5"/>
      <c r="L174" s="5"/>
      <c r="M174" s="5"/>
      <c r="N174" s="5"/>
      <c r="O174" s="5"/>
      <c r="P174" s="6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30" t="s">
        <v>37</v>
      </c>
      <c r="B175" s="47" t="s">
        <v>150</v>
      </c>
      <c r="C175" s="48" t="s">
        <v>151</v>
      </c>
      <c r="D175" s="16"/>
      <c r="E175" s="24">
        <f>BADEAN!AB175+BLIMBINGSARI!U175+BOMO!W175+GINTANGAN!Z175+KALIGUNG!R175+KAOTAN!M175+KARANGREJO!P175+PATOMAN!W175+SUKOJATI!P175+WATUKEBO!AK175</f>
        <v>121</v>
      </c>
      <c r="F175" s="18"/>
      <c r="G175" s="5"/>
      <c r="H175" s="5"/>
      <c r="I175" s="5"/>
      <c r="J175" s="5"/>
      <c r="K175" s="5"/>
      <c r="L175" s="5"/>
      <c r="M175" s="5"/>
      <c r="N175" s="5"/>
      <c r="O175" s="5"/>
      <c r="P175" s="6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30" t="s">
        <v>39</v>
      </c>
      <c r="B176" s="49"/>
      <c r="C176" s="50" t="s">
        <v>152</v>
      </c>
      <c r="D176" s="51"/>
      <c r="E176" s="24">
        <f>BADEAN!AB176+BLIMBINGSARI!U176+BOMO!W176+GINTANGAN!Z176+KALIGUNG!R176+KAOTAN!M176+KARANGREJO!P176+PATOMAN!W176+SUKOJATI!P176+WATUKEBO!AK176</f>
        <v>44</v>
      </c>
      <c r="F176" s="18"/>
      <c r="G176" s="5"/>
      <c r="H176" s="5"/>
      <c r="I176" s="5"/>
      <c r="J176" s="5"/>
      <c r="K176" s="5"/>
      <c r="L176" s="5"/>
      <c r="M176" s="5"/>
      <c r="N176" s="5"/>
      <c r="O176" s="5"/>
      <c r="P176" s="6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18"/>
      <c r="B177" s="49"/>
      <c r="C177" s="50" t="s">
        <v>153</v>
      </c>
      <c r="D177" s="51"/>
      <c r="E177" s="24">
        <f>BADEAN!AB177+BLIMBINGSARI!U177+BOMO!W177+GINTANGAN!Z177+KALIGUNG!R177+KAOTAN!M177+KARANGREJO!P177+PATOMAN!W177+SUKOJATI!P177+WATUKEBO!AK177</f>
        <v>996</v>
      </c>
      <c r="F177" s="25"/>
      <c r="G177" s="1"/>
      <c r="H177" s="1"/>
      <c r="I177" s="1"/>
      <c r="J177" s="1"/>
      <c r="K177" s="1"/>
      <c r="L177" s="1"/>
      <c r="M177" s="1"/>
      <c r="N177" s="1"/>
      <c r="O177" s="1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18"/>
      <c r="B178" s="49"/>
      <c r="C178" s="50" t="s">
        <v>154</v>
      </c>
      <c r="D178" s="51"/>
      <c r="E178" s="24">
        <f>BADEAN!AB178+BLIMBINGSARI!U178+BOMO!W178+GINTANGAN!Z178+KALIGUNG!R178+KAOTAN!M178+KARANGREJO!P178+PATOMAN!W178+SUKOJATI!P178+WATUKEBO!AK178</f>
        <v>7</v>
      </c>
      <c r="F178" s="52"/>
      <c r="G178" s="53"/>
      <c r="H178" s="53"/>
      <c r="I178" s="53"/>
      <c r="J178" s="53"/>
      <c r="K178" s="53"/>
      <c r="L178" s="53"/>
      <c r="M178" s="53"/>
      <c r="N178" s="53"/>
      <c r="O178" s="53"/>
      <c r="P178" s="54"/>
      <c r="Q178" s="3"/>
      <c r="R178" s="3"/>
      <c r="S178" s="3"/>
      <c r="T178" s="3"/>
      <c r="U178" s="3"/>
      <c r="V178" s="3"/>
      <c r="W178" s="55"/>
      <c r="X178" s="3"/>
      <c r="Y178" s="3"/>
      <c r="Z178" s="3"/>
    </row>
    <row r="179" ht="15.75" customHeight="1">
      <c r="A179" s="18"/>
      <c r="B179" s="49"/>
      <c r="C179" s="50" t="s">
        <v>155</v>
      </c>
      <c r="D179" s="51"/>
      <c r="E179" s="24">
        <f>BADEAN!AB179+BLIMBINGSARI!U179+BOMO!W179+GINTANGAN!Z179+KALIGUNG!R179+KAOTAN!M179+KARANGREJO!P179+PATOMAN!W179+SUKOJATI!P179+WATUKEBO!AK179</f>
        <v>5</v>
      </c>
      <c r="F179" s="18"/>
      <c r="G179" s="5"/>
      <c r="H179" s="5"/>
      <c r="I179" s="5"/>
      <c r="J179" s="5"/>
      <c r="K179" s="5"/>
      <c r="L179" s="5"/>
      <c r="M179" s="5"/>
      <c r="N179" s="5"/>
      <c r="O179" s="5"/>
      <c r="P179" s="6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18"/>
      <c r="B180" s="49"/>
      <c r="C180" s="50" t="s">
        <v>156</v>
      </c>
      <c r="D180" s="51"/>
      <c r="E180" s="24">
        <f>BADEAN!AB180+BLIMBINGSARI!U180+BOMO!W180+GINTANGAN!Z180+KALIGUNG!R180+KAOTAN!M180+KARANGREJO!P180+PATOMAN!W180+SUKOJATI!P180+WATUKEBO!AK180</f>
        <v>10</v>
      </c>
      <c r="F180" s="18"/>
      <c r="G180" s="5"/>
      <c r="H180" s="5"/>
      <c r="I180" s="5"/>
      <c r="J180" s="5"/>
      <c r="K180" s="5"/>
      <c r="L180" s="5"/>
      <c r="M180" s="5"/>
      <c r="N180" s="5"/>
      <c r="O180" s="5"/>
      <c r="P180" s="6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18"/>
      <c r="B181" s="49"/>
      <c r="C181" s="50" t="s">
        <v>157</v>
      </c>
      <c r="D181" s="51"/>
      <c r="E181" s="24">
        <f>BADEAN!AB181+BLIMBINGSARI!U181+BOMO!W181+GINTANGAN!Z181+KALIGUNG!R181+KAOTAN!M181+KARANGREJO!P181+PATOMAN!W181+SUKOJATI!P181+WATUKEBO!AK181</f>
        <v>11</v>
      </c>
      <c r="F181" s="18"/>
      <c r="G181" s="5"/>
      <c r="H181" s="5"/>
      <c r="I181" s="5"/>
      <c r="J181" s="5"/>
      <c r="K181" s="5"/>
      <c r="L181" s="5"/>
      <c r="M181" s="5"/>
      <c r="N181" s="5"/>
      <c r="O181" s="5"/>
      <c r="P181" s="6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19" t="s">
        <v>15</v>
      </c>
      <c r="B182" s="47" t="s">
        <v>46</v>
      </c>
      <c r="C182" s="15"/>
      <c r="D182" s="16"/>
      <c r="E182" s="13">
        <f>SUM(E175:E181)</f>
        <v>1194</v>
      </c>
      <c r="F182" s="18"/>
      <c r="G182" s="5"/>
      <c r="H182" s="5"/>
      <c r="I182" s="5"/>
      <c r="J182" s="5"/>
      <c r="K182" s="5"/>
      <c r="L182" s="5"/>
      <c r="M182" s="5"/>
      <c r="N182" s="5"/>
      <c r="O182" s="5"/>
      <c r="P182" s="6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56"/>
      <c r="B183" s="57"/>
      <c r="C183" s="57"/>
      <c r="D183" s="57"/>
      <c r="E183" s="60"/>
      <c r="F183" s="18"/>
      <c r="G183" s="5"/>
      <c r="H183" s="5"/>
      <c r="I183" s="5"/>
      <c r="J183" s="5"/>
      <c r="K183" s="5"/>
      <c r="L183" s="5"/>
      <c r="M183" s="5"/>
      <c r="N183" s="5"/>
      <c r="O183" s="5"/>
      <c r="P183" s="6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30" t="s">
        <v>37</v>
      </c>
      <c r="B184" s="47" t="s">
        <v>158</v>
      </c>
      <c r="C184" s="48" t="s">
        <v>159</v>
      </c>
      <c r="D184" s="16"/>
      <c r="E184" s="24">
        <f>BADEAN!AB184+BLIMBINGSARI!U184+BOMO!W184+GINTANGAN!Z184+KALIGUNG!R184+KAOTAN!M184+KARANGREJO!P184+PATOMAN!W184+SUKOJATI!P184+WATUKEBO!AK184</f>
        <v>22</v>
      </c>
      <c r="F184" s="18"/>
      <c r="G184" s="5"/>
      <c r="H184" s="5"/>
      <c r="I184" s="5"/>
      <c r="J184" s="5"/>
      <c r="K184" s="5"/>
      <c r="L184" s="5"/>
      <c r="M184" s="5"/>
      <c r="N184" s="5"/>
      <c r="O184" s="5"/>
      <c r="P184" s="6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30" t="s">
        <v>39</v>
      </c>
      <c r="B185" s="49"/>
      <c r="C185" s="50" t="s">
        <v>160</v>
      </c>
      <c r="D185" s="51"/>
      <c r="E185" s="24">
        <f>BADEAN!AB185+BLIMBINGSARI!U185+BOMO!W185+GINTANGAN!Z185+KALIGUNG!R185+KAOTAN!M185+KARANGREJO!P185+PATOMAN!W185+SUKOJATI!P185+WATUKEBO!AK185</f>
        <v>26</v>
      </c>
      <c r="F185" s="18"/>
      <c r="G185" s="5"/>
      <c r="H185" s="5"/>
      <c r="I185" s="5"/>
      <c r="J185" s="5"/>
      <c r="K185" s="5"/>
      <c r="L185" s="5"/>
      <c r="M185" s="5"/>
      <c r="N185" s="5"/>
      <c r="O185" s="5"/>
      <c r="P185" s="6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19" t="s">
        <v>15</v>
      </c>
      <c r="B186" s="47" t="s">
        <v>46</v>
      </c>
      <c r="C186" s="15"/>
      <c r="D186" s="16"/>
      <c r="E186" s="29">
        <f>SUM(E184:E185)</f>
        <v>48</v>
      </c>
      <c r="F186" s="18"/>
      <c r="G186" s="5"/>
      <c r="H186" s="5"/>
      <c r="I186" s="5"/>
      <c r="J186" s="5"/>
      <c r="K186" s="5"/>
      <c r="L186" s="5"/>
      <c r="M186" s="5"/>
      <c r="N186" s="5"/>
      <c r="O186" s="5"/>
      <c r="P186" s="6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4"/>
      <c r="B187" s="15"/>
      <c r="C187" s="15"/>
      <c r="D187" s="16"/>
      <c r="E187" s="13"/>
      <c r="F187" s="18"/>
      <c r="G187" s="5"/>
      <c r="H187" s="5"/>
      <c r="I187" s="5"/>
      <c r="J187" s="5"/>
      <c r="K187" s="5"/>
      <c r="L187" s="5"/>
      <c r="M187" s="5"/>
      <c r="N187" s="5"/>
      <c r="O187" s="5"/>
      <c r="P187" s="6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45"/>
      <c r="B188" s="44"/>
      <c r="C188" s="44"/>
      <c r="D188" s="28"/>
      <c r="E188" s="60"/>
      <c r="F188" s="18"/>
      <c r="G188" s="5"/>
      <c r="H188" s="5"/>
      <c r="I188" s="5"/>
      <c r="J188" s="5"/>
      <c r="K188" s="5"/>
      <c r="L188" s="5"/>
      <c r="M188" s="5"/>
      <c r="N188" s="5"/>
      <c r="O188" s="5"/>
      <c r="P188" s="6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42" t="s">
        <v>161</v>
      </c>
      <c r="B189" s="14" t="s">
        <v>162</v>
      </c>
      <c r="C189" s="15"/>
      <c r="D189" s="16"/>
      <c r="E189" s="60"/>
      <c r="F189" s="25"/>
      <c r="G189" s="1"/>
      <c r="H189" s="1"/>
      <c r="I189" s="1"/>
      <c r="J189" s="1"/>
      <c r="K189" s="1"/>
      <c r="L189" s="1"/>
      <c r="M189" s="1"/>
      <c r="N189" s="1"/>
      <c r="O189" s="1"/>
      <c r="P189" s="9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2"/>
      <c r="B190" s="61" t="s">
        <v>163</v>
      </c>
      <c r="C190" s="62" t="s">
        <v>164</v>
      </c>
      <c r="D190" s="16"/>
      <c r="E190" s="24">
        <f>BADEAN!AB190+BLIMBINGSARI!U190+BOMO!W190+GINTANGAN!Z190+KALIGUNG!R190+KAOTAN!M190+KARANGREJO!P190+PATOMAN!W190+SUKOJATI!P190+WATUKEBO!AK190</f>
        <v>31132</v>
      </c>
      <c r="F190" s="52"/>
      <c r="G190" s="53"/>
      <c r="H190" s="53"/>
      <c r="I190" s="53"/>
      <c r="J190" s="53"/>
      <c r="K190" s="53"/>
      <c r="L190" s="53"/>
      <c r="M190" s="53"/>
      <c r="N190" s="53"/>
      <c r="O190" s="53"/>
      <c r="P190" s="54"/>
      <c r="Q190" s="3"/>
      <c r="R190" s="3"/>
      <c r="S190" s="3"/>
      <c r="T190" s="3"/>
      <c r="U190" s="3"/>
      <c r="V190" s="3"/>
      <c r="W190" s="55"/>
      <c r="X190" s="3"/>
      <c r="Y190" s="3"/>
      <c r="Z190" s="3"/>
    </row>
    <row r="191" ht="15.75" customHeight="1">
      <c r="A191" s="35"/>
      <c r="B191" s="61" t="s">
        <v>165</v>
      </c>
      <c r="C191" s="62" t="s">
        <v>166</v>
      </c>
      <c r="D191" s="16"/>
      <c r="E191" s="24">
        <f>BADEAN!AB191+BLIMBINGSARI!U191+BOMO!W191+GINTANGAN!Z191+KALIGUNG!R191+KAOTAN!M191+KARANGREJO!P191+PATOMAN!W191+SUKOJATI!P191+WATUKEBO!AK191</f>
        <v>1878</v>
      </c>
      <c r="F191" s="18"/>
      <c r="G191" s="5"/>
      <c r="H191" s="5"/>
      <c r="I191" s="5"/>
      <c r="J191" s="5"/>
      <c r="K191" s="5"/>
      <c r="L191" s="5"/>
      <c r="M191" s="5"/>
      <c r="N191" s="5"/>
      <c r="O191" s="5"/>
      <c r="P191" s="6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41"/>
      <c r="B192" s="61" t="s">
        <v>167</v>
      </c>
      <c r="C192" s="62" t="s">
        <v>168</v>
      </c>
      <c r="D192" s="16"/>
      <c r="E192" s="13">
        <f>E190+E191</f>
        <v>33010</v>
      </c>
      <c r="F192" s="18"/>
      <c r="G192" s="5"/>
      <c r="H192" s="5"/>
      <c r="I192" s="5"/>
      <c r="J192" s="5"/>
      <c r="K192" s="5"/>
      <c r="L192" s="5"/>
      <c r="M192" s="5"/>
      <c r="N192" s="5"/>
      <c r="O192" s="5"/>
      <c r="P192" s="6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5"/>
      <c r="B193" s="63"/>
      <c r="C193" s="64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10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5"/>
      <c r="B194" s="63"/>
      <c r="C194" s="64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10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5"/>
      <c r="B195" s="63"/>
      <c r="C195" s="64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10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hidden="1" customHeight="1">
      <c r="A196" s="5"/>
      <c r="B196" s="63"/>
      <c r="C196" s="64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10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hidden="1" customHeight="1">
      <c r="A197" s="5"/>
      <c r="B197" s="63"/>
      <c r="C197" s="64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10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hidden="1" customHeight="1">
      <c r="A198" s="5"/>
      <c r="B198" s="63"/>
      <c r="C198" s="64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10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hidden="1" customHeight="1">
      <c r="A199" s="5"/>
      <c r="B199" s="63"/>
      <c r="C199" s="64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10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hidden="1" customHeight="1">
      <c r="A200" s="5"/>
      <c r="B200" s="63"/>
      <c r="C200" s="64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10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hidden="1" customHeight="1">
      <c r="A201" s="5"/>
      <c r="B201" s="63"/>
      <c r="C201" s="64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10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hidden="1" customHeight="1">
      <c r="A202" s="5"/>
      <c r="B202" s="63"/>
      <c r="C202" s="64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10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hidden="1" customHeight="1">
      <c r="A203" s="5"/>
      <c r="B203" s="63"/>
      <c r="C203" s="64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10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hidden="1" customHeight="1">
      <c r="A204" s="5"/>
      <c r="B204" s="63"/>
      <c r="C204" s="64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10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hidden="1" customHeight="1">
      <c r="A205" s="5"/>
      <c r="B205" s="63"/>
      <c r="C205" s="64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10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hidden="1" customHeight="1">
      <c r="A206" s="5"/>
      <c r="B206" s="63"/>
      <c r="C206" s="64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10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hidden="1" customHeight="1">
      <c r="A207" s="5"/>
      <c r="B207" s="63"/>
      <c r="C207" s="64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10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hidden="1" customHeight="1">
      <c r="A208" s="5"/>
      <c r="B208" s="63"/>
      <c r="C208" s="64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10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hidden="1" customHeight="1">
      <c r="A209" s="5"/>
      <c r="B209" s="63"/>
      <c r="C209" s="64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10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hidden="1" customHeight="1">
      <c r="A210" s="5"/>
      <c r="B210" s="63"/>
      <c r="C210" s="64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10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hidden="1" customHeight="1">
      <c r="A211" s="5"/>
      <c r="B211" s="63"/>
      <c r="C211" s="64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10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hidden="1" customHeight="1">
      <c r="A212" s="5"/>
      <c r="B212" s="63"/>
      <c r="C212" s="64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10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hidden="1" customHeight="1">
      <c r="A213" s="5"/>
      <c r="B213" s="63"/>
      <c r="C213" s="64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10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hidden="1" customHeight="1">
      <c r="A214" s="5"/>
      <c r="B214" s="63"/>
      <c r="C214" s="64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10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hidden="1" customHeight="1">
      <c r="A215" s="5"/>
      <c r="B215" s="63"/>
      <c r="C215" s="64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10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hidden="1" customHeight="1">
      <c r="A216" s="5"/>
      <c r="B216" s="63"/>
      <c r="C216" s="64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10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hidden="1" customHeight="1">
      <c r="A217" s="5"/>
      <c r="B217" s="63"/>
      <c r="C217" s="64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10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hidden="1" customHeight="1">
      <c r="A218" s="5"/>
      <c r="B218" s="63"/>
      <c r="C218" s="64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10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hidden="1" customHeight="1">
      <c r="A219" s="5"/>
      <c r="B219" s="63"/>
      <c r="C219" s="64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10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hidden="1" customHeight="1">
      <c r="A220" s="5"/>
      <c r="B220" s="63"/>
      <c r="C220" s="64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10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hidden="1" customHeight="1">
      <c r="A221" s="5"/>
      <c r="B221" s="63"/>
      <c r="C221" s="64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10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hidden="1" customHeight="1">
      <c r="A222" s="5"/>
      <c r="B222" s="63"/>
      <c r="C222" s="64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10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hidden="1" customHeight="1">
      <c r="A223" s="5"/>
      <c r="B223" s="63"/>
      <c r="C223" s="64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10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hidden="1" customHeight="1">
      <c r="A224" s="5"/>
      <c r="B224" s="63"/>
      <c r="C224" s="64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10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hidden="1" customHeight="1">
      <c r="A225" s="5"/>
      <c r="B225" s="63"/>
      <c r="C225" s="64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10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hidden="1" customHeight="1">
      <c r="A226" s="5"/>
      <c r="B226" s="63"/>
      <c r="C226" s="64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10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hidden="1" customHeight="1">
      <c r="A227" s="5"/>
      <c r="B227" s="63"/>
      <c r="C227" s="64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10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hidden="1" customHeight="1">
      <c r="A228" s="5"/>
      <c r="B228" s="63"/>
      <c r="C228" s="64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10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hidden="1" customHeight="1">
      <c r="A229" s="5"/>
      <c r="B229" s="63"/>
      <c r="C229" s="64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10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hidden="1" customHeight="1">
      <c r="A230" s="5"/>
      <c r="B230" s="63"/>
      <c r="C230" s="64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10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hidden="1" customHeight="1">
      <c r="A231" s="5"/>
      <c r="B231" s="63"/>
      <c r="C231" s="64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10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hidden="1" customHeight="1">
      <c r="A232" s="5"/>
      <c r="B232" s="63"/>
      <c r="C232" s="64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10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hidden="1" customHeight="1">
      <c r="A233" s="5"/>
      <c r="B233" s="63"/>
      <c r="C233" s="64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10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hidden="1" customHeight="1">
      <c r="A234" s="5"/>
      <c r="B234" s="63"/>
      <c r="C234" s="64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10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hidden="1" customHeight="1">
      <c r="A235" s="5"/>
      <c r="B235" s="63"/>
      <c r="C235" s="64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10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hidden="1" customHeight="1">
      <c r="A236" s="5"/>
      <c r="B236" s="63"/>
      <c r="C236" s="64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10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hidden="1" customHeight="1">
      <c r="A237" s="5"/>
      <c r="B237" s="63"/>
      <c r="C237" s="64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10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hidden="1" customHeight="1">
      <c r="A238" s="5"/>
      <c r="B238" s="63"/>
      <c r="C238" s="64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10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hidden="1" customHeight="1">
      <c r="A239" s="5"/>
      <c r="B239" s="63"/>
      <c r="C239" s="64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10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hidden="1" customHeight="1">
      <c r="A240" s="5"/>
      <c r="B240" s="63"/>
      <c r="C240" s="64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10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hidden="1" customHeight="1">
      <c r="A241" s="5"/>
      <c r="B241" s="63"/>
      <c r="C241" s="64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10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hidden="1" customHeight="1">
      <c r="A242" s="5"/>
      <c r="B242" s="63"/>
      <c r="C242" s="64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10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hidden="1" customHeight="1">
      <c r="A243" s="5"/>
      <c r="B243" s="63"/>
      <c r="C243" s="64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10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hidden="1" customHeight="1">
      <c r="A244" s="5"/>
      <c r="B244" s="63"/>
      <c r="C244" s="64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10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hidden="1" customHeight="1">
      <c r="A245" s="5"/>
      <c r="B245" s="63"/>
      <c r="C245" s="64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10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hidden="1" customHeight="1">
      <c r="A246" s="5"/>
      <c r="B246" s="63"/>
      <c r="C246" s="64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10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hidden="1" customHeight="1">
      <c r="A247" s="5"/>
      <c r="B247" s="63"/>
      <c r="C247" s="64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10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hidden="1" customHeight="1">
      <c r="A248" s="5"/>
      <c r="B248" s="63"/>
      <c r="C248" s="64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10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hidden="1" customHeight="1">
      <c r="A249" s="5"/>
      <c r="B249" s="63"/>
      <c r="C249" s="64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10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hidden="1" customHeight="1">
      <c r="A250" s="5"/>
      <c r="B250" s="63"/>
      <c r="C250" s="64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10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hidden="1" customHeight="1">
      <c r="A251" s="5"/>
      <c r="B251" s="63"/>
      <c r="C251" s="64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10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hidden="1" customHeight="1">
      <c r="A252" s="5"/>
      <c r="B252" s="63"/>
      <c r="C252" s="64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10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hidden="1" customHeight="1">
      <c r="A253" s="5"/>
      <c r="B253" s="63"/>
      <c r="C253" s="64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10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hidden="1" customHeight="1">
      <c r="A254" s="5"/>
      <c r="B254" s="63"/>
      <c r="C254" s="64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10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hidden="1" customHeight="1">
      <c r="A255" s="5"/>
      <c r="B255" s="63"/>
      <c r="C255" s="64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10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hidden="1" customHeight="1">
      <c r="A256" s="5"/>
      <c r="B256" s="63"/>
      <c r="C256" s="64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10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hidden="1" customHeight="1">
      <c r="A257" s="5"/>
      <c r="B257" s="63"/>
      <c r="C257" s="64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10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hidden="1" customHeight="1">
      <c r="A258" s="5"/>
      <c r="B258" s="63"/>
      <c r="C258" s="64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10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hidden="1" customHeight="1">
      <c r="A259" s="5"/>
      <c r="B259" s="63"/>
      <c r="C259" s="64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10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hidden="1" customHeight="1">
      <c r="A260" s="5"/>
      <c r="B260" s="63"/>
      <c r="C260" s="64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10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hidden="1" customHeight="1">
      <c r="A261" s="5"/>
      <c r="B261" s="63"/>
      <c r="C261" s="64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10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hidden="1" customHeight="1">
      <c r="A262" s="5"/>
      <c r="B262" s="63"/>
      <c r="C262" s="64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10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hidden="1" customHeight="1">
      <c r="A263" s="5"/>
      <c r="B263" s="63"/>
      <c r="C263" s="64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10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hidden="1" customHeight="1">
      <c r="A264" s="5"/>
      <c r="B264" s="63"/>
      <c r="C264" s="64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10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hidden="1" customHeight="1">
      <c r="A265" s="5"/>
      <c r="B265" s="63"/>
      <c r="C265" s="64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10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hidden="1" customHeight="1">
      <c r="A266" s="5"/>
      <c r="B266" s="63"/>
      <c r="C266" s="64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10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hidden="1" customHeight="1">
      <c r="A267" s="5"/>
      <c r="B267" s="63"/>
      <c r="C267" s="64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10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hidden="1" customHeight="1">
      <c r="A268" s="5"/>
      <c r="B268" s="63"/>
      <c r="C268" s="64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10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hidden="1" customHeight="1">
      <c r="A269" s="5"/>
      <c r="B269" s="63"/>
      <c r="C269" s="64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10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hidden="1" customHeight="1">
      <c r="A270" s="5"/>
      <c r="B270" s="63"/>
      <c r="C270" s="64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10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hidden="1" customHeight="1">
      <c r="A271" s="5"/>
      <c r="B271" s="63"/>
      <c r="C271" s="64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10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hidden="1" customHeight="1">
      <c r="A272" s="5"/>
      <c r="B272" s="63"/>
      <c r="C272" s="64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10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hidden="1" customHeight="1">
      <c r="A273" s="5"/>
      <c r="B273" s="63"/>
      <c r="C273" s="64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10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hidden="1" customHeight="1">
      <c r="A274" s="5"/>
      <c r="B274" s="63"/>
      <c r="C274" s="64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10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hidden="1" customHeight="1">
      <c r="A275" s="5"/>
      <c r="B275" s="63"/>
      <c r="C275" s="64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10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hidden="1" customHeight="1">
      <c r="A276" s="5"/>
      <c r="B276" s="63"/>
      <c r="C276" s="64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10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hidden="1" customHeight="1">
      <c r="A277" s="5"/>
      <c r="B277" s="63"/>
      <c r="C277" s="64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10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hidden="1" customHeight="1">
      <c r="A278" s="5"/>
      <c r="B278" s="63"/>
      <c r="C278" s="64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10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hidden="1" customHeight="1">
      <c r="A279" s="5"/>
      <c r="B279" s="63"/>
      <c r="C279" s="64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10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hidden="1" customHeight="1">
      <c r="A280" s="5"/>
      <c r="B280" s="63"/>
      <c r="C280" s="64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10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hidden="1" customHeight="1">
      <c r="A281" s="5"/>
      <c r="B281" s="63"/>
      <c r="C281" s="64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10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hidden="1" customHeight="1">
      <c r="A282" s="5"/>
      <c r="B282" s="63"/>
      <c r="C282" s="64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10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hidden="1" customHeight="1">
      <c r="A283" s="5"/>
      <c r="B283" s="63"/>
      <c r="C283" s="64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10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hidden="1" customHeight="1">
      <c r="A284" s="5"/>
      <c r="B284" s="63"/>
      <c r="C284" s="64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10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hidden="1" customHeight="1">
      <c r="A285" s="5"/>
      <c r="B285" s="63"/>
      <c r="C285" s="64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10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hidden="1" customHeight="1">
      <c r="A286" s="5"/>
      <c r="B286" s="63"/>
      <c r="C286" s="64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10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hidden="1" customHeight="1">
      <c r="A287" s="5"/>
      <c r="B287" s="63"/>
      <c r="C287" s="64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10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hidden="1" customHeight="1">
      <c r="A288" s="5"/>
      <c r="B288" s="63"/>
      <c r="C288" s="64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10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hidden="1" customHeight="1">
      <c r="A289" s="5"/>
      <c r="B289" s="63"/>
      <c r="C289" s="64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10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hidden="1" customHeight="1">
      <c r="A290" s="5"/>
      <c r="B290" s="63"/>
      <c r="C290" s="64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10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hidden="1" customHeight="1">
      <c r="A291" s="5"/>
      <c r="B291" s="63"/>
      <c r="C291" s="64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10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hidden="1" customHeight="1">
      <c r="A292" s="5"/>
      <c r="B292" s="63"/>
      <c r="C292" s="64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10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hidden="1" customHeight="1">
      <c r="A293" s="5"/>
      <c r="B293" s="63"/>
      <c r="C293" s="64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10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hidden="1" customHeight="1">
      <c r="A294" s="5"/>
      <c r="B294" s="63"/>
      <c r="C294" s="64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10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hidden="1" customHeight="1">
      <c r="A295" s="5"/>
      <c r="B295" s="63"/>
      <c r="C295" s="64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10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hidden="1" customHeight="1">
      <c r="A296" s="5"/>
      <c r="B296" s="63"/>
      <c r="C296" s="64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10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hidden="1" customHeight="1">
      <c r="A297" s="5"/>
      <c r="B297" s="63"/>
      <c r="C297" s="64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10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hidden="1" customHeight="1">
      <c r="A298" s="5"/>
      <c r="B298" s="63"/>
      <c r="C298" s="64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10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hidden="1" customHeight="1">
      <c r="A299" s="5"/>
      <c r="B299" s="63"/>
      <c r="C299" s="64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10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hidden="1" customHeight="1">
      <c r="A300" s="5"/>
      <c r="B300" s="63"/>
      <c r="C300" s="64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10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hidden="1" customHeight="1">
      <c r="A301" s="5"/>
      <c r="B301" s="63"/>
      <c r="C301" s="64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10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hidden="1" customHeight="1">
      <c r="A302" s="5"/>
      <c r="B302" s="63"/>
      <c r="C302" s="64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10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hidden="1" customHeight="1">
      <c r="A303" s="5"/>
      <c r="B303" s="63"/>
      <c r="C303" s="64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10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hidden="1" customHeight="1">
      <c r="A304" s="5"/>
      <c r="B304" s="63"/>
      <c r="C304" s="64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10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hidden="1" customHeight="1">
      <c r="A305" s="5"/>
      <c r="B305" s="63"/>
      <c r="C305" s="64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10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hidden="1" customHeight="1">
      <c r="A306" s="5"/>
      <c r="B306" s="63"/>
      <c r="C306" s="64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10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hidden="1" customHeight="1">
      <c r="A307" s="5"/>
      <c r="B307" s="63"/>
      <c r="C307" s="64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10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hidden="1" customHeight="1">
      <c r="A308" s="5"/>
      <c r="B308" s="63"/>
      <c r="C308" s="64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10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hidden="1" customHeight="1">
      <c r="A309" s="5"/>
      <c r="B309" s="63"/>
      <c r="C309" s="64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10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hidden="1" customHeight="1">
      <c r="A310" s="5"/>
      <c r="B310" s="63"/>
      <c r="C310" s="64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10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hidden="1" customHeight="1">
      <c r="A311" s="5"/>
      <c r="B311" s="63"/>
      <c r="C311" s="64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10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hidden="1" customHeight="1">
      <c r="A312" s="5"/>
      <c r="B312" s="63"/>
      <c r="C312" s="64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10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hidden="1" customHeight="1">
      <c r="A313" s="5"/>
      <c r="B313" s="63"/>
      <c r="C313" s="64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10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hidden="1" customHeight="1">
      <c r="A314" s="5"/>
      <c r="B314" s="63"/>
      <c r="C314" s="64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10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hidden="1" customHeight="1">
      <c r="A315" s="5"/>
      <c r="B315" s="63"/>
      <c r="C315" s="64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10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hidden="1" customHeight="1">
      <c r="A316" s="5"/>
      <c r="B316" s="63"/>
      <c r="C316" s="64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10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hidden="1" customHeight="1">
      <c r="A317" s="5"/>
      <c r="B317" s="63"/>
      <c r="C317" s="64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10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hidden="1" customHeight="1">
      <c r="A318" s="5"/>
      <c r="B318" s="63"/>
      <c r="C318" s="64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10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hidden="1" customHeight="1">
      <c r="A319" s="5"/>
      <c r="B319" s="63"/>
      <c r="C319" s="64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10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hidden="1" customHeight="1">
      <c r="A320" s="5"/>
      <c r="B320" s="63"/>
      <c r="C320" s="64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10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hidden="1" customHeight="1">
      <c r="A321" s="5"/>
      <c r="B321" s="63"/>
      <c r="C321" s="64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10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hidden="1" customHeight="1">
      <c r="A322" s="5"/>
      <c r="B322" s="63"/>
      <c r="C322" s="64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10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hidden="1" customHeight="1">
      <c r="A323" s="5"/>
      <c r="B323" s="63"/>
      <c r="C323" s="64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10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hidden="1" customHeight="1">
      <c r="A324" s="5"/>
      <c r="B324" s="63"/>
      <c r="C324" s="64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10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hidden="1" customHeight="1">
      <c r="A325" s="5"/>
      <c r="B325" s="63"/>
      <c r="C325" s="64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10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hidden="1" customHeight="1">
      <c r="A326" s="5"/>
      <c r="B326" s="63"/>
      <c r="C326" s="64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10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hidden="1" customHeight="1">
      <c r="A327" s="5"/>
      <c r="B327" s="63"/>
      <c r="C327" s="64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10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hidden="1" customHeight="1">
      <c r="A328" s="5"/>
      <c r="B328" s="63"/>
      <c r="C328" s="64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10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hidden="1" customHeight="1">
      <c r="A329" s="5"/>
      <c r="B329" s="63"/>
      <c r="C329" s="64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10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hidden="1" customHeight="1">
      <c r="A330" s="5"/>
      <c r="B330" s="63"/>
      <c r="C330" s="64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10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hidden="1" customHeight="1">
      <c r="A331" s="5"/>
      <c r="B331" s="63"/>
      <c r="C331" s="64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10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hidden="1" customHeight="1">
      <c r="A332" s="5"/>
      <c r="B332" s="63"/>
      <c r="C332" s="64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10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hidden="1" customHeight="1">
      <c r="A333" s="5"/>
      <c r="B333" s="63"/>
      <c r="C333" s="64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10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hidden="1" customHeight="1">
      <c r="A334" s="5"/>
      <c r="B334" s="63"/>
      <c r="C334" s="64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10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hidden="1" customHeight="1">
      <c r="A335" s="5"/>
      <c r="B335" s="63"/>
      <c r="C335" s="64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10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hidden="1" customHeight="1">
      <c r="A336" s="5"/>
      <c r="B336" s="63"/>
      <c r="C336" s="64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10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hidden="1" customHeight="1">
      <c r="A337" s="5"/>
      <c r="B337" s="63"/>
      <c r="C337" s="64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10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hidden="1" customHeight="1">
      <c r="A338" s="5"/>
      <c r="B338" s="63"/>
      <c r="C338" s="64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10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hidden="1" customHeight="1">
      <c r="A339" s="5"/>
      <c r="B339" s="63"/>
      <c r="C339" s="64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10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hidden="1" customHeight="1">
      <c r="A340" s="5"/>
      <c r="B340" s="63"/>
      <c r="C340" s="64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10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hidden="1" customHeight="1">
      <c r="A341" s="5"/>
      <c r="B341" s="63"/>
      <c r="C341" s="64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10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hidden="1" customHeight="1">
      <c r="A342" s="5"/>
      <c r="B342" s="63"/>
      <c r="C342" s="64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10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hidden="1" customHeight="1">
      <c r="A343" s="5"/>
      <c r="B343" s="63"/>
      <c r="C343" s="64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10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hidden="1" customHeight="1">
      <c r="A344" s="5"/>
      <c r="B344" s="63"/>
      <c r="C344" s="64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10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hidden="1" customHeight="1">
      <c r="A345" s="5"/>
      <c r="B345" s="63"/>
      <c r="C345" s="64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10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hidden="1" customHeight="1">
      <c r="A346" s="5"/>
      <c r="B346" s="63"/>
      <c r="C346" s="64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10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hidden="1" customHeight="1">
      <c r="A347" s="5"/>
      <c r="B347" s="63"/>
      <c r="C347" s="64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10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hidden="1" customHeight="1">
      <c r="A348" s="5"/>
      <c r="B348" s="63"/>
      <c r="C348" s="64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10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hidden="1" customHeight="1">
      <c r="A349" s="5"/>
      <c r="B349" s="63"/>
      <c r="C349" s="64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10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hidden="1" customHeight="1">
      <c r="A350" s="5"/>
      <c r="B350" s="63"/>
      <c r="C350" s="64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10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hidden="1" customHeight="1">
      <c r="A351" s="5"/>
      <c r="B351" s="63"/>
      <c r="C351" s="64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10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hidden="1" customHeight="1">
      <c r="A352" s="5"/>
      <c r="B352" s="63"/>
      <c r="C352" s="64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10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hidden="1" customHeight="1">
      <c r="A353" s="5"/>
      <c r="B353" s="63"/>
      <c r="C353" s="64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10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hidden="1" customHeight="1">
      <c r="A354" s="5"/>
      <c r="B354" s="63"/>
      <c r="C354" s="64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10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hidden="1" customHeight="1">
      <c r="A355" s="5"/>
      <c r="B355" s="63"/>
      <c r="C355" s="64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10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hidden="1" customHeight="1">
      <c r="A356" s="5"/>
      <c r="B356" s="63"/>
      <c r="C356" s="64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10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hidden="1" customHeight="1">
      <c r="A357" s="5"/>
      <c r="B357" s="63"/>
      <c r="C357" s="64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10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hidden="1" customHeight="1">
      <c r="A358" s="5"/>
      <c r="B358" s="63"/>
      <c r="C358" s="64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10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hidden="1" customHeight="1">
      <c r="A359" s="5"/>
      <c r="B359" s="63"/>
      <c r="C359" s="64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10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hidden="1" customHeight="1">
      <c r="A360" s="5"/>
      <c r="B360" s="63"/>
      <c r="C360" s="64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10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hidden="1" customHeight="1">
      <c r="A361" s="5"/>
      <c r="B361" s="63"/>
      <c r="C361" s="64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10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hidden="1" customHeight="1">
      <c r="A362" s="5"/>
      <c r="B362" s="63"/>
      <c r="C362" s="64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10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hidden="1" customHeight="1">
      <c r="A363" s="5"/>
      <c r="B363" s="63"/>
      <c r="C363" s="64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10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hidden="1" customHeight="1">
      <c r="A364" s="5"/>
      <c r="B364" s="63"/>
      <c r="C364" s="64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10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hidden="1" customHeight="1">
      <c r="A365" s="5"/>
      <c r="B365" s="63"/>
      <c r="C365" s="64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10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hidden="1" customHeight="1">
      <c r="A366" s="5"/>
      <c r="B366" s="63"/>
      <c r="C366" s="64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10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hidden="1" customHeight="1">
      <c r="A367" s="5"/>
      <c r="B367" s="63"/>
      <c r="C367" s="64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10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hidden="1" customHeight="1">
      <c r="A368" s="5"/>
      <c r="B368" s="63"/>
      <c r="C368" s="64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10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hidden="1" customHeight="1">
      <c r="A369" s="5"/>
      <c r="B369" s="63"/>
      <c r="C369" s="64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10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hidden="1" customHeight="1">
      <c r="A370" s="5"/>
      <c r="B370" s="63"/>
      <c r="C370" s="64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10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hidden="1" customHeight="1">
      <c r="A371" s="5"/>
      <c r="B371" s="63"/>
      <c r="C371" s="64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10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hidden="1" customHeight="1">
      <c r="A372" s="5"/>
      <c r="B372" s="63"/>
      <c r="C372" s="64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10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hidden="1" customHeight="1">
      <c r="A373" s="5"/>
      <c r="B373" s="63"/>
      <c r="C373" s="64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10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hidden="1" customHeight="1">
      <c r="A374" s="5"/>
      <c r="B374" s="63"/>
      <c r="C374" s="64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10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hidden="1" customHeight="1">
      <c r="A375" s="5"/>
      <c r="B375" s="63"/>
      <c r="C375" s="64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10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hidden="1" customHeight="1">
      <c r="A376" s="5"/>
      <c r="B376" s="63"/>
      <c r="C376" s="64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10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hidden="1" customHeight="1">
      <c r="A377" s="5"/>
      <c r="B377" s="63"/>
      <c r="C377" s="64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10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hidden="1" customHeight="1">
      <c r="A378" s="5"/>
      <c r="B378" s="63"/>
      <c r="C378" s="64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10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hidden="1" customHeight="1">
      <c r="A379" s="5"/>
      <c r="B379" s="63"/>
      <c r="C379" s="64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10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hidden="1" customHeight="1">
      <c r="A380" s="5"/>
      <c r="B380" s="63"/>
      <c r="C380" s="64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10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hidden="1" customHeight="1">
      <c r="A381" s="5"/>
      <c r="B381" s="63"/>
      <c r="C381" s="64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10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hidden="1" customHeight="1">
      <c r="A382" s="5"/>
      <c r="B382" s="63"/>
      <c r="C382" s="64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10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hidden="1" customHeight="1">
      <c r="A383" s="5"/>
      <c r="B383" s="63"/>
      <c r="C383" s="64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10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hidden="1" customHeight="1">
      <c r="A384" s="5"/>
      <c r="B384" s="63"/>
      <c r="C384" s="64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10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hidden="1" customHeight="1">
      <c r="A385" s="5"/>
      <c r="B385" s="63"/>
      <c r="C385" s="64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10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hidden="1" customHeight="1">
      <c r="A386" s="5"/>
      <c r="B386" s="63"/>
      <c r="C386" s="64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10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hidden="1" customHeight="1">
      <c r="A387" s="5"/>
      <c r="B387" s="63"/>
      <c r="C387" s="64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10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hidden="1" customHeight="1">
      <c r="A388" s="5"/>
      <c r="B388" s="63"/>
      <c r="C388" s="64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10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hidden="1" customHeight="1">
      <c r="A389" s="5"/>
      <c r="B389" s="63"/>
      <c r="C389" s="64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10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hidden="1" customHeight="1">
      <c r="A390" s="5"/>
      <c r="B390" s="63"/>
      <c r="C390" s="64"/>
      <c r="D390" s="5"/>
      <c r="E390" s="5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hidden="1" customHeight="1">
      <c r="A391" s="5"/>
      <c r="B391" s="63"/>
      <c r="C391" s="64"/>
      <c r="D391" s="5"/>
      <c r="E391" s="5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hidden="1" customHeight="1">
      <c r="A392" s="5"/>
      <c r="B392" s="63"/>
      <c r="C392" s="64"/>
      <c r="D392" s="5"/>
      <c r="E392" s="5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9"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C161:D161"/>
    <mergeCell ref="B12:D12"/>
    <mergeCell ref="E12:E13"/>
    <mergeCell ref="B13:D13"/>
    <mergeCell ref="B14:C16"/>
    <mergeCell ref="A17:D17"/>
    <mergeCell ref="B18:D18"/>
    <mergeCell ref="C19:C21"/>
    <mergeCell ref="B19:B21"/>
    <mergeCell ref="B22:B24"/>
    <mergeCell ref="C22:C24"/>
    <mergeCell ref="B25:B27"/>
    <mergeCell ref="C25:C27"/>
    <mergeCell ref="B28:B30"/>
    <mergeCell ref="C28:C30"/>
    <mergeCell ref="A31:D31"/>
    <mergeCell ref="B32:D32"/>
    <mergeCell ref="B33:D33"/>
    <mergeCell ref="B34:D34"/>
    <mergeCell ref="B35:D35"/>
    <mergeCell ref="B36:D36"/>
    <mergeCell ref="A37:E37"/>
    <mergeCell ref="B38:D38"/>
    <mergeCell ref="B39:C41"/>
    <mergeCell ref="A42:D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  <mergeCell ref="C103:D103"/>
    <mergeCell ref="A187:D187"/>
    <mergeCell ref="A188:D188"/>
    <mergeCell ref="B189:D189"/>
    <mergeCell ref="C190:D190"/>
    <mergeCell ref="C191:D191"/>
    <mergeCell ref="C192:D192"/>
    <mergeCell ref="B164:D164"/>
    <mergeCell ref="C166:D166"/>
    <mergeCell ref="B173:D173"/>
    <mergeCell ref="C175:D175"/>
    <mergeCell ref="B182:D182"/>
    <mergeCell ref="C184:D184"/>
    <mergeCell ref="B186:D186"/>
  </mergeCells>
  <conditionalFormatting sqref="E52 E61">
    <cfRule type="containsBlanks" dxfId="0" priority="1">
      <formula>LEN(TRIM(E52))=0</formula>
    </cfRule>
  </conditionalFormatting>
  <conditionalFormatting sqref="E132">
    <cfRule type="containsBlanks" dxfId="0" priority="2">
      <formula>LEN(TRIM(E132))=0</formula>
    </cfRule>
  </conditionalFormatting>
  <conditionalFormatting sqref="E192">
    <cfRule type="containsBlanks" dxfId="0" priority="3">
      <formula>LEN(TRIM(E192))=0</formula>
    </cfRule>
  </conditionalFormatting>
  <conditionalFormatting sqref="E70">
    <cfRule type="containsBlanks" dxfId="0" priority="4">
      <formula>LEN(TRIM(E70))=0</formula>
    </cfRule>
  </conditionalFormatting>
  <conditionalFormatting sqref="E79">
    <cfRule type="containsBlanks" dxfId="0" priority="5">
      <formula>LEN(TRIM(E79))=0</formula>
    </cfRule>
  </conditionalFormatting>
  <conditionalFormatting sqref="E88">
    <cfRule type="containsBlanks" dxfId="0" priority="6">
      <formula>LEN(TRIM(E88))=0</formula>
    </cfRule>
  </conditionalFormatting>
  <conditionalFormatting sqref="E101">
    <cfRule type="containsBlanks" dxfId="0" priority="7">
      <formula>LEN(TRIM(E101))=0</formula>
    </cfRule>
  </conditionalFormatting>
  <conditionalFormatting sqref="E110">
    <cfRule type="containsBlanks" dxfId="0" priority="8">
      <formula>LEN(TRIM(E110))=0</formula>
    </cfRule>
  </conditionalFormatting>
  <conditionalFormatting sqref="E119">
    <cfRule type="containsBlanks" dxfId="0" priority="9">
      <formula>LEN(TRIM(E119))=0</formula>
    </cfRule>
  </conditionalFormatting>
  <conditionalFormatting sqref="E128">
    <cfRule type="containsBlanks" dxfId="0" priority="10">
      <formula>LEN(TRIM(E128))=0</formula>
    </cfRule>
  </conditionalFormatting>
  <conditionalFormatting sqref="E141">
    <cfRule type="containsBlanks" dxfId="0" priority="11">
      <formula>LEN(TRIM(E141))=0</formula>
    </cfRule>
  </conditionalFormatting>
  <conditionalFormatting sqref="E150">
    <cfRule type="containsBlanks" dxfId="0" priority="12">
      <formula>LEN(TRIM(E150))=0</formula>
    </cfRule>
  </conditionalFormatting>
  <conditionalFormatting sqref="E159">
    <cfRule type="containsBlanks" dxfId="0" priority="13">
      <formula>LEN(TRIM(E159))=0</formula>
    </cfRule>
  </conditionalFormatting>
  <conditionalFormatting sqref="E173">
    <cfRule type="containsBlanks" dxfId="0" priority="14">
      <formula>LEN(TRIM(E173))=0</formula>
    </cfRule>
  </conditionalFormatting>
  <conditionalFormatting sqref="E182">
    <cfRule type="containsBlanks" dxfId="0" priority="15">
      <formula>LEN(TRIM(E182))=0</formula>
    </cfRule>
  </conditionalFormatting>
  <conditionalFormatting sqref="E30">
    <cfRule type="expression" dxfId="1" priority="16">
      <formula>E30&lt;&gt;#REF!</formula>
    </cfRule>
  </conditionalFormatting>
  <conditionalFormatting sqref="E30">
    <cfRule type="expression" dxfId="1" priority="17">
      <formula>E30&lt;&gt;E34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27" width="8.71"/>
    <col customWidth="1" min="28" max="28" width="13.29"/>
    <col customWidth="1" min="29" max="30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170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13" t="s">
        <v>182</v>
      </c>
      <c r="Q13" s="13" t="s">
        <v>183</v>
      </c>
      <c r="R13" s="13" t="s">
        <v>184</v>
      </c>
      <c r="S13" s="13" t="s">
        <v>185</v>
      </c>
      <c r="T13" s="13" t="s">
        <v>186</v>
      </c>
      <c r="U13" s="13" t="s">
        <v>187</v>
      </c>
      <c r="V13" s="13" t="s">
        <v>188</v>
      </c>
      <c r="W13" s="13" t="s">
        <v>189</v>
      </c>
      <c r="X13" s="13" t="s">
        <v>190</v>
      </c>
      <c r="Y13" s="13" t="s">
        <v>191</v>
      </c>
      <c r="Z13" s="13" t="s">
        <v>192</v>
      </c>
      <c r="AA13" s="13" t="s">
        <v>193</v>
      </c>
      <c r="AB13" s="36"/>
    </row>
    <row r="14" ht="12.75" customHeight="1">
      <c r="A14" s="18"/>
      <c r="B14" s="22" t="s">
        <v>11</v>
      </c>
      <c r="C14" s="23"/>
      <c r="D14" s="19" t="s">
        <v>12</v>
      </c>
      <c r="E14" s="66">
        <v>135.0</v>
      </c>
      <c r="F14" s="66">
        <v>117.0</v>
      </c>
      <c r="G14" s="66">
        <v>109.0</v>
      </c>
      <c r="H14" s="66">
        <v>108.0</v>
      </c>
      <c r="I14" s="66">
        <v>137.0</v>
      </c>
      <c r="J14" s="66">
        <v>145.0</v>
      </c>
      <c r="K14" s="66">
        <v>122.0</v>
      </c>
      <c r="L14" s="66">
        <v>119.0</v>
      </c>
      <c r="M14" s="66">
        <v>144.0</v>
      </c>
      <c r="N14" s="66">
        <v>134.0</v>
      </c>
      <c r="O14" s="66">
        <v>146.0</v>
      </c>
      <c r="P14" s="66">
        <v>128.0</v>
      </c>
      <c r="Q14" s="66">
        <v>141.0</v>
      </c>
      <c r="R14" s="66">
        <v>115.0</v>
      </c>
      <c r="S14" s="66">
        <v>85.0</v>
      </c>
      <c r="T14" s="66">
        <v>89.0</v>
      </c>
      <c r="U14" s="66">
        <v>124.0</v>
      </c>
      <c r="V14" s="66">
        <v>120.0</v>
      </c>
      <c r="W14" s="66">
        <v>134.0</v>
      </c>
      <c r="X14" s="66">
        <v>136.0</v>
      </c>
      <c r="Y14" s="66">
        <v>131.0</v>
      </c>
      <c r="Z14" s="66">
        <v>125.0</v>
      </c>
      <c r="AA14" s="66">
        <v>125.0</v>
      </c>
      <c r="AB14" s="13">
        <f t="shared" ref="AB14:AB16" si="1">SUM(E14:AA14)</f>
        <v>2869</v>
      </c>
    </row>
    <row r="15" ht="12.75" customHeight="1">
      <c r="A15" s="18"/>
      <c r="B15" s="26"/>
      <c r="C15" s="27"/>
      <c r="D15" s="19" t="s">
        <v>13</v>
      </c>
      <c r="E15" s="66">
        <v>130.0</v>
      </c>
      <c r="F15" s="66">
        <v>129.0</v>
      </c>
      <c r="G15" s="66">
        <v>141.0</v>
      </c>
      <c r="H15" s="66">
        <v>122.0</v>
      </c>
      <c r="I15" s="66">
        <v>129.0</v>
      </c>
      <c r="J15" s="66">
        <v>134.0</v>
      </c>
      <c r="K15" s="66">
        <v>132.0</v>
      </c>
      <c r="L15" s="66">
        <v>151.0</v>
      </c>
      <c r="M15" s="66">
        <v>131.0</v>
      </c>
      <c r="N15" s="66">
        <v>143.0</v>
      </c>
      <c r="O15" s="66">
        <v>129.0</v>
      </c>
      <c r="P15" s="66">
        <v>126.0</v>
      </c>
      <c r="Q15" s="66">
        <v>125.0</v>
      </c>
      <c r="R15" s="66">
        <v>114.0</v>
      </c>
      <c r="S15" s="66">
        <v>102.0</v>
      </c>
      <c r="T15" s="66">
        <v>101.0</v>
      </c>
      <c r="U15" s="66">
        <v>129.0</v>
      </c>
      <c r="V15" s="66">
        <v>131.0</v>
      </c>
      <c r="W15" s="66">
        <v>126.0</v>
      </c>
      <c r="X15" s="66">
        <v>122.0</v>
      </c>
      <c r="Y15" s="66">
        <v>124.0</v>
      </c>
      <c r="Z15" s="66">
        <v>116.0</v>
      </c>
      <c r="AA15" s="66">
        <v>114.0</v>
      </c>
      <c r="AB15" s="13">
        <f t="shared" si="1"/>
        <v>2901</v>
      </c>
    </row>
    <row r="16" ht="12.75" customHeight="1">
      <c r="A16" s="25"/>
      <c r="B16" s="21"/>
      <c r="C16" s="28"/>
      <c r="D16" s="13" t="s">
        <v>14</v>
      </c>
      <c r="E16" s="13">
        <f t="shared" ref="E16:AA16" si="2">SUM(E14:E15)</f>
        <v>265</v>
      </c>
      <c r="F16" s="13">
        <f t="shared" si="2"/>
        <v>246</v>
      </c>
      <c r="G16" s="13">
        <f t="shared" si="2"/>
        <v>250</v>
      </c>
      <c r="H16" s="13">
        <f t="shared" si="2"/>
        <v>230</v>
      </c>
      <c r="I16" s="13">
        <f t="shared" si="2"/>
        <v>266</v>
      </c>
      <c r="J16" s="13">
        <f t="shared" si="2"/>
        <v>279</v>
      </c>
      <c r="K16" s="13">
        <f t="shared" si="2"/>
        <v>254</v>
      </c>
      <c r="L16" s="13">
        <f t="shared" si="2"/>
        <v>270</v>
      </c>
      <c r="M16" s="13">
        <f t="shared" si="2"/>
        <v>275</v>
      </c>
      <c r="N16" s="13">
        <f t="shared" si="2"/>
        <v>277</v>
      </c>
      <c r="O16" s="13">
        <f t="shared" si="2"/>
        <v>275</v>
      </c>
      <c r="P16" s="13">
        <f t="shared" si="2"/>
        <v>254</v>
      </c>
      <c r="Q16" s="13">
        <f t="shared" si="2"/>
        <v>266</v>
      </c>
      <c r="R16" s="13">
        <f t="shared" si="2"/>
        <v>229</v>
      </c>
      <c r="S16" s="13">
        <f t="shared" si="2"/>
        <v>187</v>
      </c>
      <c r="T16" s="13">
        <f t="shared" si="2"/>
        <v>190</v>
      </c>
      <c r="U16" s="13">
        <f t="shared" si="2"/>
        <v>253</v>
      </c>
      <c r="V16" s="13">
        <f t="shared" si="2"/>
        <v>251</v>
      </c>
      <c r="W16" s="13">
        <f t="shared" si="2"/>
        <v>260</v>
      </c>
      <c r="X16" s="13">
        <f t="shared" si="2"/>
        <v>258</v>
      </c>
      <c r="Y16" s="13">
        <f t="shared" si="2"/>
        <v>255</v>
      </c>
      <c r="Z16" s="13">
        <f t="shared" si="2"/>
        <v>241</v>
      </c>
      <c r="AA16" s="13">
        <f t="shared" si="2"/>
        <v>239</v>
      </c>
      <c r="AB16" s="13">
        <f t="shared" si="1"/>
        <v>5770</v>
      </c>
    </row>
    <row r="17" ht="12.75" customHeight="1">
      <c r="A17" s="24"/>
      <c r="B17" s="15"/>
      <c r="C17" s="15"/>
      <c r="D17" s="16"/>
      <c r="E17" s="19"/>
      <c r="F17" s="19"/>
      <c r="G17" s="19"/>
      <c r="H17" s="19"/>
      <c r="I17" s="19"/>
      <c r="J17" s="19"/>
      <c r="K17" s="19"/>
      <c r="L17" s="19"/>
      <c r="M17" s="19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8"/>
    </row>
    <row r="18" ht="12.75" customHeight="1">
      <c r="A18" s="30" t="s">
        <v>15</v>
      </c>
      <c r="B18" s="20" t="s">
        <v>16</v>
      </c>
      <c r="C18" s="15"/>
      <c r="D18" s="16"/>
      <c r="E18" s="19"/>
      <c r="F18" s="19"/>
      <c r="G18" s="19"/>
      <c r="H18" s="19"/>
      <c r="I18" s="19"/>
      <c r="J18" s="19"/>
      <c r="K18" s="19"/>
      <c r="L18" s="19"/>
      <c r="M18" s="19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66">
        <v>111.0</v>
      </c>
      <c r="F19" s="66">
        <v>99.0</v>
      </c>
      <c r="G19" s="66">
        <v>84.0</v>
      </c>
      <c r="H19" s="66">
        <v>86.0</v>
      </c>
      <c r="I19" s="66">
        <v>104.0</v>
      </c>
      <c r="J19" s="66">
        <v>102.0</v>
      </c>
      <c r="K19" s="66">
        <v>85.0</v>
      </c>
      <c r="L19" s="66">
        <v>72.0</v>
      </c>
      <c r="M19" s="66">
        <v>104.0</v>
      </c>
      <c r="N19" s="66">
        <v>93.0</v>
      </c>
      <c r="O19" s="66">
        <v>106.0</v>
      </c>
      <c r="P19" s="66">
        <v>104.0</v>
      </c>
      <c r="Q19" s="66">
        <v>93.0</v>
      </c>
      <c r="R19" s="66">
        <v>67.0</v>
      </c>
      <c r="S19" s="66">
        <v>64.0</v>
      </c>
      <c r="T19" s="66">
        <v>55.0</v>
      </c>
      <c r="U19" s="66">
        <v>92.0</v>
      </c>
      <c r="V19" s="66">
        <v>91.0</v>
      </c>
      <c r="W19" s="66">
        <v>100.0</v>
      </c>
      <c r="X19" s="66">
        <v>98.0</v>
      </c>
      <c r="Y19" s="66">
        <v>100.0</v>
      </c>
      <c r="Z19" s="66">
        <v>104.0</v>
      </c>
      <c r="AA19" s="66">
        <v>95.0</v>
      </c>
      <c r="AB19" s="13">
        <f t="shared" ref="AB19:AB30" si="3">SUM(E19:AA19)</f>
        <v>2109</v>
      </c>
    </row>
    <row r="20" ht="12.75" customHeight="1">
      <c r="A20" s="33"/>
      <c r="B20" s="27"/>
      <c r="C20" s="34"/>
      <c r="D20" s="19" t="s">
        <v>13</v>
      </c>
      <c r="E20" s="66">
        <v>114.0</v>
      </c>
      <c r="F20" s="66">
        <v>104.0</v>
      </c>
      <c r="G20" s="66">
        <v>115.0</v>
      </c>
      <c r="H20" s="66">
        <v>98.0</v>
      </c>
      <c r="I20" s="66">
        <v>108.0</v>
      </c>
      <c r="J20" s="66">
        <v>102.0</v>
      </c>
      <c r="K20" s="66">
        <v>120.0</v>
      </c>
      <c r="L20" s="66">
        <v>108.0</v>
      </c>
      <c r="M20" s="66">
        <v>111.0</v>
      </c>
      <c r="N20" s="66">
        <v>110.0</v>
      </c>
      <c r="O20" s="66">
        <v>102.0</v>
      </c>
      <c r="P20" s="66">
        <v>107.0</v>
      </c>
      <c r="Q20" s="66">
        <v>97.0</v>
      </c>
      <c r="R20" s="66">
        <v>81.0</v>
      </c>
      <c r="S20" s="66">
        <v>81.0</v>
      </c>
      <c r="T20" s="66">
        <v>71.0</v>
      </c>
      <c r="U20" s="66">
        <v>107.0</v>
      </c>
      <c r="V20" s="66">
        <v>112.0</v>
      </c>
      <c r="W20" s="66">
        <v>98.0</v>
      </c>
      <c r="X20" s="66">
        <v>104.0</v>
      </c>
      <c r="Y20" s="66">
        <v>92.0</v>
      </c>
      <c r="Z20" s="66">
        <v>101.0</v>
      </c>
      <c r="AA20" s="66">
        <v>94.0</v>
      </c>
      <c r="AB20" s="13">
        <f t="shared" si="3"/>
        <v>2337</v>
      </c>
    </row>
    <row r="21" ht="12.75" customHeight="1">
      <c r="A21" s="35"/>
      <c r="B21" s="28"/>
      <c r="C21" s="36"/>
      <c r="D21" s="13" t="s">
        <v>14</v>
      </c>
      <c r="E21" s="69">
        <v>225.0</v>
      </c>
      <c r="F21" s="69">
        <v>203.0</v>
      </c>
      <c r="G21" s="69">
        <v>199.0</v>
      </c>
      <c r="H21" s="69">
        <v>184.0</v>
      </c>
      <c r="I21" s="69">
        <v>212.0</v>
      </c>
      <c r="J21" s="69">
        <v>204.0</v>
      </c>
      <c r="K21" s="69">
        <v>205.0</v>
      </c>
      <c r="L21" s="69">
        <v>180.0</v>
      </c>
      <c r="M21" s="69">
        <v>215.0</v>
      </c>
      <c r="N21" s="69">
        <v>203.0</v>
      </c>
      <c r="O21" s="69">
        <v>208.0</v>
      </c>
      <c r="P21" s="69">
        <v>211.0</v>
      </c>
      <c r="Q21" s="69">
        <v>190.0</v>
      </c>
      <c r="R21" s="69">
        <v>148.0</v>
      </c>
      <c r="S21" s="69">
        <v>145.0</v>
      </c>
      <c r="T21" s="69">
        <v>126.0</v>
      </c>
      <c r="U21" s="69">
        <v>199.0</v>
      </c>
      <c r="V21" s="69">
        <v>203.0</v>
      </c>
      <c r="W21" s="69">
        <v>198.0</v>
      </c>
      <c r="X21" s="69">
        <v>202.0</v>
      </c>
      <c r="Y21" s="69">
        <v>192.0</v>
      </c>
      <c r="Z21" s="69">
        <v>205.0</v>
      </c>
      <c r="AA21" s="69">
        <v>189.0</v>
      </c>
      <c r="AB21" s="13">
        <f t="shared" si="3"/>
        <v>4446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66">
        <v>0.0</v>
      </c>
      <c r="F22" s="66">
        <v>0.0</v>
      </c>
      <c r="G22" s="66">
        <v>0.0</v>
      </c>
      <c r="H22" s="66">
        <v>0.0</v>
      </c>
      <c r="I22" s="66">
        <v>0.0</v>
      </c>
      <c r="J22" s="66">
        <v>0.0</v>
      </c>
      <c r="K22" s="66">
        <v>0.0</v>
      </c>
      <c r="L22" s="66">
        <v>0.0</v>
      </c>
      <c r="M22" s="66">
        <v>0.0</v>
      </c>
      <c r="N22" s="66">
        <v>0.0</v>
      </c>
      <c r="O22" s="66">
        <v>0.0</v>
      </c>
      <c r="P22" s="66">
        <v>0.0</v>
      </c>
      <c r="Q22" s="66">
        <v>0.0</v>
      </c>
      <c r="R22" s="66">
        <v>0.0</v>
      </c>
      <c r="S22" s="66">
        <v>0.0</v>
      </c>
      <c r="T22" s="66">
        <v>0.0</v>
      </c>
      <c r="U22" s="66">
        <v>0.0</v>
      </c>
      <c r="V22" s="66">
        <v>0.0</v>
      </c>
      <c r="W22" s="66">
        <v>0.0</v>
      </c>
      <c r="X22" s="66">
        <v>0.0</v>
      </c>
      <c r="Y22" s="66">
        <v>0.0</v>
      </c>
      <c r="Z22" s="66">
        <v>0.0</v>
      </c>
      <c r="AA22" s="66">
        <v>0.0</v>
      </c>
      <c r="AB22" s="13">
        <f t="shared" si="3"/>
        <v>0</v>
      </c>
    </row>
    <row r="23" ht="12.75" customHeight="1">
      <c r="A23" s="33"/>
      <c r="B23" s="27"/>
      <c r="C23" s="34"/>
      <c r="D23" s="19" t="s">
        <v>13</v>
      </c>
      <c r="E23" s="66">
        <v>0.0</v>
      </c>
      <c r="F23" s="66">
        <v>0.0</v>
      </c>
      <c r="G23" s="66">
        <v>0.0</v>
      </c>
      <c r="H23" s="66">
        <v>0.0</v>
      </c>
      <c r="I23" s="66">
        <v>0.0</v>
      </c>
      <c r="J23" s="66">
        <v>0.0</v>
      </c>
      <c r="K23" s="66">
        <v>0.0</v>
      </c>
      <c r="L23" s="66">
        <v>0.0</v>
      </c>
      <c r="M23" s="66">
        <v>0.0</v>
      </c>
      <c r="N23" s="66">
        <v>0.0</v>
      </c>
      <c r="O23" s="66">
        <v>0.0</v>
      </c>
      <c r="P23" s="66">
        <v>0.0</v>
      </c>
      <c r="Q23" s="66">
        <v>0.0</v>
      </c>
      <c r="R23" s="66">
        <v>0.0</v>
      </c>
      <c r="S23" s="66">
        <v>0.0</v>
      </c>
      <c r="T23" s="66">
        <v>0.0</v>
      </c>
      <c r="U23" s="66">
        <v>0.0</v>
      </c>
      <c r="V23" s="66">
        <v>0.0</v>
      </c>
      <c r="W23" s="66">
        <v>0.0</v>
      </c>
      <c r="X23" s="66">
        <v>0.0</v>
      </c>
      <c r="Y23" s="66">
        <v>0.0</v>
      </c>
      <c r="Z23" s="66">
        <v>0.0</v>
      </c>
      <c r="AA23" s="66">
        <v>0.0</v>
      </c>
      <c r="AB23" s="13">
        <f t="shared" si="3"/>
        <v>0</v>
      </c>
    </row>
    <row r="24" ht="12.75" customHeight="1">
      <c r="A24" s="35"/>
      <c r="B24" s="28"/>
      <c r="C24" s="36"/>
      <c r="D24" s="13" t="s">
        <v>14</v>
      </c>
      <c r="E24" s="69">
        <v>0.0</v>
      </c>
      <c r="F24" s="69">
        <v>0.0</v>
      </c>
      <c r="G24" s="69">
        <v>0.0</v>
      </c>
      <c r="H24" s="69">
        <v>0.0</v>
      </c>
      <c r="I24" s="69">
        <v>0.0</v>
      </c>
      <c r="J24" s="69">
        <v>0.0</v>
      </c>
      <c r="K24" s="69">
        <v>0.0</v>
      </c>
      <c r="L24" s="69">
        <v>0.0</v>
      </c>
      <c r="M24" s="69">
        <v>0.0</v>
      </c>
      <c r="N24" s="69">
        <v>0.0</v>
      </c>
      <c r="O24" s="69">
        <v>0.0</v>
      </c>
      <c r="P24" s="69">
        <v>0.0</v>
      </c>
      <c r="Q24" s="69">
        <v>0.0</v>
      </c>
      <c r="R24" s="69">
        <v>0.0</v>
      </c>
      <c r="S24" s="69">
        <v>0.0</v>
      </c>
      <c r="T24" s="69">
        <v>0.0</v>
      </c>
      <c r="U24" s="69">
        <v>0.0</v>
      </c>
      <c r="V24" s="69">
        <v>0.0</v>
      </c>
      <c r="W24" s="69">
        <v>0.0</v>
      </c>
      <c r="X24" s="69">
        <v>0.0</v>
      </c>
      <c r="Y24" s="69">
        <v>0.0</v>
      </c>
      <c r="Z24" s="69">
        <v>0.0</v>
      </c>
      <c r="AA24" s="69">
        <v>0.0</v>
      </c>
      <c r="AB24" s="13">
        <f t="shared" si="3"/>
        <v>0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66">
        <v>0.0</v>
      </c>
      <c r="F25" s="66">
        <v>0.0</v>
      </c>
      <c r="G25" s="66">
        <v>4.0</v>
      </c>
      <c r="H25" s="66">
        <v>0.0</v>
      </c>
      <c r="I25" s="66">
        <v>1.0</v>
      </c>
      <c r="J25" s="66">
        <v>3.0</v>
      </c>
      <c r="K25" s="66">
        <v>1.0</v>
      </c>
      <c r="L25" s="66">
        <v>1.0</v>
      </c>
      <c r="M25" s="66">
        <v>0.0</v>
      </c>
      <c r="N25" s="66">
        <v>3.0</v>
      </c>
      <c r="O25" s="66">
        <v>1.0</v>
      </c>
      <c r="P25" s="66">
        <v>2.0</v>
      </c>
      <c r="Q25" s="66">
        <v>4.0</v>
      </c>
      <c r="R25" s="66">
        <v>3.0</v>
      </c>
      <c r="S25" s="66">
        <v>0.0</v>
      </c>
      <c r="T25" s="66">
        <v>6.0</v>
      </c>
      <c r="U25" s="66">
        <v>0.0</v>
      </c>
      <c r="V25" s="66">
        <v>4.0</v>
      </c>
      <c r="W25" s="66">
        <v>1.0</v>
      </c>
      <c r="X25" s="66">
        <v>0.0</v>
      </c>
      <c r="Y25" s="66">
        <v>3.0</v>
      </c>
      <c r="Z25" s="66">
        <v>3.0</v>
      </c>
      <c r="AA25" s="66">
        <v>1.0</v>
      </c>
      <c r="AB25" s="13">
        <f t="shared" si="3"/>
        <v>41</v>
      </c>
    </row>
    <row r="26" ht="12.75" customHeight="1">
      <c r="A26" s="33"/>
      <c r="B26" s="27"/>
      <c r="C26" s="34"/>
      <c r="D26" s="19" t="s">
        <v>13</v>
      </c>
      <c r="E26" s="66">
        <v>0.0</v>
      </c>
      <c r="F26" s="66">
        <v>0.0</v>
      </c>
      <c r="G26" s="66">
        <v>2.0</v>
      </c>
      <c r="H26" s="66">
        <v>0.0</v>
      </c>
      <c r="I26" s="66">
        <v>3.0</v>
      </c>
      <c r="J26" s="66">
        <v>6.0</v>
      </c>
      <c r="K26" s="66">
        <v>0.0</v>
      </c>
      <c r="L26" s="66">
        <v>2.0</v>
      </c>
      <c r="M26" s="66">
        <v>2.0</v>
      </c>
      <c r="N26" s="66">
        <v>1.0</v>
      </c>
      <c r="O26" s="66">
        <v>3.0</v>
      </c>
      <c r="P26" s="66">
        <v>4.0</v>
      </c>
      <c r="Q26" s="66">
        <v>3.0</v>
      </c>
      <c r="R26" s="66">
        <v>3.0</v>
      </c>
      <c r="S26" s="66">
        <v>0.0</v>
      </c>
      <c r="T26" s="66">
        <v>6.0</v>
      </c>
      <c r="U26" s="66">
        <v>0.0</v>
      </c>
      <c r="V26" s="66">
        <v>2.0</v>
      </c>
      <c r="W26" s="66">
        <v>2.0</v>
      </c>
      <c r="X26" s="66">
        <v>0.0</v>
      </c>
      <c r="Y26" s="66">
        <v>1.0</v>
      </c>
      <c r="Z26" s="66">
        <v>0.0</v>
      </c>
      <c r="AA26" s="66">
        <v>0.0</v>
      </c>
      <c r="AB26" s="13">
        <f t="shared" si="3"/>
        <v>40</v>
      </c>
    </row>
    <row r="27" ht="12.75" customHeight="1">
      <c r="A27" s="35"/>
      <c r="B27" s="28"/>
      <c r="C27" s="36"/>
      <c r="D27" s="13" t="s">
        <v>14</v>
      </c>
      <c r="E27" s="69">
        <v>0.0</v>
      </c>
      <c r="F27" s="69">
        <v>0.0</v>
      </c>
      <c r="G27" s="69">
        <v>6.0</v>
      </c>
      <c r="H27" s="69">
        <v>0.0</v>
      </c>
      <c r="I27" s="69">
        <v>4.0</v>
      </c>
      <c r="J27" s="69">
        <v>9.0</v>
      </c>
      <c r="K27" s="69">
        <v>1.0</v>
      </c>
      <c r="L27" s="69">
        <v>3.0</v>
      </c>
      <c r="M27" s="69">
        <v>2.0</v>
      </c>
      <c r="N27" s="69">
        <v>4.0</v>
      </c>
      <c r="O27" s="69">
        <v>4.0</v>
      </c>
      <c r="P27" s="69">
        <v>6.0</v>
      </c>
      <c r="Q27" s="69">
        <v>7.0</v>
      </c>
      <c r="R27" s="69">
        <v>6.0</v>
      </c>
      <c r="S27" s="69">
        <v>0.0</v>
      </c>
      <c r="T27" s="69">
        <v>12.0</v>
      </c>
      <c r="U27" s="69">
        <v>0.0</v>
      </c>
      <c r="V27" s="69">
        <v>6.0</v>
      </c>
      <c r="W27" s="69">
        <v>3.0</v>
      </c>
      <c r="X27" s="69">
        <v>0.0</v>
      </c>
      <c r="Y27" s="69">
        <v>4.0</v>
      </c>
      <c r="Z27" s="69">
        <v>3.0</v>
      </c>
      <c r="AA27" s="69">
        <v>1.0</v>
      </c>
      <c r="AB27" s="13">
        <f t="shared" si="3"/>
        <v>81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69">
        <v>111.0</v>
      </c>
      <c r="F28" s="69">
        <v>99.0</v>
      </c>
      <c r="G28" s="69">
        <v>88.0</v>
      </c>
      <c r="H28" s="69">
        <v>86.0</v>
      </c>
      <c r="I28" s="69">
        <v>105.0</v>
      </c>
      <c r="J28" s="69">
        <v>105.0</v>
      </c>
      <c r="K28" s="69">
        <v>86.0</v>
      </c>
      <c r="L28" s="69">
        <v>73.0</v>
      </c>
      <c r="M28" s="69">
        <v>104.0</v>
      </c>
      <c r="N28" s="69">
        <v>96.0</v>
      </c>
      <c r="O28" s="69">
        <v>107.0</v>
      </c>
      <c r="P28" s="69">
        <v>106.0</v>
      </c>
      <c r="Q28" s="69">
        <v>97.0</v>
      </c>
      <c r="R28" s="69">
        <v>70.0</v>
      </c>
      <c r="S28" s="69">
        <v>64.0</v>
      </c>
      <c r="T28" s="69">
        <v>61.0</v>
      </c>
      <c r="U28" s="69">
        <v>92.0</v>
      </c>
      <c r="V28" s="69">
        <v>95.0</v>
      </c>
      <c r="W28" s="69">
        <v>101.0</v>
      </c>
      <c r="X28" s="69">
        <v>98.0</v>
      </c>
      <c r="Y28" s="69">
        <v>103.0</v>
      </c>
      <c r="Z28" s="69">
        <v>107.0</v>
      </c>
      <c r="AA28" s="69">
        <v>96.0</v>
      </c>
      <c r="AB28" s="13">
        <f t="shared" si="3"/>
        <v>2150</v>
      </c>
    </row>
    <row r="29" ht="12.75" customHeight="1">
      <c r="A29" s="35"/>
      <c r="B29" s="27"/>
      <c r="C29" s="34"/>
      <c r="D29" s="13" t="s">
        <v>13</v>
      </c>
      <c r="E29" s="69">
        <v>114.0</v>
      </c>
      <c r="F29" s="69">
        <v>104.0</v>
      </c>
      <c r="G29" s="69">
        <v>117.0</v>
      </c>
      <c r="H29" s="69">
        <v>98.0</v>
      </c>
      <c r="I29" s="69">
        <v>111.0</v>
      </c>
      <c r="J29" s="69">
        <v>108.0</v>
      </c>
      <c r="K29" s="69">
        <v>120.0</v>
      </c>
      <c r="L29" s="69">
        <v>110.0</v>
      </c>
      <c r="M29" s="69">
        <v>113.0</v>
      </c>
      <c r="N29" s="69">
        <v>111.0</v>
      </c>
      <c r="O29" s="69">
        <v>105.0</v>
      </c>
      <c r="P29" s="69">
        <v>111.0</v>
      </c>
      <c r="Q29" s="69">
        <v>100.0</v>
      </c>
      <c r="R29" s="69">
        <v>84.0</v>
      </c>
      <c r="S29" s="69">
        <v>81.0</v>
      </c>
      <c r="T29" s="69">
        <v>77.0</v>
      </c>
      <c r="U29" s="69">
        <v>107.0</v>
      </c>
      <c r="V29" s="69">
        <v>114.0</v>
      </c>
      <c r="W29" s="69">
        <v>100.0</v>
      </c>
      <c r="X29" s="69">
        <v>104.0</v>
      </c>
      <c r="Y29" s="69">
        <v>93.0</v>
      </c>
      <c r="Z29" s="69">
        <v>101.0</v>
      </c>
      <c r="AA29" s="69">
        <v>94.0</v>
      </c>
      <c r="AB29" s="13">
        <f t="shared" si="3"/>
        <v>2377</v>
      </c>
    </row>
    <row r="30" ht="12.75" customHeight="1">
      <c r="A30" s="35"/>
      <c r="B30" s="28"/>
      <c r="C30" s="36"/>
      <c r="D30" s="13" t="s">
        <v>14</v>
      </c>
      <c r="E30" s="13">
        <f t="shared" ref="E30:AA30" si="4">SUM(E28:E29)</f>
        <v>225</v>
      </c>
      <c r="F30" s="13">
        <f t="shared" si="4"/>
        <v>203</v>
      </c>
      <c r="G30" s="13">
        <f t="shared" si="4"/>
        <v>205</v>
      </c>
      <c r="H30" s="13">
        <f t="shared" si="4"/>
        <v>184</v>
      </c>
      <c r="I30" s="13">
        <f t="shared" si="4"/>
        <v>216</v>
      </c>
      <c r="J30" s="13">
        <f t="shared" si="4"/>
        <v>213</v>
      </c>
      <c r="K30" s="13">
        <f t="shared" si="4"/>
        <v>206</v>
      </c>
      <c r="L30" s="13">
        <f t="shared" si="4"/>
        <v>183</v>
      </c>
      <c r="M30" s="13">
        <f t="shared" si="4"/>
        <v>217</v>
      </c>
      <c r="N30" s="13">
        <f t="shared" si="4"/>
        <v>207</v>
      </c>
      <c r="O30" s="13">
        <f t="shared" si="4"/>
        <v>212</v>
      </c>
      <c r="P30" s="13">
        <f t="shared" si="4"/>
        <v>217</v>
      </c>
      <c r="Q30" s="13">
        <f t="shared" si="4"/>
        <v>197</v>
      </c>
      <c r="R30" s="13">
        <f t="shared" si="4"/>
        <v>154</v>
      </c>
      <c r="S30" s="13">
        <f t="shared" si="4"/>
        <v>145</v>
      </c>
      <c r="T30" s="13">
        <f t="shared" si="4"/>
        <v>138</v>
      </c>
      <c r="U30" s="13">
        <f t="shared" si="4"/>
        <v>199</v>
      </c>
      <c r="V30" s="13">
        <f t="shared" si="4"/>
        <v>209</v>
      </c>
      <c r="W30" s="13">
        <f t="shared" si="4"/>
        <v>201</v>
      </c>
      <c r="X30" s="13">
        <f t="shared" si="4"/>
        <v>202</v>
      </c>
      <c r="Y30" s="13">
        <f t="shared" si="4"/>
        <v>196</v>
      </c>
      <c r="Z30" s="13">
        <f t="shared" si="4"/>
        <v>208</v>
      </c>
      <c r="AA30" s="13">
        <f t="shared" si="4"/>
        <v>190</v>
      </c>
      <c r="AB30" s="13">
        <f t="shared" si="3"/>
        <v>4527</v>
      </c>
    </row>
    <row r="31" ht="12.75" customHeight="1">
      <c r="A31" s="24"/>
      <c r="B31" s="15"/>
      <c r="C31" s="15"/>
      <c r="D31" s="16"/>
      <c r="E31" s="19"/>
      <c r="F31" s="19"/>
      <c r="G31" s="19"/>
      <c r="H31" s="19"/>
      <c r="I31" s="19"/>
      <c r="J31" s="19"/>
      <c r="K31" s="19"/>
      <c r="L31" s="19"/>
      <c r="M31" s="19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8"/>
    </row>
    <row r="32" ht="12.75" customHeight="1">
      <c r="A32" s="41" t="s">
        <v>25</v>
      </c>
      <c r="B32" s="14" t="s">
        <v>26</v>
      </c>
      <c r="C32" s="15"/>
      <c r="D32" s="16"/>
      <c r="E32" s="13"/>
      <c r="F32" s="13"/>
      <c r="G32" s="13"/>
      <c r="H32" s="13"/>
      <c r="I32" s="13"/>
      <c r="J32" s="13"/>
      <c r="K32" s="13"/>
      <c r="L32" s="13"/>
      <c r="M32" s="13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68"/>
    </row>
    <row r="33" ht="12.75" customHeight="1">
      <c r="A33" s="19">
        <v>1.0</v>
      </c>
      <c r="B33" s="20" t="s">
        <v>27</v>
      </c>
      <c r="C33" s="15"/>
      <c r="D33" s="16"/>
      <c r="E33" s="66">
        <v>271.0</v>
      </c>
      <c r="F33" s="66">
        <v>251.0</v>
      </c>
      <c r="G33" s="66">
        <v>255.0</v>
      </c>
      <c r="H33" s="66">
        <v>235.0</v>
      </c>
      <c r="I33" s="66">
        <v>272.0</v>
      </c>
      <c r="J33" s="66">
        <v>285.0</v>
      </c>
      <c r="K33" s="66">
        <v>260.0</v>
      </c>
      <c r="L33" s="66">
        <v>276.0</v>
      </c>
      <c r="M33" s="66">
        <v>261.0</v>
      </c>
      <c r="N33" s="66">
        <v>283.0</v>
      </c>
      <c r="O33" s="66">
        <v>281.0</v>
      </c>
      <c r="P33" s="66">
        <v>260.0</v>
      </c>
      <c r="Q33" s="66">
        <v>272.0</v>
      </c>
      <c r="R33" s="66">
        <v>233.0</v>
      </c>
      <c r="S33" s="66">
        <v>191.0</v>
      </c>
      <c r="T33" s="66">
        <v>194.0</v>
      </c>
      <c r="U33" s="66">
        <v>250.0</v>
      </c>
      <c r="V33" s="66">
        <v>257.0</v>
      </c>
      <c r="W33" s="66">
        <v>266.0</v>
      </c>
      <c r="X33" s="66">
        <v>264.0</v>
      </c>
      <c r="Y33" s="66">
        <v>261.0</v>
      </c>
      <c r="Z33" s="66">
        <v>246.0</v>
      </c>
      <c r="AA33" s="66">
        <v>245.0</v>
      </c>
      <c r="AB33" s="13">
        <f t="shared" ref="AB33:AB36" si="5">SUM(E33:AA33)</f>
        <v>5869</v>
      </c>
    </row>
    <row r="34" ht="12.75" customHeight="1">
      <c r="A34" s="19">
        <v>2.0</v>
      </c>
      <c r="B34" s="20" t="s">
        <v>28</v>
      </c>
      <c r="C34" s="15"/>
      <c r="D34" s="16"/>
      <c r="E34" s="69">
        <v>225.0</v>
      </c>
      <c r="F34" s="69">
        <v>203.0</v>
      </c>
      <c r="G34" s="69">
        <v>205.0</v>
      </c>
      <c r="H34" s="69">
        <v>184.0</v>
      </c>
      <c r="I34" s="69">
        <v>216.0</v>
      </c>
      <c r="J34" s="69">
        <v>213.0</v>
      </c>
      <c r="K34" s="69">
        <v>206.0</v>
      </c>
      <c r="L34" s="69">
        <v>183.0</v>
      </c>
      <c r="M34" s="69">
        <v>217.0</v>
      </c>
      <c r="N34" s="69">
        <v>207.0</v>
      </c>
      <c r="O34" s="69">
        <v>212.0</v>
      </c>
      <c r="P34" s="69">
        <v>217.0</v>
      </c>
      <c r="Q34" s="69">
        <v>197.0</v>
      </c>
      <c r="R34" s="69">
        <v>154.0</v>
      </c>
      <c r="S34" s="69">
        <v>145.0</v>
      </c>
      <c r="T34" s="69">
        <v>138.0</v>
      </c>
      <c r="U34" s="69">
        <v>199.0</v>
      </c>
      <c r="V34" s="69">
        <v>209.0</v>
      </c>
      <c r="W34" s="69">
        <v>201.0</v>
      </c>
      <c r="X34" s="69">
        <v>202.0</v>
      </c>
      <c r="Y34" s="69">
        <v>196.0</v>
      </c>
      <c r="Z34" s="69">
        <v>208.0</v>
      </c>
      <c r="AA34" s="69">
        <v>190.0</v>
      </c>
      <c r="AB34" s="13">
        <f t="shared" si="5"/>
        <v>4527</v>
      </c>
    </row>
    <row r="35" ht="12.75" customHeight="1">
      <c r="A35" s="19">
        <v>3.0</v>
      </c>
      <c r="B35" s="20" t="s">
        <v>29</v>
      </c>
      <c r="C35" s="15"/>
      <c r="D35" s="16"/>
      <c r="E35" s="66">
        <v>0.0</v>
      </c>
      <c r="F35" s="66">
        <v>0.0</v>
      </c>
      <c r="G35" s="66">
        <v>0.0</v>
      </c>
      <c r="H35" s="66">
        <v>3.0</v>
      </c>
      <c r="I35" s="66">
        <v>0.0</v>
      </c>
      <c r="J35" s="66">
        <v>6.0</v>
      </c>
      <c r="K35" s="66">
        <v>0.0</v>
      </c>
      <c r="L35" s="66">
        <v>0.0</v>
      </c>
      <c r="M35" s="66">
        <v>0.0</v>
      </c>
      <c r="N35" s="66">
        <v>2.0</v>
      </c>
      <c r="O35" s="66">
        <v>1.0</v>
      </c>
      <c r="P35" s="66">
        <v>1.0</v>
      </c>
      <c r="Q35" s="66">
        <v>0.0</v>
      </c>
      <c r="R35" s="66">
        <v>0.0</v>
      </c>
      <c r="S35" s="66">
        <v>0.0</v>
      </c>
      <c r="T35" s="66">
        <v>0.0</v>
      </c>
      <c r="U35" s="66">
        <v>0.0</v>
      </c>
      <c r="V35" s="66">
        <v>0.0</v>
      </c>
      <c r="W35" s="66">
        <v>0.0</v>
      </c>
      <c r="X35" s="66">
        <v>0.0</v>
      </c>
      <c r="Y35" s="66">
        <v>0.0</v>
      </c>
      <c r="Z35" s="66">
        <v>0.0</v>
      </c>
      <c r="AA35" s="66">
        <v>0.0</v>
      </c>
      <c r="AB35" s="13">
        <f t="shared" si="5"/>
        <v>13</v>
      </c>
    </row>
    <row r="36" ht="12.75" customHeight="1">
      <c r="A36" s="19">
        <v>4.0</v>
      </c>
      <c r="B36" s="20" t="s">
        <v>30</v>
      </c>
      <c r="C36" s="15"/>
      <c r="D36" s="16"/>
      <c r="E36" s="69">
        <v>46.0</v>
      </c>
      <c r="F36" s="69">
        <v>48.0</v>
      </c>
      <c r="G36" s="69">
        <v>50.0</v>
      </c>
      <c r="H36" s="69">
        <v>48.0</v>
      </c>
      <c r="I36" s="69">
        <v>56.0</v>
      </c>
      <c r="J36" s="69">
        <v>66.0</v>
      </c>
      <c r="K36" s="69">
        <v>54.0</v>
      </c>
      <c r="L36" s="69">
        <v>93.0</v>
      </c>
      <c r="M36" s="69">
        <v>44.0</v>
      </c>
      <c r="N36" s="69">
        <v>74.0</v>
      </c>
      <c r="O36" s="69">
        <v>68.0</v>
      </c>
      <c r="P36" s="69">
        <v>42.0</v>
      </c>
      <c r="Q36" s="69">
        <v>75.0</v>
      </c>
      <c r="R36" s="69">
        <v>79.0</v>
      </c>
      <c r="S36" s="69">
        <v>46.0</v>
      </c>
      <c r="T36" s="69">
        <v>56.0</v>
      </c>
      <c r="U36" s="69">
        <v>51.0</v>
      </c>
      <c r="V36" s="69">
        <v>48.0</v>
      </c>
      <c r="W36" s="69">
        <v>65.0</v>
      </c>
      <c r="X36" s="69">
        <v>62.0</v>
      </c>
      <c r="Y36" s="69">
        <v>65.0</v>
      </c>
      <c r="Z36" s="69">
        <v>38.0</v>
      </c>
      <c r="AA36" s="69">
        <v>55.0</v>
      </c>
      <c r="AB36" s="13">
        <f t="shared" si="5"/>
        <v>1329</v>
      </c>
    </row>
    <row r="37" ht="12.75" customHeight="1">
      <c r="A37" s="24"/>
      <c r="B37" s="15"/>
      <c r="C37" s="15"/>
      <c r="D37" s="15"/>
      <c r="E37" s="24"/>
      <c r="F37" s="15"/>
      <c r="G37" s="15"/>
      <c r="H37" s="15"/>
      <c r="I37" s="16"/>
      <c r="J37" s="19"/>
      <c r="K37" s="19"/>
      <c r="L37" s="19"/>
      <c r="M37" s="19"/>
      <c r="N37" s="67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68"/>
    </row>
    <row r="38" ht="12.75" customHeight="1">
      <c r="A38" s="42" t="s">
        <v>31</v>
      </c>
      <c r="B38" s="14" t="s">
        <v>32</v>
      </c>
      <c r="C38" s="15"/>
      <c r="D38" s="16"/>
      <c r="E38" s="13"/>
      <c r="F38" s="13"/>
      <c r="G38" s="13"/>
      <c r="H38" s="13"/>
      <c r="I38" s="13"/>
      <c r="J38" s="13"/>
      <c r="K38" s="13"/>
      <c r="L38" s="13"/>
      <c r="M38" s="13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68"/>
    </row>
    <row r="39" ht="12.75" customHeight="1">
      <c r="A39" s="30"/>
      <c r="B39" s="43" t="s">
        <v>33</v>
      </c>
      <c r="C39" s="23"/>
      <c r="D39" s="19" t="s">
        <v>12</v>
      </c>
      <c r="E39" s="66">
        <v>0.0</v>
      </c>
      <c r="F39" s="66">
        <v>0.0</v>
      </c>
      <c r="G39" s="66">
        <v>0.0</v>
      </c>
      <c r="H39" s="66">
        <v>0.0</v>
      </c>
      <c r="I39" s="66">
        <v>1.0</v>
      </c>
      <c r="J39" s="66">
        <v>0.0</v>
      </c>
      <c r="K39" s="66">
        <v>0.0</v>
      </c>
      <c r="L39" s="66">
        <v>0.0</v>
      </c>
      <c r="M39" s="66">
        <v>0.0</v>
      </c>
      <c r="N39" s="66">
        <v>0.0</v>
      </c>
      <c r="O39" s="66">
        <v>0.0</v>
      </c>
      <c r="P39" s="66">
        <v>0.0</v>
      </c>
      <c r="Q39" s="66">
        <v>0.0</v>
      </c>
      <c r="R39" s="66">
        <v>1.0</v>
      </c>
      <c r="S39" s="66">
        <v>0.0</v>
      </c>
      <c r="T39" s="66">
        <v>0.0</v>
      </c>
      <c r="U39" s="66">
        <v>0.0</v>
      </c>
      <c r="V39" s="66">
        <v>0.0</v>
      </c>
      <c r="W39" s="66">
        <v>0.0</v>
      </c>
      <c r="X39" s="66">
        <v>0.0</v>
      </c>
      <c r="Y39" s="66">
        <v>0.0</v>
      </c>
      <c r="Z39" s="66">
        <v>0.0</v>
      </c>
      <c r="AA39" s="66">
        <v>1.0</v>
      </c>
      <c r="AB39" s="13">
        <f t="shared" ref="AB39:AB41" si="6">SUM(E39:AA39)</f>
        <v>3</v>
      </c>
    </row>
    <row r="40" ht="12.75" customHeight="1">
      <c r="A40" s="33"/>
      <c r="C40" s="27"/>
      <c r="D40" s="19" t="s">
        <v>13</v>
      </c>
      <c r="E40" s="66">
        <v>0.0</v>
      </c>
      <c r="F40" s="66">
        <v>0.0</v>
      </c>
      <c r="G40" s="66">
        <v>0.0</v>
      </c>
      <c r="H40" s="66">
        <v>0.0</v>
      </c>
      <c r="I40" s="66">
        <v>1.0</v>
      </c>
      <c r="J40" s="66">
        <v>0.0</v>
      </c>
      <c r="K40" s="66">
        <v>0.0</v>
      </c>
      <c r="L40" s="66">
        <v>0.0</v>
      </c>
      <c r="M40" s="66">
        <v>0.0</v>
      </c>
      <c r="N40" s="66">
        <v>0.0</v>
      </c>
      <c r="O40" s="66">
        <v>0.0</v>
      </c>
      <c r="P40" s="66">
        <v>0.0</v>
      </c>
      <c r="Q40" s="66">
        <v>0.0</v>
      </c>
      <c r="R40" s="66">
        <v>3.0</v>
      </c>
      <c r="S40" s="66">
        <v>0.0</v>
      </c>
      <c r="T40" s="66">
        <v>0.0</v>
      </c>
      <c r="U40" s="66">
        <v>0.0</v>
      </c>
      <c r="V40" s="66">
        <v>0.0</v>
      </c>
      <c r="W40" s="66">
        <v>0.0</v>
      </c>
      <c r="X40" s="66">
        <v>0.0</v>
      </c>
      <c r="Y40" s="66">
        <v>0.0</v>
      </c>
      <c r="Z40" s="66">
        <v>0.0</v>
      </c>
      <c r="AA40" s="66">
        <v>2.0</v>
      </c>
      <c r="AB40" s="13">
        <f t="shared" si="6"/>
        <v>6</v>
      </c>
    </row>
    <row r="41" ht="12.75" customHeight="1">
      <c r="A41" s="41"/>
      <c r="B41" s="44"/>
      <c r="C41" s="28"/>
      <c r="D41" s="13" t="s">
        <v>14</v>
      </c>
      <c r="E41" s="13">
        <f t="shared" ref="E41:AA41" si="7">SUM(E39:E40)</f>
        <v>0</v>
      </c>
      <c r="F41" s="13">
        <f t="shared" si="7"/>
        <v>0</v>
      </c>
      <c r="G41" s="13">
        <f t="shared" si="7"/>
        <v>0</v>
      </c>
      <c r="H41" s="13">
        <f t="shared" si="7"/>
        <v>0</v>
      </c>
      <c r="I41" s="13">
        <f t="shared" si="7"/>
        <v>2</v>
      </c>
      <c r="J41" s="13">
        <f t="shared" si="7"/>
        <v>0</v>
      </c>
      <c r="K41" s="13">
        <f t="shared" si="7"/>
        <v>0</v>
      </c>
      <c r="L41" s="13">
        <f t="shared" si="7"/>
        <v>0</v>
      </c>
      <c r="M41" s="13">
        <f t="shared" si="7"/>
        <v>0</v>
      </c>
      <c r="N41" s="13">
        <f t="shared" si="7"/>
        <v>0</v>
      </c>
      <c r="O41" s="13">
        <f t="shared" si="7"/>
        <v>0</v>
      </c>
      <c r="P41" s="13">
        <f t="shared" si="7"/>
        <v>0</v>
      </c>
      <c r="Q41" s="13">
        <f t="shared" si="7"/>
        <v>0</v>
      </c>
      <c r="R41" s="13">
        <f t="shared" si="7"/>
        <v>4</v>
      </c>
      <c r="S41" s="13">
        <f t="shared" si="7"/>
        <v>0</v>
      </c>
      <c r="T41" s="13">
        <f t="shared" si="7"/>
        <v>0</v>
      </c>
      <c r="U41" s="13">
        <f t="shared" si="7"/>
        <v>0</v>
      </c>
      <c r="V41" s="13">
        <f t="shared" si="7"/>
        <v>0</v>
      </c>
      <c r="W41" s="13">
        <f t="shared" si="7"/>
        <v>0</v>
      </c>
      <c r="X41" s="13">
        <f t="shared" si="7"/>
        <v>0</v>
      </c>
      <c r="Y41" s="13">
        <f t="shared" si="7"/>
        <v>0</v>
      </c>
      <c r="Z41" s="13">
        <f t="shared" si="7"/>
        <v>0</v>
      </c>
      <c r="AA41" s="13">
        <f t="shared" si="7"/>
        <v>3</v>
      </c>
      <c r="AB41" s="13">
        <f t="shared" si="6"/>
        <v>9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67"/>
      <c r="Q42" s="19"/>
      <c r="R42" s="67"/>
      <c r="S42" s="19"/>
      <c r="T42" s="67"/>
      <c r="U42" s="19"/>
      <c r="V42" s="67"/>
      <c r="W42" s="19"/>
      <c r="X42" s="67"/>
      <c r="Y42" s="19"/>
      <c r="Z42" s="67"/>
      <c r="AA42" s="19"/>
      <c r="AB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13"/>
      <c r="G43" s="13"/>
      <c r="H43" s="13"/>
      <c r="I43" s="13"/>
      <c r="J43" s="13"/>
      <c r="K43" s="13"/>
      <c r="L43" s="13"/>
      <c r="M43" s="13"/>
      <c r="N43" s="70"/>
      <c r="O43" s="13"/>
      <c r="P43" s="70"/>
      <c r="Q43" s="13"/>
      <c r="R43" s="70"/>
      <c r="S43" s="13"/>
      <c r="T43" s="70"/>
      <c r="U43" s="13"/>
      <c r="V43" s="70"/>
      <c r="W43" s="13"/>
      <c r="X43" s="70"/>
      <c r="Y43" s="13"/>
      <c r="Z43" s="70"/>
      <c r="AA43" s="13"/>
      <c r="AB43" s="13"/>
    </row>
    <row r="44" ht="12.75" customHeight="1">
      <c r="A44" s="43" t="s">
        <v>36</v>
      </c>
      <c r="B44" s="46"/>
      <c r="C44" s="46"/>
      <c r="D44" s="23"/>
      <c r="E44" s="24"/>
      <c r="F44" s="19"/>
      <c r="G44" s="19"/>
      <c r="H44" s="19"/>
      <c r="I44" s="19"/>
      <c r="J44" s="19"/>
      <c r="K44" s="19"/>
      <c r="L44" s="19"/>
      <c r="M44" s="19"/>
      <c r="N44" s="67"/>
      <c r="O44" s="19"/>
      <c r="P44" s="67"/>
      <c r="Q44" s="19"/>
      <c r="R44" s="67"/>
      <c r="S44" s="19"/>
      <c r="T44" s="67"/>
      <c r="U44" s="19"/>
      <c r="V44" s="67"/>
      <c r="W44" s="19"/>
      <c r="X44" s="67"/>
      <c r="Y44" s="19"/>
      <c r="Z44" s="67"/>
      <c r="AA44" s="19"/>
      <c r="AB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2.0</v>
      </c>
      <c r="F45" s="66">
        <v>1.0</v>
      </c>
      <c r="G45" s="66">
        <v>2.0</v>
      </c>
      <c r="H45" s="66">
        <v>2.0</v>
      </c>
      <c r="I45" s="66">
        <v>5.0</v>
      </c>
      <c r="J45" s="66">
        <v>0.0</v>
      </c>
      <c r="K45" s="66">
        <v>5.0</v>
      </c>
      <c r="L45" s="66">
        <v>2.0</v>
      </c>
      <c r="M45" s="66">
        <v>7.0</v>
      </c>
      <c r="N45" s="66">
        <v>6.0</v>
      </c>
      <c r="O45" s="66">
        <v>1.0</v>
      </c>
      <c r="P45" s="66">
        <v>15.0</v>
      </c>
      <c r="Q45" s="66">
        <v>19.0</v>
      </c>
      <c r="R45" s="66">
        <v>10.0</v>
      </c>
      <c r="S45" s="66">
        <v>2.0</v>
      </c>
      <c r="T45" s="66">
        <v>1.0</v>
      </c>
      <c r="U45" s="66">
        <v>4.0</v>
      </c>
      <c r="V45" s="66">
        <v>6.0</v>
      </c>
      <c r="W45" s="66">
        <v>4.0</v>
      </c>
      <c r="X45" s="66">
        <v>5.0</v>
      </c>
      <c r="Y45" s="66">
        <v>2.0</v>
      </c>
      <c r="Z45" s="66">
        <v>9.0</v>
      </c>
      <c r="AA45" s="66">
        <v>5.0</v>
      </c>
      <c r="AB45" s="13">
        <f t="shared" ref="AB45:AB52" si="8">SUM(E45:AA45)</f>
        <v>115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7.0</v>
      </c>
      <c r="F46" s="66">
        <v>8.0</v>
      </c>
      <c r="G46" s="66">
        <v>5.0</v>
      </c>
      <c r="H46" s="66">
        <v>22.0</v>
      </c>
      <c r="I46" s="66">
        <v>11.0</v>
      </c>
      <c r="J46" s="66">
        <v>12.0</v>
      </c>
      <c r="K46" s="66">
        <v>26.0</v>
      </c>
      <c r="L46" s="66">
        <v>7.0</v>
      </c>
      <c r="M46" s="66">
        <v>18.0</v>
      </c>
      <c r="N46" s="66">
        <v>25.0</v>
      </c>
      <c r="O46" s="66">
        <v>1.0</v>
      </c>
      <c r="P46" s="66">
        <v>67.0</v>
      </c>
      <c r="Q46" s="66">
        <v>71.0</v>
      </c>
      <c r="R46" s="66">
        <v>56.0</v>
      </c>
      <c r="S46" s="66">
        <v>35.0</v>
      </c>
      <c r="T46" s="66">
        <v>18.0</v>
      </c>
      <c r="U46" s="66">
        <v>0.0</v>
      </c>
      <c r="V46" s="66">
        <v>7.0</v>
      </c>
      <c r="W46" s="66">
        <v>4.0</v>
      </c>
      <c r="X46" s="66">
        <v>5.0</v>
      </c>
      <c r="Y46" s="66">
        <v>1.0</v>
      </c>
      <c r="Z46" s="66">
        <v>2.0</v>
      </c>
      <c r="AA46" s="66">
        <v>5.0</v>
      </c>
      <c r="AB46" s="13">
        <f t="shared" si="8"/>
        <v>413</v>
      </c>
    </row>
    <row r="47" ht="12.75" customHeight="1">
      <c r="A47" s="18"/>
      <c r="B47" s="49"/>
      <c r="C47" s="50" t="s">
        <v>41</v>
      </c>
      <c r="D47" s="51"/>
      <c r="E47" s="66">
        <v>0.0</v>
      </c>
      <c r="F47" s="66">
        <v>0.0</v>
      </c>
      <c r="G47" s="66">
        <v>0.0</v>
      </c>
      <c r="H47" s="66">
        <v>2.0</v>
      </c>
      <c r="I47" s="66">
        <v>1.0</v>
      </c>
      <c r="J47" s="66">
        <v>1.0</v>
      </c>
      <c r="K47" s="66">
        <v>0.0</v>
      </c>
      <c r="L47" s="66">
        <v>1.0</v>
      </c>
      <c r="M47" s="66">
        <v>0.0</v>
      </c>
      <c r="N47" s="66">
        <v>2.0</v>
      </c>
      <c r="O47" s="66">
        <v>4.0</v>
      </c>
      <c r="P47" s="66">
        <v>2.0</v>
      </c>
      <c r="Q47" s="66">
        <v>2.0</v>
      </c>
      <c r="R47" s="66">
        <v>1.0</v>
      </c>
      <c r="S47" s="66">
        <v>3.0</v>
      </c>
      <c r="T47" s="66">
        <v>0.0</v>
      </c>
      <c r="U47" s="66">
        <v>0.0</v>
      </c>
      <c r="V47" s="66">
        <v>2.0</v>
      </c>
      <c r="W47" s="66">
        <v>4.0</v>
      </c>
      <c r="X47" s="66">
        <v>2.0</v>
      </c>
      <c r="Y47" s="66">
        <v>0.0</v>
      </c>
      <c r="Z47" s="66">
        <v>1.0</v>
      </c>
      <c r="AA47" s="66">
        <v>0.0</v>
      </c>
      <c r="AB47" s="13">
        <f t="shared" si="8"/>
        <v>28</v>
      </c>
    </row>
    <row r="48" ht="12.75" customHeight="1">
      <c r="A48" s="18"/>
      <c r="B48" s="49"/>
      <c r="C48" s="50" t="s">
        <v>42</v>
      </c>
      <c r="D48" s="51"/>
      <c r="E48" s="66">
        <v>0.0</v>
      </c>
      <c r="F48" s="66">
        <v>0.0</v>
      </c>
      <c r="G48" s="66">
        <v>0.0</v>
      </c>
      <c r="H48" s="66">
        <v>1.0</v>
      </c>
      <c r="I48" s="66">
        <v>0.0</v>
      </c>
      <c r="J48" s="66">
        <v>0.0</v>
      </c>
      <c r="K48" s="66">
        <v>0.0</v>
      </c>
      <c r="L48" s="66">
        <v>1.0</v>
      </c>
      <c r="M48" s="66">
        <v>0.0</v>
      </c>
      <c r="N48" s="66">
        <v>0.0</v>
      </c>
      <c r="O48" s="66">
        <v>0.0</v>
      </c>
      <c r="P48" s="66">
        <v>0.0</v>
      </c>
      <c r="Q48" s="66">
        <v>1.0</v>
      </c>
      <c r="R48" s="66">
        <v>0.0</v>
      </c>
      <c r="S48" s="66">
        <v>0.0</v>
      </c>
      <c r="T48" s="66">
        <v>0.0</v>
      </c>
      <c r="U48" s="66">
        <v>1.0</v>
      </c>
      <c r="V48" s="66">
        <v>0.0</v>
      </c>
      <c r="W48" s="66">
        <v>1.0</v>
      </c>
      <c r="X48" s="66">
        <v>0.0</v>
      </c>
      <c r="Y48" s="66">
        <v>0.0</v>
      </c>
      <c r="Z48" s="66">
        <v>0.0</v>
      </c>
      <c r="AA48" s="66">
        <v>0.0</v>
      </c>
      <c r="AB48" s="13">
        <f t="shared" si="8"/>
        <v>5</v>
      </c>
    </row>
    <row r="49" ht="12.75" customHeight="1">
      <c r="A49" s="18"/>
      <c r="B49" s="49"/>
      <c r="C49" s="50" t="s">
        <v>43</v>
      </c>
      <c r="D49" s="51"/>
      <c r="E49" s="66">
        <v>0.0</v>
      </c>
      <c r="F49" s="66">
        <v>0.0</v>
      </c>
      <c r="G49" s="66">
        <v>0.0</v>
      </c>
      <c r="H49" s="66">
        <v>0.0</v>
      </c>
      <c r="I49" s="66">
        <v>0.0</v>
      </c>
      <c r="J49" s="66">
        <v>0.0</v>
      </c>
      <c r="K49" s="66">
        <v>0.0</v>
      </c>
      <c r="L49" s="66">
        <v>0.0</v>
      </c>
      <c r="M49" s="66">
        <v>0.0</v>
      </c>
      <c r="N49" s="66">
        <v>0.0</v>
      </c>
      <c r="O49" s="66">
        <v>0.0</v>
      </c>
      <c r="P49" s="66">
        <v>0.0</v>
      </c>
      <c r="Q49" s="66">
        <v>0.0</v>
      </c>
      <c r="R49" s="66">
        <v>0.0</v>
      </c>
      <c r="S49" s="66">
        <v>0.0</v>
      </c>
      <c r="T49" s="66">
        <v>0.0</v>
      </c>
      <c r="U49" s="66">
        <v>1.0</v>
      </c>
      <c r="V49" s="66">
        <v>1.0</v>
      </c>
      <c r="W49" s="66">
        <v>0.0</v>
      </c>
      <c r="X49" s="66">
        <v>0.0</v>
      </c>
      <c r="Y49" s="66">
        <v>0.0</v>
      </c>
      <c r="Z49" s="66">
        <v>0.0</v>
      </c>
      <c r="AA49" s="66">
        <v>0.0</v>
      </c>
      <c r="AB49" s="13">
        <f t="shared" si="8"/>
        <v>2</v>
      </c>
    </row>
    <row r="50" ht="12.75" customHeight="1">
      <c r="A50" s="18"/>
      <c r="B50" s="49"/>
      <c r="C50" s="50" t="s">
        <v>44</v>
      </c>
      <c r="D50" s="51"/>
      <c r="E50" s="66">
        <v>0.0</v>
      </c>
      <c r="F50" s="66">
        <v>0.0</v>
      </c>
      <c r="G50" s="66">
        <v>0.0</v>
      </c>
      <c r="H50" s="66">
        <v>1.0</v>
      </c>
      <c r="I50" s="66">
        <v>0.0</v>
      </c>
      <c r="J50" s="66">
        <v>0.0</v>
      </c>
      <c r="K50" s="66">
        <v>0.0</v>
      </c>
      <c r="L50" s="66">
        <v>0.0</v>
      </c>
      <c r="M50" s="66">
        <v>0.0</v>
      </c>
      <c r="N50" s="66">
        <v>0.0</v>
      </c>
      <c r="O50" s="66">
        <v>0.0</v>
      </c>
      <c r="P50" s="66">
        <v>0.0</v>
      </c>
      <c r="Q50" s="66">
        <v>0.0</v>
      </c>
      <c r="R50" s="66">
        <v>0.0</v>
      </c>
      <c r="S50" s="66">
        <v>0.0</v>
      </c>
      <c r="T50" s="66">
        <v>0.0</v>
      </c>
      <c r="U50" s="66">
        <v>0.0</v>
      </c>
      <c r="V50" s="66">
        <v>0.0</v>
      </c>
      <c r="W50" s="66">
        <v>0.0</v>
      </c>
      <c r="X50" s="66">
        <v>0.0</v>
      </c>
      <c r="Y50" s="66">
        <v>0.0</v>
      </c>
      <c r="Z50" s="66">
        <v>0.0</v>
      </c>
      <c r="AA50" s="66">
        <v>0.0</v>
      </c>
      <c r="AB50" s="13">
        <f t="shared" si="8"/>
        <v>1</v>
      </c>
    </row>
    <row r="51" ht="12.75" customHeight="1">
      <c r="A51" s="18"/>
      <c r="B51" s="49"/>
      <c r="C51" s="50" t="s">
        <v>45</v>
      </c>
      <c r="D51" s="51"/>
      <c r="E51" s="66">
        <v>0.0</v>
      </c>
      <c r="F51" s="66">
        <v>0.0</v>
      </c>
      <c r="G51" s="66">
        <v>0.0</v>
      </c>
      <c r="H51" s="66">
        <v>0.0</v>
      </c>
      <c r="I51" s="66">
        <v>0.0</v>
      </c>
      <c r="J51" s="66">
        <v>0.0</v>
      </c>
      <c r="K51" s="66">
        <v>0.0</v>
      </c>
      <c r="L51" s="66">
        <v>0.0</v>
      </c>
      <c r="M51" s="66">
        <v>0.0</v>
      </c>
      <c r="N51" s="66">
        <v>0.0</v>
      </c>
      <c r="O51" s="66">
        <v>0.0</v>
      </c>
      <c r="P51" s="66">
        <v>1.0</v>
      </c>
      <c r="Q51" s="66">
        <v>0.0</v>
      </c>
      <c r="R51" s="66">
        <v>0.0</v>
      </c>
      <c r="S51" s="66">
        <v>0.0</v>
      </c>
      <c r="T51" s="66">
        <v>0.0</v>
      </c>
      <c r="U51" s="66">
        <v>0.0</v>
      </c>
      <c r="V51" s="66">
        <v>1.0</v>
      </c>
      <c r="W51" s="66">
        <v>0.0</v>
      </c>
      <c r="X51" s="66">
        <v>0.0</v>
      </c>
      <c r="Y51" s="66">
        <v>0.0</v>
      </c>
      <c r="Z51" s="66">
        <v>0.0</v>
      </c>
      <c r="AA51" s="66">
        <v>0.0</v>
      </c>
      <c r="AB51" s="13">
        <f t="shared" si="8"/>
        <v>2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AA52" si="9">SUM(E45:E51)</f>
        <v>9</v>
      </c>
      <c r="F52" s="13">
        <f t="shared" si="9"/>
        <v>9</v>
      </c>
      <c r="G52" s="13">
        <f t="shared" si="9"/>
        <v>7</v>
      </c>
      <c r="H52" s="13">
        <f t="shared" si="9"/>
        <v>28</v>
      </c>
      <c r="I52" s="13">
        <f t="shared" si="9"/>
        <v>17</v>
      </c>
      <c r="J52" s="13">
        <f t="shared" si="9"/>
        <v>13</v>
      </c>
      <c r="K52" s="13">
        <f t="shared" si="9"/>
        <v>31</v>
      </c>
      <c r="L52" s="13">
        <f t="shared" si="9"/>
        <v>11</v>
      </c>
      <c r="M52" s="13">
        <f t="shared" si="9"/>
        <v>25</v>
      </c>
      <c r="N52" s="13">
        <f t="shared" si="9"/>
        <v>33</v>
      </c>
      <c r="O52" s="13">
        <f t="shared" si="9"/>
        <v>6</v>
      </c>
      <c r="P52" s="13">
        <f t="shared" si="9"/>
        <v>85</v>
      </c>
      <c r="Q52" s="13">
        <f t="shared" si="9"/>
        <v>93</v>
      </c>
      <c r="R52" s="13">
        <f t="shared" si="9"/>
        <v>67</v>
      </c>
      <c r="S52" s="13">
        <f t="shared" si="9"/>
        <v>40</v>
      </c>
      <c r="T52" s="13">
        <f t="shared" si="9"/>
        <v>19</v>
      </c>
      <c r="U52" s="13">
        <f t="shared" si="9"/>
        <v>6</v>
      </c>
      <c r="V52" s="13">
        <f t="shared" si="9"/>
        <v>17</v>
      </c>
      <c r="W52" s="13">
        <f t="shared" si="9"/>
        <v>13</v>
      </c>
      <c r="X52" s="13">
        <f t="shared" si="9"/>
        <v>12</v>
      </c>
      <c r="Y52" s="13">
        <f t="shared" si="9"/>
        <v>3</v>
      </c>
      <c r="Z52" s="13">
        <f t="shared" si="9"/>
        <v>12</v>
      </c>
      <c r="AA52" s="13">
        <f t="shared" si="9"/>
        <v>10</v>
      </c>
      <c r="AB52" s="13">
        <f t="shared" si="8"/>
        <v>566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13"/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2.0</v>
      </c>
      <c r="F54" s="66">
        <v>4.0</v>
      </c>
      <c r="G54" s="66">
        <v>3.0</v>
      </c>
      <c r="H54" s="66">
        <v>0.0</v>
      </c>
      <c r="I54" s="66">
        <v>3.0</v>
      </c>
      <c r="J54" s="66">
        <v>4.0</v>
      </c>
      <c r="K54" s="66">
        <v>3.0</v>
      </c>
      <c r="L54" s="66">
        <v>3.0</v>
      </c>
      <c r="M54" s="66">
        <v>2.0</v>
      </c>
      <c r="N54" s="66">
        <v>11.0</v>
      </c>
      <c r="O54" s="66">
        <v>1.0</v>
      </c>
      <c r="P54" s="66">
        <v>4.0</v>
      </c>
      <c r="Q54" s="66">
        <v>5.0</v>
      </c>
      <c r="R54" s="66">
        <v>2.0</v>
      </c>
      <c r="S54" s="66">
        <v>2.0</v>
      </c>
      <c r="T54" s="66">
        <v>2.0</v>
      </c>
      <c r="U54" s="66">
        <v>4.0</v>
      </c>
      <c r="V54" s="66">
        <v>6.0</v>
      </c>
      <c r="W54" s="66">
        <v>4.0</v>
      </c>
      <c r="X54" s="66">
        <v>11.0</v>
      </c>
      <c r="Y54" s="66">
        <v>7.0</v>
      </c>
      <c r="Z54" s="66">
        <v>11.0</v>
      </c>
      <c r="AA54" s="66">
        <v>3.0</v>
      </c>
      <c r="AB54" s="13">
        <f t="shared" ref="AB54:AB61" si="10">SUM(E54:AA54)</f>
        <v>97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0.0</v>
      </c>
      <c r="F55" s="66">
        <v>0.0</v>
      </c>
      <c r="G55" s="66">
        <v>2.0</v>
      </c>
      <c r="H55" s="66">
        <v>0.0</v>
      </c>
      <c r="I55" s="66">
        <v>0.0</v>
      </c>
      <c r="J55" s="66">
        <v>1.0</v>
      </c>
      <c r="K55" s="66">
        <v>0.0</v>
      </c>
      <c r="L55" s="66">
        <v>1.0</v>
      </c>
      <c r="M55" s="66">
        <v>1.0</v>
      </c>
      <c r="N55" s="66">
        <v>1.0</v>
      </c>
      <c r="O55" s="66">
        <v>0.0</v>
      </c>
      <c r="P55" s="66">
        <v>1.0</v>
      </c>
      <c r="Q55" s="66">
        <v>4.0</v>
      </c>
      <c r="R55" s="66">
        <v>0.0</v>
      </c>
      <c r="S55" s="66">
        <v>0.0</v>
      </c>
      <c r="T55" s="66">
        <v>0.0</v>
      </c>
      <c r="U55" s="66">
        <v>0.0</v>
      </c>
      <c r="V55" s="66">
        <v>1.0</v>
      </c>
      <c r="W55" s="66">
        <v>1.0</v>
      </c>
      <c r="X55" s="66">
        <v>2.0</v>
      </c>
      <c r="Y55" s="66">
        <v>0.0</v>
      </c>
      <c r="Z55" s="66">
        <v>1.0</v>
      </c>
      <c r="AA55" s="66">
        <v>0.0</v>
      </c>
      <c r="AB55" s="13">
        <f t="shared" si="10"/>
        <v>16</v>
      </c>
    </row>
    <row r="56" ht="12.75" customHeight="1">
      <c r="A56" s="18"/>
      <c r="B56" s="49"/>
      <c r="C56" s="50" t="s">
        <v>49</v>
      </c>
      <c r="D56" s="51"/>
      <c r="E56" s="66">
        <v>0.0</v>
      </c>
      <c r="F56" s="66">
        <v>0.0</v>
      </c>
      <c r="G56" s="66">
        <v>0.0</v>
      </c>
      <c r="H56" s="66">
        <v>0.0</v>
      </c>
      <c r="I56" s="66">
        <v>1.0</v>
      </c>
      <c r="J56" s="66">
        <v>1.0</v>
      </c>
      <c r="K56" s="66">
        <v>0.0</v>
      </c>
      <c r="L56" s="66">
        <v>1.0</v>
      </c>
      <c r="M56" s="66">
        <v>1.0</v>
      </c>
      <c r="N56" s="66">
        <v>0.0</v>
      </c>
      <c r="O56" s="66">
        <v>1.0</v>
      </c>
      <c r="P56" s="66">
        <v>2.0</v>
      </c>
      <c r="Q56" s="66">
        <v>0.0</v>
      </c>
      <c r="R56" s="66">
        <v>1.0</v>
      </c>
      <c r="S56" s="66">
        <v>0.0</v>
      </c>
      <c r="T56" s="66">
        <v>1.0</v>
      </c>
      <c r="U56" s="66">
        <v>0.0</v>
      </c>
      <c r="V56" s="66">
        <v>0.0</v>
      </c>
      <c r="W56" s="66">
        <v>2.0</v>
      </c>
      <c r="X56" s="66">
        <v>1.0</v>
      </c>
      <c r="Y56" s="66">
        <v>0.0</v>
      </c>
      <c r="Z56" s="66">
        <v>0.0</v>
      </c>
      <c r="AA56" s="66">
        <v>0.0</v>
      </c>
      <c r="AB56" s="13">
        <f t="shared" si="10"/>
        <v>12</v>
      </c>
    </row>
    <row r="57" ht="12.75" customHeight="1">
      <c r="A57" s="18"/>
      <c r="B57" s="49"/>
      <c r="C57" s="50" t="s">
        <v>50</v>
      </c>
      <c r="D57" s="51"/>
      <c r="E57" s="66">
        <v>6.0</v>
      </c>
      <c r="F57" s="66">
        <v>0.0</v>
      </c>
      <c r="G57" s="66">
        <v>0.0</v>
      </c>
      <c r="H57" s="66">
        <v>0.0</v>
      </c>
      <c r="I57" s="66">
        <v>1.0</v>
      </c>
      <c r="J57" s="66">
        <v>0.0</v>
      </c>
      <c r="K57" s="66">
        <v>0.0</v>
      </c>
      <c r="L57" s="66">
        <v>2.0</v>
      </c>
      <c r="M57" s="66">
        <v>3.0</v>
      </c>
      <c r="N57" s="66">
        <v>1.0</v>
      </c>
      <c r="O57" s="66">
        <v>0.0</v>
      </c>
      <c r="P57" s="66">
        <v>1.0</v>
      </c>
      <c r="Q57" s="66">
        <v>0.0</v>
      </c>
      <c r="R57" s="66">
        <v>0.0</v>
      </c>
      <c r="S57" s="66">
        <v>0.0</v>
      </c>
      <c r="T57" s="66">
        <v>2.0</v>
      </c>
      <c r="U57" s="66">
        <v>0.0</v>
      </c>
      <c r="V57" s="66">
        <v>0.0</v>
      </c>
      <c r="W57" s="66">
        <v>0.0</v>
      </c>
      <c r="X57" s="66">
        <v>0.0</v>
      </c>
      <c r="Y57" s="66">
        <v>0.0</v>
      </c>
      <c r="Z57" s="66">
        <v>0.0</v>
      </c>
      <c r="AA57" s="66">
        <v>0.0</v>
      </c>
      <c r="AB57" s="13">
        <f t="shared" si="10"/>
        <v>16</v>
      </c>
    </row>
    <row r="58" ht="12.75" customHeight="1">
      <c r="A58" s="18"/>
      <c r="B58" s="49"/>
      <c r="C58" s="50" t="s">
        <v>51</v>
      </c>
      <c r="D58" s="51"/>
      <c r="E58" s="66">
        <v>0.0</v>
      </c>
      <c r="F58" s="66">
        <v>1.0</v>
      </c>
      <c r="G58" s="66">
        <v>1.0</v>
      </c>
      <c r="H58" s="66">
        <v>0.0</v>
      </c>
      <c r="I58" s="66">
        <v>0.0</v>
      </c>
      <c r="J58" s="66">
        <v>0.0</v>
      </c>
      <c r="K58" s="66">
        <v>2.0</v>
      </c>
      <c r="L58" s="66">
        <v>1.0</v>
      </c>
      <c r="M58" s="66">
        <v>0.0</v>
      </c>
      <c r="N58" s="66">
        <v>0.0</v>
      </c>
      <c r="O58" s="66">
        <v>1.0</v>
      </c>
      <c r="P58" s="66">
        <v>1.0</v>
      </c>
      <c r="Q58" s="66">
        <v>0.0</v>
      </c>
      <c r="R58" s="66">
        <v>0.0</v>
      </c>
      <c r="S58" s="66">
        <v>0.0</v>
      </c>
      <c r="T58" s="66">
        <v>2.0</v>
      </c>
      <c r="U58" s="66">
        <v>0.0</v>
      </c>
      <c r="V58" s="66">
        <v>0.0</v>
      </c>
      <c r="W58" s="66">
        <v>0.0</v>
      </c>
      <c r="X58" s="66">
        <v>0.0</v>
      </c>
      <c r="Y58" s="66">
        <v>0.0</v>
      </c>
      <c r="Z58" s="66">
        <v>0.0</v>
      </c>
      <c r="AA58" s="66">
        <v>0.0</v>
      </c>
      <c r="AB58" s="13">
        <f t="shared" si="10"/>
        <v>9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0.0</v>
      </c>
      <c r="O59" s="66">
        <v>0.0</v>
      </c>
      <c r="P59" s="66">
        <v>0.0</v>
      </c>
      <c r="Q59" s="66">
        <v>0.0</v>
      </c>
      <c r="R59" s="66">
        <v>0.0</v>
      </c>
      <c r="S59" s="66">
        <v>0.0</v>
      </c>
      <c r="T59" s="66">
        <v>0.0</v>
      </c>
      <c r="U59" s="66">
        <v>1.0</v>
      </c>
      <c r="V59" s="66">
        <v>0.0</v>
      </c>
      <c r="W59" s="66">
        <v>0.0</v>
      </c>
      <c r="X59" s="66">
        <v>0.0</v>
      </c>
      <c r="Y59" s="66">
        <v>1.0</v>
      </c>
      <c r="Z59" s="66">
        <v>0.0</v>
      </c>
      <c r="AA59" s="66">
        <v>1.0</v>
      </c>
      <c r="AB59" s="13">
        <f t="shared" si="10"/>
        <v>3</v>
      </c>
    </row>
    <row r="60" ht="12.75" customHeight="1">
      <c r="A60" s="18"/>
      <c r="B60" s="49"/>
      <c r="C60" s="50" t="s">
        <v>53</v>
      </c>
      <c r="D60" s="51"/>
      <c r="E60" s="66">
        <v>5.0</v>
      </c>
      <c r="F60" s="66">
        <v>0.0</v>
      </c>
      <c r="G60" s="66">
        <v>2.0</v>
      </c>
      <c r="H60" s="66">
        <v>0.0</v>
      </c>
      <c r="I60" s="66">
        <v>0.0</v>
      </c>
      <c r="J60" s="66">
        <v>0.0</v>
      </c>
      <c r="K60" s="66">
        <v>0.0</v>
      </c>
      <c r="L60" s="66">
        <v>1.0</v>
      </c>
      <c r="M60" s="66">
        <v>0.0</v>
      </c>
      <c r="N60" s="66">
        <v>1.0</v>
      </c>
      <c r="O60" s="66">
        <v>0.0</v>
      </c>
      <c r="P60" s="66">
        <v>0.0</v>
      </c>
      <c r="Q60" s="66">
        <v>0.0</v>
      </c>
      <c r="R60" s="66">
        <v>0.0</v>
      </c>
      <c r="S60" s="66">
        <v>0.0</v>
      </c>
      <c r="T60" s="66">
        <v>0.0</v>
      </c>
      <c r="U60" s="66">
        <v>0.0</v>
      </c>
      <c r="V60" s="66">
        <v>0.0</v>
      </c>
      <c r="W60" s="66">
        <v>0.0</v>
      </c>
      <c r="X60" s="66">
        <v>0.0</v>
      </c>
      <c r="Y60" s="66">
        <v>0.0</v>
      </c>
      <c r="Z60" s="66">
        <v>2.0</v>
      </c>
      <c r="AA60" s="66">
        <v>0.0</v>
      </c>
      <c r="AB60" s="13">
        <f t="shared" si="10"/>
        <v>11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AA61" si="11">SUM(E54:E60)</f>
        <v>13</v>
      </c>
      <c r="F61" s="13">
        <f t="shared" si="11"/>
        <v>5</v>
      </c>
      <c r="G61" s="13">
        <f t="shared" si="11"/>
        <v>8</v>
      </c>
      <c r="H61" s="13">
        <f t="shared" si="11"/>
        <v>0</v>
      </c>
      <c r="I61" s="13">
        <f t="shared" si="11"/>
        <v>5</v>
      </c>
      <c r="J61" s="13">
        <f t="shared" si="11"/>
        <v>6</v>
      </c>
      <c r="K61" s="13">
        <f t="shared" si="11"/>
        <v>5</v>
      </c>
      <c r="L61" s="13">
        <f t="shared" si="11"/>
        <v>9</v>
      </c>
      <c r="M61" s="13">
        <f t="shared" si="11"/>
        <v>7</v>
      </c>
      <c r="N61" s="13">
        <f t="shared" si="11"/>
        <v>14</v>
      </c>
      <c r="O61" s="13">
        <f t="shared" si="11"/>
        <v>3</v>
      </c>
      <c r="P61" s="13">
        <f t="shared" si="11"/>
        <v>9</v>
      </c>
      <c r="Q61" s="13">
        <f t="shared" si="11"/>
        <v>9</v>
      </c>
      <c r="R61" s="13">
        <f t="shared" si="11"/>
        <v>3</v>
      </c>
      <c r="S61" s="13">
        <f t="shared" si="11"/>
        <v>2</v>
      </c>
      <c r="T61" s="13">
        <f t="shared" si="11"/>
        <v>7</v>
      </c>
      <c r="U61" s="13">
        <f t="shared" si="11"/>
        <v>5</v>
      </c>
      <c r="V61" s="13">
        <f t="shared" si="11"/>
        <v>7</v>
      </c>
      <c r="W61" s="13">
        <f t="shared" si="11"/>
        <v>7</v>
      </c>
      <c r="X61" s="13">
        <f t="shared" si="11"/>
        <v>14</v>
      </c>
      <c r="Y61" s="13">
        <f t="shared" si="11"/>
        <v>8</v>
      </c>
      <c r="Z61" s="13">
        <f t="shared" si="11"/>
        <v>14</v>
      </c>
      <c r="AA61" s="13">
        <f t="shared" si="11"/>
        <v>4</v>
      </c>
      <c r="AB61" s="13">
        <f t="shared" si="10"/>
        <v>164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13"/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1.0</v>
      </c>
      <c r="F63" s="66">
        <v>3.0</v>
      </c>
      <c r="G63" s="66">
        <v>0.0</v>
      </c>
      <c r="H63" s="66">
        <v>1.0</v>
      </c>
      <c r="I63" s="66">
        <v>1.0</v>
      </c>
      <c r="J63" s="66">
        <v>1.0</v>
      </c>
      <c r="K63" s="66">
        <v>0.0</v>
      </c>
      <c r="L63" s="66">
        <v>1.0</v>
      </c>
      <c r="M63" s="66">
        <v>2.0</v>
      </c>
      <c r="N63" s="66">
        <v>3.0</v>
      </c>
      <c r="O63" s="66">
        <v>1.0</v>
      </c>
      <c r="P63" s="66">
        <v>0.0</v>
      </c>
      <c r="Q63" s="66">
        <v>2.0</v>
      </c>
      <c r="R63" s="66">
        <v>0.0</v>
      </c>
      <c r="S63" s="66">
        <v>0.0</v>
      </c>
      <c r="T63" s="66">
        <v>1.0</v>
      </c>
      <c r="U63" s="66">
        <v>1.0</v>
      </c>
      <c r="V63" s="66">
        <v>3.0</v>
      </c>
      <c r="W63" s="66">
        <v>0.0</v>
      </c>
      <c r="X63" s="66">
        <v>0.0</v>
      </c>
      <c r="Y63" s="66">
        <v>1.0</v>
      </c>
      <c r="Z63" s="66">
        <v>2.0</v>
      </c>
      <c r="AA63" s="66">
        <v>3.0</v>
      </c>
      <c r="AB63" s="13">
        <f t="shared" ref="AB63:AB70" si="12">SUM(E63:AA63)</f>
        <v>27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1.0</v>
      </c>
      <c r="F64" s="66">
        <v>0.0</v>
      </c>
      <c r="G64" s="66">
        <v>0.0</v>
      </c>
      <c r="H64" s="66">
        <v>0.0</v>
      </c>
      <c r="I64" s="66">
        <v>1.0</v>
      </c>
      <c r="J64" s="66">
        <v>2.0</v>
      </c>
      <c r="K64" s="66">
        <v>0.0</v>
      </c>
      <c r="L64" s="66">
        <v>0.0</v>
      </c>
      <c r="M64" s="66">
        <v>0.0</v>
      </c>
      <c r="N64" s="66">
        <v>1.0</v>
      </c>
      <c r="O64" s="66">
        <v>0.0</v>
      </c>
      <c r="P64" s="66">
        <v>2.0</v>
      </c>
      <c r="Q64" s="66">
        <v>1.0</v>
      </c>
      <c r="R64" s="66">
        <v>0.0</v>
      </c>
      <c r="S64" s="66">
        <v>1.0</v>
      </c>
      <c r="T64" s="66">
        <v>1.0</v>
      </c>
      <c r="U64" s="66">
        <v>4.0</v>
      </c>
      <c r="V64" s="66">
        <v>1.0</v>
      </c>
      <c r="W64" s="66">
        <v>1.0</v>
      </c>
      <c r="X64" s="66">
        <v>8.0</v>
      </c>
      <c r="Y64" s="66">
        <v>20.0</v>
      </c>
      <c r="Z64" s="66">
        <v>4.0</v>
      </c>
      <c r="AA64" s="66">
        <v>2.0</v>
      </c>
      <c r="AB64" s="13">
        <f t="shared" si="12"/>
        <v>50</v>
      </c>
    </row>
    <row r="65" ht="12.75" customHeight="1">
      <c r="A65" s="18"/>
      <c r="B65" s="49"/>
      <c r="C65" s="50" t="s">
        <v>56</v>
      </c>
      <c r="D65" s="51"/>
      <c r="E65" s="66">
        <v>2.0</v>
      </c>
      <c r="F65" s="66">
        <v>0.0</v>
      </c>
      <c r="G65" s="66">
        <v>0.0</v>
      </c>
      <c r="H65" s="66">
        <v>1.0</v>
      </c>
      <c r="I65" s="66">
        <v>2.0</v>
      </c>
      <c r="J65" s="66">
        <v>1.0</v>
      </c>
      <c r="K65" s="66">
        <v>0.0</v>
      </c>
      <c r="L65" s="66">
        <v>1.0</v>
      </c>
      <c r="M65" s="66">
        <v>0.0</v>
      </c>
      <c r="N65" s="66">
        <v>1.0</v>
      </c>
      <c r="O65" s="66">
        <v>9.0</v>
      </c>
      <c r="P65" s="66">
        <v>1.0</v>
      </c>
      <c r="Q65" s="66">
        <v>0.0</v>
      </c>
      <c r="R65" s="66">
        <v>0.0</v>
      </c>
      <c r="S65" s="66">
        <v>1.0</v>
      </c>
      <c r="T65" s="66">
        <v>0.0</v>
      </c>
      <c r="U65" s="66">
        <v>1.0</v>
      </c>
      <c r="V65" s="66">
        <v>2.0</v>
      </c>
      <c r="W65" s="66">
        <v>0.0</v>
      </c>
      <c r="X65" s="66">
        <v>2.0</v>
      </c>
      <c r="Y65" s="66">
        <v>1.0</v>
      </c>
      <c r="Z65" s="66">
        <v>0.0</v>
      </c>
      <c r="AA65" s="66">
        <v>3.0</v>
      </c>
      <c r="AB65" s="13">
        <f t="shared" si="12"/>
        <v>28</v>
      </c>
    </row>
    <row r="66" ht="12.75" customHeight="1">
      <c r="A66" s="18"/>
      <c r="B66" s="49"/>
      <c r="C66" s="50" t="s">
        <v>57</v>
      </c>
      <c r="D66" s="51"/>
      <c r="E66" s="66">
        <v>4.0</v>
      </c>
      <c r="F66" s="66">
        <v>1.0</v>
      </c>
      <c r="G66" s="66">
        <v>0.0</v>
      </c>
      <c r="H66" s="66">
        <v>1.0</v>
      </c>
      <c r="I66" s="66">
        <v>1.0</v>
      </c>
      <c r="J66" s="66">
        <v>5.0</v>
      </c>
      <c r="K66" s="66">
        <v>2.0</v>
      </c>
      <c r="L66" s="66">
        <v>0.0</v>
      </c>
      <c r="M66" s="66">
        <v>0.0</v>
      </c>
      <c r="N66" s="66">
        <v>1.0</v>
      </c>
      <c r="O66" s="66">
        <v>0.0</v>
      </c>
      <c r="P66" s="66">
        <v>1.0</v>
      </c>
      <c r="Q66" s="66">
        <v>0.0</v>
      </c>
      <c r="R66" s="66">
        <v>0.0</v>
      </c>
      <c r="S66" s="66">
        <v>3.0</v>
      </c>
      <c r="T66" s="66">
        <v>0.0</v>
      </c>
      <c r="U66" s="66">
        <v>1.0</v>
      </c>
      <c r="V66" s="66">
        <v>0.0</v>
      </c>
      <c r="W66" s="66">
        <v>0.0</v>
      </c>
      <c r="X66" s="66">
        <v>0.0</v>
      </c>
      <c r="Y66" s="66">
        <v>0.0</v>
      </c>
      <c r="Z66" s="66">
        <v>1.0</v>
      </c>
      <c r="AA66" s="66">
        <v>0.0</v>
      </c>
      <c r="AB66" s="13">
        <f t="shared" si="12"/>
        <v>21</v>
      </c>
    </row>
    <row r="67" ht="12.75" customHeight="1">
      <c r="A67" s="18"/>
      <c r="B67" s="49"/>
      <c r="C67" s="50" t="s">
        <v>58</v>
      </c>
      <c r="D67" s="51"/>
      <c r="E67" s="66">
        <v>2.0</v>
      </c>
      <c r="F67" s="66">
        <v>0.0</v>
      </c>
      <c r="G67" s="66">
        <v>1.0</v>
      </c>
      <c r="H67" s="66">
        <v>0.0</v>
      </c>
      <c r="I67" s="66">
        <v>0.0</v>
      </c>
      <c r="J67" s="66">
        <v>0.0</v>
      </c>
      <c r="K67" s="66">
        <v>0.0</v>
      </c>
      <c r="L67" s="66">
        <v>0.0</v>
      </c>
      <c r="M67" s="66">
        <v>0.0</v>
      </c>
      <c r="N67" s="66">
        <v>2.0</v>
      </c>
      <c r="O67" s="66">
        <v>0.0</v>
      </c>
      <c r="P67" s="66">
        <v>0.0</v>
      </c>
      <c r="Q67" s="66">
        <v>0.0</v>
      </c>
      <c r="R67" s="66">
        <v>0.0</v>
      </c>
      <c r="S67" s="66">
        <v>0.0</v>
      </c>
      <c r="T67" s="66">
        <v>0.0</v>
      </c>
      <c r="U67" s="66">
        <v>0.0</v>
      </c>
      <c r="V67" s="66">
        <v>0.0</v>
      </c>
      <c r="W67" s="66">
        <v>0.0</v>
      </c>
      <c r="X67" s="66">
        <v>0.0</v>
      </c>
      <c r="Y67" s="66">
        <v>0.0</v>
      </c>
      <c r="Z67" s="66">
        <v>0.0</v>
      </c>
      <c r="AA67" s="66">
        <v>0.0</v>
      </c>
      <c r="AB67" s="13">
        <f t="shared" si="12"/>
        <v>5</v>
      </c>
    </row>
    <row r="68" ht="12.75" customHeight="1">
      <c r="A68" s="18"/>
      <c r="B68" s="49"/>
      <c r="C68" s="50" t="s">
        <v>59</v>
      </c>
      <c r="D68" s="51"/>
      <c r="E68" s="66">
        <v>6.0</v>
      </c>
      <c r="F68" s="66">
        <v>0.0</v>
      </c>
      <c r="G68" s="66">
        <v>4.0</v>
      </c>
      <c r="H68" s="66">
        <v>3.0</v>
      </c>
      <c r="I68" s="66">
        <v>0.0</v>
      </c>
      <c r="J68" s="66">
        <v>1.0</v>
      </c>
      <c r="K68" s="66">
        <v>2.0</v>
      </c>
      <c r="L68" s="66">
        <v>6.0</v>
      </c>
      <c r="M68" s="66">
        <v>1.0</v>
      </c>
      <c r="N68" s="66">
        <v>0.0</v>
      </c>
      <c r="O68" s="66">
        <v>0.0</v>
      </c>
      <c r="P68" s="66">
        <v>0.0</v>
      </c>
      <c r="Q68" s="66">
        <v>0.0</v>
      </c>
      <c r="R68" s="66">
        <v>0.0</v>
      </c>
      <c r="S68" s="66">
        <v>0.0</v>
      </c>
      <c r="T68" s="66">
        <v>0.0</v>
      </c>
      <c r="U68" s="66">
        <v>0.0</v>
      </c>
      <c r="V68" s="66">
        <v>0.0</v>
      </c>
      <c r="W68" s="66">
        <v>0.0</v>
      </c>
      <c r="X68" s="66">
        <v>0.0</v>
      </c>
      <c r="Y68" s="66">
        <v>0.0</v>
      </c>
      <c r="Z68" s="66">
        <v>0.0</v>
      </c>
      <c r="AA68" s="66">
        <v>0.0</v>
      </c>
      <c r="AB68" s="13">
        <f t="shared" si="12"/>
        <v>23</v>
      </c>
    </row>
    <row r="69" ht="12.75" customHeight="1">
      <c r="A69" s="18"/>
      <c r="B69" s="49"/>
      <c r="C69" s="50" t="s">
        <v>60</v>
      </c>
      <c r="D69" s="51"/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0.0</v>
      </c>
      <c r="K69" s="66">
        <v>0.0</v>
      </c>
      <c r="L69" s="66">
        <v>0.0</v>
      </c>
      <c r="M69" s="66">
        <v>0.0</v>
      </c>
      <c r="N69" s="66">
        <v>0.0</v>
      </c>
      <c r="O69" s="66">
        <v>0.0</v>
      </c>
      <c r="P69" s="66">
        <v>0.0</v>
      </c>
      <c r="Q69" s="66">
        <v>1.0</v>
      </c>
      <c r="R69" s="66">
        <v>0.0</v>
      </c>
      <c r="S69" s="66">
        <v>0.0</v>
      </c>
      <c r="T69" s="66">
        <v>0.0</v>
      </c>
      <c r="U69" s="66">
        <v>0.0</v>
      </c>
      <c r="V69" s="66">
        <v>0.0</v>
      </c>
      <c r="W69" s="66">
        <v>0.0</v>
      </c>
      <c r="X69" s="66">
        <v>0.0</v>
      </c>
      <c r="Y69" s="66">
        <v>0.0</v>
      </c>
      <c r="Z69" s="66">
        <v>0.0</v>
      </c>
      <c r="AA69" s="66">
        <v>0.0</v>
      </c>
      <c r="AB69" s="13">
        <f t="shared" si="12"/>
        <v>1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AA70" si="13">SUM(E63:E69)</f>
        <v>16</v>
      </c>
      <c r="F70" s="13">
        <f t="shared" si="13"/>
        <v>4</v>
      </c>
      <c r="G70" s="13">
        <f t="shared" si="13"/>
        <v>5</v>
      </c>
      <c r="H70" s="13">
        <f t="shared" si="13"/>
        <v>6</v>
      </c>
      <c r="I70" s="13">
        <f t="shared" si="13"/>
        <v>5</v>
      </c>
      <c r="J70" s="13">
        <f t="shared" si="13"/>
        <v>10</v>
      </c>
      <c r="K70" s="13">
        <f t="shared" si="13"/>
        <v>4</v>
      </c>
      <c r="L70" s="13">
        <f t="shared" si="13"/>
        <v>8</v>
      </c>
      <c r="M70" s="13">
        <f t="shared" si="13"/>
        <v>3</v>
      </c>
      <c r="N70" s="13">
        <f t="shared" si="13"/>
        <v>8</v>
      </c>
      <c r="O70" s="13">
        <f t="shared" si="13"/>
        <v>10</v>
      </c>
      <c r="P70" s="13">
        <f t="shared" si="13"/>
        <v>4</v>
      </c>
      <c r="Q70" s="13">
        <f t="shared" si="13"/>
        <v>4</v>
      </c>
      <c r="R70" s="13">
        <f t="shared" si="13"/>
        <v>0</v>
      </c>
      <c r="S70" s="13">
        <f t="shared" si="13"/>
        <v>5</v>
      </c>
      <c r="T70" s="13">
        <f t="shared" si="13"/>
        <v>2</v>
      </c>
      <c r="U70" s="13">
        <f t="shared" si="13"/>
        <v>7</v>
      </c>
      <c r="V70" s="13">
        <f t="shared" si="13"/>
        <v>6</v>
      </c>
      <c r="W70" s="13">
        <f t="shared" si="13"/>
        <v>1</v>
      </c>
      <c r="X70" s="13">
        <f t="shared" si="13"/>
        <v>10</v>
      </c>
      <c r="Y70" s="13">
        <f t="shared" si="13"/>
        <v>22</v>
      </c>
      <c r="Z70" s="13">
        <f t="shared" si="13"/>
        <v>7</v>
      </c>
      <c r="AA70" s="13">
        <f t="shared" si="13"/>
        <v>8</v>
      </c>
      <c r="AB70" s="13">
        <f t="shared" si="12"/>
        <v>155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13"/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66">
        <v>1.0</v>
      </c>
      <c r="F72" s="66">
        <v>6.0</v>
      </c>
      <c r="G72" s="66">
        <v>7.0</v>
      </c>
      <c r="H72" s="66">
        <v>4.0</v>
      </c>
      <c r="I72" s="66">
        <v>4.0</v>
      </c>
      <c r="J72" s="66">
        <v>7.0</v>
      </c>
      <c r="K72" s="66">
        <v>1.0</v>
      </c>
      <c r="L72" s="66">
        <v>4.0</v>
      </c>
      <c r="M72" s="66">
        <v>6.0</v>
      </c>
      <c r="N72" s="66">
        <v>1.0</v>
      </c>
      <c r="O72" s="66">
        <v>4.0</v>
      </c>
      <c r="P72" s="66">
        <v>6.0</v>
      </c>
      <c r="Q72" s="66">
        <v>14.0</v>
      </c>
      <c r="R72" s="66">
        <v>5.0</v>
      </c>
      <c r="S72" s="66">
        <v>8.0</v>
      </c>
      <c r="T72" s="66">
        <v>11.0</v>
      </c>
      <c r="U72" s="66">
        <v>6.0</v>
      </c>
      <c r="V72" s="66">
        <v>6.0</v>
      </c>
      <c r="W72" s="66">
        <v>5.0</v>
      </c>
      <c r="X72" s="66">
        <v>10.0</v>
      </c>
      <c r="Y72" s="66">
        <v>18.0</v>
      </c>
      <c r="Z72" s="66">
        <v>11.0</v>
      </c>
      <c r="AA72" s="66">
        <v>22.0</v>
      </c>
      <c r="AB72" s="13">
        <f t="shared" ref="AB72:AB79" si="14">SUM(E72:AA72)</f>
        <v>167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49.0</v>
      </c>
      <c r="F73" s="66">
        <v>29.0</v>
      </c>
      <c r="G73" s="66">
        <v>76.0</v>
      </c>
      <c r="H73" s="66">
        <v>88.0</v>
      </c>
      <c r="I73" s="66">
        <v>41.0</v>
      </c>
      <c r="J73" s="66">
        <v>44.0</v>
      </c>
      <c r="K73" s="66">
        <v>28.0</v>
      </c>
      <c r="L73" s="66">
        <v>18.0</v>
      </c>
      <c r="M73" s="66">
        <v>56.0</v>
      </c>
      <c r="N73" s="66">
        <v>14.0</v>
      </c>
      <c r="O73" s="66">
        <v>24.0</v>
      </c>
      <c r="P73" s="66">
        <v>23.0</v>
      </c>
      <c r="Q73" s="66">
        <v>34.0</v>
      </c>
      <c r="R73" s="66">
        <v>41.0</v>
      </c>
      <c r="S73" s="66">
        <v>52.0</v>
      </c>
      <c r="T73" s="66">
        <v>60.0</v>
      </c>
      <c r="U73" s="66">
        <v>39.0</v>
      </c>
      <c r="V73" s="66">
        <v>58.0</v>
      </c>
      <c r="W73" s="66">
        <v>38.0</v>
      </c>
      <c r="X73" s="66">
        <v>69.0</v>
      </c>
      <c r="Y73" s="66">
        <v>62.0</v>
      </c>
      <c r="Z73" s="66">
        <v>64.0</v>
      </c>
      <c r="AA73" s="66">
        <v>66.0</v>
      </c>
      <c r="AB73" s="13">
        <f t="shared" si="14"/>
        <v>1073</v>
      </c>
    </row>
    <row r="74" ht="12.75" customHeight="1">
      <c r="A74" s="18"/>
      <c r="B74" s="49"/>
      <c r="C74" s="50" t="s">
        <v>63</v>
      </c>
      <c r="D74" s="51"/>
      <c r="E74" s="66">
        <v>0.0</v>
      </c>
      <c r="F74" s="66">
        <v>0.0</v>
      </c>
      <c r="G74" s="66">
        <v>0.0</v>
      </c>
      <c r="H74" s="66">
        <v>0.0</v>
      </c>
      <c r="I74" s="66">
        <v>0.0</v>
      </c>
      <c r="J74" s="66">
        <v>0.0</v>
      </c>
      <c r="K74" s="66">
        <v>0.0</v>
      </c>
      <c r="L74" s="66">
        <v>1.0</v>
      </c>
      <c r="M74" s="66">
        <v>0.0</v>
      </c>
      <c r="N74" s="66">
        <v>0.0</v>
      </c>
      <c r="O74" s="66">
        <v>0.0</v>
      </c>
      <c r="P74" s="66">
        <v>0.0</v>
      </c>
      <c r="Q74" s="66">
        <v>1.0</v>
      </c>
      <c r="R74" s="66">
        <v>0.0</v>
      </c>
      <c r="S74" s="66">
        <v>0.0</v>
      </c>
      <c r="T74" s="66">
        <v>0.0</v>
      </c>
      <c r="U74" s="66">
        <v>0.0</v>
      </c>
      <c r="V74" s="66">
        <v>1.0</v>
      </c>
      <c r="W74" s="66">
        <v>0.0</v>
      </c>
      <c r="X74" s="66">
        <v>1.0</v>
      </c>
      <c r="Y74" s="66">
        <v>0.0</v>
      </c>
      <c r="Z74" s="66">
        <v>0.0</v>
      </c>
      <c r="AA74" s="66">
        <v>0.0</v>
      </c>
      <c r="AB74" s="13">
        <f t="shared" si="14"/>
        <v>4</v>
      </c>
    </row>
    <row r="75" ht="12.75" customHeight="1">
      <c r="A75" s="18"/>
      <c r="B75" s="49"/>
      <c r="C75" s="50" t="s">
        <v>64</v>
      </c>
      <c r="D75" s="51"/>
      <c r="E75" s="66">
        <v>0.0</v>
      </c>
      <c r="F75" s="66">
        <v>0.0</v>
      </c>
      <c r="G75" s="66">
        <v>0.0</v>
      </c>
      <c r="H75" s="66">
        <v>0.0</v>
      </c>
      <c r="I75" s="66">
        <v>0.0</v>
      </c>
      <c r="J75" s="66">
        <v>0.0</v>
      </c>
      <c r="K75" s="66">
        <v>0.0</v>
      </c>
      <c r="L75" s="66">
        <v>1.0</v>
      </c>
      <c r="M75" s="66">
        <v>0.0</v>
      </c>
      <c r="N75" s="66">
        <v>0.0</v>
      </c>
      <c r="O75" s="66">
        <v>0.0</v>
      </c>
      <c r="P75" s="66">
        <v>0.0</v>
      </c>
      <c r="Q75" s="66">
        <v>0.0</v>
      </c>
      <c r="R75" s="66">
        <v>0.0</v>
      </c>
      <c r="S75" s="66">
        <v>1.0</v>
      </c>
      <c r="T75" s="66">
        <v>0.0</v>
      </c>
      <c r="U75" s="66">
        <v>0.0</v>
      </c>
      <c r="V75" s="66">
        <v>0.0</v>
      </c>
      <c r="W75" s="66">
        <v>0.0</v>
      </c>
      <c r="X75" s="66">
        <v>0.0</v>
      </c>
      <c r="Y75" s="66">
        <v>0.0</v>
      </c>
      <c r="Z75" s="66">
        <v>0.0</v>
      </c>
      <c r="AA75" s="66">
        <v>0.0</v>
      </c>
      <c r="AB75" s="13">
        <f t="shared" si="14"/>
        <v>2</v>
      </c>
    </row>
    <row r="76" ht="12.75" customHeight="1">
      <c r="A76" s="18"/>
      <c r="B76" s="49"/>
      <c r="C76" s="50" t="s">
        <v>65</v>
      </c>
      <c r="D76" s="51"/>
      <c r="E76" s="66">
        <v>0.0</v>
      </c>
      <c r="F76" s="66">
        <v>0.0</v>
      </c>
      <c r="G76" s="66">
        <v>0.0</v>
      </c>
      <c r="H76" s="66">
        <v>0.0</v>
      </c>
      <c r="I76" s="66">
        <v>0.0</v>
      </c>
      <c r="J76" s="66">
        <v>0.0</v>
      </c>
      <c r="K76" s="66">
        <v>0.0</v>
      </c>
      <c r="L76" s="66">
        <v>0.0</v>
      </c>
      <c r="M76" s="66">
        <v>0.0</v>
      </c>
      <c r="N76" s="66">
        <v>0.0</v>
      </c>
      <c r="O76" s="66">
        <v>0.0</v>
      </c>
      <c r="P76" s="66">
        <v>0.0</v>
      </c>
      <c r="Q76" s="66">
        <v>0.0</v>
      </c>
      <c r="R76" s="66">
        <v>0.0</v>
      </c>
      <c r="S76" s="66">
        <v>0.0</v>
      </c>
      <c r="T76" s="66">
        <v>1.0</v>
      </c>
      <c r="U76" s="66">
        <v>0.0</v>
      </c>
      <c r="V76" s="66">
        <v>0.0</v>
      </c>
      <c r="W76" s="66">
        <v>0.0</v>
      </c>
      <c r="X76" s="66">
        <v>0.0</v>
      </c>
      <c r="Y76" s="66">
        <v>0.0</v>
      </c>
      <c r="Z76" s="66">
        <v>0.0</v>
      </c>
      <c r="AA76" s="66">
        <v>0.0</v>
      </c>
      <c r="AB76" s="13">
        <f t="shared" si="14"/>
        <v>1</v>
      </c>
    </row>
    <row r="77" ht="12.75" customHeight="1">
      <c r="A77" s="18"/>
      <c r="B77" s="49"/>
      <c r="C77" s="50" t="s">
        <v>66</v>
      </c>
      <c r="D77" s="51"/>
      <c r="E77" s="66">
        <v>1.0</v>
      </c>
      <c r="F77" s="66">
        <v>1.0</v>
      </c>
      <c r="G77" s="66">
        <v>0.0</v>
      </c>
      <c r="H77" s="66">
        <v>0.0</v>
      </c>
      <c r="I77" s="66">
        <v>0.0</v>
      </c>
      <c r="J77" s="66">
        <v>0.0</v>
      </c>
      <c r="K77" s="66">
        <v>0.0</v>
      </c>
      <c r="L77" s="66">
        <v>0.0</v>
      </c>
      <c r="M77" s="66">
        <v>0.0</v>
      </c>
      <c r="N77" s="66">
        <v>0.0</v>
      </c>
      <c r="O77" s="66">
        <v>0.0</v>
      </c>
      <c r="P77" s="66">
        <v>0.0</v>
      </c>
      <c r="Q77" s="66">
        <v>0.0</v>
      </c>
      <c r="R77" s="66">
        <v>0.0</v>
      </c>
      <c r="S77" s="66">
        <v>0.0</v>
      </c>
      <c r="T77" s="66">
        <v>0.0</v>
      </c>
      <c r="U77" s="66">
        <v>0.0</v>
      </c>
      <c r="V77" s="66">
        <v>0.0</v>
      </c>
      <c r="W77" s="66">
        <v>0.0</v>
      </c>
      <c r="X77" s="66">
        <v>0.0</v>
      </c>
      <c r="Y77" s="66">
        <v>0.0</v>
      </c>
      <c r="Z77" s="66">
        <v>0.0</v>
      </c>
      <c r="AA77" s="66">
        <v>0.0</v>
      </c>
      <c r="AB77" s="13">
        <f t="shared" si="14"/>
        <v>2</v>
      </c>
    </row>
    <row r="78" ht="12.75" customHeight="1">
      <c r="A78" s="18"/>
      <c r="B78" s="49"/>
      <c r="C78" s="50" t="s">
        <v>67</v>
      </c>
      <c r="D78" s="51"/>
      <c r="E78" s="66">
        <v>0.0</v>
      </c>
      <c r="F78" s="66">
        <v>0.0</v>
      </c>
      <c r="G78" s="66">
        <v>0.0</v>
      </c>
      <c r="H78" s="66">
        <v>0.0</v>
      </c>
      <c r="I78" s="66">
        <v>0.0</v>
      </c>
      <c r="J78" s="66">
        <v>0.0</v>
      </c>
      <c r="K78" s="66">
        <v>0.0</v>
      </c>
      <c r="L78" s="66">
        <v>0.0</v>
      </c>
      <c r="M78" s="66">
        <v>1.0</v>
      </c>
      <c r="N78" s="66">
        <v>0.0</v>
      </c>
      <c r="O78" s="66">
        <v>0.0</v>
      </c>
      <c r="P78" s="66">
        <v>0.0</v>
      </c>
      <c r="Q78" s="66">
        <v>2.0</v>
      </c>
      <c r="R78" s="66">
        <v>0.0</v>
      </c>
      <c r="S78" s="66">
        <v>0.0</v>
      </c>
      <c r="T78" s="66">
        <v>1.0</v>
      </c>
      <c r="U78" s="66">
        <v>0.0</v>
      </c>
      <c r="V78" s="66">
        <v>0.0</v>
      </c>
      <c r="W78" s="66">
        <v>0.0</v>
      </c>
      <c r="X78" s="66">
        <v>0.0</v>
      </c>
      <c r="Y78" s="66">
        <v>0.0</v>
      </c>
      <c r="Z78" s="66">
        <v>0.0</v>
      </c>
      <c r="AA78" s="66">
        <v>1.0</v>
      </c>
      <c r="AB78" s="13">
        <f t="shared" si="14"/>
        <v>5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AA79" si="15">SUM(E72:E78)</f>
        <v>51</v>
      </c>
      <c r="F79" s="13">
        <f t="shared" si="15"/>
        <v>36</v>
      </c>
      <c r="G79" s="13">
        <f t="shared" si="15"/>
        <v>83</v>
      </c>
      <c r="H79" s="13">
        <f t="shared" si="15"/>
        <v>92</v>
      </c>
      <c r="I79" s="13">
        <f t="shared" si="15"/>
        <v>45</v>
      </c>
      <c r="J79" s="13">
        <f t="shared" si="15"/>
        <v>51</v>
      </c>
      <c r="K79" s="13">
        <f t="shared" si="15"/>
        <v>29</v>
      </c>
      <c r="L79" s="13">
        <f t="shared" si="15"/>
        <v>24</v>
      </c>
      <c r="M79" s="13">
        <f t="shared" si="15"/>
        <v>63</v>
      </c>
      <c r="N79" s="13">
        <f t="shared" si="15"/>
        <v>15</v>
      </c>
      <c r="O79" s="13">
        <f t="shared" si="15"/>
        <v>28</v>
      </c>
      <c r="P79" s="13">
        <f t="shared" si="15"/>
        <v>29</v>
      </c>
      <c r="Q79" s="13">
        <f t="shared" si="15"/>
        <v>51</v>
      </c>
      <c r="R79" s="13">
        <f t="shared" si="15"/>
        <v>46</v>
      </c>
      <c r="S79" s="13">
        <f t="shared" si="15"/>
        <v>61</v>
      </c>
      <c r="T79" s="13">
        <f t="shared" si="15"/>
        <v>73</v>
      </c>
      <c r="U79" s="13">
        <f t="shared" si="15"/>
        <v>45</v>
      </c>
      <c r="V79" s="13">
        <f t="shared" si="15"/>
        <v>65</v>
      </c>
      <c r="W79" s="13">
        <f t="shared" si="15"/>
        <v>43</v>
      </c>
      <c r="X79" s="13">
        <f t="shared" si="15"/>
        <v>80</v>
      </c>
      <c r="Y79" s="13">
        <f t="shared" si="15"/>
        <v>80</v>
      </c>
      <c r="Z79" s="13">
        <f t="shared" si="15"/>
        <v>75</v>
      </c>
      <c r="AA79" s="13">
        <f t="shared" si="15"/>
        <v>89</v>
      </c>
      <c r="AB79" s="13">
        <f t="shared" si="14"/>
        <v>1254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13"/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0.0</v>
      </c>
      <c r="F81" s="66">
        <v>1.0</v>
      </c>
      <c r="G81" s="66">
        <v>1.0</v>
      </c>
      <c r="H81" s="66">
        <v>0.0</v>
      </c>
      <c r="I81" s="66">
        <v>0.0</v>
      </c>
      <c r="J81" s="66">
        <v>4.0</v>
      </c>
      <c r="K81" s="66">
        <v>0.0</v>
      </c>
      <c r="L81" s="66">
        <v>3.0</v>
      </c>
      <c r="M81" s="66">
        <v>0.0</v>
      </c>
      <c r="N81" s="66">
        <v>1.0</v>
      </c>
      <c r="O81" s="66">
        <v>1.0</v>
      </c>
      <c r="P81" s="66">
        <v>1.0</v>
      </c>
      <c r="Q81" s="66">
        <v>0.0</v>
      </c>
      <c r="R81" s="66">
        <v>0.0</v>
      </c>
      <c r="S81" s="66">
        <v>0.0</v>
      </c>
      <c r="T81" s="66">
        <v>0.0</v>
      </c>
      <c r="U81" s="66">
        <v>1.0</v>
      </c>
      <c r="V81" s="66">
        <v>0.0</v>
      </c>
      <c r="W81" s="66">
        <v>1.0</v>
      </c>
      <c r="X81" s="66">
        <v>1.0</v>
      </c>
      <c r="Y81" s="66">
        <v>2.0</v>
      </c>
      <c r="Z81" s="66">
        <v>0.0</v>
      </c>
      <c r="AA81" s="66">
        <v>1.0</v>
      </c>
      <c r="AB81" s="13">
        <f t="shared" ref="AB81:AB88" si="16">SUM(E81:AA81)</f>
        <v>18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0.0</v>
      </c>
      <c r="F82" s="66">
        <v>0.0</v>
      </c>
      <c r="G82" s="66">
        <v>1.0</v>
      </c>
      <c r="H82" s="66">
        <v>0.0</v>
      </c>
      <c r="I82" s="66">
        <v>1.0</v>
      </c>
      <c r="J82" s="66">
        <v>1.0</v>
      </c>
      <c r="K82" s="66">
        <v>0.0</v>
      </c>
      <c r="L82" s="66">
        <v>0.0</v>
      </c>
      <c r="M82" s="66">
        <v>0.0</v>
      </c>
      <c r="N82" s="66">
        <v>1.0</v>
      </c>
      <c r="O82" s="66">
        <v>1.0</v>
      </c>
      <c r="P82" s="66">
        <v>1.0</v>
      </c>
      <c r="Q82" s="66">
        <v>0.0</v>
      </c>
      <c r="R82" s="66">
        <v>0.0</v>
      </c>
      <c r="S82" s="66">
        <v>0.0</v>
      </c>
      <c r="T82" s="66">
        <v>0.0</v>
      </c>
      <c r="U82" s="66">
        <v>0.0</v>
      </c>
      <c r="V82" s="66">
        <v>1.0</v>
      </c>
      <c r="W82" s="66">
        <v>1.0</v>
      </c>
      <c r="X82" s="66">
        <v>0.0</v>
      </c>
      <c r="Y82" s="66">
        <v>0.0</v>
      </c>
      <c r="Z82" s="66">
        <v>0.0</v>
      </c>
      <c r="AA82" s="66">
        <v>0.0</v>
      </c>
      <c r="AB82" s="13">
        <f t="shared" si="16"/>
        <v>8</v>
      </c>
    </row>
    <row r="83" ht="12.75" customHeight="1">
      <c r="A83" s="18"/>
      <c r="B83" s="49"/>
      <c r="C83" s="50" t="s">
        <v>71</v>
      </c>
      <c r="D83" s="51"/>
      <c r="E83" s="66">
        <v>18.0</v>
      </c>
      <c r="F83" s="66">
        <v>5.0</v>
      </c>
      <c r="G83" s="66">
        <v>4.0</v>
      </c>
      <c r="H83" s="66">
        <v>0.0</v>
      </c>
      <c r="I83" s="66">
        <v>20.0</v>
      </c>
      <c r="J83" s="66">
        <v>18.0</v>
      </c>
      <c r="K83" s="66">
        <v>7.0</v>
      </c>
      <c r="L83" s="66">
        <v>11.0</v>
      </c>
      <c r="M83" s="66">
        <v>0.0</v>
      </c>
      <c r="N83" s="66">
        <v>3.0</v>
      </c>
      <c r="O83" s="66">
        <v>2.0</v>
      </c>
      <c r="P83" s="66">
        <v>0.0</v>
      </c>
      <c r="Q83" s="66">
        <v>3.0</v>
      </c>
      <c r="R83" s="66">
        <v>0.0</v>
      </c>
      <c r="S83" s="66">
        <v>0.0</v>
      </c>
      <c r="T83" s="66">
        <v>1.0</v>
      </c>
      <c r="U83" s="66">
        <v>1.0</v>
      </c>
      <c r="V83" s="66">
        <v>10.0</v>
      </c>
      <c r="W83" s="66">
        <v>9.0</v>
      </c>
      <c r="X83" s="66">
        <v>3.0</v>
      </c>
      <c r="Y83" s="66">
        <v>4.0</v>
      </c>
      <c r="Z83" s="66">
        <v>3.0</v>
      </c>
      <c r="AA83" s="66">
        <v>2.0</v>
      </c>
      <c r="AB83" s="13">
        <f t="shared" si="16"/>
        <v>124</v>
      </c>
    </row>
    <row r="84" ht="12.75" customHeight="1">
      <c r="A84" s="18"/>
      <c r="B84" s="49"/>
      <c r="C84" s="50" t="s">
        <v>72</v>
      </c>
      <c r="D84" s="51"/>
      <c r="E84" s="66">
        <v>0.0</v>
      </c>
      <c r="F84" s="66">
        <v>0.0</v>
      </c>
      <c r="G84" s="66">
        <v>0.0</v>
      </c>
      <c r="H84" s="66">
        <v>0.0</v>
      </c>
      <c r="I84" s="66">
        <v>0.0</v>
      </c>
      <c r="J84" s="66">
        <v>0.0</v>
      </c>
      <c r="K84" s="66">
        <v>0.0</v>
      </c>
      <c r="L84" s="66">
        <v>0.0</v>
      </c>
      <c r="M84" s="66">
        <v>0.0</v>
      </c>
      <c r="N84" s="66">
        <v>0.0</v>
      </c>
      <c r="O84" s="66">
        <v>0.0</v>
      </c>
      <c r="P84" s="66">
        <v>0.0</v>
      </c>
      <c r="Q84" s="66">
        <v>0.0</v>
      </c>
      <c r="R84" s="66">
        <v>0.0</v>
      </c>
      <c r="S84" s="66">
        <v>0.0</v>
      </c>
      <c r="T84" s="66">
        <v>0.0</v>
      </c>
      <c r="U84" s="66">
        <v>0.0</v>
      </c>
      <c r="V84" s="66">
        <v>0.0</v>
      </c>
      <c r="W84" s="66">
        <v>0.0</v>
      </c>
      <c r="X84" s="66">
        <v>0.0</v>
      </c>
      <c r="Y84" s="66">
        <v>0.0</v>
      </c>
      <c r="Z84" s="66">
        <v>0.0</v>
      </c>
      <c r="AA84" s="66">
        <v>0.0</v>
      </c>
      <c r="AB84" s="13">
        <f t="shared" si="16"/>
        <v>0</v>
      </c>
    </row>
    <row r="85" ht="12.75" customHeight="1">
      <c r="A85" s="18"/>
      <c r="B85" s="49"/>
      <c r="C85" s="50" t="s">
        <v>73</v>
      </c>
      <c r="D85" s="51"/>
      <c r="E85" s="66">
        <v>0.0</v>
      </c>
      <c r="F85" s="66">
        <v>0.0</v>
      </c>
      <c r="G85" s="66">
        <v>0.0</v>
      </c>
      <c r="H85" s="66">
        <v>0.0</v>
      </c>
      <c r="I85" s="66">
        <v>0.0</v>
      </c>
      <c r="J85" s="66">
        <v>0.0</v>
      </c>
      <c r="K85" s="66">
        <v>0.0</v>
      </c>
      <c r="L85" s="66">
        <v>0.0</v>
      </c>
      <c r="M85" s="66">
        <v>0.0</v>
      </c>
      <c r="N85" s="66">
        <v>0.0</v>
      </c>
      <c r="O85" s="66">
        <v>0.0</v>
      </c>
      <c r="P85" s="66">
        <v>0.0</v>
      </c>
      <c r="Q85" s="66">
        <v>0.0</v>
      </c>
      <c r="R85" s="66">
        <v>0.0</v>
      </c>
      <c r="S85" s="66">
        <v>0.0</v>
      </c>
      <c r="T85" s="66">
        <v>0.0</v>
      </c>
      <c r="U85" s="66">
        <v>0.0</v>
      </c>
      <c r="V85" s="66">
        <v>0.0</v>
      </c>
      <c r="W85" s="66">
        <v>0.0</v>
      </c>
      <c r="X85" s="66">
        <v>1.0</v>
      </c>
      <c r="Y85" s="66">
        <v>0.0</v>
      </c>
      <c r="Z85" s="66">
        <v>0.0</v>
      </c>
      <c r="AA85" s="66">
        <v>0.0</v>
      </c>
      <c r="AB85" s="13">
        <f t="shared" si="16"/>
        <v>1</v>
      </c>
    </row>
    <row r="86" ht="12.75" customHeight="1">
      <c r="A86" s="18"/>
      <c r="B86" s="49"/>
      <c r="C86" s="50" t="s">
        <v>74</v>
      </c>
      <c r="D86" s="51"/>
      <c r="E86" s="66">
        <v>0.0</v>
      </c>
      <c r="F86" s="66">
        <v>0.0</v>
      </c>
      <c r="G86" s="66">
        <v>0.0</v>
      </c>
      <c r="H86" s="66">
        <v>0.0</v>
      </c>
      <c r="I86" s="66">
        <v>0.0</v>
      </c>
      <c r="J86" s="66">
        <v>0.0</v>
      </c>
      <c r="K86" s="66">
        <v>0.0</v>
      </c>
      <c r="L86" s="66">
        <v>0.0</v>
      </c>
      <c r="M86" s="66">
        <v>0.0</v>
      </c>
      <c r="N86" s="66">
        <v>0.0</v>
      </c>
      <c r="O86" s="66">
        <v>1.0</v>
      </c>
      <c r="P86" s="66">
        <v>1.0</v>
      </c>
      <c r="Q86" s="66">
        <v>0.0</v>
      </c>
      <c r="R86" s="66">
        <v>0.0</v>
      </c>
      <c r="S86" s="66">
        <v>0.0</v>
      </c>
      <c r="T86" s="66">
        <v>0.0</v>
      </c>
      <c r="U86" s="66">
        <v>0.0</v>
      </c>
      <c r="V86" s="66">
        <v>0.0</v>
      </c>
      <c r="W86" s="66">
        <v>1.0</v>
      </c>
      <c r="X86" s="66">
        <v>0.0</v>
      </c>
      <c r="Y86" s="66">
        <v>0.0</v>
      </c>
      <c r="Z86" s="66">
        <v>0.0</v>
      </c>
      <c r="AA86" s="66">
        <v>0.0</v>
      </c>
      <c r="AB86" s="13">
        <f t="shared" si="16"/>
        <v>3</v>
      </c>
    </row>
    <row r="87" ht="12.75" customHeight="1">
      <c r="A87" s="18"/>
      <c r="B87" s="49"/>
      <c r="C87" s="50" t="s">
        <v>75</v>
      </c>
      <c r="D87" s="51"/>
      <c r="E87" s="66">
        <v>0.0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0.0</v>
      </c>
      <c r="O87" s="66">
        <v>0.0</v>
      </c>
      <c r="P87" s="66">
        <v>0.0</v>
      </c>
      <c r="Q87" s="66">
        <v>0.0</v>
      </c>
      <c r="R87" s="66">
        <v>0.0</v>
      </c>
      <c r="S87" s="66">
        <v>0.0</v>
      </c>
      <c r="T87" s="66">
        <v>0.0</v>
      </c>
      <c r="U87" s="66">
        <v>0.0</v>
      </c>
      <c r="V87" s="66">
        <v>0.0</v>
      </c>
      <c r="W87" s="66">
        <v>0.0</v>
      </c>
      <c r="X87" s="66">
        <v>0.0</v>
      </c>
      <c r="Y87" s="66">
        <v>0.0</v>
      </c>
      <c r="Z87" s="66">
        <v>0.0</v>
      </c>
      <c r="AA87" s="66">
        <v>0.0</v>
      </c>
      <c r="AB87" s="13">
        <f t="shared" si="16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AA88" si="17">SUM(E81:E87)</f>
        <v>18</v>
      </c>
      <c r="F88" s="13">
        <f t="shared" si="17"/>
        <v>6</v>
      </c>
      <c r="G88" s="13">
        <f t="shared" si="17"/>
        <v>6</v>
      </c>
      <c r="H88" s="13">
        <f t="shared" si="17"/>
        <v>0</v>
      </c>
      <c r="I88" s="13">
        <f t="shared" si="17"/>
        <v>21</v>
      </c>
      <c r="J88" s="13">
        <f t="shared" si="17"/>
        <v>23</v>
      </c>
      <c r="K88" s="13">
        <f t="shared" si="17"/>
        <v>7</v>
      </c>
      <c r="L88" s="13">
        <f t="shared" si="17"/>
        <v>14</v>
      </c>
      <c r="M88" s="13">
        <f t="shared" si="17"/>
        <v>0</v>
      </c>
      <c r="N88" s="13">
        <f t="shared" si="17"/>
        <v>5</v>
      </c>
      <c r="O88" s="13">
        <f t="shared" si="17"/>
        <v>5</v>
      </c>
      <c r="P88" s="13">
        <f t="shared" si="17"/>
        <v>3</v>
      </c>
      <c r="Q88" s="13">
        <f t="shared" si="17"/>
        <v>3</v>
      </c>
      <c r="R88" s="13">
        <f t="shared" si="17"/>
        <v>0</v>
      </c>
      <c r="S88" s="13">
        <f t="shared" si="17"/>
        <v>0</v>
      </c>
      <c r="T88" s="13">
        <f t="shared" si="17"/>
        <v>1</v>
      </c>
      <c r="U88" s="13">
        <f t="shared" si="17"/>
        <v>2</v>
      </c>
      <c r="V88" s="13">
        <f t="shared" si="17"/>
        <v>11</v>
      </c>
      <c r="W88" s="13">
        <f t="shared" si="17"/>
        <v>12</v>
      </c>
      <c r="X88" s="13">
        <f t="shared" si="17"/>
        <v>5</v>
      </c>
      <c r="Y88" s="13">
        <f t="shared" si="17"/>
        <v>6</v>
      </c>
      <c r="Z88" s="13">
        <f t="shared" si="17"/>
        <v>3</v>
      </c>
      <c r="AA88" s="13">
        <f t="shared" si="17"/>
        <v>3</v>
      </c>
      <c r="AB88" s="13">
        <f t="shared" si="16"/>
        <v>154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13"/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66">
        <v>0.0</v>
      </c>
      <c r="F90" s="66">
        <v>0.0</v>
      </c>
      <c r="G90" s="66">
        <v>0.0</v>
      </c>
      <c r="H90" s="66">
        <v>0.0</v>
      </c>
      <c r="I90" s="66">
        <v>0.0</v>
      </c>
      <c r="J90" s="66">
        <v>0.0</v>
      </c>
      <c r="K90" s="66">
        <v>0.0</v>
      </c>
      <c r="L90" s="66">
        <v>1.0</v>
      </c>
      <c r="M90" s="66">
        <v>0.0</v>
      </c>
      <c r="N90" s="66">
        <v>0.0</v>
      </c>
      <c r="O90" s="66">
        <v>2.0</v>
      </c>
      <c r="P90" s="66">
        <v>0.0</v>
      </c>
      <c r="Q90" s="66">
        <v>0.0</v>
      </c>
      <c r="R90" s="66">
        <v>0.0</v>
      </c>
      <c r="S90" s="66">
        <v>0.0</v>
      </c>
      <c r="T90" s="66">
        <v>0.0</v>
      </c>
      <c r="U90" s="66">
        <v>0.0</v>
      </c>
      <c r="V90" s="66">
        <v>0.0</v>
      </c>
      <c r="W90" s="66">
        <v>0.0</v>
      </c>
      <c r="X90" s="66">
        <v>0.0</v>
      </c>
      <c r="Y90" s="66">
        <v>0.0</v>
      </c>
      <c r="Z90" s="66">
        <v>0.0</v>
      </c>
      <c r="AA90" s="66">
        <v>0.0</v>
      </c>
      <c r="AB90" s="13">
        <f t="shared" ref="AB90:AB92" si="18">SUM(E90:AA90)</f>
        <v>3</v>
      </c>
    </row>
    <row r="91" ht="12.75" customHeight="1">
      <c r="A91" s="30" t="s">
        <v>39</v>
      </c>
      <c r="B91" s="49"/>
      <c r="C91" s="50" t="s">
        <v>78</v>
      </c>
      <c r="D91" s="16"/>
      <c r="E91" s="66">
        <v>1.0</v>
      </c>
      <c r="F91" s="66">
        <v>0.0</v>
      </c>
      <c r="G91" s="66">
        <v>0.0</v>
      </c>
      <c r="H91" s="66">
        <v>0.0</v>
      </c>
      <c r="I91" s="66">
        <v>0.0</v>
      </c>
      <c r="J91" s="66">
        <v>0.0</v>
      </c>
      <c r="K91" s="66">
        <v>0.0</v>
      </c>
      <c r="L91" s="66">
        <v>0.0</v>
      </c>
      <c r="M91" s="66">
        <v>0.0</v>
      </c>
      <c r="N91" s="66">
        <v>0.0</v>
      </c>
      <c r="O91" s="66">
        <v>0.0</v>
      </c>
      <c r="P91" s="66">
        <v>0.0</v>
      </c>
      <c r="Q91" s="66">
        <v>0.0</v>
      </c>
      <c r="R91" s="66">
        <v>1.0</v>
      </c>
      <c r="S91" s="66">
        <v>0.0</v>
      </c>
      <c r="T91" s="66">
        <v>0.0</v>
      </c>
      <c r="U91" s="66">
        <v>0.0</v>
      </c>
      <c r="V91" s="66">
        <v>1.0</v>
      </c>
      <c r="W91" s="66">
        <v>0.0</v>
      </c>
      <c r="X91" s="66">
        <v>0.0</v>
      </c>
      <c r="Y91" s="66">
        <v>0.0</v>
      </c>
      <c r="Z91" s="66">
        <v>0.0</v>
      </c>
      <c r="AA91" s="66">
        <v>0.0</v>
      </c>
      <c r="AB91" s="13">
        <f t="shared" si="18"/>
        <v>3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S92" si="19">SUM(E90:E91)</f>
        <v>1</v>
      </c>
      <c r="F92" s="58">
        <f t="shared" si="19"/>
        <v>0</v>
      </c>
      <c r="G92" s="58">
        <f t="shared" si="19"/>
        <v>0</v>
      </c>
      <c r="H92" s="58">
        <f t="shared" si="19"/>
        <v>0</v>
      </c>
      <c r="I92" s="58">
        <f t="shared" si="19"/>
        <v>0</v>
      </c>
      <c r="J92" s="58">
        <f t="shared" si="19"/>
        <v>0</v>
      </c>
      <c r="K92" s="58">
        <f t="shared" si="19"/>
        <v>0</v>
      </c>
      <c r="L92" s="58">
        <f t="shared" si="19"/>
        <v>1</v>
      </c>
      <c r="M92" s="58">
        <f t="shared" si="19"/>
        <v>0</v>
      </c>
      <c r="N92" s="58">
        <f t="shared" si="19"/>
        <v>0</v>
      </c>
      <c r="O92" s="58">
        <f t="shared" si="19"/>
        <v>2</v>
      </c>
      <c r="P92" s="58">
        <f t="shared" si="19"/>
        <v>0</v>
      </c>
      <c r="Q92" s="58">
        <f t="shared" si="19"/>
        <v>0</v>
      </c>
      <c r="R92" s="58">
        <f t="shared" si="19"/>
        <v>1</v>
      </c>
      <c r="S92" s="58">
        <f t="shared" si="19"/>
        <v>0</v>
      </c>
      <c r="T92" s="72">
        <v>0.0</v>
      </c>
      <c r="U92" s="58">
        <f t="shared" ref="U92:AA92" si="20">SUM(U90:U91)</f>
        <v>0</v>
      </c>
      <c r="V92" s="58">
        <f t="shared" si="20"/>
        <v>1</v>
      </c>
      <c r="W92" s="58">
        <f t="shared" si="20"/>
        <v>0</v>
      </c>
      <c r="X92" s="58">
        <f t="shared" si="20"/>
        <v>0</v>
      </c>
      <c r="Y92" s="58">
        <f t="shared" si="20"/>
        <v>0</v>
      </c>
      <c r="Z92" s="58">
        <f t="shared" si="20"/>
        <v>0</v>
      </c>
      <c r="AA92" s="58">
        <f t="shared" si="20"/>
        <v>0</v>
      </c>
      <c r="AB92" s="13">
        <f t="shared" si="18"/>
        <v>6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13"/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66">
        <v>0.0</v>
      </c>
      <c r="F94" s="66">
        <v>2.0</v>
      </c>
      <c r="G94" s="66">
        <v>0.0</v>
      </c>
      <c r="H94" s="66">
        <v>0.0</v>
      </c>
      <c r="I94" s="66">
        <v>1.0</v>
      </c>
      <c r="J94" s="66">
        <v>2.0</v>
      </c>
      <c r="K94" s="66">
        <v>0.0</v>
      </c>
      <c r="L94" s="66">
        <v>0.0</v>
      </c>
      <c r="M94" s="66">
        <v>0.0</v>
      </c>
      <c r="N94" s="66">
        <v>0.0</v>
      </c>
      <c r="O94" s="66">
        <v>0.0</v>
      </c>
      <c r="P94" s="66">
        <v>0.0</v>
      </c>
      <c r="Q94" s="66">
        <v>0.0</v>
      </c>
      <c r="R94" s="66">
        <v>0.0</v>
      </c>
      <c r="S94" s="66">
        <v>0.0</v>
      </c>
      <c r="T94" s="66">
        <v>2.0</v>
      </c>
      <c r="U94" s="66">
        <v>1.0</v>
      </c>
      <c r="V94" s="66">
        <v>1.0</v>
      </c>
      <c r="W94" s="66">
        <v>0.0</v>
      </c>
      <c r="X94" s="66">
        <v>0.0</v>
      </c>
      <c r="Y94" s="66">
        <v>2.0</v>
      </c>
      <c r="Z94" s="66">
        <v>1.0</v>
      </c>
      <c r="AA94" s="66">
        <v>1.0</v>
      </c>
      <c r="AB94" s="13">
        <f t="shared" ref="AB94:AB101" si="21">SUM(E94:AA94)</f>
        <v>13</v>
      </c>
    </row>
    <row r="95" ht="12.75" customHeight="1">
      <c r="A95" s="30" t="s">
        <v>39</v>
      </c>
      <c r="B95" s="49"/>
      <c r="C95" s="50" t="s">
        <v>81</v>
      </c>
      <c r="D95" s="51"/>
      <c r="E95" s="66">
        <v>0.0</v>
      </c>
      <c r="F95" s="66">
        <v>0.0</v>
      </c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0.0</v>
      </c>
      <c r="M95" s="66">
        <v>0.0</v>
      </c>
      <c r="N95" s="66">
        <v>1.0</v>
      </c>
      <c r="O95" s="66">
        <v>0.0</v>
      </c>
      <c r="P95" s="66">
        <v>0.0</v>
      </c>
      <c r="Q95" s="66">
        <v>0.0</v>
      </c>
      <c r="R95" s="66">
        <v>0.0</v>
      </c>
      <c r="S95" s="66">
        <v>0.0</v>
      </c>
      <c r="T95" s="66">
        <v>0.0</v>
      </c>
      <c r="U95" s="66">
        <v>0.0</v>
      </c>
      <c r="V95" s="66">
        <v>0.0</v>
      </c>
      <c r="W95" s="66">
        <v>0.0</v>
      </c>
      <c r="X95" s="66">
        <v>0.0</v>
      </c>
      <c r="Y95" s="66">
        <v>0.0</v>
      </c>
      <c r="Z95" s="66">
        <v>0.0</v>
      </c>
      <c r="AA95" s="66">
        <v>0.0</v>
      </c>
      <c r="AB95" s="13">
        <f t="shared" si="21"/>
        <v>1</v>
      </c>
    </row>
    <row r="96" ht="12.75" customHeight="1">
      <c r="A96" s="30"/>
      <c r="B96" s="49"/>
      <c r="C96" s="50" t="s">
        <v>82</v>
      </c>
      <c r="D96" s="51"/>
      <c r="E96" s="66">
        <v>1.0</v>
      </c>
      <c r="F96" s="66">
        <v>4.0</v>
      </c>
      <c r="G96" s="66">
        <v>5.0</v>
      </c>
      <c r="H96" s="66">
        <v>0.0</v>
      </c>
      <c r="I96" s="66">
        <v>5.0</v>
      </c>
      <c r="J96" s="66">
        <v>2.0</v>
      </c>
      <c r="K96" s="66">
        <v>1.0</v>
      </c>
      <c r="L96" s="66">
        <v>5.0</v>
      </c>
      <c r="M96" s="66">
        <v>2.0</v>
      </c>
      <c r="N96" s="66">
        <v>1.0</v>
      </c>
      <c r="O96" s="66">
        <v>0.0</v>
      </c>
      <c r="P96" s="66">
        <v>1.0</v>
      </c>
      <c r="Q96" s="66">
        <v>2.0</v>
      </c>
      <c r="R96" s="66">
        <v>0.0</v>
      </c>
      <c r="S96" s="66">
        <v>0.0</v>
      </c>
      <c r="T96" s="66">
        <v>1.0</v>
      </c>
      <c r="U96" s="66">
        <v>0.0</v>
      </c>
      <c r="V96" s="66">
        <v>0.0</v>
      </c>
      <c r="W96" s="66">
        <v>0.0</v>
      </c>
      <c r="X96" s="66">
        <v>0.0</v>
      </c>
      <c r="Y96" s="66">
        <v>0.0</v>
      </c>
      <c r="Z96" s="66">
        <v>0.0</v>
      </c>
      <c r="AA96" s="66">
        <v>0.0</v>
      </c>
      <c r="AB96" s="13">
        <f t="shared" si="21"/>
        <v>30</v>
      </c>
    </row>
    <row r="97" ht="12.75" customHeight="1">
      <c r="A97" s="30"/>
      <c r="B97" s="49"/>
      <c r="C97" s="50" t="s">
        <v>83</v>
      </c>
      <c r="D97" s="51"/>
      <c r="E97" s="66">
        <v>0.0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0.0</v>
      </c>
      <c r="N97" s="66">
        <v>0.0</v>
      </c>
      <c r="O97" s="66">
        <v>0.0</v>
      </c>
      <c r="P97" s="66">
        <v>0.0</v>
      </c>
      <c r="Q97" s="66">
        <v>0.0</v>
      </c>
      <c r="R97" s="66">
        <v>0.0</v>
      </c>
      <c r="S97" s="66">
        <v>0.0</v>
      </c>
      <c r="T97" s="66">
        <v>0.0</v>
      </c>
      <c r="U97" s="66">
        <v>0.0</v>
      </c>
      <c r="V97" s="66">
        <v>0.0</v>
      </c>
      <c r="W97" s="66">
        <v>0.0</v>
      </c>
      <c r="X97" s="66">
        <v>0.0</v>
      </c>
      <c r="Y97" s="66">
        <v>0.0</v>
      </c>
      <c r="Z97" s="66">
        <v>0.0</v>
      </c>
      <c r="AA97" s="66">
        <v>0.0</v>
      </c>
      <c r="AB97" s="13">
        <f t="shared" si="21"/>
        <v>0</v>
      </c>
    </row>
    <row r="98" ht="12.75" customHeight="1">
      <c r="A98" s="30"/>
      <c r="B98" s="49"/>
      <c r="C98" s="50" t="s">
        <v>84</v>
      </c>
      <c r="D98" s="51"/>
      <c r="E98" s="66">
        <v>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0.0</v>
      </c>
      <c r="P98" s="66">
        <v>0.0</v>
      </c>
      <c r="Q98" s="66">
        <v>0.0</v>
      </c>
      <c r="R98" s="66">
        <v>0.0</v>
      </c>
      <c r="S98" s="66">
        <v>0.0</v>
      </c>
      <c r="T98" s="66">
        <v>0.0</v>
      </c>
      <c r="U98" s="66">
        <v>0.0</v>
      </c>
      <c r="V98" s="66">
        <v>0.0</v>
      </c>
      <c r="W98" s="66">
        <v>0.0</v>
      </c>
      <c r="X98" s="66">
        <v>0.0</v>
      </c>
      <c r="Y98" s="66">
        <v>0.0</v>
      </c>
      <c r="Z98" s="66">
        <v>0.0</v>
      </c>
      <c r="AA98" s="66">
        <v>0.0</v>
      </c>
      <c r="AB98" s="13">
        <f t="shared" si="21"/>
        <v>0</v>
      </c>
    </row>
    <row r="99" ht="12.75" customHeight="1">
      <c r="A99" s="30"/>
      <c r="B99" s="49"/>
      <c r="C99" s="50" t="s">
        <v>85</v>
      </c>
      <c r="D99" s="51"/>
      <c r="E99" s="66">
        <v>0.0</v>
      </c>
      <c r="F99" s="66">
        <v>0.0</v>
      </c>
      <c r="G99" s="66">
        <v>0.0</v>
      </c>
      <c r="H99" s="66">
        <v>0.0</v>
      </c>
      <c r="I99" s="66">
        <v>0.0</v>
      </c>
      <c r="J99" s="66">
        <v>0.0</v>
      </c>
      <c r="K99" s="66">
        <v>0.0</v>
      </c>
      <c r="L99" s="66">
        <v>0.0</v>
      </c>
      <c r="M99" s="66">
        <v>0.0</v>
      </c>
      <c r="N99" s="66">
        <v>0.0</v>
      </c>
      <c r="O99" s="66">
        <v>0.0</v>
      </c>
      <c r="P99" s="66">
        <v>0.0</v>
      </c>
      <c r="Q99" s="66">
        <v>0.0</v>
      </c>
      <c r="R99" s="66">
        <v>0.0</v>
      </c>
      <c r="S99" s="66">
        <v>0.0</v>
      </c>
      <c r="T99" s="66">
        <v>0.0</v>
      </c>
      <c r="U99" s="66">
        <v>0.0</v>
      </c>
      <c r="V99" s="66">
        <v>0.0</v>
      </c>
      <c r="W99" s="66">
        <v>0.0</v>
      </c>
      <c r="X99" s="66">
        <v>0.0</v>
      </c>
      <c r="Y99" s="66">
        <v>0.0</v>
      </c>
      <c r="Z99" s="66">
        <v>0.0</v>
      </c>
      <c r="AA99" s="66">
        <v>0.0</v>
      </c>
      <c r="AB99" s="13">
        <f t="shared" si="21"/>
        <v>0</v>
      </c>
    </row>
    <row r="100" ht="12.75" customHeight="1">
      <c r="A100" s="30"/>
      <c r="B100" s="49"/>
      <c r="C100" s="50" t="s">
        <v>86</v>
      </c>
      <c r="D100" s="51"/>
      <c r="E100" s="66">
        <v>0.0</v>
      </c>
      <c r="F100" s="66">
        <v>1.0</v>
      </c>
      <c r="G100" s="66">
        <v>0.0</v>
      </c>
      <c r="H100" s="66">
        <v>0.0</v>
      </c>
      <c r="I100" s="66">
        <v>0.0</v>
      </c>
      <c r="J100" s="66">
        <v>0.0</v>
      </c>
      <c r="K100" s="66">
        <v>0.0</v>
      </c>
      <c r="L100" s="66">
        <v>0.0</v>
      </c>
      <c r="M100" s="66">
        <v>0.0</v>
      </c>
      <c r="N100" s="66">
        <v>0.0</v>
      </c>
      <c r="O100" s="66">
        <v>0.0</v>
      </c>
      <c r="P100" s="66">
        <v>0.0</v>
      </c>
      <c r="Q100" s="66">
        <v>0.0</v>
      </c>
      <c r="R100" s="66">
        <v>0.0</v>
      </c>
      <c r="S100" s="66">
        <v>0.0</v>
      </c>
      <c r="T100" s="66">
        <v>0.0</v>
      </c>
      <c r="U100" s="66">
        <v>0.0</v>
      </c>
      <c r="V100" s="66">
        <v>0.0</v>
      </c>
      <c r="W100" s="66">
        <v>0.0</v>
      </c>
      <c r="X100" s="66">
        <v>0.0</v>
      </c>
      <c r="Y100" s="66">
        <v>0.0</v>
      </c>
      <c r="Z100" s="66">
        <v>0.0</v>
      </c>
      <c r="AA100" s="66">
        <v>0.0</v>
      </c>
      <c r="AB100" s="13">
        <f t="shared" si="21"/>
        <v>1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AA101" si="22">SUM(E94:E100)</f>
        <v>1</v>
      </c>
      <c r="F101" s="13">
        <f t="shared" si="22"/>
        <v>7</v>
      </c>
      <c r="G101" s="13">
        <f t="shared" si="22"/>
        <v>5</v>
      </c>
      <c r="H101" s="13">
        <f t="shared" si="22"/>
        <v>0</v>
      </c>
      <c r="I101" s="13">
        <f t="shared" si="22"/>
        <v>6</v>
      </c>
      <c r="J101" s="13">
        <f t="shared" si="22"/>
        <v>4</v>
      </c>
      <c r="K101" s="13">
        <f t="shared" si="22"/>
        <v>1</v>
      </c>
      <c r="L101" s="13">
        <f t="shared" si="22"/>
        <v>5</v>
      </c>
      <c r="M101" s="13">
        <f t="shared" si="22"/>
        <v>2</v>
      </c>
      <c r="N101" s="13">
        <f t="shared" si="22"/>
        <v>2</v>
      </c>
      <c r="O101" s="13">
        <f t="shared" si="22"/>
        <v>0</v>
      </c>
      <c r="P101" s="13">
        <f t="shared" si="22"/>
        <v>1</v>
      </c>
      <c r="Q101" s="13">
        <f t="shared" si="22"/>
        <v>2</v>
      </c>
      <c r="R101" s="13">
        <f t="shared" si="22"/>
        <v>0</v>
      </c>
      <c r="S101" s="13">
        <f t="shared" si="22"/>
        <v>0</v>
      </c>
      <c r="T101" s="13">
        <f t="shared" si="22"/>
        <v>3</v>
      </c>
      <c r="U101" s="13">
        <f t="shared" si="22"/>
        <v>1</v>
      </c>
      <c r="V101" s="13">
        <f t="shared" si="22"/>
        <v>1</v>
      </c>
      <c r="W101" s="13">
        <f t="shared" si="22"/>
        <v>0</v>
      </c>
      <c r="X101" s="13">
        <f t="shared" si="22"/>
        <v>0</v>
      </c>
      <c r="Y101" s="13">
        <f t="shared" si="22"/>
        <v>2</v>
      </c>
      <c r="Z101" s="13">
        <f t="shared" si="22"/>
        <v>1</v>
      </c>
      <c r="AA101" s="13">
        <f t="shared" si="22"/>
        <v>1</v>
      </c>
      <c r="AB101" s="13">
        <f t="shared" si="21"/>
        <v>45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13"/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66">
        <v>0.0</v>
      </c>
      <c r="F103" s="66">
        <v>0.0</v>
      </c>
      <c r="G103" s="66">
        <v>0.0</v>
      </c>
      <c r="H103" s="66">
        <v>0.0</v>
      </c>
      <c r="I103" s="66">
        <v>0.0</v>
      </c>
      <c r="J103" s="66">
        <v>0.0</v>
      </c>
      <c r="K103" s="66">
        <v>0.0</v>
      </c>
      <c r="L103" s="66">
        <v>0.0</v>
      </c>
      <c r="M103" s="66">
        <v>0.0</v>
      </c>
      <c r="N103" s="66">
        <v>0.0</v>
      </c>
      <c r="O103" s="66">
        <v>0.0</v>
      </c>
      <c r="P103" s="66">
        <v>0.0</v>
      </c>
      <c r="Q103" s="66">
        <v>0.0</v>
      </c>
      <c r="R103" s="66">
        <v>0.0</v>
      </c>
      <c r="S103" s="66">
        <v>0.0</v>
      </c>
      <c r="T103" s="66">
        <v>0.0</v>
      </c>
      <c r="U103" s="66">
        <v>0.0</v>
      </c>
      <c r="V103" s="66">
        <v>0.0</v>
      </c>
      <c r="W103" s="66">
        <v>0.0</v>
      </c>
      <c r="X103" s="66">
        <v>0.0</v>
      </c>
      <c r="Y103" s="66">
        <v>0.0</v>
      </c>
      <c r="Z103" s="66">
        <v>0.0</v>
      </c>
      <c r="AA103" s="66">
        <v>0.0</v>
      </c>
      <c r="AB103" s="13">
        <f t="shared" ref="AB103:AB110" si="23">SUM(E103:AA103)</f>
        <v>0</v>
      </c>
    </row>
    <row r="104" ht="12.75" customHeight="1">
      <c r="A104" s="30" t="s">
        <v>39</v>
      </c>
      <c r="B104" s="49"/>
      <c r="C104" s="50" t="s">
        <v>89</v>
      </c>
      <c r="D104" s="51"/>
      <c r="E104" s="66">
        <v>0.0</v>
      </c>
      <c r="F104" s="66">
        <v>0.0</v>
      </c>
      <c r="G104" s="66">
        <v>0.0</v>
      </c>
      <c r="H104" s="66">
        <v>0.0</v>
      </c>
      <c r="I104" s="66">
        <v>0.0</v>
      </c>
      <c r="J104" s="66">
        <v>0.0</v>
      </c>
      <c r="K104" s="66">
        <v>0.0</v>
      </c>
      <c r="L104" s="66">
        <v>0.0</v>
      </c>
      <c r="M104" s="66">
        <v>0.0</v>
      </c>
      <c r="N104" s="66">
        <v>0.0</v>
      </c>
      <c r="O104" s="66">
        <v>0.0</v>
      </c>
      <c r="P104" s="66">
        <v>0.0</v>
      </c>
      <c r="Q104" s="66">
        <v>0.0</v>
      </c>
      <c r="R104" s="66">
        <v>0.0</v>
      </c>
      <c r="S104" s="66">
        <v>1.0</v>
      </c>
      <c r="T104" s="66">
        <v>0.0</v>
      </c>
      <c r="U104" s="66">
        <v>0.0</v>
      </c>
      <c r="V104" s="66">
        <v>0.0</v>
      </c>
      <c r="W104" s="66">
        <v>0.0</v>
      </c>
      <c r="X104" s="66">
        <v>0.0</v>
      </c>
      <c r="Y104" s="66">
        <v>0.0</v>
      </c>
      <c r="Z104" s="66">
        <v>0.0</v>
      </c>
      <c r="AA104" s="66">
        <v>0.0</v>
      </c>
      <c r="AB104" s="13">
        <f t="shared" si="23"/>
        <v>1</v>
      </c>
    </row>
    <row r="105" ht="12.75" customHeight="1">
      <c r="A105" s="18"/>
      <c r="B105" s="49"/>
      <c r="C105" s="50" t="s">
        <v>90</v>
      </c>
      <c r="D105" s="51"/>
      <c r="E105" s="66">
        <v>0.0</v>
      </c>
      <c r="F105" s="66">
        <v>0.0</v>
      </c>
      <c r="G105" s="66">
        <v>0.0</v>
      </c>
      <c r="H105" s="66">
        <v>0.0</v>
      </c>
      <c r="I105" s="66">
        <v>0.0</v>
      </c>
      <c r="J105" s="66">
        <v>0.0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66">
        <v>0.0</v>
      </c>
      <c r="Q105" s="66">
        <v>0.0</v>
      </c>
      <c r="R105" s="66">
        <v>0.0</v>
      </c>
      <c r="S105" s="66">
        <v>0.0</v>
      </c>
      <c r="T105" s="66">
        <v>0.0</v>
      </c>
      <c r="U105" s="66">
        <v>0.0</v>
      </c>
      <c r="V105" s="66">
        <v>0.0</v>
      </c>
      <c r="W105" s="66">
        <v>0.0</v>
      </c>
      <c r="X105" s="66">
        <v>0.0</v>
      </c>
      <c r="Y105" s="66">
        <v>0.0</v>
      </c>
      <c r="Z105" s="66">
        <v>0.0</v>
      </c>
      <c r="AA105" s="66">
        <v>0.0</v>
      </c>
      <c r="AB105" s="13">
        <f t="shared" si="23"/>
        <v>0</v>
      </c>
    </row>
    <row r="106" ht="12.75" customHeight="1">
      <c r="A106" s="18"/>
      <c r="B106" s="49"/>
      <c r="C106" s="50" t="s">
        <v>91</v>
      </c>
      <c r="D106" s="51"/>
      <c r="E106" s="66">
        <v>0.0</v>
      </c>
      <c r="F106" s="66">
        <v>0.0</v>
      </c>
      <c r="G106" s="66">
        <v>0.0</v>
      </c>
      <c r="H106" s="66">
        <v>0.0</v>
      </c>
      <c r="I106" s="66">
        <v>0.0</v>
      </c>
      <c r="J106" s="66">
        <v>0.0</v>
      </c>
      <c r="K106" s="66">
        <v>0.0</v>
      </c>
      <c r="L106" s="66">
        <v>0.0</v>
      </c>
      <c r="M106" s="66">
        <v>0.0</v>
      </c>
      <c r="N106" s="66">
        <v>0.0</v>
      </c>
      <c r="O106" s="66">
        <v>0.0</v>
      </c>
      <c r="P106" s="66">
        <v>0.0</v>
      </c>
      <c r="Q106" s="66">
        <v>0.0</v>
      </c>
      <c r="R106" s="66">
        <v>0.0</v>
      </c>
      <c r="S106" s="66">
        <v>0.0</v>
      </c>
      <c r="T106" s="66">
        <v>0.0</v>
      </c>
      <c r="U106" s="66">
        <v>0.0</v>
      </c>
      <c r="V106" s="66">
        <v>0.0</v>
      </c>
      <c r="W106" s="66">
        <v>0.0</v>
      </c>
      <c r="X106" s="66">
        <v>0.0</v>
      </c>
      <c r="Y106" s="66">
        <v>0.0</v>
      </c>
      <c r="Z106" s="66">
        <v>0.0</v>
      </c>
      <c r="AA106" s="66">
        <v>0.0</v>
      </c>
      <c r="AB106" s="13">
        <f t="shared" si="23"/>
        <v>0</v>
      </c>
    </row>
    <row r="107" ht="12.75" customHeight="1">
      <c r="A107" s="18"/>
      <c r="B107" s="49"/>
      <c r="C107" s="50" t="s">
        <v>92</v>
      </c>
      <c r="D107" s="51"/>
      <c r="E107" s="66">
        <v>1.0</v>
      </c>
      <c r="F107" s="66">
        <v>0.0</v>
      </c>
      <c r="G107" s="66">
        <v>1.0</v>
      </c>
      <c r="H107" s="66">
        <v>1.0</v>
      </c>
      <c r="I107" s="66">
        <v>0.0</v>
      </c>
      <c r="J107" s="66">
        <v>2.0</v>
      </c>
      <c r="K107" s="66">
        <v>1.0</v>
      </c>
      <c r="L107" s="66">
        <v>0.0</v>
      </c>
      <c r="M107" s="66">
        <v>3.0</v>
      </c>
      <c r="N107" s="66">
        <v>0.0</v>
      </c>
      <c r="O107" s="66">
        <v>0.0</v>
      </c>
      <c r="P107" s="66">
        <v>0.0</v>
      </c>
      <c r="Q107" s="66">
        <v>0.0</v>
      </c>
      <c r="R107" s="66">
        <v>0.0</v>
      </c>
      <c r="S107" s="66">
        <v>0.0</v>
      </c>
      <c r="T107" s="66">
        <v>0.0</v>
      </c>
      <c r="U107" s="66">
        <v>0.0</v>
      </c>
      <c r="V107" s="66">
        <v>0.0</v>
      </c>
      <c r="W107" s="66">
        <v>0.0</v>
      </c>
      <c r="X107" s="66">
        <v>0.0</v>
      </c>
      <c r="Y107" s="66">
        <v>1.0</v>
      </c>
      <c r="Z107" s="66">
        <v>0.0</v>
      </c>
      <c r="AA107" s="66">
        <v>1.0</v>
      </c>
      <c r="AB107" s="13">
        <f t="shared" si="23"/>
        <v>11</v>
      </c>
    </row>
    <row r="108" ht="12.75" customHeight="1">
      <c r="A108" s="18"/>
      <c r="B108" s="49"/>
      <c r="C108" s="50" t="s">
        <v>93</v>
      </c>
      <c r="D108" s="51"/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0.0</v>
      </c>
      <c r="N108" s="66">
        <v>0.0</v>
      </c>
      <c r="O108" s="66">
        <v>0.0</v>
      </c>
      <c r="P108" s="66">
        <v>0.0</v>
      </c>
      <c r="Q108" s="66">
        <v>0.0</v>
      </c>
      <c r="R108" s="66">
        <v>0.0</v>
      </c>
      <c r="S108" s="66">
        <v>0.0</v>
      </c>
      <c r="T108" s="66">
        <v>1.0</v>
      </c>
      <c r="U108" s="66">
        <v>0.0</v>
      </c>
      <c r="V108" s="66">
        <v>0.0</v>
      </c>
      <c r="W108" s="66">
        <v>0.0</v>
      </c>
      <c r="X108" s="66">
        <v>0.0</v>
      </c>
      <c r="Y108" s="66">
        <v>0.0</v>
      </c>
      <c r="Z108" s="66">
        <v>0.0</v>
      </c>
      <c r="AA108" s="66">
        <v>0.0</v>
      </c>
      <c r="AB108" s="13">
        <f t="shared" si="23"/>
        <v>1</v>
      </c>
    </row>
    <row r="109" ht="12.75" customHeight="1">
      <c r="A109" s="18"/>
      <c r="B109" s="49"/>
      <c r="C109" s="50" t="s">
        <v>94</v>
      </c>
      <c r="D109" s="51"/>
      <c r="E109" s="66">
        <v>0.0</v>
      </c>
      <c r="F109" s="66">
        <v>0.0</v>
      </c>
      <c r="G109" s="66">
        <v>0.0</v>
      </c>
      <c r="H109" s="66">
        <v>0.0</v>
      </c>
      <c r="I109" s="66">
        <v>1.0</v>
      </c>
      <c r="J109" s="66">
        <v>0.0</v>
      </c>
      <c r="K109" s="66">
        <v>0.0</v>
      </c>
      <c r="L109" s="66">
        <v>0.0</v>
      </c>
      <c r="M109" s="66">
        <v>0.0</v>
      </c>
      <c r="N109" s="66">
        <v>0.0</v>
      </c>
      <c r="O109" s="66">
        <v>0.0</v>
      </c>
      <c r="P109" s="66">
        <v>0.0</v>
      </c>
      <c r="Q109" s="66">
        <v>0.0</v>
      </c>
      <c r="R109" s="66">
        <v>0.0</v>
      </c>
      <c r="S109" s="66">
        <v>0.0</v>
      </c>
      <c r="T109" s="66">
        <v>0.0</v>
      </c>
      <c r="U109" s="66">
        <v>0.0</v>
      </c>
      <c r="V109" s="66">
        <v>0.0</v>
      </c>
      <c r="W109" s="66">
        <v>0.0</v>
      </c>
      <c r="X109" s="66">
        <v>0.0</v>
      </c>
      <c r="Y109" s="66">
        <v>0.0</v>
      </c>
      <c r="Z109" s="66">
        <v>0.0</v>
      </c>
      <c r="AA109" s="66">
        <v>0.0</v>
      </c>
      <c r="AB109" s="13">
        <f t="shared" si="23"/>
        <v>1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AA110" si="24">SUM(E103:E109)</f>
        <v>1</v>
      </c>
      <c r="F110" s="13">
        <f t="shared" si="24"/>
        <v>0</v>
      </c>
      <c r="G110" s="13">
        <f t="shared" si="24"/>
        <v>1</v>
      </c>
      <c r="H110" s="13">
        <f t="shared" si="24"/>
        <v>1</v>
      </c>
      <c r="I110" s="13">
        <f t="shared" si="24"/>
        <v>1</v>
      </c>
      <c r="J110" s="13">
        <f t="shared" si="24"/>
        <v>2</v>
      </c>
      <c r="K110" s="13">
        <f t="shared" si="24"/>
        <v>1</v>
      </c>
      <c r="L110" s="13">
        <f t="shared" si="24"/>
        <v>0</v>
      </c>
      <c r="M110" s="13">
        <f t="shared" si="24"/>
        <v>3</v>
      </c>
      <c r="N110" s="13">
        <f t="shared" si="24"/>
        <v>0</v>
      </c>
      <c r="O110" s="13">
        <f t="shared" si="24"/>
        <v>0</v>
      </c>
      <c r="P110" s="13">
        <f t="shared" si="24"/>
        <v>0</v>
      </c>
      <c r="Q110" s="13">
        <f t="shared" si="24"/>
        <v>0</v>
      </c>
      <c r="R110" s="13">
        <f t="shared" si="24"/>
        <v>0</v>
      </c>
      <c r="S110" s="13">
        <f t="shared" si="24"/>
        <v>1</v>
      </c>
      <c r="T110" s="13">
        <f t="shared" si="24"/>
        <v>1</v>
      </c>
      <c r="U110" s="13">
        <f t="shared" si="24"/>
        <v>0</v>
      </c>
      <c r="V110" s="13">
        <f t="shared" si="24"/>
        <v>0</v>
      </c>
      <c r="W110" s="13">
        <f t="shared" si="24"/>
        <v>0</v>
      </c>
      <c r="X110" s="13">
        <f t="shared" si="24"/>
        <v>0</v>
      </c>
      <c r="Y110" s="13">
        <f t="shared" si="24"/>
        <v>1</v>
      </c>
      <c r="Z110" s="13">
        <f t="shared" si="24"/>
        <v>0</v>
      </c>
      <c r="AA110" s="13">
        <f t="shared" si="24"/>
        <v>1</v>
      </c>
      <c r="AB110" s="13">
        <f t="shared" si="23"/>
        <v>14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13"/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66">
        <v>0.0</v>
      </c>
      <c r="F112" s="66">
        <v>0.0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66">
        <v>0.0</v>
      </c>
      <c r="Q112" s="66">
        <v>0.0</v>
      </c>
      <c r="R112" s="66">
        <v>0.0</v>
      </c>
      <c r="S112" s="66">
        <v>0.0</v>
      </c>
      <c r="T112" s="66">
        <v>0.0</v>
      </c>
      <c r="U112" s="66">
        <v>0.0</v>
      </c>
      <c r="V112" s="66">
        <v>0.0</v>
      </c>
      <c r="W112" s="66">
        <v>0.0</v>
      </c>
      <c r="X112" s="66">
        <v>0.0</v>
      </c>
      <c r="Y112" s="66">
        <v>0.0</v>
      </c>
      <c r="Z112" s="66">
        <v>0.0</v>
      </c>
      <c r="AA112" s="66">
        <v>0.0</v>
      </c>
      <c r="AB112" s="13">
        <f t="shared" ref="AB112:AB119" si="25">SUM(E112:AA112)</f>
        <v>0</v>
      </c>
    </row>
    <row r="113" ht="12.75" customHeight="1">
      <c r="A113" s="30"/>
      <c r="B113" s="47"/>
      <c r="C113" s="50" t="s">
        <v>97</v>
      </c>
      <c r="D113" s="59"/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66">
        <v>0.0</v>
      </c>
      <c r="Q113" s="66">
        <v>0.0</v>
      </c>
      <c r="R113" s="66">
        <v>0.0</v>
      </c>
      <c r="S113" s="66">
        <v>0.0</v>
      </c>
      <c r="T113" s="66">
        <v>0.0</v>
      </c>
      <c r="U113" s="66">
        <v>0.0</v>
      </c>
      <c r="V113" s="66">
        <v>0.0</v>
      </c>
      <c r="W113" s="66">
        <v>0.0</v>
      </c>
      <c r="X113" s="66">
        <v>0.0</v>
      </c>
      <c r="Y113" s="66">
        <v>0.0</v>
      </c>
      <c r="Z113" s="66">
        <v>0.0</v>
      </c>
      <c r="AA113" s="66">
        <v>0.0</v>
      </c>
      <c r="AB113" s="13">
        <f t="shared" si="25"/>
        <v>0</v>
      </c>
    </row>
    <row r="114" ht="12.75" customHeight="1">
      <c r="A114" s="30"/>
      <c r="B114" s="47"/>
      <c r="C114" s="50" t="s">
        <v>98</v>
      </c>
      <c r="D114" s="59"/>
      <c r="E114" s="66">
        <v>0.0</v>
      </c>
      <c r="F114" s="66">
        <v>0.0</v>
      </c>
      <c r="G114" s="66">
        <v>0.0</v>
      </c>
      <c r="H114" s="66">
        <v>1.0</v>
      </c>
      <c r="I114" s="66">
        <v>0.0</v>
      </c>
      <c r="J114" s="66">
        <v>0.0</v>
      </c>
      <c r="K114" s="66">
        <v>0.0</v>
      </c>
      <c r="L114" s="66">
        <v>0.0</v>
      </c>
      <c r="M114" s="66">
        <v>0.0</v>
      </c>
      <c r="N114" s="66">
        <v>0.0</v>
      </c>
      <c r="O114" s="66">
        <v>0.0</v>
      </c>
      <c r="P114" s="66">
        <v>0.0</v>
      </c>
      <c r="Q114" s="66">
        <v>0.0</v>
      </c>
      <c r="R114" s="66">
        <v>0.0</v>
      </c>
      <c r="S114" s="66">
        <v>0.0</v>
      </c>
      <c r="T114" s="66">
        <v>0.0</v>
      </c>
      <c r="U114" s="66">
        <v>0.0</v>
      </c>
      <c r="V114" s="66">
        <v>0.0</v>
      </c>
      <c r="W114" s="66">
        <v>0.0</v>
      </c>
      <c r="X114" s="66">
        <v>0.0</v>
      </c>
      <c r="Y114" s="66">
        <v>0.0</v>
      </c>
      <c r="Z114" s="66">
        <v>0.0</v>
      </c>
      <c r="AA114" s="66">
        <v>0.0</v>
      </c>
      <c r="AB114" s="13">
        <f t="shared" si="25"/>
        <v>1</v>
      </c>
    </row>
    <row r="115" ht="12.75" customHeight="1">
      <c r="A115" s="30"/>
      <c r="B115" s="47"/>
      <c r="C115" s="50" t="s">
        <v>99</v>
      </c>
      <c r="D115" s="59"/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0.0</v>
      </c>
      <c r="K115" s="66">
        <v>0.0</v>
      </c>
      <c r="L115" s="66">
        <v>0.0</v>
      </c>
      <c r="M115" s="66">
        <v>0.0</v>
      </c>
      <c r="N115" s="66">
        <v>0.0</v>
      </c>
      <c r="O115" s="66">
        <v>0.0</v>
      </c>
      <c r="P115" s="66">
        <v>0.0</v>
      </c>
      <c r="Q115" s="66">
        <v>0.0</v>
      </c>
      <c r="R115" s="66">
        <v>0.0</v>
      </c>
      <c r="S115" s="66">
        <v>0.0</v>
      </c>
      <c r="T115" s="66">
        <v>0.0</v>
      </c>
      <c r="U115" s="66">
        <v>0.0</v>
      </c>
      <c r="V115" s="66">
        <v>0.0</v>
      </c>
      <c r="W115" s="66">
        <v>0.0</v>
      </c>
      <c r="X115" s="66">
        <v>0.0</v>
      </c>
      <c r="Y115" s="66">
        <v>0.0</v>
      </c>
      <c r="Z115" s="66">
        <v>0.0</v>
      </c>
      <c r="AA115" s="66">
        <v>0.0</v>
      </c>
      <c r="AB115" s="13">
        <f t="shared" si="25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66">
        <v>0.0</v>
      </c>
      <c r="F116" s="66">
        <v>0.0</v>
      </c>
      <c r="G116" s="66">
        <v>0.0</v>
      </c>
      <c r="H116" s="66">
        <v>0.0</v>
      </c>
      <c r="I116" s="66">
        <v>0.0</v>
      </c>
      <c r="J116" s="66">
        <v>0.0</v>
      </c>
      <c r="K116" s="66">
        <v>0.0</v>
      </c>
      <c r="L116" s="66">
        <v>0.0</v>
      </c>
      <c r="M116" s="66">
        <v>0.0</v>
      </c>
      <c r="N116" s="66">
        <v>0.0</v>
      </c>
      <c r="O116" s="66">
        <v>0.0</v>
      </c>
      <c r="P116" s="66">
        <v>0.0</v>
      </c>
      <c r="Q116" s="66">
        <v>0.0</v>
      </c>
      <c r="R116" s="66">
        <v>0.0</v>
      </c>
      <c r="S116" s="66">
        <v>0.0</v>
      </c>
      <c r="T116" s="66">
        <v>0.0</v>
      </c>
      <c r="U116" s="66">
        <v>0.0</v>
      </c>
      <c r="V116" s="66">
        <v>0.0</v>
      </c>
      <c r="W116" s="66">
        <v>0.0</v>
      </c>
      <c r="X116" s="66">
        <v>0.0</v>
      </c>
      <c r="Y116" s="66">
        <v>0.0</v>
      </c>
      <c r="Z116" s="66">
        <v>0.0</v>
      </c>
      <c r="AA116" s="66">
        <v>0.0</v>
      </c>
      <c r="AB116" s="13">
        <f t="shared" si="25"/>
        <v>0</v>
      </c>
    </row>
    <row r="117" ht="12.75" customHeight="1">
      <c r="A117" s="18"/>
      <c r="B117" s="49"/>
      <c r="C117" s="50" t="s">
        <v>101</v>
      </c>
      <c r="D117" s="51"/>
      <c r="E117" s="66">
        <v>0.0</v>
      </c>
      <c r="F117" s="66">
        <v>0.0</v>
      </c>
      <c r="G117" s="66">
        <v>0.0</v>
      </c>
      <c r="H117" s="66">
        <v>0.0</v>
      </c>
      <c r="I117" s="66">
        <v>0.0</v>
      </c>
      <c r="J117" s="66">
        <v>0.0</v>
      </c>
      <c r="K117" s="66">
        <v>0.0</v>
      </c>
      <c r="L117" s="66">
        <v>0.0</v>
      </c>
      <c r="M117" s="66">
        <v>0.0</v>
      </c>
      <c r="N117" s="66">
        <v>0.0</v>
      </c>
      <c r="O117" s="66">
        <v>0.0</v>
      </c>
      <c r="P117" s="66">
        <v>0.0</v>
      </c>
      <c r="Q117" s="66">
        <v>0.0</v>
      </c>
      <c r="R117" s="66">
        <v>0.0</v>
      </c>
      <c r="S117" s="66">
        <v>0.0</v>
      </c>
      <c r="T117" s="66">
        <v>0.0</v>
      </c>
      <c r="U117" s="66">
        <v>0.0</v>
      </c>
      <c r="V117" s="66">
        <v>0.0</v>
      </c>
      <c r="W117" s="66">
        <v>0.0</v>
      </c>
      <c r="X117" s="66">
        <v>0.0</v>
      </c>
      <c r="Y117" s="66">
        <v>0.0</v>
      </c>
      <c r="Z117" s="66">
        <v>0.0</v>
      </c>
      <c r="AA117" s="66">
        <v>0.0</v>
      </c>
      <c r="AB117" s="13">
        <f t="shared" si="25"/>
        <v>0</v>
      </c>
      <c r="AC117" s="5"/>
      <c r="AD117" s="5"/>
    </row>
    <row r="118" ht="12.75" customHeight="1">
      <c r="A118" s="18"/>
      <c r="B118" s="49"/>
      <c r="C118" s="50" t="s">
        <v>102</v>
      </c>
      <c r="D118" s="51"/>
      <c r="E118" s="66">
        <v>0.0</v>
      </c>
      <c r="F118" s="66">
        <v>0.0</v>
      </c>
      <c r="G118" s="66">
        <v>0.0</v>
      </c>
      <c r="H118" s="66">
        <v>0.0</v>
      </c>
      <c r="I118" s="66">
        <v>0.0</v>
      </c>
      <c r="J118" s="66">
        <v>0.0</v>
      </c>
      <c r="K118" s="66">
        <v>0.0</v>
      </c>
      <c r="L118" s="66">
        <v>0.0</v>
      </c>
      <c r="M118" s="66">
        <v>0.0</v>
      </c>
      <c r="N118" s="66">
        <v>0.0</v>
      </c>
      <c r="O118" s="66">
        <v>0.0</v>
      </c>
      <c r="P118" s="66">
        <v>0.0</v>
      </c>
      <c r="Q118" s="66">
        <v>0.0</v>
      </c>
      <c r="R118" s="66">
        <v>0.0</v>
      </c>
      <c r="S118" s="66">
        <v>0.0</v>
      </c>
      <c r="T118" s="66">
        <v>0.0</v>
      </c>
      <c r="U118" s="66">
        <v>0.0</v>
      </c>
      <c r="V118" s="66">
        <v>0.0</v>
      </c>
      <c r="W118" s="66">
        <v>0.0</v>
      </c>
      <c r="X118" s="66">
        <v>0.0</v>
      </c>
      <c r="Y118" s="66">
        <v>0.0</v>
      </c>
      <c r="Z118" s="66">
        <v>0.0</v>
      </c>
      <c r="AA118" s="66">
        <v>0.0</v>
      </c>
      <c r="AB118" s="13">
        <f t="shared" si="25"/>
        <v>0</v>
      </c>
      <c r="AC118" s="5"/>
      <c r="AD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AA119" si="26">SUM(E112:E118)</f>
        <v>0</v>
      </c>
      <c r="F119" s="13">
        <f t="shared" si="26"/>
        <v>0</v>
      </c>
      <c r="G119" s="13">
        <f t="shared" si="26"/>
        <v>0</v>
      </c>
      <c r="H119" s="13">
        <f t="shared" si="26"/>
        <v>1</v>
      </c>
      <c r="I119" s="13">
        <f t="shared" si="26"/>
        <v>0</v>
      </c>
      <c r="J119" s="13">
        <f t="shared" si="26"/>
        <v>0</v>
      </c>
      <c r="K119" s="13">
        <f t="shared" si="26"/>
        <v>0</v>
      </c>
      <c r="L119" s="13">
        <f t="shared" si="26"/>
        <v>0</v>
      </c>
      <c r="M119" s="13">
        <f t="shared" si="26"/>
        <v>0</v>
      </c>
      <c r="N119" s="13">
        <f t="shared" si="26"/>
        <v>0</v>
      </c>
      <c r="O119" s="13">
        <f t="shared" si="26"/>
        <v>0</v>
      </c>
      <c r="P119" s="13">
        <f t="shared" si="26"/>
        <v>0</v>
      </c>
      <c r="Q119" s="13">
        <f t="shared" si="26"/>
        <v>0</v>
      </c>
      <c r="R119" s="13">
        <f t="shared" si="26"/>
        <v>0</v>
      </c>
      <c r="S119" s="13">
        <f t="shared" si="26"/>
        <v>0</v>
      </c>
      <c r="T119" s="13">
        <f t="shared" si="26"/>
        <v>0</v>
      </c>
      <c r="U119" s="13">
        <f t="shared" si="26"/>
        <v>0</v>
      </c>
      <c r="V119" s="13">
        <f t="shared" si="26"/>
        <v>0</v>
      </c>
      <c r="W119" s="13">
        <f t="shared" si="26"/>
        <v>0</v>
      </c>
      <c r="X119" s="13">
        <f t="shared" si="26"/>
        <v>0</v>
      </c>
      <c r="Y119" s="13">
        <f t="shared" si="26"/>
        <v>0</v>
      </c>
      <c r="Z119" s="13">
        <f t="shared" si="26"/>
        <v>0</v>
      </c>
      <c r="AA119" s="13">
        <f t="shared" si="26"/>
        <v>0</v>
      </c>
      <c r="AB119" s="13">
        <f t="shared" si="25"/>
        <v>1</v>
      </c>
      <c r="AC119" s="5"/>
      <c r="AD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13"/>
      <c r="AC120" s="5"/>
      <c r="AD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66">
        <v>0.0</v>
      </c>
      <c r="F121" s="66">
        <v>0.0</v>
      </c>
      <c r="G121" s="66">
        <v>0.0</v>
      </c>
      <c r="H121" s="66">
        <v>0.0</v>
      </c>
      <c r="I121" s="66">
        <v>0.0</v>
      </c>
      <c r="J121" s="66">
        <v>0.0</v>
      </c>
      <c r="K121" s="66">
        <v>0.0</v>
      </c>
      <c r="L121" s="66">
        <v>0.0</v>
      </c>
      <c r="M121" s="66">
        <v>0.0</v>
      </c>
      <c r="N121" s="66">
        <v>0.0</v>
      </c>
      <c r="O121" s="66">
        <v>0.0</v>
      </c>
      <c r="P121" s="66">
        <v>0.0</v>
      </c>
      <c r="Q121" s="66">
        <v>0.0</v>
      </c>
      <c r="R121" s="66">
        <v>0.0</v>
      </c>
      <c r="S121" s="66">
        <v>0.0</v>
      </c>
      <c r="T121" s="66">
        <v>0.0</v>
      </c>
      <c r="U121" s="66">
        <v>0.0</v>
      </c>
      <c r="V121" s="66">
        <v>1.0</v>
      </c>
      <c r="W121" s="66">
        <v>0.0</v>
      </c>
      <c r="X121" s="66">
        <v>0.0</v>
      </c>
      <c r="Y121" s="66">
        <v>0.0</v>
      </c>
      <c r="Z121" s="66">
        <v>0.0</v>
      </c>
      <c r="AA121" s="66">
        <v>0.0</v>
      </c>
      <c r="AB121" s="13">
        <f t="shared" ref="AB121:AB128" si="27">SUM(E121:AA121)</f>
        <v>1</v>
      </c>
      <c r="AC121" s="5"/>
      <c r="AD121" s="5"/>
    </row>
    <row r="122" ht="12.75" customHeight="1">
      <c r="A122" s="30" t="s">
        <v>39</v>
      </c>
      <c r="B122" s="49"/>
      <c r="C122" s="50" t="s">
        <v>105</v>
      </c>
      <c r="D122" s="51"/>
      <c r="E122" s="66">
        <v>0.0</v>
      </c>
      <c r="F122" s="66">
        <v>0.0</v>
      </c>
      <c r="G122" s="66">
        <v>0.0</v>
      </c>
      <c r="H122" s="66">
        <v>0.0</v>
      </c>
      <c r="I122" s="66">
        <v>0.0</v>
      </c>
      <c r="J122" s="66">
        <v>0.0</v>
      </c>
      <c r="K122" s="66">
        <v>0.0</v>
      </c>
      <c r="L122" s="66">
        <v>0.0</v>
      </c>
      <c r="M122" s="66">
        <v>0.0</v>
      </c>
      <c r="N122" s="66">
        <v>0.0</v>
      </c>
      <c r="O122" s="66">
        <v>0.0</v>
      </c>
      <c r="P122" s="66">
        <v>0.0</v>
      </c>
      <c r="Q122" s="66">
        <v>0.0</v>
      </c>
      <c r="R122" s="66">
        <v>0.0</v>
      </c>
      <c r="S122" s="66">
        <v>0.0</v>
      </c>
      <c r="T122" s="66">
        <v>0.0</v>
      </c>
      <c r="U122" s="66">
        <v>0.0</v>
      </c>
      <c r="V122" s="66">
        <v>0.0</v>
      </c>
      <c r="W122" s="66">
        <v>0.0</v>
      </c>
      <c r="X122" s="66">
        <v>0.0</v>
      </c>
      <c r="Y122" s="66">
        <v>0.0</v>
      </c>
      <c r="Z122" s="66">
        <v>0.0</v>
      </c>
      <c r="AA122" s="66">
        <v>0.0</v>
      </c>
      <c r="AB122" s="13">
        <f t="shared" si="27"/>
        <v>0</v>
      </c>
      <c r="AC122" s="5"/>
      <c r="AD122" s="5"/>
    </row>
    <row r="123" ht="12.75" customHeight="1">
      <c r="A123" s="18"/>
      <c r="B123" s="49"/>
      <c r="C123" s="50" t="s">
        <v>106</v>
      </c>
      <c r="D123" s="51"/>
      <c r="E123" s="66">
        <v>0.0</v>
      </c>
      <c r="F123" s="66">
        <v>0.0</v>
      </c>
      <c r="G123" s="66">
        <v>0.0</v>
      </c>
      <c r="H123" s="66">
        <v>0.0</v>
      </c>
      <c r="I123" s="66">
        <v>0.0</v>
      </c>
      <c r="J123" s="66">
        <v>0.0</v>
      </c>
      <c r="K123" s="66">
        <v>0.0</v>
      </c>
      <c r="L123" s="66">
        <v>1.0</v>
      </c>
      <c r="M123" s="66">
        <v>0.0</v>
      </c>
      <c r="N123" s="66">
        <v>0.0</v>
      </c>
      <c r="O123" s="66">
        <v>0.0</v>
      </c>
      <c r="P123" s="66">
        <v>0.0</v>
      </c>
      <c r="Q123" s="66">
        <v>0.0</v>
      </c>
      <c r="R123" s="66">
        <v>0.0</v>
      </c>
      <c r="S123" s="66">
        <v>0.0</v>
      </c>
      <c r="T123" s="66">
        <v>0.0</v>
      </c>
      <c r="U123" s="66">
        <v>0.0</v>
      </c>
      <c r="V123" s="66">
        <v>0.0</v>
      </c>
      <c r="W123" s="66">
        <v>0.0</v>
      </c>
      <c r="X123" s="66">
        <v>0.0</v>
      </c>
      <c r="Y123" s="66">
        <v>0.0</v>
      </c>
      <c r="Z123" s="66">
        <v>0.0</v>
      </c>
      <c r="AA123" s="66">
        <v>0.0</v>
      </c>
      <c r="AB123" s="13">
        <f t="shared" si="27"/>
        <v>1</v>
      </c>
      <c r="AC123" s="5"/>
      <c r="AD123" s="5"/>
    </row>
    <row r="124" ht="12.75" customHeight="1">
      <c r="A124" s="18"/>
      <c r="B124" s="49"/>
      <c r="C124" s="50" t="s">
        <v>107</v>
      </c>
      <c r="D124" s="51"/>
      <c r="E124" s="66">
        <v>0.0</v>
      </c>
      <c r="F124" s="66">
        <v>0.0</v>
      </c>
      <c r="G124" s="66">
        <v>0.0</v>
      </c>
      <c r="H124" s="66">
        <v>0.0</v>
      </c>
      <c r="I124" s="66">
        <v>0.0</v>
      </c>
      <c r="J124" s="66">
        <v>0.0</v>
      </c>
      <c r="K124" s="66">
        <v>0.0</v>
      </c>
      <c r="L124" s="66">
        <v>0.0</v>
      </c>
      <c r="M124" s="66">
        <v>0.0</v>
      </c>
      <c r="N124" s="66">
        <v>0.0</v>
      </c>
      <c r="O124" s="66">
        <v>0.0</v>
      </c>
      <c r="P124" s="66">
        <v>0.0</v>
      </c>
      <c r="Q124" s="66">
        <v>0.0</v>
      </c>
      <c r="R124" s="66">
        <v>0.0</v>
      </c>
      <c r="S124" s="66">
        <v>0.0</v>
      </c>
      <c r="T124" s="66">
        <v>0.0</v>
      </c>
      <c r="U124" s="66">
        <v>0.0</v>
      </c>
      <c r="V124" s="66">
        <v>0.0</v>
      </c>
      <c r="W124" s="66">
        <v>0.0</v>
      </c>
      <c r="X124" s="66">
        <v>0.0</v>
      </c>
      <c r="Y124" s="66">
        <v>0.0</v>
      </c>
      <c r="Z124" s="66">
        <v>0.0</v>
      </c>
      <c r="AA124" s="66">
        <v>0.0</v>
      </c>
      <c r="AB124" s="13">
        <f t="shared" si="27"/>
        <v>0</v>
      </c>
      <c r="AC124" s="5"/>
      <c r="AD124" s="5"/>
    </row>
    <row r="125" ht="12.75" customHeight="1">
      <c r="A125" s="18"/>
      <c r="B125" s="49"/>
      <c r="C125" s="50" t="s">
        <v>108</v>
      </c>
      <c r="D125" s="51"/>
      <c r="E125" s="66">
        <v>0.0</v>
      </c>
      <c r="F125" s="66">
        <v>0.0</v>
      </c>
      <c r="G125" s="66">
        <v>1.0</v>
      </c>
      <c r="H125" s="66">
        <v>0.0</v>
      </c>
      <c r="I125" s="66">
        <v>0.0</v>
      </c>
      <c r="J125" s="66">
        <v>0.0</v>
      </c>
      <c r="K125" s="66">
        <v>0.0</v>
      </c>
      <c r="L125" s="66">
        <v>1.0</v>
      </c>
      <c r="M125" s="66">
        <v>0.0</v>
      </c>
      <c r="N125" s="66">
        <v>0.0</v>
      </c>
      <c r="O125" s="66">
        <v>0.0</v>
      </c>
      <c r="P125" s="66">
        <v>0.0</v>
      </c>
      <c r="Q125" s="66">
        <v>1.0</v>
      </c>
      <c r="R125" s="66">
        <v>0.0</v>
      </c>
      <c r="S125" s="66">
        <v>0.0</v>
      </c>
      <c r="T125" s="66">
        <v>0.0</v>
      </c>
      <c r="U125" s="66">
        <v>0.0</v>
      </c>
      <c r="V125" s="66">
        <v>0.0</v>
      </c>
      <c r="W125" s="66">
        <v>0.0</v>
      </c>
      <c r="X125" s="66">
        <v>0.0</v>
      </c>
      <c r="Y125" s="66">
        <v>0.0</v>
      </c>
      <c r="Z125" s="66">
        <v>0.0</v>
      </c>
      <c r="AA125" s="66">
        <v>0.0</v>
      </c>
      <c r="AB125" s="13">
        <f t="shared" si="27"/>
        <v>3</v>
      </c>
      <c r="AC125" s="5"/>
      <c r="AD125" s="5"/>
    </row>
    <row r="126" ht="12.75" customHeight="1">
      <c r="A126" s="18"/>
      <c r="B126" s="49"/>
      <c r="C126" s="50" t="s">
        <v>109</v>
      </c>
      <c r="D126" s="51"/>
      <c r="E126" s="66">
        <v>0.0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0.0</v>
      </c>
      <c r="O126" s="66">
        <v>0.0</v>
      </c>
      <c r="P126" s="66">
        <v>0.0</v>
      </c>
      <c r="Q126" s="66">
        <v>0.0</v>
      </c>
      <c r="R126" s="66">
        <v>0.0</v>
      </c>
      <c r="S126" s="66">
        <v>0.0</v>
      </c>
      <c r="T126" s="66">
        <v>0.0</v>
      </c>
      <c r="U126" s="66">
        <v>0.0</v>
      </c>
      <c r="V126" s="66">
        <v>0.0</v>
      </c>
      <c r="W126" s="66">
        <v>0.0</v>
      </c>
      <c r="X126" s="66">
        <v>0.0</v>
      </c>
      <c r="Y126" s="66">
        <v>0.0</v>
      </c>
      <c r="Z126" s="66">
        <v>0.0</v>
      </c>
      <c r="AA126" s="66">
        <v>0.0</v>
      </c>
      <c r="AB126" s="13">
        <f t="shared" si="27"/>
        <v>0</v>
      </c>
      <c r="AC126" s="5"/>
      <c r="AD126" s="5"/>
    </row>
    <row r="127" ht="12.75" customHeight="1">
      <c r="A127" s="18"/>
      <c r="B127" s="49"/>
      <c r="C127" s="50" t="s">
        <v>110</v>
      </c>
      <c r="D127" s="51"/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66">
        <v>0.0</v>
      </c>
      <c r="Q127" s="66">
        <v>0.0</v>
      </c>
      <c r="R127" s="66">
        <v>0.0</v>
      </c>
      <c r="S127" s="66">
        <v>0.0</v>
      </c>
      <c r="T127" s="66">
        <v>0.0</v>
      </c>
      <c r="U127" s="66">
        <v>0.0</v>
      </c>
      <c r="V127" s="66">
        <v>0.0</v>
      </c>
      <c r="W127" s="66">
        <v>0.0</v>
      </c>
      <c r="X127" s="66">
        <v>0.0</v>
      </c>
      <c r="Y127" s="66">
        <v>0.0</v>
      </c>
      <c r="Z127" s="66">
        <v>0.0</v>
      </c>
      <c r="AA127" s="66">
        <v>0.0</v>
      </c>
      <c r="AB127" s="13">
        <f t="shared" si="27"/>
        <v>0</v>
      </c>
      <c r="AC127" s="5"/>
      <c r="AD127" s="5"/>
    </row>
    <row r="128" ht="12.75" customHeight="1">
      <c r="A128" s="19" t="s">
        <v>15</v>
      </c>
      <c r="B128" s="47" t="s">
        <v>46</v>
      </c>
      <c r="C128" s="15"/>
      <c r="D128" s="16"/>
      <c r="E128" s="69">
        <v>0.0</v>
      </c>
      <c r="F128" s="69">
        <v>0.0</v>
      </c>
      <c r="G128" s="69">
        <v>1.0</v>
      </c>
      <c r="H128" s="69">
        <v>0.0</v>
      </c>
      <c r="I128" s="69">
        <v>0.0</v>
      </c>
      <c r="J128" s="69">
        <v>0.0</v>
      </c>
      <c r="K128" s="69">
        <v>0.0</v>
      </c>
      <c r="L128" s="69">
        <v>2.0</v>
      </c>
      <c r="M128" s="69">
        <v>0.0</v>
      </c>
      <c r="N128" s="69">
        <v>0.0</v>
      </c>
      <c r="O128" s="69">
        <v>0.0</v>
      </c>
      <c r="P128" s="69">
        <v>0.0</v>
      </c>
      <c r="Q128" s="69">
        <v>1.0</v>
      </c>
      <c r="R128" s="69">
        <v>0.0</v>
      </c>
      <c r="S128" s="69">
        <v>0.0</v>
      </c>
      <c r="T128" s="69">
        <v>0.0</v>
      </c>
      <c r="U128" s="69">
        <v>0.0</v>
      </c>
      <c r="V128" s="69">
        <v>1.0</v>
      </c>
      <c r="W128" s="69">
        <v>0.0</v>
      </c>
      <c r="X128" s="69">
        <v>0.0</v>
      </c>
      <c r="Y128" s="69">
        <v>0.0</v>
      </c>
      <c r="Z128" s="69">
        <v>0.0</v>
      </c>
      <c r="AA128" s="69">
        <v>0.0</v>
      </c>
      <c r="AB128" s="13">
        <f t="shared" si="27"/>
        <v>5</v>
      </c>
      <c r="AC128" s="5"/>
      <c r="AD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13"/>
      <c r="AC129" s="5"/>
      <c r="AD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66">
        <v>0.0</v>
      </c>
      <c r="F130" s="66">
        <v>0.0</v>
      </c>
      <c r="G130" s="66">
        <v>0.0</v>
      </c>
      <c r="H130" s="66">
        <v>0.0</v>
      </c>
      <c r="I130" s="66">
        <v>1.0</v>
      </c>
      <c r="J130" s="66">
        <v>0.0</v>
      </c>
      <c r="K130" s="66">
        <v>0.0</v>
      </c>
      <c r="L130" s="66">
        <v>0.0</v>
      </c>
      <c r="M130" s="66">
        <v>0.0</v>
      </c>
      <c r="N130" s="66">
        <v>0.0</v>
      </c>
      <c r="O130" s="66">
        <v>0.0</v>
      </c>
      <c r="P130" s="66">
        <v>0.0</v>
      </c>
      <c r="Q130" s="66">
        <v>0.0</v>
      </c>
      <c r="R130" s="66">
        <v>0.0</v>
      </c>
      <c r="S130" s="66">
        <v>0.0</v>
      </c>
      <c r="T130" s="66">
        <v>0.0</v>
      </c>
      <c r="U130" s="66">
        <v>0.0</v>
      </c>
      <c r="V130" s="66">
        <v>0.0</v>
      </c>
      <c r="W130" s="66">
        <v>0.0</v>
      </c>
      <c r="X130" s="66">
        <v>0.0</v>
      </c>
      <c r="Y130" s="66">
        <v>0.0</v>
      </c>
      <c r="Z130" s="66">
        <v>0.0</v>
      </c>
      <c r="AA130" s="66">
        <v>0.0</v>
      </c>
      <c r="AB130" s="13">
        <f t="shared" ref="AB130:AB132" si="28">SUM(E130:AA130)</f>
        <v>1</v>
      </c>
      <c r="AC130" s="1"/>
      <c r="AD130" s="1"/>
    </row>
    <row r="131" ht="12.75" customHeight="1">
      <c r="A131" s="30" t="s">
        <v>39</v>
      </c>
      <c r="B131" s="49"/>
      <c r="C131" s="50" t="s">
        <v>113</v>
      </c>
      <c r="D131" s="51"/>
      <c r="E131" s="66">
        <v>0.0</v>
      </c>
      <c r="F131" s="66">
        <v>0.0</v>
      </c>
      <c r="G131" s="66">
        <v>0.0</v>
      </c>
      <c r="H131" s="66">
        <v>0.0</v>
      </c>
      <c r="I131" s="66">
        <v>0.0</v>
      </c>
      <c r="J131" s="66">
        <v>0.0</v>
      </c>
      <c r="K131" s="66">
        <v>0.0</v>
      </c>
      <c r="L131" s="66">
        <v>0.0</v>
      </c>
      <c r="M131" s="66">
        <v>0.0</v>
      </c>
      <c r="N131" s="66">
        <v>0.0</v>
      </c>
      <c r="O131" s="66">
        <v>0.0</v>
      </c>
      <c r="P131" s="66">
        <v>0.0</v>
      </c>
      <c r="Q131" s="66">
        <v>0.0</v>
      </c>
      <c r="R131" s="66">
        <v>0.0</v>
      </c>
      <c r="S131" s="66">
        <v>0.0</v>
      </c>
      <c r="T131" s="66">
        <v>0.0</v>
      </c>
      <c r="U131" s="66">
        <v>0.0</v>
      </c>
      <c r="V131" s="66">
        <v>0.0</v>
      </c>
      <c r="W131" s="66">
        <v>0.0</v>
      </c>
      <c r="X131" s="66">
        <v>0.0</v>
      </c>
      <c r="Y131" s="66">
        <v>0.0</v>
      </c>
      <c r="Z131" s="66">
        <v>0.0</v>
      </c>
      <c r="AA131" s="66">
        <v>0.0</v>
      </c>
      <c r="AB131" s="13">
        <f t="shared" si="28"/>
        <v>0</v>
      </c>
      <c r="AC131" s="53"/>
      <c r="AD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AA132" si="29">SUM(E130:E131)</f>
        <v>0</v>
      </c>
      <c r="F132" s="13">
        <f t="shared" si="29"/>
        <v>0</v>
      </c>
      <c r="G132" s="13">
        <f t="shared" si="29"/>
        <v>0</v>
      </c>
      <c r="H132" s="13">
        <f t="shared" si="29"/>
        <v>0</v>
      </c>
      <c r="I132" s="13">
        <f t="shared" si="29"/>
        <v>1</v>
      </c>
      <c r="J132" s="13">
        <f t="shared" si="29"/>
        <v>0</v>
      </c>
      <c r="K132" s="13">
        <f t="shared" si="29"/>
        <v>0</v>
      </c>
      <c r="L132" s="13">
        <f t="shared" si="29"/>
        <v>0</v>
      </c>
      <c r="M132" s="13">
        <f t="shared" si="29"/>
        <v>0</v>
      </c>
      <c r="N132" s="13">
        <f t="shared" si="29"/>
        <v>0</v>
      </c>
      <c r="O132" s="13">
        <f t="shared" si="29"/>
        <v>0</v>
      </c>
      <c r="P132" s="13">
        <f t="shared" si="29"/>
        <v>0</v>
      </c>
      <c r="Q132" s="13">
        <f t="shared" si="29"/>
        <v>0</v>
      </c>
      <c r="R132" s="13">
        <f t="shared" si="29"/>
        <v>0</v>
      </c>
      <c r="S132" s="13">
        <f t="shared" si="29"/>
        <v>0</v>
      </c>
      <c r="T132" s="13">
        <f t="shared" si="29"/>
        <v>0</v>
      </c>
      <c r="U132" s="13">
        <f t="shared" si="29"/>
        <v>0</v>
      </c>
      <c r="V132" s="13">
        <f t="shared" si="29"/>
        <v>0</v>
      </c>
      <c r="W132" s="13">
        <f t="shared" si="29"/>
        <v>0</v>
      </c>
      <c r="X132" s="13">
        <f t="shared" si="29"/>
        <v>0</v>
      </c>
      <c r="Y132" s="13">
        <f t="shared" si="29"/>
        <v>0</v>
      </c>
      <c r="Z132" s="13">
        <f t="shared" si="29"/>
        <v>0</v>
      </c>
      <c r="AA132" s="13">
        <f t="shared" si="29"/>
        <v>0</v>
      </c>
      <c r="AB132" s="13">
        <f t="shared" si="28"/>
        <v>1</v>
      </c>
      <c r="AC132" s="5"/>
      <c r="AD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13"/>
      <c r="AC133" s="5"/>
      <c r="AD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66">
        <v>0.0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0.0</v>
      </c>
      <c r="O134" s="66">
        <v>0.0</v>
      </c>
      <c r="P134" s="66">
        <v>0.0</v>
      </c>
      <c r="Q134" s="66">
        <v>0.0</v>
      </c>
      <c r="R134" s="66">
        <v>0.0</v>
      </c>
      <c r="S134" s="66">
        <v>0.0</v>
      </c>
      <c r="T134" s="66">
        <v>0.0</v>
      </c>
      <c r="U134" s="66">
        <v>0.0</v>
      </c>
      <c r="V134" s="66">
        <v>1.0</v>
      </c>
      <c r="W134" s="66">
        <v>0.0</v>
      </c>
      <c r="X134" s="66">
        <v>0.0</v>
      </c>
      <c r="Y134" s="66">
        <v>0.0</v>
      </c>
      <c r="Z134" s="66">
        <v>1.0</v>
      </c>
      <c r="AA134" s="66">
        <v>0.0</v>
      </c>
      <c r="AB134" s="13">
        <f t="shared" ref="AB134:AB141" si="30">SUM(E134:AA134)</f>
        <v>2</v>
      </c>
      <c r="AC134" s="5"/>
      <c r="AD134" s="5"/>
    </row>
    <row r="135" ht="12.75" customHeight="1">
      <c r="A135" s="30" t="s">
        <v>39</v>
      </c>
      <c r="B135" s="49"/>
      <c r="C135" s="50" t="s">
        <v>116</v>
      </c>
      <c r="D135" s="51"/>
      <c r="E135" s="66">
        <v>0.0</v>
      </c>
      <c r="F135" s="66">
        <v>0.0</v>
      </c>
      <c r="G135" s="66">
        <v>1.0</v>
      </c>
      <c r="H135" s="66">
        <v>0.0</v>
      </c>
      <c r="I135" s="66">
        <v>0.0</v>
      </c>
      <c r="J135" s="66">
        <v>0.0</v>
      </c>
      <c r="K135" s="66">
        <v>1.0</v>
      </c>
      <c r="L135" s="66">
        <v>0.0</v>
      </c>
      <c r="M135" s="66">
        <v>1.0</v>
      </c>
      <c r="N135" s="66">
        <v>0.0</v>
      </c>
      <c r="O135" s="66">
        <v>0.0</v>
      </c>
      <c r="P135" s="66">
        <v>0.0</v>
      </c>
      <c r="Q135" s="66">
        <v>0.0</v>
      </c>
      <c r="R135" s="66">
        <v>0.0</v>
      </c>
      <c r="S135" s="66">
        <v>0.0</v>
      </c>
      <c r="T135" s="66">
        <v>0.0</v>
      </c>
      <c r="U135" s="66">
        <v>0.0</v>
      </c>
      <c r="V135" s="66">
        <v>0.0</v>
      </c>
      <c r="W135" s="66">
        <v>0.0</v>
      </c>
      <c r="X135" s="66">
        <v>0.0</v>
      </c>
      <c r="Y135" s="66">
        <v>0.0</v>
      </c>
      <c r="Z135" s="66">
        <v>0.0</v>
      </c>
      <c r="AA135" s="66">
        <v>0.0</v>
      </c>
      <c r="AB135" s="13">
        <f t="shared" si="30"/>
        <v>3</v>
      </c>
      <c r="AC135" s="5"/>
      <c r="AD135" s="5"/>
    </row>
    <row r="136" ht="12.75" customHeight="1">
      <c r="A136" s="18"/>
      <c r="B136" s="49"/>
      <c r="C136" s="50" t="s">
        <v>117</v>
      </c>
      <c r="D136" s="51"/>
      <c r="E136" s="66">
        <v>0.0</v>
      </c>
      <c r="F136" s="66">
        <v>0.0</v>
      </c>
      <c r="G136" s="66">
        <v>0.0</v>
      </c>
      <c r="H136" s="66">
        <v>0.0</v>
      </c>
      <c r="I136" s="66">
        <v>0.0</v>
      </c>
      <c r="J136" s="66">
        <v>0.0</v>
      </c>
      <c r="K136" s="66">
        <v>0.0</v>
      </c>
      <c r="L136" s="66">
        <v>0.0</v>
      </c>
      <c r="M136" s="66">
        <v>0.0</v>
      </c>
      <c r="N136" s="66">
        <v>0.0</v>
      </c>
      <c r="O136" s="66">
        <v>0.0</v>
      </c>
      <c r="P136" s="66">
        <v>0.0</v>
      </c>
      <c r="Q136" s="66">
        <v>0.0</v>
      </c>
      <c r="R136" s="66">
        <v>0.0</v>
      </c>
      <c r="S136" s="66">
        <v>0.0</v>
      </c>
      <c r="T136" s="66">
        <v>0.0</v>
      </c>
      <c r="U136" s="66">
        <v>0.0</v>
      </c>
      <c r="V136" s="66">
        <v>0.0</v>
      </c>
      <c r="W136" s="66">
        <v>0.0</v>
      </c>
      <c r="X136" s="66">
        <v>0.0</v>
      </c>
      <c r="Y136" s="66">
        <v>0.0</v>
      </c>
      <c r="Z136" s="66">
        <v>0.0</v>
      </c>
      <c r="AA136" s="66">
        <v>0.0</v>
      </c>
      <c r="AB136" s="13">
        <f t="shared" si="30"/>
        <v>0</v>
      </c>
      <c r="AC136" s="5"/>
      <c r="AD136" s="5"/>
    </row>
    <row r="137" ht="12.75" customHeight="1">
      <c r="A137" s="18"/>
      <c r="B137" s="49"/>
      <c r="C137" s="50" t="s">
        <v>118</v>
      </c>
      <c r="D137" s="51"/>
      <c r="E137" s="66">
        <v>0.0</v>
      </c>
      <c r="F137" s="66">
        <v>0.0</v>
      </c>
      <c r="G137" s="66">
        <v>0.0</v>
      </c>
      <c r="H137" s="66">
        <v>0.0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0.0</v>
      </c>
      <c r="O137" s="66">
        <v>0.0</v>
      </c>
      <c r="P137" s="66">
        <v>0.0</v>
      </c>
      <c r="Q137" s="66">
        <v>0.0</v>
      </c>
      <c r="R137" s="66">
        <v>0.0</v>
      </c>
      <c r="S137" s="66">
        <v>0.0</v>
      </c>
      <c r="T137" s="66">
        <v>0.0</v>
      </c>
      <c r="U137" s="66">
        <v>0.0</v>
      </c>
      <c r="V137" s="66">
        <v>0.0</v>
      </c>
      <c r="W137" s="66">
        <v>0.0</v>
      </c>
      <c r="X137" s="66">
        <v>0.0</v>
      </c>
      <c r="Y137" s="66">
        <v>0.0</v>
      </c>
      <c r="Z137" s="66">
        <v>1.0</v>
      </c>
      <c r="AA137" s="66">
        <v>0.0</v>
      </c>
      <c r="AB137" s="13">
        <f t="shared" si="30"/>
        <v>1</v>
      </c>
      <c r="AC137" s="5"/>
      <c r="AD137" s="5"/>
    </row>
    <row r="138" ht="12.75" customHeight="1">
      <c r="A138" s="18"/>
      <c r="B138" s="49"/>
      <c r="C138" s="50" t="s">
        <v>119</v>
      </c>
      <c r="D138" s="51"/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0.0</v>
      </c>
      <c r="K138" s="66">
        <v>0.0</v>
      </c>
      <c r="L138" s="66">
        <v>0.0</v>
      </c>
      <c r="M138" s="66">
        <v>0.0</v>
      </c>
      <c r="N138" s="66">
        <v>0.0</v>
      </c>
      <c r="O138" s="66">
        <v>0.0</v>
      </c>
      <c r="P138" s="66">
        <v>0.0</v>
      </c>
      <c r="Q138" s="66">
        <v>0.0</v>
      </c>
      <c r="R138" s="66">
        <v>0.0</v>
      </c>
      <c r="S138" s="66">
        <v>0.0</v>
      </c>
      <c r="T138" s="66">
        <v>0.0</v>
      </c>
      <c r="U138" s="66">
        <v>0.0</v>
      </c>
      <c r="V138" s="66">
        <v>0.0</v>
      </c>
      <c r="W138" s="66">
        <v>0.0</v>
      </c>
      <c r="X138" s="66">
        <v>0.0</v>
      </c>
      <c r="Y138" s="66">
        <v>0.0</v>
      </c>
      <c r="Z138" s="66">
        <v>0.0</v>
      </c>
      <c r="AA138" s="66">
        <v>0.0</v>
      </c>
      <c r="AB138" s="13">
        <f t="shared" si="30"/>
        <v>0</v>
      </c>
      <c r="AC138" s="5"/>
      <c r="AD138" s="5"/>
    </row>
    <row r="139" ht="12.75" customHeight="1">
      <c r="A139" s="18"/>
      <c r="B139" s="49"/>
      <c r="C139" s="50" t="s">
        <v>120</v>
      </c>
      <c r="D139" s="51"/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0.0</v>
      </c>
      <c r="N139" s="66">
        <v>0.0</v>
      </c>
      <c r="O139" s="66">
        <v>0.0</v>
      </c>
      <c r="P139" s="66">
        <v>0.0</v>
      </c>
      <c r="Q139" s="66">
        <v>0.0</v>
      </c>
      <c r="R139" s="66">
        <v>0.0</v>
      </c>
      <c r="S139" s="66">
        <v>0.0</v>
      </c>
      <c r="T139" s="66">
        <v>0.0</v>
      </c>
      <c r="U139" s="66">
        <v>0.0</v>
      </c>
      <c r="V139" s="66">
        <v>0.0</v>
      </c>
      <c r="W139" s="66">
        <v>0.0</v>
      </c>
      <c r="X139" s="66">
        <v>0.0</v>
      </c>
      <c r="Y139" s="66">
        <v>0.0</v>
      </c>
      <c r="Z139" s="66">
        <v>0.0</v>
      </c>
      <c r="AA139" s="66">
        <v>0.0</v>
      </c>
      <c r="AB139" s="13">
        <f t="shared" si="30"/>
        <v>0</v>
      </c>
      <c r="AC139" s="5"/>
      <c r="AD139" s="5"/>
    </row>
    <row r="140" ht="12.75" customHeight="1">
      <c r="A140" s="18"/>
      <c r="B140" s="49"/>
      <c r="C140" s="50" t="s">
        <v>121</v>
      </c>
      <c r="D140" s="51"/>
      <c r="E140" s="66">
        <v>0.0</v>
      </c>
      <c r="F140" s="66">
        <v>0.0</v>
      </c>
      <c r="G140" s="66">
        <v>0.0</v>
      </c>
      <c r="H140" s="66">
        <v>0.0</v>
      </c>
      <c r="I140" s="66">
        <v>0.0</v>
      </c>
      <c r="J140" s="66">
        <v>1.0</v>
      </c>
      <c r="K140" s="66">
        <v>0.0</v>
      </c>
      <c r="L140" s="66">
        <v>0.0</v>
      </c>
      <c r="M140" s="66">
        <v>0.0</v>
      </c>
      <c r="N140" s="66">
        <v>0.0</v>
      </c>
      <c r="O140" s="66">
        <v>0.0</v>
      </c>
      <c r="P140" s="66">
        <v>0.0</v>
      </c>
      <c r="Q140" s="66">
        <v>0.0</v>
      </c>
      <c r="R140" s="66">
        <v>0.0</v>
      </c>
      <c r="S140" s="66">
        <v>0.0</v>
      </c>
      <c r="T140" s="66">
        <v>1.0</v>
      </c>
      <c r="U140" s="66">
        <v>0.0</v>
      </c>
      <c r="V140" s="66">
        <v>0.0</v>
      </c>
      <c r="W140" s="66">
        <v>0.0</v>
      </c>
      <c r="X140" s="66">
        <v>0.0</v>
      </c>
      <c r="Y140" s="66">
        <v>0.0</v>
      </c>
      <c r="Z140" s="66">
        <v>0.0</v>
      </c>
      <c r="AA140" s="66">
        <v>0.0</v>
      </c>
      <c r="AB140" s="13">
        <f t="shared" si="30"/>
        <v>2</v>
      </c>
      <c r="AC140" s="5"/>
      <c r="AD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AA141" si="31">SUM(E134:E140)</f>
        <v>0</v>
      </c>
      <c r="F141" s="13">
        <f t="shared" si="31"/>
        <v>0</v>
      </c>
      <c r="G141" s="13">
        <f t="shared" si="31"/>
        <v>1</v>
      </c>
      <c r="H141" s="13">
        <f t="shared" si="31"/>
        <v>0</v>
      </c>
      <c r="I141" s="13">
        <f t="shared" si="31"/>
        <v>0</v>
      </c>
      <c r="J141" s="13">
        <f t="shared" si="31"/>
        <v>1</v>
      </c>
      <c r="K141" s="13">
        <f t="shared" si="31"/>
        <v>1</v>
      </c>
      <c r="L141" s="13">
        <f t="shared" si="31"/>
        <v>0</v>
      </c>
      <c r="M141" s="13">
        <f t="shared" si="31"/>
        <v>1</v>
      </c>
      <c r="N141" s="13">
        <f t="shared" si="31"/>
        <v>0</v>
      </c>
      <c r="O141" s="13">
        <f t="shared" si="31"/>
        <v>0</v>
      </c>
      <c r="P141" s="13">
        <f t="shared" si="31"/>
        <v>0</v>
      </c>
      <c r="Q141" s="13">
        <f t="shared" si="31"/>
        <v>0</v>
      </c>
      <c r="R141" s="13">
        <f t="shared" si="31"/>
        <v>0</v>
      </c>
      <c r="S141" s="13">
        <f t="shared" si="31"/>
        <v>0</v>
      </c>
      <c r="T141" s="13">
        <f t="shared" si="31"/>
        <v>1</v>
      </c>
      <c r="U141" s="13">
        <f t="shared" si="31"/>
        <v>0</v>
      </c>
      <c r="V141" s="13">
        <f t="shared" si="31"/>
        <v>1</v>
      </c>
      <c r="W141" s="13">
        <f t="shared" si="31"/>
        <v>0</v>
      </c>
      <c r="X141" s="13">
        <f t="shared" si="31"/>
        <v>0</v>
      </c>
      <c r="Y141" s="13">
        <f t="shared" si="31"/>
        <v>0</v>
      </c>
      <c r="Z141" s="13">
        <f t="shared" si="31"/>
        <v>2</v>
      </c>
      <c r="AA141" s="13">
        <f t="shared" si="31"/>
        <v>0</v>
      </c>
      <c r="AB141" s="13">
        <f t="shared" si="30"/>
        <v>8</v>
      </c>
      <c r="AC141" s="1"/>
      <c r="AD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13"/>
      <c r="AC142" s="53"/>
      <c r="AD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66">
        <v>0.0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0.0</v>
      </c>
      <c r="O143" s="66">
        <v>0.0</v>
      </c>
      <c r="P143" s="66">
        <v>0.0</v>
      </c>
      <c r="Q143" s="66">
        <v>0.0</v>
      </c>
      <c r="R143" s="66">
        <v>0.0</v>
      </c>
      <c r="S143" s="66">
        <v>0.0</v>
      </c>
      <c r="T143" s="66">
        <v>0.0</v>
      </c>
      <c r="U143" s="66">
        <v>0.0</v>
      </c>
      <c r="V143" s="66">
        <v>1.0</v>
      </c>
      <c r="W143" s="66">
        <v>0.0</v>
      </c>
      <c r="X143" s="66">
        <v>0.0</v>
      </c>
      <c r="Y143" s="66">
        <v>0.0</v>
      </c>
      <c r="Z143" s="66">
        <v>2.0</v>
      </c>
      <c r="AA143" s="66">
        <v>0.0</v>
      </c>
      <c r="AB143" s="13">
        <f t="shared" ref="AB143:AB150" si="32">SUM(E143:AA143)</f>
        <v>3</v>
      </c>
      <c r="AC143" s="5"/>
      <c r="AD143" s="5"/>
    </row>
    <row r="144" ht="12.75" customHeight="1">
      <c r="A144" s="30" t="s">
        <v>39</v>
      </c>
      <c r="B144" s="49"/>
      <c r="C144" s="50" t="s">
        <v>124</v>
      </c>
      <c r="D144" s="51"/>
      <c r="E144" s="66">
        <v>0.0</v>
      </c>
      <c r="F144" s="66">
        <v>0.0</v>
      </c>
      <c r="G144" s="66">
        <v>0.0</v>
      </c>
      <c r="H144" s="66">
        <v>0.0</v>
      </c>
      <c r="I144" s="66">
        <v>1.0</v>
      </c>
      <c r="J144" s="66">
        <v>0.0</v>
      </c>
      <c r="K144" s="66">
        <v>0.0</v>
      </c>
      <c r="L144" s="66">
        <v>0.0</v>
      </c>
      <c r="M144" s="66">
        <v>0.0</v>
      </c>
      <c r="N144" s="66">
        <v>0.0</v>
      </c>
      <c r="O144" s="66">
        <v>0.0</v>
      </c>
      <c r="P144" s="66">
        <v>0.0</v>
      </c>
      <c r="Q144" s="66">
        <v>0.0</v>
      </c>
      <c r="R144" s="66">
        <v>0.0</v>
      </c>
      <c r="S144" s="66">
        <v>0.0</v>
      </c>
      <c r="T144" s="66">
        <v>0.0</v>
      </c>
      <c r="U144" s="66">
        <v>0.0</v>
      </c>
      <c r="V144" s="66">
        <v>1.0</v>
      </c>
      <c r="W144" s="66">
        <v>5.0</v>
      </c>
      <c r="X144" s="66">
        <v>2.0</v>
      </c>
      <c r="Y144" s="66">
        <v>2.0</v>
      </c>
      <c r="Z144" s="66">
        <v>4.0</v>
      </c>
      <c r="AA144" s="66">
        <v>4.0</v>
      </c>
      <c r="AB144" s="13">
        <f t="shared" si="32"/>
        <v>19</v>
      </c>
      <c r="AC144" s="5"/>
      <c r="AD144" s="5"/>
    </row>
    <row r="145" ht="12.75" customHeight="1">
      <c r="A145" s="18"/>
      <c r="B145" s="49"/>
      <c r="C145" s="50" t="s">
        <v>125</v>
      </c>
      <c r="D145" s="51"/>
      <c r="E145" s="66">
        <v>0.0</v>
      </c>
      <c r="F145" s="66">
        <v>0.0</v>
      </c>
      <c r="G145" s="66">
        <v>0.0</v>
      </c>
      <c r="H145" s="66">
        <v>0.0</v>
      </c>
      <c r="I145" s="66">
        <v>0.0</v>
      </c>
      <c r="J145" s="66">
        <v>1.0</v>
      </c>
      <c r="K145" s="66">
        <v>0.0</v>
      </c>
      <c r="L145" s="66">
        <v>0.0</v>
      </c>
      <c r="M145" s="66">
        <v>0.0</v>
      </c>
      <c r="N145" s="66">
        <v>1.0</v>
      </c>
      <c r="O145" s="66">
        <v>0.0</v>
      </c>
      <c r="P145" s="66">
        <v>0.0</v>
      </c>
      <c r="Q145" s="66">
        <v>0.0</v>
      </c>
      <c r="R145" s="66">
        <v>0.0</v>
      </c>
      <c r="S145" s="66">
        <v>0.0</v>
      </c>
      <c r="T145" s="66">
        <v>0.0</v>
      </c>
      <c r="U145" s="66">
        <v>0.0</v>
      </c>
      <c r="V145" s="66">
        <v>0.0</v>
      </c>
      <c r="W145" s="66">
        <v>0.0</v>
      </c>
      <c r="X145" s="66">
        <v>0.0</v>
      </c>
      <c r="Y145" s="66">
        <v>0.0</v>
      </c>
      <c r="Z145" s="66">
        <v>0.0</v>
      </c>
      <c r="AA145" s="66">
        <v>0.0</v>
      </c>
      <c r="AB145" s="13">
        <f t="shared" si="32"/>
        <v>2</v>
      </c>
      <c r="AC145" s="5"/>
      <c r="AD145" s="5"/>
    </row>
    <row r="146" ht="12.75" customHeight="1">
      <c r="A146" s="18"/>
      <c r="B146" s="49"/>
      <c r="C146" s="50" t="s">
        <v>126</v>
      </c>
      <c r="D146" s="51"/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66">
        <v>0.0</v>
      </c>
      <c r="Q146" s="66">
        <v>0.0</v>
      </c>
      <c r="R146" s="66">
        <v>0.0</v>
      </c>
      <c r="S146" s="66">
        <v>0.0</v>
      </c>
      <c r="T146" s="66">
        <v>0.0</v>
      </c>
      <c r="U146" s="66">
        <v>0.0</v>
      </c>
      <c r="V146" s="66">
        <v>0.0</v>
      </c>
      <c r="W146" s="66">
        <v>0.0</v>
      </c>
      <c r="X146" s="66">
        <v>0.0</v>
      </c>
      <c r="Y146" s="66">
        <v>0.0</v>
      </c>
      <c r="Z146" s="66">
        <v>0.0</v>
      </c>
      <c r="AA146" s="66">
        <v>0.0</v>
      </c>
      <c r="AB146" s="13">
        <f t="shared" si="32"/>
        <v>0</v>
      </c>
      <c r="AC146" s="5"/>
      <c r="AD146" s="5"/>
    </row>
    <row r="147" ht="12.75" customHeight="1">
      <c r="A147" s="18"/>
      <c r="B147" s="49"/>
      <c r="C147" s="50" t="s">
        <v>127</v>
      </c>
      <c r="D147" s="51"/>
      <c r="E147" s="66">
        <v>0.0</v>
      </c>
      <c r="F147" s="66">
        <v>0.0</v>
      </c>
      <c r="G147" s="66">
        <v>0.0</v>
      </c>
      <c r="H147" s="66">
        <v>0.0</v>
      </c>
      <c r="I147" s="66">
        <v>0.0</v>
      </c>
      <c r="J147" s="66">
        <v>0.0</v>
      </c>
      <c r="K147" s="66">
        <v>0.0</v>
      </c>
      <c r="L147" s="66">
        <v>0.0</v>
      </c>
      <c r="M147" s="66">
        <v>0.0</v>
      </c>
      <c r="N147" s="66">
        <v>0.0</v>
      </c>
      <c r="O147" s="66">
        <v>0.0</v>
      </c>
      <c r="P147" s="66">
        <v>0.0</v>
      </c>
      <c r="Q147" s="66">
        <v>0.0</v>
      </c>
      <c r="R147" s="66">
        <v>0.0</v>
      </c>
      <c r="S147" s="66">
        <v>0.0</v>
      </c>
      <c r="T147" s="66">
        <v>0.0</v>
      </c>
      <c r="U147" s="66">
        <v>0.0</v>
      </c>
      <c r="V147" s="66">
        <v>0.0</v>
      </c>
      <c r="W147" s="66">
        <v>0.0</v>
      </c>
      <c r="X147" s="66">
        <v>0.0</v>
      </c>
      <c r="Y147" s="66">
        <v>0.0</v>
      </c>
      <c r="Z147" s="66">
        <v>0.0</v>
      </c>
      <c r="AA147" s="66">
        <v>0.0</v>
      </c>
      <c r="AB147" s="13">
        <f t="shared" si="32"/>
        <v>0</v>
      </c>
      <c r="AC147" s="5"/>
      <c r="AD147" s="5"/>
    </row>
    <row r="148" ht="12.75" customHeight="1">
      <c r="A148" s="18"/>
      <c r="B148" s="49"/>
      <c r="C148" s="50" t="s">
        <v>128</v>
      </c>
      <c r="D148" s="51"/>
      <c r="E148" s="66">
        <v>0.0</v>
      </c>
      <c r="F148" s="66">
        <v>0.0</v>
      </c>
      <c r="G148" s="66">
        <v>0.0</v>
      </c>
      <c r="H148" s="66">
        <v>0.0</v>
      </c>
      <c r="I148" s="66">
        <v>0.0</v>
      </c>
      <c r="J148" s="66">
        <v>0.0</v>
      </c>
      <c r="K148" s="66">
        <v>2.0</v>
      </c>
      <c r="L148" s="66">
        <v>0.0</v>
      </c>
      <c r="M148" s="66">
        <v>0.0</v>
      </c>
      <c r="N148" s="66">
        <v>0.0</v>
      </c>
      <c r="O148" s="66">
        <v>0.0</v>
      </c>
      <c r="P148" s="66">
        <v>0.0</v>
      </c>
      <c r="Q148" s="66">
        <v>0.0</v>
      </c>
      <c r="R148" s="66">
        <v>0.0</v>
      </c>
      <c r="S148" s="66">
        <v>0.0</v>
      </c>
      <c r="T148" s="66">
        <v>0.0</v>
      </c>
      <c r="U148" s="66">
        <v>0.0</v>
      </c>
      <c r="V148" s="66">
        <v>0.0</v>
      </c>
      <c r="W148" s="66">
        <v>0.0</v>
      </c>
      <c r="X148" s="66">
        <v>0.0</v>
      </c>
      <c r="Y148" s="66">
        <v>0.0</v>
      </c>
      <c r="Z148" s="66">
        <v>0.0</v>
      </c>
      <c r="AA148" s="66">
        <v>0.0</v>
      </c>
      <c r="AB148" s="13">
        <f t="shared" si="32"/>
        <v>2</v>
      </c>
      <c r="AC148" s="5"/>
      <c r="AD148" s="5"/>
    </row>
    <row r="149" ht="12.75" customHeight="1">
      <c r="A149" s="18"/>
      <c r="B149" s="49"/>
      <c r="C149" s="50" t="s">
        <v>129</v>
      </c>
      <c r="D149" s="51"/>
      <c r="E149" s="66">
        <v>0.0</v>
      </c>
      <c r="F149" s="66">
        <v>0.0</v>
      </c>
      <c r="G149" s="66">
        <v>0.0</v>
      </c>
      <c r="H149" s="66">
        <v>0.0</v>
      </c>
      <c r="I149" s="66">
        <v>0.0</v>
      </c>
      <c r="J149" s="66">
        <v>0.0</v>
      </c>
      <c r="K149" s="66">
        <v>0.0</v>
      </c>
      <c r="L149" s="66">
        <v>0.0</v>
      </c>
      <c r="M149" s="66">
        <v>0.0</v>
      </c>
      <c r="N149" s="66">
        <v>0.0</v>
      </c>
      <c r="O149" s="66">
        <v>0.0</v>
      </c>
      <c r="P149" s="66">
        <v>0.0</v>
      </c>
      <c r="Q149" s="66">
        <v>0.0</v>
      </c>
      <c r="R149" s="66">
        <v>0.0</v>
      </c>
      <c r="S149" s="66">
        <v>0.0</v>
      </c>
      <c r="T149" s="66">
        <v>0.0</v>
      </c>
      <c r="U149" s="66">
        <v>0.0</v>
      </c>
      <c r="V149" s="66">
        <v>0.0</v>
      </c>
      <c r="W149" s="66">
        <v>0.0</v>
      </c>
      <c r="X149" s="66">
        <v>0.0</v>
      </c>
      <c r="Y149" s="66">
        <v>0.0</v>
      </c>
      <c r="Z149" s="66">
        <v>0.0</v>
      </c>
      <c r="AA149" s="66">
        <v>0.0</v>
      </c>
      <c r="AB149" s="13">
        <f t="shared" si="32"/>
        <v>0</v>
      </c>
      <c r="AC149" s="5"/>
      <c r="AD149" s="5"/>
    </row>
    <row r="150" ht="12.75" customHeight="1">
      <c r="A150" s="19" t="s">
        <v>15</v>
      </c>
      <c r="B150" s="47" t="s">
        <v>46</v>
      </c>
      <c r="C150" s="15"/>
      <c r="D150" s="16"/>
      <c r="E150" s="69">
        <v>0.0</v>
      </c>
      <c r="F150" s="69">
        <v>0.0</v>
      </c>
      <c r="G150" s="69">
        <v>0.0</v>
      </c>
      <c r="H150" s="69">
        <v>0.0</v>
      </c>
      <c r="I150" s="69">
        <v>1.0</v>
      </c>
      <c r="J150" s="69">
        <v>1.0</v>
      </c>
      <c r="K150" s="69">
        <v>2.0</v>
      </c>
      <c r="L150" s="69">
        <v>0.0</v>
      </c>
      <c r="M150" s="69">
        <v>0.0</v>
      </c>
      <c r="N150" s="69">
        <v>1.0</v>
      </c>
      <c r="O150" s="69">
        <v>0.0</v>
      </c>
      <c r="P150" s="69">
        <v>0.0</v>
      </c>
      <c r="Q150" s="69">
        <v>0.0</v>
      </c>
      <c r="R150" s="69">
        <v>0.0</v>
      </c>
      <c r="S150" s="69">
        <v>0.0</v>
      </c>
      <c r="T150" s="69">
        <v>0.0</v>
      </c>
      <c r="U150" s="69">
        <v>0.0</v>
      </c>
      <c r="V150" s="69">
        <v>2.0</v>
      </c>
      <c r="W150" s="69">
        <v>5.0</v>
      </c>
      <c r="X150" s="69">
        <v>2.0</v>
      </c>
      <c r="Y150" s="69">
        <v>2.0</v>
      </c>
      <c r="Z150" s="69">
        <v>6.0</v>
      </c>
      <c r="AA150" s="69">
        <v>4.0</v>
      </c>
      <c r="AB150" s="13">
        <f t="shared" si="32"/>
        <v>26</v>
      </c>
      <c r="AC150" s="5"/>
      <c r="AD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13"/>
      <c r="AC151" s="1"/>
      <c r="AD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7.0</v>
      </c>
      <c r="F152" s="66">
        <v>9.0</v>
      </c>
      <c r="G152" s="66">
        <v>6.0</v>
      </c>
      <c r="H152" s="66">
        <v>1.0</v>
      </c>
      <c r="I152" s="66">
        <v>15.0</v>
      </c>
      <c r="J152" s="66">
        <v>18.0</v>
      </c>
      <c r="K152" s="66">
        <v>9.0</v>
      </c>
      <c r="L152" s="66">
        <v>14.0</v>
      </c>
      <c r="M152" s="66">
        <v>16.0</v>
      </c>
      <c r="N152" s="66">
        <v>15.0</v>
      </c>
      <c r="O152" s="66">
        <v>4.0</v>
      </c>
      <c r="P152" s="66">
        <v>9.0</v>
      </c>
      <c r="Q152" s="66">
        <v>5.0</v>
      </c>
      <c r="R152" s="66">
        <v>2.0</v>
      </c>
      <c r="S152" s="66">
        <v>1.0</v>
      </c>
      <c r="T152" s="66">
        <v>4.0</v>
      </c>
      <c r="U152" s="66">
        <v>17.0</v>
      </c>
      <c r="V152" s="66">
        <v>22.0</v>
      </c>
      <c r="W152" s="66">
        <v>13.0</v>
      </c>
      <c r="X152" s="66">
        <v>16.0</v>
      </c>
      <c r="Y152" s="66">
        <v>16.0</v>
      </c>
      <c r="Z152" s="66">
        <v>21.0</v>
      </c>
      <c r="AA152" s="66">
        <v>8.0</v>
      </c>
      <c r="AB152" s="13">
        <f t="shared" ref="AB152:AB159" si="33">SUM(E152:AA152)</f>
        <v>248</v>
      </c>
      <c r="AC152" s="53"/>
      <c r="AD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0.0</v>
      </c>
      <c r="F153" s="66">
        <v>6.0</v>
      </c>
      <c r="G153" s="66">
        <v>1.0</v>
      </c>
      <c r="H153" s="66">
        <v>0.0</v>
      </c>
      <c r="I153" s="66">
        <v>1.0</v>
      </c>
      <c r="J153" s="66">
        <v>5.0</v>
      </c>
      <c r="K153" s="66">
        <v>1.0</v>
      </c>
      <c r="L153" s="66">
        <v>2.0</v>
      </c>
      <c r="M153" s="66">
        <v>0.0</v>
      </c>
      <c r="N153" s="66">
        <v>1.0</v>
      </c>
      <c r="O153" s="66">
        <v>2.0</v>
      </c>
      <c r="P153" s="66">
        <v>1.0</v>
      </c>
      <c r="Q153" s="66">
        <v>0.0</v>
      </c>
      <c r="R153" s="66">
        <v>0.0</v>
      </c>
      <c r="S153" s="66">
        <v>0.0</v>
      </c>
      <c r="T153" s="66">
        <v>3.0</v>
      </c>
      <c r="U153" s="66">
        <v>2.0</v>
      </c>
      <c r="V153" s="66">
        <v>1.0</v>
      </c>
      <c r="W153" s="66">
        <v>1.0</v>
      </c>
      <c r="X153" s="66">
        <v>1.0</v>
      </c>
      <c r="Y153" s="66">
        <v>2.0</v>
      </c>
      <c r="Z153" s="66">
        <v>6.0</v>
      </c>
      <c r="AA153" s="66">
        <v>1.0</v>
      </c>
      <c r="AB153" s="13">
        <f t="shared" si="33"/>
        <v>37</v>
      </c>
      <c r="AC153" s="5"/>
      <c r="AD153" s="5"/>
    </row>
    <row r="154" ht="12.75" customHeight="1">
      <c r="A154" s="18"/>
      <c r="B154" s="49"/>
      <c r="C154" s="50" t="s">
        <v>133</v>
      </c>
      <c r="D154" s="51"/>
      <c r="E154" s="66">
        <v>101.0</v>
      </c>
      <c r="F154" s="66">
        <v>107.0</v>
      </c>
      <c r="G154" s="66">
        <v>63.0</v>
      </c>
      <c r="H154" s="66">
        <v>49.0</v>
      </c>
      <c r="I154" s="66">
        <v>81.0</v>
      </c>
      <c r="J154" s="66">
        <v>65.0</v>
      </c>
      <c r="K154" s="66">
        <v>94.0</v>
      </c>
      <c r="L154" s="66">
        <v>82.0</v>
      </c>
      <c r="M154" s="66">
        <v>80.0</v>
      </c>
      <c r="N154" s="66">
        <v>105.0</v>
      </c>
      <c r="O154" s="66">
        <v>151.0</v>
      </c>
      <c r="P154" s="66">
        <v>51.0</v>
      </c>
      <c r="Q154" s="66">
        <v>24.0</v>
      </c>
      <c r="R154" s="66">
        <v>16.0</v>
      </c>
      <c r="S154" s="66">
        <v>25.0</v>
      </c>
      <c r="T154" s="66">
        <v>13.0</v>
      </c>
      <c r="U154" s="66">
        <v>96.0</v>
      </c>
      <c r="V154" s="66">
        <v>49.0</v>
      </c>
      <c r="W154" s="66">
        <v>82.0</v>
      </c>
      <c r="X154" s="66">
        <v>48.0</v>
      </c>
      <c r="Y154" s="66">
        <v>44.0</v>
      </c>
      <c r="Z154" s="66">
        <v>43.0</v>
      </c>
      <c r="AA154" s="66">
        <v>41.0</v>
      </c>
      <c r="AB154" s="13">
        <f t="shared" si="33"/>
        <v>1510</v>
      </c>
      <c r="AC154" s="5"/>
      <c r="AD154" s="5"/>
    </row>
    <row r="155" ht="12.75" customHeight="1">
      <c r="A155" s="18"/>
      <c r="B155" s="49"/>
      <c r="C155" s="50" t="s">
        <v>134</v>
      </c>
      <c r="D155" s="51"/>
      <c r="E155" s="66">
        <v>0.0</v>
      </c>
      <c r="F155" s="66">
        <v>0.0</v>
      </c>
      <c r="G155" s="66">
        <v>0.0</v>
      </c>
      <c r="H155" s="66">
        <v>1.0</v>
      </c>
      <c r="I155" s="66">
        <v>0.0</v>
      </c>
      <c r="J155" s="66">
        <v>0.0</v>
      </c>
      <c r="K155" s="66">
        <v>1.0</v>
      </c>
      <c r="L155" s="66">
        <v>0.0</v>
      </c>
      <c r="M155" s="66">
        <v>0.0</v>
      </c>
      <c r="N155" s="66">
        <v>0.0</v>
      </c>
      <c r="O155" s="66">
        <v>1.0</v>
      </c>
      <c r="P155" s="66">
        <v>1.0</v>
      </c>
      <c r="Q155" s="66">
        <v>0.0</v>
      </c>
      <c r="R155" s="66">
        <v>2.0</v>
      </c>
      <c r="S155" s="66">
        <v>0.0</v>
      </c>
      <c r="T155" s="66">
        <v>0.0</v>
      </c>
      <c r="U155" s="66">
        <v>0.0</v>
      </c>
      <c r="V155" s="66">
        <v>0.0</v>
      </c>
      <c r="W155" s="66">
        <v>1.0</v>
      </c>
      <c r="X155" s="66">
        <v>0.0</v>
      </c>
      <c r="Y155" s="66">
        <v>1.0</v>
      </c>
      <c r="Z155" s="66">
        <v>0.0</v>
      </c>
      <c r="AA155" s="66">
        <v>1.0</v>
      </c>
      <c r="AB155" s="13">
        <f t="shared" si="33"/>
        <v>9</v>
      </c>
      <c r="AC155" s="5"/>
      <c r="AD155" s="5"/>
    </row>
    <row r="156" ht="12.75" customHeight="1">
      <c r="A156" s="18"/>
      <c r="B156" s="49"/>
      <c r="C156" s="50" t="s">
        <v>135</v>
      </c>
      <c r="D156" s="51"/>
      <c r="E156" s="66">
        <v>0.0</v>
      </c>
      <c r="F156" s="66">
        <v>0.0</v>
      </c>
      <c r="G156" s="66">
        <v>1.0</v>
      </c>
      <c r="H156" s="66">
        <v>0.0</v>
      </c>
      <c r="I156" s="66">
        <v>0.0</v>
      </c>
      <c r="J156" s="66">
        <v>0.0</v>
      </c>
      <c r="K156" s="66">
        <v>1.0</v>
      </c>
      <c r="L156" s="66">
        <v>0.0</v>
      </c>
      <c r="M156" s="66">
        <v>1.0</v>
      </c>
      <c r="N156" s="66">
        <v>0.0</v>
      </c>
      <c r="O156" s="66">
        <v>0.0</v>
      </c>
      <c r="P156" s="66">
        <v>0.0</v>
      </c>
      <c r="Q156" s="66">
        <v>0.0</v>
      </c>
      <c r="R156" s="66">
        <v>0.0</v>
      </c>
      <c r="S156" s="66">
        <v>0.0</v>
      </c>
      <c r="T156" s="66">
        <v>0.0</v>
      </c>
      <c r="U156" s="66">
        <v>0.0</v>
      </c>
      <c r="V156" s="66">
        <v>0.0</v>
      </c>
      <c r="W156" s="66">
        <v>0.0</v>
      </c>
      <c r="X156" s="66">
        <v>0.0</v>
      </c>
      <c r="Y156" s="66">
        <v>0.0</v>
      </c>
      <c r="Z156" s="66">
        <v>0.0</v>
      </c>
      <c r="AA156" s="66">
        <v>0.0</v>
      </c>
      <c r="AB156" s="13">
        <f t="shared" si="33"/>
        <v>3</v>
      </c>
      <c r="AC156" s="5"/>
      <c r="AD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66">
        <v>0.0</v>
      </c>
      <c r="Q157" s="66">
        <v>0.0</v>
      </c>
      <c r="R157" s="66">
        <v>0.0</v>
      </c>
      <c r="S157" s="66">
        <v>0.0</v>
      </c>
      <c r="T157" s="66">
        <v>0.0</v>
      </c>
      <c r="U157" s="66">
        <v>0.0</v>
      </c>
      <c r="V157" s="66">
        <v>0.0</v>
      </c>
      <c r="W157" s="66">
        <v>0.0</v>
      </c>
      <c r="X157" s="66">
        <v>0.0</v>
      </c>
      <c r="Y157" s="66">
        <v>0.0</v>
      </c>
      <c r="Z157" s="66">
        <v>0.0</v>
      </c>
      <c r="AA157" s="66">
        <v>0.0</v>
      </c>
      <c r="AB157" s="13">
        <f t="shared" si="33"/>
        <v>0</v>
      </c>
      <c r="AC157" s="5"/>
      <c r="AD157" s="5"/>
    </row>
    <row r="158" ht="12.75" customHeight="1">
      <c r="A158" s="18"/>
      <c r="B158" s="49"/>
      <c r="C158" s="50" t="s">
        <v>137</v>
      </c>
      <c r="D158" s="51"/>
      <c r="E158" s="66">
        <v>0.0</v>
      </c>
      <c r="F158" s="66">
        <v>1.0</v>
      </c>
      <c r="G158" s="66">
        <v>0.0</v>
      </c>
      <c r="H158" s="66">
        <v>0.0</v>
      </c>
      <c r="I158" s="66">
        <v>0.0</v>
      </c>
      <c r="J158" s="66">
        <v>0.0</v>
      </c>
      <c r="K158" s="66">
        <v>0.0</v>
      </c>
      <c r="L158" s="66">
        <v>0.0</v>
      </c>
      <c r="M158" s="66">
        <v>0.0</v>
      </c>
      <c r="N158" s="66">
        <v>0.0</v>
      </c>
      <c r="O158" s="66">
        <v>0.0</v>
      </c>
      <c r="P158" s="66">
        <v>0.0</v>
      </c>
      <c r="Q158" s="66">
        <v>0.0</v>
      </c>
      <c r="R158" s="66">
        <v>1.0</v>
      </c>
      <c r="S158" s="66">
        <v>0.0</v>
      </c>
      <c r="T158" s="66">
        <v>0.0</v>
      </c>
      <c r="U158" s="66">
        <v>0.0</v>
      </c>
      <c r="V158" s="66">
        <v>0.0</v>
      </c>
      <c r="W158" s="66">
        <v>0.0</v>
      </c>
      <c r="X158" s="66">
        <v>0.0</v>
      </c>
      <c r="Y158" s="66">
        <v>0.0</v>
      </c>
      <c r="Z158" s="66">
        <v>0.0</v>
      </c>
      <c r="AA158" s="66">
        <v>0.0</v>
      </c>
      <c r="AB158" s="13">
        <f t="shared" si="33"/>
        <v>2</v>
      </c>
      <c r="AC158" s="5"/>
      <c r="AD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AA159" si="34">SUM(E152:E158)</f>
        <v>108</v>
      </c>
      <c r="F159" s="13">
        <f t="shared" si="34"/>
        <v>123</v>
      </c>
      <c r="G159" s="13">
        <f t="shared" si="34"/>
        <v>71</v>
      </c>
      <c r="H159" s="13">
        <f t="shared" si="34"/>
        <v>51</v>
      </c>
      <c r="I159" s="13">
        <f t="shared" si="34"/>
        <v>97</v>
      </c>
      <c r="J159" s="13">
        <f t="shared" si="34"/>
        <v>88</v>
      </c>
      <c r="K159" s="13">
        <f t="shared" si="34"/>
        <v>106</v>
      </c>
      <c r="L159" s="13">
        <f t="shared" si="34"/>
        <v>98</v>
      </c>
      <c r="M159" s="13">
        <f t="shared" si="34"/>
        <v>97</v>
      </c>
      <c r="N159" s="13">
        <f t="shared" si="34"/>
        <v>121</v>
      </c>
      <c r="O159" s="13">
        <f t="shared" si="34"/>
        <v>158</v>
      </c>
      <c r="P159" s="13">
        <f t="shared" si="34"/>
        <v>62</v>
      </c>
      <c r="Q159" s="13">
        <f t="shared" si="34"/>
        <v>29</v>
      </c>
      <c r="R159" s="13">
        <f t="shared" si="34"/>
        <v>21</v>
      </c>
      <c r="S159" s="13">
        <f t="shared" si="34"/>
        <v>26</v>
      </c>
      <c r="T159" s="13">
        <f t="shared" si="34"/>
        <v>20</v>
      </c>
      <c r="U159" s="13">
        <f t="shared" si="34"/>
        <v>115</v>
      </c>
      <c r="V159" s="13">
        <f t="shared" si="34"/>
        <v>72</v>
      </c>
      <c r="W159" s="13">
        <f t="shared" si="34"/>
        <v>97</v>
      </c>
      <c r="X159" s="13">
        <f t="shared" si="34"/>
        <v>65</v>
      </c>
      <c r="Y159" s="13">
        <f t="shared" si="34"/>
        <v>63</v>
      </c>
      <c r="Z159" s="13">
        <f t="shared" si="34"/>
        <v>70</v>
      </c>
      <c r="AA159" s="13">
        <f t="shared" si="34"/>
        <v>51</v>
      </c>
      <c r="AB159" s="13">
        <f t="shared" si="33"/>
        <v>1809</v>
      </c>
      <c r="AC159" s="5"/>
      <c r="AD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13"/>
      <c r="AC160" s="5"/>
      <c r="AD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0.0</v>
      </c>
      <c r="F161" s="73">
        <v>1.0</v>
      </c>
      <c r="G161" s="73">
        <v>0.0</v>
      </c>
      <c r="H161" s="73">
        <v>0.0</v>
      </c>
      <c r="I161" s="73">
        <v>0.0</v>
      </c>
      <c r="J161" s="73">
        <v>0.0</v>
      </c>
      <c r="K161" s="73">
        <v>0.0</v>
      </c>
      <c r="L161" s="73">
        <v>0.0</v>
      </c>
      <c r="M161" s="73">
        <v>1.0</v>
      </c>
      <c r="N161" s="73">
        <v>0.0</v>
      </c>
      <c r="O161" s="73">
        <v>0.0</v>
      </c>
      <c r="P161" s="73">
        <v>0.0</v>
      </c>
      <c r="Q161" s="73">
        <v>0.0</v>
      </c>
      <c r="R161" s="73">
        <v>0.0</v>
      </c>
      <c r="S161" s="73">
        <v>0.0</v>
      </c>
      <c r="T161" s="73">
        <v>0.0</v>
      </c>
      <c r="U161" s="73">
        <v>0.0</v>
      </c>
      <c r="V161" s="73">
        <v>1.0</v>
      </c>
      <c r="W161" s="73">
        <v>0.0</v>
      </c>
      <c r="X161" s="73">
        <v>0.0</v>
      </c>
      <c r="Y161" s="73">
        <v>3.0</v>
      </c>
      <c r="Z161" s="73">
        <v>0.0</v>
      </c>
      <c r="AA161" s="73">
        <v>0.0</v>
      </c>
      <c r="AB161" s="13">
        <f t="shared" ref="AB161:AB164" si="35">SUM(E161:AA161)</f>
        <v>6</v>
      </c>
      <c r="AC161" s="5"/>
      <c r="AD161" s="5"/>
    </row>
    <row r="162" ht="12.75" customHeight="1">
      <c r="A162" s="30" t="s">
        <v>39</v>
      </c>
      <c r="B162" s="49"/>
      <c r="C162" s="50" t="s">
        <v>140</v>
      </c>
      <c r="D162" s="51"/>
      <c r="E162" s="73">
        <v>0.0</v>
      </c>
      <c r="F162" s="73">
        <v>0.0</v>
      </c>
      <c r="G162" s="73">
        <v>1.0</v>
      </c>
      <c r="H162" s="73">
        <v>1.0</v>
      </c>
      <c r="I162" s="73">
        <v>0.0</v>
      </c>
      <c r="J162" s="73">
        <v>0.0</v>
      </c>
      <c r="K162" s="73">
        <v>0.0</v>
      </c>
      <c r="L162" s="73">
        <v>0.0</v>
      </c>
      <c r="M162" s="73">
        <v>0.0</v>
      </c>
      <c r="N162" s="73">
        <v>0.0</v>
      </c>
      <c r="O162" s="73">
        <v>0.0</v>
      </c>
      <c r="P162" s="73">
        <v>0.0</v>
      </c>
      <c r="Q162" s="73">
        <v>1.0</v>
      </c>
      <c r="R162" s="73">
        <v>1.0</v>
      </c>
      <c r="S162" s="73">
        <v>0.0</v>
      </c>
      <c r="T162" s="73">
        <v>1.0</v>
      </c>
      <c r="U162" s="73">
        <v>1.0</v>
      </c>
      <c r="V162" s="73">
        <v>1.0</v>
      </c>
      <c r="W162" s="73">
        <v>0.0</v>
      </c>
      <c r="X162" s="73">
        <v>0.0</v>
      </c>
      <c r="Y162" s="73">
        <v>0.0</v>
      </c>
      <c r="Z162" s="73">
        <v>0.0</v>
      </c>
      <c r="AA162" s="73">
        <v>0.0</v>
      </c>
      <c r="AB162" s="13">
        <f t="shared" si="35"/>
        <v>7</v>
      </c>
      <c r="AC162" s="5"/>
      <c r="AD162" s="5"/>
    </row>
    <row r="163" ht="12.75" customHeight="1">
      <c r="A163" s="30"/>
      <c r="B163" s="49"/>
      <c r="C163" s="50" t="s">
        <v>141</v>
      </c>
      <c r="D163" s="51"/>
      <c r="E163" s="73">
        <v>0.0</v>
      </c>
      <c r="F163" s="73">
        <v>0.0</v>
      </c>
      <c r="G163" s="73">
        <v>0.0</v>
      </c>
      <c r="H163" s="73">
        <v>0.0</v>
      </c>
      <c r="I163" s="73">
        <v>0.0</v>
      </c>
      <c r="J163" s="73">
        <v>0.0</v>
      </c>
      <c r="K163" s="73">
        <v>0.0</v>
      </c>
      <c r="L163" s="73">
        <v>0.0</v>
      </c>
      <c r="M163" s="73">
        <v>0.0</v>
      </c>
      <c r="N163" s="73">
        <v>0.0</v>
      </c>
      <c r="O163" s="73">
        <v>0.0</v>
      </c>
      <c r="P163" s="73">
        <v>0.0</v>
      </c>
      <c r="Q163" s="73">
        <v>0.0</v>
      </c>
      <c r="R163" s="73">
        <v>0.0</v>
      </c>
      <c r="S163" s="73">
        <v>0.0</v>
      </c>
      <c r="T163" s="73">
        <v>0.0</v>
      </c>
      <c r="U163" s="73">
        <v>0.0</v>
      </c>
      <c r="V163" s="73">
        <v>0.0</v>
      </c>
      <c r="W163" s="73">
        <v>0.0</v>
      </c>
      <c r="X163" s="73">
        <v>0.0</v>
      </c>
      <c r="Y163" s="73">
        <v>0.0</v>
      </c>
      <c r="Z163" s="73">
        <v>0.0</v>
      </c>
      <c r="AA163" s="73">
        <v>0.0</v>
      </c>
      <c r="AB163" s="13">
        <f t="shared" si="35"/>
        <v>0</v>
      </c>
      <c r="AC163" s="5"/>
      <c r="AD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AA164" si="36">SUM(E161:E163)</f>
        <v>0</v>
      </c>
      <c r="F164" s="13">
        <f t="shared" si="36"/>
        <v>1</v>
      </c>
      <c r="G164" s="13">
        <f t="shared" si="36"/>
        <v>1</v>
      </c>
      <c r="H164" s="13">
        <f t="shared" si="36"/>
        <v>1</v>
      </c>
      <c r="I164" s="13">
        <f t="shared" si="36"/>
        <v>0</v>
      </c>
      <c r="J164" s="13">
        <f t="shared" si="36"/>
        <v>0</v>
      </c>
      <c r="K164" s="13">
        <f t="shared" si="36"/>
        <v>0</v>
      </c>
      <c r="L164" s="13">
        <f t="shared" si="36"/>
        <v>0</v>
      </c>
      <c r="M164" s="13">
        <f t="shared" si="36"/>
        <v>1</v>
      </c>
      <c r="N164" s="13">
        <f t="shared" si="36"/>
        <v>0</v>
      </c>
      <c r="O164" s="13">
        <f t="shared" si="36"/>
        <v>0</v>
      </c>
      <c r="P164" s="13">
        <f t="shared" si="36"/>
        <v>0</v>
      </c>
      <c r="Q164" s="13">
        <f t="shared" si="36"/>
        <v>1</v>
      </c>
      <c r="R164" s="13">
        <f t="shared" si="36"/>
        <v>1</v>
      </c>
      <c r="S164" s="13">
        <f t="shared" si="36"/>
        <v>0</v>
      </c>
      <c r="T164" s="13">
        <f t="shared" si="36"/>
        <v>1</v>
      </c>
      <c r="U164" s="13">
        <f t="shared" si="36"/>
        <v>1</v>
      </c>
      <c r="V164" s="13">
        <f t="shared" si="36"/>
        <v>2</v>
      </c>
      <c r="W164" s="13">
        <f t="shared" si="36"/>
        <v>0</v>
      </c>
      <c r="X164" s="13">
        <f t="shared" si="36"/>
        <v>0</v>
      </c>
      <c r="Y164" s="13">
        <f t="shared" si="36"/>
        <v>3</v>
      </c>
      <c r="Z164" s="13">
        <f t="shared" si="36"/>
        <v>0</v>
      </c>
      <c r="AA164" s="13">
        <f t="shared" si="36"/>
        <v>0</v>
      </c>
      <c r="AB164" s="13">
        <f t="shared" si="35"/>
        <v>13</v>
      </c>
      <c r="AC164" s="5"/>
      <c r="AD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13"/>
      <c r="AC165" s="1"/>
      <c r="AD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66">
        <v>0.0</v>
      </c>
      <c r="J166" s="66">
        <v>0.0</v>
      </c>
      <c r="K166" s="66">
        <v>0.0</v>
      </c>
      <c r="L166" s="66">
        <v>0.0</v>
      </c>
      <c r="M166" s="66">
        <v>0.0</v>
      </c>
      <c r="N166" s="66">
        <v>0.0</v>
      </c>
      <c r="O166" s="66">
        <v>0.0</v>
      </c>
      <c r="P166" s="66">
        <v>0.0</v>
      </c>
      <c r="Q166" s="66">
        <v>0.0</v>
      </c>
      <c r="R166" s="66">
        <v>1.0</v>
      </c>
      <c r="S166" s="66">
        <v>0.0</v>
      </c>
      <c r="T166" s="66">
        <v>0.0</v>
      </c>
      <c r="U166" s="66">
        <v>0.0</v>
      </c>
      <c r="V166" s="66">
        <v>0.0</v>
      </c>
      <c r="W166" s="66">
        <v>0.0</v>
      </c>
      <c r="X166" s="66">
        <v>0.0</v>
      </c>
      <c r="Y166" s="66">
        <v>0.0</v>
      </c>
      <c r="Z166" s="66">
        <v>0.0</v>
      </c>
      <c r="AA166" s="66">
        <v>0.0</v>
      </c>
      <c r="AB166" s="13">
        <f t="shared" ref="AB166:AB173" si="37">SUM(E166:AA166)</f>
        <v>1</v>
      </c>
      <c r="AC166" s="53"/>
      <c r="AD166" s="53"/>
    </row>
    <row r="167" ht="12.75" customHeight="1">
      <c r="A167" s="30"/>
      <c r="B167" s="47"/>
      <c r="C167" s="50" t="s">
        <v>144</v>
      </c>
      <c r="D167" s="59"/>
      <c r="E167" s="66">
        <v>0.0</v>
      </c>
      <c r="F167" s="66">
        <v>0.0</v>
      </c>
      <c r="G167" s="66">
        <v>0.0</v>
      </c>
      <c r="H167" s="66">
        <v>0.0</v>
      </c>
      <c r="I167" s="66">
        <v>0.0</v>
      </c>
      <c r="J167" s="66">
        <v>0.0</v>
      </c>
      <c r="K167" s="66">
        <v>0.0</v>
      </c>
      <c r="L167" s="66">
        <v>0.0</v>
      </c>
      <c r="M167" s="66">
        <v>0.0</v>
      </c>
      <c r="N167" s="66">
        <v>0.0</v>
      </c>
      <c r="O167" s="66">
        <v>0.0</v>
      </c>
      <c r="P167" s="66">
        <v>0.0</v>
      </c>
      <c r="Q167" s="66">
        <v>1.0</v>
      </c>
      <c r="R167" s="66">
        <v>0.0</v>
      </c>
      <c r="S167" s="66">
        <v>0.0</v>
      </c>
      <c r="T167" s="66">
        <v>0.0</v>
      </c>
      <c r="U167" s="66">
        <v>0.0</v>
      </c>
      <c r="V167" s="66">
        <v>0.0</v>
      </c>
      <c r="W167" s="66">
        <v>0.0</v>
      </c>
      <c r="X167" s="66">
        <v>0.0</v>
      </c>
      <c r="Y167" s="66">
        <v>0.0</v>
      </c>
      <c r="Z167" s="66">
        <v>0.0</v>
      </c>
      <c r="AA167" s="66">
        <v>0.0</v>
      </c>
      <c r="AB167" s="13">
        <f t="shared" si="37"/>
        <v>1</v>
      </c>
      <c r="AC167" s="5"/>
      <c r="AD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66">
        <v>0.0</v>
      </c>
      <c r="L168" s="66">
        <v>0.0</v>
      </c>
      <c r="M168" s="66">
        <v>0.0</v>
      </c>
      <c r="N168" s="66">
        <v>0.0</v>
      </c>
      <c r="O168" s="66">
        <v>0.0</v>
      </c>
      <c r="P168" s="66">
        <v>0.0</v>
      </c>
      <c r="Q168" s="66">
        <v>0.0</v>
      </c>
      <c r="R168" s="66">
        <v>0.0</v>
      </c>
      <c r="S168" s="66">
        <v>0.0</v>
      </c>
      <c r="T168" s="66">
        <v>0.0</v>
      </c>
      <c r="U168" s="66">
        <v>0.0</v>
      </c>
      <c r="V168" s="66">
        <v>0.0</v>
      </c>
      <c r="W168" s="66">
        <v>0.0</v>
      </c>
      <c r="X168" s="66">
        <v>0.0</v>
      </c>
      <c r="Y168" s="66">
        <v>0.0</v>
      </c>
      <c r="Z168" s="66">
        <v>0.0</v>
      </c>
      <c r="AA168" s="66">
        <v>0.0</v>
      </c>
      <c r="AB168" s="13">
        <f t="shared" si="37"/>
        <v>0</v>
      </c>
      <c r="AC168" s="5"/>
      <c r="AD168" s="5"/>
    </row>
    <row r="169" ht="12.75" customHeight="1">
      <c r="A169" s="30"/>
      <c r="B169" s="47"/>
      <c r="C169" s="50" t="s">
        <v>146</v>
      </c>
      <c r="D169" s="59"/>
      <c r="E169" s="66">
        <v>0.0</v>
      </c>
      <c r="F169" s="66">
        <v>0.0</v>
      </c>
      <c r="G169" s="66">
        <v>0.0</v>
      </c>
      <c r="H169" s="66">
        <v>0.0</v>
      </c>
      <c r="I169" s="66">
        <v>0.0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66">
        <v>0.0</v>
      </c>
      <c r="Q169" s="66">
        <v>0.0</v>
      </c>
      <c r="R169" s="66">
        <v>0.0</v>
      </c>
      <c r="S169" s="66">
        <v>0.0</v>
      </c>
      <c r="T169" s="66">
        <v>0.0</v>
      </c>
      <c r="U169" s="66">
        <v>0.0</v>
      </c>
      <c r="V169" s="66">
        <v>0.0</v>
      </c>
      <c r="W169" s="66">
        <v>0.0</v>
      </c>
      <c r="X169" s="66">
        <v>0.0</v>
      </c>
      <c r="Y169" s="66">
        <v>0.0</v>
      </c>
      <c r="Z169" s="66">
        <v>0.0</v>
      </c>
      <c r="AA169" s="66">
        <v>0.0</v>
      </c>
      <c r="AB169" s="13">
        <f t="shared" si="37"/>
        <v>0</v>
      </c>
      <c r="AC169" s="5"/>
      <c r="AD169" s="5"/>
    </row>
    <row r="170" ht="12.75" customHeight="1">
      <c r="A170" s="30" t="s">
        <v>39</v>
      </c>
      <c r="B170" s="49"/>
      <c r="C170" s="50" t="s">
        <v>147</v>
      </c>
      <c r="D170" s="51"/>
      <c r="E170" s="66">
        <v>0.0</v>
      </c>
      <c r="F170" s="66">
        <v>0.0</v>
      </c>
      <c r="G170" s="66">
        <v>0.0</v>
      </c>
      <c r="H170" s="66">
        <v>0.0</v>
      </c>
      <c r="I170" s="66">
        <v>0.0</v>
      </c>
      <c r="J170" s="66">
        <v>0.0</v>
      </c>
      <c r="K170" s="66">
        <v>0.0</v>
      </c>
      <c r="L170" s="66">
        <v>0.0</v>
      </c>
      <c r="M170" s="66">
        <v>0.0</v>
      </c>
      <c r="N170" s="66">
        <v>0.0</v>
      </c>
      <c r="O170" s="66">
        <v>0.0</v>
      </c>
      <c r="P170" s="66">
        <v>0.0</v>
      </c>
      <c r="Q170" s="66">
        <v>0.0</v>
      </c>
      <c r="R170" s="66">
        <v>0.0</v>
      </c>
      <c r="S170" s="66">
        <v>0.0</v>
      </c>
      <c r="T170" s="66">
        <v>0.0</v>
      </c>
      <c r="U170" s="66">
        <v>0.0</v>
      </c>
      <c r="V170" s="66">
        <v>0.0</v>
      </c>
      <c r="W170" s="66">
        <v>0.0</v>
      </c>
      <c r="X170" s="66">
        <v>0.0</v>
      </c>
      <c r="Y170" s="66">
        <v>0.0</v>
      </c>
      <c r="Z170" s="66">
        <v>0.0</v>
      </c>
      <c r="AA170" s="66">
        <v>0.0</v>
      </c>
      <c r="AB170" s="13">
        <f t="shared" si="37"/>
        <v>0</v>
      </c>
      <c r="AC170" s="5"/>
      <c r="AD170" s="5"/>
    </row>
    <row r="171" ht="12.75" customHeight="1">
      <c r="A171" s="18"/>
      <c r="B171" s="49"/>
      <c r="C171" s="50" t="s">
        <v>148</v>
      </c>
      <c r="D171" s="51"/>
      <c r="E171" s="66">
        <v>0.0</v>
      </c>
      <c r="F171" s="66">
        <v>0.0</v>
      </c>
      <c r="G171" s="66">
        <v>0.0</v>
      </c>
      <c r="H171" s="66">
        <v>0.0</v>
      </c>
      <c r="I171" s="66">
        <v>0.0</v>
      </c>
      <c r="J171" s="66">
        <v>0.0</v>
      </c>
      <c r="K171" s="66">
        <v>0.0</v>
      </c>
      <c r="L171" s="66">
        <v>0.0</v>
      </c>
      <c r="M171" s="66">
        <v>0.0</v>
      </c>
      <c r="N171" s="66">
        <v>0.0</v>
      </c>
      <c r="O171" s="66">
        <v>0.0</v>
      </c>
      <c r="P171" s="66">
        <v>0.0</v>
      </c>
      <c r="Q171" s="66">
        <v>0.0</v>
      </c>
      <c r="R171" s="66">
        <v>0.0</v>
      </c>
      <c r="S171" s="66">
        <v>0.0</v>
      </c>
      <c r="T171" s="66">
        <v>0.0</v>
      </c>
      <c r="U171" s="66">
        <v>0.0</v>
      </c>
      <c r="V171" s="66">
        <v>0.0</v>
      </c>
      <c r="W171" s="66">
        <v>0.0</v>
      </c>
      <c r="X171" s="66">
        <v>0.0</v>
      </c>
      <c r="Y171" s="66">
        <v>0.0</v>
      </c>
      <c r="Z171" s="66">
        <v>0.0</v>
      </c>
      <c r="AA171" s="66">
        <v>0.0</v>
      </c>
      <c r="AB171" s="13">
        <f t="shared" si="37"/>
        <v>0</v>
      </c>
      <c r="AC171" s="5"/>
      <c r="AD171" s="5"/>
    </row>
    <row r="172" ht="12.75" customHeight="1">
      <c r="A172" s="18"/>
      <c r="B172" s="49"/>
      <c r="C172" s="50" t="s">
        <v>149</v>
      </c>
      <c r="D172" s="51"/>
      <c r="E172" s="66">
        <v>0.0</v>
      </c>
      <c r="F172" s="66">
        <v>0.0</v>
      </c>
      <c r="G172" s="66">
        <v>0.0</v>
      </c>
      <c r="H172" s="66">
        <v>0.0</v>
      </c>
      <c r="I172" s="66">
        <v>0.0</v>
      </c>
      <c r="J172" s="66">
        <v>0.0</v>
      </c>
      <c r="K172" s="66">
        <v>0.0</v>
      </c>
      <c r="L172" s="66">
        <v>0.0</v>
      </c>
      <c r="M172" s="66">
        <v>0.0</v>
      </c>
      <c r="N172" s="66">
        <v>0.0</v>
      </c>
      <c r="O172" s="66">
        <v>0.0</v>
      </c>
      <c r="P172" s="66">
        <v>0.0</v>
      </c>
      <c r="Q172" s="66">
        <v>0.0</v>
      </c>
      <c r="R172" s="66">
        <v>0.0</v>
      </c>
      <c r="S172" s="66">
        <v>0.0</v>
      </c>
      <c r="T172" s="66">
        <v>0.0</v>
      </c>
      <c r="U172" s="66">
        <v>0.0</v>
      </c>
      <c r="V172" s="66">
        <v>0.0</v>
      </c>
      <c r="W172" s="66">
        <v>0.0</v>
      </c>
      <c r="X172" s="66">
        <v>0.0</v>
      </c>
      <c r="Y172" s="66">
        <v>0.0</v>
      </c>
      <c r="Z172" s="66">
        <v>0.0</v>
      </c>
      <c r="AA172" s="66">
        <v>0.0</v>
      </c>
      <c r="AB172" s="13">
        <f t="shared" si="37"/>
        <v>0</v>
      </c>
      <c r="AC172" s="5"/>
      <c r="AD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AA173" si="38">SUM(E166:E172)</f>
        <v>0</v>
      </c>
      <c r="F173" s="13">
        <f t="shared" si="38"/>
        <v>0</v>
      </c>
      <c r="G173" s="13">
        <f t="shared" si="38"/>
        <v>0</v>
      </c>
      <c r="H173" s="13">
        <f t="shared" si="38"/>
        <v>0</v>
      </c>
      <c r="I173" s="13">
        <f t="shared" si="38"/>
        <v>0</v>
      </c>
      <c r="J173" s="13">
        <f t="shared" si="38"/>
        <v>0</v>
      </c>
      <c r="K173" s="13">
        <f t="shared" si="38"/>
        <v>0</v>
      </c>
      <c r="L173" s="13">
        <f t="shared" si="38"/>
        <v>0</v>
      </c>
      <c r="M173" s="13">
        <f t="shared" si="38"/>
        <v>0</v>
      </c>
      <c r="N173" s="13">
        <f t="shared" si="38"/>
        <v>0</v>
      </c>
      <c r="O173" s="13">
        <f t="shared" si="38"/>
        <v>0</v>
      </c>
      <c r="P173" s="13">
        <f t="shared" si="38"/>
        <v>0</v>
      </c>
      <c r="Q173" s="13">
        <f t="shared" si="38"/>
        <v>1</v>
      </c>
      <c r="R173" s="13">
        <f t="shared" si="38"/>
        <v>1</v>
      </c>
      <c r="S173" s="13">
        <f t="shared" si="38"/>
        <v>0</v>
      </c>
      <c r="T173" s="13">
        <f t="shared" si="38"/>
        <v>0</v>
      </c>
      <c r="U173" s="13">
        <f t="shared" si="38"/>
        <v>0</v>
      </c>
      <c r="V173" s="13">
        <f t="shared" si="38"/>
        <v>0</v>
      </c>
      <c r="W173" s="13">
        <f t="shared" si="38"/>
        <v>0</v>
      </c>
      <c r="X173" s="13">
        <f t="shared" si="38"/>
        <v>0</v>
      </c>
      <c r="Y173" s="13">
        <f t="shared" si="38"/>
        <v>0</v>
      </c>
      <c r="Z173" s="13">
        <f t="shared" si="38"/>
        <v>0</v>
      </c>
      <c r="AA173" s="13">
        <f t="shared" si="38"/>
        <v>0</v>
      </c>
      <c r="AB173" s="13">
        <f t="shared" si="37"/>
        <v>2</v>
      </c>
      <c r="AC173" s="5"/>
      <c r="AD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13"/>
      <c r="AC174" s="5"/>
      <c r="AD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0.0</v>
      </c>
      <c r="F175" s="66">
        <v>0.0</v>
      </c>
      <c r="G175" s="66">
        <v>0.0</v>
      </c>
      <c r="H175" s="66">
        <v>0.0</v>
      </c>
      <c r="I175" s="66">
        <v>1.0</v>
      </c>
      <c r="J175" s="66">
        <v>0.0</v>
      </c>
      <c r="K175" s="66">
        <v>0.0</v>
      </c>
      <c r="L175" s="66">
        <v>1.0</v>
      </c>
      <c r="M175" s="66">
        <v>0.0</v>
      </c>
      <c r="N175" s="66">
        <v>0.0</v>
      </c>
      <c r="O175" s="66">
        <v>1.0</v>
      </c>
      <c r="P175" s="66">
        <v>0.0</v>
      </c>
      <c r="Q175" s="66">
        <v>0.0</v>
      </c>
      <c r="R175" s="66">
        <v>0.0</v>
      </c>
      <c r="S175" s="66">
        <v>0.0</v>
      </c>
      <c r="T175" s="66">
        <v>0.0</v>
      </c>
      <c r="U175" s="66">
        <v>1.0</v>
      </c>
      <c r="V175" s="66">
        <v>2.0</v>
      </c>
      <c r="W175" s="66">
        <v>1.0</v>
      </c>
      <c r="X175" s="66">
        <v>1.0</v>
      </c>
      <c r="Y175" s="66">
        <v>0.0</v>
      </c>
      <c r="Z175" s="66">
        <v>0.0</v>
      </c>
      <c r="AA175" s="66">
        <v>0.0</v>
      </c>
      <c r="AB175" s="13">
        <f t="shared" ref="AB175:AB182" si="39">SUM(E175:AA175)</f>
        <v>8</v>
      </c>
      <c r="AC175" s="5"/>
      <c r="AD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0.0</v>
      </c>
      <c r="F176" s="66">
        <v>0.0</v>
      </c>
      <c r="G176" s="66">
        <v>0.0</v>
      </c>
      <c r="H176" s="66">
        <v>0.0</v>
      </c>
      <c r="I176" s="66">
        <v>0.0</v>
      </c>
      <c r="J176" s="66">
        <v>0.0</v>
      </c>
      <c r="K176" s="66">
        <v>0.0</v>
      </c>
      <c r="L176" s="66">
        <v>0.0</v>
      </c>
      <c r="M176" s="66">
        <v>0.0</v>
      </c>
      <c r="N176" s="66">
        <v>0.0</v>
      </c>
      <c r="O176" s="66">
        <v>0.0</v>
      </c>
      <c r="P176" s="66">
        <v>0.0</v>
      </c>
      <c r="Q176" s="66">
        <v>0.0</v>
      </c>
      <c r="R176" s="66">
        <v>0.0</v>
      </c>
      <c r="S176" s="66">
        <v>0.0</v>
      </c>
      <c r="T176" s="66">
        <v>0.0</v>
      </c>
      <c r="U176" s="66">
        <v>0.0</v>
      </c>
      <c r="V176" s="66">
        <v>0.0</v>
      </c>
      <c r="W176" s="66">
        <v>0.0</v>
      </c>
      <c r="X176" s="66">
        <v>0.0</v>
      </c>
      <c r="Y176" s="66">
        <v>0.0</v>
      </c>
      <c r="Z176" s="66">
        <v>0.0</v>
      </c>
      <c r="AA176" s="66">
        <v>0.0</v>
      </c>
      <c r="AB176" s="13">
        <f t="shared" si="39"/>
        <v>0</v>
      </c>
      <c r="AC176" s="1"/>
      <c r="AD176" s="1"/>
    </row>
    <row r="177" ht="12.75" customHeight="1">
      <c r="A177" s="18"/>
      <c r="B177" s="49"/>
      <c r="C177" s="50" t="s">
        <v>153</v>
      </c>
      <c r="D177" s="51"/>
      <c r="E177" s="66">
        <v>3.0</v>
      </c>
      <c r="F177" s="66">
        <v>3.0</v>
      </c>
      <c r="G177" s="66">
        <v>4.0</v>
      </c>
      <c r="H177" s="66">
        <v>3.0</v>
      </c>
      <c r="I177" s="66">
        <v>4.0</v>
      </c>
      <c r="J177" s="66">
        <v>1.0</v>
      </c>
      <c r="K177" s="66">
        <v>4.0</v>
      </c>
      <c r="L177" s="66">
        <v>4.0</v>
      </c>
      <c r="M177" s="66">
        <v>0.0</v>
      </c>
      <c r="N177" s="66">
        <v>0.0</v>
      </c>
      <c r="O177" s="66">
        <v>6.0</v>
      </c>
      <c r="P177" s="66">
        <v>0.0</v>
      </c>
      <c r="Q177" s="66">
        <v>0.0</v>
      </c>
      <c r="R177" s="66">
        <v>0.0</v>
      </c>
      <c r="S177" s="66">
        <v>0.0</v>
      </c>
      <c r="T177" s="66">
        <v>0.0</v>
      </c>
      <c r="U177" s="66">
        <v>0.0</v>
      </c>
      <c r="V177" s="66">
        <v>3.0</v>
      </c>
      <c r="W177" s="66">
        <v>6.0</v>
      </c>
      <c r="X177" s="66">
        <v>0.0</v>
      </c>
      <c r="Y177" s="66">
        <v>0.0</v>
      </c>
      <c r="Z177" s="66">
        <v>1.0</v>
      </c>
      <c r="AA177" s="66">
        <v>0.0</v>
      </c>
      <c r="AB177" s="13">
        <f t="shared" si="39"/>
        <v>42</v>
      </c>
    </row>
    <row r="178" ht="12.75" customHeight="1">
      <c r="A178" s="18"/>
      <c r="B178" s="49"/>
      <c r="C178" s="50" t="s">
        <v>154</v>
      </c>
      <c r="D178" s="51"/>
      <c r="E178" s="66">
        <v>0.0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0.0</v>
      </c>
      <c r="N178" s="66">
        <v>0.0</v>
      </c>
      <c r="O178" s="66">
        <v>0.0</v>
      </c>
      <c r="P178" s="66">
        <v>0.0</v>
      </c>
      <c r="Q178" s="66">
        <v>0.0</v>
      </c>
      <c r="R178" s="66">
        <v>0.0</v>
      </c>
      <c r="S178" s="66">
        <v>0.0</v>
      </c>
      <c r="T178" s="66">
        <v>0.0</v>
      </c>
      <c r="U178" s="66">
        <v>0.0</v>
      </c>
      <c r="V178" s="66">
        <v>1.0</v>
      </c>
      <c r="W178" s="66">
        <v>0.0</v>
      </c>
      <c r="X178" s="66">
        <v>0.0</v>
      </c>
      <c r="Y178" s="66">
        <v>0.0</v>
      </c>
      <c r="Z178" s="66">
        <v>0.0</v>
      </c>
      <c r="AA178" s="66">
        <v>0.0</v>
      </c>
      <c r="AB178" s="13">
        <f t="shared" si="39"/>
        <v>1</v>
      </c>
      <c r="AC178" s="5"/>
      <c r="AD178" s="5"/>
    </row>
    <row r="179" ht="12.75" customHeight="1">
      <c r="A179" s="18"/>
      <c r="B179" s="49"/>
      <c r="C179" s="50" t="s">
        <v>155</v>
      </c>
      <c r="D179" s="51"/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0.0</v>
      </c>
      <c r="S179" s="66">
        <v>0.0</v>
      </c>
      <c r="T179" s="66">
        <v>0.0</v>
      </c>
      <c r="U179" s="66">
        <v>0.0</v>
      </c>
      <c r="V179" s="66">
        <v>0.0</v>
      </c>
      <c r="W179" s="66">
        <v>0.0</v>
      </c>
      <c r="X179" s="66">
        <v>0.0</v>
      </c>
      <c r="Y179" s="66">
        <v>0.0</v>
      </c>
      <c r="Z179" s="66">
        <v>0.0</v>
      </c>
      <c r="AA179" s="66">
        <v>0.0</v>
      </c>
      <c r="AB179" s="13">
        <f t="shared" si="39"/>
        <v>0</v>
      </c>
      <c r="AC179" s="5"/>
      <c r="AD179" s="5"/>
    </row>
    <row r="180" ht="12.75" customHeight="1">
      <c r="A180" s="18"/>
      <c r="B180" s="49"/>
      <c r="C180" s="50" t="s">
        <v>156</v>
      </c>
      <c r="D180" s="51"/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1.0</v>
      </c>
      <c r="L180" s="66">
        <v>0.0</v>
      </c>
      <c r="M180" s="66">
        <v>0.0</v>
      </c>
      <c r="N180" s="66">
        <v>0.0</v>
      </c>
      <c r="O180" s="66">
        <v>0.0</v>
      </c>
      <c r="P180" s="66">
        <v>0.0</v>
      </c>
      <c r="Q180" s="66">
        <v>0.0</v>
      </c>
      <c r="R180" s="66">
        <v>0.0</v>
      </c>
      <c r="S180" s="66">
        <v>0.0</v>
      </c>
      <c r="T180" s="66">
        <v>0.0</v>
      </c>
      <c r="U180" s="66">
        <v>0.0</v>
      </c>
      <c r="V180" s="66">
        <v>0.0</v>
      </c>
      <c r="W180" s="66">
        <v>0.0</v>
      </c>
      <c r="X180" s="66">
        <v>0.0</v>
      </c>
      <c r="Y180" s="66">
        <v>0.0</v>
      </c>
      <c r="Z180" s="66">
        <v>0.0</v>
      </c>
      <c r="AA180" s="66">
        <v>0.0</v>
      </c>
      <c r="AB180" s="13">
        <f t="shared" si="39"/>
        <v>1</v>
      </c>
      <c r="AC180" s="5"/>
      <c r="AD180" s="5"/>
    </row>
    <row r="181" ht="12.75" customHeight="1">
      <c r="A181" s="18"/>
      <c r="B181" s="49"/>
      <c r="C181" s="50" t="s">
        <v>157</v>
      </c>
      <c r="D181" s="51"/>
      <c r="E181" s="66">
        <v>0.0</v>
      </c>
      <c r="F181" s="66">
        <v>0.0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66">
        <v>0.0</v>
      </c>
      <c r="Q181" s="66">
        <v>0.0</v>
      </c>
      <c r="R181" s="66">
        <v>0.0</v>
      </c>
      <c r="S181" s="66">
        <v>0.0</v>
      </c>
      <c r="T181" s="66">
        <v>0.0</v>
      </c>
      <c r="U181" s="66">
        <v>0.0</v>
      </c>
      <c r="V181" s="66">
        <v>0.0</v>
      </c>
      <c r="W181" s="66">
        <v>0.0</v>
      </c>
      <c r="X181" s="66">
        <v>0.0</v>
      </c>
      <c r="Y181" s="66">
        <v>0.0</v>
      </c>
      <c r="Z181" s="66">
        <v>0.0</v>
      </c>
      <c r="AA181" s="66">
        <v>0.0</v>
      </c>
      <c r="AB181" s="13">
        <f t="shared" si="39"/>
        <v>0</v>
      </c>
      <c r="AC181" s="5"/>
      <c r="AD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AA182" si="40">SUM(E175:E181)</f>
        <v>3</v>
      </c>
      <c r="F182" s="13">
        <f t="shared" si="40"/>
        <v>3</v>
      </c>
      <c r="G182" s="13">
        <f t="shared" si="40"/>
        <v>4</v>
      </c>
      <c r="H182" s="13">
        <f t="shared" si="40"/>
        <v>3</v>
      </c>
      <c r="I182" s="13">
        <f t="shared" si="40"/>
        <v>5</v>
      </c>
      <c r="J182" s="13">
        <f t="shared" si="40"/>
        <v>1</v>
      </c>
      <c r="K182" s="13">
        <f t="shared" si="40"/>
        <v>5</v>
      </c>
      <c r="L182" s="13">
        <f t="shared" si="40"/>
        <v>5</v>
      </c>
      <c r="M182" s="13">
        <f t="shared" si="40"/>
        <v>0</v>
      </c>
      <c r="N182" s="13">
        <f t="shared" si="40"/>
        <v>0</v>
      </c>
      <c r="O182" s="13">
        <f t="shared" si="40"/>
        <v>7</v>
      </c>
      <c r="P182" s="13">
        <f t="shared" si="40"/>
        <v>0</v>
      </c>
      <c r="Q182" s="13">
        <f t="shared" si="40"/>
        <v>0</v>
      </c>
      <c r="R182" s="13">
        <f t="shared" si="40"/>
        <v>0</v>
      </c>
      <c r="S182" s="13">
        <f t="shared" si="40"/>
        <v>0</v>
      </c>
      <c r="T182" s="13">
        <f t="shared" si="40"/>
        <v>0</v>
      </c>
      <c r="U182" s="13">
        <f t="shared" si="40"/>
        <v>1</v>
      </c>
      <c r="V182" s="13">
        <f t="shared" si="40"/>
        <v>6</v>
      </c>
      <c r="W182" s="13">
        <f t="shared" si="40"/>
        <v>7</v>
      </c>
      <c r="X182" s="13">
        <f t="shared" si="40"/>
        <v>1</v>
      </c>
      <c r="Y182" s="13">
        <f t="shared" si="40"/>
        <v>0</v>
      </c>
      <c r="Z182" s="13">
        <f t="shared" si="40"/>
        <v>1</v>
      </c>
      <c r="AA182" s="13">
        <f t="shared" si="40"/>
        <v>0</v>
      </c>
      <c r="AB182" s="13">
        <f t="shared" si="39"/>
        <v>52</v>
      </c>
      <c r="AC182" s="5"/>
      <c r="AD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13"/>
      <c r="AC183" s="5"/>
      <c r="AD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66">
        <v>0.0</v>
      </c>
      <c r="F184" s="66">
        <v>0.0</v>
      </c>
      <c r="G184" s="66">
        <v>0.0</v>
      </c>
      <c r="H184" s="66">
        <v>0.0</v>
      </c>
      <c r="I184" s="66">
        <v>0.0</v>
      </c>
      <c r="J184" s="66">
        <v>0.0</v>
      </c>
      <c r="K184" s="66">
        <v>0.0</v>
      </c>
      <c r="L184" s="66">
        <v>0.0</v>
      </c>
      <c r="M184" s="66">
        <v>0.0</v>
      </c>
      <c r="N184" s="66">
        <v>1.0</v>
      </c>
      <c r="O184" s="66">
        <v>0.0</v>
      </c>
      <c r="P184" s="66">
        <v>0.0</v>
      </c>
      <c r="Q184" s="66">
        <v>0.0</v>
      </c>
      <c r="R184" s="66">
        <v>0.0</v>
      </c>
      <c r="S184" s="66">
        <v>0.0</v>
      </c>
      <c r="T184" s="66">
        <v>0.0</v>
      </c>
      <c r="U184" s="66">
        <v>0.0</v>
      </c>
      <c r="V184" s="66">
        <v>1.0</v>
      </c>
      <c r="W184" s="66">
        <v>0.0</v>
      </c>
      <c r="X184" s="66">
        <v>0.0</v>
      </c>
      <c r="Y184" s="66">
        <v>0.0</v>
      </c>
      <c r="Z184" s="66">
        <v>0.0</v>
      </c>
      <c r="AA184" s="66">
        <v>0.0</v>
      </c>
      <c r="AB184" s="13">
        <f t="shared" ref="AB184:AB187" si="41">SUM(E184:AA184)</f>
        <v>2</v>
      </c>
      <c r="AC184" s="5"/>
      <c r="AD184" s="5"/>
    </row>
    <row r="185" ht="12.75" customHeight="1">
      <c r="A185" s="30" t="s">
        <v>39</v>
      </c>
      <c r="B185" s="49"/>
      <c r="C185" s="50" t="s">
        <v>160</v>
      </c>
      <c r="D185" s="51"/>
      <c r="E185" s="66">
        <v>1.0</v>
      </c>
      <c r="F185" s="66">
        <v>0.0</v>
      </c>
      <c r="G185" s="66">
        <v>0.0</v>
      </c>
      <c r="H185" s="66">
        <v>0.0</v>
      </c>
      <c r="I185" s="66">
        <v>0.0</v>
      </c>
      <c r="J185" s="66">
        <v>0.0</v>
      </c>
      <c r="K185" s="66">
        <v>0.0</v>
      </c>
      <c r="L185" s="66">
        <v>0.0</v>
      </c>
      <c r="M185" s="66">
        <v>0.0</v>
      </c>
      <c r="N185" s="66">
        <v>0.0</v>
      </c>
      <c r="O185" s="66">
        <v>0.0</v>
      </c>
      <c r="P185" s="66">
        <v>0.0</v>
      </c>
      <c r="Q185" s="66">
        <v>0.0</v>
      </c>
      <c r="R185" s="66">
        <v>0.0</v>
      </c>
      <c r="S185" s="66">
        <v>0.0</v>
      </c>
      <c r="T185" s="66">
        <v>0.0</v>
      </c>
      <c r="U185" s="66">
        <v>0.0</v>
      </c>
      <c r="V185" s="66">
        <v>0.0</v>
      </c>
      <c r="W185" s="66">
        <v>0.0</v>
      </c>
      <c r="X185" s="66">
        <v>0.0</v>
      </c>
      <c r="Y185" s="66">
        <v>0.0</v>
      </c>
      <c r="Z185" s="66">
        <v>0.0</v>
      </c>
      <c r="AA185" s="66">
        <v>0.0</v>
      </c>
      <c r="AB185" s="13">
        <f t="shared" si="41"/>
        <v>1</v>
      </c>
      <c r="AC185" s="5"/>
      <c r="AD185" s="5"/>
    </row>
    <row r="186" ht="12.75" customHeight="1">
      <c r="A186" s="19" t="s">
        <v>15</v>
      </c>
      <c r="B186" s="47" t="s">
        <v>46</v>
      </c>
      <c r="C186" s="15"/>
      <c r="D186" s="1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19"/>
      <c r="U186" s="19"/>
      <c r="V186" s="19"/>
      <c r="W186" s="19"/>
      <c r="X186" s="19"/>
      <c r="Y186" s="19"/>
      <c r="Z186" s="19"/>
      <c r="AA186" s="19"/>
      <c r="AB186" s="13">
        <f t="shared" si="41"/>
        <v>0</v>
      </c>
      <c r="AC186" s="5"/>
      <c r="AD186" s="5"/>
    </row>
    <row r="187" ht="12.75" customHeight="1">
      <c r="A187" s="24"/>
      <c r="B187" s="15"/>
      <c r="C187" s="15"/>
      <c r="D187" s="16"/>
      <c r="E187" s="13">
        <f t="shared" ref="E187:AA187" si="42">SUM(E177:E184)</f>
        <v>6</v>
      </c>
      <c r="F187" s="13">
        <f t="shared" si="42"/>
        <v>6</v>
      </c>
      <c r="G187" s="13">
        <f t="shared" si="42"/>
        <v>8</v>
      </c>
      <c r="H187" s="13">
        <f t="shared" si="42"/>
        <v>6</v>
      </c>
      <c r="I187" s="13">
        <f t="shared" si="42"/>
        <v>9</v>
      </c>
      <c r="J187" s="13">
        <f t="shared" si="42"/>
        <v>2</v>
      </c>
      <c r="K187" s="13">
        <f t="shared" si="42"/>
        <v>10</v>
      </c>
      <c r="L187" s="13">
        <f t="shared" si="42"/>
        <v>9</v>
      </c>
      <c r="M187" s="13">
        <f t="shared" si="42"/>
        <v>0</v>
      </c>
      <c r="N187" s="13">
        <f t="shared" si="42"/>
        <v>1</v>
      </c>
      <c r="O187" s="13">
        <f t="shared" si="42"/>
        <v>13</v>
      </c>
      <c r="P187" s="13">
        <f t="shared" si="42"/>
        <v>0</v>
      </c>
      <c r="Q187" s="13">
        <f t="shared" si="42"/>
        <v>0</v>
      </c>
      <c r="R187" s="13">
        <f t="shared" si="42"/>
        <v>0</v>
      </c>
      <c r="S187" s="13">
        <f t="shared" si="42"/>
        <v>0</v>
      </c>
      <c r="T187" s="13">
        <f t="shared" si="42"/>
        <v>0</v>
      </c>
      <c r="U187" s="13">
        <f t="shared" si="42"/>
        <v>1</v>
      </c>
      <c r="V187" s="13">
        <f t="shared" si="42"/>
        <v>11</v>
      </c>
      <c r="W187" s="13">
        <f t="shared" si="42"/>
        <v>13</v>
      </c>
      <c r="X187" s="13">
        <f t="shared" si="42"/>
        <v>1</v>
      </c>
      <c r="Y187" s="13">
        <f t="shared" si="42"/>
        <v>0</v>
      </c>
      <c r="Z187" s="13">
        <f t="shared" si="42"/>
        <v>2</v>
      </c>
      <c r="AA187" s="13">
        <f t="shared" si="42"/>
        <v>0</v>
      </c>
      <c r="AB187" s="13">
        <f t="shared" si="41"/>
        <v>98</v>
      </c>
      <c r="AC187" s="1"/>
      <c r="AD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13"/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13"/>
      <c r="AC189" s="5"/>
      <c r="AD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AA190" si="43">E187+E182+E173+E164+E159+E150+E141+E132+E128+E119+E110+E101+E92+E88+E79+E70+E61+E52</f>
        <v>227</v>
      </c>
      <c r="F190" s="19">
        <f t="shared" si="43"/>
        <v>200</v>
      </c>
      <c r="G190" s="19">
        <f t="shared" si="43"/>
        <v>201</v>
      </c>
      <c r="H190" s="19">
        <f t="shared" si="43"/>
        <v>189</v>
      </c>
      <c r="I190" s="19">
        <f t="shared" si="43"/>
        <v>213</v>
      </c>
      <c r="J190" s="19">
        <f t="shared" si="43"/>
        <v>202</v>
      </c>
      <c r="K190" s="19">
        <f t="shared" si="43"/>
        <v>202</v>
      </c>
      <c r="L190" s="19">
        <f t="shared" si="43"/>
        <v>186</v>
      </c>
      <c r="M190" s="19">
        <f t="shared" si="43"/>
        <v>202</v>
      </c>
      <c r="N190" s="19">
        <f t="shared" si="43"/>
        <v>200</v>
      </c>
      <c r="O190" s="19">
        <f t="shared" si="43"/>
        <v>232</v>
      </c>
      <c r="P190" s="19">
        <f t="shared" si="43"/>
        <v>193</v>
      </c>
      <c r="Q190" s="19">
        <f t="shared" si="43"/>
        <v>194</v>
      </c>
      <c r="R190" s="19">
        <f t="shared" si="43"/>
        <v>140</v>
      </c>
      <c r="S190" s="19">
        <f t="shared" si="43"/>
        <v>135</v>
      </c>
      <c r="T190" s="19">
        <f t="shared" si="43"/>
        <v>128</v>
      </c>
      <c r="U190" s="19">
        <f t="shared" si="43"/>
        <v>184</v>
      </c>
      <c r="V190" s="19">
        <f t="shared" si="43"/>
        <v>203</v>
      </c>
      <c r="W190" s="19">
        <f t="shared" si="43"/>
        <v>198</v>
      </c>
      <c r="X190" s="19">
        <f t="shared" si="43"/>
        <v>190</v>
      </c>
      <c r="Y190" s="19">
        <f t="shared" si="43"/>
        <v>190</v>
      </c>
      <c r="Z190" s="19">
        <f t="shared" si="43"/>
        <v>193</v>
      </c>
      <c r="AA190" s="19">
        <f t="shared" si="43"/>
        <v>171</v>
      </c>
      <c r="AB190" s="13">
        <f t="shared" ref="AB190:AB192" si="44">SUM(E190:AA190)</f>
        <v>4373</v>
      </c>
      <c r="AC190" s="5"/>
      <c r="AD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3.0</v>
      </c>
      <c r="F191" s="66">
        <v>9.0</v>
      </c>
      <c r="G191" s="66">
        <v>12.0</v>
      </c>
      <c r="H191" s="66">
        <v>2.0</v>
      </c>
      <c r="I191" s="66">
        <v>12.0</v>
      </c>
      <c r="J191" s="66">
        <v>13.0</v>
      </c>
      <c r="K191" s="66">
        <v>13.0</v>
      </c>
      <c r="L191" s="66">
        <v>7.0</v>
      </c>
      <c r="M191" s="66">
        <v>14.0</v>
      </c>
      <c r="N191" s="66">
        <v>5.0</v>
      </c>
      <c r="O191" s="66">
        <v>2.0</v>
      </c>
      <c r="P191" s="66">
        <v>17.0</v>
      </c>
      <c r="Q191" s="66">
        <v>4.0</v>
      </c>
      <c r="R191" s="66">
        <v>14.0</v>
      </c>
      <c r="S191" s="66">
        <v>9.0</v>
      </c>
      <c r="T191" s="66">
        <v>10.0</v>
      </c>
      <c r="U191" s="66">
        <v>15.0</v>
      </c>
      <c r="V191" s="66">
        <v>17.0</v>
      </c>
      <c r="W191" s="66">
        <v>16.0</v>
      </c>
      <c r="X191" s="66">
        <v>13.0</v>
      </c>
      <c r="Y191" s="66">
        <v>6.0</v>
      </c>
      <c r="Z191" s="66">
        <v>17.0</v>
      </c>
      <c r="AA191" s="66">
        <v>19.0</v>
      </c>
      <c r="AB191" s="13">
        <f t="shared" si="44"/>
        <v>249</v>
      </c>
      <c r="AC191" s="5"/>
      <c r="AD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AA192" si="45">E190+E191</f>
        <v>230</v>
      </c>
      <c r="F192" s="19">
        <f t="shared" si="45"/>
        <v>209</v>
      </c>
      <c r="G192" s="19">
        <f t="shared" si="45"/>
        <v>213</v>
      </c>
      <c r="H192" s="19">
        <f t="shared" si="45"/>
        <v>191</v>
      </c>
      <c r="I192" s="19">
        <f t="shared" si="45"/>
        <v>225</v>
      </c>
      <c r="J192" s="19">
        <f t="shared" si="45"/>
        <v>215</v>
      </c>
      <c r="K192" s="19">
        <f t="shared" si="45"/>
        <v>215</v>
      </c>
      <c r="L192" s="19">
        <f t="shared" si="45"/>
        <v>193</v>
      </c>
      <c r="M192" s="19">
        <f t="shared" si="45"/>
        <v>216</v>
      </c>
      <c r="N192" s="19">
        <f t="shared" si="45"/>
        <v>205</v>
      </c>
      <c r="O192" s="19">
        <f t="shared" si="45"/>
        <v>234</v>
      </c>
      <c r="P192" s="19">
        <f t="shared" si="45"/>
        <v>210</v>
      </c>
      <c r="Q192" s="19">
        <f t="shared" si="45"/>
        <v>198</v>
      </c>
      <c r="R192" s="19">
        <f t="shared" si="45"/>
        <v>154</v>
      </c>
      <c r="S192" s="19">
        <f t="shared" si="45"/>
        <v>144</v>
      </c>
      <c r="T192" s="19">
        <f t="shared" si="45"/>
        <v>138</v>
      </c>
      <c r="U192" s="19">
        <f t="shared" si="45"/>
        <v>199</v>
      </c>
      <c r="V192" s="19">
        <f t="shared" si="45"/>
        <v>220</v>
      </c>
      <c r="W192" s="19">
        <f t="shared" si="45"/>
        <v>214</v>
      </c>
      <c r="X192" s="19">
        <f t="shared" si="45"/>
        <v>203</v>
      </c>
      <c r="Y192" s="19">
        <f t="shared" si="45"/>
        <v>196</v>
      </c>
      <c r="Z192" s="19">
        <f t="shared" si="45"/>
        <v>210</v>
      </c>
      <c r="AA192" s="19">
        <f t="shared" si="45"/>
        <v>190</v>
      </c>
      <c r="AB192" s="13">
        <f t="shared" si="44"/>
        <v>4622</v>
      </c>
      <c r="AC192" s="5"/>
      <c r="AD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AA12"/>
    <mergeCell ref="AB12:AB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34:T34">
    <cfRule type="expression" dxfId="1" priority="1">
      <formula>E34&lt;&gt;E64</formula>
    </cfRule>
  </conditionalFormatting>
  <conditionalFormatting sqref="E14:AA15">
    <cfRule type="containsBlanks" dxfId="0" priority="2">
      <formula>LEN(TRIM(E14))=0</formula>
    </cfRule>
  </conditionalFormatting>
  <conditionalFormatting sqref="E19:AA20">
    <cfRule type="containsBlanks" dxfId="0" priority="3">
      <formula>LEN(TRIM(E19))=0</formula>
    </cfRule>
  </conditionalFormatting>
  <conditionalFormatting sqref="E22:AA23 E25:AA26 E33:AA33 E35:AA35 E39:AA40">
    <cfRule type="containsBlanks" dxfId="0" priority="4">
      <formula>LEN(TRIM(E22))=0</formula>
    </cfRule>
  </conditionalFormatting>
  <conditionalFormatting sqref="E30:AA30">
    <cfRule type="expression" dxfId="1" priority="5">
      <formula>E30&lt;&gt;E47</formula>
    </cfRule>
  </conditionalFormatting>
  <conditionalFormatting sqref="E30:AA30">
    <cfRule type="expression" dxfId="1" priority="6">
      <formula>E30&lt;&gt;E34</formula>
    </cfRule>
  </conditionalFormatting>
  <conditionalFormatting sqref="E34:AA34">
    <cfRule type="expression" dxfId="2" priority="7">
      <formula>E30&lt;&gt;E34</formula>
    </cfRule>
  </conditionalFormatting>
  <conditionalFormatting sqref="E34:AA34">
    <cfRule type="expression" dxfId="3" priority="8">
      <formula>E30=E34</formula>
    </cfRule>
  </conditionalFormatting>
  <conditionalFormatting sqref="E34:AA34">
    <cfRule type="expression" dxfId="1" priority="9">
      <formula>E34&lt;&gt;E30</formula>
    </cfRule>
  </conditionalFormatting>
  <conditionalFormatting sqref="E45:AA52 E54:AA61">
    <cfRule type="containsBlanks" dxfId="0" priority="10">
      <formula>LEN(TRIM(E45))=0</formula>
    </cfRule>
  </conditionalFormatting>
  <conditionalFormatting sqref="E90:AA90">
    <cfRule type="containsBlanks" dxfId="0" priority="11">
      <formula>LEN(TRIM(E90))=0</formula>
    </cfRule>
  </conditionalFormatting>
  <conditionalFormatting sqref="E130:AA132">
    <cfRule type="containsBlanks" dxfId="0" priority="12">
      <formula>LEN(TRIM(E130))=0</formula>
    </cfRule>
  </conditionalFormatting>
  <conditionalFormatting sqref="E161:AA162">
    <cfRule type="containsBlanks" dxfId="0" priority="13">
      <formula>LEN(TRIM(E161))=0</formula>
    </cfRule>
  </conditionalFormatting>
  <conditionalFormatting sqref="E184:AA186">
    <cfRule type="containsBlanks" dxfId="0" priority="14">
      <formula>LEN(TRIM(E184))=0</formula>
    </cfRule>
  </conditionalFormatting>
  <conditionalFormatting sqref="E190:AA192">
    <cfRule type="containsBlanks" dxfId="0" priority="15">
      <formula>LEN(TRIM(E190))=0</formula>
    </cfRule>
  </conditionalFormatting>
  <conditionalFormatting sqref="U34:AA34">
    <cfRule type="expression" dxfId="1" priority="16">
      <formula>U34&lt;&gt;U47</formula>
    </cfRule>
  </conditionalFormatting>
  <conditionalFormatting sqref="E63:AA70">
    <cfRule type="containsBlanks" dxfId="0" priority="17">
      <formula>LEN(TRIM(E63))=0</formula>
    </cfRule>
  </conditionalFormatting>
  <conditionalFormatting sqref="E72:AA79">
    <cfRule type="containsBlanks" dxfId="0" priority="18">
      <formula>LEN(TRIM(E72))=0</formula>
    </cfRule>
  </conditionalFormatting>
  <conditionalFormatting sqref="E81:AA88">
    <cfRule type="containsBlanks" dxfId="0" priority="19">
      <formula>LEN(TRIM(E81))=0</formula>
    </cfRule>
  </conditionalFormatting>
  <conditionalFormatting sqref="E94:AA101">
    <cfRule type="containsBlanks" dxfId="0" priority="20">
      <formula>LEN(TRIM(E94))=0</formula>
    </cfRule>
  </conditionalFormatting>
  <conditionalFormatting sqref="E103:AA110">
    <cfRule type="containsBlanks" dxfId="0" priority="21">
      <formula>LEN(TRIM(E103))=0</formula>
    </cfRule>
  </conditionalFormatting>
  <conditionalFormatting sqref="E112:AA119">
    <cfRule type="containsBlanks" dxfId="0" priority="22">
      <formula>LEN(TRIM(E112))=0</formula>
    </cfRule>
  </conditionalFormatting>
  <conditionalFormatting sqref="E121:AA128">
    <cfRule type="containsBlanks" dxfId="0" priority="23">
      <formula>LEN(TRIM(E121))=0</formula>
    </cfRule>
  </conditionalFormatting>
  <conditionalFormatting sqref="E134:AA141">
    <cfRule type="containsBlanks" dxfId="0" priority="24">
      <formula>LEN(TRIM(E134))=0</formula>
    </cfRule>
  </conditionalFormatting>
  <conditionalFormatting sqref="E143:AA150">
    <cfRule type="containsBlanks" dxfId="0" priority="25">
      <formula>LEN(TRIM(E143))=0</formula>
    </cfRule>
  </conditionalFormatting>
  <conditionalFormatting sqref="E152:AA159">
    <cfRule type="containsBlanks" dxfId="0" priority="26">
      <formula>LEN(TRIM(E152))=0</formula>
    </cfRule>
  </conditionalFormatting>
  <conditionalFormatting sqref="E166:AA173">
    <cfRule type="containsBlanks" dxfId="0" priority="27">
      <formula>LEN(TRIM(E166))=0</formula>
    </cfRule>
  </conditionalFormatting>
  <conditionalFormatting sqref="E175:AA182">
    <cfRule type="containsBlanks" dxfId="0" priority="28">
      <formula>LEN(TRIM(E175))=0</formula>
    </cfRule>
  </conditionalFormatting>
  <conditionalFormatting sqref="E91:AA91">
    <cfRule type="containsBlanks" dxfId="0" priority="29">
      <formula>LEN(TRIM(E91))=0</formula>
    </cfRule>
  </conditionalFormatting>
  <conditionalFormatting sqref="E163:AA163">
    <cfRule type="containsBlanks" dxfId="0" priority="30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20" width="8.71"/>
    <col customWidth="1" min="21" max="21" width="13.29"/>
    <col customWidth="1" min="22" max="26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1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13" t="s">
        <v>182</v>
      </c>
      <c r="Q13" s="13" t="s">
        <v>183</v>
      </c>
      <c r="R13" s="13" t="s">
        <v>184</v>
      </c>
      <c r="S13" s="13" t="s">
        <v>185</v>
      </c>
      <c r="T13" s="13" t="s">
        <v>186</v>
      </c>
      <c r="U13" s="36"/>
    </row>
    <row r="14" ht="12.75" customHeight="1">
      <c r="A14" s="18"/>
      <c r="B14" s="22" t="s">
        <v>11</v>
      </c>
      <c r="C14" s="23"/>
      <c r="D14" s="19" t="s">
        <v>12</v>
      </c>
      <c r="E14" s="66">
        <v>131.0</v>
      </c>
      <c r="F14" s="66">
        <v>147.0</v>
      </c>
      <c r="G14" s="66">
        <v>117.0</v>
      </c>
      <c r="H14" s="66">
        <v>106.0</v>
      </c>
      <c r="I14" s="66">
        <v>134.0</v>
      </c>
      <c r="J14" s="66">
        <v>135.0</v>
      </c>
      <c r="K14" s="66">
        <v>123.0</v>
      </c>
      <c r="L14" s="66">
        <v>110.0</v>
      </c>
      <c r="M14" s="66">
        <v>101.0</v>
      </c>
      <c r="N14" s="66">
        <v>126.0</v>
      </c>
      <c r="O14" s="66">
        <v>86.0</v>
      </c>
      <c r="P14" s="66">
        <v>122.0</v>
      </c>
      <c r="Q14" s="66">
        <v>144.0</v>
      </c>
      <c r="R14" s="66">
        <v>131.0</v>
      </c>
      <c r="S14" s="66">
        <v>112.0</v>
      </c>
      <c r="T14" s="66">
        <v>143.0</v>
      </c>
      <c r="U14" s="13">
        <f t="shared" ref="U14:U16" si="1">SUM(E14:T14)</f>
        <v>1968</v>
      </c>
    </row>
    <row r="15" ht="12.75" customHeight="1">
      <c r="A15" s="18"/>
      <c r="B15" s="26"/>
      <c r="C15" s="27"/>
      <c r="D15" s="19" t="s">
        <v>13</v>
      </c>
      <c r="E15" s="66">
        <v>131.0</v>
      </c>
      <c r="F15" s="66">
        <v>139.0</v>
      </c>
      <c r="G15" s="66">
        <v>132.0</v>
      </c>
      <c r="H15" s="66">
        <v>111.0</v>
      </c>
      <c r="I15" s="66">
        <v>139.0</v>
      </c>
      <c r="J15" s="66">
        <v>140.0</v>
      </c>
      <c r="K15" s="66">
        <v>143.0</v>
      </c>
      <c r="L15" s="66">
        <v>118.0</v>
      </c>
      <c r="M15" s="66">
        <v>116.0</v>
      </c>
      <c r="N15" s="66">
        <v>139.0</v>
      </c>
      <c r="O15" s="66">
        <v>95.0</v>
      </c>
      <c r="P15" s="66">
        <v>114.0</v>
      </c>
      <c r="Q15" s="66">
        <v>144.0</v>
      </c>
      <c r="R15" s="66">
        <v>141.0</v>
      </c>
      <c r="S15" s="66">
        <v>107.0</v>
      </c>
      <c r="T15" s="66">
        <v>145.0</v>
      </c>
      <c r="U15" s="13">
        <f t="shared" si="1"/>
        <v>2054</v>
      </c>
    </row>
    <row r="16" ht="12.75" customHeight="1">
      <c r="A16" s="25"/>
      <c r="B16" s="21"/>
      <c r="C16" s="28"/>
      <c r="D16" s="13" t="s">
        <v>14</v>
      </c>
      <c r="E16" s="13">
        <f t="shared" ref="E16:T16" si="2">SUM(E14:E15)</f>
        <v>262</v>
      </c>
      <c r="F16" s="13">
        <f t="shared" si="2"/>
        <v>286</v>
      </c>
      <c r="G16" s="13">
        <f t="shared" si="2"/>
        <v>249</v>
      </c>
      <c r="H16" s="13">
        <f t="shared" si="2"/>
        <v>217</v>
      </c>
      <c r="I16" s="13">
        <f t="shared" si="2"/>
        <v>273</v>
      </c>
      <c r="J16" s="13">
        <f t="shared" si="2"/>
        <v>275</v>
      </c>
      <c r="K16" s="13">
        <f t="shared" si="2"/>
        <v>266</v>
      </c>
      <c r="L16" s="13">
        <f t="shared" si="2"/>
        <v>228</v>
      </c>
      <c r="M16" s="13">
        <f t="shared" si="2"/>
        <v>217</v>
      </c>
      <c r="N16" s="13">
        <f t="shared" si="2"/>
        <v>265</v>
      </c>
      <c r="O16" s="13">
        <f t="shared" si="2"/>
        <v>181</v>
      </c>
      <c r="P16" s="13">
        <f t="shared" si="2"/>
        <v>236</v>
      </c>
      <c r="Q16" s="13">
        <f t="shared" si="2"/>
        <v>288</v>
      </c>
      <c r="R16" s="13">
        <f t="shared" si="2"/>
        <v>272</v>
      </c>
      <c r="S16" s="13">
        <f t="shared" si="2"/>
        <v>219</v>
      </c>
      <c r="T16" s="13">
        <f t="shared" si="2"/>
        <v>288</v>
      </c>
      <c r="U16" s="13">
        <f t="shared" si="1"/>
        <v>4022</v>
      </c>
    </row>
    <row r="17" ht="12.75" customHeight="1">
      <c r="A17" s="24"/>
      <c r="B17" s="15"/>
      <c r="C17" s="15"/>
      <c r="D17" s="16"/>
      <c r="E17" s="19"/>
      <c r="F17" s="19"/>
      <c r="G17" s="19"/>
      <c r="H17" s="19"/>
      <c r="I17" s="19"/>
      <c r="J17" s="19"/>
      <c r="K17" s="19"/>
      <c r="L17" s="19"/>
      <c r="M17" s="19"/>
      <c r="N17" s="67"/>
      <c r="O17" s="67"/>
      <c r="P17" s="67"/>
      <c r="Q17" s="67"/>
      <c r="R17" s="67"/>
      <c r="S17" s="67"/>
      <c r="T17" s="67"/>
      <c r="U17" s="68"/>
    </row>
    <row r="18" ht="12.75" customHeight="1">
      <c r="A18" s="30" t="s">
        <v>15</v>
      </c>
      <c r="B18" s="20" t="s">
        <v>16</v>
      </c>
      <c r="C18" s="15"/>
      <c r="D18" s="16"/>
      <c r="E18" s="19"/>
      <c r="F18" s="19"/>
      <c r="G18" s="19"/>
      <c r="H18" s="19"/>
      <c r="I18" s="19"/>
      <c r="J18" s="19"/>
      <c r="K18" s="19"/>
      <c r="L18" s="19"/>
      <c r="M18" s="19"/>
      <c r="N18" s="67"/>
      <c r="O18" s="67"/>
      <c r="P18" s="67"/>
      <c r="Q18" s="67"/>
      <c r="R18" s="67"/>
      <c r="S18" s="67"/>
      <c r="T18" s="67"/>
      <c r="U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66">
        <v>101.0</v>
      </c>
      <c r="F19" s="66">
        <v>117.0</v>
      </c>
      <c r="G19" s="66">
        <v>86.0</v>
      </c>
      <c r="H19" s="66">
        <v>84.0</v>
      </c>
      <c r="I19" s="66">
        <v>107.0</v>
      </c>
      <c r="J19" s="66">
        <v>108.0</v>
      </c>
      <c r="K19" s="66">
        <v>94.0</v>
      </c>
      <c r="L19" s="66">
        <v>77.0</v>
      </c>
      <c r="M19" s="66">
        <v>87.0</v>
      </c>
      <c r="N19" s="66">
        <v>98.0</v>
      </c>
      <c r="O19" s="66">
        <v>62.0</v>
      </c>
      <c r="P19" s="66">
        <v>92.0</v>
      </c>
      <c r="Q19" s="66">
        <v>106.0</v>
      </c>
      <c r="R19" s="66">
        <v>93.0</v>
      </c>
      <c r="S19" s="66">
        <v>84.0</v>
      </c>
      <c r="T19" s="66">
        <v>114.0</v>
      </c>
      <c r="U19" s="13">
        <f t="shared" ref="U19:U30" si="3">SUM(E19:T19)</f>
        <v>1510</v>
      </c>
    </row>
    <row r="20" ht="12.75" customHeight="1">
      <c r="A20" s="33"/>
      <c r="B20" s="27"/>
      <c r="C20" s="34"/>
      <c r="D20" s="19" t="s">
        <v>13</v>
      </c>
      <c r="E20" s="66">
        <v>116.0</v>
      </c>
      <c r="F20" s="66">
        <v>122.0</v>
      </c>
      <c r="G20" s="66">
        <v>109.0</v>
      </c>
      <c r="H20" s="66">
        <v>91.0</v>
      </c>
      <c r="I20" s="66">
        <v>112.0</v>
      </c>
      <c r="J20" s="66">
        <v>110.0</v>
      </c>
      <c r="K20" s="66">
        <v>118.0</v>
      </c>
      <c r="L20" s="66">
        <v>89.0</v>
      </c>
      <c r="M20" s="66">
        <v>99.0</v>
      </c>
      <c r="N20" s="66">
        <v>115.0</v>
      </c>
      <c r="O20" s="66">
        <v>79.0</v>
      </c>
      <c r="P20" s="66">
        <v>102.0</v>
      </c>
      <c r="Q20" s="66">
        <v>108.0</v>
      </c>
      <c r="R20" s="66">
        <v>97.0</v>
      </c>
      <c r="S20" s="66">
        <v>90.0</v>
      </c>
      <c r="T20" s="66">
        <v>125.0</v>
      </c>
      <c r="U20" s="13">
        <f t="shared" si="3"/>
        <v>1682</v>
      </c>
    </row>
    <row r="21" ht="12.75" customHeight="1">
      <c r="A21" s="35"/>
      <c r="B21" s="28"/>
      <c r="C21" s="36"/>
      <c r="D21" s="13" t="s">
        <v>14</v>
      </c>
      <c r="E21" s="69">
        <v>217.0</v>
      </c>
      <c r="F21" s="69">
        <v>239.0</v>
      </c>
      <c r="G21" s="69">
        <v>195.0</v>
      </c>
      <c r="H21" s="69">
        <v>175.0</v>
      </c>
      <c r="I21" s="69">
        <v>219.0</v>
      </c>
      <c r="J21" s="69">
        <v>218.0</v>
      </c>
      <c r="K21" s="69">
        <v>212.0</v>
      </c>
      <c r="L21" s="69">
        <v>166.0</v>
      </c>
      <c r="M21" s="69">
        <v>186.0</v>
      </c>
      <c r="N21" s="69">
        <v>213.0</v>
      </c>
      <c r="O21" s="69">
        <v>141.0</v>
      </c>
      <c r="P21" s="69">
        <v>194.0</v>
      </c>
      <c r="Q21" s="69">
        <v>214.0</v>
      </c>
      <c r="R21" s="69">
        <v>190.0</v>
      </c>
      <c r="S21" s="69">
        <v>174.0</v>
      </c>
      <c r="T21" s="13">
        <f>SUM(T19:T20)</f>
        <v>239</v>
      </c>
      <c r="U21" s="13">
        <f t="shared" si="3"/>
        <v>3192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66">
        <v>0.0</v>
      </c>
      <c r="F22" s="66">
        <v>0.0</v>
      </c>
      <c r="G22" s="66">
        <v>0.0</v>
      </c>
      <c r="H22" s="66">
        <v>0.0</v>
      </c>
      <c r="I22" s="66">
        <v>0.0</v>
      </c>
      <c r="J22" s="66">
        <v>0.0</v>
      </c>
      <c r="K22" s="66">
        <v>0.0</v>
      </c>
      <c r="L22" s="66">
        <v>0.0</v>
      </c>
      <c r="M22" s="66">
        <v>0.0</v>
      </c>
      <c r="N22" s="66">
        <v>0.0</v>
      </c>
      <c r="O22" s="66">
        <v>0.0</v>
      </c>
      <c r="P22" s="66">
        <v>0.0</v>
      </c>
      <c r="Q22" s="66">
        <v>0.0</v>
      </c>
      <c r="R22" s="66">
        <v>0.0</v>
      </c>
      <c r="S22" s="66">
        <v>0.0</v>
      </c>
      <c r="T22" s="66">
        <v>0.0</v>
      </c>
      <c r="U22" s="13">
        <f t="shared" si="3"/>
        <v>0</v>
      </c>
    </row>
    <row r="23" ht="12.75" customHeight="1">
      <c r="A23" s="33"/>
      <c r="B23" s="27"/>
      <c r="C23" s="34"/>
      <c r="D23" s="19" t="s">
        <v>13</v>
      </c>
      <c r="E23" s="66">
        <v>0.0</v>
      </c>
      <c r="F23" s="66">
        <v>0.0</v>
      </c>
      <c r="G23" s="66">
        <v>0.0</v>
      </c>
      <c r="H23" s="66">
        <v>0.0</v>
      </c>
      <c r="I23" s="66">
        <v>0.0</v>
      </c>
      <c r="J23" s="66">
        <v>0.0</v>
      </c>
      <c r="K23" s="66">
        <v>0.0</v>
      </c>
      <c r="L23" s="66">
        <v>0.0</v>
      </c>
      <c r="M23" s="66">
        <v>0.0</v>
      </c>
      <c r="N23" s="66">
        <v>0.0</v>
      </c>
      <c r="O23" s="66">
        <v>0.0</v>
      </c>
      <c r="P23" s="66">
        <v>0.0</v>
      </c>
      <c r="Q23" s="66">
        <v>0.0</v>
      </c>
      <c r="R23" s="66">
        <v>0.0</v>
      </c>
      <c r="S23" s="66">
        <v>0.0</v>
      </c>
      <c r="T23" s="66">
        <v>0.0</v>
      </c>
      <c r="U23" s="13">
        <f t="shared" si="3"/>
        <v>0</v>
      </c>
    </row>
    <row r="24" ht="12.75" customHeight="1">
      <c r="A24" s="35"/>
      <c r="B24" s="28"/>
      <c r="C24" s="36"/>
      <c r="D24" s="13" t="s">
        <v>14</v>
      </c>
      <c r="E24" s="69">
        <v>0.0</v>
      </c>
      <c r="F24" s="69">
        <v>0.0</v>
      </c>
      <c r="G24" s="69">
        <v>0.0</v>
      </c>
      <c r="H24" s="69">
        <v>0.0</v>
      </c>
      <c r="I24" s="69">
        <v>0.0</v>
      </c>
      <c r="J24" s="69">
        <v>0.0</v>
      </c>
      <c r="K24" s="69">
        <v>0.0</v>
      </c>
      <c r="L24" s="69">
        <v>0.0</v>
      </c>
      <c r="M24" s="69">
        <v>0.0</v>
      </c>
      <c r="N24" s="69">
        <v>0.0</v>
      </c>
      <c r="O24" s="69">
        <v>0.0</v>
      </c>
      <c r="P24" s="69">
        <v>0.0</v>
      </c>
      <c r="Q24" s="69">
        <v>0.0</v>
      </c>
      <c r="R24" s="69">
        <v>0.0</v>
      </c>
      <c r="S24" s="69">
        <v>0.0</v>
      </c>
      <c r="T24" s="13">
        <f>SUM(T22:T23)</f>
        <v>0</v>
      </c>
      <c r="U24" s="13">
        <f t="shared" si="3"/>
        <v>0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66">
        <v>1.0</v>
      </c>
      <c r="F25" s="66">
        <v>1.0</v>
      </c>
      <c r="G25" s="66">
        <v>1.0</v>
      </c>
      <c r="H25" s="66">
        <v>3.0</v>
      </c>
      <c r="I25" s="66">
        <v>0.0</v>
      </c>
      <c r="J25" s="66">
        <v>0.0</v>
      </c>
      <c r="K25" s="66">
        <v>1.0</v>
      </c>
      <c r="L25" s="66">
        <v>0.0</v>
      </c>
      <c r="M25" s="66">
        <v>0.0</v>
      </c>
      <c r="N25" s="66">
        <v>2.0</v>
      </c>
      <c r="O25" s="66">
        <v>0.0</v>
      </c>
      <c r="P25" s="66">
        <v>1.0</v>
      </c>
      <c r="Q25" s="66">
        <v>1.0</v>
      </c>
      <c r="R25" s="66">
        <v>1.0</v>
      </c>
      <c r="S25" s="66">
        <v>4.0</v>
      </c>
      <c r="T25" s="66">
        <v>0.0</v>
      </c>
      <c r="U25" s="13">
        <f t="shared" si="3"/>
        <v>16</v>
      </c>
    </row>
    <row r="26" ht="12.75" customHeight="1">
      <c r="A26" s="33"/>
      <c r="B26" s="27"/>
      <c r="C26" s="34"/>
      <c r="D26" s="19" t="s">
        <v>13</v>
      </c>
      <c r="E26" s="66">
        <v>2.0</v>
      </c>
      <c r="F26" s="66">
        <v>1.0</v>
      </c>
      <c r="G26" s="66">
        <v>0.0</v>
      </c>
      <c r="H26" s="66">
        <v>1.0</v>
      </c>
      <c r="I26" s="66">
        <v>2.0</v>
      </c>
      <c r="J26" s="66">
        <v>1.0</v>
      </c>
      <c r="K26" s="66">
        <v>1.0</v>
      </c>
      <c r="L26" s="66">
        <v>1.0</v>
      </c>
      <c r="M26" s="66">
        <v>1.0</v>
      </c>
      <c r="N26" s="66">
        <v>2.0</v>
      </c>
      <c r="O26" s="66">
        <v>1.0</v>
      </c>
      <c r="P26" s="66">
        <v>1.0</v>
      </c>
      <c r="Q26" s="66">
        <v>0.0</v>
      </c>
      <c r="R26" s="66">
        <v>1.0</v>
      </c>
      <c r="S26" s="66">
        <v>3.0</v>
      </c>
      <c r="T26" s="66">
        <v>1.0</v>
      </c>
      <c r="U26" s="13">
        <f t="shared" si="3"/>
        <v>19</v>
      </c>
    </row>
    <row r="27" ht="12.75" customHeight="1">
      <c r="A27" s="35"/>
      <c r="B27" s="28"/>
      <c r="C27" s="36"/>
      <c r="D27" s="13" t="s">
        <v>14</v>
      </c>
      <c r="E27" s="69">
        <v>3.0</v>
      </c>
      <c r="F27" s="69">
        <v>2.0</v>
      </c>
      <c r="G27" s="69">
        <v>1.0</v>
      </c>
      <c r="H27" s="69">
        <v>4.0</v>
      </c>
      <c r="I27" s="69">
        <v>2.0</v>
      </c>
      <c r="J27" s="69">
        <v>1.0</v>
      </c>
      <c r="K27" s="69">
        <v>2.0</v>
      </c>
      <c r="L27" s="69">
        <v>1.0</v>
      </c>
      <c r="M27" s="69">
        <v>1.0</v>
      </c>
      <c r="N27" s="69">
        <v>4.0</v>
      </c>
      <c r="O27" s="69">
        <v>1.0</v>
      </c>
      <c r="P27" s="69">
        <v>2.0</v>
      </c>
      <c r="Q27" s="69">
        <v>1.0</v>
      </c>
      <c r="R27" s="69">
        <v>2.0</v>
      </c>
      <c r="S27" s="69">
        <v>7.0</v>
      </c>
      <c r="T27" s="13">
        <f>SUM(T25:T26)</f>
        <v>1</v>
      </c>
      <c r="U27" s="13">
        <f t="shared" si="3"/>
        <v>35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69">
        <v>102.0</v>
      </c>
      <c r="F28" s="69">
        <v>118.0</v>
      </c>
      <c r="G28" s="69">
        <v>87.0</v>
      </c>
      <c r="H28" s="69">
        <v>87.0</v>
      </c>
      <c r="I28" s="69">
        <v>107.0</v>
      </c>
      <c r="J28" s="69">
        <v>108.0</v>
      </c>
      <c r="K28" s="69">
        <v>95.0</v>
      </c>
      <c r="L28" s="69">
        <v>77.0</v>
      </c>
      <c r="M28" s="69">
        <v>87.0</v>
      </c>
      <c r="N28" s="69">
        <v>100.0</v>
      </c>
      <c r="O28" s="69">
        <v>62.0</v>
      </c>
      <c r="P28" s="69">
        <v>93.0</v>
      </c>
      <c r="Q28" s="69">
        <v>107.0</v>
      </c>
      <c r="R28" s="69">
        <v>94.0</v>
      </c>
      <c r="S28" s="69">
        <v>88.0</v>
      </c>
      <c r="T28" s="13">
        <f t="shared" ref="T28:T29" si="4">SUM(T19,T22,T25)</f>
        <v>114</v>
      </c>
      <c r="U28" s="13">
        <f t="shared" si="3"/>
        <v>1526</v>
      </c>
    </row>
    <row r="29" ht="12.75" customHeight="1">
      <c r="A29" s="35"/>
      <c r="B29" s="27"/>
      <c r="C29" s="34"/>
      <c r="D29" s="13" t="s">
        <v>13</v>
      </c>
      <c r="E29" s="69">
        <v>118.0</v>
      </c>
      <c r="F29" s="69">
        <v>123.0</v>
      </c>
      <c r="G29" s="69">
        <v>109.0</v>
      </c>
      <c r="H29" s="69">
        <v>92.0</v>
      </c>
      <c r="I29" s="69">
        <v>114.0</v>
      </c>
      <c r="J29" s="69">
        <v>111.0</v>
      </c>
      <c r="K29" s="69">
        <v>119.0</v>
      </c>
      <c r="L29" s="69">
        <v>90.0</v>
      </c>
      <c r="M29" s="69">
        <v>100.0</v>
      </c>
      <c r="N29" s="69">
        <v>117.0</v>
      </c>
      <c r="O29" s="69">
        <v>80.0</v>
      </c>
      <c r="P29" s="69">
        <v>103.0</v>
      </c>
      <c r="Q29" s="69">
        <v>108.0</v>
      </c>
      <c r="R29" s="69">
        <v>98.0</v>
      </c>
      <c r="S29" s="69">
        <v>93.0</v>
      </c>
      <c r="T29" s="13">
        <f t="shared" si="4"/>
        <v>126</v>
      </c>
      <c r="U29" s="13">
        <f t="shared" si="3"/>
        <v>1701</v>
      </c>
    </row>
    <row r="30" ht="12.75" customHeight="1">
      <c r="A30" s="35"/>
      <c r="B30" s="28"/>
      <c r="C30" s="36"/>
      <c r="D30" s="13" t="s">
        <v>14</v>
      </c>
      <c r="E30" s="13">
        <f t="shared" ref="E30:T30" si="5">SUM(E28:E29)</f>
        <v>220</v>
      </c>
      <c r="F30" s="13">
        <f t="shared" si="5"/>
        <v>241</v>
      </c>
      <c r="G30" s="13">
        <f t="shared" si="5"/>
        <v>196</v>
      </c>
      <c r="H30" s="13">
        <f t="shared" si="5"/>
        <v>179</v>
      </c>
      <c r="I30" s="13">
        <f t="shared" si="5"/>
        <v>221</v>
      </c>
      <c r="J30" s="13">
        <f t="shared" si="5"/>
        <v>219</v>
      </c>
      <c r="K30" s="13">
        <f t="shared" si="5"/>
        <v>214</v>
      </c>
      <c r="L30" s="13">
        <f t="shared" si="5"/>
        <v>167</v>
      </c>
      <c r="M30" s="13">
        <f t="shared" si="5"/>
        <v>187</v>
      </c>
      <c r="N30" s="13">
        <f t="shared" si="5"/>
        <v>217</v>
      </c>
      <c r="O30" s="13">
        <f t="shared" si="5"/>
        <v>142</v>
      </c>
      <c r="P30" s="13">
        <f t="shared" si="5"/>
        <v>196</v>
      </c>
      <c r="Q30" s="13">
        <f t="shared" si="5"/>
        <v>215</v>
      </c>
      <c r="R30" s="13">
        <f t="shared" si="5"/>
        <v>192</v>
      </c>
      <c r="S30" s="13">
        <f t="shared" si="5"/>
        <v>181</v>
      </c>
      <c r="T30" s="13">
        <f t="shared" si="5"/>
        <v>240</v>
      </c>
      <c r="U30" s="13">
        <f t="shared" si="3"/>
        <v>3227</v>
      </c>
    </row>
    <row r="31" ht="12.75" customHeight="1">
      <c r="A31" s="24"/>
      <c r="B31" s="15"/>
      <c r="C31" s="15"/>
      <c r="D31" s="16"/>
      <c r="E31" s="19"/>
      <c r="F31" s="19"/>
      <c r="G31" s="19"/>
      <c r="H31" s="19"/>
      <c r="I31" s="19"/>
      <c r="J31" s="19"/>
      <c r="K31" s="19"/>
      <c r="L31" s="19"/>
      <c r="M31" s="19"/>
      <c r="N31" s="67"/>
      <c r="O31" s="67"/>
      <c r="P31" s="67"/>
      <c r="Q31" s="67"/>
      <c r="R31" s="67"/>
      <c r="S31" s="67"/>
      <c r="T31" s="67"/>
      <c r="U31" s="68"/>
    </row>
    <row r="32" ht="12.75" customHeight="1">
      <c r="A32" s="41" t="s">
        <v>25</v>
      </c>
      <c r="B32" s="14" t="s">
        <v>26</v>
      </c>
      <c r="C32" s="15"/>
      <c r="D32" s="16"/>
      <c r="E32" s="13"/>
      <c r="F32" s="13"/>
      <c r="G32" s="13"/>
      <c r="H32" s="13"/>
      <c r="I32" s="13"/>
      <c r="J32" s="13"/>
      <c r="K32" s="13"/>
      <c r="L32" s="13"/>
      <c r="M32" s="13"/>
      <c r="N32" s="70"/>
      <c r="O32" s="70"/>
      <c r="P32" s="70"/>
      <c r="Q32" s="70"/>
      <c r="R32" s="70"/>
      <c r="S32" s="70"/>
      <c r="T32" s="70"/>
      <c r="U32" s="68"/>
    </row>
    <row r="33" ht="12.75" customHeight="1">
      <c r="A33" s="19">
        <v>1.0</v>
      </c>
      <c r="B33" s="20" t="s">
        <v>27</v>
      </c>
      <c r="C33" s="15"/>
      <c r="D33" s="16"/>
      <c r="E33" s="66">
        <v>268.0</v>
      </c>
      <c r="F33" s="66">
        <v>292.0</v>
      </c>
      <c r="G33" s="66">
        <v>254.0</v>
      </c>
      <c r="H33" s="66">
        <v>222.0</v>
      </c>
      <c r="I33" s="66">
        <v>279.0</v>
      </c>
      <c r="J33" s="66">
        <v>281.0</v>
      </c>
      <c r="K33" s="66">
        <v>272.0</v>
      </c>
      <c r="L33" s="66">
        <v>233.0</v>
      </c>
      <c r="M33" s="66">
        <v>222.0</v>
      </c>
      <c r="N33" s="66">
        <v>271.0</v>
      </c>
      <c r="O33" s="66">
        <v>185.0</v>
      </c>
      <c r="P33" s="66">
        <v>241.0</v>
      </c>
      <c r="Q33" s="66">
        <v>304.0</v>
      </c>
      <c r="R33" s="66">
        <v>278.0</v>
      </c>
      <c r="S33" s="66">
        <v>224.0</v>
      </c>
      <c r="T33" s="66">
        <v>294.0</v>
      </c>
      <c r="U33" s="13">
        <f t="shared" ref="U33:U36" si="6">SUM(E33:T33)</f>
        <v>4120</v>
      </c>
    </row>
    <row r="34" ht="12.75" customHeight="1">
      <c r="A34" s="19">
        <v>2.0</v>
      </c>
      <c r="B34" s="20" t="s">
        <v>28</v>
      </c>
      <c r="C34" s="15"/>
      <c r="D34" s="16"/>
      <c r="E34" s="69">
        <v>220.0</v>
      </c>
      <c r="F34" s="69">
        <v>241.0</v>
      </c>
      <c r="G34" s="69">
        <v>196.0</v>
      </c>
      <c r="H34" s="69">
        <v>179.0</v>
      </c>
      <c r="I34" s="69">
        <v>221.0</v>
      </c>
      <c r="J34" s="69">
        <v>219.0</v>
      </c>
      <c r="K34" s="69">
        <v>214.0</v>
      </c>
      <c r="L34" s="69">
        <v>167.0</v>
      </c>
      <c r="M34" s="69">
        <v>187.0</v>
      </c>
      <c r="N34" s="69">
        <v>217.0</v>
      </c>
      <c r="O34" s="69">
        <v>142.0</v>
      </c>
      <c r="P34" s="69">
        <v>196.0</v>
      </c>
      <c r="Q34" s="69">
        <v>215.0</v>
      </c>
      <c r="R34" s="69">
        <v>192.0</v>
      </c>
      <c r="S34" s="69">
        <v>181.0</v>
      </c>
      <c r="T34" s="69">
        <v>240.0</v>
      </c>
      <c r="U34" s="13">
        <f t="shared" si="6"/>
        <v>3227</v>
      </c>
    </row>
    <row r="35" ht="12.75" customHeight="1">
      <c r="A35" s="19">
        <v>3.0</v>
      </c>
      <c r="B35" s="20" t="s">
        <v>29</v>
      </c>
      <c r="C35" s="15"/>
      <c r="D35" s="16"/>
      <c r="E35" s="66">
        <v>3.0</v>
      </c>
      <c r="F35" s="66">
        <v>0.0</v>
      </c>
      <c r="G35" s="66">
        <v>0.0</v>
      </c>
      <c r="H35" s="66">
        <v>1.0</v>
      </c>
      <c r="I35" s="66">
        <v>1.0</v>
      </c>
      <c r="J35" s="66">
        <v>0.0</v>
      </c>
      <c r="K35" s="66">
        <v>0.0</v>
      </c>
      <c r="L35" s="66">
        <v>5.0</v>
      </c>
      <c r="M35" s="66">
        <v>1.0</v>
      </c>
      <c r="N35" s="66">
        <v>1.0</v>
      </c>
      <c r="O35" s="66">
        <v>0.0</v>
      </c>
      <c r="P35" s="66">
        <v>0.0</v>
      </c>
      <c r="Q35" s="66">
        <v>1.0</v>
      </c>
      <c r="R35" s="66">
        <v>0.0</v>
      </c>
      <c r="S35" s="66">
        <v>2.0</v>
      </c>
      <c r="T35" s="66">
        <v>1.0</v>
      </c>
      <c r="U35" s="13">
        <f t="shared" si="6"/>
        <v>16</v>
      </c>
    </row>
    <row r="36" ht="12.75" customHeight="1">
      <c r="A36" s="19">
        <v>4.0</v>
      </c>
      <c r="B36" s="20" t="s">
        <v>30</v>
      </c>
      <c r="C36" s="15"/>
      <c r="D36" s="16"/>
      <c r="E36" s="69">
        <v>45.0</v>
      </c>
      <c r="F36" s="69">
        <v>51.0</v>
      </c>
      <c r="G36" s="69">
        <v>58.0</v>
      </c>
      <c r="H36" s="69">
        <v>42.0</v>
      </c>
      <c r="I36" s="69">
        <v>57.0</v>
      </c>
      <c r="J36" s="69">
        <v>62.0</v>
      </c>
      <c r="K36" s="69">
        <v>58.0</v>
      </c>
      <c r="L36" s="69">
        <v>61.0</v>
      </c>
      <c r="M36" s="69">
        <v>34.0</v>
      </c>
      <c r="N36" s="69">
        <v>53.0</v>
      </c>
      <c r="O36" s="69">
        <v>43.0</v>
      </c>
      <c r="P36" s="69">
        <v>45.0</v>
      </c>
      <c r="Q36" s="69">
        <v>88.0</v>
      </c>
      <c r="R36" s="69">
        <v>86.0</v>
      </c>
      <c r="S36" s="69">
        <v>41.0</v>
      </c>
      <c r="T36" s="13">
        <f>T33-(T34+T35)</f>
        <v>53</v>
      </c>
      <c r="U36" s="13">
        <f t="shared" si="6"/>
        <v>877</v>
      </c>
    </row>
    <row r="37" ht="12.75" customHeight="1">
      <c r="A37" s="24"/>
      <c r="B37" s="15"/>
      <c r="C37" s="15"/>
      <c r="D37" s="15"/>
      <c r="E37" s="24"/>
      <c r="F37" s="15"/>
      <c r="G37" s="15"/>
      <c r="H37" s="15"/>
      <c r="I37" s="16"/>
      <c r="J37" s="19"/>
      <c r="K37" s="19"/>
      <c r="L37" s="19"/>
      <c r="M37" s="19"/>
      <c r="N37" s="67"/>
      <c r="O37" s="71"/>
      <c r="P37" s="71"/>
      <c r="Q37" s="71"/>
      <c r="R37" s="71"/>
      <c r="S37" s="71"/>
      <c r="T37" s="71"/>
      <c r="U37" s="68"/>
    </row>
    <row r="38" ht="12.75" customHeight="1">
      <c r="A38" s="42" t="s">
        <v>31</v>
      </c>
      <c r="B38" s="14" t="s">
        <v>32</v>
      </c>
      <c r="C38" s="15"/>
      <c r="D38" s="16"/>
      <c r="E38" s="13"/>
      <c r="F38" s="13"/>
      <c r="G38" s="13"/>
      <c r="H38" s="13"/>
      <c r="I38" s="13"/>
      <c r="J38" s="13"/>
      <c r="K38" s="13"/>
      <c r="L38" s="13"/>
      <c r="M38" s="13"/>
      <c r="N38" s="70"/>
      <c r="O38" s="70"/>
      <c r="P38" s="70"/>
      <c r="Q38" s="70"/>
      <c r="R38" s="70"/>
      <c r="S38" s="70"/>
      <c r="T38" s="70"/>
      <c r="U38" s="68"/>
    </row>
    <row r="39" ht="12.75" customHeight="1">
      <c r="A39" s="30"/>
      <c r="B39" s="43" t="s">
        <v>33</v>
      </c>
      <c r="C39" s="23"/>
      <c r="D39" s="19" t="s">
        <v>12</v>
      </c>
      <c r="E39" s="66">
        <v>0.0</v>
      </c>
      <c r="F39" s="66">
        <v>0.0</v>
      </c>
      <c r="G39" s="66">
        <v>0.0</v>
      </c>
      <c r="H39" s="66">
        <v>1.0</v>
      </c>
      <c r="I39" s="66">
        <v>0.0</v>
      </c>
      <c r="J39" s="66">
        <v>0.0</v>
      </c>
      <c r="K39" s="66">
        <v>0.0</v>
      </c>
      <c r="L39" s="66">
        <v>0.0</v>
      </c>
      <c r="M39" s="66">
        <v>0.0</v>
      </c>
      <c r="N39" s="66">
        <v>0.0</v>
      </c>
      <c r="O39" s="66">
        <v>2.0</v>
      </c>
      <c r="P39" s="66">
        <v>0.0</v>
      </c>
      <c r="Q39" s="66">
        <v>1.0</v>
      </c>
      <c r="R39" s="66">
        <v>0.0</v>
      </c>
      <c r="S39" s="66">
        <v>0.0</v>
      </c>
      <c r="T39" s="66">
        <v>0.0</v>
      </c>
      <c r="U39" s="13">
        <f t="shared" ref="U39:U41" si="7">SUM(E39:T39)</f>
        <v>4</v>
      </c>
    </row>
    <row r="40" ht="12.75" customHeight="1">
      <c r="A40" s="33"/>
      <c r="C40" s="27"/>
      <c r="D40" s="19" t="s">
        <v>13</v>
      </c>
      <c r="E40" s="66">
        <v>0.0</v>
      </c>
      <c r="F40" s="66">
        <v>0.0</v>
      </c>
      <c r="G40" s="66">
        <v>0.0</v>
      </c>
      <c r="H40" s="66">
        <v>1.0</v>
      </c>
      <c r="I40" s="66">
        <v>0.0</v>
      </c>
      <c r="J40" s="66">
        <v>0.0</v>
      </c>
      <c r="K40" s="66">
        <v>0.0</v>
      </c>
      <c r="L40" s="66">
        <v>1.0</v>
      </c>
      <c r="M40" s="66">
        <v>1.0</v>
      </c>
      <c r="N40" s="66">
        <v>0.0</v>
      </c>
      <c r="O40" s="66">
        <v>1.0</v>
      </c>
      <c r="P40" s="66">
        <v>0.0</v>
      </c>
      <c r="Q40" s="66">
        <v>1.0</v>
      </c>
      <c r="R40" s="66">
        <v>0.0</v>
      </c>
      <c r="S40" s="66">
        <v>0.0</v>
      </c>
      <c r="T40" s="66">
        <v>0.0</v>
      </c>
      <c r="U40" s="13">
        <f t="shared" si="7"/>
        <v>5</v>
      </c>
    </row>
    <row r="41" ht="12.75" customHeight="1">
      <c r="A41" s="41"/>
      <c r="B41" s="44"/>
      <c r="C41" s="28"/>
      <c r="D41" s="13" t="s">
        <v>14</v>
      </c>
      <c r="E41" s="13">
        <f t="shared" ref="E41:T41" si="8">SUM(E39:E40)</f>
        <v>0</v>
      </c>
      <c r="F41" s="13">
        <f t="shared" si="8"/>
        <v>0</v>
      </c>
      <c r="G41" s="13">
        <f t="shared" si="8"/>
        <v>0</v>
      </c>
      <c r="H41" s="13">
        <f t="shared" si="8"/>
        <v>2</v>
      </c>
      <c r="I41" s="13">
        <f t="shared" si="8"/>
        <v>0</v>
      </c>
      <c r="J41" s="13">
        <f t="shared" si="8"/>
        <v>0</v>
      </c>
      <c r="K41" s="13">
        <f t="shared" si="8"/>
        <v>0</v>
      </c>
      <c r="L41" s="13">
        <f t="shared" si="8"/>
        <v>1</v>
      </c>
      <c r="M41" s="13">
        <f t="shared" si="8"/>
        <v>1</v>
      </c>
      <c r="N41" s="13">
        <f t="shared" si="8"/>
        <v>0</v>
      </c>
      <c r="O41" s="13">
        <f t="shared" si="8"/>
        <v>3</v>
      </c>
      <c r="P41" s="13">
        <f t="shared" si="8"/>
        <v>0</v>
      </c>
      <c r="Q41" s="13">
        <f t="shared" si="8"/>
        <v>2</v>
      </c>
      <c r="R41" s="13">
        <f t="shared" si="8"/>
        <v>0</v>
      </c>
      <c r="S41" s="13">
        <f t="shared" si="8"/>
        <v>0</v>
      </c>
      <c r="T41" s="13">
        <f t="shared" si="8"/>
        <v>0</v>
      </c>
      <c r="U41" s="13">
        <f t="shared" si="7"/>
        <v>9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67"/>
      <c r="Q42" s="19"/>
      <c r="R42" s="67"/>
      <c r="S42" s="19"/>
      <c r="T42" s="67"/>
      <c r="U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13.0</v>
      </c>
      <c r="F45" s="66">
        <v>23.0</v>
      </c>
      <c r="G45" s="66">
        <v>9.0</v>
      </c>
      <c r="H45" s="66">
        <v>6.0</v>
      </c>
      <c r="I45" s="66">
        <v>14.0</v>
      </c>
      <c r="J45" s="66">
        <v>13.0</v>
      </c>
      <c r="K45" s="66">
        <v>6.0</v>
      </c>
      <c r="L45" s="66">
        <v>21.0</v>
      </c>
      <c r="M45" s="66">
        <v>11.0</v>
      </c>
      <c r="N45" s="66">
        <v>8.0</v>
      </c>
      <c r="O45" s="66">
        <v>15.0</v>
      </c>
      <c r="P45" s="66">
        <v>6.0</v>
      </c>
      <c r="Q45" s="66">
        <v>14.0</v>
      </c>
      <c r="R45" s="66">
        <v>5.0</v>
      </c>
      <c r="S45" s="66">
        <v>4.0</v>
      </c>
      <c r="T45" s="66">
        <v>6.0</v>
      </c>
      <c r="U45" s="13">
        <f t="shared" ref="U45:U192" si="9">SUM(E45:T45)</f>
        <v>174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102.0</v>
      </c>
      <c r="F46" s="66">
        <v>138.0</v>
      </c>
      <c r="G46" s="66">
        <v>74.0</v>
      </c>
      <c r="H46" s="66">
        <v>61.0</v>
      </c>
      <c r="I46" s="66">
        <v>95.0</v>
      </c>
      <c r="J46" s="66">
        <v>80.0</v>
      </c>
      <c r="K46" s="66">
        <v>98.0</v>
      </c>
      <c r="L46" s="66">
        <v>71.0</v>
      </c>
      <c r="M46" s="66">
        <v>121.0</v>
      </c>
      <c r="N46" s="66">
        <v>136.0</v>
      </c>
      <c r="O46" s="66">
        <v>86.0</v>
      </c>
      <c r="P46" s="66">
        <v>135.0</v>
      </c>
      <c r="Q46" s="66">
        <v>70.0</v>
      </c>
      <c r="R46" s="66">
        <v>16.0</v>
      </c>
      <c r="S46" s="66">
        <v>48.0</v>
      </c>
      <c r="T46" s="66">
        <v>38.0</v>
      </c>
      <c r="U46" s="13">
        <f t="shared" si="9"/>
        <v>1369</v>
      </c>
    </row>
    <row r="47" ht="12.75" customHeight="1">
      <c r="A47" s="18"/>
      <c r="B47" s="49"/>
      <c r="C47" s="50" t="s">
        <v>41</v>
      </c>
      <c r="D47" s="51"/>
      <c r="E47" s="66">
        <v>2.0</v>
      </c>
      <c r="F47" s="66">
        <v>4.0</v>
      </c>
      <c r="G47" s="66">
        <v>1.0</v>
      </c>
      <c r="H47" s="66">
        <v>1.0</v>
      </c>
      <c r="I47" s="66">
        <v>2.0</v>
      </c>
      <c r="J47" s="66">
        <v>11.0</v>
      </c>
      <c r="K47" s="66">
        <v>4.0</v>
      </c>
      <c r="L47" s="66">
        <v>3.0</v>
      </c>
      <c r="M47" s="66">
        <v>1.0</v>
      </c>
      <c r="N47" s="66">
        <v>1.0</v>
      </c>
      <c r="O47" s="66">
        <v>1.0</v>
      </c>
      <c r="P47" s="66">
        <v>1.0</v>
      </c>
      <c r="Q47" s="66">
        <v>5.0</v>
      </c>
      <c r="R47" s="66">
        <v>0.0</v>
      </c>
      <c r="S47" s="66">
        <v>1.0</v>
      </c>
      <c r="T47" s="66">
        <v>3.0</v>
      </c>
      <c r="U47" s="13">
        <f t="shared" si="9"/>
        <v>41</v>
      </c>
    </row>
    <row r="48" ht="12.75" customHeight="1">
      <c r="A48" s="18"/>
      <c r="B48" s="49"/>
      <c r="C48" s="50" t="s">
        <v>42</v>
      </c>
      <c r="D48" s="51"/>
      <c r="E48" s="66">
        <v>0.0</v>
      </c>
      <c r="F48" s="66">
        <v>0.0</v>
      </c>
      <c r="G48" s="66">
        <v>1.0</v>
      </c>
      <c r="H48" s="66">
        <v>1.0</v>
      </c>
      <c r="I48" s="66">
        <v>0.0</v>
      </c>
      <c r="J48" s="66">
        <v>0.0</v>
      </c>
      <c r="K48" s="66">
        <v>0.0</v>
      </c>
      <c r="L48" s="66">
        <v>1.0</v>
      </c>
      <c r="M48" s="66">
        <v>0.0</v>
      </c>
      <c r="N48" s="66">
        <v>1.0</v>
      </c>
      <c r="O48" s="66">
        <v>0.0</v>
      </c>
      <c r="P48" s="66">
        <v>0.0</v>
      </c>
      <c r="Q48" s="66">
        <v>1.0</v>
      </c>
      <c r="R48" s="66">
        <v>1.0</v>
      </c>
      <c r="S48" s="66">
        <v>0.0</v>
      </c>
      <c r="T48" s="66">
        <v>0.0</v>
      </c>
      <c r="U48" s="13">
        <f t="shared" si="9"/>
        <v>6</v>
      </c>
    </row>
    <row r="49" ht="12.75" customHeight="1">
      <c r="A49" s="18"/>
      <c r="B49" s="49"/>
      <c r="C49" s="50" t="s">
        <v>43</v>
      </c>
      <c r="D49" s="51"/>
      <c r="E49" s="66">
        <v>1.0</v>
      </c>
      <c r="F49" s="66">
        <v>0.0</v>
      </c>
      <c r="G49" s="66">
        <v>1.0</v>
      </c>
      <c r="H49" s="66">
        <v>1.0</v>
      </c>
      <c r="I49" s="66">
        <v>0.0</v>
      </c>
      <c r="J49" s="66">
        <v>0.0</v>
      </c>
      <c r="K49" s="66">
        <v>0.0</v>
      </c>
      <c r="L49" s="66">
        <v>0.0</v>
      </c>
      <c r="M49" s="66">
        <v>0.0</v>
      </c>
      <c r="N49" s="66">
        <v>1.0</v>
      </c>
      <c r="O49" s="66">
        <v>0.0</v>
      </c>
      <c r="P49" s="66">
        <v>0.0</v>
      </c>
      <c r="Q49" s="66">
        <v>0.0</v>
      </c>
      <c r="R49" s="66">
        <v>0.0</v>
      </c>
      <c r="S49" s="66">
        <v>1.0</v>
      </c>
      <c r="T49" s="66">
        <v>0.0</v>
      </c>
      <c r="U49" s="13">
        <f t="shared" si="9"/>
        <v>5</v>
      </c>
    </row>
    <row r="50" ht="12.75" customHeight="1">
      <c r="A50" s="18"/>
      <c r="B50" s="49"/>
      <c r="C50" s="50" t="s">
        <v>44</v>
      </c>
      <c r="D50" s="51"/>
      <c r="E50" s="66">
        <v>0.0</v>
      </c>
      <c r="F50" s="66">
        <v>1.0</v>
      </c>
      <c r="G50" s="66">
        <v>0.0</v>
      </c>
      <c r="H50" s="66">
        <v>0.0</v>
      </c>
      <c r="I50" s="66">
        <v>0.0</v>
      </c>
      <c r="J50" s="66">
        <v>0.0</v>
      </c>
      <c r="K50" s="66">
        <v>0.0</v>
      </c>
      <c r="L50" s="66">
        <v>0.0</v>
      </c>
      <c r="M50" s="66">
        <v>0.0</v>
      </c>
      <c r="N50" s="66">
        <v>0.0</v>
      </c>
      <c r="O50" s="66">
        <v>0.0</v>
      </c>
      <c r="P50" s="66">
        <v>0.0</v>
      </c>
      <c r="Q50" s="66">
        <v>0.0</v>
      </c>
      <c r="R50" s="66">
        <v>0.0</v>
      </c>
      <c r="S50" s="66">
        <v>0.0</v>
      </c>
      <c r="T50" s="66">
        <v>0.0</v>
      </c>
      <c r="U50" s="13">
        <f t="shared" si="9"/>
        <v>1</v>
      </c>
    </row>
    <row r="51" ht="12.75" customHeight="1">
      <c r="A51" s="18"/>
      <c r="B51" s="49"/>
      <c r="C51" s="50" t="s">
        <v>45</v>
      </c>
      <c r="D51" s="51"/>
      <c r="E51" s="66">
        <v>0.0</v>
      </c>
      <c r="F51" s="66">
        <v>0.0</v>
      </c>
      <c r="G51" s="66">
        <v>0.0</v>
      </c>
      <c r="H51" s="66">
        <v>0.0</v>
      </c>
      <c r="I51" s="66">
        <v>0.0</v>
      </c>
      <c r="J51" s="66">
        <v>0.0</v>
      </c>
      <c r="K51" s="66">
        <v>0.0</v>
      </c>
      <c r="L51" s="66">
        <v>0.0</v>
      </c>
      <c r="M51" s="66">
        <v>0.0</v>
      </c>
      <c r="N51" s="66">
        <v>0.0</v>
      </c>
      <c r="O51" s="66">
        <v>0.0</v>
      </c>
      <c r="P51" s="66">
        <v>0.0</v>
      </c>
      <c r="Q51" s="66">
        <v>0.0</v>
      </c>
      <c r="R51" s="66">
        <v>0.0</v>
      </c>
      <c r="S51" s="66">
        <v>0.0</v>
      </c>
      <c r="T51" s="66">
        <v>0.0</v>
      </c>
      <c r="U51" s="13">
        <f t="shared" si="9"/>
        <v>0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T52" si="10">SUM(E45:E51)</f>
        <v>118</v>
      </c>
      <c r="F52" s="13">
        <f t="shared" si="10"/>
        <v>166</v>
      </c>
      <c r="G52" s="13">
        <f t="shared" si="10"/>
        <v>86</v>
      </c>
      <c r="H52" s="13">
        <f t="shared" si="10"/>
        <v>70</v>
      </c>
      <c r="I52" s="13">
        <f t="shared" si="10"/>
        <v>111</v>
      </c>
      <c r="J52" s="13">
        <f t="shared" si="10"/>
        <v>104</v>
      </c>
      <c r="K52" s="13">
        <f t="shared" si="10"/>
        <v>108</v>
      </c>
      <c r="L52" s="13">
        <f t="shared" si="10"/>
        <v>96</v>
      </c>
      <c r="M52" s="13">
        <f t="shared" si="10"/>
        <v>133</v>
      </c>
      <c r="N52" s="13">
        <f t="shared" si="10"/>
        <v>147</v>
      </c>
      <c r="O52" s="13">
        <f t="shared" si="10"/>
        <v>102</v>
      </c>
      <c r="P52" s="13">
        <f t="shared" si="10"/>
        <v>142</v>
      </c>
      <c r="Q52" s="13">
        <f t="shared" si="10"/>
        <v>90</v>
      </c>
      <c r="R52" s="13">
        <f t="shared" si="10"/>
        <v>22</v>
      </c>
      <c r="S52" s="13">
        <f t="shared" si="10"/>
        <v>54</v>
      </c>
      <c r="T52" s="13">
        <f t="shared" si="10"/>
        <v>47</v>
      </c>
      <c r="U52" s="13">
        <f t="shared" si="9"/>
        <v>1596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13">
        <f t="shared" si="9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2.0</v>
      </c>
      <c r="F54" s="66">
        <v>2.0</v>
      </c>
      <c r="G54" s="66">
        <v>4.0</v>
      </c>
      <c r="H54" s="66">
        <v>5.0</v>
      </c>
      <c r="I54" s="66">
        <v>0.0</v>
      </c>
      <c r="J54" s="66">
        <v>8.0</v>
      </c>
      <c r="K54" s="66">
        <v>2.0</v>
      </c>
      <c r="L54" s="66">
        <v>1.0</v>
      </c>
      <c r="M54" s="66">
        <v>0.0</v>
      </c>
      <c r="N54" s="66">
        <v>2.0</v>
      </c>
      <c r="O54" s="66">
        <v>3.0</v>
      </c>
      <c r="P54" s="66">
        <v>0.0</v>
      </c>
      <c r="Q54" s="66">
        <v>7.0</v>
      </c>
      <c r="R54" s="66">
        <v>6.0</v>
      </c>
      <c r="S54" s="66">
        <v>1.0</v>
      </c>
      <c r="T54" s="66">
        <v>2.0</v>
      </c>
      <c r="U54" s="13">
        <f t="shared" si="9"/>
        <v>45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1.0</v>
      </c>
      <c r="F55" s="66">
        <v>2.0</v>
      </c>
      <c r="G55" s="66">
        <v>1.0</v>
      </c>
      <c r="H55" s="66">
        <v>0.0</v>
      </c>
      <c r="I55" s="66">
        <v>3.0</v>
      </c>
      <c r="J55" s="66">
        <v>1.0</v>
      </c>
      <c r="K55" s="66">
        <v>0.0</v>
      </c>
      <c r="L55" s="66">
        <v>2.0</v>
      </c>
      <c r="M55" s="66">
        <v>0.0</v>
      </c>
      <c r="N55" s="66">
        <v>1.0</v>
      </c>
      <c r="O55" s="66">
        <v>1.0</v>
      </c>
      <c r="P55" s="66">
        <v>0.0</v>
      </c>
      <c r="Q55" s="66">
        <v>3.0</v>
      </c>
      <c r="R55" s="66">
        <v>1.0</v>
      </c>
      <c r="S55" s="66">
        <v>1.0</v>
      </c>
      <c r="T55" s="66">
        <v>2.0</v>
      </c>
      <c r="U55" s="13">
        <f t="shared" si="9"/>
        <v>19</v>
      </c>
    </row>
    <row r="56" ht="12.75" customHeight="1">
      <c r="A56" s="18"/>
      <c r="B56" s="49"/>
      <c r="C56" s="50" t="s">
        <v>49</v>
      </c>
      <c r="D56" s="51"/>
      <c r="E56" s="66">
        <v>0.0</v>
      </c>
      <c r="F56" s="66">
        <v>1.0</v>
      </c>
      <c r="G56" s="66">
        <v>1.0</v>
      </c>
      <c r="H56" s="66">
        <v>0.0</v>
      </c>
      <c r="I56" s="66">
        <v>0.0</v>
      </c>
      <c r="J56" s="66">
        <v>0.0</v>
      </c>
      <c r="K56" s="66">
        <v>1.0</v>
      </c>
      <c r="L56" s="66">
        <v>0.0</v>
      </c>
      <c r="M56" s="66">
        <v>1.0</v>
      </c>
      <c r="N56" s="66">
        <v>1.0</v>
      </c>
      <c r="O56" s="66">
        <v>0.0</v>
      </c>
      <c r="P56" s="66">
        <v>0.0</v>
      </c>
      <c r="Q56" s="66">
        <v>3.0</v>
      </c>
      <c r="R56" s="66">
        <v>0.0</v>
      </c>
      <c r="S56" s="66">
        <v>0.0</v>
      </c>
      <c r="T56" s="66">
        <v>1.0</v>
      </c>
      <c r="U56" s="13">
        <f t="shared" si="9"/>
        <v>9</v>
      </c>
    </row>
    <row r="57" ht="12.75" customHeight="1">
      <c r="A57" s="18"/>
      <c r="B57" s="49"/>
      <c r="C57" s="50" t="s">
        <v>50</v>
      </c>
      <c r="D57" s="51"/>
      <c r="E57" s="66">
        <v>0.0</v>
      </c>
      <c r="F57" s="66">
        <v>0.0</v>
      </c>
      <c r="G57" s="66">
        <v>0.0</v>
      </c>
      <c r="H57" s="66">
        <v>1.0</v>
      </c>
      <c r="I57" s="66">
        <v>0.0</v>
      </c>
      <c r="J57" s="66">
        <v>0.0</v>
      </c>
      <c r="K57" s="66">
        <v>1.0</v>
      </c>
      <c r="L57" s="66">
        <v>1.0</v>
      </c>
      <c r="M57" s="66">
        <v>0.0</v>
      </c>
      <c r="N57" s="66">
        <v>2.0</v>
      </c>
      <c r="O57" s="66">
        <v>0.0</v>
      </c>
      <c r="P57" s="66">
        <v>0.0</v>
      </c>
      <c r="Q57" s="66">
        <v>5.0</v>
      </c>
      <c r="R57" s="66">
        <v>2.0</v>
      </c>
      <c r="S57" s="66">
        <v>1.0</v>
      </c>
      <c r="T57" s="66">
        <v>0.0</v>
      </c>
      <c r="U57" s="13">
        <f t="shared" si="9"/>
        <v>13</v>
      </c>
    </row>
    <row r="58" ht="12.75" customHeight="1">
      <c r="A58" s="18"/>
      <c r="B58" s="49"/>
      <c r="C58" s="50" t="s">
        <v>51</v>
      </c>
      <c r="D58" s="51"/>
      <c r="E58" s="66">
        <v>0.0</v>
      </c>
      <c r="F58" s="66">
        <v>1.0</v>
      </c>
      <c r="G58" s="66">
        <v>4.0</v>
      </c>
      <c r="H58" s="66">
        <v>0.0</v>
      </c>
      <c r="I58" s="66">
        <v>1.0</v>
      </c>
      <c r="J58" s="66">
        <v>2.0</v>
      </c>
      <c r="K58" s="66">
        <v>0.0</v>
      </c>
      <c r="L58" s="66">
        <v>1.0</v>
      </c>
      <c r="M58" s="66">
        <v>1.0</v>
      </c>
      <c r="N58" s="66">
        <v>2.0</v>
      </c>
      <c r="O58" s="66">
        <v>0.0</v>
      </c>
      <c r="P58" s="66">
        <v>0.0</v>
      </c>
      <c r="Q58" s="66">
        <v>0.0</v>
      </c>
      <c r="R58" s="66">
        <v>0.0</v>
      </c>
      <c r="S58" s="66">
        <v>1.0</v>
      </c>
      <c r="T58" s="66">
        <v>0.0</v>
      </c>
      <c r="U58" s="13">
        <f t="shared" si="9"/>
        <v>13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8.0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0.0</v>
      </c>
      <c r="O59" s="66">
        <v>0.0</v>
      </c>
      <c r="P59" s="66">
        <v>0.0</v>
      </c>
      <c r="Q59" s="66">
        <v>1.0</v>
      </c>
      <c r="R59" s="66">
        <v>0.0</v>
      </c>
      <c r="S59" s="66">
        <v>0.0</v>
      </c>
      <c r="T59" s="66">
        <v>0.0</v>
      </c>
      <c r="U59" s="13">
        <f t="shared" si="9"/>
        <v>9</v>
      </c>
    </row>
    <row r="60" ht="12.75" customHeight="1">
      <c r="A60" s="18"/>
      <c r="B60" s="49"/>
      <c r="C60" s="50" t="s">
        <v>53</v>
      </c>
      <c r="D60" s="51"/>
      <c r="E60" s="66">
        <v>0.0</v>
      </c>
      <c r="F60" s="66">
        <v>3.0</v>
      </c>
      <c r="G60" s="66">
        <v>0.0</v>
      </c>
      <c r="H60" s="66">
        <v>1.0</v>
      </c>
      <c r="I60" s="66">
        <v>2.0</v>
      </c>
      <c r="J60" s="66">
        <v>1.0</v>
      </c>
      <c r="K60" s="66">
        <v>0.0</v>
      </c>
      <c r="L60" s="66">
        <v>2.0</v>
      </c>
      <c r="M60" s="66">
        <v>1.0</v>
      </c>
      <c r="N60" s="66">
        <v>4.0</v>
      </c>
      <c r="O60" s="66">
        <v>7.0</v>
      </c>
      <c r="P60" s="66">
        <v>1.0</v>
      </c>
      <c r="Q60" s="66">
        <v>0.0</v>
      </c>
      <c r="R60" s="66">
        <v>0.0</v>
      </c>
      <c r="S60" s="66">
        <v>1.0</v>
      </c>
      <c r="T60" s="66">
        <v>2.0</v>
      </c>
      <c r="U60" s="13">
        <f t="shared" si="9"/>
        <v>25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T61" si="11">SUM(E54:E60)</f>
        <v>3</v>
      </c>
      <c r="F61" s="13">
        <f t="shared" si="11"/>
        <v>9</v>
      </c>
      <c r="G61" s="13">
        <f t="shared" si="11"/>
        <v>18</v>
      </c>
      <c r="H61" s="13">
        <f t="shared" si="11"/>
        <v>7</v>
      </c>
      <c r="I61" s="13">
        <f t="shared" si="11"/>
        <v>6</v>
      </c>
      <c r="J61" s="13">
        <f t="shared" si="11"/>
        <v>12</v>
      </c>
      <c r="K61" s="13">
        <f t="shared" si="11"/>
        <v>4</v>
      </c>
      <c r="L61" s="13">
        <f t="shared" si="11"/>
        <v>7</v>
      </c>
      <c r="M61" s="13">
        <f t="shared" si="11"/>
        <v>3</v>
      </c>
      <c r="N61" s="13">
        <f t="shared" si="11"/>
        <v>12</v>
      </c>
      <c r="O61" s="13">
        <f t="shared" si="11"/>
        <v>11</v>
      </c>
      <c r="P61" s="13">
        <f t="shared" si="11"/>
        <v>1</v>
      </c>
      <c r="Q61" s="13">
        <f t="shared" si="11"/>
        <v>19</v>
      </c>
      <c r="R61" s="13">
        <f t="shared" si="11"/>
        <v>9</v>
      </c>
      <c r="S61" s="13">
        <f t="shared" si="11"/>
        <v>5</v>
      </c>
      <c r="T61" s="13">
        <f t="shared" si="11"/>
        <v>7</v>
      </c>
      <c r="U61" s="13">
        <f t="shared" si="9"/>
        <v>133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13">
        <f t="shared" si="9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6.0</v>
      </c>
      <c r="F63" s="66">
        <v>2.0</v>
      </c>
      <c r="G63" s="66">
        <v>2.0</v>
      </c>
      <c r="H63" s="66">
        <v>2.0</v>
      </c>
      <c r="I63" s="66">
        <v>4.0</v>
      </c>
      <c r="J63" s="66">
        <v>3.0</v>
      </c>
      <c r="K63" s="66">
        <v>6.0</v>
      </c>
      <c r="L63" s="66">
        <v>6.0</v>
      </c>
      <c r="M63" s="66">
        <v>3.0</v>
      </c>
      <c r="N63" s="66">
        <v>1.0</v>
      </c>
      <c r="O63" s="66">
        <v>0.0</v>
      </c>
      <c r="P63" s="66">
        <v>3.0</v>
      </c>
      <c r="Q63" s="66">
        <v>4.0</v>
      </c>
      <c r="R63" s="66">
        <v>12.0</v>
      </c>
      <c r="S63" s="66">
        <v>1.0</v>
      </c>
      <c r="T63" s="66">
        <v>3.0</v>
      </c>
      <c r="U63" s="13">
        <f t="shared" si="9"/>
        <v>58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0.0</v>
      </c>
      <c r="F64" s="66">
        <v>0.0</v>
      </c>
      <c r="G64" s="66">
        <v>2.0</v>
      </c>
      <c r="H64" s="66">
        <v>3.0</v>
      </c>
      <c r="I64" s="66">
        <v>0.0</v>
      </c>
      <c r="J64" s="66">
        <v>3.0</v>
      </c>
      <c r="K64" s="66">
        <v>1.0</v>
      </c>
      <c r="L64" s="66">
        <v>2.0</v>
      </c>
      <c r="M64" s="66">
        <v>0.0</v>
      </c>
      <c r="N64" s="66">
        <v>0.0</v>
      </c>
      <c r="O64" s="66">
        <v>1.0</v>
      </c>
      <c r="P64" s="66">
        <v>0.0</v>
      </c>
      <c r="Q64" s="66">
        <v>4.0</v>
      </c>
      <c r="R64" s="66">
        <v>4.0</v>
      </c>
      <c r="S64" s="66">
        <v>3.0</v>
      </c>
      <c r="T64" s="66">
        <v>5.0</v>
      </c>
      <c r="U64" s="13">
        <f t="shared" si="9"/>
        <v>28</v>
      </c>
    </row>
    <row r="65" ht="12.75" customHeight="1">
      <c r="A65" s="18"/>
      <c r="B65" s="49"/>
      <c r="C65" s="50" t="s">
        <v>56</v>
      </c>
      <c r="D65" s="51"/>
      <c r="E65" s="66">
        <v>1.0</v>
      </c>
      <c r="F65" s="66">
        <v>1.0</v>
      </c>
      <c r="G65" s="66">
        <v>0.0</v>
      </c>
      <c r="H65" s="66">
        <v>0.0</v>
      </c>
      <c r="I65" s="66">
        <v>1.0</v>
      </c>
      <c r="J65" s="66">
        <v>0.0</v>
      </c>
      <c r="K65" s="66">
        <v>0.0</v>
      </c>
      <c r="L65" s="66">
        <v>0.0</v>
      </c>
      <c r="M65" s="66">
        <v>1.0</v>
      </c>
      <c r="N65" s="66">
        <v>1.0</v>
      </c>
      <c r="O65" s="66">
        <v>0.0</v>
      </c>
      <c r="P65" s="66">
        <v>0.0</v>
      </c>
      <c r="Q65" s="66">
        <v>0.0</v>
      </c>
      <c r="R65" s="66">
        <v>0.0</v>
      </c>
      <c r="S65" s="66">
        <v>2.0</v>
      </c>
      <c r="T65" s="66">
        <v>0.0</v>
      </c>
      <c r="U65" s="13">
        <f t="shared" si="9"/>
        <v>7</v>
      </c>
    </row>
    <row r="66" ht="12.75" customHeight="1">
      <c r="A66" s="18"/>
      <c r="B66" s="49"/>
      <c r="C66" s="50" t="s">
        <v>57</v>
      </c>
      <c r="D66" s="51"/>
      <c r="E66" s="66">
        <v>37.0</v>
      </c>
      <c r="F66" s="66">
        <v>9.0</v>
      </c>
      <c r="G66" s="66">
        <v>3.0</v>
      </c>
      <c r="H66" s="66">
        <v>2.0</v>
      </c>
      <c r="I66" s="66">
        <v>32.0</v>
      </c>
      <c r="J66" s="66">
        <v>29.0</v>
      </c>
      <c r="K66" s="66">
        <v>22.0</v>
      </c>
      <c r="L66" s="66">
        <v>21.0</v>
      </c>
      <c r="M66" s="66">
        <v>12.0</v>
      </c>
      <c r="N66" s="66">
        <v>16.0</v>
      </c>
      <c r="O66" s="66">
        <v>3.0</v>
      </c>
      <c r="P66" s="66">
        <v>9.0</v>
      </c>
      <c r="Q66" s="66">
        <v>15.0</v>
      </c>
      <c r="R66" s="66">
        <v>62.0</v>
      </c>
      <c r="S66" s="66">
        <v>23.0</v>
      </c>
      <c r="T66" s="66">
        <v>18.0</v>
      </c>
      <c r="U66" s="13">
        <f t="shared" si="9"/>
        <v>313</v>
      </c>
    </row>
    <row r="67" ht="12.75" customHeight="1">
      <c r="A67" s="18"/>
      <c r="B67" s="49"/>
      <c r="C67" s="50" t="s">
        <v>58</v>
      </c>
      <c r="D67" s="51"/>
      <c r="E67" s="66">
        <v>0.0</v>
      </c>
      <c r="F67" s="66">
        <v>1.0</v>
      </c>
      <c r="G67" s="66">
        <v>0.0</v>
      </c>
      <c r="H67" s="66">
        <v>1.0</v>
      </c>
      <c r="I67" s="66">
        <v>1.0</v>
      </c>
      <c r="J67" s="66">
        <v>1.0</v>
      </c>
      <c r="K67" s="66">
        <v>2.0</v>
      </c>
      <c r="L67" s="66">
        <v>0.0</v>
      </c>
      <c r="M67" s="66">
        <v>1.0</v>
      </c>
      <c r="N67" s="66">
        <v>0.0</v>
      </c>
      <c r="O67" s="66">
        <v>0.0</v>
      </c>
      <c r="P67" s="66">
        <v>0.0</v>
      </c>
      <c r="Q67" s="66">
        <v>9.0</v>
      </c>
      <c r="R67" s="66">
        <v>0.0</v>
      </c>
      <c r="S67" s="66">
        <v>2.0</v>
      </c>
      <c r="T67" s="66">
        <v>5.0</v>
      </c>
      <c r="U67" s="13">
        <f t="shared" si="9"/>
        <v>23</v>
      </c>
    </row>
    <row r="68" ht="12.75" customHeight="1">
      <c r="A68" s="18"/>
      <c r="B68" s="49"/>
      <c r="C68" s="50" t="s">
        <v>59</v>
      </c>
      <c r="D68" s="51"/>
      <c r="E68" s="66">
        <v>0.0</v>
      </c>
      <c r="F68" s="66">
        <v>0.0</v>
      </c>
      <c r="G68" s="66">
        <v>0.0</v>
      </c>
      <c r="H68" s="66">
        <v>0.0</v>
      </c>
      <c r="I68" s="66">
        <v>0.0</v>
      </c>
      <c r="J68" s="66">
        <v>0.0</v>
      </c>
      <c r="K68" s="66">
        <v>0.0</v>
      </c>
      <c r="L68" s="66">
        <v>4.0</v>
      </c>
      <c r="M68" s="66">
        <v>0.0</v>
      </c>
      <c r="N68" s="66">
        <v>0.0</v>
      </c>
      <c r="O68" s="66">
        <v>0.0</v>
      </c>
      <c r="P68" s="66">
        <v>0.0</v>
      </c>
      <c r="Q68" s="66">
        <v>0.0</v>
      </c>
      <c r="R68" s="66">
        <v>0.0</v>
      </c>
      <c r="S68" s="66">
        <v>0.0</v>
      </c>
      <c r="T68" s="66">
        <v>0.0</v>
      </c>
      <c r="U68" s="13">
        <f t="shared" si="9"/>
        <v>4</v>
      </c>
    </row>
    <row r="69" ht="12.75" customHeight="1">
      <c r="A69" s="18"/>
      <c r="B69" s="49"/>
      <c r="C69" s="50" t="s">
        <v>60</v>
      </c>
      <c r="D69" s="51"/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1.0</v>
      </c>
      <c r="K69" s="66">
        <v>0.0</v>
      </c>
      <c r="L69" s="66">
        <v>0.0</v>
      </c>
      <c r="M69" s="66">
        <v>0.0</v>
      </c>
      <c r="N69" s="66">
        <v>0.0</v>
      </c>
      <c r="O69" s="66">
        <v>0.0</v>
      </c>
      <c r="P69" s="66">
        <v>0.0</v>
      </c>
      <c r="Q69" s="66">
        <v>0.0</v>
      </c>
      <c r="R69" s="66">
        <v>0.0</v>
      </c>
      <c r="S69" s="66">
        <v>1.0</v>
      </c>
      <c r="T69" s="66">
        <v>0.0</v>
      </c>
      <c r="U69" s="13">
        <f t="shared" si="9"/>
        <v>2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T70" si="12">SUM(E63:E69)</f>
        <v>44</v>
      </c>
      <c r="F70" s="13">
        <f t="shared" si="12"/>
        <v>13</v>
      </c>
      <c r="G70" s="13">
        <f t="shared" si="12"/>
        <v>7</v>
      </c>
      <c r="H70" s="13">
        <f t="shared" si="12"/>
        <v>8</v>
      </c>
      <c r="I70" s="13">
        <f t="shared" si="12"/>
        <v>38</v>
      </c>
      <c r="J70" s="13">
        <f t="shared" si="12"/>
        <v>37</v>
      </c>
      <c r="K70" s="13">
        <f t="shared" si="12"/>
        <v>31</v>
      </c>
      <c r="L70" s="13">
        <f t="shared" si="12"/>
        <v>33</v>
      </c>
      <c r="M70" s="13">
        <f t="shared" si="12"/>
        <v>17</v>
      </c>
      <c r="N70" s="13">
        <f t="shared" si="12"/>
        <v>18</v>
      </c>
      <c r="O70" s="13">
        <f t="shared" si="12"/>
        <v>4</v>
      </c>
      <c r="P70" s="13">
        <f t="shared" si="12"/>
        <v>12</v>
      </c>
      <c r="Q70" s="13">
        <f t="shared" si="12"/>
        <v>32</v>
      </c>
      <c r="R70" s="13">
        <f t="shared" si="12"/>
        <v>78</v>
      </c>
      <c r="S70" s="13">
        <f t="shared" si="12"/>
        <v>32</v>
      </c>
      <c r="T70" s="13">
        <f t="shared" si="12"/>
        <v>31</v>
      </c>
      <c r="U70" s="13">
        <f t="shared" si="9"/>
        <v>435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13">
        <f t="shared" si="9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66">
        <v>1.0</v>
      </c>
      <c r="F72" s="66">
        <v>0.0</v>
      </c>
      <c r="G72" s="66">
        <v>1.0</v>
      </c>
      <c r="H72" s="66">
        <v>0.0</v>
      </c>
      <c r="I72" s="66">
        <v>0.0</v>
      </c>
      <c r="J72" s="66">
        <v>0.0</v>
      </c>
      <c r="K72" s="66">
        <v>0.0</v>
      </c>
      <c r="L72" s="66">
        <v>0.0</v>
      </c>
      <c r="M72" s="66">
        <v>1.0</v>
      </c>
      <c r="N72" s="66">
        <v>1.0</v>
      </c>
      <c r="O72" s="66">
        <v>1.0</v>
      </c>
      <c r="P72" s="66">
        <v>0.0</v>
      </c>
      <c r="Q72" s="66">
        <v>0.0</v>
      </c>
      <c r="R72" s="66">
        <v>0.0</v>
      </c>
      <c r="S72" s="66">
        <v>0.0</v>
      </c>
      <c r="T72" s="66">
        <v>0.0</v>
      </c>
      <c r="U72" s="13">
        <f t="shared" si="9"/>
        <v>5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0.0</v>
      </c>
      <c r="F73" s="66">
        <v>1.0</v>
      </c>
      <c r="G73" s="66">
        <v>1.0</v>
      </c>
      <c r="H73" s="66">
        <v>1.0</v>
      </c>
      <c r="I73" s="66">
        <v>2.0</v>
      </c>
      <c r="J73" s="66">
        <v>4.0</v>
      </c>
      <c r="K73" s="66">
        <v>5.0</v>
      </c>
      <c r="L73" s="66">
        <v>0.0</v>
      </c>
      <c r="M73" s="66">
        <v>2.0</v>
      </c>
      <c r="N73" s="66">
        <v>0.0</v>
      </c>
      <c r="O73" s="66">
        <v>0.0</v>
      </c>
      <c r="P73" s="66">
        <v>0.0</v>
      </c>
      <c r="Q73" s="66">
        <v>0.0</v>
      </c>
      <c r="R73" s="66">
        <v>1.0</v>
      </c>
      <c r="S73" s="66">
        <v>1.0</v>
      </c>
      <c r="T73" s="66">
        <v>6.0</v>
      </c>
      <c r="U73" s="13">
        <f t="shared" si="9"/>
        <v>24</v>
      </c>
    </row>
    <row r="74" ht="12.75" customHeight="1">
      <c r="A74" s="18"/>
      <c r="B74" s="49"/>
      <c r="C74" s="50" t="s">
        <v>63</v>
      </c>
      <c r="D74" s="51"/>
      <c r="E74" s="66">
        <v>0.0</v>
      </c>
      <c r="F74" s="66">
        <v>0.0</v>
      </c>
      <c r="G74" s="66">
        <v>0.0</v>
      </c>
      <c r="H74" s="66">
        <v>0.0</v>
      </c>
      <c r="I74" s="66">
        <v>0.0</v>
      </c>
      <c r="J74" s="66">
        <v>0.0</v>
      </c>
      <c r="K74" s="66">
        <v>0.0</v>
      </c>
      <c r="L74" s="66">
        <v>0.0</v>
      </c>
      <c r="M74" s="66">
        <v>0.0</v>
      </c>
      <c r="N74" s="66">
        <v>0.0</v>
      </c>
      <c r="O74" s="66">
        <v>0.0</v>
      </c>
      <c r="P74" s="66">
        <v>1.0</v>
      </c>
      <c r="Q74" s="66">
        <v>0.0</v>
      </c>
      <c r="R74" s="66">
        <v>0.0</v>
      </c>
      <c r="S74" s="66">
        <v>0.0</v>
      </c>
      <c r="T74" s="66">
        <v>1.0</v>
      </c>
      <c r="U74" s="13">
        <f t="shared" si="9"/>
        <v>2</v>
      </c>
    </row>
    <row r="75" ht="12.75" customHeight="1">
      <c r="A75" s="18"/>
      <c r="B75" s="49"/>
      <c r="C75" s="50" t="s">
        <v>64</v>
      </c>
      <c r="D75" s="51"/>
      <c r="E75" s="66">
        <v>0.0</v>
      </c>
      <c r="F75" s="66">
        <v>0.0</v>
      </c>
      <c r="G75" s="66">
        <v>0.0</v>
      </c>
      <c r="H75" s="66">
        <v>0.0</v>
      </c>
      <c r="I75" s="66">
        <v>0.0</v>
      </c>
      <c r="J75" s="66">
        <v>0.0</v>
      </c>
      <c r="K75" s="66">
        <v>0.0</v>
      </c>
      <c r="L75" s="66">
        <v>0.0</v>
      </c>
      <c r="M75" s="66">
        <v>0.0</v>
      </c>
      <c r="N75" s="66">
        <v>0.0</v>
      </c>
      <c r="O75" s="66">
        <v>0.0</v>
      </c>
      <c r="P75" s="66">
        <v>0.0</v>
      </c>
      <c r="Q75" s="66">
        <v>0.0</v>
      </c>
      <c r="R75" s="66">
        <v>0.0</v>
      </c>
      <c r="S75" s="66">
        <v>0.0</v>
      </c>
      <c r="T75" s="66">
        <v>0.0</v>
      </c>
      <c r="U75" s="13">
        <f t="shared" si="9"/>
        <v>0</v>
      </c>
    </row>
    <row r="76" ht="12.75" customHeight="1">
      <c r="A76" s="18"/>
      <c r="B76" s="49"/>
      <c r="C76" s="50" t="s">
        <v>65</v>
      </c>
      <c r="D76" s="51"/>
      <c r="E76" s="66">
        <v>1.0</v>
      </c>
      <c r="F76" s="66">
        <v>0.0</v>
      </c>
      <c r="G76" s="66">
        <v>0.0</v>
      </c>
      <c r="H76" s="66">
        <v>0.0</v>
      </c>
      <c r="I76" s="66">
        <v>0.0</v>
      </c>
      <c r="J76" s="66">
        <v>0.0</v>
      </c>
      <c r="K76" s="66">
        <v>0.0</v>
      </c>
      <c r="L76" s="66">
        <v>0.0</v>
      </c>
      <c r="M76" s="66">
        <v>0.0</v>
      </c>
      <c r="N76" s="66">
        <v>0.0</v>
      </c>
      <c r="O76" s="66">
        <v>0.0</v>
      </c>
      <c r="P76" s="66">
        <v>0.0</v>
      </c>
      <c r="Q76" s="66">
        <v>0.0</v>
      </c>
      <c r="R76" s="66">
        <v>0.0</v>
      </c>
      <c r="S76" s="66">
        <v>0.0</v>
      </c>
      <c r="T76" s="66">
        <v>0.0</v>
      </c>
      <c r="U76" s="13">
        <f t="shared" si="9"/>
        <v>1</v>
      </c>
    </row>
    <row r="77" ht="12.75" customHeight="1">
      <c r="A77" s="18"/>
      <c r="B77" s="49"/>
      <c r="C77" s="50" t="s">
        <v>66</v>
      </c>
      <c r="D77" s="51"/>
      <c r="E77" s="66">
        <v>1.0</v>
      </c>
      <c r="F77" s="66">
        <v>0.0</v>
      </c>
      <c r="G77" s="66">
        <v>0.0</v>
      </c>
      <c r="H77" s="66">
        <v>0.0</v>
      </c>
      <c r="I77" s="66">
        <v>0.0</v>
      </c>
      <c r="J77" s="66">
        <v>0.0</v>
      </c>
      <c r="K77" s="66">
        <v>1.0</v>
      </c>
      <c r="L77" s="66">
        <v>0.0</v>
      </c>
      <c r="M77" s="66">
        <v>0.0</v>
      </c>
      <c r="N77" s="66">
        <v>0.0</v>
      </c>
      <c r="O77" s="66">
        <v>0.0</v>
      </c>
      <c r="P77" s="66">
        <v>0.0</v>
      </c>
      <c r="Q77" s="66">
        <v>0.0</v>
      </c>
      <c r="R77" s="66">
        <v>0.0</v>
      </c>
      <c r="S77" s="66">
        <v>0.0</v>
      </c>
      <c r="T77" s="66">
        <v>0.0</v>
      </c>
      <c r="U77" s="13">
        <f t="shared" si="9"/>
        <v>2</v>
      </c>
    </row>
    <row r="78" ht="12.75" customHeight="1">
      <c r="A78" s="18"/>
      <c r="B78" s="49"/>
      <c r="C78" s="50" t="s">
        <v>67</v>
      </c>
      <c r="D78" s="51"/>
      <c r="E78" s="66">
        <v>0.0</v>
      </c>
      <c r="F78" s="66">
        <v>0.0</v>
      </c>
      <c r="G78" s="66">
        <v>0.0</v>
      </c>
      <c r="H78" s="66">
        <v>0.0</v>
      </c>
      <c r="I78" s="66">
        <v>2.0</v>
      </c>
      <c r="J78" s="66">
        <v>0.0</v>
      </c>
      <c r="K78" s="66">
        <v>1.0</v>
      </c>
      <c r="L78" s="66">
        <v>2.0</v>
      </c>
      <c r="M78" s="66">
        <v>0.0</v>
      </c>
      <c r="N78" s="66">
        <v>0.0</v>
      </c>
      <c r="O78" s="66">
        <v>0.0</v>
      </c>
      <c r="P78" s="66">
        <v>1.0</v>
      </c>
      <c r="Q78" s="66">
        <v>0.0</v>
      </c>
      <c r="R78" s="66">
        <v>0.0</v>
      </c>
      <c r="S78" s="66">
        <v>0.0</v>
      </c>
      <c r="T78" s="66">
        <v>0.0</v>
      </c>
      <c r="U78" s="13">
        <f t="shared" si="9"/>
        <v>6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T79" si="13">SUM(E72:E78)</f>
        <v>3</v>
      </c>
      <c r="F79" s="13">
        <f t="shared" si="13"/>
        <v>1</v>
      </c>
      <c r="G79" s="13">
        <f t="shared" si="13"/>
        <v>2</v>
      </c>
      <c r="H79" s="13">
        <f t="shared" si="13"/>
        <v>1</v>
      </c>
      <c r="I79" s="13">
        <f t="shared" si="13"/>
        <v>4</v>
      </c>
      <c r="J79" s="13">
        <f t="shared" si="13"/>
        <v>4</v>
      </c>
      <c r="K79" s="13">
        <f t="shared" si="13"/>
        <v>7</v>
      </c>
      <c r="L79" s="13">
        <f t="shared" si="13"/>
        <v>2</v>
      </c>
      <c r="M79" s="13">
        <f t="shared" si="13"/>
        <v>3</v>
      </c>
      <c r="N79" s="13">
        <f t="shared" si="13"/>
        <v>1</v>
      </c>
      <c r="O79" s="13">
        <f t="shared" si="13"/>
        <v>1</v>
      </c>
      <c r="P79" s="13">
        <f t="shared" si="13"/>
        <v>2</v>
      </c>
      <c r="Q79" s="13">
        <f t="shared" si="13"/>
        <v>0</v>
      </c>
      <c r="R79" s="13">
        <f t="shared" si="13"/>
        <v>1</v>
      </c>
      <c r="S79" s="13">
        <f t="shared" si="13"/>
        <v>1</v>
      </c>
      <c r="T79" s="13">
        <f t="shared" si="13"/>
        <v>7</v>
      </c>
      <c r="U79" s="13">
        <f t="shared" si="9"/>
        <v>40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13">
        <f t="shared" si="9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0.0</v>
      </c>
      <c r="F81" s="66">
        <v>0.0</v>
      </c>
      <c r="G81" s="66">
        <v>0.0</v>
      </c>
      <c r="H81" s="66">
        <v>4.0</v>
      </c>
      <c r="I81" s="66">
        <v>3.0</v>
      </c>
      <c r="J81" s="66">
        <v>1.0</v>
      </c>
      <c r="K81" s="66">
        <v>0.0</v>
      </c>
      <c r="L81" s="66">
        <v>0.0</v>
      </c>
      <c r="M81" s="66">
        <v>0.0</v>
      </c>
      <c r="N81" s="66">
        <v>1.0</v>
      </c>
      <c r="O81" s="66">
        <v>0.0</v>
      </c>
      <c r="P81" s="66">
        <v>0.0</v>
      </c>
      <c r="Q81" s="66">
        <v>1.0</v>
      </c>
      <c r="R81" s="66">
        <v>0.0</v>
      </c>
      <c r="S81" s="66">
        <v>0.0</v>
      </c>
      <c r="T81" s="66">
        <v>0.0</v>
      </c>
      <c r="U81" s="13">
        <f t="shared" si="9"/>
        <v>10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0.0</v>
      </c>
      <c r="F82" s="66">
        <v>0.0</v>
      </c>
      <c r="G82" s="66">
        <v>0.0</v>
      </c>
      <c r="H82" s="66">
        <v>0.0</v>
      </c>
      <c r="I82" s="66">
        <v>5.0</v>
      </c>
      <c r="J82" s="66">
        <v>2.0</v>
      </c>
      <c r="K82" s="66">
        <v>0.0</v>
      </c>
      <c r="L82" s="66">
        <v>0.0</v>
      </c>
      <c r="M82" s="66">
        <v>0.0</v>
      </c>
      <c r="N82" s="66">
        <v>0.0</v>
      </c>
      <c r="O82" s="66">
        <v>0.0</v>
      </c>
      <c r="P82" s="66">
        <v>0.0</v>
      </c>
      <c r="Q82" s="66">
        <v>1.0</v>
      </c>
      <c r="R82" s="66">
        <v>0.0</v>
      </c>
      <c r="S82" s="66">
        <v>0.0</v>
      </c>
      <c r="T82" s="66">
        <v>0.0</v>
      </c>
      <c r="U82" s="13">
        <f t="shared" si="9"/>
        <v>8</v>
      </c>
    </row>
    <row r="83" ht="12.75" customHeight="1">
      <c r="A83" s="18"/>
      <c r="B83" s="49"/>
      <c r="C83" s="50" t="s">
        <v>71</v>
      </c>
      <c r="D83" s="51"/>
      <c r="E83" s="66">
        <v>0.0</v>
      </c>
      <c r="F83" s="66">
        <v>0.0</v>
      </c>
      <c r="G83" s="66">
        <v>1.0</v>
      </c>
      <c r="H83" s="66">
        <v>25.0</v>
      </c>
      <c r="I83" s="66">
        <v>15.0</v>
      </c>
      <c r="J83" s="66">
        <v>4.0</v>
      </c>
      <c r="K83" s="66">
        <v>5.0</v>
      </c>
      <c r="L83" s="66">
        <v>8.0</v>
      </c>
      <c r="M83" s="66">
        <v>5.0</v>
      </c>
      <c r="N83" s="66">
        <v>9.0</v>
      </c>
      <c r="O83" s="66">
        <v>17.0</v>
      </c>
      <c r="P83" s="66">
        <v>23.0</v>
      </c>
      <c r="Q83" s="66">
        <v>2.0</v>
      </c>
      <c r="R83" s="66">
        <v>14.0</v>
      </c>
      <c r="S83" s="66">
        <v>10.0</v>
      </c>
      <c r="T83" s="66">
        <v>42.0</v>
      </c>
      <c r="U83" s="13">
        <f t="shared" si="9"/>
        <v>180</v>
      </c>
    </row>
    <row r="84" ht="12.75" customHeight="1">
      <c r="A84" s="18"/>
      <c r="B84" s="49"/>
      <c r="C84" s="50" t="s">
        <v>72</v>
      </c>
      <c r="D84" s="51"/>
      <c r="E84" s="66">
        <v>1.0</v>
      </c>
      <c r="F84" s="66">
        <v>0.0</v>
      </c>
      <c r="G84" s="66">
        <v>0.0</v>
      </c>
      <c r="H84" s="66">
        <v>0.0</v>
      </c>
      <c r="I84" s="66">
        <v>0.0</v>
      </c>
      <c r="J84" s="66">
        <v>0.0</v>
      </c>
      <c r="K84" s="66">
        <v>0.0</v>
      </c>
      <c r="L84" s="66">
        <v>0.0</v>
      </c>
      <c r="M84" s="66">
        <v>0.0</v>
      </c>
      <c r="N84" s="66">
        <v>0.0</v>
      </c>
      <c r="O84" s="66">
        <v>0.0</v>
      </c>
      <c r="P84" s="66">
        <v>0.0</v>
      </c>
      <c r="Q84" s="66">
        <v>1.0</v>
      </c>
      <c r="R84" s="66">
        <v>0.0</v>
      </c>
      <c r="S84" s="66">
        <v>0.0</v>
      </c>
      <c r="T84" s="66">
        <v>0.0</v>
      </c>
      <c r="U84" s="13">
        <f t="shared" si="9"/>
        <v>2</v>
      </c>
    </row>
    <row r="85" ht="12.75" customHeight="1">
      <c r="A85" s="18"/>
      <c r="B85" s="49"/>
      <c r="C85" s="50" t="s">
        <v>73</v>
      </c>
      <c r="D85" s="51"/>
      <c r="E85" s="66">
        <v>0.0</v>
      </c>
      <c r="F85" s="66">
        <v>0.0</v>
      </c>
      <c r="G85" s="66">
        <v>0.0</v>
      </c>
      <c r="H85" s="66">
        <v>1.0</v>
      </c>
      <c r="I85" s="66">
        <v>0.0</v>
      </c>
      <c r="J85" s="66">
        <v>0.0</v>
      </c>
      <c r="K85" s="66">
        <v>0.0</v>
      </c>
      <c r="L85" s="66">
        <v>0.0</v>
      </c>
      <c r="M85" s="66">
        <v>0.0</v>
      </c>
      <c r="N85" s="66">
        <v>0.0</v>
      </c>
      <c r="O85" s="66">
        <v>0.0</v>
      </c>
      <c r="P85" s="66">
        <v>0.0</v>
      </c>
      <c r="Q85" s="66">
        <v>0.0</v>
      </c>
      <c r="R85" s="66">
        <v>0.0</v>
      </c>
      <c r="S85" s="66">
        <v>0.0</v>
      </c>
      <c r="T85" s="66">
        <v>0.0</v>
      </c>
      <c r="U85" s="13">
        <f t="shared" si="9"/>
        <v>1</v>
      </c>
    </row>
    <row r="86" ht="12.75" customHeight="1">
      <c r="A86" s="18"/>
      <c r="B86" s="49"/>
      <c r="C86" s="50" t="s">
        <v>74</v>
      </c>
      <c r="D86" s="51"/>
      <c r="E86" s="66">
        <v>0.0</v>
      </c>
      <c r="F86" s="66">
        <v>2.0</v>
      </c>
      <c r="G86" s="66">
        <v>0.0</v>
      </c>
      <c r="H86" s="66">
        <v>0.0</v>
      </c>
      <c r="I86" s="66">
        <v>0.0</v>
      </c>
      <c r="J86" s="66">
        <v>0.0</v>
      </c>
      <c r="K86" s="66">
        <v>0.0</v>
      </c>
      <c r="L86" s="66">
        <v>0.0</v>
      </c>
      <c r="M86" s="66">
        <v>1.0</v>
      </c>
      <c r="N86" s="66">
        <v>0.0</v>
      </c>
      <c r="O86" s="66">
        <v>0.0</v>
      </c>
      <c r="P86" s="66">
        <v>0.0</v>
      </c>
      <c r="Q86" s="66">
        <v>0.0</v>
      </c>
      <c r="R86" s="66">
        <v>0.0</v>
      </c>
      <c r="S86" s="66">
        <v>0.0</v>
      </c>
      <c r="T86" s="66">
        <v>1.0</v>
      </c>
      <c r="U86" s="13">
        <f t="shared" si="9"/>
        <v>4</v>
      </c>
    </row>
    <row r="87" ht="12.75" customHeight="1">
      <c r="A87" s="18"/>
      <c r="B87" s="49"/>
      <c r="C87" s="50" t="s">
        <v>75</v>
      </c>
      <c r="D87" s="51"/>
      <c r="E87" s="66">
        <v>0.0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0.0</v>
      </c>
      <c r="O87" s="66">
        <v>0.0</v>
      </c>
      <c r="P87" s="66">
        <v>0.0</v>
      </c>
      <c r="Q87" s="66">
        <v>0.0</v>
      </c>
      <c r="R87" s="66">
        <v>0.0</v>
      </c>
      <c r="S87" s="66">
        <v>0.0</v>
      </c>
      <c r="T87" s="66">
        <v>0.0</v>
      </c>
      <c r="U87" s="13">
        <f t="shared" si="9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T88" si="14">SUM(E81:E87)</f>
        <v>1</v>
      </c>
      <c r="F88" s="13">
        <f t="shared" si="14"/>
        <v>2</v>
      </c>
      <c r="G88" s="13">
        <f t="shared" si="14"/>
        <v>1</v>
      </c>
      <c r="H88" s="13">
        <f t="shared" si="14"/>
        <v>30</v>
      </c>
      <c r="I88" s="13">
        <f t="shared" si="14"/>
        <v>23</v>
      </c>
      <c r="J88" s="13">
        <f t="shared" si="14"/>
        <v>7</v>
      </c>
      <c r="K88" s="13">
        <f t="shared" si="14"/>
        <v>5</v>
      </c>
      <c r="L88" s="13">
        <f t="shared" si="14"/>
        <v>8</v>
      </c>
      <c r="M88" s="13">
        <f t="shared" si="14"/>
        <v>6</v>
      </c>
      <c r="N88" s="13">
        <f t="shared" si="14"/>
        <v>10</v>
      </c>
      <c r="O88" s="13">
        <f t="shared" si="14"/>
        <v>17</v>
      </c>
      <c r="P88" s="13">
        <f t="shared" si="14"/>
        <v>23</v>
      </c>
      <c r="Q88" s="13">
        <f t="shared" si="14"/>
        <v>5</v>
      </c>
      <c r="R88" s="13">
        <f t="shared" si="14"/>
        <v>14</v>
      </c>
      <c r="S88" s="13">
        <f t="shared" si="14"/>
        <v>10</v>
      </c>
      <c r="T88" s="13">
        <f t="shared" si="14"/>
        <v>43</v>
      </c>
      <c r="U88" s="13">
        <f t="shared" si="9"/>
        <v>205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13">
        <f t="shared" si="9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66">
        <v>0.0</v>
      </c>
      <c r="F90" s="66">
        <v>0.0</v>
      </c>
      <c r="G90" s="66">
        <v>0.0</v>
      </c>
      <c r="H90" s="66">
        <v>0.0</v>
      </c>
      <c r="I90" s="66">
        <v>0.0</v>
      </c>
      <c r="J90" s="66">
        <v>0.0</v>
      </c>
      <c r="K90" s="66">
        <v>0.0</v>
      </c>
      <c r="L90" s="66">
        <v>0.0</v>
      </c>
      <c r="M90" s="66">
        <v>0.0</v>
      </c>
      <c r="N90" s="66">
        <v>0.0</v>
      </c>
      <c r="O90" s="66">
        <v>1.0</v>
      </c>
      <c r="P90" s="66">
        <v>0.0</v>
      </c>
      <c r="Q90" s="66">
        <v>0.0</v>
      </c>
      <c r="R90" s="66">
        <v>0.0</v>
      </c>
      <c r="S90" s="66">
        <v>0.0</v>
      </c>
      <c r="T90" s="66">
        <v>0.0</v>
      </c>
      <c r="U90" s="13">
        <f t="shared" si="9"/>
        <v>1</v>
      </c>
    </row>
    <row r="91" ht="12.75" customHeight="1">
      <c r="A91" s="30" t="s">
        <v>39</v>
      </c>
      <c r="B91" s="49"/>
      <c r="C91" s="50" t="s">
        <v>78</v>
      </c>
      <c r="D91" s="16"/>
      <c r="E91" s="66">
        <v>0.0</v>
      </c>
      <c r="F91" s="66">
        <v>0.0</v>
      </c>
      <c r="G91" s="66">
        <v>0.0</v>
      </c>
      <c r="H91" s="66">
        <v>0.0</v>
      </c>
      <c r="I91" s="66">
        <v>0.0</v>
      </c>
      <c r="J91" s="66">
        <v>0.0</v>
      </c>
      <c r="K91" s="66">
        <v>0.0</v>
      </c>
      <c r="L91" s="66">
        <v>0.0</v>
      </c>
      <c r="M91" s="66">
        <v>0.0</v>
      </c>
      <c r="N91" s="66">
        <v>0.0</v>
      </c>
      <c r="O91" s="66">
        <v>0.0</v>
      </c>
      <c r="P91" s="66">
        <v>0.0</v>
      </c>
      <c r="Q91" s="66">
        <v>0.0</v>
      </c>
      <c r="R91" s="66">
        <v>0.0</v>
      </c>
      <c r="S91" s="66">
        <v>0.0</v>
      </c>
      <c r="T91" s="66">
        <v>0.0</v>
      </c>
      <c r="U91" s="13">
        <f t="shared" si="9"/>
        <v>0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T92" si="15">SUM(E90:E91)</f>
        <v>0</v>
      </c>
      <c r="F92" s="58">
        <f t="shared" si="15"/>
        <v>0</v>
      </c>
      <c r="G92" s="58">
        <f t="shared" si="15"/>
        <v>0</v>
      </c>
      <c r="H92" s="58">
        <f t="shared" si="15"/>
        <v>0</v>
      </c>
      <c r="I92" s="58">
        <f t="shared" si="15"/>
        <v>0</v>
      </c>
      <c r="J92" s="58">
        <f t="shared" si="15"/>
        <v>0</v>
      </c>
      <c r="K92" s="58">
        <f t="shared" si="15"/>
        <v>0</v>
      </c>
      <c r="L92" s="58">
        <f t="shared" si="15"/>
        <v>0</v>
      </c>
      <c r="M92" s="58">
        <f t="shared" si="15"/>
        <v>0</v>
      </c>
      <c r="N92" s="58">
        <f t="shared" si="15"/>
        <v>0</v>
      </c>
      <c r="O92" s="58">
        <f t="shared" si="15"/>
        <v>1</v>
      </c>
      <c r="P92" s="58">
        <f t="shared" si="15"/>
        <v>0</v>
      </c>
      <c r="Q92" s="58">
        <f t="shared" si="15"/>
        <v>0</v>
      </c>
      <c r="R92" s="58">
        <f t="shared" si="15"/>
        <v>0</v>
      </c>
      <c r="S92" s="58">
        <f t="shared" si="15"/>
        <v>0</v>
      </c>
      <c r="T92" s="58">
        <f t="shared" si="15"/>
        <v>0</v>
      </c>
      <c r="U92" s="13">
        <f t="shared" si="9"/>
        <v>1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13">
        <f t="shared" si="9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66">
        <v>0.0</v>
      </c>
      <c r="F94" s="66">
        <v>0.0</v>
      </c>
      <c r="G94" s="66">
        <v>0.0</v>
      </c>
      <c r="H94" s="66">
        <v>0.0</v>
      </c>
      <c r="I94" s="66">
        <v>0.0</v>
      </c>
      <c r="J94" s="66">
        <v>0.0</v>
      </c>
      <c r="K94" s="66">
        <v>0.0</v>
      </c>
      <c r="L94" s="66">
        <v>0.0</v>
      </c>
      <c r="M94" s="66">
        <v>0.0</v>
      </c>
      <c r="N94" s="66">
        <v>0.0</v>
      </c>
      <c r="O94" s="66">
        <v>0.0</v>
      </c>
      <c r="P94" s="66">
        <v>0.0</v>
      </c>
      <c r="Q94" s="66">
        <v>0.0</v>
      </c>
      <c r="R94" s="66">
        <v>0.0</v>
      </c>
      <c r="S94" s="66">
        <v>0.0</v>
      </c>
      <c r="T94" s="66">
        <v>0.0</v>
      </c>
      <c r="U94" s="13">
        <f t="shared" si="9"/>
        <v>0</v>
      </c>
    </row>
    <row r="95" ht="12.75" customHeight="1">
      <c r="A95" s="30" t="s">
        <v>39</v>
      </c>
      <c r="B95" s="49"/>
      <c r="C95" s="50" t="s">
        <v>81</v>
      </c>
      <c r="D95" s="51"/>
      <c r="E95" s="66">
        <v>0.0</v>
      </c>
      <c r="F95" s="66">
        <v>0.0</v>
      </c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0.0</v>
      </c>
      <c r="M95" s="66">
        <v>0.0</v>
      </c>
      <c r="N95" s="66">
        <v>0.0</v>
      </c>
      <c r="O95" s="66">
        <v>0.0</v>
      </c>
      <c r="P95" s="66">
        <v>0.0</v>
      </c>
      <c r="Q95" s="66">
        <v>0.0</v>
      </c>
      <c r="R95" s="66">
        <v>1.0</v>
      </c>
      <c r="S95" s="66">
        <v>0.0</v>
      </c>
      <c r="T95" s="66">
        <v>0.0</v>
      </c>
      <c r="U95" s="13">
        <f t="shared" si="9"/>
        <v>1</v>
      </c>
    </row>
    <row r="96" ht="12.75" customHeight="1">
      <c r="A96" s="30"/>
      <c r="B96" s="49"/>
      <c r="C96" s="50" t="s">
        <v>82</v>
      </c>
      <c r="D96" s="51"/>
      <c r="E96" s="66">
        <v>0.0</v>
      </c>
      <c r="F96" s="66">
        <v>0.0</v>
      </c>
      <c r="G96" s="66">
        <v>0.0</v>
      </c>
      <c r="H96" s="66">
        <v>1.0</v>
      </c>
      <c r="I96" s="66">
        <v>0.0</v>
      </c>
      <c r="J96" s="66">
        <v>0.0</v>
      </c>
      <c r="K96" s="66">
        <v>0.0</v>
      </c>
      <c r="L96" s="66">
        <v>0.0</v>
      </c>
      <c r="M96" s="66">
        <v>0.0</v>
      </c>
      <c r="N96" s="66">
        <v>0.0</v>
      </c>
      <c r="O96" s="66">
        <v>0.0</v>
      </c>
      <c r="P96" s="66">
        <v>0.0</v>
      </c>
      <c r="Q96" s="66">
        <v>0.0</v>
      </c>
      <c r="R96" s="66">
        <v>0.0</v>
      </c>
      <c r="S96" s="66">
        <v>0.0</v>
      </c>
      <c r="T96" s="66">
        <v>0.0</v>
      </c>
      <c r="U96" s="13">
        <f t="shared" si="9"/>
        <v>1</v>
      </c>
    </row>
    <row r="97" ht="12.75" customHeight="1">
      <c r="A97" s="30"/>
      <c r="B97" s="49"/>
      <c r="C97" s="50" t="s">
        <v>83</v>
      </c>
      <c r="D97" s="51"/>
      <c r="E97" s="66">
        <v>0.0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0.0</v>
      </c>
      <c r="N97" s="66">
        <v>0.0</v>
      </c>
      <c r="O97" s="66">
        <v>0.0</v>
      </c>
      <c r="P97" s="66">
        <v>0.0</v>
      </c>
      <c r="Q97" s="66">
        <v>0.0</v>
      </c>
      <c r="R97" s="66">
        <v>0.0</v>
      </c>
      <c r="S97" s="66">
        <v>0.0</v>
      </c>
      <c r="T97" s="66">
        <v>0.0</v>
      </c>
      <c r="U97" s="13">
        <f t="shared" si="9"/>
        <v>0</v>
      </c>
    </row>
    <row r="98" ht="12.75" customHeight="1">
      <c r="A98" s="30"/>
      <c r="B98" s="49"/>
      <c r="C98" s="50" t="s">
        <v>84</v>
      </c>
      <c r="D98" s="51"/>
      <c r="E98" s="66">
        <v>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0.0</v>
      </c>
      <c r="P98" s="66">
        <v>0.0</v>
      </c>
      <c r="Q98" s="66">
        <v>0.0</v>
      </c>
      <c r="R98" s="66">
        <v>0.0</v>
      </c>
      <c r="S98" s="66">
        <v>0.0</v>
      </c>
      <c r="T98" s="66">
        <v>0.0</v>
      </c>
      <c r="U98" s="13">
        <f t="shared" si="9"/>
        <v>0</v>
      </c>
    </row>
    <row r="99" ht="12.75" customHeight="1">
      <c r="A99" s="30"/>
      <c r="B99" s="49"/>
      <c r="C99" s="50" t="s">
        <v>85</v>
      </c>
      <c r="D99" s="51"/>
      <c r="E99" s="66">
        <v>0.0</v>
      </c>
      <c r="F99" s="66">
        <v>0.0</v>
      </c>
      <c r="G99" s="66">
        <v>0.0</v>
      </c>
      <c r="H99" s="66">
        <v>0.0</v>
      </c>
      <c r="I99" s="66">
        <v>0.0</v>
      </c>
      <c r="J99" s="66">
        <v>0.0</v>
      </c>
      <c r="K99" s="66">
        <v>0.0</v>
      </c>
      <c r="L99" s="66">
        <v>0.0</v>
      </c>
      <c r="M99" s="66">
        <v>0.0</v>
      </c>
      <c r="N99" s="66">
        <v>0.0</v>
      </c>
      <c r="O99" s="66">
        <v>0.0</v>
      </c>
      <c r="P99" s="66">
        <v>0.0</v>
      </c>
      <c r="Q99" s="66">
        <v>0.0</v>
      </c>
      <c r="R99" s="66">
        <v>0.0</v>
      </c>
      <c r="S99" s="66">
        <v>0.0</v>
      </c>
      <c r="T99" s="66">
        <v>0.0</v>
      </c>
      <c r="U99" s="13">
        <f t="shared" si="9"/>
        <v>0</v>
      </c>
    </row>
    <row r="100" ht="12.75" customHeight="1">
      <c r="A100" s="30"/>
      <c r="B100" s="49"/>
      <c r="C100" s="50" t="s">
        <v>86</v>
      </c>
      <c r="D100" s="51"/>
      <c r="E100" s="66">
        <v>0.0</v>
      </c>
      <c r="F100" s="66">
        <v>0.0</v>
      </c>
      <c r="G100" s="66">
        <v>0.0</v>
      </c>
      <c r="H100" s="66">
        <v>0.0</v>
      </c>
      <c r="I100" s="66">
        <v>1.0</v>
      </c>
      <c r="J100" s="66">
        <v>1.0</v>
      </c>
      <c r="K100" s="66">
        <v>0.0</v>
      </c>
      <c r="L100" s="66">
        <v>0.0</v>
      </c>
      <c r="M100" s="66">
        <v>0.0</v>
      </c>
      <c r="N100" s="66">
        <v>0.0</v>
      </c>
      <c r="O100" s="66">
        <v>0.0</v>
      </c>
      <c r="P100" s="66">
        <v>0.0</v>
      </c>
      <c r="Q100" s="66">
        <v>0.0</v>
      </c>
      <c r="R100" s="66">
        <v>0.0</v>
      </c>
      <c r="S100" s="66">
        <v>0.0</v>
      </c>
      <c r="T100" s="66">
        <v>0.0</v>
      </c>
      <c r="U100" s="13">
        <f t="shared" si="9"/>
        <v>2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T101" si="16">SUM(E94:E100)</f>
        <v>0</v>
      </c>
      <c r="F101" s="13">
        <f t="shared" si="16"/>
        <v>0</v>
      </c>
      <c r="G101" s="13">
        <f t="shared" si="16"/>
        <v>0</v>
      </c>
      <c r="H101" s="13">
        <f t="shared" si="16"/>
        <v>1</v>
      </c>
      <c r="I101" s="13">
        <f t="shared" si="16"/>
        <v>1</v>
      </c>
      <c r="J101" s="13">
        <f t="shared" si="16"/>
        <v>1</v>
      </c>
      <c r="K101" s="13">
        <f t="shared" si="16"/>
        <v>0</v>
      </c>
      <c r="L101" s="13">
        <f t="shared" si="16"/>
        <v>0</v>
      </c>
      <c r="M101" s="13">
        <f t="shared" si="16"/>
        <v>0</v>
      </c>
      <c r="N101" s="13">
        <f t="shared" si="16"/>
        <v>0</v>
      </c>
      <c r="O101" s="13">
        <f t="shared" si="16"/>
        <v>0</v>
      </c>
      <c r="P101" s="13">
        <f t="shared" si="16"/>
        <v>0</v>
      </c>
      <c r="Q101" s="13">
        <f t="shared" si="16"/>
        <v>0</v>
      </c>
      <c r="R101" s="13">
        <f t="shared" si="16"/>
        <v>1</v>
      </c>
      <c r="S101" s="13">
        <f t="shared" si="16"/>
        <v>0</v>
      </c>
      <c r="T101" s="13">
        <f t="shared" si="16"/>
        <v>0</v>
      </c>
      <c r="U101" s="13">
        <f t="shared" si="9"/>
        <v>4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13">
        <f t="shared" si="9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66">
        <v>0.0</v>
      </c>
      <c r="F103" s="66">
        <v>0.0</v>
      </c>
      <c r="G103" s="66">
        <v>0.0</v>
      </c>
      <c r="H103" s="66">
        <v>0.0</v>
      </c>
      <c r="I103" s="66">
        <v>0.0</v>
      </c>
      <c r="J103" s="66">
        <v>0.0</v>
      </c>
      <c r="K103" s="66">
        <v>0.0</v>
      </c>
      <c r="L103" s="66">
        <v>1.0</v>
      </c>
      <c r="M103" s="66">
        <v>0.0</v>
      </c>
      <c r="N103" s="66">
        <v>0.0</v>
      </c>
      <c r="O103" s="66">
        <v>0.0</v>
      </c>
      <c r="P103" s="66">
        <v>0.0</v>
      </c>
      <c r="Q103" s="66">
        <v>0.0</v>
      </c>
      <c r="R103" s="66">
        <v>0.0</v>
      </c>
      <c r="S103" s="66">
        <v>0.0</v>
      </c>
      <c r="T103" s="66">
        <v>0.0</v>
      </c>
      <c r="U103" s="13">
        <f t="shared" si="9"/>
        <v>1</v>
      </c>
    </row>
    <row r="104" ht="12.75" customHeight="1">
      <c r="A104" s="30" t="s">
        <v>39</v>
      </c>
      <c r="B104" s="49"/>
      <c r="C104" s="50" t="s">
        <v>89</v>
      </c>
      <c r="D104" s="51"/>
      <c r="E104" s="66">
        <v>0.0</v>
      </c>
      <c r="F104" s="66">
        <v>0.0</v>
      </c>
      <c r="G104" s="66">
        <v>0.0</v>
      </c>
      <c r="H104" s="66">
        <v>1.0</v>
      </c>
      <c r="I104" s="66">
        <v>0.0</v>
      </c>
      <c r="J104" s="66">
        <v>0.0</v>
      </c>
      <c r="K104" s="66">
        <v>0.0</v>
      </c>
      <c r="L104" s="66">
        <v>0.0</v>
      </c>
      <c r="M104" s="66">
        <v>0.0</v>
      </c>
      <c r="N104" s="66">
        <v>0.0</v>
      </c>
      <c r="O104" s="66">
        <v>0.0</v>
      </c>
      <c r="P104" s="66">
        <v>0.0</v>
      </c>
      <c r="Q104" s="66">
        <v>1.0</v>
      </c>
      <c r="R104" s="66">
        <v>0.0</v>
      </c>
      <c r="S104" s="66">
        <v>0.0</v>
      </c>
      <c r="T104" s="66">
        <v>0.0</v>
      </c>
      <c r="U104" s="13">
        <f t="shared" si="9"/>
        <v>2</v>
      </c>
    </row>
    <row r="105" ht="12.75" customHeight="1">
      <c r="A105" s="18"/>
      <c r="B105" s="49"/>
      <c r="C105" s="50" t="s">
        <v>90</v>
      </c>
      <c r="D105" s="51"/>
      <c r="E105" s="66">
        <v>0.0</v>
      </c>
      <c r="F105" s="66">
        <v>0.0</v>
      </c>
      <c r="G105" s="66">
        <v>0.0</v>
      </c>
      <c r="H105" s="66">
        <v>0.0</v>
      </c>
      <c r="I105" s="66">
        <v>0.0</v>
      </c>
      <c r="J105" s="66">
        <v>0.0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66">
        <v>0.0</v>
      </c>
      <c r="Q105" s="66">
        <v>0.0</v>
      </c>
      <c r="R105" s="66">
        <v>0.0</v>
      </c>
      <c r="S105" s="66">
        <v>0.0</v>
      </c>
      <c r="T105" s="66">
        <v>0.0</v>
      </c>
      <c r="U105" s="13">
        <f t="shared" si="9"/>
        <v>0</v>
      </c>
    </row>
    <row r="106" ht="12.75" customHeight="1">
      <c r="A106" s="18"/>
      <c r="B106" s="49"/>
      <c r="C106" s="50" t="s">
        <v>91</v>
      </c>
      <c r="D106" s="51"/>
      <c r="E106" s="66">
        <v>0.0</v>
      </c>
      <c r="F106" s="66">
        <v>0.0</v>
      </c>
      <c r="G106" s="66">
        <v>0.0</v>
      </c>
      <c r="H106" s="66">
        <v>1.0</v>
      </c>
      <c r="I106" s="66">
        <v>0.0</v>
      </c>
      <c r="J106" s="66">
        <v>0.0</v>
      </c>
      <c r="K106" s="66">
        <v>0.0</v>
      </c>
      <c r="L106" s="66">
        <v>0.0</v>
      </c>
      <c r="M106" s="66">
        <v>0.0</v>
      </c>
      <c r="N106" s="66">
        <v>0.0</v>
      </c>
      <c r="O106" s="66">
        <v>0.0</v>
      </c>
      <c r="P106" s="66">
        <v>0.0</v>
      </c>
      <c r="Q106" s="66">
        <v>0.0</v>
      </c>
      <c r="R106" s="66">
        <v>0.0</v>
      </c>
      <c r="S106" s="66">
        <v>0.0</v>
      </c>
      <c r="T106" s="66">
        <v>0.0</v>
      </c>
      <c r="U106" s="13">
        <f t="shared" si="9"/>
        <v>1</v>
      </c>
    </row>
    <row r="107" ht="12.75" customHeight="1">
      <c r="A107" s="18"/>
      <c r="B107" s="49"/>
      <c r="C107" s="50" t="s">
        <v>92</v>
      </c>
      <c r="D107" s="51"/>
      <c r="E107" s="66">
        <v>0.0</v>
      </c>
      <c r="F107" s="66">
        <v>0.0</v>
      </c>
      <c r="G107" s="66">
        <v>0.0</v>
      </c>
      <c r="H107" s="66">
        <v>0.0</v>
      </c>
      <c r="I107" s="66">
        <v>0.0</v>
      </c>
      <c r="J107" s="66">
        <v>0.0</v>
      </c>
      <c r="K107" s="66">
        <v>0.0</v>
      </c>
      <c r="L107" s="66">
        <v>0.0</v>
      </c>
      <c r="M107" s="66">
        <v>0.0</v>
      </c>
      <c r="N107" s="66">
        <v>0.0</v>
      </c>
      <c r="O107" s="66">
        <v>0.0</v>
      </c>
      <c r="P107" s="66">
        <v>0.0</v>
      </c>
      <c r="Q107" s="66">
        <v>0.0</v>
      </c>
      <c r="R107" s="66">
        <v>0.0</v>
      </c>
      <c r="S107" s="66">
        <v>0.0</v>
      </c>
      <c r="T107" s="66">
        <v>0.0</v>
      </c>
      <c r="U107" s="13">
        <f t="shared" si="9"/>
        <v>0</v>
      </c>
    </row>
    <row r="108" ht="12.75" customHeight="1">
      <c r="A108" s="18"/>
      <c r="B108" s="49"/>
      <c r="C108" s="50" t="s">
        <v>93</v>
      </c>
      <c r="D108" s="51"/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0.0</v>
      </c>
      <c r="N108" s="66">
        <v>0.0</v>
      </c>
      <c r="O108" s="66">
        <v>0.0</v>
      </c>
      <c r="P108" s="66">
        <v>0.0</v>
      </c>
      <c r="Q108" s="66">
        <v>0.0</v>
      </c>
      <c r="R108" s="66">
        <v>0.0</v>
      </c>
      <c r="S108" s="66">
        <v>0.0</v>
      </c>
      <c r="T108" s="66">
        <v>0.0</v>
      </c>
      <c r="U108" s="13">
        <f t="shared" si="9"/>
        <v>0</v>
      </c>
    </row>
    <row r="109" ht="12.75" customHeight="1">
      <c r="A109" s="18"/>
      <c r="B109" s="49"/>
      <c r="C109" s="50" t="s">
        <v>94</v>
      </c>
      <c r="D109" s="51"/>
      <c r="E109" s="66">
        <v>0.0</v>
      </c>
      <c r="F109" s="66">
        <v>0.0</v>
      </c>
      <c r="G109" s="66">
        <v>0.0</v>
      </c>
      <c r="H109" s="66">
        <v>0.0</v>
      </c>
      <c r="I109" s="66">
        <v>0.0</v>
      </c>
      <c r="J109" s="66">
        <v>0.0</v>
      </c>
      <c r="K109" s="66">
        <v>0.0</v>
      </c>
      <c r="L109" s="66">
        <v>0.0</v>
      </c>
      <c r="M109" s="66">
        <v>0.0</v>
      </c>
      <c r="N109" s="66">
        <v>0.0</v>
      </c>
      <c r="O109" s="66">
        <v>0.0</v>
      </c>
      <c r="P109" s="66">
        <v>0.0</v>
      </c>
      <c r="Q109" s="66">
        <v>0.0</v>
      </c>
      <c r="R109" s="66">
        <v>0.0</v>
      </c>
      <c r="S109" s="66">
        <v>0.0</v>
      </c>
      <c r="T109" s="66">
        <v>0.0</v>
      </c>
      <c r="U109" s="13">
        <f t="shared" si="9"/>
        <v>0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T110" si="17">SUM(E103:E109)</f>
        <v>0</v>
      </c>
      <c r="F110" s="13">
        <f t="shared" si="17"/>
        <v>0</v>
      </c>
      <c r="G110" s="13">
        <f t="shared" si="17"/>
        <v>0</v>
      </c>
      <c r="H110" s="13">
        <f t="shared" si="17"/>
        <v>2</v>
      </c>
      <c r="I110" s="13">
        <f t="shared" si="17"/>
        <v>0</v>
      </c>
      <c r="J110" s="13">
        <f t="shared" si="17"/>
        <v>0</v>
      </c>
      <c r="K110" s="13">
        <f t="shared" si="17"/>
        <v>0</v>
      </c>
      <c r="L110" s="13">
        <f t="shared" si="17"/>
        <v>1</v>
      </c>
      <c r="M110" s="13">
        <f t="shared" si="17"/>
        <v>0</v>
      </c>
      <c r="N110" s="13">
        <f t="shared" si="17"/>
        <v>0</v>
      </c>
      <c r="O110" s="13">
        <f t="shared" si="17"/>
        <v>0</v>
      </c>
      <c r="P110" s="13">
        <f t="shared" si="17"/>
        <v>0</v>
      </c>
      <c r="Q110" s="13">
        <f t="shared" si="17"/>
        <v>1</v>
      </c>
      <c r="R110" s="13">
        <f t="shared" si="17"/>
        <v>0</v>
      </c>
      <c r="S110" s="13">
        <f t="shared" si="17"/>
        <v>0</v>
      </c>
      <c r="T110" s="13">
        <f t="shared" si="17"/>
        <v>0</v>
      </c>
      <c r="U110" s="13">
        <f t="shared" si="9"/>
        <v>4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13">
        <f t="shared" si="9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66">
        <v>0.0</v>
      </c>
      <c r="F112" s="66">
        <v>1.0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66">
        <v>0.0</v>
      </c>
      <c r="Q112" s="66">
        <v>0.0</v>
      </c>
      <c r="R112" s="66">
        <v>0.0</v>
      </c>
      <c r="S112" s="66">
        <v>0.0</v>
      </c>
      <c r="T112" s="66">
        <v>0.0</v>
      </c>
      <c r="U112" s="13">
        <f t="shared" si="9"/>
        <v>1</v>
      </c>
    </row>
    <row r="113" ht="12.75" customHeight="1">
      <c r="A113" s="30"/>
      <c r="B113" s="47"/>
      <c r="C113" s="50" t="s">
        <v>97</v>
      </c>
      <c r="D113" s="59"/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66">
        <v>0.0</v>
      </c>
      <c r="Q113" s="66">
        <v>0.0</v>
      </c>
      <c r="R113" s="66">
        <v>0.0</v>
      </c>
      <c r="S113" s="66">
        <v>0.0</v>
      </c>
      <c r="T113" s="66">
        <v>0.0</v>
      </c>
      <c r="U113" s="13">
        <f t="shared" si="9"/>
        <v>0</v>
      </c>
    </row>
    <row r="114" ht="12.75" customHeight="1">
      <c r="A114" s="30"/>
      <c r="B114" s="47"/>
      <c r="C114" s="50" t="s">
        <v>98</v>
      </c>
      <c r="D114" s="59"/>
      <c r="E114" s="66">
        <v>0.0</v>
      </c>
      <c r="F114" s="66">
        <v>0.0</v>
      </c>
      <c r="G114" s="66">
        <v>0.0</v>
      </c>
      <c r="H114" s="66">
        <v>0.0</v>
      </c>
      <c r="I114" s="66">
        <v>0.0</v>
      </c>
      <c r="J114" s="66">
        <v>0.0</v>
      </c>
      <c r="K114" s="66">
        <v>0.0</v>
      </c>
      <c r="L114" s="66">
        <v>0.0</v>
      </c>
      <c r="M114" s="66">
        <v>0.0</v>
      </c>
      <c r="N114" s="66">
        <v>0.0</v>
      </c>
      <c r="O114" s="66">
        <v>0.0</v>
      </c>
      <c r="P114" s="66">
        <v>0.0</v>
      </c>
      <c r="Q114" s="66">
        <v>0.0</v>
      </c>
      <c r="R114" s="66">
        <v>0.0</v>
      </c>
      <c r="S114" s="66">
        <v>0.0</v>
      </c>
      <c r="T114" s="66">
        <v>0.0</v>
      </c>
      <c r="U114" s="13">
        <f t="shared" si="9"/>
        <v>0</v>
      </c>
    </row>
    <row r="115" ht="12.75" customHeight="1">
      <c r="A115" s="30"/>
      <c r="B115" s="47"/>
      <c r="C115" s="50" t="s">
        <v>99</v>
      </c>
      <c r="D115" s="59"/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0.0</v>
      </c>
      <c r="K115" s="66">
        <v>0.0</v>
      </c>
      <c r="L115" s="66">
        <v>0.0</v>
      </c>
      <c r="M115" s="66">
        <v>0.0</v>
      </c>
      <c r="N115" s="66">
        <v>0.0</v>
      </c>
      <c r="O115" s="66">
        <v>0.0</v>
      </c>
      <c r="P115" s="66">
        <v>0.0</v>
      </c>
      <c r="Q115" s="66">
        <v>0.0</v>
      </c>
      <c r="R115" s="66">
        <v>0.0</v>
      </c>
      <c r="S115" s="66">
        <v>0.0</v>
      </c>
      <c r="T115" s="66">
        <v>0.0</v>
      </c>
      <c r="U115" s="13">
        <f t="shared" si="9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66">
        <v>0.0</v>
      </c>
      <c r="F116" s="66">
        <v>0.0</v>
      </c>
      <c r="G116" s="66">
        <v>0.0</v>
      </c>
      <c r="H116" s="66">
        <v>0.0</v>
      </c>
      <c r="I116" s="66">
        <v>0.0</v>
      </c>
      <c r="J116" s="66">
        <v>0.0</v>
      </c>
      <c r="K116" s="66">
        <v>0.0</v>
      </c>
      <c r="L116" s="66">
        <v>0.0</v>
      </c>
      <c r="M116" s="66">
        <v>0.0</v>
      </c>
      <c r="N116" s="66">
        <v>0.0</v>
      </c>
      <c r="O116" s="66">
        <v>0.0</v>
      </c>
      <c r="P116" s="66">
        <v>0.0</v>
      </c>
      <c r="Q116" s="66">
        <v>0.0</v>
      </c>
      <c r="R116" s="66">
        <v>0.0</v>
      </c>
      <c r="S116" s="66">
        <v>0.0</v>
      </c>
      <c r="T116" s="66">
        <v>0.0</v>
      </c>
      <c r="U116" s="13">
        <f t="shared" si="9"/>
        <v>0</v>
      </c>
    </row>
    <row r="117" ht="12.75" customHeight="1">
      <c r="A117" s="18"/>
      <c r="B117" s="49"/>
      <c r="C117" s="50" t="s">
        <v>101</v>
      </c>
      <c r="D117" s="51"/>
      <c r="E117" s="66">
        <v>0.0</v>
      </c>
      <c r="F117" s="66">
        <v>0.0</v>
      </c>
      <c r="G117" s="66">
        <v>0.0</v>
      </c>
      <c r="H117" s="66">
        <v>0.0</v>
      </c>
      <c r="I117" s="66">
        <v>0.0</v>
      </c>
      <c r="J117" s="66">
        <v>0.0</v>
      </c>
      <c r="K117" s="66">
        <v>0.0</v>
      </c>
      <c r="L117" s="66">
        <v>0.0</v>
      </c>
      <c r="M117" s="66">
        <v>0.0</v>
      </c>
      <c r="N117" s="66">
        <v>0.0</v>
      </c>
      <c r="O117" s="66">
        <v>0.0</v>
      </c>
      <c r="P117" s="66">
        <v>0.0</v>
      </c>
      <c r="Q117" s="66">
        <v>0.0</v>
      </c>
      <c r="R117" s="66">
        <v>0.0</v>
      </c>
      <c r="S117" s="66">
        <v>0.0</v>
      </c>
      <c r="T117" s="66">
        <v>0.0</v>
      </c>
      <c r="U117" s="13">
        <f t="shared" si="9"/>
        <v>0</v>
      </c>
      <c r="V117" s="5"/>
      <c r="W117" s="5"/>
    </row>
    <row r="118" ht="12.75" customHeight="1">
      <c r="A118" s="18"/>
      <c r="B118" s="49"/>
      <c r="C118" s="50" t="s">
        <v>102</v>
      </c>
      <c r="D118" s="51"/>
      <c r="E118" s="66">
        <v>0.0</v>
      </c>
      <c r="F118" s="66">
        <v>0.0</v>
      </c>
      <c r="G118" s="66">
        <v>0.0</v>
      </c>
      <c r="H118" s="66">
        <v>0.0</v>
      </c>
      <c r="I118" s="66">
        <v>0.0</v>
      </c>
      <c r="J118" s="66">
        <v>0.0</v>
      </c>
      <c r="K118" s="66">
        <v>0.0</v>
      </c>
      <c r="L118" s="66">
        <v>0.0</v>
      </c>
      <c r="M118" s="66">
        <v>0.0</v>
      </c>
      <c r="N118" s="66">
        <v>0.0</v>
      </c>
      <c r="O118" s="66">
        <v>0.0</v>
      </c>
      <c r="P118" s="66">
        <v>0.0</v>
      </c>
      <c r="Q118" s="66">
        <v>0.0</v>
      </c>
      <c r="R118" s="66">
        <v>0.0</v>
      </c>
      <c r="S118" s="66">
        <v>0.0</v>
      </c>
      <c r="T118" s="66">
        <v>0.0</v>
      </c>
      <c r="U118" s="13">
        <f t="shared" si="9"/>
        <v>0</v>
      </c>
      <c r="V118" s="5"/>
      <c r="W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T119" si="18">SUM(E112:E118)</f>
        <v>0</v>
      </c>
      <c r="F119" s="13">
        <f t="shared" si="18"/>
        <v>1</v>
      </c>
      <c r="G119" s="13">
        <f t="shared" si="18"/>
        <v>0</v>
      </c>
      <c r="H119" s="13">
        <f t="shared" si="18"/>
        <v>0</v>
      </c>
      <c r="I119" s="13">
        <f t="shared" si="18"/>
        <v>0</v>
      </c>
      <c r="J119" s="13">
        <f t="shared" si="18"/>
        <v>0</v>
      </c>
      <c r="K119" s="13">
        <f t="shared" si="18"/>
        <v>0</v>
      </c>
      <c r="L119" s="13">
        <f t="shared" si="18"/>
        <v>0</v>
      </c>
      <c r="M119" s="13">
        <f t="shared" si="18"/>
        <v>0</v>
      </c>
      <c r="N119" s="13">
        <f t="shared" si="18"/>
        <v>0</v>
      </c>
      <c r="O119" s="13">
        <f t="shared" si="18"/>
        <v>0</v>
      </c>
      <c r="P119" s="13">
        <f t="shared" si="18"/>
        <v>0</v>
      </c>
      <c r="Q119" s="13">
        <f t="shared" si="18"/>
        <v>0</v>
      </c>
      <c r="R119" s="13">
        <f t="shared" si="18"/>
        <v>0</v>
      </c>
      <c r="S119" s="13">
        <f t="shared" si="18"/>
        <v>0</v>
      </c>
      <c r="T119" s="13">
        <f t="shared" si="18"/>
        <v>0</v>
      </c>
      <c r="U119" s="13">
        <f t="shared" si="9"/>
        <v>1</v>
      </c>
      <c r="V119" s="5"/>
      <c r="W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13">
        <f t="shared" si="9"/>
        <v>0</v>
      </c>
      <c r="V120" s="5"/>
      <c r="W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66">
        <v>0.0</v>
      </c>
      <c r="F121" s="66">
        <v>0.0</v>
      </c>
      <c r="G121" s="66">
        <v>0.0</v>
      </c>
      <c r="H121" s="66">
        <v>0.0</v>
      </c>
      <c r="I121" s="66">
        <v>0.0</v>
      </c>
      <c r="J121" s="66">
        <v>0.0</v>
      </c>
      <c r="K121" s="66">
        <v>0.0</v>
      </c>
      <c r="L121" s="66">
        <v>0.0</v>
      </c>
      <c r="M121" s="66">
        <v>0.0</v>
      </c>
      <c r="N121" s="66">
        <v>0.0</v>
      </c>
      <c r="O121" s="66">
        <v>0.0</v>
      </c>
      <c r="P121" s="66">
        <v>0.0</v>
      </c>
      <c r="Q121" s="66">
        <v>0.0</v>
      </c>
      <c r="R121" s="66">
        <v>1.0</v>
      </c>
      <c r="S121" s="66">
        <v>0.0</v>
      </c>
      <c r="T121" s="66">
        <v>0.0</v>
      </c>
      <c r="U121" s="13">
        <f t="shared" si="9"/>
        <v>1</v>
      </c>
      <c r="V121" s="5"/>
      <c r="W121" s="5"/>
    </row>
    <row r="122" ht="12.75" customHeight="1">
      <c r="A122" s="30" t="s">
        <v>39</v>
      </c>
      <c r="B122" s="49"/>
      <c r="C122" s="50" t="s">
        <v>105</v>
      </c>
      <c r="D122" s="51"/>
      <c r="E122" s="66">
        <v>0.0</v>
      </c>
      <c r="F122" s="66">
        <v>0.0</v>
      </c>
      <c r="G122" s="66">
        <v>1.0</v>
      </c>
      <c r="H122" s="66">
        <v>0.0</v>
      </c>
      <c r="I122" s="66">
        <v>0.0</v>
      </c>
      <c r="J122" s="66">
        <v>0.0</v>
      </c>
      <c r="K122" s="66">
        <v>0.0</v>
      </c>
      <c r="L122" s="66">
        <v>0.0</v>
      </c>
      <c r="M122" s="66">
        <v>0.0</v>
      </c>
      <c r="N122" s="66">
        <v>1.0</v>
      </c>
      <c r="O122" s="66">
        <v>0.0</v>
      </c>
      <c r="P122" s="66">
        <v>0.0</v>
      </c>
      <c r="Q122" s="66">
        <v>0.0</v>
      </c>
      <c r="R122" s="66">
        <v>0.0</v>
      </c>
      <c r="S122" s="66">
        <v>0.0</v>
      </c>
      <c r="T122" s="66">
        <v>0.0</v>
      </c>
      <c r="U122" s="13">
        <f t="shared" si="9"/>
        <v>2</v>
      </c>
      <c r="V122" s="5"/>
      <c r="W122" s="5"/>
    </row>
    <row r="123" ht="12.75" customHeight="1">
      <c r="A123" s="18"/>
      <c r="B123" s="49"/>
      <c r="C123" s="50" t="s">
        <v>106</v>
      </c>
      <c r="D123" s="51"/>
      <c r="E123" s="66">
        <v>0.0</v>
      </c>
      <c r="F123" s="66">
        <v>0.0</v>
      </c>
      <c r="G123" s="66">
        <v>0.0</v>
      </c>
      <c r="H123" s="66">
        <v>0.0</v>
      </c>
      <c r="I123" s="66">
        <v>0.0</v>
      </c>
      <c r="J123" s="66">
        <v>0.0</v>
      </c>
      <c r="K123" s="66">
        <v>0.0</v>
      </c>
      <c r="L123" s="66">
        <v>0.0</v>
      </c>
      <c r="M123" s="66">
        <v>0.0</v>
      </c>
      <c r="N123" s="66">
        <v>0.0</v>
      </c>
      <c r="O123" s="66">
        <v>0.0</v>
      </c>
      <c r="P123" s="66">
        <v>0.0</v>
      </c>
      <c r="Q123" s="66">
        <v>0.0</v>
      </c>
      <c r="R123" s="66">
        <v>0.0</v>
      </c>
      <c r="S123" s="66">
        <v>0.0</v>
      </c>
      <c r="T123" s="66">
        <v>0.0</v>
      </c>
      <c r="U123" s="13">
        <f t="shared" si="9"/>
        <v>0</v>
      </c>
      <c r="V123" s="5"/>
      <c r="W123" s="5"/>
    </row>
    <row r="124" ht="12.75" customHeight="1">
      <c r="A124" s="18"/>
      <c r="B124" s="49"/>
      <c r="C124" s="50" t="s">
        <v>107</v>
      </c>
      <c r="D124" s="51"/>
      <c r="E124" s="66">
        <v>0.0</v>
      </c>
      <c r="F124" s="66">
        <v>0.0</v>
      </c>
      <c r="G124" s="66">
        <v>0.0</v>
      </c>
      <c r="H124" s="66">
        <v>0.0</v>
      </c>
      <c r="I124" s="66">
        <v>1.0</v>
      </c>
      <c r="J124" s="66">
        <v>0.0</v>
      </c>
      <c r="K124" s="66">
        <v>1.0</v>
      </c>
      <c r="L124" s="66">
        <v>0.0</v>
      </c>
      <c r="M124" s="66">
        <v>0.0</v>
      </c>
      <c r="N124" s="66">
        <v>0.0</v>
      </c>
      <c r="O124" s="66">
        <v>0.0</v>
      </c>
      <c r="P124" s="66">
        <v>0.0</v>
      </c>
      <c r="Q124" s="66">
        <v>0.0</v>
      </c>
      <c r="R124" s="66">
        <v>0.0</v>
      </c>
      <c r="S124" s="66">
        <v>0.0</v>
      </c>
      <c r="T124" s="66">
        <v>0.0</v>
      </c>
      <c r="U124" s="13">
        <f t="shared" si="9"/>
        <v>2</v>
      </c>
      <c r="V124" s="5"/>
      <c r="W124" s="5"/>
    </row>
    <row r="125" ht="12.75" customHeight="1">
      <c r="A125" s="18"/>
      <c r="B125" s="49"/>
      <c r="C125" s="50" t="s">
        <v>108</v>
      </c>
      <c r="D125" s="51"/>
      <c r="E125" s="66">
        <v>0.0</v>
      </c>
      <c r="F125" s="66">
        <v>0.0</v>
      </c>
      <c r="G125" s="66">
        <v>0.0</v>
      </c>
      <c r="H125" s="66">
        <v>1.0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0.0</v>
      </c>
      <c r="S125" s="66">
        <v>0.0</v>
      </c>
      <c r="T125" s="66">
        <v>0.0</v>
      </c>
      <c r="U125" s="13">
        <f t="shared" si="9"/>
        <v>1</v>
      </c>
      <c r="V125" s="5"/>
      <c r="W125" s="5"/>
    </row>
    <row r="126" ht="12.75" customHeight="1">
      <c r="A126" s="18"/>
      <c r="B126" s="49"/>
      <c r="C126" s="50" t="s">
        <v>109</v>
      </c>
      <c r="D126" s="51"/>
      <c r="E126" s="66">
        <v>0.0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0.0</v>
      </c>
      <c r="O126" s="66">
        <v>0.0</v>
      </c>
      <c r="P126" s="66">
        <v>0.0</v>
      </c>
      <c r="Q126" s="66">
        <v>0.0</v>
      </c>
      <c r="R126" s="66">
        <v>0.0</v>
      </c>
      <c r="S126" s="66">
        <v>0.0</v>
      </c>
      <c r="T126" s="66">
        <v>0.0</v>
      </c>
      <c r="U126" s="13">
        <f t="shared" si="9"/>
        <v>0</v>
      </c>
      <c r="V126" s="5"/>
      <c r="W126" s="5"/>
    </row>
    <row r="127" ht="12.75" customHeight="1">
      <c r="A127" s="18"/>
      <c r="B127" s="49"/>
      <c r="C127" s="50" t="s">
        <v>110</v>
      </c>
      <c r="D127" s="51"/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66">
        <v>0.0</v>
      </c>
      <c r="Q127" s="66">
        <v>0.0</v>
      </c>
      <c r="R127" s="66">
        <v>0.0</v>
      </c>
      <c r="S127" s="66">
        <v>0.0</v>
      </c>
      <c r="T127" s="66">
        <v>0.0</v>
      </c>
      <c r="U127" s="13">
        <f t="shared" si="9"/>
        <v>0</v>
      </c>
      <c r="V127" s="5"/>
      <c r="W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T128" si="19">SUM(E121:E127)</f>
        <v>0</v>
      </c>
      <c r="F128" s="13">
        <f t="shared" si="19"/>
        <v>0</v>
      </c>
      <c r="G128" s="13">
        <f t="shared" si="19"/>
        <v>1</v>
      </c>
      <c r="H128" s="13">
        <f t="shared" si="19"/>
        <v>1</v>
      </c>
      <c r="I128" s="13">
        <f t="shared" si="19"/>
        <v>1</v>
      </c>
      <c r="J128" s="13">
        <f t="shared" si="19"/>
        <v>0</v>
      </c>
      <c r="K128" s="13">
        <f t="shared" si="19"/>
        <v>1</v>
      </c>
      <c r="L128" s="13">
        <f t="shared" si="19"/>
        <v>0</v>
      </c>
      <c r="M128" s="13">
        <f t="shared" si="19"/>
        <v>0</v>
      </c>
      <c r="N128" s="13">
        <f t="shared" si="19"/>
        <v>1</v>
      </c>
      <c r="O128" s="13">
        <f t="shared" si="19"/>
        <v>0</v>
      </c>
      <c r="P128" s="13">
        <f t="shared" si="19"/>
        <v>0</v>
      </c>
      <c r="Q128" s="13">
        <f t="shared" si="19"/>
        <v>0</v>
      </c>
      <c r="R128" s="13">
        <f t="shared" si="19"/>
        <v>1</v>
      </c>
      <c r="S128" s="13">
        <f t="shared" si="19"/>
        <v>0</v>
      </c>
      <c r="T128" s="13">
        <f t="shared" si="19"/>
        <v>0</v>
      </c>
      <c r="U128" s="13">
        <f t="shared" si="9"/>
        <v>6</v>
      </c>
      <c r="V128" s="5"/>
      <c r="W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13">
        <f t="shared" si="9"/>
        <v>0</v>
      </c>
      <c r="V129" s="5"/>
      <c r="W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66">
        <v>0.0</v>
      </c>
      <c r="F130" s="66">
        <v>0.0</v>
      </c>
      <c r="G130" s="66">
        <v>0.0</v>
      </c>
      <c r="H130" s="66">
        <v>0.0</v>
      </c>
      <c r="I130" s="66">
        <v>0.0</v>
      </c>
      <c r="J130" s="66">
        <v>0.0</v>
      </c>
      <c r="K130" s="66">
        <v>0.0</v>
      </c>
      <c r="L130" s="66">
        <v>0.0</v>
      </c>
      <c r="M130" s="66">
        <v>0.0</v>
      </c>
      <c r="N130" s="66">
        <v>0.0</v>
      </c>
      <c r="O130" s="66">
        <v>0.0</v>
      </c>
      <c r="P130" s="66">
        <v>0.0</v>
      </c>
      <c r="Q130" s="66">
        <v>0.0</v>
      </c>
      <c r="R130" s="66">
        <v>0.0</v>
      </c>
      <c r="S130" s="66">
        <v>0.0</v>
      </c>
      <c r="T130" s="66">
        <v>0.0</v>
      </c>
      <c r="U130" s="13">
        <f t="shared" si="9"/>
        <v>0</v>
      </c>
      <c r="V130" s="1"/>
      <c r="W130" s="1"/>
    </row>
    <row r="131" ht="12.75" customHeight="1">
      <c r="A131" s="30" t="s">
        <v>39</v>
      </c>
      <c r="B131" s="49"/>
      <c r="C131" s="50" t="s">
        <v>113</v>
      </c>
      <c r="D131" s="51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3">
        <f t="shared" si="9"/>
        <v>0</v>
      </c>
      <c r="V131" s="53"/>
      <c r="W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T132" si="20">SUM(E130:E131)</f>
        <v>0</v>
      </c>
      <c r="F132" s="13">
        <f t="shared" si="20"/>
        <v>0</v>
      </c>
      <c r="G132" s="13">
        <f t="shared" si="20"/>
        <v>0</v>
      </c>
      <c r="H132" s="13">
        <f t="shared" si="20"/>
        <v>0</v>
      </c>
      <c r="I132" s="13">
        <f t="shared" si="20"/>
        <v>0</v>
      </c>
      <c r="J132" s="13">
        <f t="shared" si="20"/>
        <v>0</v>
      </c>
      <c r="K132" s="13">
        <f t="shared" si="20"/>
        <v>0</v>
      </c>
      <c r="L132" s="13">
        <f t="shared" si="20"/>
        <v>0</v>
      </c>
      <c r="M132" s="13">
        <f t="shared" si="20"/>
        <v>0</v>
      </c>
      <c r="N132" s="13">
        <f t="shared" si="20"/>
        <v>0</v>
      </c>
      <c r="O132" s="13">
        <f t="shared" si="20"/>
        <v>0</v>
      </c>
      <c r="P132" s="13">
        <f t="shared" si="20"/>
        <v>0</v>
      </c>
      <c r="Q132" s="13">
        <f t="shared" si="20"/>
        <v>0</v>
      </c>
      <c r="R132" s="13">
        <f t="shared" si="20"/>
        <v>0</v>
      </c>
      <c r="S132" s="13">
        <f t="shared" si="20"/>
        <v>0</v>
      </c>
      <c r="T132" s="13">
        <f t="shared" si="20"/>
        <v>0</v>
      </c>
      <c r="U132" s="13">
        <f t="shared" si="9"/>
        <v>0</v>
      </c>
      <c r="V132" s="5"/>
      <c r="W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13">
        <f t="shared" si="9"/>
        <v>0</v>
      </c>
      <c r="V133" s="5"/>
      <c r="W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66">
        <v>0.0</v>
      </c>
      <c r="F134" s="66">
        <v>1.0</v>
      </c>
      <c r="G134" s="66">
        <v>0.0</v>
      </c>
      <c r="H134" s="66">
        <v>1.0</v>
      </c>
      <c r="I134" s="66">
        <v>0.0</v>
      </c>
      <c r="J134" s="66">
        <v>1.0</v>
      </c>
      <c r="K134" s="66">
        <v>0.0</v>
      </c>
      <c r="L134" s="66">
        <v>0.0</v>
      </c>
      <c r="M134" s="66">
        <v>0.0</v>
      </c>
      <c r="N134" s="66">
        <v>0.0</v>
      </c>
      <c r="O134" s="66">
        <v>0.0</v>
      </c>
      <c r="P134" s="66">
        <v>1.0</v>
      </c>
      <c r="Q134" s="66">
        <v>0.0</v>
      </c>
      <c r="R134" s="66">
        <v>0.0</v>
      </c>
      <c r="S134" s="66">
        <v>0.0</v>
      </c>
      <c r="T134" s="66">
        <v>0.0</v>
      </c>
      <c r="U134" s="13">
        <f t="shared" si="9"/>
        <v>4</v>
      </c>
      <c r="V134" s="5"/>
      <c r="W134" s="5"/>
    </row>
    <row r="135" ht="12.75" customHeight="1">
      <c r="A135" s="30" t="s">
        <v>39</v>
      </c>
      <c r="B135" s="49"/>
      <c r="C135" s="50" t="s">
        <v>116</v>
      </c>
      <c r="D135" s="51"/>
      <c r="E135" s="66">
        <v>0.0</v>
      </c>
      <c r="F135" s="66">
        <v>0.0</v>
      </c>
      <c r="G135" s="66">
        <v>1.0</v>
      </c>
      <c r="H135" s="66">
        <v>0.0</v>
      </c>
      <c r="I135" s="66">
        <v>0.0</v>
      </c>
      <c r="J135" s="66">
        <v>0.0</v>
      </c>
      <c r="K135" s="66">
        <v>0.0</v>
      </c>
      <c r="L135" s="66">
        <v>0.0</v>
      </c>
      <c r="M135" s="66">
        <v>1.0</v>
      </c>
      <c r="N135" s="66">
        <v>0.0</v>
      </c>
      <c r="O135" s="66">
        <v>0.0</v>
      </c>
      <c r="P135" s="66">
        <v>0.0</v>
      </c>
      <c r="Q135" s="66">
        <v>3.0</v>
      </c>
      <c r="R135" s="66">
        <v>0.0</v>
      </c>
      <c r="S135" s="66">
        <v>0.0</v>
      </c>
      <c r="T135" s="66">
        <v>0.0</v>
      </c>
      <c r="U135" s="13">
        <f t="shared" si="9"/>
        <v>5</v>
      </c>
      <c r="V135" s="5"/>
      <c r="W135" s="5"/>
    </row>
    <row r="136" ht="12.75" customHeight="1">
      <c r="A136" s="18"/>
      <c r="B136" s="49"/>
      <c r="C136" s="50" t="s">
        <v>117</v>
      </c>
      <c r="D136" s="51"/>
      <c r="E136" s="66">
        <v>0.0</v>
      </c>
      <c r="F136" s="66">
        <v>0.0</v>
      </c>
      <c r="G136" s="66">
        <v>0.0</v>
      </c>
      <c r="H136" s="66">
        <v>0.0</v>
      </c>
      <c r="I136" s="66">
        <v>0.0</v>
      </c>
      <c r="J136" s="66">
        <v>0.0</v>
      </c>
      <c r="K136" s="66">
        <v>0.0</v>
      </c>
      <c r="L136" s="66">
        <v>0.0</v>
      </c>
      <c r="M136" s="66">
        <v>0.0</v>
      </c>
      <c r="N136" s="66">
        <v>0.0</v>
      </c>
      <c r="O136" s="66">
        <v>0.0</v>
      </c>
      <c r="P136" s="66">
        <v>0.0</v>
      </c>
      <c r="Q136" s="66">
        <v>0.0</v>
      </c>
      <c r="R136" s="66">
        <v>0.0</v>
      </c>
      <c r="S136" s="66">
        <v>0.0</v>
      </c>
      <c r="T136" s="66">
        <v>0.0</v>
      </c>
      <c r="U136" s="13">
        <f t="shared" si="9"/>
        <v>0</v>
      </c>
      <c r="V136" s="5"/>
      <c r="W136" s="5"/>
    </row>
    <row r="137" ht="12.75" customHeight="1">
      <c r="A137" s="18"/>
      <c r="B137" s="49"/>
      <c r="C137" s="50" t="s">
        <v>118</v>
      </c>
      <c r="D137" s="51"/>
      <c r="E137" s="66">
        <v>0.0</v>
      </c>
      <c r="F137" s="66">
        <v>0.0</v>
      </c>
      <c r="G137" s="66">
        <v>0.0</v>
      </c>
      <c r="H137" s="66">
        <v>0.0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0.0</v>
      </c>
      <c r="O137" s="66">
        <v>0.0</v>
      </c>
      <c r="P137" s="66">
        <v>0.0</v>
      </c>
      <c r="Q137" s="66">
        <v>0.0</v>
      </c>
      <c r="R137" s="66">
        <v>1.0</v>
      </c>
      <c r="S137" s="66">
        <v>0.0</v>
      </c>
      <c r="T137" s="66">
        <v>0.0</v>
      </c>
      <c r="U137" s="13">
        <f t="shared" si="9"/>
        <v>1</v>
      </c>
      <c r="V137" s="5"/>
      <c r="W137" s="5"/>
    </row>
    <row r="138" ht="12.75" customHeight="1">
      <c r="A138" s="18"/>
      <c r="B138" s="49"/>
      <c r="C138" s="50" t="s">
        <v>119</v>
      </c>
      <c r="D138" s="51"/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0.0</v>
      </c>
      <c r="K138" s="66">
        <v>0.0</v>
      </c>
      <c r="L138" s="66">
        <v>0.0</v>
      </c>
      <c r="M138" s="66">
        <v>0.0</v>
      </c>
      <c r="N138" s="66">
        <v>0.0</v>
      </c>
      <c r="O138" s="66">
        <v>0.0</v>
      </c>
      <c r="P138" s="66">
        <v>0.0</v>
      </c>
      <c r="Q138" s="66">
        <v>0.0</v>
      </c>
      <c r="R138" s="66">
        <v>0.0</v>
      </c>
      <c r="S138" s="66">
        <v>0.0</v>
      </c>
      <c r="T138" s="66">
        <v>0.0</v>
      </c>
      <c r="U138" s="13">
        <f t="shared" si="9"/>
        <v>0</v>
      </c>
      <c r="V138" s="5"/>
      <c r="W138" s="5"/>
    </row>
    <row r="139" ht="12.75" customHeight="1">
      <c r="A139" s="18"/>
      <c r="B139" s="49"/>
      <c r="C139" s="50" t="s">
        <v>120</v>
      </c>
      <c r="D139" s="51"/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0.0</v>
      </c>
      <c r="N139" s="66">
        <v>0.0</v>
      </c>
      <c r="O139" s="66">
        <v>0.0</v>
      </c>
      <c r="P139" s="66">
        <v>0.0</v>
      </c>
      <c r="Q139" s="66">
        <v>0.0</v>
      </c>
      <c r="R139" s="66">
        <v>0.0</v>
      </c>
      <c r="S139" s="66">
        <v>0.0</v>
      </c>
      <c r="T139" s="66">
        <v>0.0</v>
      </c>
      <c r="U139" s="13">
        <f t="shared" si="9"/>
        <v>0</v>
      </c>
      <c r="V139" s="5"/>
      <c r="W139" s="5"/>
    </row>
    <row r="140" ht="12.75" customHeight="1">
      <c r="A140" s="18"/>
      <c r="B140" s="49"/>
      <c r="C140" s="50" t="s">
        <v>121</v>
      </c>
      <c r="D140" s="51"/>
      <c r="E140" s="66">
        <v>0.0</v>
      </c>
      <c r="F140" s="66">
        <v>0.0</v>
      </c>
      <c r="G140" s="66">
        <v>0.0</v>
      </c>
      <c r="H140" s="66">
        <v>2.0</v>
      </c>
      <c r="I140" s="66">
        <v>0.0</v>
      </c>
      <c r="J140" s="66">
        <v>0.0</v>
      </c>
      <c r="K140" s="66">
        <v>0.0</v>
      </c>
      <c r="L140" s="66">
        <v>0.0</v>
      </c>
      <c r="M140" s="66">
        <v>0.0</v>
      </c>
      <c r="N140" s="66">
        <v>0.0</v>
      </c>
      <c r="O140" s="66">
        <v>0.0</v>
      </c>
      <c r="P140" s="66">
        <v>0.0</v>
      </c>
      <c r="Q140" s="66">
        <v>0.0</v>
      </c>
      <c r="R140" s="66">
        <v>0.0</v>
      </c>
      <c r="S140" s="66">
        <v>0.0</v>
      </c>
      <c r="T140" s="66">
        <v>0.0</v>
      </c>
      <c r="U140" s="13">
        <f t="shared" si="9"/>
        <v>2</v>
      </c>
      <c r="V140" s="5"/>
      <c r="W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T141" si="21">SUM(E134:E140)</f>
        <v>0</v>
      </c>
      <c r="F141" s="13">
        <f t="shared" si="21"/>
        <v>1</v>
      </c>
      <c r="G141" s="13">
        <f t="shared" si="21"/>
        <v>1</v>
      </c>
      <c r="H141" s="13">
        <f t="shared" si="21"/>
        <v>3</v>
      </c>
      <c r="I141" s="13">
        <f t="shared" si="21"/>
        <v>0</v>
      </c>
      <c r="J141" s="13">
        <f t="shared" si="21"/>
        <v>1</v>
      </c>
      <c r="K141" s="13">
        <f t="shared" si="21"/>
        <v>0</v>
      </c>
      <c r="L141" s="13">
        <f t="shared" si="21"/>
        <v>0</v>
      </c>
      <c r="M141" s="13">
        <f t="shared" si="21"/>
        <v>1</v>
      </c>
      <c r="N141" s="13">
        <f t="shared" si="21"/>
        <v>0</v>
      </c>
      <c r="O141" s="13">
        <f t="shared" si="21"/>
        <v>0</v>
      </c>
      <c r="P141" s="13">
        <f t="shared" si="21"/>
        <v>1</v>
      </c>
      <c r="Q141" s="13">
        <f t="shared" si="21"/>
        <v>3</v>
      </c>
      <c r="R141" s="13">
        <f t="shared" si="21"/>
        <v>1</v>
      </c>
      <c r="S141" s="13">
        <f t="shared" si="21"/>
        <v>0</v>
      </c>
      <c r="T141" s="13">
        <f t="shared" si="21"/>
        <v>0</v>
      </c>
      <c r="U141" s="13">
        <f t="shared" si="9"/>
        <v>12</v>
      </c>
      <c r="V141" s="1"/>
      <c r="W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13">
        <f t="shared" si="9"/>
        <v>0</v>
      </c>
      <c r="V142" s="53"/>
      <c r="W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66">
        <v>0.0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0.0</v>
      </c>
      <c r="O143" s="66">
        <v>0.0</v>
      </c>
      <c r="P143" s="66">
        <v>0.0</v>
      </c>
      <c r="Q143" s="66">
        <v>1.0</v>
      </c>
      <c r="R143" s="66">
        <v>1.0</v>
      </c>
      <c r="S143" s="66">
        <v>0.0</v>
      </c>
      <c r="T143" s="66">
        <v>0.0</v>
      </c>
      <c r="U143" s="13">
        <f t="shared" si="9"/>
        <v>2</v>
      </c>
      <c r="V143" s="5"/>
      <c r="W143" s="5"/>
    </row>
    <row r="144" ht="12.75" customHeight="1">
      <c r="A144" s="30" t="s">
        <v>39</v>
      </c>
      <c r="B144" s="49"/>
      <c r="C144" s="50" t="s">
        <v>124</v>
      </c>
      <c r="D144" s="51"/>
      <c r="E144" s="66">
        <v>0.0</v>
      </c>
      <c r="F144" s="66">
        <v>0.0</v>
      </c>
      <c r="G144" s="66">
        <v>0.0</v>
      </c>
      <c r="H144" s="66">
        <v>0.0</v>
      </c>
      <c r="I144" s="66">
        <v>0.0</v>
      </c>
      <c r="J144" s="66">
        <v>0.0</v>
      </c>
      <c r="K144" s="66">
        <v>0.0</v>
      </c>
      <c r="L144" s="66">
        <v>0.0</v>
      </c>
      <c r="M144" s="66">
        <v>0.0</v>
      </c>
      <c r="N144" s="66">
        <v>0.0</v>
      </c>
      <c r="O144" s="66">
        <v>0.0</v>
      </c>
      <c r="P144" s="66">
        <v>0.0</v>
      </c>
      <c r="Q144" s="66">
        <v>0.0</v>
      </c>
      <c r="R144" s="66">
        <v>0.0</v>
      </c>
      <c r="S144" s="66">
        <v>0.0</v>
      </c>
      <c r="T144" s="66">
        <v>0.0</v>
      </c>
      <c r="U144" s="13">
        <f t="shared" si="9"/>
        <v>0</v>
      </c>
      <c r="V144" s="5"/>
      <c r="W144" s="5"/>
    </row>
    <row r="145" ht="12.75" customHeight="1">
      <c r="A145" s="18"/>
      <c r="B145" s="49"/>
      <c r="C145" s="50" t="s">
        <v>125</v>
      </c>
      <c r="D145" s="51"/>
      <c r="E145" s="66">
        <v>0.0</v>
      </c>
      <c r="F145" s="66">
        <v>0.0</v>
      </c>
      <c r="G145" s="66">
        <v>0.0</v>
      </c>
      <c r="H145" s="66">
        <v>0.0</v>
      </c>
      <c r="I145" s="66">
        <v>0.0</v>
      </c>
      <c r="J145" s="66">
        <v>0.0</v>
      </c>
      <c r="K145" s="66">
        <v>0.0</v>
      </c>
      <c r="L145" s="66">
        <v>0.0</v>
      </c>
      <c r="M145" s="66">
        <v>0.0</v>
      </c>
      <c r="N145" s="66">
        <v>0.0</v>
      </c>
      <c r="O145" s="66">
        <v>0.0</v>
      </c>
      <c r="P145" s="66">
        <v>0.0</v>
      </c>
      <c r="Q145" s="66">
        <v>0.0</v>
      </c>
      <c r="R145" s="66">
        <v>0.0</v>
      </c>
      <c r="S145" s="66">
        <v>0.0</v>
      </c>
      <c r="T145" s="66">
        <v>0.0</v>
      </c>
      <c r="U145" s="13">
        <f t="shared" si="9"/>
        <v>0</v>
      </c>
      <c r="V145" s="5"/>
      <c r="W145" s="5"/>
    </row>
    <row r="146" ht="12.75" customHeight="1">
      <c r="A146" s="18"/>
      <c r="B146" s="49"/>
      <c r="C146" s="50" t="s">
        <v>126</v>
      </c>
      <c r="D146" s="51"/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66">
        <v>0.0</v>
      </c>
      <c r="Q146" s="66">
        <v>0.0</v>
      </c>
      <c r="R146" s="66">
        <v>0.0</v>
      </c>
      <c r="S146" s="66">
        <v>0.0</v>
      </c>
      <c r="T146" s="66">
        <v>0.0</v>
      </c>
      <c r="U146" s="13">
        <f t="shared" si="9"/>
        <v>0</v>
      </c>
      <c r="V146" s="5"/>
      <c r="W146" s="5"/>
    </row>
    <row r="147" ht="12.75" customHeight="1">
      <c r="A147" s="18"/>
      <c r="B147" s="49"/>
      <c r="C147" s="50" t="s">
        <v>127</v>
      </c>
      <c r="D147" s="51"/>
      <c r="E147" s="66">
        <v>0.0</v>
      </c>
      <c r="F147" s="66">
        <v>0.0</v>
      </c>
      <c r="G147" s="66">
        <v>0.0</v>
      </c>
      <c r="H147" s="66">
        <v>0.0</v>
      </c>
      <c r="I147" s="66">
        <v>0.0</v>
      </c>
      <c r="J147" s="66">
        <v>0.0</v>
      </c>
      <c r="K147" s="66">
        <v>0.0</v>
      </c>
      <c r="L147" s="66">
        <v>0.0</v>
      </c>
      <c r="M147" s="66">
        <v>0.0</v>
      </c>
      <c r="N147" s="66">
        <v>0.0</v>
      </c>
      <c r="O147" s="66">
        <v>0.0</v>
      </c>
      <c r="P147" s="66">
        <v>0.0</v>
      </c>
      <c r="Q147" s="66">
        <v>0.0</v>
      </c>
      <c r="R147" s="66">
        <v>0.0</v>
      </c>
      <c r="S147" s="66">
        <v>0.0</v>
      </c>
      <c r="T147" s="66">
        <v>0.0</v>
      </c>
      <c r="U147" s="13">
        <f t="shared" si="9"/>
        <v>0</v>
      </c>
      <c r="V147" s="5"/>
      <c r="W147" s="5"/>
    </row>
    <row r="148" ht="12.75" customHeight="1">
      <c r="A148" s="18"/>
      <c r="B148" s="49"/>
      <c r="C148" s="50" t="s">
        <v>128</v>
      </c>
      <c r="D148" s="51"/>
      <c r="E148" s="66">
        <v>1.0</v>
      </c>
      <c r="F148" s="66">
        <v>0.0</v>
      </c>
      <c r="G148" s="66">
        <v>0.0</v>
      </c>
      <c r="H148" s="66">
        <v>0.0</v>
      </c>
      <c r="I148" s="66">
        <v>0.0</v>
      </c>
      <c r="J148" s="66">
        <v>0.0</v>
      </c>
      <c r="K148" s="66">
        <v>0.0</v>
      </c>
      <c r="L148" s="66">
        <v>0.0</v>
      </c>
      <c r="M148" s="66">
        <v>0.0</v>
      </c>
      <c r="N148" s="66">
        <v>0.0</v>
      </c>
      <c r="O148" s="66">
        <v>0.0</v>
      </c>
      <c r="P148" s="66">
        <v>0.0</v>
      </c>
      <c r="Q148" s="66">
        <v>0.0</v>
      </c>
      <c r="R148" s="66">
        <v>0.0</v>
      </c>
      <c r="S148" s="66">
        <v>0.0</v>
      </c>
      <c r="T148" s="66">
        <v>0.0</v>
      </c>
      <c r="U148" s="13">
        <f t="shared" si="9"/>
        <v>1</v>
      </c>
      <c r="V148" s="5"/>
      <c r="W148" s="5"/>
    </row>
    <row r="149" ht="12.75" customHeight="1">
      <c r="A149" s="18"/>
      <c r="B149" s="49"/>
      <c r="C149" s="50" t="s">
        <v>129</v>
      </c>
      <c r="D149" s="51"/>
      <c r="E149" s="66">
        <v>0.0</v>
      </c>
      <c r="F149" s="66">
        <v>0.0</v>
      </c>
      <c r="G149" s="66">
        <v>0.0</v>
      </c>
      <c r="H149" s="66">
        <v>0.0</v>
      </c>
      <c r="I149" s="66">
        <v>0.0</v>
      </c>
      <c r="J149" s="66">
        <v>0.0</v>
      </c>
      <c r="K149" s="66">
        <v>0.0</v>
      </c>
      <c r="L149" s="66">
        <v>0.0</v>
      </c>
      <c r="M149" s="66">
        <v>0.0</v>
      </c>
      <c r="N149" s="66">
        <v>0.0</v>
      </c>
      <c r="O149" s="66">
        <v>0.0</v>
      </c>
      <c r="P149" s="66">
        <v>0.0</v>
      </c>
      <c r="Q149" s="66">
        <v>0.0</v>
      </c>
      <c r="R149" s="66">
        <v>0.0</v>
      </c>
      <c r="S149" s="66">
        <v>0.0</v>
      </c>
      <c r="T149" s="66">
        <v>0.0</v>
      </c>
      <c r="U149" s="13">
        <f t="shared" si="9"/>
        <v>0</v>
      </c>
      <c r="V149" s="5"/>
      <c r="W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T150" si="22">SUM(E143:E149)</f>
        <v>1</v>
      </c>
      <c r="F150" s="13">
        <f t="shared" si="22"/>
        <v>0</v>
      </c>
      <c r="G150" s="13">
        <f t="shared" si="22"/>
        <v>0</v>
      </c>
      <c r="H150" s="13">
        <f t="shared" si="22"/>
        <v>0</v>
      </c>
      <c r="I150" s="13">
        <f t="shared" si="22"/>
        <v>0</v>
      </c>
      <c r="J150" s="13">
        <f t="shared" si="22"/>
        <v>0</v>
      </c>
      <c r="K150" s="13">
        <f t="shared" si="22"/>
        <v>0</v>
      </c>
      <c r="L150" s="13">
        <f t="shared" si="22"/>
        <v>0</v>
      </c>
      <c r="M150" s="13">
        <f t="shared" si="22"/>
        <v>0</v>
      </c>
      <c r="N150" s="13">
        <f t="shared" si="22"/>
        <v>0</v>
      </c>
      <c r="O150" s="13">
        <f t="shared" si="22"/>
        <v>0</v>
      </c>
      <c r="P150" s="13">
        <f t="shared" si="22"/>
        <v>0</v>
      </c>
      <c r="Q150" s="13">
        <f t="shared" si="22"/>
        <v>1</v>
      </c>
      <c r="R150" s="13">
        <f t="shared" si="22"/>
        <v>1</v>
      </c>
      <c r="S150" s="13">
        <f t="shared" si="22"/>
        <v>0</v>
      </c>
      <c r="T150" s="13">
        <f t="shared" si="22"/>
        <v>0</v>
      </c>
      <c r="U150" s="13">
        <f t="shared" si="9"/>
        <v>3</v>
      </c>
      <c r="V150" s="5"/>
      <c r="W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13">
        <f t="shared" si="9"/>
        <v>0</v>
      </c>
      <c r="V151" s="1"/>
      <c r="W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4.0</v>
      </c>
      <c r="F152" s="66">
        <v>2.0</v>
      </c>
      <c r="G152" s="66">
        <v>4.0</v>
      </c>
      <c r="H152" s="66">
        <v>7.0</v>
      </c>
      <c r="I152" s="66">
        <v>2.0</v>
      </c>
      <c r="J152" s="66">
        <v>2.0</v>
      </c>
      <c r="K152" s="66">
        <v>2.0</v>
      </c>
      <c r="L152" s="66">
        <v>1.0</v>
      </c>
      <c r="M152" s="66">
        <v>1.0</v>
      </c>
      <c r="N152" s="66">
        <v>0.0</v>
      </c>
      <c r="O152" s="66">
        <v>0.0</v>
      </c>
      <c r="P152" s="66">
        <v>0.0</v>
      </c>
      <c r="Q152" s="66">
        <v>0.0</v>
      </c>
      <c r="R152" s="66">
        <v>1.0</v>
      </c>
      <c r="S152" s="66">
        <v>1.0</v>
      </c>
      <c r="T152" s="66">
        <v>1.0</v>
      </c>
      <c r="U152" s="13">
        <f t="shared" si="9"/>
        <v>28</v>
      </c>
      <c r="V152" s="53"/>
      <c r="W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0.0</v>
      </c>
      <c r="F153" s="66">
        <v>2.0</v>
      </c>
      <c r="G153" s="66">
        <v>1.0</v>
      </c>
      <c r="H153" s="66">
        <v>2.0</v>
      </c>
      <c r="I153" s="66">
        <v>0.0</v>
      </c>
      <c r="J153" s="66">
        <v>3.0</v>
      </c>
      <c r="K153" s="66">
        <v>1.0</v>
      </c>
      <c r="L153" s="66">
        <v>0.0</v>
      </c>
      <c r="M153" s="66">
        <v>0.0</v>
      </c>
      <c r="N153" s="66">
        <v>3.0</v>
      </c>
      <c r="O153" s="66">
        <v>0.0</v>
      </c>
      <c r="P153" s="66">
        <v>0.0</v>
      </c>
      <c r="Q153" s="66">
        <v>1.0</v>
      </c>
      <c r="R153" s="66">
        <v>0.0</v>
      </c>
      <c r="S153" s="66">
        <v>0.0</v>
      </c>
      <c r="T153" s="66">
        <v>0.0</v>
      </c>
      <c r="U153" s="13">
        <f t="shared" si="9"/>
        <v>13</v>
      </c>
      <c r="V153" s="5"/>
      <c r="W153" s="5"/>
    </row>
    <row r="154" ht="12.75" customHeight="1">
      <c r="A154" s="18"/>
      <c r="B154" s="49"/>
      <c r="C154" s="50" t="s">
        <v>133</v>
      </c>
      <c r="D154" s="51"/>
      <c r="E154" s="66">
        <v>22.0</v>
      </c>
      <c r="F154" s="66">
        <v>5.0</v>
      </c>
      <c r="G154" s="66">
        <v>6.0</v>
      </c>
      <c r="H154" s="66">
        <v>20.0</v>
      </c>
      <c r="I154" s="66">
        <v>16.0</v>
      </c>
      <c r="J154" s="66">
        <v>34.0</v>
      </c>
      <c r="K154" s="66">
        <v>31.0</v>
      </c>
      <c r="L154" s="66">
        <v>15.0</v>
      </c>
      <c r="M154" s="66">
        <v>8.0</v>
      </c>
      <c r="N154" s="66">
        <v>15.0</v>
      </c>
      <c r="O154" s="66">
        <v>1.0</v>
      </c>
      <c r="P154" s="66">
        <v>7.0</v>
      </c>
      <c r="Q154" s="66">
        <v>8.0</v>
      </c>
      <c r="R154" s="66">
        <v>17.0</v>
      </c>
      <c r="S154" s="66">
        <v>33.0</v>
      </c>
      <c r="T154" s="66">
        <v>22.0</v>
      </c>
      <c r="U154" s="13">
        <f t="shared" si="9"/>
        <v>260</v>
      </c>
      <c r="V154" s="5"/>
      <c r="W154" s="5"/>
    </row>
    <row r="155" ht="12.75" customHeight="1">
      <c r="A155" s="18"/>
      <c r="B155" s="49"/>
      <c r="C155" s="50" t="s">
        <v>134</v>
      </c>
      <c r="D155" s="51"/>
      <c r="E155" s="66">
        <v>0.0</v>
      </c>
      <c r="F155" s="66">
        <v>0.0</v>
      </c>
      <c r="G155" s="66">
        <v>0.0</v>
      </c>
      <c r="H155" s="66">
        <v>0.0</v>
      </c>
      <c r="I155" s="66">
        <v>0.0</v>
      </c>
      <c r="J155" s="66">
        <v>0.0</v>
      </c>
      <c r="K155" s="66">
        <v>0.0</v>
      </c>
      <c r="L155" s="66">
        <v>0.0</v>
      </c>
      <c r="M155" s="66">
        <v>0.0</v>
      </c>
      <c r="N155" s="66">
        <v>0.0</v>
      </c>
      <c r="O155" s="66">
        <v>0.0</v>
      </c>
      <c r="P155" s="66">
        <v>1.0</v>
      </c>
      <c r="Q155" s="66">
        <v>0.0</v>
      </c>
      <c r="R155" s="66">
        <v>0.0</v>
      </c>
      <c r="S155" s="66">
        <v>0.0</v>
      </c>
      <c r="T155" s="66">
        <v>0.0</v>
      </c>
      <c r="U155" s="13">
        <f t="shared" si="9"/>
        <v>1</v>
      </c>
      <c r="V155" s="5"/>
      <c r="W155" s="5"/>
    </row>
    <row r="156" ht="12.75" customHeight="1">
      <c r="A156" s="18"/>
      <c r="B156" s="49"/>
      <c r="C156" s="50" t="s">
        <v>135</v>
      </c>
      <c r="D156" s="51"/>
      <c r="E156" s="66">
        <v>3.0</v>
      </c>
      <c r="F156" s="66">
        <v>0.0</v>
      </c>
      <c r="G156" s="66">
        <v>0.0</v>
      </c>
      <c r="H156" s="66">
        <v>1.0</v>
      </c>
      <c r="I156" s="66">
        <v>0.0</v>
      </c>
      <c r="J156" s="66">
        <v>0.0</v>
      </c>
      <c r="K156" s="66">
        <v>0.0</v>
      </c>
      <c r="L156" s="66">
        <v>0.0</v>
      </c>
      <c r="M156" s="66">
        <v>1.0</v>
      </c>
      <c r="N156" s="66">
        <v>0.0</v>
      </c>
      <c r="O156" s="66">
        <v>0.0</v>
      </c>
      <c r="P156" s="66">
        <v>0.0</v>
      </c>
      <c r="Q156" s="66">
        <v>0.0</v>
      </c>
      <c r="R156" s="66">
        <v>0.0</v>
      </c>
      <c r="S156" s="66">
        <v>0.0</v>
      </c>
      <c r="T156" s="66">
        <v>0.0</v>
      </c>
      <c r="U156" s="13">
        <f t="shared" si="9"/>
        <v>5</v>
      </c>
      <c r="V156" s="5"/>
      <c r="W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66">
        <v>0.0</v>
      </c>
      <c r="Q157" s="66">
        <v>0.0</v>
      </c>
      <c r="R157" s="66">
        <v>0.0</v>
      </c>
      <c r="S157" s="66">
        <v>0.0</v>
      </c>
      <c r="T157" s="66">
        <v>0.0</v>
      </c>
      <c r="U157" s="13">
        <f t="shared" si="9"/>
        <v>0</v>
      </c>
      <c r="V157" s="5"/>
      <c r="W157" s="5"/>
    </row>
    <row r="158" ht="12.75" customHeight="1">
      <c r="A158" s="18"/>
      <c r="B158" s="49"/>
      <c r="C158" s="50" t="s">
        <v>137</v>
      </c>
      <c r="D158" s="51"/>
      <c r="E158" s="66">
        <v>0.0</v>
      </c>
      <c r="F158" s="66">
        <v>0.0</v>
      </c>
      <c r="G158" s="66">
        <v>0.0</v>
      </c>
      <c r="H158" s="66">
        <v>1.0</v>
      </c>
      <c r="I158" s="66">
        <v>0.0</v>
      </c>
      <c r="J158" s="66">
        <v>0.0</v>
      </c>
      <c r="K158" s="66">
        <v>0.0</v>
      </c>
      <c r="L158" s="66">
        <v>0.0</v>
      </c>
      <c r="M158" s="66">
        <v>0.0</v>
      </c>
      <c r="N158" s="66">
        <v>0.0</v>
      </c>
      <c r="O158" s="66">
        <v>0.0</v>
      </c>
      <c r="P158" s="66">
        <v>0.0</v>
      </c>
      <c r="Q158" s="66">
        <v>0.0</v>
      </c>
      <c r="R158" s="66">
        <v>0.0</v>
      </c>
      <c r="S158" s="66">
        <v>0.0</v>
      </c>
      <c r="T158" s="66">
        <v>0.0</v>
      </c>
      <c r="U158" s="13">
        <f t="shared" si="9"/>
        <v>1</v>
      </c>
      <c r="V158" s="5"/>
      <c r="W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T159" si="23">SUM(E152:E158)</f>
        <v>29</v>
      </c>
      <c r="F159" s="13">
        <f t="shared" si="23"/>
        <v>9</v>
      </c>
      <c r="G159" s="13">
        <f t="shared" si="23"/>
        <v>11</v>
      </c>
      <c r="H159" s="13">
        <f t="shared" si="23"/>
        <v>31</v>
      </c>
      <c r="I159" s="13">
        <f t="shared" si="23"/>
        <v>18</v>
      </c>
      <c r="J159" s="13">
        <f t="shared" si="23"/>
        <v>39</v>
      </c>
      <c r="K159" s="13">
        <f t="shared" si="23"/>
        <v>34</v>
      </c>
      <c r="L159" s="13">
        <f t="shared" si="23"/>
        <v>16</v>
      </c>
      <c r="M159" s="13">
        <f t="shared" si="23"/>
        <v>10</v>
      </c>
      <c r="N159" s="13">
        <f t="shared" si="23"/>
        <v>18</v>
      </c>
      <c r="O159" s="13">
        <f t="shared" si="23"/>
        <v>1</v>
      </c>
      <c r="P159" s="13">
        <f t="shared" si="23"/>
        <v>8</v>
      </c>
      <c r="Q159" s="13">
        <f t="shared" si="23"/>
        <v>9</v>
      </c>
      <c r="R159" s="13">
        <f t="shared" si="23"/>
        <v>18</v>
      </c>
      <c r="S159" s="13">
        <f t="shared" si="23"/>
        <v>34</v>
      </c>
      <c r="T159" s="13">
        <f t="shared" si="23"/>
        <v>23</v>
      </c>
      <c r="U159" s="13">
        <f t="shared" si="9"/>
        <v>308</v>
      </c>
      <c r="V159" s="5"/>
      <c r="W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13">
        <f t="shared" si="9"/>
        <v>0</v>
      </c>
      <c r="V160" s="5"/>
      <c r="W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0.0</v>
      </c>
      <c r="F161" s="73">
        <v>0.0</v>
      </c>
      <c r="G161" s="73">
        <v>0.0</v>
      </c>
      <c r="H161" s="73">
        <v>1.0</v>
      </c>
      <c r="I161" s="73">
        <v>0.0</v>
      </c>
      <c r="J161" s="73">
        <v>0.0</v>
      </c>
      <c r="K161" s="73">
        <v>1.0</v>
      </c>
      <c r="L161" s="73">
        <v>0.0</v>
      </c>
      <c r="M161" s="73">
        <v>1.0</v>
      </c>
      <c r="N161" s="73">
        <v>0.0</v>
      </c>
      <c r="O161" s="73">
        <v>0.0</v>
      </c>
      <c r="P161" s="73">
        <v>0.0</v>
      </c>
      <c r="Q161" s="73">
        <v>0.0</v>
      </c>
      <c r="R161" s="73">
        <v>0.0</v>
      </c>
      <c r="S161" s="73">
        <v>0.0</v>
      </c>
      <c r="T161" s="73">
        <v>0.0</v>
      </c>
      <c r="U161" s="13">
        <f t="shared" si="9"/>
        <v>3</v>
      </c>
      <c r="V161" s="5"/>
      <c r="W161" s="5"/>
    </row>
    <row r="162" ht="12.75" customHeight="1">
      <c r="A162" s="30" t="s">
        <v>39</v>
      </c>
      <c r="B162" s="49"/>
      <c r="C162" s="50" t="s">
        <v>140</v>
      </c>
      <c r="D162" s="51"/>
      <c r="E162" s="73">
        <v>1.0</v>
      </c>
      <c r="F162" s="73">
        <v>1.0</v>
      </c>
      <c r="G162" s="73">
        <v>0.0</v>
      </c>
      <c r="H162" s="73">
        <v>0.0</v>
      </c>
      <c r="I162" s="73">
        <v>0.0</v>
      </c>
      <c r="J162" s="73">
        <v>0.0</v>
      </c>
      <c r="K162" s="73">
        <v>3.0</v>
      </c>
      <c r="L162" s="73">
        <v>0.0</v>
      </c>
      <c r="M162" s="73">
        <v>1.0</v>
      </c>
      <c r="N162" s="73">
        <v>0.0</v>
      </c>
      <c r="O162" s="73">
        <v>0.0</v>
      </c>
      <c r="P162" s="73">
        <v>1.0</v>
      </c>
      <c r="Q162" s="73">
        <v>0.0</v>
      </c>
      <c r="R162" s="73">
        <v>0.0</v>
      </c>
      <c r="S162" s="73">
        <v>0.0</v>
      </c>
      <c r="T162" s="73">
        <v>0.0</v>
      </c>
      <c r="U162" s="13">
        <f t="shared" si="9"/>
        <v>7</v>
      </c>
      <c r="V162" s="5"/>
      <c r="W162" s="5"/>
    </row>
    <row r="163" ht="12.75" customHeight="1">
      <c r="A163" s="30"/>
      <c r="B163" s="49"/>
      <c r="C163" s="50" t="s">
        <v>141</v>
      </c>
      <c r="D163" s="51"/>
      <c r="E163" s="73">
        <v>0.0</v>
      </c>
      <c r="F163" s="73">
        <v>2.0</v>
      </c>
      <c r="G163" s="73">
        <v>0.0</v>
      </c>
      <c r="H163" s="73">
        <v>1.0</v>
      </c>
      <c r="I163" s="73">
        <v>0.0</v>
      </c>
      <c r="J163" s="73">
        <v>0.0</v>
      </c>
      <c r="K163" s="73">
        <v>0.0</v>
      </c>
      <c r="L163" s="73">
        <v>0.0</v>
      </c>
      <c r="M163" s="73">
        <v>0.0</v>
      </c>
      <c r="N163" s="73">
        <v>0.0</v>
      </c>
      <c r="O163" s="73">
        <v>0.0</v>
      </c>
      <c r="P163" s="73">
        <v>0.0</v>
      </c>
      <c r="Q163" s="73">
        <v>0.0</v>
      </c>
      <c r="R163" s="73">
        <v>0.0</v>
      </c>
      <c r="S163" s="73">
        <v>0.0</v>
      </c>
      <c r="T163" s="73">
        <v>0.0</v>
      </c>
      <c r="U163" s="13">
        <f t="shared" si="9"/>
        <v>3</v>
      </c>
      <c r="V163" s="5"/>
      <c r="W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T164" si="24">SUM(E161:E163)</f>
        <v>1</v>
      </c>
      <c r="F164" s="13">
        <f t="shared" si="24"/>
        <v>3</v>
      </c>
      <c r="G164" s="13">
        <f t="shared" si="24"/>
        <v>0</v>
      </c>
      <c r="H164" s="13">
        <f t="shared" si="24"/>
        <v>2</v>
      </c>
      <c r="I164" s="13">
        <f t="shared" si="24"/>
        <v>0</v>
      </c>
      <c r="J164" s="13">
        <f t="shared" si="24"/>
        <v>0</v>
      </c>
      <c r="K164" s="13">
        <f t="shared" si="24"/>
        <v>4</v>
      </c>
      <c r="L164" s="13">
        <f t="shared" si="24"/>
        <v>0</v>
      </c>
      <c r="M164" s="13">
        <f t="shared" si="24"/>
        <v>2</v>
      </c>
      <c r="N164" s="13">
        <f t="shared" si="24"/>
        <v>0</v>
      </c>
      <c r="O164" s="13">
        <f t="shared" si="24"/>
        <v>0</v>
      </c>
      <c r="P164" s="13">
        <f t="shared" si="24"/>
        <v>1</v>
      </c>
      <c r="Q164" s="13">
        <f t="shared" si="24"/>
        <v>0</v>
      </c>
      <c r="R164" s="13">
        <f t="shared" si="24"/>
        <v>0</v>
      </c>
      <c r="S164" s="13">
        <f t="shared" si="24"/>
        <v>0</v>
      </c>
      <c r="T164" s="13">
        <f t="shared" si="24"/>
        <v>0</v>
      </c>
      <c r="U164" s="13">
        <f t="shared" si="9"/>
        <v>13</v>
      </c>
      <c r="V164" s="5"/>
      <c r="W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13">
        <f t="shared" si="9"/>
        <v>0</v>
      </c>
      <c r="V165" s="1"/>
      <c r="W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66">
        <v>0.0</v>
      </c>
      <c r="J166" s="66">
        <v>0.0</v>
      </c>
      <c r="K166" s="66">
        <v>0.0</v>
      </c>
      <c r="L166" s="66">
        <v>0.0</v>
      </c>
      <c r="M166" s="66">
        <v>0.0</v>
      </c>
      <c r="N166" s="66">
        <v>0.0</v>
      </c>
      <c r="O166" s="66">
        <v>0.0</v>
      </c>
      <c r="P166" s="66">
        <v>0.0</v>
      </c>
      <c r="Q166" s="66">
        <v>0.0</v>
      </c>
      <c r="R166" s="66">
        <v>0.0</v>
      </c>
      <c r="S166" s="66">
        <v>0.0</v>
      </c>
      <c r="T166" s="66">
        <v>0.0</v>
      </c>
      <c r="U166" s="13">
        <f t="shared" si="9"/>
        <v>0</v>
      </c>
      <c r="V166" s="53"/>
      <c r="W166" s="53"/>
    </row>
    <row r="167" ht="12.75" customHeight="1">
      <c r="A167" s="30"/>
      <c r="B167" s="47"/>
      <c r="C167" s="50" t="s">
        <v>144</v>
      </c>
      <c r="D167" s="59"/>
      <c r="E167" s="66">
        <v>0.0</v>
      </c>
      <c r="F167" s="66">
        <v>0.0</v>
      </c>
      <c r="G167" s="66">
        <v>0.0</v>
      </c>
      <c r="H167" s="66">
        <v>0.0</v>
      </c>
      <c r="I167" s="66">
        <v>0.0</v>
      </c>
      <c r="J167" s="66">
        <v>0.0</v>
      </c>
      <c r="K167" s="66">
        <v>0.0</v>
      </c>
      <c r="L167" s="66">
        <v>0.0</v>
      </c>
      <c r="M167" s="66">
        <v>0.0</v>
      </c>
      <c r="N167" s="66">
        <v>0.0</v>
      </c>
      <c r="O167" s="66">
        <v>0.0</v>
      </c>
      <c r="P167" s="66">
        <v>0.0</v>
      </c>
      <c r="Q167" s="66">
        <v>0.0</v>
      </c>
      <c r="R167" s="66">
        <v>0.0</v>
      </c>
      <c r="S167" s="66">
        <v>0.0</v>
      </c>
      <c r="T167" s="66">
        <v>0.0</v>
      </c>
      <c r="U167" s="13">
        <f t="shared" si="9"/>
        <v>0</v>
      </c>
      <c r="V167" s="5"/>
      <c r="W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0.0</v>
      </c>
      <c r="G168" s="66">
        <v>0.0</v>
      </c>
      <c r="H168" s="66">
        <v>0.0</v>
      </c>
      <c r="I168" s="66">
        <v>3.0</v>
      </c>
      <c r="J168" s="66">
        <v>1.0</v>
      </c>
      <c r="K168" s="66">
        <v>0.0</v>
      </c>
      <c r="L168" s="66">
        <v>0.0</v>
      </c>
      <c r="M168" s="66">
        <v>1.0</v>
      </c>
      <c r="N168" s="66">
        <v>0.0</v>
      </c>
      <c r="O168" s="66">
        <v>0.0</v>
      </c>
      <c r="P168" s="66">
        <v>0.0</v>
      </c>
      <c r="Q168" s="66">
        <v>0.0</v>
      </c>
      <c r="R168" s="66">
        <v>0.0</v>
      </c>
      <c r="S168" s="66">
        <v>0.0</v>
      </c>
      <c r="T168" s="66">
        <v>0.0</v>
      </c>
      <c r="U168" s="13">
        <f t="shared" si="9"/>
        <v>5</v>
      </c>
      <c r="V168" s="5"/>
      <c r="W168" s="5"/>
    </row>
    <row r="169" ht="12.75" customHeight="1">
      <c r="A169" s="30"/>
      <c r="B169" s="47"/>
      <c r="C169" s="50" t="s">
        <v>146</v>
      </c>
      <c r="D169" s="59"/>
      <c r="E169" s="66">
        <v>0.0</v>
      </c>
      <c r="F169" s="66">
        <v>0.0</v>
      </c>
      <c r="G169" s="66">
        <v>0.0</v>
      </c>
      <c r="H169" s="66">
        <v>0.0</v>
      </c>
      <c r="I169" s="66">
        <v>3.0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66">
        <v>0.0</v>
      </c>
      <c r="Q169" s="66">
        <v>0.0</v>
      </c>
      <c r="R169" s="66">
        <v>0.0</v>
      </c>
      <c r="S169" s="66">
        <v>0.0</v>
      </c>
      <c r="T169" s="66">
        <v>0.0</v>
      </c>
      <c r="U169" s="13">
        <f t="shared" si="9"/>
        <v>3</v>
      </c>
      <c r="V169" s="5"/>
      <c r="W169" s="5"/>
    </row>
    <row r="170" ht="12.75" customHeight="1">
      <c r="A170" s="30" t="s">
        <v>39</v>
      </c>
      <c r="B170" s="49"/>
      <c r="C170" s="50" t="s">
        <v>147</v>
      </c>
      <c r="D170" s="51"/>
      <c r="E170" s="66">
        <v>0.0</v>
      </c>
      <c r="F170" s="66">
        <v>0.0</v>
      </c>
      <c r="G170" s="66">
        <v>0.0</v>
      </c>
      <c r="H170" s="66">
        <v>0.0</v>
      </c>
      <c r="I170" s="66">
        <v>0.0</v>
      </c>
      <c r="J170" s="66">
        <v>0.0</v>
      </c>
      <c r="K170" s="66">
        <v>0.0</v>
      </c>
      <c r="L170" s="66">
        <v>0.0</v>
      </c>
      <c r="M170" s="66">
        <v>0.0</v>
      </c>
      <c r="N170" s="66">
        <v>0.0</v>
      </c>
      <c r="O170" s="66">
        <v>0.0</v>
      </c>
      <c r="P170" s="66">
        <v>0.0</v>
      </c>
      <c r="Q170" s="66">
        <v>0.0</v>
      </c>
      <c r="R170" s="66">
        <v>0.0</v>
      </c>
      <c r="S170" s="66">
        <v>0.0</v>
      </c>
      <c r="T170" s="66">
        <v>0.0</v>
      </c>
      <c r="U170" s="13">
        <f t="shared" si="9"/>
        <v>0</v>
      </c>
      <c r="V170" s="5"/>
      <c r="W170" s="5"/>
    </row>
    <row r="171" ht="12.75" customHeight="1">
      <c r="A171" s="18"/>
      <c r="B171" s="49"/>
      <c r="C171" s="50" t="s">
        <v>148</v>
      </c>
      <c r="D171" s="51"/>
      <c r="E171" s="66">
        <v>0.0</v>
      </c>
      <c r="F171" s="66">
        <v>0.0</v>
      </c>
      <c r="G171" s="66">
        <v>0.0</v>
      </c>
      <c r="H171" s="66">
        <v>0.0</v>
      </c>
      <c r="I171" s="66">
        <v>0.0</v>
      </c>
      <c r="J171" s="66">
        <v>0.0</v>
      </c>
      <c r="K171" s="66">
        <v>0.0</v>
      </c>
      <c r="L171" s="66">
        <v>0.0</v>
      </c>
      <c r="M171" s="66">
        <v>0.0</v>
      </c>
      <c r="N171" s="66">
        <v>0.0</v>
      </c>
      <c r="O171" s="66">
        <v>0.0</v>
      </c>
      <c r="P171" s="66">
        <v>0.0</v>
      </c>
      <c r="Q171" s="66">
        <v>0.0</v>
      </c>
      <c r="R171" s="66">
        <v>0.0</v>
      </c>
      <c r="S171" s="66">
        <v>0.0</v>
      </c>
      <c r="T171" s="66">
        <v>0.0</v>
      </c>
      <c r="U171" s="13">
        <f t="shared" si="9"/>
        <v>0</v>
      </c>
      <c r="V171" s="5"/>
      <c r="W171" s="5"/>
    </row>
    <row r="172" ht="12.75" customHeight="1">
      <c r="A172" s="18"/>
      <c r="B172" s="49"/>
      <c r="C172" s="50" t="s">
        <v>149</v>
      </c>
      <c r="D172" s="51"/>
      <c r="E172" s="66">
        <v>0.0</v>
      </c>
      <c r="F172" s="66">
        <v>0.0</v>
      </c>
      <c r="G172" s="66">
        <v>0.0</v>
      </c>
      <c r="H172" s="66">
        <v>0.0</v>
      </c>
      <c r="I172" s="66">
        <v>0.0</v>
      </c>
      <c r="J172" s="66">
        <v>0.0</v>
      </c>
      <c r="K172" s="66">
        <v>0.0</v>
      </c>
      <c r="L172" s="66">
        <v>0.0</v>
      </c>
      <c r="M172" s="66">
        <v>0.0</v>
      </c>
      <c r="N172" s="66">
        <v>0.0</v>
      </c>
      <c r="O172" s="66">
        <v>0.0</v>
      </c>
      <c r="P172" s="66">
        <v>0.0</v>
      </c>
      <c r="Q172" s="66">
        <v>0.0</v>
      </c>
      <c r="R172" s="66">
        <v>0.0</v>
      </c>
      <c r="S172" s="66">
        <v>0.0</v>
      </c>
      <c r="T172" s="66">
        <v>0.0</v>
      </c>
      <c r="U172" s="13">
        <f t="shared" si="9"/>
        <v>0</v>
      </c>
      <c r="V172" s="5"/>
      <c r="W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T173" si="25">SUM(E166:E172)</f>
        <v>0</v>
      </c>
      <c r="F173" s="13">
        <f t="shared" si="25"/>
        <v>0</v>
      </c>
      <c r="G173" s="13">
        <f t="shared" si="25"/>
        <v>0</v>
      </c>
      <c r="H173" s="13">
        <f t="shared" si="25"/>
        <v>0</v>
      </c>
      <c r="I173" s="13">
        <f t="shared" si="25"/>
        <v>6</v>
      </c>
      <c r="J173" s="13">
        <f t="shared" si="25"/>
        <v>1</v>
      </c>
      <c r="K173" s="13">
        <f t="shared" si="25"/>
        <v>0</v>
      </c>
      <c r="L173" s="13">
        <f t="shared" si="25"/>
        <v>0</v>
      </c>
      <c r="M173" s="13">
        <f t="shared" si="25"/>
        <v>1</v>
      </c>
      <c r="N173" s="13">
        <f t="shared" si="25"/>
        <v>0</v>
      </c>
      <c r="O173" s="13">
        <f t="shared" si="25"/>
        <v>0</v>
      </c>
      <c r="P173" s="13">
        <f t="shared" si="25"/>
        <v>0</v>
      </c>
      <c r="Q173" s="13">
        <f t="shared" si="25"/>
        <v>0</v>
      </c>
      <c r="R173" s="13">
        <f t="shared" si="25"/>
        <v>0</v>
      </c>
      <c r="S173" s="13">
        <f t="shared" si="25"/>
        <v>0</v>
      </c>
      <c r="T173" s="13">
        <f t="shared" si="25"/>
        <v>0</v>
      </c>
      <c r="U173" s="13">
        <f t="shared" si="9"/>
        <v>8</v>
      </c>
      <c r="V173" s="5"/>
      <c r="W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13">
        <f t="shared" si="9"/>
        <v>0</v>
      </c>
      <c r="V174" s="5"/>
      <c r="W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0.0</v>
      </c>
      <c r="F175" s="66">
        <v>1.0</v>
      </c>
      <c r="G175" s="66">
        <v>6.0</v>
      </c>
      <c r="H175" s="66">
        <v>3.0</v>
      </c>
      <c r="I175" s="66">
        <v>1.0</v>
      </c>
      <c r="J175" s="66">
        <v>0.0</v>
      </c>
      <c r="K175" s="66">
        <v>0.0</v>
      </c>
      <c r="L175" s="66">
        <v>0.0</v>
      </c>
      <c r="M175" s="66">
        <v>2.0</v>
      </c>
      <c r="N175" s="66">
        <v>0.0</v>
      </c>
      <c r="O175" s="66">
        <v>0.0</v>
      </c>
      <c r="P175" s="66">
        <v>0.0</v>
      </c>
      <c r="Q175" s="66">
        <v>4.0</v>
      </c>
      <c r="R175" s="66">
        <v>1.0</v>
      </c>
      <c r="S175" s="66">
        <v>4.0</v>
      </c>
      <c r="T175" s="66">
        <v>3.0</v>
      </c>
      <c r="U175" s="13">
        <f t="shared" si="9"/>
        <v>25</v>
      </c>
      <c r="V175" s="5"/>
      <c r="W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0.0</v>
      </c>
      <c r="F176" s="66">
        <v>0.0</v>
      </c>
      <c r="G176" s="66">
        <v>2.0</v>
      </c>
      <c r="H176" s="66">
        <v>0.0</v>
      </c>
      <c r="I176" s="66">
        <v>1.0</v>
      </c>
      <c r="J176" s="66">
        <v>0.0</v>
      </c>
      <c r="K176" s="66">
        <v>0.0</v>
      </c>
      <c r="L176" s="66">
        <v>0.0</v>
      </c>
      <c r="M176" s="66">
        <v>0.0</v>
      </c>
      <c r="N176" s="66">
        <v>0.0</v>
      </c>
      <c r="O176" s="66">
        <v>0.0</v>
      </c>
      <c r="P176" s="66">
        <v>0.0</v>
      </c>
      <c r="Q176" s="66">
        <v>0.0</v>
      </c>
      <c r="R176" s="66">
        <v>0.0</v>
      </c>
      <c r="S176" s="66">
        <v>1.0</v>
      </c>
      <c r="T176" s="66">
        <v>0.0</v>
      </c>
      <c r="U176" s="13">
        <f t="shared" si="9"/>
        <v>4</v>
      </c>
      <c r="V176" s="1"/>
      <c r="W176" s="1"/>
    </row>
    <row r="177" ht="12.75" customHeight="1">
      <c r="A177" s="18"/>
      <c r="B177" s="49"/>
      <c r="C177" s="50" t="s">
        <v>153</v>
      </c>
      <c r="D177" s="51"/>
      <c r="E177" s="66">
        <v>8.0</v>
      </c>
      <c r="F177" s="66">
        <v>17.0</v>
      </c>
      <c r="G177" s="66">
        <v>44.0</v>
      </c>
      <c r="H177" s="66">
        <v>6.0</v>
      </c>
      <c r="I177" s="66">
        <v>5.0</v>
      </c>
      <c r="J177" s="66">
        <v>0.0</v>
      </c>
      <c r="K177" s="66">
        <v>0.0</v>
      </c>
      <c r="L177" s="66">
        <v>0.0</v>
      </c>
      <c r="M177" s="66">
        <v>8.0</v>
      </c>
      <c r="N177" s="66">
        <v>1.0</v>
      </c>
      <c r="O177" s="66">
        <v>0.0</v>
      </c>
      <c r="P177" s="66">
        <v>0.0</v>
      </c>
      <c r="Q177" s="66">
        <v>32.0</v>
      </c>
      <c r="R177" s="66">
        <v>30.0</v>
      </c>
      <c r="S177" s="66">
        <v>35.0</v>
      </c>
      <c r="T177" s="66">
        <v>70.0</v>
      </c>
      <c r="U177" s="13">
        <f t="shared" si="9"/>
        <v>256</v>
      </c>
    </row>
    <row r="178" ht="12.75" customHeight="1">
      <c r="A178" s="18"/>
      <c r="B178" s="49"/>
      <c r="C178" s="50" t="s">
        <v>154</v>
      </c>
      <c r="D178" s="51"/>
      <c r="E178" s="66">
        <v>0.0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0.0</v>
      </c>
      <c r="N178" s="66">
        <v>0.0</v>
      </c>
      <c r="O178" s="66">
        <v>0.0</v>
      </c>
      <c r="P178" s="66">
        <v>0.0</v>
      </c>
      <c r="Q178" s="66">
        <v>0.0</v>
      </c>
      <c r="R178" s="66">
        <v>0.0</v>
      </c>
      <c r="S178" s="66">
        <v>0.0</v>
      </c>
      <c r="T178" s="66">
        <v>1.0</v>
      </c>
      <c r="U178" s="13">
        <f t="shared" si="9"/>
        <v>1</v>
      </c>
      <c r="V178" s="5"/>
      <c r="W178" s="5"/>
    </row>
    <row r="179" ht="12.75" customHeight="1">
      <c r="A179" s="18"/>
      <c r="B179" s="49"/>
      <c r="C179" s="50" t="s">
        <v>155</v>
      </c>
      <c r="D179" s="51"/>
      <c r="E179" s="66">
        <v>0.0</v>
      </c>
      <c r="F179" s="66">
        <v>0.0</v>
      </c>
      <c r="G179" s="66">
        <v>1.0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2.0</v>
      </c>
      <c r="O179" s="66">
        <v>0.0</v>
      </c>
      <c r="P179" s="66">
        <v>0.0</v>
      </c>
      <c r="Q179" s="66">
        <v>0.0</v>
      </c>
      <c r="R179" s="66">
        <v>0.0</v>
      </c>
      <c r="S179" s="66">
        <v>0.0</v>
      </c>
      <c r="T179" s="66">
        <v>0.0</v>
      </c>
      <c r="U179" s="13">
        <f t="shared" si="9"/>
        <v>3</v>
      </c>
      <c r="V179" s="5"/>
      <c r="W179" s="5"/>
    </row>
    <row r="180" ht="12.75" customHeight="1">
      <c r="A180" s="18"/>
      <c r="B180" s="49"/>
      <c r="C180" s="50" t="s">
        <v>156</v>
      </c>
      <c r="D180" s="51"/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0.0</v>
      </c>
      <c r="L180" s="66">
        <v>0.0</v>
      </c>
      <c r="M180" s="66">
        <v>0.0</v>
      </c>
      <c r="N180" s="66">
        <v>1.0</v>
      </c>
      <c r="O180" s="66">
        <v>0.0</v>
      </c>
      <c r="P180" s="66">
        <v>0.0</v>
      </c>
      <c r="Q180" s="66">
        <v>0.0</v>
      </c>
      <c r="R180" s="66">
        <v>0.0</v>
      </c>
      <c r="S180" s="66">
        <v>0.0</v>
      </c>
      <c r="T180" s="66">
        <v>0.0</v>
      </c>
      <c r="U180" s="13">
        <f t="shared" si="9"/>
        <v>1</v>
      </c>
      <c r="V180" s="5"/>
      <c r="W180" s="5"/>
    </row>
    <row r="181" ht="12.75" customHeight="1">
      <c r="A181" s="18"/>
      <c r="B181" s="49"/>
      <c r="C181" s="50" t="s">
        <v>157</v>
      </c>
      <c r="D181" s="51"/>
      <c r="E181" s="66">
        <v>0.0</v>
      </c>
      <c r="F181" s="66">
        <v>0.0</v>
      </c>
      <c r="G181" s="66">
        <v>1.0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66">
        <v>0.0</v>
      </c>
      <c r="Q181" s="66">
        <v>0.0</v>
      </c>
      <c r="R181" s="66">
        <v>0.0</v>
      </c>
      <c r="S181" s="66">
        <v>0.0</v>
      </c>
      <c r="T181" s="66">
        <v>0.0</v>
      </c>
      <c r="U181" s="13">
        <f t="shared" si="9"/>
        <v>1</v>
      </c>
      <c r="V181" s="5"/>
      <c r="W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T182" si="26">SUM(E175:E181)</f>
        <v>8</v>
      </c>
      <c r="F182" s="13">
        <f t="shared" si="26"/>
        <v>18</v>
      </c>
      <c r="G182" s="13">
        <f t="shared" si="26"/>
        <v>54</v>
      </c>
      <c r="H182" s="13">
        <f t="shared" si="26"/>
        <v>9</v>
      </c>
      <c r="I182" s="13">
        <f t="shared" si="26"/>
        <v>7</v>
      </c>
      <c r="J182" s="13">
        <f t="shared" si="26"/>
        <v>0</v>
      </c>
      <c r="K182" s="13">
        <f t="shared" si="26"/>
        <v>0</v>
      </c>
      <c r="L182" s="13">
        <f t="shared" si="26"/>
        <v>0</v>
      </c>
      <c r="M182" s="13">
        <f t="shared" si="26"/>
        <v>10</v>
      </c>
      <c r="N182" s="13">
        <f t="shared" si="26"/>
        <v>4</v>
      </c>
      <c r="O182" s="13">
        <f t="shared" si="26"/>
        <v>0</v>
      </c>
      <c r="P182" s="13">
        <f t="shared" si="26"/>
        <v>0</v>
      </c>
      <c r="Q182" s="13">
        <f t="shared" si="26"/>
        <v>36</v>
      </c>
      <c r="R182" s="13">
        <f t="shared" si="26"/>
        <v>31</v>
      </c>
      <c r="S182" s="13">
        <f t="shared" si="26"/>
        <v>40</v>
      </c>
      <c r="T182" s="13">
        <f t="shared" si="26"/>
        <v>74</v>
      </c>
      <c r="U182" s="13">
        <f t="shared" si="9"/>
        <v>291</v>
      </c>
      <c r="V182" s="5"/>
      <c r="W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13">
        <f t="shared" si="9"/>
        <v>0</v>
      </c>
      <c r="V183" s="5"/>
      <c r="W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66">
        <v>2.0</v>
      </c>
      <c r="F184" s="66">
        <v>0.0</v>
      </c>
      <c r="G184" s="66">
        <v>1.0</v>
      </c>
      <c r="H184" s="66">
        <v>0.0</v>
      </c>
      <c r="I184" s="66">
        <v>0.0</v>
      </c>
      <c r="J184" s="66">
        <v>0.0</v>
      </c>
      <c r="K184" s="66">
        <v>0.0</v>
      </c>
      <c r="L184" s="66">
        <v>0.0</v>
      </c>
      <c r="M184" s="66">
        <v>0.0</v>
      </c>
      <c r="N184" s="66">
        <v>0.0</v>
      </c>
      <c r="O184" s="66">
        <v>0.0</v>
      </c>
      <c r="P184" s="66">
        <v>0.0</v>
      </c>
      <c r="Q184" s="66">
        <v>0.0</v>
      </c>
      <c r="R184" s="66">
        <v>0.0</v>
      </c>
      <c r="S184" s="66">
        <v>0.0</v>
      </c>
      <c r="T184" s="66">
        <v>0.0</v>
      </c>
      <c r="U184" s="13">
        <f t="shared" si="9"/>
        <v>3</v>
      </c>
      <c r="V184" s="5"/>
      <c r="W184" s="5"/>
    </row>
    <row r="185" ht="12.75" customHeight="1">
      <c r="A185" s="30" t="s">
        <v>39</v>
      </c>
      <c r="B185" s="49"/>
      <c r="C185" s="50" t="s">
        <v>160</v>
      </c>
      <c r="D185" s="51"/>
      <c r="E185" s="66">
        <v>1.0</v>
      </c>
      <c r="F185" s="66">
        <v>1.0</v>
      </c>
      <c r="G185" s="66">
        <v>0.0</v>
      </c>
      <c r="H185" s="66">
        <v>0.0</v>
      </c>
      <c r="I185" s="66">
        <v>1.0</v>
      </c>
      <c r="J185" s="66">
        <v>0.0</v>
      </c>
      <c r="K185" s="66">
        <v>0.0</v>
      </c>
      <c r="L185" s="66">
        <v>0.0</v>
      </c>
      <c r="M185" s="66">
        <v>0.0</v>
      </c>
      <c r="N185" s="66">
        <v>1.0</v>
      </c>
      <c r="O185" s="66">
        <v>0.0</v>
      </c>
      <c r="P185" s="66">
        <v>0.0</v>
      </c>
      <c r="Q185" s="66">
        <v>0.0</v>
      </c>
      <c r="R185" s="66">
        <v>0.0</v>
      </c>
      <c r="S185" s="66">
        <v>0.0</v>
      </c>
      <c r="T185" s="66">
        <v>0.0</v>
      </c>
      <c r="U185" s="13">
        <f t="shared" si="9"/>
        <v>4</v>
      </c>
      <c r="V185" s="5"/>
      <c r="W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66">
        <v>0.0</v>
      </c>
      <c r="U186" s="13">
        <f t="shared" si="9"/>
        <v>0</v>
      </c>
      <c r="V186" s="5"/>
      <c r="W186" s="5"/>
    </row>
    <row r="187" ht="12.75" customHeight="1">
      <c r="A187" s="24"/>
      <c r="B187" s="15"/>
      <c r="C187" s="15"/>
      <c r="D187" s="16"/>
      <c r="E187" s="13">
        <f t="shared" ref="E187:T187" si="27">SUM(E177:E184)</f>
        <v>18</v>
      </c>
      <c r="F187" s="13">
        <f t="shared" si="27"/>
        <v>35</v>
      </c>
      <c r="G187" s="13">
        <f t="shared" si="27"/>
        <v>101</v>
      </c>
      <c r="H187" s="13">
        <f t="shared" si="27"/>
        <v>15</v>
      </c>
      <c r="I187" s="13">
        <f t="shared" si="27"/>
        <v>12</v>
      </c>
      <c r="J187" s="13">
        <f t="shared" si="27"/>
        <v>0</v>
      </c>
      <c r="K187" s="13">
        <f t="shared" si="27"/>
        <v>0</v>
      </c>
      <c r="L187" s="13">
        <f t="shared" si="27"/>
        <v>0</v>
      </c>
      <c r="M187" s="13">
        <f t="shared" si="27"/>
        <v>18</v>
      </c>
      <c r="N187" s="13">
        <f t="shared" si="27"/>
        <v>8</v>
      </c>
      <c r="O187" s="13">
        <f t="shared" si="27"/>
        <v>0</v>
      </c>
      <c r="P187" s="13">
        <f t="shared" si="27"/>
        <v>0</v>
      </c>
      <c r="Q187" s="13">
        <f t="shared" si="27"/>
        <v>68</v>
      </c>
      <c r="R187" s="13">
        <f t="shared" si="27"/>
        <v>61</v>
      </c>
      <c r="S187" s="13">
        <f t="shared" si="27"/>
        <v>75</v>
      </c>
      <c r="T187" s="13">
        <f t="shared" si="27"/>
        <v>145</v>
      </c>
      <c r="U187" s="13">
        <f t="shared" si="9"/>
        <v>556</v>
      </c>
      <c r="V187" s="1"/>
      <c r="W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13">
        <f t="shared" si="9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13">
        <f t="shared" si="9"/>
        <v>0</v>
      </c>
      <c r="V189" s="5"/>
      <c r="W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T190" si="28">E187+E182+E173+E164+E159+E150+E141+E132+E128+E119+E110+E101+E92+E88+E79+E70+E61+E52</f>
        <v>226</v>
      </c>
      <c r="F190" s="19">
        <f t="shared" si="28"/>
        <v>258</v>
      </c>
      <c r="G190" s="19">
        <f t="shared" si="28"/>
        <v>282</v>
      </c>
      <c r="H190" s="19">
        <f t="shared" si="28"/>
        <v>180</v>
      </c>
      <c r="I190" s="19">
        <f t="shared" si="28"/>
        <v>227</v>
      </c>
      <c r="J190" s="19">
        <f t="shared" si="28"/>
        <v>206</v>
      </c>
      <c r="K190" s="19">
        <f t="shared" si="28"/>
        <v>194</v>
      </c>
      <c r="L190" s="19">
        <f t="shared" si="28"/>
        <v>163</v>
      </c>
      <c r="M190" s="19">
        <f t="shared" si="28"/>
        <v>204</v>
      </c>
      <c r="N190" s="19">
        <f t="shared" si="28"/>
        <v>219</v>
      </c>
      <c r="O190" s="19">
        <f t="shared" si="28"/>
        <v>137</v>
      </c>
      <c r="P190" s="19">
        <f t="shared" si="28"/>
        <v>190</v>
      </c>
      <c r="Q190" s="19">
        <f t="shared" si="28"/>
        <v>264</v>
      </c>
      <c r="R190" s="19">
        <f t="shared" si="28"/>
        <v>238</v>
      </c>
      <c r="S190" s="19">
        <f t="shared" si="28"/>
        <v>251</v>
      </c>
      <c r="T190" s="19">
        <f t="shared" si="28"/>
        <v>377</v>
      </c>
      <c r="U190" s="13">
        <f t="shared" si="9"/>
        <v>3616</v>
      </c>
      <c r="V190" s="5"/>
      <c r="W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9.0</v>
      </c>
      <c r="F191" s="66">
        <v>17.0</v>
      </c>
      <c r="G191" s="66">
        <v>14.0</v>
      </c>
      <c r="H191" s="66">
        <v>14.0</v>
      </c>
      <c r="I191" s="66">
        <v>5.0</v>
      </c>
      <c r="J191" s="66">
        <v>12.0</v>
      </c>
      <c r="K191" s="66">
        <v>21.0</v>
      </c>
      <c r="L191" s="66">
        <v>4.0</v>
      </c>
      <c r="M191" s="66">
        <v>0.0</v>
      </c>
      <c r="N191" s="66">
        <v>6.0</v>
      </c>
      <c r="O191" s="66">
        <v>5.0</v>
      </c>
      <c r="P191" s="66">
        <v>6.0</v>
      </c>
      <c r="Q191" s="66">
        <v>19.0</v>
      </c>
      <c r="R191" s="66">
        <v>15.0</v>
      </c>
      <c r="S191" s="66">
        <v>5.0</v>
      </c>
      <c r="T191" s="66">
        <v>8.0</v>
      </c>
      <c r="U191" s="13">
        <f t="shared" si="9"/>
        <v>160</v>
      </c>
      <c r="V191" s="5"/>
      <c r="W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T192" si="29">E190+E191</f>
        <v>235</v>
      </c>
      <c r="F192" s="19">
        <f t="shared" si="29"/>
        <v>275</v>
      </c>
      <c r="G192" s="19">
        <f t="shared" si="29"/>
        <v>296</v>
      </c>
      <c r="H192" s="19">
        <f t="shared" si="29"/>
        <v>194</v>
      </c>
      <c r="I192" s="19">
        <f t="shared" si="29"/>
        <v>232</v>
      </c>
      <c r="J192" s="19">
        <f t="shared" si="29"/>
        <v>218</v>
      </c>
      <c r="K192" s="19">
        <f t="shared" si="29"/>
        <v>215</v>
      </c>
      <c r="L192" s="19">
        <f t="shared" si="29"/>
        <v>167</v>
      </c>
      <c r="M192" s="19">
        <f t="shared" si="29"/>
        <v>204</v>
      </c>
      <c r="N192" s="19">
        <f t="shared" si="29"/>
        <v>225</v>
      </c>
      <c r="O192" s="19">
        <f t="shared" si="29"/>
        <v>142</v>
      </c>
      <c r="P192" s="19">
        <f t="shared" si="29"/>
        <v>196</v>
      </c>
      <c r="Q192" s="19">
        <f t="shared" si="29"/>
        <v>283</v>
      </c>
      <c r="R192" s="19">
        <f t="shared" si="29"/>
        <v>253</v>
      </c>
      <c r="S192" s="19">
        <f t="shared" si="29"/>
        <v>256</v>
      </c>
      <c r="T192" s="19">
        <f t="shared" si="29"/>
        <v>385</v>
      </c>
      <c r="U192" s="13">
        <f t="shared" si="9"/>
        <v>3776</v>
      </c>
      <c r="V192" s="5"/>
      <c r="W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T12"/>
    <mergeCell ref="U12:U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14:T15">
    <cfRule type="containsBlanks" dxfId="0" priority="1">
      <formula>LEN(TRIM(E14))=0</formula>
    </cfRule>
  </conditionalFormatting>
  <conditionalFormatting sqref="E19:T20">
    <cfRule type="containsBlanks" dxfId="0" priority="2">
      <formula>LEN(TRIM(E19))=0</formula>
    </cfRule>
  </conditionalFormatting>
  <conditionalFormatting sqref="E22:T23 E25:T26 E33:T33 E35:T35 E39:T40">
    <cfRule type="containsBlanks" dxfId="0" priority="3">
      <formula>LEN(TRIM(E22))=0</formula>
    </cfRule>
  </conditionalFormatting>
  <conditionalFormatting sqref="E30:T30">
    <cfRule type="expression" dxfId="1" priority="4">
      <formula>E30&lt;&gt;E47</formula>
    </cfRule>
  </conditionalFormatting>
  <conditionalFormatting sqref="E30:T30">
    <cfRule type="expression" dxfId="1" priority="5">
      <formula>E30&lt;&gt;E34</formula>
    </cfRule>
  </conditionalFormatting>
  <conditionalFormatting sqref="E34:T34">
    <cfRule type="expression" dxfId="2" priority="6">
      <formula>E30&lt;&gt;E34</formula>
    </cfRule>
  </conditionalFormatting>
  <conditionalFormatting sqref="E34:T34">
    <cfRule type="expression" dxfId="3" priority="7">
      <formula>E30=E34</formula>
    </cfRule>
  </conditionalFormatting>
  <conditionalFormatting sqref="E34:T34">
    <cfRule type="expression" dxfId="1" priority="8">
      <formula>E34&lt;&gt;E30</formula>
    </cfRule>
  </conditionalFormatting>
  <conditionalFormatting sqref="E34:T34">
    <cfRule type="expression" dxfId="1" priority="9">
      <formula>E34&lt;&gt;E64</formula>
    </cfRule>
  </conditionalFormatting>
  <conditionalFormatting sqref="E45:T52 E54:T61">
    <cfRule type="containsBlanks" dxfId="0" priority="10">
      <formula>LEN(TRIM(E45))=0</formula>
    </cfRule>
  </conditionalFormatting>
  <conditionalFormatting sqref="E90:S91 T90">
    <cfRule type="containsBlanks" dxfId="0" priority="11">
      <formula>LEN(TRIM(E90))=0</formula>
    </cfRule>
  </conditionalFormatting>
  <conditionalFormatting sqref="E130:T132">
    <cfRule type="containsBlanks" dxfId="0" priority="12">
      <formula>LEN(TRIM(E130))=0</formula>
    </cfRule>
  </conditionalFormatting>
  <conditionalFormatting sqref="E161:T162">
    <cfRule type="containsBlanks" dxfId="0" priority="13">
      <formula>LEN(TRIM(E161))=0</formula>
    </cfRule>
  </conditionalFormatting>
  <conditionalFormatting sqref="E184:T186">
    <cfRule type="containsBlanks" dxfId="0" priority="14">
      <formula>LEN(TRIM(E184))=0</formula>
    </cfRule>
  </conditionalFormatting>
  <conditionalFormatting sqref="E190:T192">
    <cfRule type="containsBlanks" dxfId="0" priority="15">
      <formula>LEN(TRIM(E190))=0</formula>
    </cfRule>
  </conditionalFormatting>
  <conditionalFormatting sqref="E63:T70">
    <cfRule type="containsBlanks" dxfId="0" priority="16">
      <formula>LEN(TRIM(E63))=0</formula>
    </cfRule>
  </conditionalFormatting>
  <conditionalFormatting sqref="E72:T79">
    <cfRule type="containsBlanks" dxfId="0" priority="17">
      <formula>LEN(TRIM(E72))=0</formula>
    </cfRule>
  </conditionalFormatting>
  <conditionalFormatting sqref="E81:T88">
    <cfRule type="containsBlanks" dxfId="0" priority="18">
      <formula>LEN(TRIM(E81))=0</formula>
    </cfRule>
  </conditionalFormatting>
  <conditionalFormatting sqref="E94:T101">
    <cfRule type="containsBlanks" dxfId="0" priority="19">
      <formula>LEN(TRIM(E94))=0</formula>
    </cfRule>
  </conditionalFormatting>
  <conditionalFormatting sqref="E103:T110">
    <cfRule type="containsBlanks" dxfId="0" priority="20">
      <formula>LEN(TRIM(E103))=0</formula>
    </cfRule>
  </conditionalFormatting>
  <conditionalFormatting sqref="E112:T119">
    <cfRule type="containsBlanks" dxfId="0" priority="21">
      <formula>LEN(TRIM(E112))=0</formula>
    </cfRule>
  </conditionalFormatting>
  <conditionalFormatting sqref="E121:T128">
    <cfRule type="containsBlanks" dxfId="0" priority="22">
      <formula>LEN(TRIM(E121))=0</formula>
    </cfRule>
  </conditionalFormatting>
  <conditionalFormatting sqref="E134:T141">
    <cfRule type="containsBlanks" dxfId="0" priority="23">
      <formula>LEN(TRIM(E134))=0</formula>
    </cfRule>
  </conditionalFormatting>
  <conditionalFormatting sqref="E143:T150">
    <cfRule type="containsBlanks" dxfId="0" priority="24">
      <formula>LEN(TRIM(E143))=0</formula>
    </cfRule>
  </conditionalFormatting>
  <conditionalFormatting sqref="E152:T159">
    <cfRule type="containsBlanks" dxfId="0" priority="25">
      <formula>LEN(TRIM(E152))=0</formula>
    </cfRule>
  </conditionalFormatting>
  <conditionalFormatting sqref="E166:T173">
    <cfRule type="containsBlanks" dxfId="0" priority="26">
      <formula>LEN(TRIM(E166))=0</formula>
    </cfRule>
  </conditionalFormatting>
  <conditionalFormatting sqref="E175:T182">
    <cfRule type="containsBlanks" dxfId="0" priority="27">
      <formula>LEN(TRIM(E175))=0</formula>
    </cfRule>
  </conditionalFormatting>
  <conditionalFormatting sqref="E91:T91">
    <cfRule type="containsBlanks" dxfId="0" priority="28">
      <formula>LEN(TRIM(E91))=0</formula>
    </cfRule>
  </conditionalFormatting>
  <conditionalFormatting sqref="E163:T163">
    <cfRule type="containsBlanks" dxfId="0" priority="29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22" width="8.71"/>
    <col customWidth="1" min="23" max="23" width="13.29"/>
    <col customWidth="1" min="24" max="26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194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13" t="s">
        <v>182</v>
      </c>
      <c r="Q13" s="13" t="s">
        <v>183</v>
      </c>
      <c r="R13" s="13" t="s">
        <v>184</v>
      </c>
      <c r="S13" s="13" t="s">
        <v>185</v>
      </c>
      <c r="T13" s="13" t="s">
        <v>186</v>
      </c>
      <c r="U13" s="13" t="s">
        <v>187</v>
      </c>
      <c r="V13" s="13" t="s">
        <v>188</v>
      </c>
      <c r="W13" s="36"/>
    </row>
    <row r="14" ht="12.75" customHeight="1">
      <c r="A14" s="18"/>
      <c r="B14" s="22" t="s">
        <v>11</v>
      </c>
      <c r="C14" s="23"/>
      <c r="D14" s="19" t="s">
        <v>12</v>
      </c>
      <c r="E14" s="66">
        <v>142.0</v>
      </c>
      <c r="F14" s="66">
        <v>123.0</v>
      </c>
      <c r="G14" s="66">
        <v>144.0</v>
      </c>
      <c r="H14" s="66">
        <v>139.0</v>
      </c>
      <c r="I14" s="66">
        <v>133.0</v>
      </c>
      <c r="J14" s="66">
        <v>151.0</v>
      </c>
      <c r="K14" s="66">
        <v>136.0</v>
      </c>
      <c r="L14" s="66">
        <v>141.0</v>
      </c>
      <c r="M14" s="66">
        <v>150.0</v>
      </c>
      <c r="N14" s="66">
        <v>113.0</v>
      </c>
      <c r="O14" s="66">
        <v>133.0</v>
      </c>
      <c r="P14" s="66">
        <v>121.0</v>
      </c>
      <c r="Q14" s="66">
        <v>121.0</v>
      </c>
      <c r="R14" s="66">
        <v>133.0</v>
      </c>
      <c r="S14" s="66">
        <v>130.0</v>
      </c>
      <c r="T14" s="66">
        <v>121.0</v>
      </c>
      <c r="U14" s="66">
        <v>127.0</v>
      </c>
      <c r="V14" s="66">
        <v>123.0</v>
      </c>
      <c r="W14" s="13">
        <f t="shared" ref="W14:W16" si="1">SUM(E14:V14)</f>
        <v>2381</v>
      </c>
    </row>
    <row r="15" ht="12.75" customHeight="1">
      <c r="A15" s="18"/>
      <c r="B15" s="26"/>
      <c r="C15" s="27"/>
      <c r="D15" s="19" t="s">
        <v>13</v>
      </c>
      <c r="E15" s="66">
        <v>143.0</v>
      </c>
      <c r="F15" s="66">
        <v>143.0</v>
      </c>
      <c r="G15" s="66">
        <v>150.0</v>
      </c>
      <c r="H15" s="66">
        <v>146.0</v>
      </c>
      <c r="I15" s="66">
        <v>133.0</v>
      </c>
      <c r="J15" s="66">
        <v>145.0</v>
      </c>
      <c r="K15" s="66">
        <v>138.0</v>
      </c>
      <c r="L15" s="66">
        <v>156.0</v>
      </c>
      <c r="M15" s="66">
        <v>141.0</v>
      </c>
      <c r="N15" s="66">
        <v>121.0</v>
      </c>
      <c r="O15" s="66">
        <v>140.0</v>
      </c>
      <c r="P15" s="66">
        <v>132.0</v>
      </c>
      <c r="Q15" s="66">
        <v>131.0</v>
      </c>
      <c r="R15" s="66">
        <v>129.0</v>
      </c>
      <c r="S15" s="66">
        <v>136.0</v>
      </c>
      <c r="T15" s="66">
        <v>122.0</v>
      </c>
      <c r="U15" s="66">
        <v>128.0</v>
      </c>
      <c r="V15" s="66">
        <v>119.0</v>
      </c>
      <c r="W15" s="13">
        <f t="shared" si="1"/>
        <v>2453</v>
      </c>
    </row>
    <row r="16" ht="12.75" customHeight="1">
      <c r="A16" s="25"/>
      <c r="B16" s="21"/>
      <c r="C16" s="28"/>
      <c r="D16" s="13" t="s">
        <v>14</v>
      </c>
      <c r="E16" s="13">
        <f t="shared" ref="E16:V16" si="2">SUM(E14:E15)</f>
        <v>285</v>
      </c>
      <c r="F16" s="13">
        <f t="shared" si="2"/>
        <v>266</v>
      </c>
      <c r="G16" s="13">
        <f t="shared" si="2"/>
        <v>294</v>
      </c>
      <c r="H16" s="13">
        <f t="shared" si="2"/>
        <v>285</v>
      </c>
      <c r="I16" s="13">
        <f t="shared" si="2"/>
        <v>266</v>
      </c>
      <c r="J16" s="13">
        <f t="shared" si="2"/>
        <v>296</v>
      </c>
      <c r="K16" s="13">
        <f t="shared" si="2"/>
        <v>274</v>
      </c>
      <c r="L16" s="13">
        <f t="shared" si="2"/>
        <v>297</v>
      </c>
      <c r="M16" s="13">
        <f t="shared" si="2"/>
        <v>291</v>
      </c>
      <c r="N16" s="13">
        <f t="shared" si="2"/>
        <v>234</v>
      </c>
      <c r="O16" s="13">
        <f t="shared" si="2"/>
        <v>273</v>
      </c>
      <c r="P16" s="13">
        <f t="shared" si="2"/>
        <v>253</v>
      </c>
      <c r="Q16" s="13">
        <f t="shared" si="2"/>
        <v>252</v>
      </c>
      <c r="R16" s="13">
        <f t="shared" si="2"/>
        <v>262</v>
      </c>
      <c r="S16" s="13">
        <f t="shared" si="2"/>
        <v>266</v>
      </c>
      <c r="T16" s="13">
        <f t="shared" si="2"/>
        <v>243</v>
      </c>
      <c r="U16" s="13">
        <f t="shared" si="2"/>
        <v>255</v>
      </c>
      <c r="V16" s="13">
        <f t="shared" si="2"/>
        <v>242</v>
      </c>
      <c r="W16" s="13">
        <f t="shared" si="1"/>
        <v>4834</v>
      </c>
    </row>
    <row r="17" ht="12.75" customHeight="1">
      <c r="A17" s="24"/>
      <c r="B17" s="15"/>
      <c r="C17" s="15"/>
      <c r="D17" s="16"/>
      <c r="E17" s="19"/>
      <c r="F17" s="19"/>
      <c r="G17" s="19"/>
      <c r="H17" s="19"/>
      <c r="I17" s="19"/>
      <c r="J17" s="19"/>
      <c r="K17" s="19"/>
      <c r="L17" s="19"/>
      <c r="M17" s="19"/>
      <c r="N17" s="67"/>
      <c r="O17" s="67"/>
      <c r="P17" s="67"/>
      <c r="Q17" s="67"/>
      <c r="R17" s="67"/>
      <c r="S17" s="67"/>
      <c r="T17" s="67"/>
      <c r="U17" s="67"/>
      <c r="V17" s="67"/>
      <c r="W17" s="68"/>
    </row>
    <row r="18" ht="12.75" customHeight="1">
      <c r="A18" s="30" t="s">
        <v>15</v>
      </c>
      <c r="B18" s="20" t="s">
        <v>16</v>
      </c>
      <c r="C18" s="15"/>
      <c r="D18" s="16"/>
      <c r="E18" s="19"/>
      <c r="F18" s="19"/>
      <c r="G18" s="19"/>
      <c r="H18" s="19"/>
      <c r="I18" s="19"/>
      <c r="J18" s="19"/>
      <c r="K18" s="19"/>
      <c r="L18" s="19"/>
      <c r="M18" s="19"/>
      <c r="N18" s="67"/>
      <c r="O18" s="67"/>
      <c r="P18" s="67"/>
      <c r="Q18" s="67"/>
      <c r="R18" s="67"/>
      <c r="S18" s="67"/>
      <c r="T18" s="67"/>
      <c r="U18" s="67"/>
      <c r="V18" s="67"/>
      <c r="W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66">
        <v>117.0</v>
      </c>
      <c r="F19" s="66">
        <v>88.0</v>
      </c>
      <c r="G19" s="66">
        <v>96.0</v>
      </c>
      <c r="H19" s="66">
        <v>104.0</v>
      </c>
      <c r="I19" s="66">
        <v>96.0</v>
      </c>
      <c r="J19" s="66">
        <v>109.0</v>
      </c>
      <c r="K19" s="66">
        <v>105.0</v>
      </c>
      <c r="L19" s="66">
        <v>105.0</v>
      </c>
      <c r="M19" s="66">
        <v>113.0</v>
      </c>
      <c r="N19" s="66">
        <v>96.0</v>
      </c>
      <c r="O19" s="66">
        <v>102.0</v>
      </c>
      <c r="P19" s="66">
        <v>96.0</v>
      </c>
      <c r="Q19" s="66">
        <v>67.0</v>
      </c>
      <c r="R19" s="66">
        <v>89.0</v>
      </c>
      <c r="S19" s="66">
        <v>95.0</v>
      </c>
      <c r="T19" s="66">
        <v>99.0</v>
      </c>
      <c r="U19" s="66">
        <v>93.0</v>
      </c>
      <c r="V19" s="66">
        <v>83.0</v>
      </c>
      <c r="W19" s="13">
        <f t="shared" ref="W19:W30" si="3">SUM(E19:V19)</f>
        <v>1753</v>
      </c>
    </row>
    <row r="20" ht="12.75" customHeight="1">
      <c r="A20" s="33"/>
      <c r="B20" s="27"/>
      <c r="C20" s="34"/>
      <c r="D20" s="19" t="s">
        <v>13</v>
      </c>
      <c r="E20" s="66">
        <v>122.0</v>
      </c>
      <c r="F20" s="66">
        <v>111.0</v>
      </c>
      <c r="G20" s="66">
        <v>116.0</v>
      </c>
      <c r="H20" s="66">
        <v>118.0</v>
      </c>
      <c r="I20" s="66">
        <v>100.0</v>
      </c>
      <c r="J20" s="66">
        <v>109.0</v>
      </c>
      <c r="K20" s="66">
        <v>112.0</v>
      </c>
      <c r="L20" s="66">
        <v>127.0</v>
      </c>
      <c r="M20" s="66">
        <v>117.0</v>
      </c>
      <c r="N20" s="66">
        <v>99.0</v>
      </c>
      <c r="O20" s="66">
        <v>122.0</v>
      </c>
      <c r="P20" s="66">
        <v>102.0</v>
      </c>
      <c r="Q20" s="66">
        <v>87.0</v>
      </c>
      <c r="R20" s="66">
        <v>92.0</v>
      </c>
      <c r="S20" s="66">
        <v>106.0</v>
      </c>
      <c r="T20" s="66">
        <v>99.0</v>
      </c>
      <c r="U20" s="66">
        <v>109.0</v>
      </c>
      <c r="V20" s="66">
        <v>88.0</v>
      </c>
      <c r="W20" s="13">
        <f t="shared" si="3"/>
        <v>1936</v>
      </c>
    </row>
    <row r="21" ht="12.75" customHeight="1">
      <c r="A21" s="35"/>
      <c r="B21" s="28"/>
      <c r="C21" s="36"/>
      <c r="D21" s="13" t="s">
        <v>14</v>
      </c>
      <c r="E21" s="69">
        <v>239.0</v>
      </c>
      <c r="F21" s="69">
        <v>199.0</v>
      </c>
      <c r="G21" s="69">
        <v>212.0</v>
      </c>
      <c r="H21" s="69">
        <v>222.0</v>
      </c>
      <c r="I21" s="69">
        <v>196.0</v>
      </c>
      <c r="J21" s="69">
        <v>218.0</v>
      </c>
      <c r="K21" s="69">
        <v>217.0</v>
      </c>
      <c r="L21" s="69">
        <v>232.0</v>
      </c>
      <c r="M21" s="69">
        <v>230.0</v>
      </c>
      <c r="N21" s="69">
        <v>195.0</v>
      </c>
      <c r="O21" s="69">
        <v>224.0</v>
      </c>
      <c r="P21" s="69">
        <v>198.0</v>
      </c>
      <c r="Q21" s="69">
        <v>154.0</v>
      </c>
      <c r="R21" s="69">
        <v>181.0</v>
      </c>
      <c r="S21" s="69">
        <v>201.0</v>
      </c>
      <c r="T21" s="13">
        <f t="shared" ref="T21:V21" si="4">SUM(T19:T20)</f>
        <v>198</v>
      </c>
      <c r="U21" s="13">
        <f t="shared" si="4"/>
        <v>202</v>
      </c>
      <c r="V21" s="13">
        <f t="shared" si="4"/>
        <v>171</v>
      </c>
      <c r="W21" s="13">
        <f t="shared" si="3"/>
        <v>3689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66">
        <v>0.0</v>
      </c>
      <c r="F22" s="66">
        <v>0.0</v>
      </c>
      <c r="G22" s="66">
        <v>0.0</v>
      </c>
      <c r="H22" s="66">
        <v>0.0</v>
      </c>
      <c r="I22" s="66">
        <v>0.0</v>
      </c>
      <c r="J22" s="66">
        <v>2.0</v>
      </c>
      <c r="K22" s="66">
        <v>0.0</v>
      </c>
      <c r="L22" s="66">
        <v>0.0</v>
      </c>
      <c r="M22" s="66">
        <v>0.0</v>
      </c>
      <c r="N22" s="66">
        <v>0.0</v>
      </c>
      <c r="O22" s="66">
        <v>0.0</v>
      </c>
      <c r="P22" s="66">
        <v>0.0</v>
      </c>
      <c r="Q22" s="66">
        <v>0.0</v>
      </c>
      <c r="R22" s="66">
        <v>0.0</v>
      </c>
      <c r="S22" s="66">
        <v>0.0</v>
      </c>
      <c r="T22" s="66">
        <v>0.0</v>
      </c>
      <c r="U22" s="66">
        <v>0.0</v>
      </c>
      <c r="V22" s="66">
        <v>0.0</v>
      </c>
      <c r="W22" s="13">
        <f t="shared" si="3"/>
        <v>2</v>
      </c>
    </row>
    <row r="23" ht="12.75" customHeight="1">
      <c r="A23" s="33"/>
      <c r="B23" s="27"/>
      <c r="C23" s="34"/>
      <c r="D23" s="19" t="s">
        <v>13</v>
      </c>
      <c r="E23" s="66">
        <v>0.0</v>
      </c>
      <c r="F23" s="66">
        <v>0.0</v>
      </c>
      <c r="G23" s="66">
        <v>0.0</v>
      </c>
      <c r="H23" s="66">
        <v>0.0</v>
      </c>
      <c r="I23" s="66">
        <v>0.0</v>
      </c>
      <c r="J23" s="66">
        <v>0.0</v>
      </c>
      <c r="K23" s="66">
        <v>0.0</v>
      </c>
      <c r="L23" s="66">
        <v>0.0</v>
      </c>
      <c r="M23" s="66">
        <v>0.0</v>
      </c>
      <c r="N23" s="66">
        <v>0.0</v>
      </c>
      <c r="O23" s="66">
        <v>0.0</v>
      </c>
      <c r="P23" s="66">
        <v>0.0</v>
      </c>
      <c r="Q23" s="66">
        <v>0.0</v>
      </c>
      <c r="R23" s="66">
        <v>0.0</v>
      </c>
      <c r="S23" s="66">
        <v>0.0</v>
      </c>
      <c r="T23" s="66">
        <v>0.0</v>
      </c>
      <c r="U23" s="66">
        <v>1.0</v>
      </c>
      <c r="V23" s="66">
        <v>0.0</v>
      </c>
      <c r="W23" s="13">
        <f t="shared" si="3"/>
        <v>1</v>
      </c>
    </row>
    <row r="24" ht="12.75" customHeight="1">
      <c r="A24" s="35"/>
      <c r="B24" s="28"/>
      <c r="C24" s="36"/>
      <c r="D24" s="13" t="s">
        <v>14</v>
      </c>
      <c r="E24" s="69">
        <v>0.0</v>
      </c>
      <c r="F24" s="69">
        <v>0.0</v>
      </c>
      <c r="G24" s="69">
        <v>0.0</v>
      </c>
      <c r="H24" s="69">
        <v>0.0</v>
      </c>
      <c r="I24" s="69">
        <v>0.0</v>
      </c>
      <c r="J24" s="69">
        <v>2.0</v>
      </c>
      <c r="K24" s="69">
        <v>0.0</v>
      </c>
      <c r="L24" s="69">
        <v>0.0</v>
      </c>
      <c r="M24" s="69">
        <v>0.0</v>
      </c>
      <c r="N24" s="69">
        <v>0.0</v>
      </c>
      <c r="O24" s="69">
        <v>0.0</v>
      </c>
      <c r="P24" s="69">
        <v>0.0</v>
      </c>
      <c r="Q24" s="69">
        <v>0.0</v>
      </c>
      <c r="R24" s="69">
        <v>0.0</v>
      </c>
      <c r="S24" s="69">
        <v>0.0</v>
      </c>
      <c r="T24" s="13">
        <f t="shared" ref="T24:V24" si="5">SUM(T22:T23)</f>
        <v>0</v>
      </c>
      <c r="U24" s="13">
        <f t="shared" si="5"/>
        <v>1</v>
      </c>
      <c r="V24" s="13">
        <f t="shared" si="5"/>
        <v>0</v>
      </c>
      <c r="W24" s="13">
        <f t="shared" si="3"/>
        <v>3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66">
        <v>1.0</v>
      </c>
      <c r="F25" s="66">
        <v>0.0</v>
      </c>
      <c r="G25" s="66">
        <v>2.0</v>
      </c>
      <c r="H25" s="66">
        <v>0.0</v>
      </c>
      <c r="I25" s="66">
        <v>0.0</v>
      </c>
      <c r="J25" s="66">
        <v>0.0</v>
      </c>
      <c r="K25" s="66">
        <v>0.0</v>
      </c>
      <c r="L25" s="66">
        <v>1.0</v>
      </c>
      <c r="M25" s="66">
        <v>1.0</v>
      </c>
      <c r="N25" s="66">
        <v>0.0</v>
      </c>
      <c r="O25" s="66">
        <v>0.0</v>
      </c>
      <c r="P25" s="66">
        <v>1.0</v>
      </c>
      <c r="Q25" s="66">
        <v>1.0</v>
      </c>
      <c r="R25" s="66">
        <v>0.0</v>
      </c>
      <c r="S25" s="66">
        <v>0.0</v>
      </c>
      <c r="T25" s="66">
        <v>0.0</v>
      </c>
      <c r="U25" s="66">
        <v>1.0</v>
      </c>
      <c r="V25" s="66">
        <v>1.0</v>
      </c>
      <c r="W25" s="13">
        <f t="shared" si="3"/>
        <v>9</v>
      </c>
    </row>
    <row r="26" ht="12.75" customHeight="1">
      <c r="A26" s="33"/>
      <c r="B26" s="27"/>
      <c r="C26" s="34"/>
      <c r="D26" s="19" t="s">
        <v>13</v>
      </c>
      <c r="E26" s="66">
        <v>2.0</v>
      </c>
      <c r="F26" s="66">
        <v>0.0</v>
      </c>
      <c r="G26" s="66">
        <v>1.0</v>
      </c>
      <c r="H26" s="66">
        <v>0.0</v>
      </c>
      <c r="I26" s="66">
        <v>0.0</v>
      </c>
      <c r="J26" s="66">
        <v>0.0</v>
      </c>
      <c r="K26" s="66">
        <v>0.0</v>
      </c>
      <c r="L26" s="66">
        <v>0.0</v>
      </c>
      <c r="M26" s="66">
        <v>3.0</v>
      </c>
      <c r="N26" s="66">
        <v>0.0</v>
      </c>
      <c r="O26" s="66">
        <v>0.0</v>
      </c>
      <c r="P26" s="66">
        <v>1.0</v>
      </c>
      <c r="Q26" s="66">
        <v>0.0</v>
      </c>
      <c r="R26" s="66">
        <v>0.0</v>
      </c>
      <c r="S26" s="66">
        <v>1.0</v>
      </c>
      <c r="T26" s="66">
        <v>0.0</v>
      </c>
      <c r="U26" s="66">
        <v>0.0</v>
      </c>
      <c r="V26" s="66">
        <v>1.0</v>
      </c>
      <c r="W26" s="13">
        <f t="shared" si="3"/>
        <v>9</v>
      </c>
    </row>
    <row r="27" ht="12.75" customHeight="1">
      <c r="A27" s="35"/>
      <c r="B27" s="28"/>
      <c r="C27" s="36"/>
      <c r="D27" s="13" t="s">
        <v>14</v>
      </c>
      <c r="E27" s="69">
        <v>3.0</v>
      </c>
      <c r="F27" s="69">
        <v>0.0</v>
      </c>
      <c r="G27" s="69">
        <v>3.0</v>
      </c>
      <c r="H27" s="69">
        <v>0.0</v>
      </c>
      <c r="I27" s="69">
        <v>0.0</v>
      </c>
      <c r="J27" s="69">
        <v>0.0</v>
      </c>
      <c r="K27" s="69">
        <v>0.0</v>
      </c>
      <c r="L27" s="69">
        <v>1.0</v>
      </c>
      <c r="M27" s="69">
        <v>4.0</v>
      </c>
      <c r="N27" s="69">
        <v>0.0</v>
      </c>
      <c r="O27" s="69">
        <v>0.0</v>
      </c>
      <c r="P27" s="69">
        <v>2.0</v>
      </c>
      <c r="Q27" s="69">
        <v>1.0</v>
      </c>
      <c r="R27" s="69">
        <v>0.0</v>
      </c>
      <c r="S27" s="69">
        <v>1.0</v>
      </c>
      <c r="T27" s="13">
        <f t="shared" ref="T27:V27" si="6">SUM(T25:T26)</f>
        <v>0</v>
      </c>
      <c r="U27" s="13">
        <f t="shared" si="6"/>
        <v>1</v>
      </c>
      <c r="V27" s="13">
        <f t="shared" si="6"/>
        <v>2</v>
      </c>
      <c r="W27" s="13">
        <f t="shared" si="3"/>
        <v>18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69">
        <v>118.0</v>
      </c>
      <c r="F28" s="69">
        <v>88.0</v>
      </c>
      <c r="G28" s="69">
        <v>98.0</v>
      </c>
      <c r="H28" s="69">
        <v>104.0</v>
      </c>
      <c r="I28" s="69">
        <v>96.0</v>
      </c>
      <c r="J28" s="69">
        <v>111.0</v>
      </c>
      <c r="K28" s="69">
        <v>105.0</v>
      </c>
      <c r="L28" s="69">
        <v>106.0</v>
      </c>
      <c r="M28" s="69">
        <v>114.0</v>
      </c>
      <c r="N28" s="69">
        <v>96.0</v>
      </c>
      <c r="O28" s="69">
        <v>102.0</v>
      </c>
      <c r="P28" s="69">
        <v>97.0</v>
      </c>
      <c r="Q28" s="69">
        <v>68.0</v>
      </c>
      <c r="R28" s="69">
        <v>89.0</v>
      </c>
      <c r="S28" s="69">
        <v>95.0</v>
      </c>
      <c r="T28" s="13">
        <f t="shared" ref="T28:V28" si="7">SUM(T19,T22,T25)</f>
        <v>99</v>
      </c>
      <c r="U28" s="13">
        <f t="shared" si="7"/>
        <v>94</v>
      </c>
      <c r="V28" s="13">
        <f t="shared" si="7"/>
        <v>84</v>
      </c>
      <c r="W28" s="13">
        <f t="shared" si="3"/>
        <v>1764</v>
      </c>
    </row>
    <row r="29" ht="12.75" customHeight="1">
      <c r="A29" s="35"/>
      <c r="B29" s="27"/>
      <c r="C29" s="34"/>
      <c r="D29" s="13" t="s">
        <v>13</v>
      </c>
      <c r="E29" s="69">
        <v>124.0</v>
      </c>
      <c r="F29" s="69">
        <v>111.0</v>
      </c>
      <c r="G29" s="69">
        <v>117.0</v>
      </c>
      <c r="H29" s="69">
        <v>118.0</v>
      </c>
      <c r="I29" s="69">
        <v>100.0</v>
      </c>
      <c r="J29" s="69">
        <v>109.0</v>
      </c>
      <c r="K29" s="69">
        <v>112.0</v>
      </c>
      <c r="L29" s="69">
        <v>127.0</v>
      </c>
      <c r="M29" s="69">
        <v>120.0</v>
      </c>
      <c r="N29" s="69">
        <v>99.0</v>
      </c>
      <c r="O29" s="69">
        <v>122.0</v>
      </c>
      <c r="P29" s="69">
        <v>103.0</v>
      </c>
      <c r="Q29" s="69">
        <v>87.0</v>
      </c>
      <c r="R29" s="69">
        <v>92.0</v>
      </c>
      <c r="S29" s="69">
        <v>107.0</v>
      </c>
      <c r="T29" s="13">
        <f t="shared" ref="T29:V29" si="8">SUM(T20,T23,T26)</f>
        <v>99</v>
      </c>
      <c r="U29" s="13">
        <f t="shared" si="8"/>
        <v>110</v>
      </c>
      <c r="V29" s="13">
        <f t="shared" si="8"/>
        <v>89</v>
      </c>
      <c r="W29" s="13">
        <f t="shared" si="3"/>
        <v>1946</v>
      </c>
    </row>
    <row r="30" ht="12.75" customHeight="1">
      <c r="A30" s="35"/>
      <c r="B30" s="28"/>
      <c r="C30" s="36"/>
      <c r="D30" s="13" t="s">
        <v>14</v>
      </c>
      <c r="E30" s="13">
        <f t="shared" ref="E30:V30" si="9">SUM(E28:E29)</f>
        <v>242</v>
      </c>
      <c r="F30" s="13">
        <f t="shared" si="9"/>
        <v>199</v>
      </c>
      <c r="G30" s="13">
        <f t="shared" si="9"/>
        <v>215</v>
      </c>
      <c r="H30" s="13">
        <f t="shared" si="9"/>
        <v>222</v>
      </c>
      <c r="I30" s="13">
        <f t="shared" si="9"/>
        <v>196</v>
      </c>
      <c r="J30" s="13">
        <f t="shared" si="9"/>
        <v>220</v>
      </c>
      <c r="K30" s="13">
        <f t="shared" si="9"/>
        <v>217</v>
      </c>
      <c r="L30" s="13">
        <f t="shared" si="9"/>
        <v>233</v>
      </c>
      <c r="M30" s="13">
        <f t="shared" si="9"/>
        <v>234</v>
      </c>
      <c r="N30" s="13">
        <f t="shared" si="9"/>
        <v>195</v>
      </c>
      <c r="O30" s="13">
        <f t="shared" si="9"/>
        <v>224</v>
      </c>
      <c r="P30" s="13">
        <f t="shared" si="9"/>
        <v>200</v>
      </c>
      <c r="Q30" s="13">
        <f t="shared" si="9"/>
        <v>155</v>
      </c>
      <c r="R30" s="13">
        <f t="shared" si="9"/>
        <v>181</v>
      </c>
      <c r="S30" s="13">
        <f t="shared" si="9"/>
        <v>202</v>
      </c>
      <c r="T30" s="13">
        <f t="shared" si="9"/>
        <v>198</v>
      </c>
      <c r="U30" s="13">
        <f t="shared" si="9"/>
        <v>204</v>
      </c>
      <c r="V30" s="13">
        <f t="shared" si="9"/>
        <v>173</v>
      </c>
      <c r="W30" s="13">
        <f t="shared" si="3"/>
        <v>3710</v>
      </c>
    </row>
    <row r="31" ht="12.75" customHeight="1">
      <c r="A31" s="24"/>
      <c r="B31" s="15"/>
      <c r="C31" s="15"/>
      <c r="D31" s="16"/>
      <c r="E31" s="19"/>
      <c r="F31" s="19"/>
      <c r="G31" s="19"/>
      <c r="H31" s="19"/>
      <c r="I31" s="19"/>
      <c r="J31" s="19"/>
      <c r="K31" s="19"/>
      <c r="L31" s="19"/>
      <c r="M31" s="19"/>
      <c r="N31" s="67"/>
      <c r="O31" s="67"/>
      <c r="P31" s="67"/>
      <c r="Q31" s="67"/>
      <c r="R31" s="67"/>
      <c r="S31" s="67"/>
      <c r="T31" s="67"/>
      <c r="U31" s="67"/>
      <c r="V31" s="67"/>
      <c r="W31" s="68"/>
    </row>
    <row r="32" ht="12.75" customHeight="1">
      <c r="A32" s="41" t="s">
        <v>25</v>
      </c>
      <c r="B32" s="14" t="s">
        <v>26</v>
      </c>
      <c r="C32" s="15"/>
      <c r="D32" s="16"/>
      <c r="E32" s="13"/>
      <c r="F32" s="13"/>
      <c r="G32" s="13"/>
      <c r="H32" s="13"/>
      <c r="I32" s="13"/>
      <c r="J32" s="13"/>
      <c r="K32" s="13"/>
      <c r="L32" s="13"/>
      <c r="M32" s="13"/>
      <c r="N32" s="70"/>
      <c r="O32" s="70"/>
      <c r="P32" s="70"/>
      <c r="Q32" s="70"/>
      <c r="R32" s="70"/>
      <c r="S32" s="70"/>
      <c r="T32" s="70"/>
      <c r="U32" s="70"/>
      <c r="V32" s="70"/>
      <c r="W32" s="68"/>
    </row>
    <row r="33" ht="12.75" customHeight="1">
      <c r="A33" s="19">
        <v>1.0</v>
      </c>
      <c r="B33" s="20" t="s">
        <v>27</v>
      </c>
      <c r="C33" s="15"/>
      <c r="D33" s="16"/>
      <c r="E33" s="66">
        <v>291.0</v>
      </c>
      <c r="F33" s="66">
        <v>282.0</v>
      </c>
      <c r="G33" s="66">
        <v>300.0</v>
      </c>
      <c r="H33" s="66">
        <v>291.0</v>
      </c>
      <c r="I33" s="66">
        <v>272.0</v>
      </c>
      <c r="J33" s="66">
        <v>302.0</v>
      </c>
      <c r="K33" s="66">
        <v>280.0</v>
      </c>
      <c r="L33" s="66">
        <v>303.0</v>
      </c>
      <c r="M33" s="66">
        <v>297.0</v>
      </c>
      <c r="N33" s="66">
        <v>239.0</v>
      </c>
      <c r="O33" s="66">
        <v>279.0</v>
      </c>
      <c r="P33" s="66">
        <v>259.0</v>
      </c>
      <c r="Q33" s="66">
        <v>258.0</v>
      </c>
      <c r="R33" s="66">
        <v>268.0</v>
      </c>
      <c r="S33" s="66">
        <v>272.0</v>
      </c>
      <c r="T33" s="66">
        <v>248.0</v>
      </c>
      <c r="U33" s="66">
        <v>261.0</v>
      </c>
      <c r="V33" s="66">
        <v>247.0</v>
      </c>
      <c r="W33" s="13">
        <f t="shared" ref="W33:W36" si="10">SUM(E33:V33)</f>
        <v>4949</v>
      </c>
    </row>
    <row r="34" ht="12.75" customHeight="1">
      <c r="A34" s="19">
        <v>2.0</v>
      </c>
      <c r="B34" s="20" t="s">
        <v>28</v>
      </c>
      <c r="C34" s="15"/>
      <c r="D34" s="16"/>
      <c r="E34" s="69">
        <v>242.0</v>
      </c>
      <c r="F34" s="69">
        <v>199.0</v>
      </c>
      <c r="G34" s="69">
        <v>215.0</v>
      </c>
      <c r="H34" s="69">
        <v>222.0</v>
      </c>
      <c r="I34" s="69">
        <v>196.0</v>
      </c>
      <c r="J34" s="69">
        <v>220.0</v>
      </c>
      <c r="K34" s="69">
        <v>217.0</v>
      </c>
      <c r="L34" s="69">
        <v>233.0</v>
      </c>
      <c r="M34" s="69">
        <v>234.0</v>
      </c>
      <c r="N34" s="69">
        <v>195.0</v>
      </c>
      <c r="O34" s="69">
        <v>224.0</v>
      </c>
      <c r="P34" s="69">
        <v>200.0</v>
      </c>
      <c r="Q34" s="69">
        <v>155.0</v>
      </c>
      <c r="R34" s="69">
        <v>181.0</v>
      </c>
      <c r="S34" s="69">
        <v>202.0</v>
      </c>
      <c r="T34" s="69">
        <v>198.0</v>
      </c>
      <c r="U34" s="69">
        <v>204.0</v>
      </c>
      <c r="V34" s="69">
        <v>173.0</v>
      </c>
      <c r="W34" s="13">
        <f t="shared" si="10"/>
        <v>3710</v>
      </c>
    </row>
    <row r="35" ht="12.75" customHeight="1">
      <c r="A35" s="19">
        <v>3.0</v>
      </c>
      <c r="B35" s="20" t="s">
        <v>29</v>
      </c>
      <c r="C35" s="15"/>
      <c r="D35" s="16"/>
      <c r="E35" s="66">
        <v>0.0</v>
      </c>
      <c r="F35" s="66">
        <v>0.0</v>
      </c>
      <c r="G35" s="66">
        <v>0.0</v>
      </c>
      <c r="H35" s="66">
        <v>1.0</v>
      </c>
      <c r="I35" s="66">
        <v>1.0</v>
      </c>
      <c r="J35" s="66">
        <v>0.0</v>
      </c>
      <c r="K35" s="66">
        <v>0.0</v>
      </c>
      <c r="L35" s="66">
        <v>0.0</v>
      </c>
      <c r="M35" s="66">
        <v>0.0</v>
      </c>
      <c r="N35" s="66">
        <v>0.0</v>
      </c>
      <c r="O35" s="66">
        <v>2.0</v>
      </c>
      <c r="P35" s="66">
        <v>0.0</v>
      </c>
      <c r="Q35" s="66">
        <v>0.0</v>
      </c>
      <c r="R35" s="66">
        <v>0.0</v>
      </c>
      <c r="S35" s="66">
        <v>0.0</v>
      </c>
      <c r="T35" s="66">
        <v>0.0</v>
      </c>
      <c r="U35" s="66">
        <v>5.0</v>
      </c>
      <c r="V35" s="66">
        <v>1.0</v>
      </c>
      <c r="W35" s="13">
        <f t="shared" si="10"/>
        <v>10</v>
      </c>
    </row>
    <row r="36" ht="12.75" customHeight="1">
      <c r="A36" s="19">
        <v>4.0</v>
      </c>
      <c r="B36" s="20" t="s">
        <v>30</v>
      </c>
      <c r="C36" s="15"/>
      <c r="D36" s="16"/>
      <c r="E36" s="69">
        <v>49.0</v>
      </c>
      <c r="F36" s="69">
        <v>83.0</v>
      </c>
      <c r="G36" s="69">
        <v>85.0</v>
      </c>
      <c r="H36" s="69">
        <v>68.0</v>
      </c>
      <c r="I36" s="69">
        <v>75.0</v>
      </c>
      <c r="J36" s="69">
        <v>82.0</v>
      </c>
      <c r="K36" s="69">
        <v>63.0</v>
      </c>
      <c r="L36" s="69">
        <v>70.0</v>
      </c>
      <c r="M36" s="69">
        <v>63.0</v>
      </c>
      <c r="N36" s="69">
        <v>44.0</v>
      </c>
      <c r="O36" s="69">
        <v>53.0</v>
      </c>
      <c r="P36" s="69">
        <v>59.0</v>
      </c>
      <c r="Q36" s="69">
        <v>103.0</v>
      </c>
      <c r="R36" s="69">
        <v>87.0</v>
      </c>
      <c r="S36" s="69">
        <v>70.0</v>
      </c>
      <c r="T36" s="13">
        <f t="shared" ref="T36:V36" si="11">T33-(T34+T35)</f>
        <v>50</v>
      </c>
      <c r="U36" s="13">
        <f t="shared" si="11"/>
        <v>52</v>
      </c>
      <c r="V36" s="13">
        <f t="shared" si="11"/>
        <v>73</v>
      </c>
      <c r="W36" s="13">
        <f t="shared" si="10"/>
        <v>1229</v>
      </c>
    </row>
    <row r="37" ht="12.75" customHeight="1">
      <c r="A37" s="24"/>
      <c r="B37" s="15"/>
      <c r="C37" s="15"/>
      <c r="D37" s="15"/>
      <c r="E37" s="24"/>
      <c r="F37" s="15"/>
      <c r="G37" s="15"/>
      <c r="H37" s="15"/>
      <c r="I37" s="16"/>
      <c r="J37" s="19"/>
      <c r="K37" s="19"/>
      <c r="L37" s="19"/>
      <c r="M37" s="19"/>
      <c r="N37" s="67"/>
      <c r="O37" s="71"/>
      <c r="P37" s="71"/>
      <c r="Q37" s="71"/>
      <c r="R37" s="71"/>
      <c r="S37" s="71"/>
      <c r="T37" s="71"/>
      <c r="U37" s="71"/>
      <c r="V37" s="71"/>
      <c r="W37" s="68"/>
    </row>
    <row r="38" ht="12.75" customHeight="1">
      <c r="A38" s="42" t="s">
        <v>31</v>
      </c>
      <c r="B38" s="14" t="s">
        <v>32</v>
      </c>
      <c r="C38" s="15"/>
      <c r="D38" s="16"/>
      <c r="E38" s="13"/>
      <c r="F38" s="13"/>
      <c r="G38" s="13"/>
      <c r="H38" s="13"/>
      <c r="I38" s="13"/>
      <c r="J38" s="13"/>
      <c r="K38" s="13"/>
      <c r="L38" s="13"/>
      <c r="M38" s="13"/>
      <c r="N38" s="70"/>
      <c r="O38" s="70"/>
      <c r="P38" s="70"/>
      <c r="Q38" s="70"/>
      <c r="R38" s="70"/>
      <c r="S38" s="70"/>
      <c r="T38" s="70"/>
      <c r="U38" s="70"/>
      <c r="V38" s="70"/>
      <c r="W38" s="68"/>
    </row>
    <row r="39" ht="12.75" customHeight="1">
      <c r="A39" s="30"/>
      <c r="B39" s="43" t="s">
        <v>33</v>
      </c>
      <c r="C39" s="23"/>
      <c r="D39" s="19" t="s">
        <v>12</v>
      </c>
      <c r="E39" s="66">
        <v>0.0</v>
      </c>
      <c r="F39" s="66">
        <v>0.0</v>
      </c>
      <c r="G39" s="66">
        <v>0.0</v>
      </c>
      <c r="H39" s="66">
        <v>0.0</v>
      </c>
      <c r="I39" s="66">
        <v>0.0</v>
      </c>
      <c r="J39" s="66">
        <v>0.0</v>
      </c>
      <c r="K39" s="66">
        <v>0.0</v>
      </c>
      <c r="L39" s="66">
        <v>0.0</v>
      </c>
      <c r="M39" s="66">
        <v>0.0</v>
      </c>
      <c r="N39" s="66">
        <v>0.0</v>
      </c>
      <c r="O39" s="66">
        <v>1.0</v>
      </c>
      <c r="P39" s="66">
        <v>1.0</v>
      </c>
      <c r="Q39" s="66">
        <v>0.0</v>
      </c>
      <c r="R39" s="66">
        <v>0.0</v>
      </c>
      <c r="S39" s="66">
        <v>0.0</v>
      </c>
      <c r="T39" s="66">
        <v>1.0</v>
      </c>
      <c r="U39" s="66">
        <v>0.0</v>
      </c>
      <c r="V39" s="66">
        <v>1.0</v>
      </c>
      <c r="W39" s="13">
        <f t="shared" ref="W39:W41" si="12">SUM(E39:V39)</f>
        <v>4</v>
      </c>
    </row>
    <row r="40" ht="12.75" customHeight="1">
      <c r="A40" s="33"/>
      <c r="C40" s="27"/>
      <c r="D40" s="19" t="s">
        <v>13</v>
      </c>
      <c r="E40" s="66">
        <v>0.0</v>
      </c>
      <c r="F40" s="66">
        <v>0.0</v>
      </c>
      <c r="G40" s="66">
        <v>0.0</v>
      </c>
      <c r="H40" s="66">
        <v>0.0</v>
      </c>
      <c r="I40" s="66">
        <v>0.0</v>
      </c>
      <c r="J40" s="66">
        <v>0.0</v>
      </c>
      <c r="K40" s="66">
        <v>0.0</v>
      </c>
      <c r="L40" s="66">
        <v>0.0</v>
      </c>
      <c r="M40" s="66">
        <v>0.0</v>
      </c>
      <c r="N40" s="66">
        <v>0.0</v>
      </c>
      <c r="O40" s="66">
        <v>0.0</v>
      </c>
      <c r="P40" s="66">
        <v>0.0</v>
      </c>
      <c r="Q40" s="66">
        <v>0.0</v>
      </c>
      <c r="R40" s="66">
        <v>0.0</v>
      </c>
      <c r="S40" s="66">
        <v>0.0</v>
      </c>
      <c r="T40" s="66">
        <v>0.0</v>
      </c>
      <c r="U40" s="66">
        <v>0.0</v>
      </c>
      <c r="V40" s="66">
        <v>0.0</v>
      </c>
      <c r="W40" s="13">
        <f t="shared" si="12"/>
        <v>0</v>
      </c>
    </row>
    <row r="41" ht="12.75" customHeight="1">
      <c r="A41" s="41"/>
      <c r="B41" s="44"/>
      <c r="C41" s="28"/>
      <c r="D41" s="13" t="s">
        <v>14</v>
      </c>
      <c r="E41" s="13">
        <f t="shared" ref="E41:V41" si="13">SUM(E39:E40)</f>
        <v>0</v>
      </c>
      <c r="F41" s="13">
        <f t="shared" si="13"/>
        <v>0</v>
      </c>
      <c r="G41" s="13">
        <f t="shared" si="13"/>
        <v>0</v>
      </c>
      <c r="H41" s="13">
        <f t="shared" si="13"/>
        <v>0</v>
      </c>
      <c r="I41" s="13">
        <f t="shared" si="13"/>
        <v>0</v>
      </c>
      <c r="J41" s="13">
        <f t="shared" si="13"/>
        <v>0</v>
      </c>
      <c r="K41" s="13">
        <f t="shared" si="13"/>
        <v>0</v>
      </c>
      <c r="L41" s="13">
        <f t="shared" si="13"/>
        <v>0</v>
      </c>
      <c r="M41" s="13">
        <f t="shared" si="13"/>
        <v>0</v>
      </c>
      <c r="N41" s="13">
        <f t="shared" si="13"/>
        <v>0</v>
      </c>
      <c r="O41" s="13">
        <f t="shared" si="13"/>
        <v>1</v>
      </c>
      <c r="P41" s="13">
        <f t="shared" si="13"/>
        <v>1</v>
      </c>
      <c r="Q41" s="13">
        <f t="shared" si="13"/>
        <v>0</v>
      </c>
      <c r="R41" s="13">
        <f t="shared" si="13"/>
        <v>0</v>
      </c>
      <c r="S41" s="13">
        <f t="shared" si="13"/>
        <v>0</v>
      </c>
      <c r="T41" s="13">
        <f t="shared" si="13"/>
        <v>1</v>
      </c>
      <c r="U41" s="13">
        <f t="shared" si="13"/>
        <v>0</v>
      </c>
      <c r="V41" s="13">
        <f t="shared" si="13"/>
        <v>1</v>
      </c>
      <c r="W41" s="13">
        <f t="shared" si="12"/>
        <v>4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67"/>
      <c r="Q42" s="19"/>
      <c r="R42" s="67"/>
      <c r="S42" s="19"/>
      <c r="T42" s="67"/>
      <c r="U42" s="19"/>
      <c r="V42" s="67"/>
      <c r="W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12.0</v>
      </c>
      <c r="F45" s="66">
        <v>8.0</v>
      </c>
      <c r="G45" s="66">
        <v>2.0</v>
      </c>
      <c r="H45" s="66">
        <v>3.0</v>
      </c>
      <c r="I45" s="66">
        <v>3.0</v>
      </c>
      <c r="J45" s="66">
        <v>1.0</v>
      </c>
      <c r="K45" s="66">
        <v>2.0</v>
      </c>
      <c r="L45" s="66">
        <v>0.0</v>
      </c>
      <c r="M45" s="66">
        <v>0.0</v>
      </c>
      <c r="N45" s="66">
        <v>1.0</v>
      </c>
      <c r="O45" s="66">
        <v>5.0</v>
      </c>
      <c r="P45" s="66">
        <v>11.0</v>
      </c>
      <c r="Q45" s="66">
        <v>10.0</v>
      </c>
      <c r="R45" s="66">
        <v>2.0</v>
      </c>
      <c r="S45" s="66">
        <v>2.0</v>
      </c>
      <c r="T45" s="66">
        <v>0.0</v>
      </c>
      <c r="U45" s="66">
        <v>0.0</v>
      </c>
      <c r="V45" s="66">
        <v>0.0</v>
      </c>
      <c r="W45" s="13">
        <f t="shared" ref="W45:W192" si="14">SUM(E45:V45)</f>
        <v>62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33.0</v>
      </c>
      <c r="F46" s="66">
        <v>40.0</v>
      </c>
      <c r="G46" s="66">
        <v>4.0</v>
      </c>
      <c r="H46" s="66">
        <v>6.0</v>
      </c>
      <c r="I46" s="66">
        <v>8.0</v>
      </c>
      <c r="J46" s="66">
        <v>0.0</v>
      </c>
      <c r="K46" s="66">
        <v>0.0</v>
      </c>
      <c r="L46" s="66">
        <v>8.0</v>
      </c>
      <c r="M46" s="66">
        <v>1.0</v>
      </c>
      <c r="N46" s="66">
        <v>0.0</v>
      </c>
      <c r="O46" s="66">
        <v>30.0</v>
      </c>
      <c r="P46" s="66">
        <v>28.0</v>
      </c>
      <c r="Q46" s="66">
        <v>26.0</v>
      </c>
      <c r="R46" s="66">
        <v>6.0</v>
      </c>
      <c r="S46" s="66">
        <v>3.0</v>
      </c>
      <c r="T46" s="66">
        <v>1.0</v>
      </c>
      <c r="U46" s="66">
        <v>1.0</v>
      </c>
      <c r="V46" s="66">
        <v>5.0</v>
      </c>
      <c r="W46" s="13">
        <f t="shared" si="14"/>
        <v>200</v>
      </c>
    </row>
    <row r="47" ht="12.75" customHeight="1">
      <c r="A47" s="18"/>
      <c r="B47" s="49"/>
      <c r="C47" s="50" t="s">
        <v>41</v>
      </c>
      <c r="D47" s="51"/>
      <c r="E47" s="66">
        <v>2.0</v>
      </c>
      <c r="F47" s="66">
        <v>1.0</v>
      </c>
      <c r="G47" s="66">
        <v>0.0</v>
      </c>
      <c r="H47" s="66">
        <v>0.0</v>
      </c>
      <c r="I47" s="66">
        <v>0.0</v>
      </c>
      <c r="J47" s="66">
        <v>1.0</v>
      </c>
      <c r="K47" s="66">
        <v>0.0</v>
      </c>
      <c r="L47" s="66">
        <v>0.0</v>
      </c>
      <c r="M47" s="66">
        <v>1.0</v>
      </c>
      <c r="N47" s="66">
        <v>0.0</v>
      </c>
      <c r="O47" s="66">
        <v>2.0</v>
      </c>
      <c r="P47" s="66">
        <v>2.0</v>
      </c>
      <c r="Q47" s="66">
        <v>0.0</v>
      </c>
      <c r="R47" s="66">
        <v>0.0</v>
      </c>
      <c r="S47" s="66">
        <v>0.0</v>
      </c>
      <c r="T47" s="66">
        <v>1.0</v>
      </c>
      <c r="U47" s="66">
        <v>0.0</v>
      </c>
      <c r="V47" s="66">
        <v>0.0</v>
      </c>
      <c r="W47" s="13">
        <f t="shared" si="14"/>
        <v>10</v>
      </c>
    </row>
    <row r="48" ht="12.75" customHeight="1">
      <c r="A48" s="18"/>
      <c r="B48" s="49"/>
      <c r="C48" s="50" t="s">
        <v>42</v>
      </c>
      <c r="D48" s="51"/>
      <c r="E48" s="66">
        <v>0.0</v>
      </c>
      <c r="F48" s="66">
        <v>1.0</v>
      </c>
      <c r="G48" s="66">
        <v>0.0</v>
      </c>
      <c r="H48" s="66">
        <v>0.0</v>
      </c>
      <c r="I48" s="66">
        <v>0.0</v>
      </c>
      <c r="J48" s="66">
        <v>0.0</v>
      </c>
      <c r="K48" s="66">
        <v>0.0</v>
      </c>
      <c r="L48" s="66">
        <v>0.0</v>
      </c>
      <c r="M48" s="66">
        <v>1.0</v>
      </c>
      <c r="N48" s="66">
        <v>1.0</v>
      </c>
      <c r="O48" s="66">
        <v>1.0</v>
      </c>
      <c r="P48" s="66">
        <v>0.0</v>
      </c>
      <c r="Q48" s="66">
        <v>0.0</v>
      </c>
      <c r="R48" s="66">
        <v>0.0</v>
      </c>
      <c r="S48" s="66">
        <v>0.0</v>
      </c>
      <c r="T48" s="66">
        <v>0.0</v>
      </c>
      <c r="U48" s="66">
        <v>0.0</v>
      </c>
      <c r="V48" s="66">
        <v>1.0</v>
      </c>
      <c r="W48" s="13">
        <f t="shared" si="14"/>
        <v>5</v>
      </c>
    </row>
    <row r="49" ht="12.75" customHeight="1">
      <c r="A49" s="18"/>
      <c r="B49" s="49"/>
      <c r="C49" s="50" t="s">
        <v>43</v>
      </c>
      <c r="D49" s="51"/>
      <c r="E49" s="66">
        <v>0.0</v>
      </c>
      <c r="F49" s="66">
        <v>0.0</v>
      </c>
      <c r="G49" s="66">
        <v>0.0</v>
      </c>
      <c r="H49" s="66">
        <v>0.0</v>
      </c>
      <c r="I49" s="66">
        <v>0.0</v>
      </c>
      <c r="J49" s="66">
        <v>0.0</v>
      </c>
      <c r="K49" s="66">
        <v>0.0</v>
      </c>
      <c r="L49" s="66">
        <v>0.0</v>
      </c>
      <c r="M49" s="66">
        <v>0.0</v>
      </c>
      <c r="N49" s="66">
        <v>0.0</v>
      </c>
      <c r="O49" s="66">
        <v>0.0</v>
      </c>
      <c r="P49" s="66">
        <v>0.0</v>
      </c>
      <c r="Q49" s="66">
        <v>0.0</v>
      </c>
      <c r="R49" s="66">
        <v>0.0</v>
      </c>
      <c r="S49" s="66">
        <v>0.0</v>
      </c>
      <c r="T49" s="66">
        <v>0.0</v>
      </c>
      <c r="U49" s="66">
        <v>0.0</v>
      </c>
      <c r="V49" s="66">
        <v>1.0</v>
      </c>
      <c r="W49" s="13">
        <f t="shared" si="14"/>
        <v>1</v>
      </c>
    </row>
    <row r="50" ht="12.75" customHeight="1">
      <c r="A50" s="18"/>
      <c r="B50" s="49"/>
      <c r="C50" s="50" t="s">
        <v>44</v>
      </c>
      <c r="D50" s="51"/>
      <c r="E50" s="66">
        <v>0.0</v>
      </c>
      <c r="F50" s="66">
        <v>0.0</v>
      </c>
      <c r="G50" s="66">
        <v>0.0</v>
      </c>
      <c r="H50" s="66">
        <v>0.0</v>
      </c>
      <c r="I50" s="66">
        <v>0.0</v>
      </c>
      <c r="J50" s="66">
        <v>0.0</v>
      </c>
      <c r="K50" s="66">
        <v>0.0</v>
      </c>
      <c r="L50" s="66">
        <v>0.0</v>
      </c>
      <c r="M50" s="66">
        <v>1.0</v>
      </c>
      <c r="N50" s="66">
        <v>0.0</v>
      </c>
      <c r="O50" s="66">
        <v>0.0</v>
      </c>
      <c r="P50" s="66">
        <v>0.0</v>
      </c>
      <c r="Q50" s="66">
        <v>0.0</v>
      </c>
      <c r="R50" s="66">
        <v>0.0</v>
      </c>
      <c r="S50" s="66">
        <v>0.0</v>
      </c>
      <c r="T50" s="66">
        <v>0.0</v>
      </c>
      <c r="U50" s="66">
        <v>0.0</v>
      </c>
      <c r="V50" s="66">
        <v>0.0</v>
      </c>
      <c r="W50" s="13">
        <f t="shared" si="14"/>
        <v>1</v>
      </c>
    </row>
    <row r="51" ht="12.75" customHeight="1">
      <c r="A51" s="18"/>
      <c r="B51" s="49"/>
      <c r="C51" s="50" t="s">
        <v>45</v>
      </c>
      <c r="D51" s="51"/>
      <c r="E51" s="66">
        <v>0.0</v>
      </c>
      <c r="F51" s="66">
        <v>0.0</v>
      </c>
      <c r="G51" s="66">
        <v>0.0</v>
      </c>
      <c r="H51" s="66">
        <v>0.0</v>
      </c>
      <c r="I51" s="66">
        <v>0.0</v>
      </c>
      <c r="J51" s="66">
        <v>0.0</v>
      </c>
      <c r="K51" s="66">
        <v>0.0</v>
      </c>
      <c r="L51" s="66">
        <v>0.0</v>
      </c>
      <c r="M51" s="66">
        <v>1.0</v>
      </c>
      <c r="N51" s="66">
        <v>0.0</v>
      </c>
      <c r="O51" s="66">
        <v>0.0</v>
      </c>
      <c r="P51" s="66">
        <v>0.0</v>
      </c>
      <c r="Q51" s="66">
        <v>1.0</v>
      </c>
      <c r="R51" s="66">
        <v>0.0</v>
      </c>
      <c r="S51" s="66">
        <v>0.0</v>
      </c>
      <c r="T51" s="66">
        <v>0.0</v>
      </c>
      <c r="U51" s="66">
        <v>0.0</v>
      </c>
      <c r="V51" s="66">
        <v>0.0</v>
      </c>
      <c r="W51" s="13">
        <f t="shared" si="14"/>
        <v>2</v>
      </c>
    </row>
    <row r="52" ht="12.75" customHeight="1">
      <c r="A52" s="19" t="s">
        <v>15</v>
      </c>
      <c r="B52" s="47" t="s">
        <v>46</v>
      </c>
      <c r="C52" s="15"/>
      <c r="D52" s="16"/>
      <c r="E52" s="69">
        <v>47.0</v>
      </c>
      <c r="F52" s="69">
        <v>50.0</v>
      </c>
      <c r="G52" s="69">
        <v>6.0</v>
      </c>
      <c r="H52" s="69">
        <v>9.0</v>
      </c>
      <c r="I52" s="69">
        <v>11.0</v>
      </c>
      <c r="J52" s="69">
        <v>2.0</v>
      </c>
      <c r="K52" s="69">
        <v>2.0</v>
      </c>
      <c r="L52" s="69">
        <v>8.0</v>
      </c>
      <c r="M52" s="69">
        <v>5.0</v>
      </c>
      <c r="N52" s="69">
        <v>2.0</v>
      </c>
      <c r="O52" s="69">
        <v>38.0</v>
      </c>
      <c r="P52" s="69">
        <v>41.0</v>
      </c>
      <c r="Q52" s="69">
        <v>37.0</v>
      </c>
      <c r="R52" s="69">
        <v>8.0</v>
      </c>
      <c r="S52" s="69">
        <v>5.0</v>
      </c>
      <c r="T52" s="13">
        <f>SUM(T45:T51)</f>
        <v>2</v>
      </c>
      <c r="U52" s="69">
        <v>0.0</v>
      </c>
      <c r="V52" s="13">
        <f>SUM(V45:V51)</f>
        <v>7</v>
      </c>
      <c r="W52" s="13">
        <f t="shared" si="14"/>
        <v>280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13">
        <f t="shared" si="14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11.0</v>
      </c>
      <c r="F54" s="66">
        <v>6.0</v>
      </c>
      <c r="G54" s="66">
        <v>4.0</v>
      </c>
      <c r="H54" s="66">
        <v>3.0</v>
      </c>
      <c r="I54" s="66">
        <v>13.0</v>
      </c>
      <c r="J54" s="66">
        <v>3.0</v>
      </c>
      <c r="K54" s="66">
        <v>0.0</v>
      </c>
      <c r="L54" s="66">
        <v>2.0</v>
      </c>
      <c r="M54" s="66">
        <v>1.0</v>
      </c>
      <c r="N54" s="66">
        <v>4.0</v>
      </c>
      <c r="O54" s="66">
        <v>3.0</v>
      </c>
      <c r="P54" s="66">
        <v>1.0</v>
      </c>
      <c r="Q54" s="66">
        <v>4.0</v>
      </c>
      <c r="R54" s="66">
        <v>6.0</v>
      </c>
      <c r="S54" s="66">
        <v>14.0</v>
      </c>
      <c r="T54" s="66">
        <v>1.0</v>
      </c>
      <c r="U54" s="66">
        <v>4.0</v>
      </c>
      <c r="V54" s="66">
        <v>0.0</v>
      </c>
      <c r="W54" s="13">
        <f t="shared" si="14"/>
        <v>80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2.0</v>
      </c>
      <c r="F55" s="66">
        <v>1.0</v>
      </c>
      <c r="G55" s="66">
        <v>2.0</v>
      </c>
      <c r="H55" s="66">
        <v>0.0</v>
      </c>
      <c r="I55" s="66">
        <v>2.0</v>
      </c>
      <c r="J55" s="66">
        <v>2.0</v>
      </c>
      <c r="K55" s="66">
        <v>0.0</v>
      </c>
      <c r="L55" s="66">
        <v>4.0</v>
      </c>
      <c r="M55" s="66">
        <v>0.0</v>
      </c>
      <c r="N55" s="66">
        <v>0.0</v>
      </c>
      <c r="O55" s="66">
        <v>0.0</v>
      </c>
      <c r="P55" s="66">
        <v>1.0</v>
      </c>
      <c r="Q55" s="66">
        <v>3.0</v>
      </c>
      <c r="R55" s="66">
        <v>1.0</v>
      </c>
      <c r="S55" s="66">
        <v>3.0</v>
      </c>
      <c r="T55" s="66">
        <v>0.0</v>
      </c>
      <c r="U55" s="66">
        <v>0.0</v>
      </c>
      <c r="V55" s="66">
        <v>0.0</v>
      </c>
      <c r="W55" s="13">
        <f t="shared" si="14"/>
        <v>21</v>
      </c>
    </row>
    <row r="56" ht="12.75" customHeight="1">
      <c r="A56" s="18"/>
      <c r="B56" s="49"/>
      <c r="C56" s="50" t="s">
        <v>49</v>
      </c>
      <c r="D56" s="51"/>
      <c r="E56" s="66">
        <v>8.0</v>
      </c>
      <c r="F56" s="66">
        <v>2.0</v>
      </c>
      <c r="G56" s="66">
        <v>3.0</v>
      </c>
      <c r="H56" s="66">
        <v>1.0</v>
      </c>
      <c r="I56" s="66">
        <v>0.0</v>
      </c>
      <c r="J56" s="66">
        <v>1.0</v>
      </c>
      <c r="K56" s="66">
        <v>1.0</v>
      </c>
      <c r="L56" s="66">
        <v>1.0</v>
      </c>
      <c r="M56" s="66">
        <v>0.0</v>
      </c>
      <c r="N56" s="66">
        <v>0.0</v>
      </c>
      <c r="O56" s="66">
        <v>1.0</v>
      </c>
      <c r="P56" s="66">
        <v>0.0</v>
      </c>
      <c r="Q56" s="66">
        <v>2.0</v>
      </c>
      <c r="R56" s="66">
        <v>0.0</v>
      </c>
      <c r="S56" s="66">
        <v>1.0</v>
      </c>
      <c r="T56" s="66">
        <v>0.0</v>
      </c>
      <c r="U56" s="66">
        <v>0.0</v>
      </c>
      <c r="V56" s="66">
        <v>0.0</v>
      </c>
      <c r="W56" s="13">
        <f t="shared" si="14"/>
        <v>21</v>
      </c>
    </row>
    <row r="57" ht="12.75" customHeight="1">
      <c r="A57" s="18"/>
      <c r="B57" s="49"/>
      <c r="C57" s="50" t="s">
        <v>50</v>
      </c>
      <c r="D57" s="51"/>
      <c r="E57" s="66">
        <v>1.0</v>
      </c>
      <c r="F57" s="66">
        <v>0.0</v>
      </c>
      <c r="G57" s="66">
        <v>0.0</v>
      </c>
      <c r="H57" s="66">
        <v>0.0</v>
      </c>
      <c r="I57" s="66">
        <v>0.0</v>
      </c>
      <c r="J57" s="66">
        <v>1.0</v>
      </c>
      <c r="K57" s="66">
        <v>0.0</v>
      </c>
      <c r="L57" s="66">
        <v>1.0</v>
      </c>
      <c r="M57" s="66">
        <v>0.0</v>
      </c>
      <c r="N57" s="66">
        <v>0.0</v>
      </c>
      <c r="O57" s="66">
        <v>0.0</v>
      </c>
      <c r="P57" s="66">
        <v>1.0</v>
      </c>
      <c r="Q57" s="66">
        <v>1.0</v>
      </c>
      <c r="R57" s="66">
        <v>0.0</v>
      </c>
      <c r="S57" s="66">
        <v>2.0</v>
      </c>
      <c r="T57" s="66">
        <v>0.0</v>
      </c>
      <c r="U57" s="66">
        <v>1.0</v>
      </c>
      <c r="V57" s="66">
        <v>1.0</v>
      </c>
      <c r="W57" s="13">
        <f t="shared" si="14"/>
        <v>9</v>
      </c>
    </row>
    <row r="58" ht="12.75" customHeight="1">
      <c r="A58" s="18"/>
      <c r="B58" s="49"/>
      <c r="C58" s="50" t="s">
        <v>51</v>
      </c>
      <c r="D58" s="51"/>
      <c r="E58" s="66">
        <v>1.0</v>
      </c>
      <c r="F58" s="66">
        <v>0.0</v>
      </c>
      <c r="G58" s="66">
        <v>0.0</v>
      </c>
      <c r="H58" s="66">
        <v>0.0</v>
      </c>
      <c r="I58" s="66">
        <v>2.0</v>
      </c>
      <c r="J58" s="66">
        <v>3.0</v>
      </c>
      <c r="K58" s="66">
        <v>0.0</v>
      </c>
      <c r="L58" s="66">
        <v>1.0</v>
      </c>
      <c r="M58" s="66">
        <v>2.0</v>
      </c>
      <c r="N58" s="66">
        <v>0.0</v>
      </c>
      <c r="O58" s="66">
        <v>0.0</v>
      </c>
      <c r="P58" s="66">
        <v>0.0</v>
      </c>
      <c r="Q58" s="66">
        <v>4.0</v>
      </c>
      <c r="R58" s="66">
        <v>0.0</v>
      </c>
      <c r="S58" s="66">
        <v>7.0</v>
      </c>
      <c r="T58" s="66">
        <v>1.0</v>
      </c>
      <c r="U58" s="66">
        <v>0.0</v>
      </c>
      <c r="V58" s="66">
        <v>1.0</v>
      </c>
      <c r="W58" s="13">
        <f t="shared" si="14"/>
        <v>22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2.0</v>
      </c>
      <c r="K59" s="66">
        <v>0.0</v>
      </c>
      <c r="L59" s="66">
        <v>0.0</v>
      </c>
      <c r="M59" s="66">
        <v>0.0</v>
      </c>
      <c r="N59" s="66">
        <v>0.0</v>
      </c>
      <c r="O59" s="66">
        <v>0.0</v>
      </c>
      <c r="P59" s="66">
        <v>0.0</v>
      </c>
      <c r="Q59" s="66">
        <v>0.0</v>
      </c>
      <c r="R59" s="66">
        <v>0.0</v>
      </c>
      <c r="S59" s="66">
        <v>0.0</v>
      </c>
      <c r="T59" s="66">
        <v>0.0</v>
      </c>
      <c r="U59" s="66">
        <v>0.0</v>
      </c>
      <c r="V59" s="66">
        <v>0.0</v>
      </c>
      <c r="W59" s="13">
        <f t="shared" si="14"/>
        <v>2</v>
      </c>
    </row>
    <row r="60" ht="12.75" customHeight="1">
      <c r="A60" s="18"/>
      <c r="B60" s="49"/>
      <c r="C60" s="50" t="s">
        <v>53</v>
      </c>
      <c r="D60" s="51"/>
      <c r="E60" s="66">
        <v>2.0</v>
      </c>
      <c r="F60" s="66">
        <v>0.0</v>
      </c>
      <c r="G60" s="66">
        <v>0.0</v>
      </c>
      <c r="H60" s="66">
        <v>3.0</v>
      </c>
      <c r="I60" s="66">
        <v>1.0</v>
      </c>
      <c r="J60" s="66">
        <v>4.0</v>
      </c>
      <c r="K60" s="66">
        <v>0.0</v>
      </c>
      <c r="L60" s="66">
        <v>0.0</v>
      </c>
      <c r="M60" s="66">
        <v>0.0</v>
      </c>
      <c r="N60" s="66">
        <v>0.0</v>
      </c>
      <c r="O60" s="66">
        <v>0.0</v>
      </c>
      <c r="P60" s="66">
        <v>0.0</v>
      </c>
      <c r="Q60" s="66">
        <v>1.0</v>
      </c>
      <c r="R60" s="66">
        <v>0.0</v>
      </c>
      <c r="S60" s="66">
        <v>2.0</v>
      </c>
      <c r="T60" s="66">
        <v>1.0</v>
      </c>
      <c r="U60" s="66">
        <v>1.0</v>
      </c>
      <c r="V60" s="66">
        <v>2.0</v>
      </c>
      <c r="W60" s="13">
        <f t="shared" si="14"/>
        <v>17</v>
      </c>
    </row>
    <row r="61" ht="12.75" customHeight="1">
      <c r="A61" s="19" t="s">
        <v>15</v>
      </c>
      <c r="B61" s="47" t="s">
        <v>46</v>
      </c>
      <c r="C61" s="15"/>
      <c r="D61" s="16"/>
      <c r="E61" s="69">
        <v>25.0</v>
      </c>
      <c r="F61" s="69">
        <v>9.0</v>
      </c>
      <c r="G61" s="69">
        <v>9.0</v>
      </c>
      <c r="H61" s="69">
        <v>7.0</v>
      </c>
      <c r="I61" s="69">
        <v>18.0</v>
      </c>
      <c r="J61" s="69">
        <v>16.0</v>
      </c>
      <c r="K61" s="69">
        <v>1.0</v>
      </c>
      <c r="L61" s="69">
        <v>9.0</v>
      </c>
      <c r="M61" s="69">
        <v>3.0</v>
      </c>
      <c r="N61" s="69">
        <v>4.0</v>
      </c>
      <c r="O61" s="69">
        <v>4.0</v>
      </c>
      <c r="P61" s="69">
        <v>3.0</v>
      </c>
      <c r="Q61" s="69">
        <v>15.0</v>
      </c>
      <c r="R61" s="69">
        <v>7.0</v>
      </c>
      <c r="S61" s="69">
        <v>29.0</v>
      </c>
      <c r="T61" s="13">
        <f t="shared" ref="T61:V61" si="15">SUM(T54:T60)</f>
        <v>3</v>
      </c>
      <c r="U61" s="13">
        <f t="shared" si="15"/>
        <v>6</v>
      </c>
      <c r="V61" s="13">
        <f t="shared" si="15"/>
        <v>4</v>
      </c>
      <c r="W61" s="13">
        <f t="shared" si="14"/>
        <v>172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13">
        <f t="shared" si="14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10.0</v>
      </c>
      <c r="F63" s="66">
        <v>2.0</v>
      </c>
      <c r="G63" s="66">
        <v>8.0</v>
      </c>
      <c r="H63" s="66">
        <v>11.0</v>
      </c>
      <c r="I63" s="66">
        <v>6.0</v>
      </c>
      <c r="J63" s="66">
        <v>4.0</v>
      </c>
      <c r="K63" s="66">
        <v>9.0</v>
      </c>
      <c r="L63" s="66">
        <v>7.0</v>
      </c>
      <c r="M63" s="66">
        <v>6.0</v>
      </c>
      <c r="N63" s="66">
        <v>2.0</v>
      </c>
      <c r="O63" s="66">
        <v>9.0</v>
      </c>
      <c r="P63" s="66">
        <v>9.0</v>
      </c>
      <c r="Q63" s="66">
        <v>9.0</v>
      </c>
      <c r="R63" s="66">
        <v>19.0</v>
      </c>
      <c r="S63" s="66">
        <v>15.0</v>
      </c>
      <c r="T63" s="66">
        <v>6.0</v>
      </c>
      <c r="U63" s="66">
        <v>4.0</v>
      </c>
      <c r="V63" s="66">
        <v>6.0</v>
      </c>
      <c r="W63" s="13">
        <f t="shared" si="14"/>
        <v>142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13.0</v>
      </c>
      <c r="F64" s="66">
        <v>10.0</v>
      </c>
      <c r="G64" s="66">
        <v>50.0</v>
      </c>
      <c r="H64" s="66">
        <v>68.0</v>
      </c>
      <c r="I64" s="66">
        <v>59.0</v>
      </c>
      <c r="J64" s="66">
        <v>32.0</v>
      </c>
      <c r="K64" s="66">
        <v>46.0</v>
      </c>
      <c r="L64" s="66">
        <v>30.0</v>
      </c>
      <c r="M64" s="66">
        <v>25.0</v>
      </c>
      <c r="N64" s="66">
        <v>25.0</v>
      </c>
      <c r="O64" s="66">
        <v>26.0</v>
      </c>
      <c r="P64" s="66">
        <v>14.0</v>
      </c>
      <c r="Q64" s="66">
        <v>4.0</v>
      </c>
      <c r="R64" s="66">
        <v>9.0</v>
      </c>
      <c r="S64" s="66">
        <v>49.0</v>
      </c>
      <c r="T64" s="66">
        <v>10.0</v>
      </c>
      <c r="U64" s="66">
        <v>22.0</v>
      </c>
      <c r="V64" s="66">
        <v>13.0</v>
      </c>
      <c r="W64" s="13">
        <f t="shared" si="14"/>
        <v>505</v>
      </c>
    </row>
    <row r="65" ht="12.75" customHeight="1">
      <c r="A65" s="18"/>
      <c r="B65" s="49"/>
      <c r="C65" s="50" t="s">
        <v>56</v>
      </c>
      <c r="D65" s="51"/>
      <c r="E65" s="66">
        <v>2.0</v>
      </c>
      <c r="F65" s="66">
        <v>2.0</v>
      </c>
      <c r="G65" s="66">
        <v>1.0</v>
      </c>
      <c r="H65" s="66">
        <v>2.0</v>
      </c>
      <c r="I65" s="66">
        <v>0.0</v>
      </c>
      <c r="J65" s="66">
        <v>1.0</v>
      </c>
      <c r="K65" s="66">
        <v>1.0</v>
      </c>
      <c r="L65" s="66">
        <v>0.0</v>
      </c>
      <c r="M65" s="66">
        <v>0.0</v>
      </c>
      <c r="N65" s="66">
        <v>12.0</v>
      </c>
      <c r="O65" s="66">
        <v>20.0</v>
      </c>
      <c r="P65" s="66">
        <v>18.0</v>
      </c>
      <c r="Q65" s="66">
        <v>17.0</v>
      </c>
      <c r="R65" s="66">
        <v>18.0</v>
      </c>
      <c r="S65" s="66">
        <v>24.0</v>
      </c>
      <c r="T65" s="66">
        <v>24.0</v>
      </c>
      <c r="U65" s="66">
        <v>12.0</v>
      </c>
      <c r="V65" s="66">
        <v>10.0</v>
      </c>
      <c r="W65" s="13">
        <f t="shared" si="14"/>
        <v>164</v>
      </c>
    </row>
    <row r="66" ht="12.75" customHeight="1">
      <c r="A66" s="18"/>
      <c r="B66" s="49"/>
      <c r="C66" s="50" t="s">
        <v>57</v>
      </c>
      <c r="D66" s="51"/>
      <c r="E66" s="66">
        <v>7.0</v>
      </c>
      <c r="F66" s="66">
        <v>5.0</v>
      </c>
      <c r="G66" s="66">
        <v>0.0</v>
      </c>
      <c r="H66" s="66">
        <v>0.0</v>
      </c>
      <c r="I66" s="66">
        <v>2.0</v>
      </c>
      <c r="J66" s="66">
        <v>0.0</v>
      </c>
      <c r="K66" s="66">
        <v>17.0</v>
      </c>
      <c r="L66" s="66">
        <v>10.0</v>
      </c>
      <c r="M66" s="66">
        <v>13.0</v>
      </c>
      <c r="N66" s="66">
        <v>10.0</v>
      </c>
      <c r="O66" s="66">
        <v>6.0</v>
      </c>
      <c r="P66" s="66">
        <v>21.0</v>
      </c>
      <c r="Q66" s="66">
        <v>14.0</v>
      </c>
      <c r="R66" s="66">
        <v>21.0</v>
      </c>
      <c r="S66" s="66">
        <v>13.0</v>
      </c>
      <c r="T66" s="66">
        <v>9.0</v>
      </c>
      <c r="U66" s="66">
        <v>4.0</v>
      </c>
      <c r="V66" s="66">
        <v>18.0</v>
      </c>
      <c r="W66" s="13">
        <f t="shared" si="14"/>
        <v>170</v>
      </c>
    </row>
    <row r="67" ht="12.75" customHeight="1">
      <c r="A67" s="18"/>
      <c r="B67" s="49"/>
      <c r="C67" s="50" t="s">
        <v>58</v>
      </c>
      <c r="D67" s="51"/>
      <c r="E67" s="66">
        <v>0.0</v>
      </c>
      <c r="F67" s="66">
        <v>0.0</v>
      </c>
      <c r="G67" s="66">
        <v>0.0</v>
      </c>
      <c r="H67" s="66">
        <v>1.0</v>
      </c>
      <c r="I67" s="66">
        <v>0.0</v>
      </c>
      <c r="J67" s="66">
        <v>0.0</v>
      </c>
      <c r="K67" s="66">
        <v>2.0</v>
      </c>
      <c r="L67" s="66">
        <v>1.0</v>
      </c>
      <c r="M67" s="66">
        <v>0.0</v>
      </c>
      <c r="N67" s="66">
        <v>0.0</v>
      </c>
      <c r="O67" s="66">
        <v>0.0</v>
      </c>
      <c r="P67" s="66">
        <v>0.0</v>
      </c>
      <c r="Q67" s="66">
        <v>0.0</v>
      </c>
      <c r="R67" s="66">
        <v>1.0</v>
      </c>
      <c r="S67" s="66">
        <v>0.0</v>
      </c>
      <c r="T67" s="66">
        <v>0.0</v>
      </c>
      <c r="U67" s="66">
        <v>2.0</v>
      </c>
      <c r="V67" s="66">
        <v>0.0</v>
      </c>
      <c r="W67" s="13">
        <f t="shared" si="14"/>
        <v>7</v>
      </c>
    </row>
    <row r="68" ht="12.75" customHeight="1">
      <c r="A68" s="18"/>
      <c r="B68" s="49"/>
      <c r="C68" s="50" t="s">
        <v>59</v>
      </c>
      <c r="D68" s="51"/>
      <c r="E68" s="66">
        <v>0.0</v>
      </c>
      <c r="F68" s="66">
        <v>0.0</v>
      </c>
      <c r="G68" s="66">
        <v>0.0</v>
      </c>
      <c r="H68" s="66">
        <v>0.0</v>
      </c>
      <c r="I68" s="66">
        <v>0.0</v>
      </c>
      <c r="J68" s="66">
        <v>0.0</v>
      </c>
      <c r="K68" s="66">
        <v>1.0</v>
      </c>
      <c r="L68" s="66">
        <v>0.0</v>
      </c>
      <c r="M68" s="66">
        <v>0.0</v>
      </c>
      <c r="N68" s="66">
        <v>0.0</v>
      </c>
      <c r="O68" s="66">
        <v>0.0</v>
      </c>
      <c r="P68" s="66">
        <v>0.0</v>
      </c>
      <c r="Q68" s="66">
        <v>0.0</v>
      </c>
      <c r="R68" s="66">
        <v>1.0</v>
      </c>
      <c r="S68" s="66">
        <v>0.0</v>
      </c>
      <c r="T68" s="66">
        <v>0.0</v>
      </c>
      <c r="U68" s="66">
        <v>1.0</v>
      </c>
      <c r="V68" s="66">
        <v>0.0</v>
      </c>
      <c r="W68" s="13">
        <f t="shared" si="14"/>
        <v>3</v>
      </c>
    </row>
    <row r="69" ht="12.75" customHeight="1">
      <c r="A69" s="18"/>
      <c r="B69" s="49"/>
      <c r="C69" s="50" t="s">
        <v>60</v>
      </c>
      <c r="D69" s="51"/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0.0</v>
      </c>
      <c r="K69" s="66">
        <v>1.0</v>
      </c>
      <c r="L69" s="66">
        <v>0.0</v>
      </c>
      <c r="M69" s="66">
        <v>0.0</v>
      </c>
      <c r="N69" s="66">
        <v>0.0</v>
      </c>
      <c r="O69" s="66">
        <v>1.0</v>
      </c>
      <c r="P69" s="66">
        <v>0.0</v>
      </c>
      <c r="Q69" s="66">
        <v>0.0</v>
      </c>
      <c r="R69" s="66">
        <v>1.0</v>
      </c>
      <c r="S69" s="66">
        <v>0.0</v>
      </c>
      <c r="T69" s="66">
        <v>0.0</v>
      </c>
      <c r="U69" s="66">
        <v>0.0</v>
      </c>
      <c r="V69" s="66">
        <v>0.0</v>
      </c>
      <c r="W69" s="13">
        <f t="shared" si="14"/>
        <v>3</v>
      </c>
    </row>
    <row r="70" ht="12.75" customHeight="1">
      <c r="A70" s="19" t="s">
        <v>15</v>
      </c>
      <c r="B70" s="47" t="s">
        <v>46</v>
      </c>
      <c r="C70" s="15"/>
      <c r="D70" s="16"/>
      <c r="E70" s="69">
        <v>32.0</v>
      </c>
      <c r="F70" s="69">
        <v>19.0</v>
      </c>
      <c r="G70" s="69">
        <v>59.0</v>
      </c>
      <c r="H70" s="69">
        <v>82.0</v>
      </c>
      <c r="I70" s="69">
        <v>67.0</v>
      </c>
      <c r="J70" s="69">
        <v>37.0</v>
      </c>
      <c r="K70" s="69">
        <v>77.0</v>
      </c>
      <c r="L70" s="69">
        <v>48.0</v>
      </c>
      <c r="M70" s="69">
        <v>44.0</v>
      </c>
      <c r="N70" s="69">
        <v>49.0</v>
      </c>
      <c r="O70" s="69">
        <v>62.0</v>
      </c>
      <c r="P70" s="69">
        <v>62.0</v>
      </c>
      <c r="Q70" s="69">
        <v>44.0</v>
      </c>
      <c r="R70" s="69">
        <v>70.0</v>
      </c>
      <c r="S70" s="69">
        <v>101.0</v>
      </c>
      <c r="T70" s="13">
        <f t="shared" ref="T70:V70" si="16">SUM(T63:T69)</f>
        <v>49</v>
      </c>
      <c r="U70" s="13">
        <f t="shared" si="16"/>
        <v>45</v>
      </c>
      <c r="V70" s="13">
        <f t="shared" si="16"/>
        <v>47</v>
      </c>
      <c r="W70" s="13">
        <f t="shared" si="14"/>
        <v>994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13">
        <f t="shared" si="14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66">
        <v>2.0</v>
      </c>
      <c r="F72" s="66">
        <v>2.0</v>
      </c>
      <c r="G72" s="66">
        <v>1.0</v>
      </c>
      <c r="H72" s="66">
        <v>1.0</v>
      </c>
      <c r="I72" s="66">
        <v>3.0</v>
      </c>
      <c r="J72" s="66">
        <v>5.0</v>
      </c>
      <c r="K72" s="66">
        <v>4.0</v>
      </c>
      <c r="L72" s="66">
        <v>1.0</v>
      </c>
      <c r="M72" s="66">
        <v>1.0</v>
      </c>
      <c r="N72" s="66">
        <v>1.0</v>
      </c>
      <c r="O72" s="66">
        <v>0.0</v>
      </c>
      <c r="P72" s="66">
        <v>0.0</v>
      </c>
      <c r="Q72" s="66">
        <v>2.0</v>
      </c>
      <c r="R72" s="66">
        <v>0.0</v>
      </c>
      <c r="S72" s="66">
        <v>1.0</v>
      </c>
      <c r="T72" s="66">
        <v>1.0</v>
      </c>
      <c r="U72" s="66">
        <v>1.0</v>
      </c>
      <c r="V72" s="66">
        <v>0.0</v>
      </c>
      <c r="W72" s="13">
        <f t="shared" si="14"/>
        <v>26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2.0</v>
      </c>
      <c r="F73" s="66">
        <v>0.0</v>
      </c>
      <c r="G73" s="66">
        <v>0.0</v>
      </c>
      <c r="H73" s="66">
        <v>0.0</v>
      </c>
      <c r="I73" s="66">
        <v>0.0</v>
      </c>
      <c r="J73" s="66">
        <v>2.0</v>
      </c>
      <c r="K73" s="66">
        <v>6.0</v>
      </c>
      <c r="L73" s="66">
        <v>3.0</v>
      </c>
      <c r="M73" s="66">
        <v>2.0</v>
      </c>
      <c r="N73" s="66">
        <v>1.0</v>
      </c>
      <c r="O73" s="66">
        <v>0.0</v>
      </c>
      <c r="P73" s="66">
        <v>0.0</v>
      </c>
      <c r="Q73" s="66">
        <v>0.0</v>
      </c>
      <c r="R73" s="66">
        <v>0.0</v>
      </c>
      <c r="S73" s="66">
        <v>0.0</v>
      </c>
      <c r="T73" s="66">
        <v>0.0</v>
      </c>
      <c r="U73" s="66">
        <v>0.0</v>
      </c>
      <c r="V73" s="66">
        <v>0.0</v>
      </c>
      <c r="W73" s="13">
        <f t="shared" si="14"/>
        <v>16</v>
      </c>
    </row>
    <row r="74" ht="12.75" customHeight="1">
      <c r="A74" s="18"/>
      <c r="B74" s="49"/>
      <c r="C74" s="50" t="s">
        <v>63</v>
      </c>
      <c r="D74" s="51"/>
      <c r="E74" s="66">
        <v>0.0</v>
      </c>
      <c r="F74" s="66">
        <v>0.0</v>
      </c>
      <c r="G74" s="66">
        <v>0.0</v>
      </c>
      <c r="H74" s="66">
        <v>0.0</v>
      </c>
      <c r="I74" s="66">
        <v>1.0</v>
      </c>
      <c r="J74" s="66">
        <v>0.0</v>
      </c>
      <c r="K74" s="66">
        <v>0.0</v>
      </c>
      <c r="L74" s="66">
        <v>0.0</v>
      </c>
      <c r="M74" s="66">
        <v>0.0</v>
      </c>
      <c r="N74" s="66">
        <v>0.0</v>
      </c>
      <c r="O74" s="66">
        <v>0.0</v>
      </c>
      <c r="P74" s="66">
        <v>0.0</v>
      </c>
      <c r="Q74" s="66">
        <v>0.0</v>
      </c>
      <c r="R74" s="66">
        <v>0.0</v>
      </c>
      <c r="S74" s="66">
        <v>0.0</v>
      </c>
      <c r="T74" s="66">
        <v>0.0</v>
      </c>
      <c r="U74" s="66">
        <v>0.0</v>
      </c>
      <c r="V74" s="66">
        <v>0.0</v>
      </c>
      <c r="W74" s="13">
        <f t="shared" si="14"/>
        <v>1</v>
      </c>
    </row>
    <row r="75" ht="12.75" customHeight="1">
      <c r="A75" s="18"/>
      <c r="B75" s="49"/>
      <c r="C75" s="50" t="s">
        <v>64</v>
      </c>
      <c r="D75" s="51"/>
      <c r="E75" s="66">
        <v>1.0</v>
      </c>
      <c r="F75" s="66">
        <v>0.0</v>
      </c>
      <c r="G75" s="66">
        <v>0.0</v>
      </c>
      <c r="H75" s="66">
        <v>0.0</v>
      </c>
      <c r="I75" s="66">
        <v>0.0</v>
      </c>
      <c r="J75" s="66">
        <v>0.0</v>
      </c>
      <c r="K75" s="66">
        <v>0.0</v>
      </c>
      <c r="L75" s="66">
        <v>0.0</v>
      </c>
      <c r="M75" s="66">
        <v>0.0</v>
      </c>
      <c r="N75" s="66">
        <v>0.0</v>
      </c>
      <c r="O75" s="66">
        <v>0.0</v>
      </c>
      <c r="P75" s="66">
        <v>0.0</v>
      </c>
      <c r="Q75" s="66">
        <v>0.0</v>
      </c>
      <c r="R75" s="66">
        <v>0.0</v>
      </c>
      <c r="S75" s="66">
        <v>0.0</v>
      </c>
      <c r="T75" s="66">
        <v>0.0</v>
      </c>
      <c r="U75" s="66">
        <v>0.0</v>
      </c>
      <c r="V75" s="66">
        <v>0.0</v>
      </c>
      <c r="W75" s="13">
        <f t="shared" si="14"/>
        <v>1</v>
      </c>
    </row>
    <row r="76" ht="12.75" customHeight="1">
      <c r="A76" s="18"/>
      <c r="B76" s="49"/>
      <c r="C76" s="50" t="s">
        <v>65</v>
      </c>
      <c r="D76" s="51"/>
      <c r="E76" s="66">
        <v>1.0</v>
      </c>
      <c r="F76" s="66">
        <v>0.0</v>
      </c>
      <c r="G76" s="66">
        <v>0.0</v>
      </c>
      <c r="H76" s="66">
        <v>0.0</v>
      </c>
      <c r="I76" s="66">
        <v>0.0</v>
      </c>
      <c r="J76" s="66">
        <v>0.0</v>
      </c>
      <c r="K76" s="66">
        <v>0.0</v>
      </c>
      <c r="L76" s="66">
        <v>0.0</v>
      </c>
      <c r="M76" s="66">
        <v>0.0</v>
      </c>
      <c r="N76" s="66">
        <v>0.0</v>
      </c>
      <c r="O76" s="66">
        <v>1.0</v>
      </c>
      <c r="P76" s="66">
        <v>0.0</v>
      </c>
      <c r="Q76" s="66">
        <v>0.0</v>
      </c>
      <c r="R76" s="66">
        <v>0.0</v>
      </c>
      <c r="S76" s="66">
        <v>0.0</v>
      </c>
      <c r="T76" s="66">
        <v>0.0</v>
      </c>
      <c r="U76" s="66">
        <v>0.0</v>
      </c>
      <c r="V76" s="66">
        <v>0.0</v>
      </c>
      <c r="W76" s="13">
        <f t="shared" si="14"/>
        <v>2</v>
      </c>
    </row>
    <row r="77" ht="12.75" customHeight="1">
      <c r="A77" s="18"/>
      <c r="B77" s="49"/>
      <c r="C77" s="50" t="s">
        <v>66</v>
      </c>
      <c r="D77" s="51"/>
      <c r="E77" s="66">
        <v>0.0</v>
      </c>
      <c r="F77" s="66">
        <v>0.0</v>
      </c>
      <c r="G77" s="66">
        <v>0.0</v>
      </c>
      <c r="H77" s="66">
        <v>0.0</v>
      </c>
      <c r="I77" s="66">
        <v>1.0</v>
      </c>
      <c r="J77" s="66">
        <v>0.0</v>
      </c>
      <c r="K77" s="66">
        <v>0.0</v>
      </c>
      <c r="L77" s="66">
        <v>0.0</v>
      </c>
      <c r="M77" s="66">
        <v>0.0</v>
      </c>
      <c r="N77" s="66">
        <v>0.0</v>
      </c>
      <c r="O77" s="66">
        <v>0.0</v>
      </c>
      <c r="P77" s="66">
        <v>0.0</v>
      </c>
      <c r="Q77" s="66">
        <v>0.0</v>
      </c>
      <c r="R77" s="66">
        <v>0.0</v>
      </c>
      <c r="S77" s="66">
        <v>0.0</v>
      </c>
      <c r="T77" s="66">
        <v>0.0</v>
      </c>
      <c r="U77" s="66">
        <v>0.0</v>
      </c>
      <c r="V77" s="66">
        <v>0.0</v>
      </c>
      <c r="W77" s="13">
        <f t="shared" si="14"/>
        <v>1</v>
      </c>
    </row>
    <row r="78" ht="12.75" customHeight="1">
      <c r="A78" s="18"/>
      <c r="B78" s="49"/>
      <c r="C78" s="50" t="s">
        <v>67</v>
      </c>
      <c r="D78" s="51"/>
      <c r="E78" s="66">
        <v>1.0</v>
      </c>
      <c r="F78" s="66">
        <v>0.0</v>
      </c>
      <c r="G78" s="66">
        <v>1.0</v>
      </c>
      <c r="H78" s="66">
        <v>4.0</v>
      </c>
      <c r="I78" s="66">
        <v>22.0</v>
      </c>
      <c r="J78" s="66">
        <v>0.0</v>
      </c>
      <c r="K78" s="66">
        <v>1.0</v>
      </c>
      <c r="L78" s="66">
        <v>9.0</v>
      </c>
      <c r="M78" s="66">
        <v>13.0</v>
      </c>
      <c r="N78" s="66">
        <v>13.0</v>
      </c>
      <c r="O78" s="66">
        <v>6.0</v>
      </c>
      <c r="P78" s="66">
        <v>2.0</v>
      </c>
      <c r="Q78" s="66">
        <v>0.0</v>
      </c>
      <c r="R78" s="66">
        <v>0.0</v>
      </c>
      <c r="S78" s="66">
        <v>0.0</v>
      </c>
      <c r="T78" s="66">
        <v>0.0</v>
      </c>
      <c r="U78" s="66">
        <v>0.0</v>
      </c>
      <c r="V78" s="66">
        <v>0.0</v>
      </c>
      <c r="W78" s="13">
        <f t="shared" si="14"/>
        <v>72</v>
      </c>
    </row>
    <row r="79" ht="12.75" customHeight="1">
      <c r="A79" s="19" t="s">
        <v>15</v>
      </c>
      <c r="B79" s="47" t="s">
        <v>46</v>
      </c>
      <c r="C79" s="15"/>
      <c r="D79" s="16"/>
      <c r="E79" s="69">
        <v>7.0</v>
      </c>
      <c r="F79" s="69">
        <v>2.0</v>
      </c>
      <c r="G79" s="69">
        <v>2.0</v>
      </c>
      <c r="H79" s="69">
        <v>5.0</v>
      </c>
      <c r="I79" s="69">
        <v>27.0</v>
      </c>
      <c r="J79" s="69">
        <v>7.0</v>
      </c>
      <c r="K79" s="69">
        <v>11.0</v>
      </c>
      <c r="L79" s="69">
        <v>13.0</v>
      </c>
      <c r="M79" s="69">
        <v>16.0</v>
      </c>
      <c r="N79" s="69">
        <v>15.0</v>
      </c>
      <c r="O79" s="69">
        <v>7.0</v>
      </c>
      <c r="P79" s="69">
        <v>2.0</v>
      </c>
      <c r="Q79" s="69">
        <v>2.0</v>
      </c>
      <c r="R79" s="69">
        <v>0.0</v>
      </c>
      <c r="S79" s="69">
        <v>1.0</v>
      </c>
      <c r="T79" s="13">
        <f t="shared" ref="T79:V79" si="17">SUM(T72:T78)</f>
        <v>1</v>
      </c>
      <c r="U79" s="13">
        <f t="shared" si="17"/>
        <v>1</v>
      </c>
      <c r="V79" s="13">
        <f t="shared" si="17"/>
        <v>0</v>
      </c>
      <c r="W79" s="13">
        <f t="shared" si="14"/>
        <v>119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13">
        <f t="shared" si="14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0.0</v>
      </c>
      <c r="F81" s="66">
        <v>1.0</v>
      </c>
      <c r="G81" s="66">
        <v>3.0</v>
      </c>
      <c r="H81" s="66">
        <v>1.0</v>
      </c>
      <c r="I81" s="66">
        <v>0.0</v>
      </c>
      <c r="J81" s="66">
        <v>0.0</v>
      </c>
      <c r="K81" s="66">
        <v>0.0</v>
      </c>
      <c r="L81" s="66">
        <v>0.0</v>
      </c>
      <c r="M81" s="66">
        <v>0.0</v>
      </c>
      <c r="N81" s="66">
        <v>2.0</v>
      </c>
      <c r="O81" s="66">
        <v>0.0</v>
      </c>
      <c r="P81" s="66">
        <v>1.0</v>
      </c>
      <c r="Q81" s="66">
        <v>1.0</v>
      </c>
      <c r="R81" s="66">
        <v>0.0</v>
      </c>
      <c r="S81" s="66">
        <v>0.0</v>
      </c>
      <c r="T81" s="66">
        <v>0.0</v>
      </c>
      <c r="U81" s="66">
        <v>0.0</v>
      </c>
      <c r="V81" s="66">
        <v>0.0</v>
      </c>
      <c r="W81" s="13">
        <f t="shared" si="14"/>
        <v>9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1.0</v>
      </c>
      <c r="F82" s="66">
        <v>0.0</v>
      </c>
      <c r="G82" s="66">
        <v>1.0</v>
      </c>
      <c r="H82" s="66">
        <v>0.0</v>
      </c>
      <c r="I82" s="66">
        <v>0.0</v>
      </c>
      <c r="J82" s="66">
        <v>1.0</v>
      </c>
      <c r="K82" s="66">
        <v>0.0</v>
      </c>
      <c r="L82" s="66">
        <v>0.0</v>
      </c>
      <c r="M82" s="66">
        <v>1.0</v>
      </c>
      <c r="N82" s="66">
        <v>0.0</v>
      </c>
      <c r="O82" s="66">
        <v>0.0</v>
      </c>
      <c r="P82" s="66">
        <v>0.0</v>
      </c>
      <c r="Q82" s="66">
        <v>0.0</v>
      </c>
      <c r="R82" s="66">
        <v>1.0</v>
      </c>
      <c r="S82" s="66">
        <v>0.0</v>
      </c>
      <c r="T82" s="66">
        <v>0.0</v>
      </c>
      <c r="U82" s="66">
        <v>0.0</v>
      </c>
      <c r="V82" s="66">
        <v>1.0</v>
      </c>
      <c r="W82" s="13">
        <f t="shared" si="14"/>
        <v>6</v>
      </c>
    </row>
    <row r="83" ht="12.75" customHeight="1">
      <c r="A83" s="18"/>
      <c r="B83" s="49"/>
      <c r="C83" s="50" t="s">
        <v>71</v>
      </c>
      <c r="D83" s="51"/>
      <c r="E83" s="66">
        <v>11.0</v>
      </c>
      <c r="F83" s="66">
        <v>8.0</v>
      </c>
      <c r="G83" s="66">
        <v>33.0</v>
      </c>
      <c r="H83" s="66">
        <v>4.0</v>
      </c>
      <c r="I83" s="66">
        <v>9.0</v>
      </c>
      <c r="J83" s="66">
        <v>1.0</v>
      </c>
      <c r="K83" s="66">
        <v>3.0</v>
      </c>
      <c r="L83" s="66">
        <v>1.0</v>
      </c>
      <c r="M83" s="66">
        <v>4.0</v>
      </c>
      <c r="N83" s="66">
        <v>60.0</v>
      </c>
      <c r="O83" s="66">
        <v>17.0</v>
      </c>
      <c r="P83" s="66">
        <v>0.0</v>
      </c>
      <c r="Q83" s="66">
        <v>7.0</v>
      </c>
      <c r="R83" s="66">
        <v>3.0</v>
      </c>
      <c r="S83" s="66">
        <v>0.0</v>
      </c>
      <c r="T83" s="66">
        <v>3.0</v>
      </c>
      <c r="U83" s="66">
        <v>2.0</v>
      </c>
      <c r="V83" s="66">
        <v>48.0</v>
      </c>
      <c r="W83" s="13">
        <f t="shared" si="14"/>
        <v>214</v>
      </c>
    </row>
    <row r="84" ht="12.75" customHeight="1">
      <c r="A84" s="18"/>
      <c r="B84" s="49"/>
      <c r="C84" s="50" t="s">
        <v>72</v>
      </c>
      <c r="D84" s="51"/>
      <c r="E84" s="66">
        <v>1.0</v>
      </c>
      <c r="F84" s="66">
        <v>0.0</v>
      </c>
      <c r="G84" s="66">
        <v>1.0</v>
      </c>
      <c r="H84" s="66">
        <v>0.0</v>
      </c>
      <c r="I84" s="66">
        <v>0.0</v>
      </c>
      <c r="J84" s="66">
        <v>0.0</v>
      </c>
      <c r="K84" s="66">
        <v>0.0</v>
      </c>
      <c r="L84" s="66">
        <v>0.0</v>
      </c>
      <c r="M84" s="66">
        <v>0.0</v>
      </c>
      <c r="N84" s="66">
        <v>0.0</v>
      </c>
      <c r="O84" s="66">
        <v>0.0</v>
      </c>
      <c r="P84" s="66">
        <v>20.0</v>
      </c>
      <c r="Q84" s="66">
        <v>0.0</v>
      </c>
      <c r="R84" s="66">
        <v>0.0</v>
      </c>
      <c r="S84" s="66">
        <v>0.0</v>
      </c>
      <c r="T84" s="66">
        <v>0.0</v>
      </c>
      <c r="U84" s="66">
        <v>0.0</v>
      </c>
      <c r="V84" s="66">
        <v>0.0</v>
      </c>
      <c r="W84" s="13">
        <f t="shared" si="14"/>
        <v>22</v>
      </c>
    </row>
    <row r="85" ht="12.75" customHeight="1">
      <c r="A85" s="18"/>
      <c r="B85" s="49"/>
      <c r="C85" s="50" t="s">
        <v>73</v>
      </c>
      <c r="D85" s="51"/>
      <c r="E85" s="66">
        <v>0.0</v>
      </c>
      <c r="F85" s="66">
        <v>0.0</v>
      </c>
      <c r="G85" s="66">
        <v>0.0</v>
      </c>
      <c r="H85" s="66">
        <v>0.0</v>
      </c>
      <c r="I85" s="66">
        <v>0.0</v>
      </c>
      <c r="J85" s="66">
        <v>0.0</v>
      </c>
      <c r="K85" s="66">
        <v>0.0</v>
      </c>
      <c r="L85" s="66">
        <v>0.0</v>
      </c>
      <c r="M85" s="66">
        <v>0.0</v>
      </c>
      <c r="N85" s="66">
        <v>0.0</v>
      </c>
      <c r="O85" s="66">
        <v>0.0</v>
      </c>
      <c r="P85" s="66">
        <v>0.0</v>
      </c>
      <c r="Q85" s="66">
        <v>0.0</v>
      </c>
      <c r="R85" s="66">
        <v>0.0</v>
      </c>
      <c r="S85" s="66">
        <v>0.0</v>
      </c>
      <c r="T85" s="66">
        <v>0.0</v>
      </c>
      <c r="U85" s="66">
        <v>0.0</v>
      </c>
      <c r="V85" s="66">
        <v>0.0</v>
      </c>
      <c r="W85" s="13">
        <f t="shared" si="14"/>
        <v>0</v>
      </c>
    </row>
    <row r="86" ht="12.75" customHeight="1">
      <c r="A86" s="18"/>
      <c r="B86" s="49"/>
      <c r="C86" s="50" t="s">
        <v>74</v>
      </c>
      <c r="D86" s="51"/>
      <c r="E86" s="66">
        <v>0.0</v>
      </c>
      <c r="F86" s="66">
        <v>0.0</v>
      </c>
      <c r="G86" s="66">
        <v>1.0</v>
      </c>
      <c r="H86" s="66">
        <v>0.0</v>
      </c>
      <c r="I86" s="66">
        <v>1.0</v>
      </c>
      <c r="J86" s="66">
        <v>0.0</v>
      </c>
      <c r="K86" s="66">
        <v>0.0</v>
      </c>
      <c r="L86" s="66">
        <v>0.0</v>
      </c>
      <c r="M86" s="66">
        <v>1.0</v>
      </c>
      <c r="N86" s="66">
        <v>1.0</v>
      </c>
      <c r="O86" s="66">
        <v>0.0</v>
      </c>
      <c r="P86" s="66">
        <v>0.0</v>
      </c>
      <c r="Q86" s="66">
        <v>1.0</v>
      </c>
      <c r="R86" s="66">
        <v>0.0</v>
      </c>
      <c r="S86" s="66">
        <v>0.0</v>
      </c>
      <c r="T86" s="66">
        <v>2.0</v>
      </c>
      <c r="U86" s="66">
        <v>2.0</v>
      </c>
      <c r="V86" s="66">
        <v>1.0</v>
      </c>
      <c r="W86" s="13">
        <f t="shared" si="14"/>
        <v>10</v>
      </c>
    </row>
    <row r="87" ht="12.75" customHeight="1">
      <c r="A87" s="18"/>
      <c r="B87" s="49"/>
      <c r="C87" s="50" t="s">
        <v>75</v>
      </c>
      <c r="D87" s="51"/>
      <c r="E87" s="66">
        <v>0.0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0.0</v>
      </c>
      <c r="O87" s="66">
        <v>0.0</v>
      </c>
      <c r="P87" s="66">
        <v>0.0</v>
      </c>
      <c r="Q87" s="66">
        <v>0.0</v>
      </c>
      <c r="R87" s="66">
        <v>0.0</v>
      </c>
      <c r="S87" s="66">
        <v>0.0</v>
      </c>
      <c r="T87" s="66">
        <v>0.0</v>
      </c>
      <c r="U87" s="66">
        <v>0.0</v>
      </c>
      <c r="V87" s="66">
        <v>0.0</v>
      </c>
      <c r="W87" s="13">
        <f t="shared" si="14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V88" si="18">SUM(E81:E87)</f>
        <v>13</v>
      </c>
      <c r="F88" s="13">
        <f t="shared" si="18"/>
        <v>9</v>
      </c>
      <c r="G88" s="13">
        <f t="shared" si="18"/>
        <v>39</v>
      </c>
      <c r="H88" s="13">
        <f t="shared" si="18"/>
        <v>5</v>
      </c>
      <c r="I88" s="13">
        <f t="shared" si="18"/>
        <v>10</v>
      </c>
      <c r="J88" s="13">
        <f t="shared" si="18"/>
        <v>2</v>
      </c>
      <c r="K88" s="13">
        <f t="shared" si="18"/>
        <v>3</v>
      </c>
      <c r="L88" s="13">
        <f t="shared" si="18"/>
        <v>1</v>
      </c>
      <c r="M88" s="13">
        <f t="shared" si="18"/>
        <v>6</v>
      </c>
      <c r="N88" s="13">
        <f t="shared" si="18"/>
        <v>63</v>
      </c>
      <c r="O88" s="13">
        <f t="shared" si="18"/>
        <v>17</v>
      </c>
      <c r="P88" s="13">
        <f t="shared" si="18"/>
        <v>21</v>
      </c>
      <c r="Q88" s="13">
        <f t="shared" si="18"/>
        <v>9</v>
      </c>
      <c r="R88" s="13">
        <f t="shared" si="18"/>
        <v>4</v>
      </c>
      <c r="S88" s="13">
        <f t="shared" si="18"/>
        <v>0</v>
      </c>
      <c r="T88" s="13">
        <f t="shared" si="18"/>
        <v>5</v>
      </c>
      <c r="U88" s="13">
        <f t="shared" si="18"/>
        <v>4</v>
      </c>
      <c r="V88" s="13">
        <f t="shared" si="18"/>
        <v>50</v>
      </c>
      <c r="W88" s="13">
        <f t="shared" si="14"/>
        <v>261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13">
        <f t="shared" si="14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66">
        <v>0.0</v>
      </c>
      <c r="F90" s="66">
        <v>0.0</v>
      </c>
      <c r="G90" s="66">
        <v>0.0</v>
      </c>
      <c r="H90" s="66">
        <v>0.0</v>
      </c>
      <c r="I90" s="66">
        <v>1.0</v>
      </c>
      <c r="J90" s="66">
        <v>0.0</v>
      </c>
      <c r="K90" s="66">
        <v>0.0</v>
      </c>
      <c r="L90" s="66">
        <v>0.0</v>
      </c>
      <c r="M90" s="66">
        <v>0.0</v>
      </c>
      <c r="N90" s="66">
        <v>0.0</v>
      </c>
      <c r="O90" s="66">
        <v>1.0</v>
      </c>
      <c r="P90" s="66">
        <v>0.0</v>
      </c>
      <c r="Q90" s="66">
        <v>0.0</v>
      </c>
      <c r="R90" s="66">
        <v>0.0</v>
      </c>
      <c r="S90" s="66">
        <v>0.0</v>
      </c>
      <c r="T90" s="66">
        <v>0.0</v>
      </c>
      <c r="U90" s="66">
        <v>0.0</v>
      </c>
      <c r="V90" s="66">
        <v>0.0</v>
      </c>
      <c r="W90" s="13">
        <f t="shared" si="14"/>
        <v>2</v>
      </c>
    </row>
    <row r="91" ht="12.75" customHeight="1">
      <c r="A91" s="30" t="s">
        <v>39</v>
      </c>
      <c r="B91" s="49"/>
      <c r="C91" s="50" t="s">
        <v>78</v>
      </c>
      <c r="D91" s="16"/>
      <c r="E91" s="66">
        <v>0.0</v>
      </c>
      <c r="F91" s="66">
        <v>0.0</v>
      </c>
      <c r="G91" s="66">
        <v>0.0</v>
      </c>
      <c r="H91" s="66">
        <v>0.0</v>
      </c>
      <c r="I91" s="66">
        <v>0.0</v>
      </c>
      <c r="J91" s="66">
        <v>0.0</v>
      </c>
      <c r="K91" s="66">
        <v>0.0</v>
      </c>
      <c r="L91" s="66">
        <v>1.0</v>
      </c>
      <c r="M91" s="66">
        <v>0.0</v>
      </c>
      <c r="N91" s="66">
        <v>0.0</v>
      </c>
      <c r="O91" s="66">
        <v>0.0</v>
      </c>
      <c r="P91" s="66">
        <v>0.0</v>
      </c>
      <c r="Q91" s="66">
        <v>0.0</v>
      </c>
      <c r="R91" s="66">
        <v>0.0</v>
      </c>
      <c r="S91" s="66">
        <v>1.0</v>
      </c>
      <c r="T91" s="66">
        <v>0.0</v>
      </c>
      <c r="U91" s="66">
        <v>0.0</v>
      </c>
      <c r="V91" s="66">
        <v>0.0</v>
      </c>
      <c r="W91" s="13">
        <f t="shared" si="14"/>
        <v>2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V92" si="19">SUM(E90:E91)</f>
        <v>0</v>
      </c>
      <c r="F92" s="58">
        <f t="shared" si="19"/>
        <v>0</v>
      </c>
      <c r="G92" s="58">
        <f t="shared" si="19"/>
        <v>0</v>
      </c>
      <c r="H92" s="58">
        <f t="shared" si="19"/>
        <v>0</v>
      </c>
      <c r="I92" s="58">
        <f t="shared" si="19"/>
        <v>1</v>
      </c>
      <c r="J92" s="58">
        <f t="shared" si="19"/>
        <v>0</v>
      </c>
      <c r="K92" s="58">
        <f t="shared" si="19"/>
        <v>0</v>
      </c>
      <c r="L92" s="58">
        <f t="shared" si="19"/>
        <v>1</v>
      </c>
      <c r="M92" s="58">
        <f t="shared" si="19"/>
        <v>0</v>
      </c>
      <c r="N92" s="58">
        <f t="shared" si="19"/>
        <v>0</v>
      </c>
      <c r="O92" s="58">
        <f t="shared" si="19"/>
        <v>1</v>
      </c>
      <c r="P92" s="58">
        <f t="shared" si="19"/>
        <v>0</v>
      </c>
      <c r="Q92" s="58">
        <f t="shared" si="19"/>
        <v>0</v>
      </c>
      <c r="R92" s="58">
        <f t="shared" si="19"/>
        <v>0</v>
      </c>
      <c r="S92" s="58">
        <f t="shared" si="19"/>
        <v>1</v>
      </c>
      <c r="T92" s="58">
        <f t="shared" si="19"/>
        <v>0</v>
      </c>
      <c r="U92" s="58">
        <f t="shared" si="19"/>
        <v>0</v>
      </c>
      <c r="V92" s="58">
        <f t="shared" si="19"/>
        <v>0</v>
      </c>
      <c r="W92" s="13">
        <f t="shared" si="14"/>
        <v>4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13">
        <f t="shared" si="14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66">
        <v>2.0</v>
      </c>
      <c r="F94" s="66">
        <v>0.0</v>
      </c>
      <c r="G94" s="66">
        <v>0.0</v>
      </c>
      <c r="H94" s="66">
        <v>0.0</v>
      </c>
      <c r="I94" s="66">
        <v>1.0</v>
      </c>
      <c r="J94" s="66">
        <v>0.0</v>
      </c>
      <c r="K94" s="66">
        <v>0.0</v>
      </c>
      <c r="L94" s="66">
        <v>0.0</v>
      </c>
      <c r="M94" s="66">
        <v>0.0</v>
      </c>
      <c r="N94" s="66">
        <v>0.0</v>
      </c>
      <c r="O94" s="66">
        <v>1.0</v>
      </c>
      <c r="P94" s="66">
        <v>0.0</v>
      </c>
      <c r="Q94" s="66">
        <v>0.0</v>
      </c>
      <c r="R94" s="66">
        <v>0.0</v>
      </c>
      <c r="S94" s="66">
        <v>1.0</v>
      </c>
      <c r="T94" s="66">
        <v>0.0</v>
      </c>
      <c r="U94" s="66">
        <v>1.0</v>
      </c>
      <c r="V94" s="66">
        <v>1.0</v>
      </c>
      <c r="W94" s="13">
        <f t="shared" si="14"/>
        <v>7</v>
      </c>
    </row>
    <row r="95" ht="12.75" customHeight="1">
      <c r="A95" s="30" t="s">
        <v>39</v>
      </c>
      <c r="B95" s="49"/>
      <c r="C95" s="50" t="s">
        <v>81</v>
      </c>
      <c r="D95" s="51"/>
      <c r="E95" s="66">
        <v>0.0</v>
      </c>
      <c r="F95" s="66">
        <v>0.0</v>
      </c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0.0</v>
      </c>
      <c r="M95" s="66">
        <v>0.0</v>
      </c>
      <c r="N95" s="66">
        <v>0.0</v>
      </c>
      <c r="O95" s="66">
        <v>1.0</v>
      </c>
      <c r="P95" s="66">
        <v>2.0</v>
      </c>
      <c r="Q95" s="66">
        <v>1.0</v>
      </c>
      <c r="R95" s="66">
        <v>0.0</v>
      </c>
      <c r="S95" s="66">
        <v>0.0</v>
      </c>
      <c r="T95" s="66">
        <v>0.0</v>
      </c>
      <c r="U95" s="66">
        <v>0.0</v>
      </c>
      <c r="V95" s="66">
        <v>0.0</v>
      </c>
      <c r="W95" s="13">
        <f t="shared" si="14"/>
        <v>4</v>
      </c>
    </row>
    <row r="96" ht="12.75" customHeight="1">
      <c r="A96" s="30"/>
      <c r="B96" s="49"/>
      <c r="C96" s="50" t="s">
        <v>82</v>
      </c>
      <c r="D96" s="51"/>
      <c r="E96" s="66">
        <v>0.0</v>
      </c>
      <c r="F96" s="66">
        <v>0.0</v>
      </c>
      <c r="G96" s="66">
        <v>0.0</v>
      </c>
      <c r="H96" s="66">
        <v>0.0</v>
      </c>
      <c r="I96" s="66">
        <v>0.0</v>
      </c>
      <c r="J96" s="66">
        <v>0.0</v>
      </c>
      <c r="K96" s="66">
        <v>0.0</v>
      </c>
      <c r="L96" s="66">
        <v>0.0</v>
      </c>
      <c r="M96" s="66">
        <v>0.0</v>
      </c>
      <c r="N96" s="66">
        <v>0.0</v>
      </c>
      <c r="O96" s="66">
        <v>0.0</v>
      </c>
      <c r="P96" s="66">
        <v>0.0</v>
      </c>
      <c r="Q96" s="66">
        <v>0.0</v>
      </c>
      <c r="R96" s="66">
        <v>0.0</v>
      </c>
      <c r="S96" s="66">
        <v>0.0</v>
      </c>
      <c r="T96" s="66">
        <v>0.0</v>
      </c>
      <c r="U96" s="66">
        <v>0.0</v>
      </c>
      <c r="V96" s="66">
        <v>0.0</v>
      </c>
      <c r="W96" s="13">
        <f t="shared" si="14"/>
        <v>0</v>
      </c>
    </row>
    <row r="97" ht="12.75" customHeight="1">
      <c r="A97" s="30"/>
      <c r="B97" s="49"/>
      <c r="C97" s="50" t="s">
        <v>83</v>
      </c>
      <c r="D97" s="51"/>
      <c r="E97" s="66">
        <v>1.0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1.0</v>
      </c>
      <c r="N97" s="66">
        <v>0.0</v>
      </c>
      <c r="O97" s="66">
        <v>0.0</v>
      </c>
      <c r="P97" s="66">
        <v>0.0</v>
      </c>
      <c r="Q97" s="66">
        <v>0.0</v>
      </c>
      <c r="R97" s="66">
        <v>0.0</v>
      </c>
      <c r="S97" s="66">
        <v>0.0</v>
      </c>
      <c r="T97" s="66">
        <v>0.0</v>
      </c>
      <c r="U97" s="66">
        <v>0.0</v>
      </c>
      <c r="V97" s="66">
        <v>0.0</v>
      </c>
      <c r="W97" s="13">
        <f t="shared" si="14"/>
        <v>2</v>
      </c>
    </row>
    <row r="98" ht="12.75" customHeight="1">
      <c r="A98" s="30"/>
      <c r="B98" s="49"/>
      <c r="C98" s="50" t="s">
        <v>84</v>
      </c>
      <c r="D98" s="51"/>
      <c r="E98" s="66">
        <v>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0.0</v>
      </c>
      <c r="P98" s="66">
        <v>0.0</v>
      </c>
      <c r="Q98" s="66">
        <v>0.0</v>
      </c>
      <c r="R98" s="66">
        <v>0.0</v>
      </c>
      <c r="S98" s="66">
        <v>0.0</v>
      </c>
      <c r="T98" s="66">
        <v>1.0</v>
      </c>
      <c r="U98" s="66">
        <v>0.0</v>
      </c>
      <c r="V98" s="66">
        <v>0.0</v>
      </c>
      <c r="W98" s="13">
        <f t="shared" si="14"/>
        <v>1</v>
      </c>
    </row>
    <row r="99" ht="12.75" customHeight="1">
      <c r="A99" s="30"/>
      <c r="B99" s="49"/>
      <c r="C99" s="50" t="s">
        <v>85</v>
      </c>
      <c r="D99" s="51"/>
      <c r="E99" s="66">
        <v>0.0</v>
      </c>
      <c r="F99" s="66">
        <v>0.0</v>
      </c>
      <c r="G99" s="66">
        <v>0.0</v>
      </c>
      <c r="H99" s="66">
        <v>0.0</v>
      </c>
      <c r="I99" s="66">
        <v>0.0</v>
      </c>
      <c r="J99" s="66">
        <v>0.0</v>
      </c>
      <c r="K99" s="66">
        <v>0.0</v>
      </c>
      <c r="L99" s="66">
        <v>0.0</v>
      </c>
      <c r="M99" s="66">
        <v>0.0</v>
      </c>
      <c r="N99" s="66">
        <v>0.0</v>
      </c>
      <c r="O99" s="66">
        <v>0.0</v>
      </c>
      <c r="P99" s="66">
        <v>0.0</v>
      </c>
      <c r="Q99" s="66">
        <v>0.0</v>
      </c>
      <c r="R99" s="66">
        <v>0.0</v>
      </c>
      <c r="S99" s="66">
        <v>0.0</v>
      </c>
      <c r="T99" s="66">
        <v>0.0</v>
      </c>
      <c r="U99" s="66">
        <v>0.0</v>
      </c>
      <c r="V99" s="66">
        <v>0.0</v>
      </c>
      <c r="W99" s="13">
        <f t="shared" si="14"/>
        <v>0</v>
      </c>
    </row>
    <row r="100" ht="12.75" customHeight="1">
      <c r="A100" s="30"/>
      <c r="B100" s="49"/>
      <c r="C100" s="50" t="s">
        <v>86</v>
      </c>
      <c r="D100" s="51"/>
      <c r="E100" s="66">
        <v>0.0</v>
      </c>
      <c r="F100" s="66">
        <v>0.0</v>
      </c>
      <c r="G100" s="66">
        <v>0.0</v>
      </c>
      <c r="H100" s="66">
        <v>0.0</v>
      </c>
      <c r="I100" s="66">
        <v>0.0</v>
      </c>
      <c r="J100" s="66">
        <v>0.0</v>
      </c>
      <c r="K100" s="66">
        <v>0.0</v>
      </c>
      <c r="L100" s="66">
        <v>0.0</v>
      </c>
      <c r="M100" s="66">
        <v>0.0</v>
      </c>
      <c r="N100" s="66">
        <v>0.0</v>
      </c>
      <c r="O100" s="66">
        <v>0.0</v>
      </c>
      <c r="P100" s="66">
        <v>0.0</v>
      </c>
      <c r="Q100" s="66">
        <v>0.0</v>
      </c>
      <c r="R100" s="66">
        <v>0.0</v>
      </c>
      <c r="S100" s="66">
        <v>0.0</v>
      </c>
      <c r="T100" s="66">
        <v>0.0</v>
      </c>
      <c r="U100" s="66">
        <v>0.0</v>
      </c>
      <c r="V100" s="66">
        <v>0.0</v>
      </c>
      <c r="W100" s="13">
        <f t="shared" si="14"/>
        <v>0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V101" si="20">SUM(E94:E100)</f>
        <v>3</v>
      </c>
      <c r="F101" s="13">
        <f t="shared" si="20"/>
        <v>0</v>
      </c>
      <c r="G101" s="13">
        <f t="shared" si="20"/>
        <v>0</v>
      </c>
      <c r="H101" s="13">
        <f t="shared" si="20"/>
        <v>0</v>
      </c>
      <c r="I101" s="13">
        <f t="shared" si="20"/>
        <v>1</v>
      </c>
      <c r="J101" s="13">
        <f t="shared" si="20"/>
        <v>0</v>
      </c>
      <c r="K101" s="13">
        <f t="shared" si="20"/>
        <v>0</v>
      </c>
      <c r="L101" s="13">
        <f t="shared" si="20"/>
        <v>0</v>
      </c>
      <c r="M101" s="13">
        <f t="shared" si="20"/>
        <v>1</v>
      </c>
      <c r="N101" s="13">
        <f t="shared" si="20"/>
        <v>0</v>
      </c>
      <c r="O101" s="13">
        <f t="shared" si="20"/>
        <v>2</v>
      </c>
      <c r="P101" s="13">
        <f t="shared" si="20"/>
        <v>2</v>
      </c>
      <c r="Q101" s="13">
        <f t="shared" si="20"/>
        <v>1</v>
      </c>
      <c r="R101" s="13">
        <f t="shared" si="20"/>
        <v>0</v>
      </c>
      <c r="S101" s="13">
        <f t="shared" si="20"/>
        <v>1</v>
      </c>
      <c r="T101" s="13">
        <f t="shared" si="20"/>
        <v>1</v>
      </c>
      <c r="U101" s="13">
        <f t="shared" si="20"/>
        <v>1</v>
      </c>
      <c r="V101" s="13">
        <f t="shared" si="20"/>
        <v>1</v>
      </c>
      <c r="W101" s="13">
        <f t="shared" si="14"/>
        <v>14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13">
        <f t="shared" si="14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66">
        <v>0.0</v>
      </c>
      <c r="F103" s="66">
        <v>0.0</v>
      </c>
      <c r="G103" s="66">
        <v>0.0</v>
      </c>
      <c r="H103" s="66">
        <v>1.0</v>
      </c>
      <c r="I103" s="66">
        <v>0.0</v>
      </c>
      <c r="J103" s="66">
        <v>1.0</v>
      </c>
      <c r="K103" s="66">
        <v>0.0</v>
      </c>
      <c r="L103" s="66">
        <v>0.0</v>
      </c>
      <c r="M103" s="66">
        <v>1.0</v>
      </c>
      <c r="N103" s="66">
        <v>0.0</v>
      </c>
      <c r="O103" s="66">
        <v>1.0</v>
      </c>
      <c r="P103" s="66">
        <v>0.0</v>
      </c>
      <c r="Q103" s="66">
        <v>0.0</v>
      </c>
      <c r="R103" s="66">
        <v>0.0</v>
      </c>
      <c r="S103" s="66">
        <v>0.0</v>
      </c>
      <c r="T103" s="66">
        <v>0.0</v>
      </c>
      <c r="U103" s="66">
        <v>0.0</v>
      </c>
      <c r="V103" s="66">
        <v>0.0</v>
      </c>
      <c r="W103" s="13">
        <f t="shared" si="14"/>
        <v>4</v>
      </c>
    </row>
    <row r="104" ht="12.75" customHeight="1">
      <c r="A104" s="30" t="s">
        <v>39</v>
      </c>
      <c r="B104" s="49"/>
      <c r="C104" s="50" t="s">
        <v>89</v>
      </c>
      <c r="D104" s="51"/>
      <c r="E104" s="66">
        <v>0.0</v>
      </c>
      <c r="F104" s="66">
        <v>0.0</v>
      </c>
      <c r="G104" s="66">
        <v>0.0</v>
      </c>
      <c r="H104" s="66">
        <v>3.0</v>
      </c>
      <c r="I104" s="66">
        <v>3.0</v>
      </c>
      <c r="J104" s="66">
        <v>5.0</v>
      </c>
      <c r="K104" s="66">
        <v>0.0</v>
      </c>
      <c r="L104" s="66">
        <v>0.0</v>
      </c>
      <c r="M104" s="66">
        <v>0.0</v>
      </c>
      <c r="N104" s="66">
        <v>0.0</v>
      </c>
      <c r="O104" s="66">
        <v>1.0</v>
      </c>
      <c r="P104" s="66">
        <v>0.0</v>
      </c>
      <c r="Q104" s="66">
        <v>1.0</v>
      </c>
      <c r="R104" s="66">
        <v>2.0</v>
      </c>
      <c r="S104" s="66">
        <v>0.0</v>
      </c>
      <c r="T104" s="66">
        <v>1.0</v>
      </c>
      <c r="U104" s="66">
        <v>0.0</v>
      </c>
      <c r="V104" s="66">
        <v>0.0</v>
      </c>
      <c r="W104" s="13">
        <f t="shared" si="14"/>
        <v>16</v>
      </c>
    </row>
    <row r="105" ht="12.75" customHeight="1">
      <c r="A105" s="18"/>
      <c r="B105" s="49"/>
      <c r="C105" s="50" t="s">
        <v>90</v>
      </c>
      <c r="D105" s="51"/>
      <c r="E105" s="66">
        <v>0.0</v>
      </c>
      <c r="F105" s="66">
        <v>0.0</v>
      </c>
      <c r="G105" s="66">
        <v>0.0</v>
      </c>
      <c r="H105" s="66">
        <v>0.0</v>
      </c>
      <c r="I105" s="66">
        <v>0.0</v>
      </c>
      <c r="J105" s="66">
        <v>0.0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66">
        <v>0.0</v>
      </c>
      <c r="Q105" s="66">
        <v>0.0</v>
      </c>
      <c r="R105" s="66">
        <v>0.0</v>
      </c>
      <c r="S105" s="66">
        <v>0.0</v>
      </c>
      <c r="T105" s="66">
        <v>0.0</v>
      </c>
      <c r="U105" s="66">
        <v>0.0</v>
      </c>
      <c r="V105" s="66">
        <v>0.0</v>
      </c>
      <c r="W105" s="13">
        <f t="shared" si="14"/>
        <v>0</v>
      </c>
    </row>
    <row r="106" ht="12.75" customHeight="1">
      <c r="A106" s="18"/>
      <c r="B106" s="49"/>
      <c r="C106" s="50" t="s">
        <v>91</v>
      </c>
      <c r="D106" s="51"/>
      <c r="E106" s="66">
        <v>0.0</v>
      </c>
      <c r="F106" s="66">
        <v>0.0</v>
      </c>
      <c r="G106" s="66">
        <v>0.0</v>
      </c>
      <c r="H106" s="66">
        <v>0.0</v>
      </c>
      <c r="I106" s="66">
        <v>0.0</v>
      </c>
      <c r="J106" s="66">
        <v>0.0</v>
      </c>
      <c r="K106" s="66">
        <v>0.0</v>
      </c>
      <c r="L106" s="66">
        <v>0.0</v>
      </c>
      <c r="M106" s="66">
        <v>0.0</v>
      </c>
      <c r="N106" s="66">
        <v>0.0</v>
      </c>
      <c r="O106" s="66">
        <v>0.0</v>
      </c>
      <c r="P106" s="66">
        <v>0.0</v>
      </c>
      <c r="Q106" s="66">
        <v>0.0</v>
      </c>
      <c r="R106" s="66">
        <v>0.0</v>
      </c>
      <c r="S106" s="66">
        <v>0.0</v>
      </c>
      <c r="T106" s="66">
        <v>0.0</v>
      </c>
      <c r="U106" s="66">
        <v>0.0</v>
      </c>
      <c r="V106" s="66">
        <v>0.0</v>
      </c>
      <c r="W106" s="13">
        <f t="shared" si="14"/>
        <v>0</v>
      </c>
    </row>
    <row r="107" ht="12.75" customHeight="1">
      <c r="A107" s="18"/>
      <c r="B107" s="49"/>
      <c r="C107" s="50" t="s">
        <v>92</v>
      </c>
      <c r="D107" s="51"/>
      <c r="E107" s="66">
        <v>0.0</v>
      </c>
      <c r="F107" s="66">
        <v>0.0</v>
      </c>
      <c r="G107" s="66">
        <v>0.0</v>
      </c>
      <c r="H107" s="66">
        <v>0.0</v>
      </c>
      <c r="I107" s="66">
        <v>0.0</v>
      </c>
      <c r="J107" s="66">
        <v>0.0</v>
      </c>
      <c r="K107" s="66">
        <v>0.0</v>
      </c>
      <c r="L107" s="66">
        <v>0.0</v>
      </c>
      <c r="M107" s="66">
        <v>0.0</v>
      </c>
      <c r="N107" s="66">
        <v>0.0</v>
      </c>
      <c r="O107" s="66">
        <v>0.0</v>
      </c>
      <c r="P107" s="66">
        <v>0.0</v>
      </c>
      <c r="Q107" s="66">
        <v>0.0</v>
      </c>
      <c r="R107" s="66">
        <v>0.0</v>
      </c>
      <c r="S107" s="66">
        <v>0.0</v>
      </c>
      <c r="T107" s="66">
        <v>0.0</v>
      </c>
      <c r="U107" s="66">
        <v>0.0</v>
      </c>
      <c r="V107" s="66">
        <v>0.0</v>
      </c>
      <c r="W107" s="13">
        <f t="shared" si="14"/>
        <v>0</v>
      </c>
    </row>
    <row r="108" ht="12.75" customHeight="1">
      <c r="A108" s="18"/>
      <c r="B108" s="49"/>
      <c r="C108" s="50" t="s">
        <v>93</v>
      </c>
      <c r="D108" s="51"/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0.0</v>
      </c>
      <c r="N108" s="66">
        <v>0.0</v>
      </c>
      <c r="O108" s="66">
        <v>0.0</v>
      </c>
      <c r="P108" s="66">
        <v>0.0</v>
      </c>
      <c r="Q108" s="66">
        <v>0.0</v>
      </c>
      <c r="R108" s="66">
        <v>0.0</v>
      </c>
      <c r="S108" s="66">
        <v>0.0</v>
      </c>
      <c r="T108" s="66">
        <v>0.0</v>
      </c>
      <c r="U108" s="66">
        <v>0.0</v>
      </c>
      <c r="V108" s="66">
        <v>0.0</v>
      </c>
      <c r="W108" s="13">
        <f t="shared" si="14"/>
        <v>0</v>
      </c>
    </row>
    <row r="109" ht="12.75" customHeight="1">
      <c r="A109" s="18"/>
      <c r="B109" s="49"/>
      <c r="C109" s="50" t="s">
        <v>94</v>
      </c>
      <c r="D109" s="51"/>
      <c r="E109" s="66">
        <v>0.0</v>
      </c>
      <c r="F109" s="66">
        <v>0.0</v>
      </c>
      <c r="G109" s="66">
        <v>0.0</v>
      </c>
      <c r="H109" s="66">
        <v>0.0</v>
      </c>
      <c r="I109" s="66">
        <v>0.0</v>
      </c>
      <c r="J109" s="66">
        <v>0.0</v>
      </c>
      <c r="K109" s="66">
        <v>0.0</v>
      </c>
      <c r="L109" s="66">
        <v>0.0</v>
      </c>
      <c r="M109" s="66">
        <v>0.0</v>
      </c>
      <c r="N109" s="66">
        <v>0.0</v>
      </c>
      <c r="O109" s="66">
        <v>0.0</v>
      </c>
      <c r="P109" s="66">
        <v>0.0</v>
      </c>
      <c r="Q109" s="66">
        <v>0.0</v>
      </c>
      <c r="R109" s="66">
        <v>0.0</v>
      </c>
      <c r="S109" s="66">
        <v>0.0</v>
      </c>
      <c r="T109" s="66">
        <v>0.0</v>
      </c>
      <c r="U109" s="66">
        <v>0.0</v>
      </c>
      <c r="V109" s="66">
        <v>0.0</v>
      </c>
      <c r="W109" s="13">
        <f t="shared" si="14"/>
        <v>0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V110" si="21">SUM(E103:E109)</f>
        <v>0</v>
      </c>
      <c r="F110" s="13">
        <f t="shared" si="21"/>
        <v>0</v>
      </c>
      <c r="G110" s="13">
        <f t="shared" si="21"/>
        <v>0</v>
      </c>
      <c r="H110" s="13">
        <f t="shared" si="21"/>
        <v>4</v>
      </c>
      <c r="I110" s="13">
        <f t="shared" si="21"/>
        <v>3</v>
      </c>
      <c r="J110" s="13">
        <f t="shared" si="21"/>
        <v>6</v>
      </c>
      <c r="K110" s="13">
        <f t="shared" si="21"/>
        <v>0</v>
      </c>
      <c r="L110" s="13">
        <f t="shared" si="21"/>
        <v>0</v>
      </c>
      <c r="M110" s="13">
        <f t="shared" si="21"/>
        <v>1</v>
      </c>
      <c r="N110" s="13">
        <f t="shared" si="21"/>
        <v>0</v>
      </c>
      <c r="O110" s="13">
        <f t="shared" si="21"/>
        <v>2</v>
      </c>
      <c r="P110" s="13">
        <f t="shared" si="21"/>
        <v>0</v>
      </c>
      <c r="Q110" s="13">
        <f t="shared" si="21"/>
        <v>1</v>
      </c>
      <c r="R110" s="13">
        <f t="shared" si="21"/>
        <v>2</v>
      </c>
      <c r="S110" s="13">
        <f t="shared" si="21"/>
        <v>0</v>
      </c>
      <c r="T110" s="13">
        <f t="shared" si="21"/>
        <v>1</v>
      </c>
      <c r="U110" s="13">
        <f t="shared" si="21"/>
        <v>0</v>
      </c>
      <c r="V110" s="13">
        <f t="shared" si="21"/>
        <v>0</v>
      </c>
      <c r="W110" s="13">
        <f t="shared" si="14"/>
        <v>20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13">
        <f t="shared" si="14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66">
        <v>0.0</v>
      </c>
      <c r="F112" s="66">
        <v>0.0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66">
        <v>0.0</v>
      </c>
      <c r="Q112" s="66">
        <v>0.0</v>
      </c>
      <c r="R112" s="66">
        <v>0.0</v>
      </c>
      <c r="S112" s="66">
        <v>0.0</v>
      </c>
      <c r="T112" s="66">
        <v>0.0</v>
      </c>
      <c r="U112" s="66">
        <v>0.0</v>
      </c>
      <c r="V112" s="66">
        <v>0.0</v>
      </c>
      <c r="W112" s="13">
        <f t="shared" si="14"/>
        <v>0</v>
      </c>
    </row>
    <row r="113" ht="12.75" customHeight="1">
      <c r="A113" s="30"/>
      <c r="B113" s="47"/>
      <c r="C113" s="50" t="s">
        <v>97</v>
      </c>
      <c r="D113" s="59"/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66">
        <v>0.0</v>
      </c>
      <c r="Q113" s="66">
        <v>0.0</v>
      </c>
      <c r="R113" s="66">
        <v>0.0</v>
      </c>
      <c r="S113" s="66">
        <v>0.0</v>
      </c>
      <c r="T113" s="66">
        <v>0.0</v>
      </c>
      <c r="U113" s="66">
        <v>0.0</v>
      </c>
      <c r="V113" s="66">
        <v>0.0</v>
      </c>
      <c r="W113" s="13">
        <f t="shared" si="14"/>
        <v>0</v>
      </c>
    </row>
    <row r="114" ht="12.75" customHeight="1">
      <c r="A114" s="30"/>
      <c r="B114" s="47"/>
      <c r="C114" s="50" t="s">
        <v>98</v>
      </c>
      <c r="D114" s="59"/>
      <c r="E114" s="66">
        <v>0.0</v>
      </c>
      <c r="F114" s="66">
        <v>0.0</v>
      </c>
      <c r="G114" s="66">
        <v>0.0</v>
      </c>
      <c r="H114" s="66">
        <v>0.0</v>
      </c>
      <c r="I114" s="66">
        <v>0.0</v>
      </c>
      <c r="J114" s="66">
        <v>0.0</v>
      </c>
      <c r="K114" s="66">
        <v>0.0</v>
      </c>
      <c r="L114" s="66">
        <v>0.0</v>
      </c>
      <c r="M114" s="66">
        <v>0.0</v>
      </c>
      <c r="N114" s="66">
        <v>0.0</v>
      </c>
      <c r="O114" s="66">
        <v>0.0</v>
      </c>
      <c r="P114" s="66">
        <v>0.0</v>
      </c>
      <c r="Q114" s="66">
        <v>1.0</v>
      </c>
      <c r="R114" s="66">
        <v>0.0</v>
      </c>
      <c r="S114" s="66">
        <v>0.0</v>
      </c>
      <c r="T114" s="66">
        <v>0.0</v>
      </c>
      <c r="U114" s="66">
        <v>0.0</v>
      </c>
      <c r="V114" s="66">
        <v>0.0</v>
      </c>
      <c r="W114" s="13">
        <f t="shared" si="14"/>
        <v>1</v>
      </c>
    </row>
    <row r="115" ht="12.75" customHeight="1">
      <c r="A115" s="30"/>
      <c r="B115" s="47"/>
      <c r="C115" s="50" t="s">
        <v>99</v>
      </c>
      <c r="D115" s="59"/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0.0</v>
      </c>
      <c r="K115" s="66">
        <v>0.0</v>
      </c>
      <c r="L115" s="66">
        <v>0.0</v>
      </c>
      <c r="M115" s="66">
        <v>0.0</v>
      </c>
      <c r="N115" s="66">
        <v>0.0</v>
      </c>
      <c r="O115" s="66">
        <v>0.0</v>
      </c>
      <c r="P115" s="66">
        <v>0.0</v>
      </c>
      <c r="Q115" s="66">
        <v>0.0</v>
      </c>
      <c r="R115" s="66">
        <v>0.0</v>
      </c>
      <c r="S115" s="66">
        <v>0.0</v>
      </c>
      <c r="T115" s="66">
        <v>0.0</v>
      </c>
      <c r="U115" s="66">
        <v>0.0</v>
      </c>
      <c r="V115" s="66">
        <v>0.0</v>
      </c>
      <c r="W115" s="13">
        <f t="shared" si="14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66">
        <v>0.0</v>
      </c>
      <c r="F116" s="66">
        <v>0.0</v>
      </c>
      <c r="G116" s="66">
        <v>0.0</v>
      </c>
      <c r="H116" s="66">
        <v>0.0</v>
      </c>
      <c r="I116" s="66">
        <v>0.0</v>
      </c>
      <c r="J116" s="66">
        <v>0.0</v>
      </c>
      <c r="K116" s="66">
        <v>0.0</v>
      </c>
      <c r="L116" s="66">
        <v>0.0</v>
      </c>
      <c r="M116" s="66">
        <v>0.0</v>
      </c>
      <c r="N116" s="66">
        <v>0.0</v>
      </c>
      <c r="O116" s="66">
        <v>0.0</v>
      </c>
      <c r="P116" s="66">
        <v>0.0</v>
      </c>
      <c r="Q116" s="66">
        <v>0.0</v>
      </c>
      <c r="R116" s="66">
        <v>0.0</v>
      </c>
      <c r="S116" s="66">
        <v>0.0</v>
      </c>
      <c r="T116" s="66">
        <v>0.0</v>
      </c>
      <c r="U116" s="66">
        <v>0.0</v>
      </c>
      <c r="V116" s="66">
        <v>0.0</v>
      </c>
      <c r="W116" s="13">
        <f t="shared" si="14"/>
        <v>0</v>
      </c>
    </row>
    <row r="117" ht="12.75" customHeight="1">
      <c r="A117" s="18"/>
      <c r="B117" s="49"/>
      <c r="C117" s="50" t="s">
        <v>101</v>
      </c>
      <c r="D117" s="51"/>
      <c r="E117" s="66">
        <v>0.0</v>
      </c>
      <c r="F117" s="66">
        <v>0.0</v>
      </c>
      <c r="G117" s="66">
        <v>0.0</v>
      </c>
      <c r="H117" s="66">
        <v>0.0</v>
      </c>
      <c r="I117" s="66">
        <v>0.0</v>
      </c>
      <c r="J117" s="66">
        <v>0.0</v>
      </c>
      <c r="K117" s="66">
        <v>0.0</v>
      </c>
      <c r="L117" s="66">
        <v>0.0</v>
      </c>
      <c r="M117" s="66">
        <v>0.0</v>
      </c>
      <c r="N117" s="66">
        <v>0.0</v>
      </c>
      <c r="O117" s="66">
        <v>0.0</v>
      </c>
      <c r="P117" s="66">
        <v>0.0</v>
      </c>
      <c r="Q117" s="66">
        <v>0.0</v>
      </c>
      <c r="R117" s="66">
        <v>0.0</v>
      </c>
      <c r="S117" s="66">
        <v>0.0</v>
      </c>
      <c r="T117" s="66">
        <v>0.0</v>
      </c>
      <c r="U117" s="66">
        <v>0.0</v>
      </c>
      <c r="V117" s="66">
        <v>0.0</v>
      </c>
      <c r="W117" s="13">
        <f t="shared" si="14"/>
        <v>0</v>
      </c>
      <c r="X117" s="5"/>
      <c r="Y117" s="5"/>
    </row>
    <row r="118" ht="12.75" customHeight="1">
      <c r="A118" s="18"/>
      <c r="B118" s="49"/>
      <c r="C118" s="50" t="s">
        <v>102</v>
      </c>
      <c r="D118" s="51"/>
      <c r="E118" s="66">
        <v>0.0</v>
      </c>
      <c r="F118" s="66">
        <v>0.0</v>
      </c>
      <c r="G118" s="66">
        <v>0.0</v>
      </c>
      <c r="H118" s="66">
        <v>0.0</v>
      </c>
      <c r="I118" s="66">
        <v>0.0</v>
      </c>
      <c r="J118" s="66">
        <v>0.0</v>
      </c>
      <c r="K118" s="66">
        <v>0.0</v>
      </c>
      <c r="L118" s="66">
        <v>0.0</v>
      </c>
      <c r="M118" s="66">
        <v>0.0</v>
      </c>
      <c r="N118" s="66">
        <v>0.0</v>
      </c>
      <c r="O118" s="66">
        <v>0.0</v>
      </c>
      <c r="P118" s="66">
        <v>0.0</v>
      </c>
      <c r="Q118" s="66">
        <v>0.0</v>
      </c>
      <c r="R118" s="66">
        <v>0.0</v>
      </c>
      <c r="S118" s="66">
        <v>0.0</v>
      </c>
      <c r="T118" s="66">
        <v>0.0</v>
      </c>
      <c r="U118" s="66">
        <v>0.0</v>
      </c>
      <c r="V118" s="66">
        <v>0.0</v>
      </c>
      <c r="W118" s="13">
        <f t="shared" si="14"/>
        <v>0</v>
      </c>
      <c r="X118" s="5"/>
      <c r="Y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V119" si="22">SUM(E112:E118)</f>
        <v>0</v>
      </c>
      <c r="F119" s="13">
        <f t="shared" si="22"/>
        <v>0</v>
      </c>
      <c r="G119" s="13">
        <f t="shared" si="22"/>
        <v>0</v>
      </c>
      <c r="H119" s="13">
        <f t="shared" si="22"/>
        <v>0</v>
      </c>
      <c r="I119" s="13">
        <f t="shared" si="22"/>
        <v>0</v>
      </c>
      <c r="J119" s="13">
        <f t="shared" si="22"/>
        <v>0</v>
      </c>
      <c r="K119" s="13">
        <f t="shared" si="22"/>
        <v>0</v>
      </c>
      <c r="L119" s="13">
        <f t="shared" si="22"/>
        <v>0</v>
      </c>
      <c r="M119" s="13">
        <f t="shared" si="22"/>
        <v>0</v>
      </c>
      <c r="N119" s="13">
        <f t="shared" si="22"/>
        <v>0</v>
      </c>
      <c r="O119" s="13">
        <f t="shared" si="22"/>
        <v>0</v>
      </c>
      <c r="P119" s="13">
        <f t="shared" si="22"/>
        <v>0</v>
      </c>
      <c r="Q119" s="13">
        <f t="shared" si="22"/>
        <v>1</v>
      </c>
      <c r="R119" s="13">
        <f t="shared" si="22"/>
        <v>0</v>
      </c>
      <c r="S119" s="13">
        <f t="shared" si="22"/>
        <v>0</v>
      </c>
      <c r="T119" s="13">
        <f t="shared" si="22"/>
        <v>0</v>
      </c>
      <c r="U119" s="13">
        <f t="shared" si="22"/>
        <v>0</v>
      </c>
      <c r="V119" s="13">
        <f t="shared" si="22"/>
        <v>0</v>
      </c>
      <c r="W119" s="13">
        <f t="shared" si="14"/>
        <v>1</v>
      </c>
      <c r="X119" s="5"/>
      <c r="Y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13">
        <f t="shared" si="14"/>
        <v>0</v>
      </c>
      <c r="X120" s="5"/>
      <c r="Y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66">
        <v>0.0</v>
      </c>
      <c r="F121" s="66">
        <v>0.0</v>
      </c>
      <c r="G121" s="66">
        <v>0.0</v>
      </c>
      <c r="H121" s="66">
        <v>0.0</v>
      </c>
      <c r="I121" s="66">
        <v>0.0</v>
      </c>
      <c r="J121" s="66">
        <v>0.0</v>
      </c>
      <c r="K121" s="66">
        <v>0.0</v>
      </c>
      <c r="L121" s="66">
        <v>0.0</v>
      </c>
      <c r="M121" s="66">
        <v>0.0</v>
      </c>
      <c r="N121" s="66">
        <v>0.0</v>
      </c>
      <c r="O121" s="66">
        <v>0.0</v>
      </c>
      <c r="P121" s="66">
        <v>0.0</v>
      </c>
      <c r="Q121" s="66">
        <v>0.0</v>
      </c>
      <c r="R121" s="66">
        <v>0.0</v>
      </c>
      <c r="S121" s="66">
        <v>0.0</v>
      </c>
      <c r="T121" s="66">
        <v>2.0</v>
      </c>
      <c r="U121" s="66">
        <v>0.0</v>
      </c>
      <c r="V121" s="66">
        <v>0.0</v>
      </c>
      <c r="W121" s="13">
        <f t="shared" si="14"/>
        <v>2</v>
      </c>
      <c r="X121" s="5"/>
      <c r="Y121" s="5"/>
    </row>
    <row r="122" ht="12.75" customHeight="1">
      <c r="A122" s="30" t="s">
        <v>39</v>
      </c>
      <c r="B122" s="49"/>
      <c r="C122" s="50" t="s">
        <v>105</v>
      </c>
      <c r="D122" s="51"/>
      <c r="E122" s="66">
        <v>1.0</v>
      </c>
      <c r="F122" s="66">
        <v>0.0</v>
      </c>
      <c r="G122" s="66">
        <v>0.0</v>
      </c>
      <c r="H122" s="66">
        <v>0.0</v>
      </c>
      <c r="I122" s="66">
        <v>0.0</v>
      </c>
      <c r="J122" s="66">
        <v>1.0</v>
      </c>
      <c r="K122" s="66">
        <v>0.0</v>
      </c>
      <c r="L122" s="66">
        <v>0.0</v>
      </c>
      <c r="M122" s="66">
        <v>0.0</v>
      </c>
      <c r="N122" s="66">
        <v>0.0</v>
      </c>
      <c r="O122" s="66">
        <v>0.0</v>
      </c>
      <c r="P122" s="66">
        <v>1.0</v>
      </c>
      <c r="Q122" s="66">
        <v>0.0</v>
      </c>
      <c r="R122" s="66">
        <v>0.0</v>
      </c>
      <c r="S122" s="66">
        <v>0.0</v>
      </c>
      <c r="T122" s="66">
        <v>0.0</v>
      </c>
      <c r="U122" s="66">
        <v>0.0</v>
      </c>
      <c r="V122" s="66">
        <v>0.0</v>
      </c>
      <c r="W122" s="13">
        <f t="shared" si="14"/>
        <v>3</v>
      </c>
      <c r="X122" s="5"/>
      <c r="Y122" s="5"/>
    </row>
    <row r="123" ht="12.75" customHeight="1">
      <c r="A123" s="18"/>
      <c r="B123" s="49"/>
      <c r="C123" s="50" t="s">
        <v>106</v>
      </c>
      <c r="D123" s="51"/>
      <c r="E123" s="66">
        <v>1.0</v>
      </c>
      <c r="F123" s="66">
        <v>0.0</v>
      </c>
      <c r="G123" s="66">
        <v>0.0</v>
      </c>
      <c r="H123" s="66">
        <v>0.0</v>
      </c>
      <c r="I123" s="66">
        <v>0.0</v>
      </c>
      <c r="J123" s="66">
        <v>0.0</v>
      </c>
      <c r="K123" s="66">
        <v>0.0</v>
      </c>
      <c r="L123" s="66">
        <v>0.0</v>
      </c>
      <c r="M123" s="66">
        <v>0.0</v>
      </c>
      <c r="N123" s="66">
        <v>0.0</v>
      </c>
      <c r="O123" s="66">
        <v>0.0</v>
      </c>
      <c r="P123" s="66">
        <v>0.0</v>
      </c>
      <c r="Q123" s="66">
        <v>0.0</v>
      </c>
      <c r="R123" s="66">
        <v>0.0</v>
      </c>
      <c r="S123" s="66">
        <v>0.0</v>
      </c>
      <c r="T123" s="66">
        <v>0.0</v>
      </c>
      <c r="U123" s="66">
        <v>0.0</v>
      </c>
      <c r="V123" s="66">
        <v>0.0</v>
      </c>
      <c r="W123" s="13">
        <f t="shared" si="14"/>
        <v>1</v>
      </c>
      <c r="X123" s="5"/>
      <c r="Y123" s="5"/>
    </row>
    <row r="124" ht="12.75" customHeight="1">
      <c r="A124" s="18"/>
      <c r="B124" s="49"/>
      <c r="C124" s="50" t="s">
        <v>107</v>
      </c>
      <c r="D124" s="51"/>
      <c r="E124" s="66">
        <v>0.0</v>
      </c>
      <c r="F124" s="66">
        <v>0.0</v>
      </c>
      <c r="G124" s="66">
        <v>0.0</v>
      </c>
      <c r="H124" s="66">
        <v>0.0</v>
      </c>
      <c r="I124" s="66">
        <v>0.0</v>
      </c>
      <c r="J124" s="66">
        <v>0.0</v>
      </c>
      <c r="K124" s="66">
        <v>0.0</v>
      </c>
      <c r="L124" s="66">
        <v>0.0</v>
      </c>
      <c r="M124" s="66">
        <v>0.0</v>
      </c>
      <c r="N124" s="66">
        <v>0.0</v>
      </c>
      <c r="O124" s="66">
        <v>0.0</v>
      </c>
      <c r="P124" s="66">
        <v>0.0</v>
      </c>
      <c r="Q124" s="66">
        <v>0.0</v>
      </c>
      <c r="R124" s="66">
        <v>0.0</v>
      </c>
      <c r="S124" s="66">
        <v>0.0</v>
      </c>
      <c r="T124" s="66">
        <v>0.0</v>
      </c>
      <c r="U124" s="66">
        <v>0.0</v>
      </c>
      <c r="V124" s="66">
        <v>0.0</v>
      </c>
      <c r="W124" s="13">
        <f t="shared" si="14"/>
        <v>0</v>
      </c>
      <c r="X124" s="5"/>
      <c r="Y124" s="5"/>
    </row>
    <row r="125" ht="12.75" customHeight="1">
      <c r="A125" s="18"/>
      <c r="B125" s="49"/>
      <c r="C125" s="50" t="s">
        <v>108</v>
      </c>
      <c r="D125" s="51"/>
      <c r="E125" s="66">
        <v>0.0</v>
      </c>
      <c r="F125" s="66">
        <v>0.0</v>
      </c>
      <c r="G125" s="66">
        <v>0.0</v>
      </c>
      <c r="H125" s="66">
        <v>0.0</v>
      </c>
      <c r="I125" s="66">
        <v>0.0</v>
      </c>
      <c r="J125" s="66">
        <v>0.0</v>
      </c>
      <c r="K125" s="66">
        <v>1.0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0.0</v>
      </c>
      <c r="S125" s="66">
        <v>0.0</v>
      </c>
      <c r="T125" s="66">
        <v>1.0</v>
      </c>
      <c r="U125" s="66">
        <v>0.0</v>
      </c>
      <c r="V125" s="66">
        <v>0.0</v>
      </c>
      <c r="W125" s="13">
        <f t="shared" si="14"/>
        <v>2</v>
      </c>
      <c r="X125" s="5"/>
      <c r="Y125" s="5"/>
    </row>
    <row r="126" ht="12.75" customHeight="1">
      <c r="A126" s="18"/>
      <c r="B126" s="49"/>
      <c r="C126" s="50" t="s">
        <v>109</v>
      </c>
      <c r="D126" s="51"/>
      <c r="E126" s="66">
        <v>0.0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0.0</v>
      </c>
      <c r="O126" s="66">
        <v>0.0</v>
      </c>
      <c r="P126" s="66">
        <v>0.0</v>
      </c>
      <c r="Q126" s="66">
        <v>0.0</v>
      </c>
      <c r="R126" s="66">
        <v>0.0</v>
      </c>
      <c r="S126" s="66">
        <v>0.0</v>
      </c>
      <c r="T126" s="66">
        <v>0.0</v>
      </c>
      <c r="U126" s="66">
        <v>0.0</v>
      </c>
      <c r="V126" s="66">
        <v>0.0</v>
      </c>
      <c r="W126" s="13">
        <f t="shared" si="14"/>
        <v>0</v>
      </c>
      <c r="X126" s="5"/>
      <c r="Y126" s="5"/>
    </row>
    <row r="127" ht="12.75" customHeight="1">
      <c r="A127" s="18"/>
      <c r="B127" s="49"/>
      <c r="C127" s="50" t="s">
        <v>110</v>
      </c>
      <c r="D127" s="51"/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66">
        <v>0.0</v>
      </c>
      <c r="Q127" s="66">
        <v>0.0</v>
      </c>
      <c r="R127" s="66">
        <v>0.0</v>
      </c>
      <c r="S127" s="66">
        <v>0.0</v>
      </c>
      <c r="T127" s="66">
        <v>0.0</v>
      </c>
      <c r="U127" s="66">
        <v>0.0</v>
      </c>
      <c r="V127" s="66">
        <v>0.0</v>
      </c>
      <c r="W127" s="13">
        <f t="shared" si="14"/>
        <v>0</v>
      </c>
      <c r="X127" s="5"/>
      <c r="Y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V128" si="23">SUM(E121:E127)</f>
        <v>2</v>
      </c>
      <c r="F128" s="13">
        <f t="shared" si="23"/>
        <v>0</v>
      </c>
      <c r="G128" s="13">
        <f t="shared" si="23"/>
        <v>0</v>
      </c>
      <c r="H128" s="13">
        <f t="shared" si="23"/>
        <v>0</v>
      </c>
      <c r="I128" s="13">
        <f t="shared" si="23"/>
        <v>0</v>
      </c>
      <c r="J128" s="13">
        <f t="shared" si="23"/>
        <v>1</v>
      </c>
      <c r="K128" s="13">
        <f t="shared" si="23"/>
        <v>1</v>
      </c>
      <c r="L128" s="13">
        <f t="shared" si="23"/>
        <v>0</v>
      </c>
      <c r="M128" s="13">
        <f t="shared" si="23"/>
        <v>0</v>
      </c>
      <c r="N128" s="13">
        <f t="shared" si="23"/>
        <v>0</v>
      </c>
      <c r="O128" s="13">
        <f t="shared" si="23"/>
        <v>0</v>
      </c>
      <c r="P128" s="13">
        <f t="shared" si="23"/>
        <v>1</v>
      </c>
      <c r="Q128" s="13">
        <f t="shared" si="23"/>
        <v>0</v>
      </c>
      <c r="R128" s="13">
        <f t="shared" si="23"/>
        <v>0</v>
      </c>
      <c r="S128" s="13">
        <f t="shared" si="23"/>
        <v>0</v>
      </c>
      <c r="T128" s="13">
        <f t="shared" si="23"/>
        <v>3</v>
      </c>
      <c r="U128" s="13">
        <f t="shared" si="23"/>
        <v>0</v>
      </c>
      <c r="V128" s="13">
        <f t="shared" si="23"/>
        <v>0</v>
      </c>
      <c r="W128" s="13">
        <f t="shared" si="14"/>
        <v>8</v>
      </c>
      <c r="X128" s="5"/>
      <c r="Y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13">
        <f t="shared" si="14"/>
        <v>0</v>
      </c>
      <c r="X129" s="5"/>
      <c r="Y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66">
        <v>0.0</v>
      </c>
      <c r="F130" s="66">
        <v>0.0</v>
      </c>
      <c r="G130" s="66">
        <v>0.0</v>
      </c>
      <c r="H130" s="66">
        <v>0.0</v>
      </c>
      <c r="I130" s="66">
        <v>0.0</v>
      </c>
      <c r="J130" s="66">
        <v>0.0</v>
      </c>
      <c r="K130" s="66">
        <v>0.0</v>
      </c>
      <c r="L130" s="66">
        <v>0.0</v>
      </c>
      <c r="M130" s="66">
        <v>0.0</v>
      </c>
      <c r="N130" s="66">
        <v>0.0</v>
      </c>
      <c r="O130" s="66">
        <v>0.0</v>
      </c>
      <c r="P130" s="66">
        <v>0.0</v>
      </c>
      <c r="Q130" s="66">
        <v>0.0</v>
      </c>
      <c r="R130" s="66">
        <v>0.0</v>
      </c>
      <c r="S130" s="66">
        <v>1.0</v>
      </c>
      <c r="T130" s="66">
        <v>0.0</v>
      </c>
      <c r="U130" s="66">
        <v>1.0</v>
      </c>
      <c r="V130" s="66">
        <v>0.0</v>
      </c>
      <c r="W130" s="13">
        <f t="shared" si="14"/>
        <v>2</v>
      </c>
      <c r="X130" s="1"/>
      <c r="Y130" s="1"/>
    </row>
    <row r="131" ht="12.75" customHeight="1">
      <c r="A131" s="30" t="s">
        <v>39</v>
      </c>
      <c r="B131" s="49"/>
      <c r="C131" s="50" t="s">
        <v>113</v>
      </c>
      <c r="D131" s="51"/>
      <c r="E131" s="66">
        <v>0.0</v>
      </c>
      <c r="F131" s="66">
        <v>0.0</v>
      </c>
      <c r="G131" s="66">
        <v>0.0</v>
      </c>
      <c r="H131" s="66">
        <v>0.0</v>
      </c>
      <c r="I131" s="66">
        <v>0.0</v>
      </c>
      <c r="J131" s="66">
        <v>0.0</v>
      </c>
      <c r="K131" s="66">
        <v>0.0</v>
      </c>
      <c r="L131" s="66">
        <v>0.0</v>
      </c>
      <c r="M131" s="66">
        <v>0.0</v>
      </c>
      <c r="N131" s="66">
        <v>0.0</v>
      </c>
      <c r="O131" s="66">
        <v>0.0</v>
      </c>
      <c r="P131" s="66">
        <v>0.0</v>
      </c>
      <c r="Q131" s="66">
        <v>0.0</v>
      </c>
      <c r="R131" s="66">
        <v>0.0</v>
      </c>
      <c r="S131" s="66">
        <v>0.0</v>
      </c>
      <c r="T131" s="66">
        <v>0.0</v>
      </c>
      <c r="U131" s="66">
        <v>0.0</v>
      </c>
      <c r="V131" s="66">
        <v>0.0</v>
      </c>
      <c r="W131" s="13">
        <f t="shared" si="14"/>
        <v>0</v>
      </c>
      <c r="X131" s="53"/>
      <c r="Y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V132" si="24">SUM(E130:E131)</f>
        <v>0</v>
      </c>
      <c r="F132" s="13">
        <f t="shared" si="24"/>
        <v>0</v>
      </c>
      <c r="G132" s="13">
        <f t="shared" si="24"/>
        <v>0</v>
      </c>
      <c r="H132" s="13">
        <f t="shared" si="24"/>
        <v>0</v>
      </c>
      <c r="I132" s="13">
        <f t="shared" si="24"/>
        <v>0</v>
      </c>
      <c r="J132" s="13">
        <f t="shared" si="24"/>
        <v>0</v>
      </c>
      <c r="K132" s="13">
        <f t="shared" si="24"/>
        <v>0</v>
      </c>
      <c r="L132" s="13">
        <f t="shared" si="24"/>
        <v>0</v>
      </c>
      <c r="M132" s="13">
        <f t="shared" si="24"/>
        <v>0</v>
      </c>
      <c r="N132" s="13">
        <f t="shared" si="24"/>
        <v>0</v>
      </c>
      <c r="O132" s="13">
        <f t="shared" si="24"/>
        <v>0</v>
      </c>
      <c r="P132" s="13">
        <f t="shared" si="24"/>
        <v>0</v>
      </c>
      <c r="Q132" s="13">
        <f t="shared" si="24"/>
        <v>0</v>
      </c>
      <c r="R132" s="13">
        <f t="shared" si="24"/>
        <v>0</v>
      </c>
      <c r="S132" s="13">
        <f t="shared" si="24"/>
        <v>1</v>
      </c>
      <c r="T132" s="13">
        <f t="shared" si="24"/>
        <v>0</v>
      </c>
      <c r="U132" s="13">
        <f t="shared" si="24"/>
        <v>1</v>
      </c>
      <c r="V132" s="13">
        <f t="shared" si="24"/>
        <v>0</v>
      </c>
      <c r="W132" s="13">
        <f t="shared" si="14"/>
        <v>2</v>
      </c>
      <c r="X132" s="5"/>
      <c r="Y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13">
        <f t="shared" si="14"/>
        <v>0</v>
      </c>
      <c r="X133" s="5"/>
      <c r="Y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66">
        <v>1.0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0.0</v>
      </c>
      <c r="O134" s="66">
        <v>0.0</v>
      </c>
      <c r="P134" s="66">
        <v>0.0</v>
      </c>
      <c r="Q134" s="66">
        <v>1.0</v>
      </c>
      <c r="R134" s="66">
        <v>1.0</v>
      </c>
      <c r="S134" s="66">
        <v>0.0</v>
      </c>
      <c r="T134" s="66">
        <v>0.0</v>
      </c>
      <c r="U134" s="66">
        <v>0.0</v>
      </c>
      <c r="V134" s="66">
        <v>0.0</v>
      </c>
      <c r="W134" s="13">
        <f t="shared" si="14"/>
        <v>3</v>
      </c>
      <c r="X134" s="5"/>
      <c r="Y134" s="5"/>
    </row>
    <row r="135" ht="12.75" customHeight="1">
      <c r="A135" s="30" t="s">
        <v>39</v>
      </c>
      <c r="B135" s="49"/>
      <c r="C135" s="50" t="s">
        <v>116</v>
      </c>
      <c r="D135" s="51"/>
      <c r="E135" s="66">
        <v>0.0</v>
      </c>
      <c r="F135" s="66">
        <v>0.0</v>
      </c>
      <c r="G135" s="66">
        <v>0.0</v>
      </c>
      <c r="H135" s="66">
        <v>0.0</v>
      </c>
      <c r="I135" s="66">
        <v>0.0</v>
      </c>
      <c r="J135" s="66">
        <v>0.0</v>
      </c>
      <c r="K135" s="66">
        <v>0.0</v>
      </c>
      <c r="L135" s="66">
        <v>0.0</v>
      </c>
      <c r="M135" s="66">
        <v>0.0</v>
      </c>
      <c r="N135" s="66">
        <v>0.0</v>
      </c>
      <c r="O135" s="66">
        <v>0.0</v>
      </c>
      <c r="P135" s="66">
        <v>0.0</v>
      </c>
      <c r="Q135" s="66">
        <v>0.0</v>
      </c>
      <c r="R135" s="66">
        <v>0.0</v>
      </c>
      <c r="S135" s="66">
        <v>0.0</v>
      </c>
      <c r="T135" s="66">
        <v>0.0</v>
      </c>
      <c r="U135" s="66">
        <v>0.0</v>
      </c>
      <c r="V135" s="66">
        <v>0.0</v>
      </c>
      <c r="W135" s="13">
        <f t="shared" si="14"/>
        <v>0</v>
      </c>
      <c r="X135" s="5"/>
      <c r="Y135" s="5"/>
    </row>
    <row r="136" ht="12.75" customHeight="1">
      <c r="A136" s="18"/>
      <c r="B136" s="49"/>
      <c r="C136" s="50" t="s">
        <v>117</v>
      </c>
      <c r="D136" s="51"/>
      <c r="E136" s="66">
        <v>0.0</v>
      </c>
      <c r="F136" s="66">
        <v>0.0</v>
      </c>
      <c r="G136" s="66">
        <v>0.0</v>
      </c>
      <c r="H136" s="66">
        <v>0.0</v>
      </c>
      <c r="I136" s="66">
        <v>0.0</v>
      </c>
      <c r="J136" s="66">
        <v>0.0</v>
      </c>
      <c r="K136" s="66">
        <v>0.0</v>
      </c>
      <c r="L136" s="66">
        <v>0.0</v>
      </c>
      <c r="M136" s="66">
        <v>0.0</v>
      </c>
      <c r="N136" s="66">
        <v>0.0</v>
      </c>
      <c r="O136" s="66">
        <v>0.0</v>
      </c>
      <c r="P136" s="66">
        <v>0.0</v>
      </c>
      <c r="Q136" s="66">
        <v>0.0</v>
      </c>
      <c r="R136" s="66">
        <v>0.0</v>
      </c>
      <c r="S136" s="66">
        <v>0.0</v>
      </c>
      <c r="T136" s="66">
        <v>0.0</v>
      </c>
      <c r="U136" s="66">
        <v>0.0</v>
      </c>
      <c r="V136" s="66">
        <v>0.0</v>
      </c>
      <c r="W136" s="13">
        <f t="shared" si="14"/>
        <v>0</v>
      </c>
      <c r="X136" s="5"/>
      <c r="Y136" s="5"/>
    </row>
    <row r="137" ht="12.75" customHeight="1">
      <c r="A137" s="18"/>
      <c r="B137" s="49"/>
      <c r="C137" s="50" t="s">
        <v>118</v>
      </c>
      <c r="D137" s="51"/>
      <c r="E137" s="66">
        <v>0.0</v>
      </c>
      <c r="F137" s="66">
        <v>0.0</v>
      </c>
      <c r="G137" s="66">
        <v>0.0</v>
      </c>
      <c r="H137" s="66">
        <v>1.0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0.0</v>
      </c>
      <c r="O137" s="66">
        <v>0.0</v>
      </c>
      <c r="P137" s="66">
        <v>0.0</v>
      </c>
      <c r="Q137" s="66">
        <v>0.0</v>
      </c>
      <c r="R137" s="66">
        <v>0.0</v>
      </c>
      <c r="S137" s="66">
        <v>0.0</v>
      </c>
      <c r="T137" s="66">
        <v>0.0</v>
      </c>
      <c r="U137" s="66">
        <v>0.0</v>
      </c>
      <c r="V137" s="66">
        <v>0.0</v>
      </c>
      <c r="W137" s="13">
        <f t="shared" si="14"/>
        <v>1</v>
      </c>
      <c r="X137" s="5"/>
      <c r="Y137" s="5"/>
    </row>
    <row r="138" ht="12.75" customHeight="1">
      <c r="A138" s="18"/>
      <c r="B138" s="49"/>
      <c r="C138" s="50" t="s">
        <v>119</v>
      </c>
      <c r="D138" s="51"/>
      <c r="E138" s="66">
        <v>0.0</v>
      </c>
      <c r="F138" s="66">
        <v>0.0</v>
      </c>
      <c r="G138" s="66">
        <v>1.0</v>
      </c>
      <c r="H138" s="66">
        <v>0.0</v>
      </c>
      <c r="I138" s="66">
        <v>0.0</v>
      </c>
      <c r="J138" s="66">
        <v>0.0</v>
      </c>
      <c r="K138" s="66">
        <v>0.0</v>
      </c>
      <c r="L138" s="66">
        <v>0.0</v>
      </c>
      <c r="M138" s="66">
        <v>0.0</v>
      </c>
      <c r="N138" s="66">
        <v>0.0</v>
      </c>
      <c r="O138" s="66">
        <v>0.0</v>
      </c>
      <c r="P138" s="66">
        <v>0.0</v>
      </c>
      <c r="Q138" s="66">
        <v>0.0</v>
      </c>
      <c r="R138" s="66">
        <v>0.0</v>
      </c>
      <c r="S138" s="66">
        <v>0.0</v>
      </c>
      <c r="T138" s="66">
        <v>0.0</v>
      </c>
      <c r="U138" s="66">
        <v>0.0</v>
      </c>
      <c r="V138" s="66">
        <v>0.0</v>
      </c>
      <c r="W138" s="13">
        <f t="shared" si="14"/>
        <v>1</v>
      </c>
      <c r="X138" s="5"/>
      <c r="Y138" s="5"/>
    </row>
    <row r="139" ht="12.75" customHeight="1">
      <c r="A139" s="18"/>
      <c r="B139" s="49"/>
      <c r="C139" s="50" t="s">
        <v>120</v>
      </c>
      <c r="D139" s="51"/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0.0</v>
      </c>
      <c r="N139" s="66">
        <v>0.0</v>
      </c>
      <c r="O139" s="66">
        <v>0.0</v>
      </c>
      <c r="P139" s="66">
        <v>0.0</v>
      </c>
      <c r="Q139" s="66">
        <v>0.0</v>
      </c>
      <c r="R139" s="66">
        <v>0.0</v>
      </c>
      <c r="S139" s="66">
        <v>0.0</v>
      </c>
      <c r="T139" s="66">
        <v>0.0</v>
      </c>
      <c r="U139" s="66">
        <v>0.0</v>
      </c>
      <c r="V139" s="66">
        <v>0.0</v>
      </c>
      <c r="W139" s="13">
        <f t="shared" si="14"/>
        <v>0</v>
      </c>
      <c r="X139" s="5"/>
      <c r="Y139" s="5"/>
    </row>
    <row r="140" ht="12.75" customHeight="1">
      <c r="A140" s="18"/>
      <c r="B140" s="49"/>
      <c r="C140" s="50" t="s">
        <v>121</v>
      </c>
      <c r="D140" s="51"/>
      <c r="E140" s="66">
        <v>0.0</v>
      </c>
      <c r="F140" s="66">
        <v>0.0</v>
      </c>
      <c r="G140" s="66">
        <v>0.0</v>
      </c>
      <c r="H140" s="66">
        <v>0.0</v>
      </c>
      <c r="I140" s="66">
        <v>0.0</v>
      </c>
      <c r="J140" s="66">
        <v>0.0</v>
      </c>
      <c r="K140" s="66">
        <v>0.0</v>
      </c>
      <c r="L140" s="66">
        <v>0.0</v>
      </c>
      <c r="M140" s="66">
        <v>0.0</v>
      </c>
      <c r="N140" s="66">
        <v>0.0</v>
      </c>
      <c r="O140" s="66">
        <v>0.0</v>
      </c>
      <c r="P140" s="66">
        <v>0.0</v>
      </c>
      <c r="Q140" s="66">
        <v>0.0</v>
      </c>
      <c r="R140" s="66">
        <v>0.0</v>
      </c>
      <c r="S140" s="66">
        <v>0.0</v>
      </c>
      <c r="T140" s="66">
        <v>0.0</v>
      </c>
      <c r="U140" s="66">
        <v>0.0</v>
      </c>
      <c r="V140" s="66">
        <v>0.0</v>
      </c>
      <c r="W140" s="13">
        <f t="shared" si="14"/>
        <v>0</v>
      </c>
      <c r="X140" s="5"/>
      <c r="Y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V141" si="25">SUM(E134:E140)</f>
        <v>1</v>
      </c>
      <c r="F141" s="13">
        <f t="shared" si="25"/>
        <v>0</v>
      </c>
      <c r="G141" s="13">
        <f t="shared" si="25"/>
        <v>1</v>
      </c>
      <c r="H141" s="13">
        <f t="shared" si="25"/>
        <v>1</v>
      </c>
      <c r="I141" s="13">
        <f t="shared" si="25"/>
        <v>0</v>
      </c>
      <c r="J141" s="13">
        <f t="shared" si="25"/>
        <v>0</v>
      </c>
      <c r="K141" s="13">
        <f t="shared" si="25"/>
        <v>0</v>
      </c>
      <c r="L141" s="13">
        <f t="shared" si="25"/>
        <v>0</v>
      </c>
      <c r="M141" s="13">
        <f t="shared" si="25"/>
        <v>0</v>
      </c>
      <c r="N141" s="13">
        <f t="shared" si="25"/>
        <v>0</v>
      </c>
      <c r="O141" s="13">
        <f t="shared" si="25"/>
        <v>0</v>
      </c>
      <c r="P141" s="13">
        <f t="shared" si="25"/>
        <v>0</v>
      </c>
      <c r="Q141" s="13">
        <f t="shared" si="25"/>
        <v>1</v>
      </c>
      <c r="R141" s="13">
        <f t="shared" si="25"/>
        <v>1</v>
      </c>
      <c r="S141" s="13">
        <f t="shared" si="25"/>
        <v>0</v>
      </c>
      <c r="T141" s="13">
        <f t="shared" si="25"/>
        <v>0</v>
      </c>
      <c r="U141" s="13">
        <f t="shared" si="25"/>
        <v>0</v>
      </c>
      <c r="V141" s="13">
        <f t="shared" si="25"/>
        <v>0</v>
      </c>
      <c r="W141" s="13">
        <f t="shared" si="14"/>
        <v>5</v>
      </c>
      <c r="X141" s="1"/>
      <c r="Y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13">
        <f t="shared" si="14"/>
        <v>0</v>
      </c>
      <c r="X142" s="53"/>
      <c r="Y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66">
        <v>0.0</v>
      </c>
      <c r="F143" s="66">
        <v>1.0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0.0</v>
      </c>
      <c r="O143" s="66">
        <v>1.0</v>
      </c>
      <c r="P143" s="66">
        <v>0.0</v>
      </c>
      <c r="Q143" s="66">
        <v>0.0</v>
      </c>
      <c r="R143" s="66">
        <v>1.0</v>
      </c>
      <c r="S143" s="66">
        <v>0.0</v>
      </c>
      <c r="T143" s="66">
        <v>0.0</v>
      </c>
      <c r="U143" s="66">
        <v>0.0</v>
      </c>
      <c r="V143" s="66">
        <v>0.0</v>
      </c>
      <c r="W143" s="13">
        <f t="shared" si="14"/>
        <v>3</v>
      </c>
      <c r="X143" s="5"/>
      <c r="Y143" s="5"/>
    </row>
    <row r="144" ht="12.75" customHeight="1">
      <c r="A144" s="30" t="s">
        <v>39</v>
      </c>
      <c r="B144" s="49"/>
      <c r="C144" s="50" t="s">
        <v>124</v>
      </c>
      <c r="D144" s="51"/>
      <c r="E144" s="66">
        <v>0.0</v>
      </c>
      <c r="F144" s="66">
        <v>0.0</v>
      </c>
      <c r="G144" s="66">
        <v>0.0</v>
      </c>
      <c r="H144" s="66">
        <v>0.0</v>
      </c>
      <c r="I144" s="66">
        <v>0.0</v>
      </c>
      <c r="J144" s="66">
        <v>0.0</v>
      </c>
      <c r="K144" s="66">
        <v>0.0</v>
      </c>
      <c r="L144" s="66">
        <v>0.0</v>
      </c>
      <c r="M144" s="66">
        <v>0.0</v>
      </c>
      <c r="N144" s="66">
        <v>0.0</v>
      </c>
      <c r="O144" s="66">
        <v>0.0</v>
      </c>
      <c r="P144" s="66">
        <v>0.0</v>
      </c>
      <c r="Q144" s="66">
        <v>0.0</v>
      </c>
      <c r="R144" s="66">
        <v>0.0</v>
      </c>
      <c r="S144" s="66">
        <v>0.0</v>
      </c>
      <c r="T144" s="66">
        <v>1.0</v>
      </c>
      <c r="U144" s="66">
        <v>0.0</v>
      </c>
      <c r="V144" s="66">
        <v>0.0</v>
      </c>
      <c r="W144" s="13">
        <f t="shared" si="14"/>
        <v>1</v>
      </c>
      <c r="X144" s="5"/>
      <c r="Y144" s="5"/>
    </row>
    <row r="145" ht="12.75" customHeight="1">
      <c r="A145" s="18"/>
      <c r="B145" s="49"/>
      <c r="C145" s="50" t="s">
        <v>125</v>
      </c>
      <c r="D145" s="51"/>
      <c r="E145" s="66">
        <v>0.0</v>
      </c>
      <c r="F145" s="66">
        <v>0.0</v>
      </c>
      <c r="G145" s="66">
        <v>0.0</v>
      </c>
      <c r="H145" s="66">
        <v>0.0</v>
      </c>
      <c r="I145" s="66">
        <v>0.0</v>
      </c>
      <c r="J145" s="66">
        <v>0.0</v>
      </c>
      <c r="K145" s="66">
        <v>0.0</v>
      </c>
      <c r="L145" s="66">
        <v>0.0</v>
      </c>
      <c r="M145" s="66">
        <v>1.0</v>
      </c>
      <c r="N145" s="66">
        <v>0.0</v>
      </c>
      <c r="O145" s="66">
        <v>0.0</v>
      </c>
      <c r="P145" s="66">
        <v>0.0</v>
      </c>
      <c r="Q145" s="66">
        <v>0.0</v>
      </c>
      <c r="R145" s="66">
        <v>0.0</v>
      </c>
      <c r="S145" s="66">
        <v>0.0</v>
      </c>
      <c r="T145" s="66">
        <v>0.0</v>
      </c>
      <c r="U145" s="66">
        <v>0.0</v>
      </c>
      <c r="V145" s="66">
        <v>0.0</v>
      </c>
      <c r="W145" s="13">
        <f t="shared" si="14"/>
        <v>1</v>
      </c>
      <c r="X145" s="5"/>
      <c r="Y145" s="5"/>
    </row>
    <row r="146" ht="12.75" customHeight="1">
      <c r="A146" s="18"/>
      <c r="B146" s="49"/>
      <c r="C146" s="50" t="s">
        <v>126</v>
      </c>
      <c r="D146" s="51"/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66">
        <v>0.0</v>
      </c>
      <c r="Q146" s="66">
        <v>0.0</v>
      </c>
      <c r="R146" s="66">
        <v>0.0</v>
      </c>
      <c r="S146" s="66">
        <v>0.0</v>
      </c>
      <c r="T146" s="66">
        <v>0.0</v>
      </c>
      <c r="U146" s="66">
        <v>0.0</v>
      </c>
      <c r="V146" s="66">
        <v>0.0</v>
      </c>
      <c r="W146" s="13">
        <f t="shared" si="14"/>
        <v>0</v>
      </c>
      <c r="X146" s="5"/>
      <c r="Y146" s="5"/>
    </row>
    <row r="147" ht="12.75" customHeight="1">
      <c r="A147" s="18"/>
      <c r="B147" s="49"/>
      <c r="C147" s="50" t="s">
        <v>127</v>
      </c>
      <c r="D147" s="51"/>
      <c r="E147" s="66">
        <v>0.0</v>
      </c>
      <c r="F147" s="66">
        <v>0.0</v>
      </c>
      <c r="G147" s="66">
        <v>0.0</v>
      </c>
      <c r="H147" s="66">
        <v>0.0</v>
      </c>
      <c r="I147" s="66">
        <v>0.0</v>
      </c>
      <c r="J147" s="66">
        <v>0.0</v>
      </c>
      <c r="K147" s="66">
        <v>0.0</v>
      </c>
      <c r="L147" s="66">
        <v>0.0</v>
      </c>
      <c r="M147" s="66">
        <v>0.0</v>
      </c>
      <c r="N147" s="66">
        <v>0.0</v>
      </c>
      <c r="O147" s="66">
        <v>0.0</v>
      </c>
      <c r="P147" s="66">
        <v>0.0</v>
      </c>
      <c r="Q147" s="66">
        <v>0.0</v>
      </c>
      <c r="R147" s="66">
        <v>0.0</v>
      </c>
      <c r="S147" s="66">
        <v>0.0</v>
      </c>
      <c r="T147" s="66">
        <v>0.0</v>
      </c>
      <c r="U147" s="66">
        <v>0.0</v>
      </c>
      <c r="V147" s="66">
        <v>0.0</v>
      </c>
      <c r="W147" s="13">
        <f t="shared" si="14"/>
        <v>0</v>
      </c>
      <c r="X147" s="5"/>
      <c r="Y147" s="5"/>
    </row>
    <row r="148" ht="12.75" customHeight="1">
      <c r="A148" s="18"/>
      <c r="B148" s="49"/>
      <c r="C148" s="50" t="s">
        <v>128</v>
      </c>
      <c r="D148" s="51"/>
      <c r="E148" s="66">
        <v>0.0</v>
      </c>
      <c r="F148" s="66">
        <v>0.0</v>
      </c>
      <c r="G148" s="66">
        <v>0.0</v>
      </c>
      <c r="H148" s="66">
        <v>0.0</v>
      </c>
      <c r="I148" s="66">
        <v>0.0</v>
      </c>
      <c r="J148" s="66">
        <v>0.0</v>
      </c>
      <c r="K148" s="66">
        <v>0.0</v>
      </c>
      <c r="L148" s="66">
        <v>0.0</v>
      </c>
      <c r="M148" s="66">
        <v>0.0</v>
      </c>
      <c r="N148" s="66">
        <v>0.0</v>
      </c>
      <c r="O148" s="66">
        <v>0.0</v>
      </c>
      <c r="P148" s="66">
        <v>0.0</v>
      </c>
      <c r="Q148" s="66">
        <v>0.0</v>
      </c>
      <c r="R148" s="66">
        <v>0.0</v>
      </c>
      <c r="S148" s="66">
        <v>0.0</v>
      </c>
      <c r="T148" s="66">
        <v>0.0</v>
      </c>
      <c r="U148" s="66">
        <v>0.0</v>
      </c>
      <c r="V148" s="66">
        <v>0.0</v>
      </c>
      <c r="W148" s="13">
        <f t="shared" si="14"/>
        <v>0</v>
      </c>
      <c r="X148" s="5"/>
      <c r="Y148" s="5"/>
    </row>
    <row r="149" ht="12.75" customHeight="1">
      <c r="A149" s="18"/>
      <c r="B149" s="49"/>
      <c r="C149" s="50" t="s">
        <v>129</v>
      </c>
      <c r="D149" s="51"/>
      <c r="E149" s="66">
        <v>0.0</v>
      </c>
      <c r="F149" s="66">
        <v>0.0</v>
      </c>
      <c r="G149" s="66">
        <v>0.0</v>
      </c>
      <c r="H149" s="66">
        <v>0.0</v>
      </c>
      <c r="I149" s="66">
        <v>0.0</v>
      </c>
      <c r="J149" s="66">
        <v>0.0</v>
      </c>
      <c r="K149" s="66">
        <v>0.0</v>
      </c>
      <c r="L149" s="66">
        <v>0.0</v>
      </c>
      <c r="M149" s="66">
        <v>0.0</v>
      </c>
      <c r="N149" s="66">
        <v>0.0</v>
      </c>
      <c r="O149" s="66">
        <v>0.0</v>
      </c>
      <c r="P149" s="66">
        <v>0.0</v>
      </c>
      <c r="Q149" s="66">
        <v>0.0</v>
      </c>
      <c r="R149" s="66">
        <v>0.0</v>
      </c>
      <c r="S149" s="66">
        <v>0.0</v>
      </c>
      <c r="T149" s="66">
        <v>0.0</v>
      </c>
      <c r="U149" s="66">
        <v>0.0</v>
      </c>
      <c r="V149" s="66">
        <v>0.0</v>
      </c>
      <c r="W149" s="13">
        <f t="shared" si="14"/>
        <v>0</v>
      </c>
      <c r="X149" s="5"/>
      <c r="Y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V150" si="26">SUM(E143:E149)</f>
        <v>0</v>
      </c>
      <c r="F150" s="13">
        <f t="shared" si="26"/>
        <v>1</v>
      </c>
      <c r="G150" s="13">
        <f t="shared" si="26"/>
        <v>0</v>
      </c>
      <c r="H150" s="13">
        <f t="shared" si="26"/>
        <v>0</v>
      </c>
      <c r="I150" s="13">
        <f t="shared" si="26"/>
        <v>0</v>
      </c>
      <c r="J150" s="13">
        <f t="shared" si="26"/>
        <v>0</v>
      </c>
      <c r="K150" s="13">
        <f t="shared" si="26"/>
        <v>0</v>
      </c>
      <c r="L150" s="13">
        <f t="shared" si="26"/>
        <v>0</v>
      </c>
      <c r="M150" s="13">
        <f t="shared" si="26"/>
        <v>1</v>
      </c>
      <c r="N150" s="13">
        <f t="shared" si="26"/>
        <v>0</v>
      </c>
      <c r="O150" s="13">
        <f t="shared" si="26"/>
        <v>1</v>
      </c>
      <c r="P150" s="13">
        <f t="shared" si="26"/>
        <v>0</v>
      </c>
      <c r="Q150" s="13">
        <f t="shared" si="26"/>
        <v>0</v>
      </c>
      <c r="R150" s="13">
        <f t="shared" si="26"/>
        <v>1</v>
      </c>
      <c r="S150" s="13">
        <f t="shared" si="26"/>
        <v>0</v>
      </c>
      <c r="T150" s="13">
        <f t="shared" si="26"/>
        <v>1</v>
      </c>
      <c r="U150" s="13">
        <f t="shared" si="26"/>
        <v>0</v>
      </c>
      <c r="V150" s="13">
        <f t="shared" si="26"/>
        <v>0</v>
      </c>
      <c r="W150" s="13">
        <f t="shared" si="14"/>
        <v>5</v>
      </c>
      <c r="X150" s="5"/>
      <c r="Y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13">
        <f t="shared" si="14"/>
        <v>0</v>
      </c>
      <c r="X151" s="1"/>
      <c r="Y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9.0</v>
      </c>
      <c r="F152" s="66">
        <v>5.0</v>
      </c>
      <c r="G152" s="66">
        <v>6.0</v>
      </c>
      <c r="H152" s="66">
        <v>3.0</v>
      </c>
      <c r="I152" s="66">
        <v>5.0</v>
      </c>
      <c r="J152" s="66">
        <v>11.0</v>
      </c>
      <c r="K152" s="66">
        <v>1.0</v>
      </c>
      <c r="L152" s="66">
        <v>8.0</v>
      </c>
      <c r="M152" s="66">
        <v>1.0</v>
      </c>
      <c r="N152" s="66">
        <v>3.0</v>
      </c>
      <c r="O152" s="66">
        <v>9.0</v>
      </c>
      <c r="P152" s="66">
        <v>5.0</v>
      </c>
      <c r="Q152" s="66">
        <v>4.0</v>
      </c>
      <c r="R152" s="66">
        <v>10.0</v>
      </c>
      <c r="S152" s="66">
        <v>4.0</v>
      </c>
      <c r="T152" s="66">
        <v>15.0</v>
      </c>
      <c r="U152" s="66">
        <v>7.0</v>
      </c>
      <c r="V152" s="66">
        <v>3.0</v>
      </c>
      <c r="W152" s="13">
        <f t="shared" si="14"/>
        <v>109</v>
      </c>
      <c r="X152" s="53"/>
      <c r="Y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1.0</v>
      </c>
      <c r="F153" s="66">
        <v>0.0</v>
      </c>
      <c r="G153" s="66">
        <v>0.0</v>
      </c>
      <c r="H153" s="66">
        <v>1.0</v>
      </c>
      <c r="I153" s="66">
        <v>0.0</v>
      </c>
      <c r="J153" s="66">
        <v>1.0</v>
      </c>
      <c r="K153" s="66">
        <v>4.0</v>
      </c>
      <c r="L153" s="66">
        <v>2.0</v>
      </c>
      <c r="M153" s="66">
        <v>2.0</v>
      </c>
      <c r="N153" s="66">
        <v>0.0</v>
      </c>
      <c r="O153" s="66">
        <v>3.0</v>
      </c>
      <c r="P153" s="66">
        <v>6.0</v>
      </c>
      <c r="Q153" s="66">
        <v>0.0</v>
      </c>
      <c r="R153" s="66">
        <v>11.0</v>
      </c>
      <c r="S153" s="66">
        <v>0.0</v>
      </c>
      <c r="T153" s="66">
        <v>4.0</v>
      </c>
      <c r="U153" s="66">
        <v>7.0</v>
      </c>
      <c r="V153" s="66">
        <v>9.0</v>
      </c>
      <c r="W153" s="13">
        <f t="shared" si="14"/>
        <v>51</v>
      </c>
      <c r="X153" s="5"/>
      <c r="Y153" s="5"/>
    </row>
    <row r="154" ht="12.75" customHeight="1">
      <c r="A154" s="18"/>
      <c r="B154" s="49"/>
      <c r="C154" s="50" t="s">
        <v>133</v>
      </c>
      <c r="D154" s="51"/>
      <c r="E154" s="66">
        <v>2.0</v>
      </c>
      <c r="F154" s="66">
        <v>3.0</v>
      </c>
      <c r="G154" s="66">
        <v>1.0</v>
      </c>
      <c r="H154" s="66">
        <v>1.0</v>
      </c>
      <c r="I154" s="66">
        <v>2.0</v>
      </c>
      <c r="J154" s="66">
        <v>3.0</v>
      </c>
      <c r="K154" s="66">
        <v>1.0</v>
      </c>
      <c r="L154" s="66">
        <v>1.0</v>
      </c>
      <c r="M154" s="66">
        <v>2.0</v>
      </c>
      <c r="N154" s="66">
        <v>3.0</v>
      </c>
      <c r="O154" s="66">
        <v>2.0</v>
      </c>
      <c r="P154" s="66">
        <v>2.0</v>
      </c>
      <c r="Q154" s="66">
        <v>1.0</v>
      </c>
      <c r="R154" s="66">
        <v>1.0</v>
      </c>
      <c r="S154" s="66">
        <v>1.0</v>
      </c>
      <c r="T154" s="66">
        <v>4.0</v>
      </c>
      <c r="U154" s="66">
        <v>0.0</v>
      </c>
      <c r="V154" s="66">
        <v>3.0</v>
      </c>
      <c r="W154" s="13">
        <f t="shared" si="14"/>
        <v>33</v>
      </c>
      <c r="X154" s="5"/>
      <c r="Y154" s="5"/>
    </row>
    <row r="155" ht="12.75" customHeight="1">
      <c r="A155" s="18"/>
      <c r="B155" s="49"/>
      <c r="C155" s="50" t="s">
        <v>134</v>
      </c>
      <c r="D155" s="51"/>
      <c r="E155" s="66">
        <v>76.0</v>
      </c>
      <c r="F155" s="66">
        <v>88.0</v>
      </c>
      <c r="G155" s="66">
        <v>71.0</v>
      </c>
      <c r="H155" s="66">
        <v>76.0</v>
      </c>
      <c r="I155" s="66">
        <v>38.0</v>
      </c>
      <c r="J155" s="66">
        <v>113.0</v>
      </c>
      <c r="K155" s="66">
        <v>98.0</v>
      </c>
      <c r="L155" s="66">
        <v>114.0</v>
      </c>
      <c r="M155" s="66">
        <v>144.0</v>
      </c>
      <c r="N155" s="66">
        <v>54.0</v>
      </c>
      <c r="O155" s="66">
        <v>57.0</v>
      </c>
      <c r="P155" s="66">
        <v>40.0</v>
      </c>
      <c r="Q155" s="66">
        <v>27.0</v>
      </c>
      <c r="R155" s="66">
        <v>46.0</v>
      </c>
      <c r="S155" s="66">
        <v>46.0</v>
      </c>
      <c r="T155" s="66">
        <v>95.0</v>
      </c>
      <c r="U155" s="66">
        <v>118.0</v>
      </c>
      <c r="V155" s="66">
        <v>30.0</v>
      </c>
      <c r="W155" s="13">
        <f t="shared" si="14"/>
        <v>1331</v>
      </c>
      <c r="X155" s="5"/>
      <c r="Y155" s="5"/>
    </row>
    <row r="156" ht="12.75" customHeight="1">
      <c r="A156" s="18"/>
      <c r="B156" s="49"/>
      <c r="C156" s="50" t="s">
        <v>135</v>
      </c>
      <c r="D156" s="51"/>
      <c r="E156" s="66">
        <v>0.0</v>
      </c>
      <c r="F156" s="66">
        <v>0.0</v>
      </c>
      <c r="G156" s="66">
        <v>0.0</v>
      </c>
      <c r="H156" s="66">
        <v>0.0</v>
      </c>
      <c r="I156" s="66">
        <v>0.0</v>
      </c>
      <c r="J156" s="66">
        <v>0.0</v>
      </c>
      <c r="K156" s="66">
        <v>0.0</v>
      </c>
      <c r="L156" s="66">
        <v>1.0</v>
      </c>
      <c r="M156" s="66">
        <v>0.0</v>
      </c>
      <c r="N156" s="66">
        <v>0.0</v>
      </c>
      <c r="O156" s="66">
        <v>0.0</v>
      </c>
      <c r="P156" s="66">
        <v>0.0</v>
      </c>
      <c r="Q156" s="66">
        <v>0.0</v>
      </c>
      <c r="R156" s="66">
        <v>1.0</v>
      </c>
      <c r="S156" s="66">
        <v>0.0</v>
      </c>
      <c r="T156" s="66">
        <v>0.0</v>
      </c>
      <c r="U156" s="66">
        <v>0.0</v>
      </c>
      <c r="V156" s="66">
        <v>0.0</v>
      </c>
      <c r="W156" s="13">
        <f t="shared" si="14"/>
        <v>2</v>
      </c>
      <c r="X156" s="5"/>
      <c r="Y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66">
        <v>0.0</v>
      </c>
      <c r="Q157" s="66">
        <v>0.0</v>
      </c>
      <c r="R157" s="66">
        <v>0.0</v>
      </c>
      <c r="S157" s="66">
        <v>0.0</v>
      </c>
      <c r="T157" s="66">
        <v>0.0</v>
      </c>
      <c r="U157" s="66">
        <v>0.0</v>
      </c>
      <c r="V157" s="66">
        <v>0.0</v>
      </c>
      <c r="W157" s="13">
        <f t="shared" si="14"/>
        <v>0</v>
      </c>
      <c r="X157" s="5"/>
      <c r="Y157" s="5"/>
    </row>
    <row r="158" ht="12.75" customHeight="1">
      <c r="A158" s="18"/>
      <c r="B158" s="49"/>
      <c r="C158" s="50" t="s">
        <v>137</v>
      </c>
      <c r="D158" s="51"/>
      <c r="E158" s="66">
        <v>0.0</v>
      </c>
      <c r="F158" s="66">
        <v>0.0</v>
      </c>
      <c r="G158" s="66">
        <v>0.0</v>
      </c>
      <c r="H158" s="66">
        <v>0.0</v>
      </c>
      <c r="I158" s="66">
        <v>0.0</v>
      </c>
      <c r="J158" s="66">
        <v>0.0</v>
      </c>
      <c r="K158" s="66">
        <v>0.0</v>
      </c>
      <c r="L158" s="66">
        <v>1.0</v>
      </c>
      <c r="M158" s="66">
        <v>0.0</v>
      </c>
      <c r="N158" s="66">
        <v>0.0</v>
      </c>
      <c r="O158" s="66">
        <v>4.0</v>
      </c>
      <c r="P158" s="66">
        <v>1.0</v>
      </c>
      <c r="Q158" s="66">
        <v>0.0</v>
      </c>
      <c r="R158" s="66">
        <v>0.0</v>
      </c>
      <c r="S158" s="66">
        <v>0.0</v>
      </c>
      <c r="T158" s="66">
        <v>0.0</v>
      </c>
      <c r="U158" s="66">
        <v>3.0</v>
      </c>
      <c r="V158" s="66">
        <v>0.0</v>
      </c>
      <c r="W158" s="13">
        <f t="shared" si="14"/>
        <v>9</v>
      </c>
      <c r="X158" s="5"/>
      <c r="Y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V159" si="27">SUM(E152:E158)</f>
        <v>88</v>
      </c>
      <c r="F159" s="13">
        <f t="shared" si="27"/>
        <v>96</v>
      </c>
      <c r="G159" s="13">
        <f t="shared" si="27"/>
        <v>78</v>
      </c>
      <c r="H159" s="13">
        <f t="shared" si="27"/>
        <v>81</v>
      </c>
      <c r="I159" s="13">
        <f t="shared" si="27"/>
        <v>45</v>
      </c>
      <c r="J159" s="13">
        <f t="shared" si="27"/>
        <v>128</v>
      </c>
      <c r="K159" s="13">
        <f t="shared" si="27"/>
        <v>104</v>
      </c>
      <c r="L159" s="13">
        <f t="shared" si="27"/>
        <v>127</v>
      </c>
      <c r="M159" s="13">
        <f t="shared" si="27"/>
        <v>149</v>
      </c>
      <c r="N159" s="13">
        <f t="shared" si="27"/>
        <v>60</v>
      </c>
      <c r="O159" s="13">
        <f t="shared" si="27"/>
        <v>75</v>
      </c>
      <c r="P159" s="13">
        <f t="shared" si="27"/>
        <v>54</v>
      </c>
      <c r="Q159" s="13">
        <f t="shared" si="27"/>
        <v>32</v>
      </c>
      <c r="R159" s="13">
        <f t="shared" si="27"/>
        <v>69</v>
      </c>
      <c r="S159" s="13">
        <f t="shared" si="27"/>
        <v>51</v>
      </c>
      <c r="T159" s="13">
        <f t="shared" si="27"/>
        <v>118</v>
      </c>
      <c r="U159" s="13">
        <f t="shared" si="27"/>
        <v>135</v>
      </c>
      <c r="V159" s="13">
        <f t="shared" si="27"/>
        <v>45</v>
      </c>
      <c r="W159" s="13">
        <f t="shared" si="14"/>
        <v>1535</v>
      </c>
      <c r="X159" s="5"/>
      <c r="Y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13">
        <f t="shared" si="14"/>
        <v>0</v>
      </c>
      <c r="X160" s="5"/>
      <c r="Y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0.0</v>
      </c>
      <c r="F161" s="73">
        <v>0.0</v>
      </c>
      <c r="G161" s="73">
        <v>0.0</v>
      </c>
      <c r="H161" s="73">
        <v>0.0</v>
      </c>
      <c r="I161" s="73">
        <v>2.0</v>
      </c>
      <c r="J161" s="73">
        <v>0.0</v>
      </c>
      <c r="K161" s="73">
        <v>0.0</v>
      </c>
      <c r="L161" s="73">
        <v>0.0</v>
      </c>
      <c r="M161" s="73">
        <v>0.0</v>
      </c>
      <c r="N161" s="73">
        <v>0.0</v>
      </c>
      <c r="O161" s="73">
        <v>0.0</v>
      </c>
      <c r="P161" s="73">
        <v>1.0</v>
      </c>
      <c r="Q161" s="73">
        <v>1.0</v>
      </c>
      <c r="R161" s="73">
        <v>2.0</v>
      </c>
      <c r="S161" s="73">
        <v>0.0</v>
      </c>
      <c r="T161" s="73">
        <v>0.0</v>
      </c>
      <c r="U161" s="73">
        <v>1.0</v>
      </c>
      <c r="V161" s="73">
        <v>1.0</v>
      </c>
      <c r="W161" s="13">
        <f t="shared" si="14"/>
        <v>8</v>
      </c>
      <c r="X161" s="5"/>
      <c r="Y161" s="5"/>
    </row>
    <row r="162" ht="12.75" customHeight="1">
      <c r="A162" s="30" t="s">
        <v>39</v>
      </c>
      <c r="B162" s="49"/>
      <c r="C162" s="50" t="s">
        <v>140</v>
      </c>
      <c r="D162" s="51"/>
      <c r="E162" s="73">
        <v>1.0</v>
      </c>
      <c r="F162" s="73">
        <v>1.0</v>
      </c>
      <c r="G162" s="73">
        <v>0.0</v>
      </c>
      <c r="H162" s="73">
        <v>0.0</v>
      </c>
      <c r="I162" s="73">
        <v>0.0</v>
      </c>
      <c r="J162" s="73">
        <v>0.0</v>
      </c>
      <c r="K162" s="73">
        <v>0.0</v>
      </c>
      <c r="L162" s="73">
        <v>1.0</v>
      </c>
      <c r="M162" s="73">
        <v>0.0</v>
      </c>
      <c r="N162" s="73">
        <v>0.0</v>
      </c>
      <c r="O162" s="73">
        <v>1.0</v>
      </c>
      <c r="P162" s="73">
        <v>0.0</v>
      </c>
      <c r="Q162" s="73">
        <v>3.0</v>
      </c>
      <c r="R162" s="73">
        <v>0.0</v>
      </c>
      <c r="S162" s="73">
        <v>0.0</v>
      </c>
      <c r="T162" s="73">
        <v>0.0</v>
      </c>
      <c r="U162" s="73">
        <v>0.0</v>
      </c>
      <c r="V162" s="73">
        <v>0.0</v>
      </c>
      <c r="W162" s="13">
        <f t="shared" si="14"/>
        <v>7</v>
      </c>
      <c r="X162" s="5"/>
      <c r="Y162" s="5"/>
    </row>
    <row r="163" ht="12.75" customHeight="1">
      <c r="A163" s="30"/>
      <c r="B163" s="49"/>
      <c r="C163" s="50" t="s">
        <v>141</v>
      </c>
      <c r="D163" s="51"/>
      <c r="E163" s="73">
        <v>0.0</v>
      </c>
      <c r="F163" s="73">
        <v>0.0</v>
      </c>
      <c r="G163" s="73">
        <v>0.0</v>
      </c>
      <c r="H163" s="73">
        <v>0.0</v>
      </c>
      <c r="I163" s="73">
        <v>0.0</v>
      </c>
      <c r="J163" s="73">
        <v>0.0</v>
      </c>
      <c r="K163" s="73">
        <v>0.0</v>
      </c>
      <c r="L163" s="73">
        <v>0.0</v>
      </c>
      <c r="M163" s="73">
        <v>0.0</v>
      </c>
      <c r="N163" s="73">
        <v>0.0</v>
      </c>
      <c r="O163" s="73">
        <v>0.0</v>
      </c>
      <c r="P163" s="73">
        <v>0.0</v>
      </c>
      <c r="Q163" s="73">
        <v>0.0</v>
      </c>
      <c r="R163" s="73">
        <v>0.0</v>
      </c>
      <c r="S163" s="73">
        <v>0.0</v>
      </c>
      <c r="T163" s="73">
        <v>0.0</v>
      </c>
      <c r="U163" s="73">
        <v>0.0</v>
      </c>
      <c r="V163" s="73">
        <v>1.0</v>
      </c>
      <c r="W163" s="13">
        <f t="shared" si="14"/>
        <v>1</v>
      </c>
      <c r="X163" s="5"/>
      <c r="Y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V164" si="28">SUM(E161:E163)</f>
        <v>1</v>
      </c>
      <c r="F164" s="13">
        <f t="shared" si="28"/>
        <v>1</v>
      </c>
      <c r="G164" s="13">
        <f t="shared" si="28"/>
        <v>0</v>
      </c>
      <c r="H164" s="13">
        <f t="shared" si="28"/>
        <v>0</v>
      </c>
      <c r="I164" s="13">
        <f t="shared" si="28"/>
        <v>2</v>
      </c>
      <c r="J164" s="13">
        <f t="shared" si="28"/>
        <v>0</v>
      </c>
      <c r="K164" s="13">
        <f t="shared" si="28"/>
        <v>0</v>
      </c>
      <c r="L164" s="13">
        <f t="shared" si="28"/>
        <v>1</v>
      </c>
      <c r="M164" s="13">
        <f t="shared" si="28"/>
        <v>0</v>
      </c>
      <c r="N164" s="13">
        <f t="shared" si="28"/>
        <v>0</v>
      </c>
      <c r="O164" s="13">
        <f t="shared" si="28"/>
        <v>1</v>
      </c>
      <c r="P164" s="13">
        <f t="shared" si="28"/>
        <v>1</v>
      </c>
      <c r="Q164" s="13">
        <f t="shared" si="28"/>
        <v>4</v>
      </c>
      <c r="R164" s="13">
        <f t="shared" si="28"/>
        <v>2</v>
      </c>
      <c r="S164" s="13">
        <f t="shared" si="28"/>
        <v>0</v>
      </c>
      <c r="T164" s="13">
        <f t="shared" si="28"/>
        <v>0</v>
      </c>
      <c r="U164" s="13">
        <f t="shared" si="28"/>
        <v>1</v>
      </c>
      <c r="V164" s="13">
        <f t="shared" si="28"/>
        <v>2</v>
      </c>
      <c r="W164" s="13">
        <f t="shared" si="14"/>
        <v>16</v>
      </c>
      <c r="X164" s="5"/>
      <c r="Y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13">
        <f t="shared" si="14"/>
        <v>0</v>
      </c>
      <c r="X165" s="1"/>
      <c r="Y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66">
        <v>0.0</v>
      </c>
      <c r="J166" s="66">
        <v>0.0</v>
      </c>
      <c r="K166" s="66">
        <v>0.0</v>
      </c>
      <c r="L166" s="66">
        <v>0.0</v>
      </c>
      <c r="M166" s="66">
        <v>0.0</v>
      </c>
      <c r="N166" s="66">
        <v>0.0</v>
      </c>
      <c r="O166" s="66">
        <v>0.0</v>
      </c>
      <c r="P166" s="66">
        <v>0.0</v>
      </c>
      <c r="Q166" s="66">
        <v>0.0</v>
      </c>
      <c r="R166" s="66">
        <v>0.0</v>
      </c>
      <c r="S166" s="66">
        <v>0.0</v>
      </c>
      <c r="T166" s="66">
        <v>0.0</v>
      </c>
      <c r="U166" s="66">
        <v>0.0</v>
      </c>
      <c r="V166" s="66">
        <v>0.0</v>
      </c>
      <c r="W166" s="13">
        <f t="shared" si="14"/>
        <v>0</v>
      </c>
      <c r="X166" s="53"/>
      <c r="Y166" s="53"/>
    </row>
    <row r="167" ht="12.75" customHeight="1">
      <c r="A167" s="30"/>
      <c r="B167" s="47"/>
      <c r="C167" s="50" t="s">
        <v>144</v>
      </c>
      <c r="D167" s="59"/>
      <c r="E167" s="66">
        <v>0.0</v>
      </c>
      <c r="F167" s="66">
        <v>0.0</v>
      </c>
      <c r="G167" s="66">
        <v>0.0</v>
      </c>
      <c r="H167" s="66">
        <v>0.0</v>
      </c>
      <c r="I167" s="66">
        <v>0.0</v>
      </c>
      <c r="J167" s="66">
        <v>0.0</v>
      </c>
      <c r="K167" s="66">
        <v>0.0</v>
      </c>
      <c r="L167" s="66">
        <v>0.0</v>
      </c>
      <c r="M167" s="66">
        <v>0.0</v>
      </c>
      <c r="N167" s="66">
        <v>0.0</v>
      </c>
      <c r="O167" s="66">
        <v>0.0</v>
      </c>
      <c r="P167" s="66">
        <v>0.0</v>
      </c>
      <c r="Q167" s="66">
        <v>0.0</v>
      </c>
      <c r="R167" s="66">
        <v>0.0</v>
      </c>
      <c r="S167" s="66">
        <v>0.0</v>
      </c>
      <c r="T167" s="66">
        <v>0.0</v>
      </c>
      <c r="U167" s="66">
        <v>0.0</v>
      </c>
      <c r="V167" s="66">
        <v>0.0</v>
      </c>
      <c r="W167" s="13">
        <f t="shared" si="14"/>
        <v>0</v>
      </c>
      <c r="X167" s="5"/>
      <c r="Y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66">
        <v>0.0</v>
      </c>
      <c r="L168" s="66">
        <v>0.0</v>
      </c>
      <c r="M168" s="66">
        <v>0.0</v>
      </c>
      <c r="N168" s="66">
        <v>0.0</v>
      </c>
      <c r="O168" s="66">
        <v>0.0</v>
      </c>
      <c r="P168" s="66">
        <v>0.0</v>
      </c>
      <c r="Q168" s="66">
        <v>0.0</v>
      </c>
      <c r="R168" s="66">
        <v>0.0</v>
      </c>
      <c r="S168" s="66">
        <v>0.0</v>
      </c>
      <c r="T168" s="66">
        <v>0.0</v>
      </c>
      <c r="U168" s="66">
        <v>0.0</v>
      </c>
      <c r="V168" s="66">
        <v>0.0</v>
      </c>
      <c r="W168" s="13">
        <f t="shared" si="14"/>
        <v>0</v>
      </c>
      <c r="X168" s="5"/>
      <c r="Y168" s="5"/>
    </row>
    <row r="169" ht="12.75" customHeight="1">
      <c r="A169" s="30"/>
      <c r="B169" s="47"/>
      <c r="C169" s="50" t="s">
        <v>146</v>
      </c>
      <c r="D169" s="59"/>
      <c r="E169" s="66">
        <v>0.0</v>
      </c>
      <c r="F169" s="66">
        <v>0.0</v>
      </c>
      <c r="G169" s="66">
        <v>0.0</v>
      </c>
      <c r="H169" s="66">
        <v>0.0</v>
      </c>
      <c r="I169" s="66">
        <v>0.0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66">
        <v>0.0</v>
      </c>
      <c r="Q169" s="66">
        <v>0.0</v>
      </c>
      <c r="R169" s="66">
        <v>0.0</v>
      </c>
      <c r="S169" s="66">
        <v>0.0</v>
      </c>
      <c r="T169" s="66">
        <v>0.0</v>
      </c>
      <c r="U169" s="66">
        <v>0.0</v>
      </c>
      <c r="V169" s="66">
        <v>0.0</v>
      </c>
      <c r="W169" s="13">
        <f t="shared" si="14"/>
        <v>0</v>
      </c>
      <c r="X169" s="5"/>
      <c r="Y169" s="5"/>
    </row>
    <row r="170" ht="12.75" customHeight="1">
      <c r="A170" s="30" t="s">
        <v>39</v>
      </c>
      <c r="B170" s="49"/>
      <c r="C170" s="50" t="s">
        <v>147</v>
      </c>
      <c r="D170" s="51"/>
      <c r="E170" s="66">
        <v>0.0</v>
      </c>
      <c r="F170" s="66">
        <v>0.0</v>
      </c>
      <c r="G170" s="66">
        <v>0.0</v>
      </c>
      <c r="H170" s="66">
        <v>0.0</v>
      </c>
      <c r="I170" s="66">
        <v>0.0</v>
      </c>
      <c r="J170" s="66">
        <v>0.0</v>
      </c>
      <c r="K170" s="66">
        <v>0.0</v>
      </c>
      <c r="L170" s="66">
        <v>0.0</v>
      </c>
      <c r="M170" s="66">
        <v>0.0</v>
      </c>
      <c r="N170" s="66">
        <v>0.0</v>
      </c>
      <c r="O170" s="66">
        <v>0.0</v>
      </c>
      <c r="P170" s="66">
        <v>0.0</v>
      </c>
      <c r="Q170" s="66">
        <v>0.0</v>
      </c>
      <c r="R170" s="66">
        <v>0.0</v>
      </c>
      <c r="S170" s="66">
        <v>0.0</v>
      </c>
      <c r="T170" s="66">
        <v>0.0</v>
      </c>
      <c r="U170" s="66">
        <v>0.0</v>
      </c>
      <c r="V170" s="66">
        <v>0.0</v>
      </c>
      <c r="W170" s="13">
        <f t="shared" si="14"/>
        <v>0</v>
      </c>
      <c r="X170" s="5"/>
      <c r="Y170" s="5"/>
    </row>
    <row r="171" ht="12.75" customHeight="1">
      <c r="A171" s="18"/>
      <c r="B171" s="49"/>
      <c r="C171" s="50" t="s">
        <v>148</v>
      </c>
      <c r="D171" s="51"/>
      <c r="E171" s="66">
        <v>0.0</v>
      </c>
      <c r="F171" s="66">
        <v>0.0</v>
      </c>
      <c r="G171" s="66">
        <v>1.0</v>
      </c>
      <c r="H171" s="66">
        <v>1.0</v>
      </c>
      <c r="I171" s="66">
        <v>0.0</v>
      </c>
      <c r="J171" s="66">
        <v>0.0</v>
      </c>
      <c r="K171" s="66">
        <v>0.0</v>
      </c>
      <c r="L171" s="66">
        <v>0.0</v>
      </c>
      <c r="M171" s="66">
        <v>0.0</v>
      </c>
      <c r="N171" s="66">
        <v>0.0</v>
      </c>
      <c r="O171" s="66">
        <v>0.0</v>
      </c>
      <c r="P171" s="66">
        <v>0.0</v>
      </c>
      <c r="Q171" s="66">
        <v>0.0</v>
      </c>
      <c r="R171" s="66">
        <v>0.0</v>
      </c>
      <c r="S171" s="66">
        <v>0.0</v>
      </c>
      <c r="T171" s="66">
        <v>0.0</v>
      </c>
      <c r="U171" s="66">
        <v>0.0</v>
      </c>
      <c r="V171" s="66">
        <v>0.0</v>
      </c>
      <c r="W171" s="13">
        <f t="shared" si="14"/>
        <v>2</v>
      </c>
      <c r="X171" s="5"/>
      <c r="Y171" s="5"/>
    </row>
    <row r="172" ht="12.75" customHeight="1">
      <c r="A172" s="18"/>
      <c r="B172" s="49"/>
      <c r="C172" s="50" t="s">
        <v>149</v>
      </c>
      <c r="D172" s="51"/>
      <c r="E172" s="66">
        <v>0.0</v>
      </c>
      <c r="F172" s="66">
        <v>0.0</v>
      </c>
      <c r="G172" s="66">
        <v>0.0</v>
      </c>
      <c r="H172" s="66">
        <v>0.0</v>
      </c>
      <c r="I172" s="66">
        <v>0.0</v>
      </c>
      <c r="J172" s="66">
        <v>0.0</v>
      </c>
      <c r="K172" s="66">
        <v>0.0</v>
      </c>
      <c r="L172" s="66">
        <v>0.0</v>
      </c>
      <c r="M172" s="66">
        <v>0.0</v>
      </c>
      <c r="N172" s="66">
        <v>0.0</v>
      </c>
      <c r="O172" s="66">
        <v>0.0</v>
      </c>
      <c r="P172" s="66">
        <v>0.0</v>
      </c>
      <c r="Q172" s="66">
        <v>0.0</v>
      </c>
      <c r="R172" s="66">
        <v>0.0</v>
      </c>
      <c r="S172" s="66">
        <v>0.0</v>
      </c>
      <c r="T172" s="66">
        <v>0.0</v>
      </c>
      <c r="U172" s="66">
        <v>0.0</v>
      </c>
      <c r="V172" s="66">
        <v>0.0</v>
      </c>
      <c r="W172" s="13">
        <f t="shared" si="14"/>
        <v>0</v>
      </c>
      <c r="X172" s="5"/>
      <c r="Y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V173" si="29">SUM(E166:E172)</f>
        <v>0</v>
      </c>
      <c r="F173" s="13">
        <f t="shared" si="29"/>
        <v>0</v>
      </c>
      <c r="G173" s="13">
        <f t="shared" si="29"/>
        <v>1</v>
      </c>
      <c r="H173" s="13">
        <f t="shared" si="29"/>
        <v>1</v>
      </c>
      <c r="I173" s="13">
        <f t="shared" si="29"/>
        <v>0</v>
      </c>
      <c r="J173" s="13">
        <f t="shared" si="29"/>
        <v>0</v>
      </c>
      <c r="K173" s="13">
        <f t="shared" si="29"/>
        <v>0</v>
      </c>
      <c r="L173" s="13">
        <f t="shared" si="29"/>
        <v>0</v>
      </c>
      <c r="M173" s="13">
        <f t="shared" si="29"/>
        <v>0</v>
      </c>
      <c r="N173" s="13">
        <f t="shared" si="29"/>
        <v>0</v>
      </c>
      <c r="O173" s="13">
        <f t="shared" si="29"/>
        <v>0</v>
      </c>
      <c r="P173" s="13">
        <f t="shared" si="29"/>
        <v>0</v>
      </c>
      <c r="Q173" s="13">
        <f t="shared" si="29"/>
        <v>0</v>
      </c>
      <c r="R173" s="13">
        <f t="shared" si="29"/>
        <v>0</v>
      </c>
      <c r="S173" s="13">
        <f t="shared" si="29"/>
        <v>0</v>
      </c>
      <c r="T173" s="13">
        <f t="shared" si="29"/>
        <v>0</v>
      </c>
      <c r="U173" s="13">
        <f t="shared" si="29"/>
        <v>0</v>
      </c>
      <c r="V173" s="13">
        <f t="shared" si="29"/>
        <v>0</v>
      </c>
      <c r="W173" s="13">
        <f t="shared" si="14"/>
        <v>2</v>
      </c>
      <c r="X173" s="5"/>
      <c r="Y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13">
        <f t="shared" si="14"/>
        <v>0</v>
      </c>
      <c r="X174" s="5"/>
      <c r="Y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0.0</v>
      </c>
      <c r="F175" s="66">
        <v>0.0</v>
      </c>
      <c r="G175" s="66">
        <v>0.0</v>
      </c>
      <c r="H175" s="66">
        <v>0.0</v>
      </c>
      <c r="I175" s="66">
        <v>0.0</v>
      </c>
      <c r="J175" s="66">
        <v>0.0</v>
      </c>
      <c r="K175" s="66">
        <v>0.0</v>
      </c>
      <c r="L175" s="66">
        <v>0.0</v>
      </c>
      <c r="M175" s="66">
        <v>0.0</v>
      </c>
      <c r="N175" s="66">
        <v>0.0</v>
      </c>
      <c r="O175" s="66">
        <v>0.0</v>
      </c>
      <c r="P175" s="66">
        <v>0.0</v>
      </c>
      <c r="Q175" s="66">
        <v>0.0</v>
      </c>
      <c r="R175" s="66">
        <v>1.0</v>
      </c>
      <c r="S175" s="66">
        <v>1.0</v>
      </c>
      <c r="T175" s="66">
        <v>0.0</v>
      </c>
      <c r="U175" s="66">
        <v>1.0</v>
      </c>
      <c r="V175" s="66">
        <v>1.0</v>
      </c>
      <c r="W175" s="13">
        <f t="shared" si="14"/>
        <v>4</v>
      </c>
      <c r="X175" s="5"/>
      <c r="Y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0.0</v>
      </c>
      <c r="F176" s="66">
        <v>0.0</v>
      </c>
      <c r="G176" s="66">
        <v>0.0</v>
      </c>
      <c r="H176" s="66">
        <v>2.0</v>
      </c>
      <c r="I176" s="66">
        <v>0.0</v>
      </c>
      <c r="J176" s="66">
        <v>0.0</v>
      </c>
      <c r="K176" s="66">
        <v>0.0</v>
      </c>
      <c r="L176" s="66">
        <v>0.0</v>
      </c>
      <c r="M176" s="66">
        <v>0.0</v>
      </c>
      <c r="N176" s="66">
        <v>0.0</v>
      </c>
      <c r="O176" s="66">
        <v>0.0</v>
      </c>
      <c r="P176" s="66">
        <v>0.0</v>
      </c>
      <c r="Q176" s="66">
        <v>1.0</v>
      </c>
      <c r="R176" s="66">
        <v>0.0</v>
      </c>
      <c r="S176" s="66">
        <v>1.0</v>
      </c>
      <c r="T176" s="66">
        <v>0.0</v>
      </c>
      <c r="U176" s="66">
        <v>0.0</v>
      </c>
      <c r="V176" s="66">
        <v>1.0</v>
      </c>
      <c r="W176" s="13">
        <f t="shared" si="14"/>
        <v>5</v>
      </c>
      <c r="X176" s="1"/>
      <c r="Y176" s="1"/>
    </row>
    <row r="177" ht="12.75" customHeight="1">
      <c r="A177" s="18"/>
      <c r="B177" s="49"/>
      <c r="C177" s="50" t="s">
        <v>153</v>
      </c>
      <c r="D177" s="51"/>
      <c r="E177" s="66">
        <v>0.0</v>
      </c>
      <c r="F177" s="66">
        <v>0.0</v>
      </c>
      <c r="G177" s="66">
        <v>0.0</v>
      </c>
      <c r="H177" s="66">
        <v>7.0</v>
      </c>
      <c r="I177" s="66">
        <v>7.0</v>
      </c>
      <c r="J177" s="66">
        <v>1.0</v>
      </c>
      <c r="K177" s="66">
        <v>0.0</v>
      </c>
      <c r="L177" s="66">
        <v>4.0</v>
      </c>
      <c r="M177" s="66">
        <v>1.0</v>
      </c>
      <c r="N177" s="66">
        <v>0.0</v>
      </c>
      <c r="O177" s="66">
        <v>0.0</v>
      </c>
      <c r="P177" s="66">
        <v>0.0</v>
      </c>
      <c r="Q177" s="66">
        <v>0.0</v>
      </c>
      <c r="R177" s="66">
        <v>0.0</v>
      </c>
      <c r="S177" s="66">
        <v>0.0</v>
      </c>
      <c r="T177" s="66">
        <v>0.0</v>
      </c>
      <c r="U177" s="66">
        <v>0.0</v>
      </c>
      <c r="V177" s="66">
        <v>1.0</v>
      </c>
      <c r="W177" s="13">
        <f t="shared" si="14"/>
        <v>21</v>
      </c>
    </row>
    <row r="178" ht="12.75" customHeight="1">
      <c r="A178" s="18"/>
      <c r="B178" s="49"/>
      <c r="C178" s="50" t="s">
        <v>154</v>
      </c>
      <c r="D178" s="51"/>
      <c r="E178" s="66">
        <v>0.0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0.0</v>
      </c>
      <c r="N178" s="66">
        <v>0.0</v>
      </c>
      <c r="O178" s="66">
        <v>0.0</v>
      </c>
      <c r="P178" s="66">
        <v>0.0</v>
      </c>
      <c r="Q178" s="66">
        <v>0.0</v>
      </c>
      <c r="R178" s="66">
        <v>0.0</v>
      </c>
      <c r="S178" s="66">
        <v>0.0</v>
      </c>
      <c r="T178" s="66">
        <v>0.0</v>
      </c>
      <c r="U178" s="66">
        <v>0.0</v>
      </c>
      <c r="V178" s="66">
        <v>1.0</v>
      </c>
      <c r="W178" s="13">
        <f t="shared" si="14"/>
        <v>1</v>
      </c>
      <c r="X178" s="5"/>
      <c r="Y178" s="5"/>
    </row>
    <row r="179" ht="12.75" customHeight="1">
      <c r="A179" s="18"/>
      <c r="B179" s="49"/>
      <c r="C179" s="50" t="s">
        <v>155</v>
      </c>
      <c r="D179" s="51"/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0.0</v>
      </c>
      <c r="S179" s="66">
        <v>0.0</v>
      </c>
      <c r="T179" s="66">
        <v>0.0</v>
      </c>
      <c r="U179" s="66">
        <v>0.0</v>
      </c>
      <c r="V179" s="66">
        <v>0.0</v>
      </c>
      <c r="W179" s="13">
        <f t="shared" si="14"/>
        <v>0</v>
      </c>
      <c r="X179" s="5"/>
      <c r="Y179" s="5"/>
    </row>
    <row r="180" ht="12.75" customHeight="1">
      <c r="A180" s="18"/>
      <c r="B180" s="49"/>
      <c r="C180" s="50" t="s">
        <v>156</v>
      </c>
      <c r="D180" s="51"/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0.0</v>
      </c>
      <c r="L180" s="66">
        <v>0.0</v>
      </c>
      <c r="M180" s="66">
        <v>0.0</v>
      </c>
      <c r="N180" s="66">
        <v>0.0</v>
      </c>
      <c r="O180" s="66">
        <v>0.0</v>
      </c>
      <c r="P180" s="66">
        <v>0.0</v>
      </c>
      <c r="Q180" s="66">
        <v>0.0</v>
      </c>
      <c r="R180" s="66">
        <v>0.0</v>
      </c>
      <c r="S180" s="66">
        <v>0.0</v>
      </c>
      <c r="T180" s="66">
        <v>0.0</v>
      </c>
      <c r="U180" s="66">
        <v>0.0</v>
      </c>
      <c r="V180" s="66">
        <v>0.0</v>
      </c>
      <c r="W180" s="13">
        <f t="shared" si="14"/>
        <v>0</v>
      </c>
      <c r="X180" s="5"/>
      <c r="Y180" s="5"/>
    </row>
    <row r="181" ht="12.75" customHeight="1">
      <c r="A181" s="18"/>
      <c r="B181" s="49"/>
      <c r="C181" s="50" t="s">
        <v>157</v>
      </c>
      <c r="D181" s="51"/>
      <c r="E181" s="66">
        <v>0.0</v>
      </c>
      <c r="F181" s="66">
        <v>1.0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66">
        <v>0.0</v>
      </c>
      <c r="Q181" s="66">
        <v>0.0</v>
      </c>
      <c r="R181" s="66">
        <v>0.0</v>
      </c>
      <c r="S181" s="66">
        <v>0.0</v>
      </c>
      <c r="T181" s="66">
        <v>0.0</v>
      </c>
      <c r="U181" s="66">
        <v>0.0</v>
      </c>
      <c r="V181" s="66">
        <v>0.0</v>
      </c>
      <c r="W181" s="13">
        <f t="shared" si="14"/>
        <v>1</v>
      </c>
      <c r="X181" s="5"/>
      <c r="Y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V182" si="30">SUM(E175:E181)</f>
        <v>0</v>
      </c>
      <c r="F182" s="13">
        <f t="shared" si="30"/>
        <v>1</v>
      </c>
      <c r="G182" s="13">
        <f t="shared" si="30"/>
        <v>0</v>
      </c>
      <c r="H182" s="13">
        <f t="shared" si="30"/>
        <v>9</v>
      </c>
      <c r="I182" s="13">
        <f t="shared" si="30"/>
        <v>7</v>
      </c>
      <c r="J182" s="13">
        <f t="shared" si="30"/>
        <v>1</v>
      </c>
      <c r="K182" s="13">
        <f t="shared" si="30"/>
        <v>0</v>
      </c>
      <c r="L182" s="13">
        <f t="shared" si="30"/>
        <v>4</v>
      </c>
      <c r="M182" s="13">
        <f t="shared" si="30"/>
        <v>1</v>
      </c>
      <c r="N182" s="13">
        <f t="shared" si="30"/>
        <v>0</v>
      </c>
      <c r="O182" s="13">
        <f t="shared" si="30"/>
        <v>0</v>
      </c>
      <c r="P182" s="13">
        <f t="shared" si="30"/>
        <v>0</v>
      </c>
      <c r="Q182" s="13">
        <f t="shared" si="30"/>
        <v>1</v>
      </c>
      <c r="R182" s="13">
        <f t="shared" si="30"/>
        <v>1</v>
      </c>
      <c r="S182" s="13">
        <f t="shared" si="30"/>
        <v>2</v>
      </c>
      <c r="T182" s="13">
        <f t="shared" si="30"/>
        <v>0</v>
      </c>
      <c r="U182" s="13">
        <f t="shared" si="30"/>
        <v>1</v>
      </c>
      <c r="V182" s="13">
        <f t="shared" si="30"/>
        <v>4</v>
      </c>
      <c r="W182" s="13">
        <f t="shared" si="14"/>
        <v>32</v>
      </c>
      <c r="X182" s="5"/>
      <c r="Y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13">
        <f t="shared" si="14"/>
        <v>0</v>
      </c>
      <c r="X183" s="5"/>
      <c r="Y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66">
        <v>0.0</v>
      </c>
      <c r="F184" s="66">
        <v>0.0</v>
      </c>
      <c r="G184" s="66">
        <v>0.0</v>
      </c>
      <c r="H184" s="66">
        <v>3.0</v>
      </c>
      <c r="I184" s="66">
        <v>0.0</v>
      </c>
      <c r="J184" s="66">
        <v>0.0</v>
      </c>
      <c r="K184" s="66">
        <v>0.0</v>
      </c>
      <c r="L184" s="66">
        <v>0.0</v>
      </c>
      <c r="M184" s="66">
        <v>0.0</v>
      </c>
      <c r="N184" s="66">
        <v>0.0</v>
      </c>
      <c r="O184" s="66">
        <v>0.0</v>
      </c>
      <c r="P184" s="66">
        <v>0.0</v>
      </c>
      <c r="Q184" s="66">
        <v>0.0</v>
      </c>
      <c r="R184" s="66">
        <v>0.0</v>
      </c>
      <c r="S184" s="66">
        <v>0.0</v>
      </c>
      <c r="T184" s="66">
        <v>0.0</v>
      </c>
      <c r="U184" s="66">
        <v>0.0</v>
      </c>
      <c r="V184" s="66">
        <v>0.0</v>
      </c>
      <c r="W184" s="13">
        <f t="shared" si="14"/>
        <v>3</v>
      </c>
      <c r="X184" s="5"/>
      <c r="Y184" s="5"/>
    </row>
    <row r="185" ht="12.75" customHeight="1">
      <c r="A185" s="30" t="s">
        <v>39</v>
      </c>
      <c r="B185" s="49"/>
      <c r="C185" s="50" t="s">
        <v>160</v>
      </c>
      <c r="D185" s="51"/>
      <c r="E185" s="66">
        <v>0.0</v>
      </c>
      <c r="F185" s="66">
        <v>0.0</v>
      </c>
      <c r="G185" s="66">
        <v>0.0</v>
      </c>
      <c r="H185" s="66">
        <v>0.0</v>
      </c>
      <c r="I185" s="66">
        <v>0.0</v>
      </c>
      <c r="J185" s="66">
        <v>0.0</v>
      </c>
      <c r="K185" s="66">
        <v>0.0</v>
      </c>
      <c r="L185" s="66">
        <v>0.0</v>
      </c>
      <c r="M185" s="66">
        <v>1.0</v>
      </c>
      <c r="N185" s="66">
        <v>0.0</v>
      </c>
      <c r="O185" s="66">
        <v>0.0</v>
      </c>
      <c r="P185" s="66">
        <v>0.0</v>
      </c>
      <c r="Q185" s="66">
        <v>0.0</v>
      </c>
      <c r="R185" s="66">
        <v>0.0</v>
      </c>
      <c r="S185" s="66">
        <v>0.0</v>
      </c>
      <c r="T185" s="66">
        <v>0.0</v>
      </c>
      <c r="U185" s="66">
        <v>1.0</v>
      </c>
      <c r="V185" s="66">
        <v>0.0</v>
      </c>
      <c r="W185" s="13">
        <f t="shared" si="14"/>
        <v>2</v>
      </c>
      <c r="X185" s="5"/>
      <c r="Y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3">
        <f t="shared" si="14"/>
        <v>0</v>
      </c>
      <c r="X186" s="5"/>
      <c r="Y186" s="5"/>
    </row>
    <row r="187" ht="12.75" customHeight="1">
      <c r="A187" s="24"/>
      <c r="B187" s="15"/>
      <c r="C187" s="15"/>
      <c r="D187" s="16"/>
      <c r="E187" s="13">
        <f t="shared" ref="E187:V187" si="31">SUM(E177:E184)</f>
        <v>0</v>
      </c>
      <c r="F187" s="13">
        <f t="shared" si="31"/>
        <v>2</v>
      </c>
      <c r="G187" s="13">
        <f t="shared" si="31"/>
        <v>0</v>
      </c>
      <c r="H187" s="13">
        <f t="shared" si="31"/>
        <v>19</v>
      </c>
      <c r="I187" s="13">
        <f t="shared" si="31"/>
        <v>14</v>
      </c>
      <c r="J187" s="13">
        <f t="shared" si="31"/>
        <v>2</v>
      </c>
      <c r="K187" s="13">
        <f t="shared" si="31"/>
        <v>0</v>
      </c>
      <c r="L187" s="13">
        <f t="shared" si="31"/>
        <v>8</v>
      </c>
      <c r="M187" s="13">
        <f t="shared" si="31"/>
        <v>2</v>
      </c>
      <c r="N187" s="13">
        <f t="shared" si="31"/>
        <v>0</v>
      </c>
      <c r="O187" s="13">
        <f t="shared" si="31"/>
        <v>0</v>
      </c>
      <c r="P187" s="13">
        <f t="shared" si="31"/>
        <v>0</v>
      </c>
      <c r="Q187" s="13">
        <f t="shared" si="31"/>
        <v>1</v>
      </c>
      <c r="R187" s="13">
        <f t="shared" si="31"/>
        <v>1</v>
      </c>
      <c r="S187" s="13">
        <f t="shared" si="31"/>
        <v>2</v>
      </c>
      <c r="T187" s="13">
        <f t="shared" si="31"/>
        <v>0</v>
      </c>
      <c r="U187" s="13">
        <f t="shared" si="31"/>
        <v>1</v>
      </c>
      <c r="V187" s="13">
        <f t="shared" si="31"/>
        <v>6</v>
      </c>
      <c r="W187" s="13">
        <f t="shared" si="14"/>
        <v>58</v>
      </c>
      <c r="X187" s="1"/>
      <c r="Y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13">
        <f t="shared" si="14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13">
        <f t="shared" si="14"/>
        <v>0</v>
      </c>
      <c r="X189" s="5"/>
      <c r="Y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V190" si="32">E187+E182+E173+E164+E159+E150+E141+E132+E128+E119+E110+E101+E92+E88+E79+E70+E61+E52</f>
        <v>219</v>
      </c>
      <c r="F190" s="19">
        <f t="shared" si="32"/>
        <v>190</v>
      </c>
      <c r="G190" s="19">
        <f t="shared" si="32"/>
        <v>195</v>
      </c>
      <c r="H190" s="19">
        <f t="shared" si="32"/>
        <v>223</v>
      </c>
      <c r="I190" s="19">
        <f t="shared" si="32"/>
        <v>206</v>
      </c>
      <c r="J190" s="19">
        <f t="shared" si="32"/>
        <v>202</v>
      </c>
      <c r="K190" s="19">
        <f t="shared" si="32"/>
        <v>199</v>
      </c>
      <c r="L190" s="19">
        <f t="shared" si="32"/>
        <v>220</v>
      </c>
      <c r="M190" s="19">
        <f t="shared" si="32"/>
        <v>229</v>
      </c>
      <c r="N190" s="19">
        <f t="shared" si="32"/>
        <v>193</v>
      </c>
      <c r="O190" s="19">
        <f t="shared" si="32"/>
        <v>210</v>
      </c>
      <c r="P190" s="19">
        <f t="shared" si="32"/>
        <v>187</v>
      </c>
      <c r="Q190" s="19">
        <f t="shared" si="32"/>
        <v>149</v>
      </c>
      <c r="R190" s="19">
        <f t="shared" si="32"/>
        <v>166</v>
      </c>
      <c r="S190" s="19">
        <f t="shared" si="32"/>
        <v>194</v>
      </c>
      <c r="T190" s="19">
        <f t="shared" si="32"/>
        <v>184</v>
      </c>
      <c r="U190" s="19">
        <f t="shared" si="32"/>
        <v>196</v>
      </c>
      <c r="V190" s="19">
        <f t="shared" si="32"/>
        <v>166</v>
      </c>
      <c r="W190" s="13">
        <f t="shared" si="14"/>
        <v>3528</v>
      </c>
      <c r="X190" s="5"/>
      <c r="Y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23.0</v>
      </c>
      <c r="F191" s="66">
        <v>11.0</v>
      </c>
      <c r="G191" s="66">
        <v>20.0</v>
      </c>
      <c r="H191" s="66">
        <v>15.0</v>
      </c>
      <c r="I191" s="66">
        <v>4.0</v>
      </c>
      <c r="J191" s="66">
        <v>20.0</v>
      </c>
      <c r="K191" s="66">
        <v>18.0</v>
      </c>
      <c r="L191" s="66">
        <v>20.0</v>
      </c>
      <c r="M191" s="66">
        <v>7.0</v>
      </c>
      <c r="N191" s="66">
        <v>4.0</v>
      </c>
      <c r="O191" s="66">
        <v>12.0</v>
      </c>
      <c r="P191" s="66">
        <v>14.0</v>
      </c>
      <c r="Q191" s="66">
        <v>7.0</v>
      </c>
      <c r="R191" s="66">
        <v>15.0</v>
      </c>
      <c r="S191" s="66">
        <v>10.0</v>
      </c>
      <c r="T191" s="66">
        <v>14.0</v>
      </c>
      <c r="U191" s="66">
        <v>7.0</v>
      </c>
      <c r="V191" s="66">
        <v>13.0</v>
      </c>
      <c r="W191" s="13">
        <f t="shared" si="14"/>
        <v>234</v>
      </c>
      <c r="X191" s="5"/>
      <c r="Y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V192" si="33">E190+E191</f>
        <v>242</v>
      </c>
      <c r="F192" s="19">
        <f t="shared" si="33"/>
        <v>201</v>
      </c>
      <c r="G192" s="19">
        <f t="shared" si="33"/>
        <v>215</v>
      </c>
      <c r="H192" s="19">
        <f t="shared" si="33"/>
        <v>238</v>
      </c>
      <c r="I192" s="19">
        <f t="shared" si="33"/>
        <v>210</v>
      </c>
      <c r="J192" s="19">
        <f t="shared" si="33"/>
        <v>222</v>
      </c>
      <c r="K192" s="19">
        <f t="shared" si="33"/>
        <v>217</v>
      </c>
      <c r="L192" s="19">
        <f t="shared" si="33"/>
        <v>240</v>
      </c>
      <c r="M192" s="19">
        <f t="shared" si="33"/>
        <v>236</v>
      </c>
      <c r="N192" s="19">
        <f t="shared" si="33"/>
        <v>197</v>
      </c>
      <c r="O192" s="19">
        <f t="shared" si="33"/>
        <v>222</v>
      </c>
      <c r="P192" s="19">
        <f t="shared" si="33"/>
        <v>201</v>
      </c>
      <c r="Q192" s="19">
        <f t="shared" si="33"/>
        <v>156</v>
      </c>
      <c r="R192" s="19">
        <f t="shared" si="33"/>
        <v>181</v>
      </c>
      <c r="S192" s="19">
        <f t="shared" si="33"/>
        <v>204</v>
      </c>
      <c r="T192" s="19">
        <f t="shared" si="33"/>
        <v>198</v>
      </c>
      <c r="U192" s="19">
        <f t="shared" si="33"/>
        <v>203</v>
      </c>
      <c r="V192" s="19">
        <f t="shared" si="33"/>
        <v>179</v>
      </c>
      <c r="W192" s="13">
        <f t="shared" si="14"/>
        <v>3762</v>
      </c>
      <c r="X192" s="5"/>
      <c r="Y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V12"/>
    <mergeCell ref="W12:W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34:T34">
    <cfRule type="expression" dxfId="1" priority="1">
      <formula>E34&lt;&gt;E64</formula>
    </cfRule>
  </conditionalFormatting>
  <conditionalFormatting sqref="E14:V15">
    <cfRule type="containsBlanks" dxfId="0" priority="2">
      <formula>LEN(TRIM(E14))=0</formula>
    </cfRule>
  </conditionalFormatting>
  <conditionalFormatting sqref="E19:V20">
    <cfRule type="containsBlanks" dxfId="0" priority="3">
      <formula>LEN(TRIM(E19))=0</formula>
    </cfRule>
  </conditionalFormatting>
  <conditionalFormatting sqref="E22:V23 E25:V26 E33:V33 E35:V35 E39:V40">
    <cfRule type="containsBlanks" dxfId="0" priority="4">
      <formula>LEN(TRIM(E22))=0</formula>
    </cfRule>
  </conditionalFormatting>
  <conditionalFormatting sqref="E30:V30">
    <cfRule type="expression" dxfId="1" priority="5">
      <formula>E30&lt;&gt;E47</formula>
    </cfRule>
  </conditionalFormatting>
  <conditionalFormatting sqref="E30:V30">
    <cfRule type="expression" dxfId="1" priority="6">
      <formula>E30&lt;&gt;E34</formula>
    </cfRule>
  </conditionalFormatting>
  <conditionalFormatting sqref="E34:V34">
    <cfRule type="expression" dxfId="2" priority="7">
      <formula>E30&lt;&gt;E34</formula>
    </cfRule>
  </conditionalFormatting>
  <conditionalFormatting sqref="E34:V34">
    <cfRule type="expression" dxfId="3" priority="8">
      <formula>E30=E34</formula>
    </cfRule>
  </conditionalFormatting>
  <conditionalFormatting sqref="E34:V34">
    <cfRule type="expression" dxfId="1" priority="9">
      <formula>E34&lt;&gt;E30</formula>
    </cfRule>
  </conditionalFormatting>
  <conditionalFormatting sqref="U34:V34">
    <cfRule type="expression" dxfId="1" priority="10">
      <formula>U34&lt;&gt;U47</formula>
    </cfRule>
  </conditionalFormatting>
  <conditionalFormatting sqref="E45:V52 E54:V61">
    <cfRule type="containsBlanks" dxfId="0" priority="11">
      <formula>LEN(TRIM(E45))=0</formula>
    </cfRule>
  </conditionalFormatting>
  <conditionalFormatting sqref="E90:V91">
    <cfRule type="containsBlanks" dxfId="0" priority="12">
      <formula>LEN(TRIM(E90))=0</formula>
    </cfRule>
  </conditionalFormatting>
  <conditionalFormatting sqref="E130:V132">
    <cfRule type="containsBlanks" dxfId="0" priority="13">
      <formula>LEN(TRIM(E130))=0</formula>
    </cfRule>
  </conditionalFormatting>
  <conditionalFormatting sqref="E161:V162">
    <cfRule type="containsBlanks" dxfId="0" priority="14">
      <formula>LEN(TRIM(E161))=0</formula>
    </cfRule>
  </conditionalFormatting>
  <conditionalFormatting sqref="E184:V186">
    <cfRule type="containsBlanks" dxfId="0" priority="15">
      <formula>LEN(TRIM(E184))=0</formula>
    </cfRule>
  </conditionalFormatting>
  <conditionalFormatting sqref="E190:V192">
    <cfRule type="containsBlanks" dxfId="0" priority="16">
      <formula>LEN(TRIM(E190))=0</formula>
    </cfRule>
  </conditionalFormatting>
  <conditionalFormatting sqref="E63:V70">
    <cfRule type="containsBlanks" dxfId="0" priority="17">
      <formula>LEN(TRIM(E63))=0</formula>
    </cfRule>
  </conditionalFormatting>
  <conditionalFormatting sqref="E72:V79">
    <cfRule type="containsBlanks" dxfId="0" priority="18">
      <formula>LEN(TRIM(E72))=0</formula>
    </cfRule>
  </conditionalFormatting>
  <conditionalFormatting sqref="E81:V88">
    <cfRule type="containsBlanks" dxfId="0" priority="19">
      <formula>LEN(TRIM(E81))=0</formula>
    </cfRule>
  </conditionalFormatting>
  <conditionalFormatting sqref="E94:V101">
    <cfRule type="containsBlanks" dxfId="0" priority="20">
      <formula>LEN(TRIM(E94))=0</formula>
    </cfRule>
  </conditionalFormatting>
  <conditionalFormatting sqref="E103:V110">
    <cfRule type="containsBlanks" dxfId="0" priority="21">
      <formula>LEN(TRIM(E103))=0</formula>
    </cfRule>
  </conditionalFormatting>
  <conditionalFormatting sqref="E112:V119">
    <cfRule type="containsBlanks" dxfId="0" priority="22">
      <formula>LEN(TRIM(E112))=0</formula>
    </cfRule>
  </conditionalFormatting>
  <conditionalFormatting sqref="E121:V128">
    <cfRule type="containsBlanks" dxfId="0" priority="23">
      <formula>LEN(TRIM(E121))=0</formula>
    </cfRule>
  </conditionalFormatting>
  <conditionalFormatting sqref="E134:V141">
    <cfRule type="containsBlanks" dxfId="0" priority="24">
      <formula>LEN(TRIM(E134))=0</formula>
    </cfRule>
  </conditionalFormatting>
  <conditionalFormatting sqref="E143:V150">
    <cfRule type="containsBlanks" dxfId="0" priority="25">
      <formula>LEN(TRIM(E143))=0</formula>
    </cfRule>
  </conditionalFormatting>
  <conditionalFormatting sqref="E152:V159">
    <cfRule type="containsBlanks" dxfId="0" priority="26">
      <formula>LEN(TRIM(E152))=0</formula>
    </cfRule>
  </conditionalFormatting>
  <conditionalFormatting sqref="E166:V173">
    <cfRule type="containsBlanks" dxfId="0" priority="27">
      <formula>LEN(TRIM(E166))=0</formula>
    </cfRule>
  </conditionalFormatting>
  <conditionalFormatting sqref="E175:V182">
    <cfRule type="containsBlanks" dxfId="0" priority="28">
      <formula>LEN(TRIM(E175))=0</formula>
    </cfRule>
  </conditionalFormatting>
  <conditionalFormatting sqref="E91:V91">
    <cfRule type="containsBlanks" dxfId="0" priority="29">
      <formula>LEN(TRIM(E91))=0</formula>
    </cfRule>
  </conditionalFormatting>
  <conditionalFormatting sqref="E163:V163">
    <cfRule type="containsBlanks" dxfId="0" priority="30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25" width="8.71"/>
    <col customWidth="1" min="26" max="26" width="13.29"/>
    <col customWidth="1" min="27" max="28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195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13" t="s">
        <v>182</v>
      </c>
      <c r="Q13" s="13" t="s">
        <v>183</v>
      </c>
      <c r="R13" s="13" t="s">
        <v>184</v>
      </c>
      <c r="S13" s="13" t="s">
        <v>185</v>
      </c>
      <c r="T13" s="13" t="s">
        <v>186</v>
      </c>
      <c r="U13" s="13" t="s">
        <v>187</v>
      </c>
      <c r="V13" s="13" t="s">
        <v>188</v>
      </c>
      <c r="W13" s="13" t="s">
        <v>189</v>
      </c>
      <c r="X13" s="13" t="s">
        <v>190</v>
      </c>
      <c r="Y13" s="13" t="s">
        <v>191</v>
      </c>
      <c r="Z13" s="36"/>
    </row>
    <row r="14" ht="12.75" customHeight="1">
      <c r="A14" s="18"/>
      <c r="B14" s="22" t="s">
        <v>11</v>
      </c>
      <c r="C14" s="23"/>
      <c r="D14" s="19" t="s">
        <v>12</v>
      </c>
      <c r="E14" s="74">
        <v>131.0</v>
      </c>
      <c r="F14" s="74">
        <v>144.0</v>
      </c>
      <c r="G14" s="74">
        <v>132.0</v>
      </c>
      <c r="H14" s="74">
        <v>135.0</v>
      </c>
      <c r="I14" s="74">
        <v>130.0</v>
      </c>
      <c r="J14" s="74">
        <v>127.0</v>
      </c>
      <c r="K14" s="74">
        <v>139.0</v>
      </c>
      <c r="L14" s="74">
        <v>150.0</v>
      </c>
      <c r="M14" s="74">
        <v>143.0</v>
      </c>
      <c r="N14" s="74">
        <v>116.0</v>
      </c>
      <c r="O14" s="74">
        <v>128.0</v>
      </c>
      <c r="P14" s="74">
        <v>110.0</v>
      </c>
      <c r="Q14" s="74">
        <v>120.0</v>
      </c>
      <c r="R14" s="74">
        <v>112.0</v>
      </c>
      <c r="S14" s="74">
        <v>110.0</v>
      </c>
      <c r="T14" s="74">
        <v>139.0</v>
      </c>
      <c r="U14" s="74">
        <v>131.0</v>
      </c>
      <c r="V14" s="74">
        <v>125.0</v>
      </c>
      <c r="W14" s="74">
        <v>127.0</v>
      </c>
      <c r="X14" s="74">
        <v>126.0</v>
      </c>
      <c r="Y14" s="74">
        <v>133.0</v>
      </c>
      <c r="Z14" s="13">
        <f t="shared" ref="Z14:Z16" si="1">SUM(E14:Y14)</f>
        <v>2708</v>
      </c>
    </row>
    <row r="15" ht="12.75" customHeight="1">
      <c r="A15" s="18"/>
      <c r="B15" s="26"/>
      <c r="C15" s="27"/>
      <c r="D15" s="19" t="s">
        <v>13</v>
      </c>
      <c r="E15" s="74">
        <v>133.0</v>
      </c>
      <c r="F15" s="74">
        <v>142.0</v>
      </c>
      <c r="G15" s="74">
        <v>152.0</v>
      </c>
      <c r="H15" s="74">
        <v>150.0</v>
      </c>
      <c r="I15" s="74">
        <v>140.0</v>
      </c>
      <c r="J15" s="74">
        <v>133.0</v>
      </c>
      <c r="K15" s="74">
        <v>145.0</v>
      </c>
      <c r="L15" s="74">
        <v>139.0</v>
      </c>
      <c r="M15" s="74">
        <v>141.0</v>
      </c>
      <c r="N15" s="74">
        <v>125.0</v>
      </c>
      <c r="O15" s="74">
        <v>107.0</v>
      </c>
      <c r="P15" s="74">
        <v>133.0</v>
      </c>
      <c r="Q15" s="74">
        <v>124.0</v>
      </c>
      <c r="R15" s="74">
        <v>117.0</v>
      </c>
      <c r="S15" s="74">
        <v>115.0</v>
      </c>
      <c r="T15" s="74">
        <v>138.0</v>
      </c>
      <c r="U15" s="74">
        <v>144.0</v>
      </c>
      <c r="V15" s="74">
        <v>137.0</v>
      </c>
      <c r="W15" s="74">
        <v>140.0</v>
      </c>
      <c r="X15" s="74">
        <v>148.0</v>
      </c>
      <c r="Y15" s="74">
        <v>136.0</v>
      </c>
      <c r="Z15" s="13">
        <f t="shared" si="1"/>
        <v>2839</v>
      </c>
    </row>
    <row r="16" ht="12.75" customHeight="1">
      <c r="A16" s="25"/>
      <c r="B16" s="21"/>
      <c r="C16" s="28"/>
      <c r="D16" s="13" t="s">
        <v>14</v>
      </c>
      <c r="E16" s="75">
        <f t="shared" ref="E16:Y16" si="2">SUM(E14:E15)</f>
        <v>264</v>
      </c>
      <c r="F16" s="75">
        <f t="shared" si="2"/>
        <v>286</v>
      </c>
      <c r="G16" s="75">
        <f t="shared" si="2"/>
        <v>284</v>
      </c>
      <c r="H16" s="75">
        <f t="shared" si="2"/>
        <v>285</v>
      </c>
      <c r="I16" s="75">
        <f t="shared" si="2"/>
        <v>270</v>
      </c>
      <c r="J16" s="75">
        <f t="shared" si="2"/>
        <v>260</v>
      </c>
      <c r="K16" s="75">
        <f t="shared" si="2"/>
        <v>284</v>
      </c>
      <c r="L16" s="75">
        <f t="shared" si="2"/>
        <v>289</v>
      </c>
      <c r="M16" s="75">
        <f t="shared" si="2"/>
        <v>284</v>
      </c>
      <c r="N16" s="75">
        <f t="shared" si="2"/>
        <v>241</v>
      </c>
      <c r="O16" s="75">
        <f t="shared" si="2"/>
        <v>235</v>
      </c>
      <c r="P16" s="75">
        <f t="shared" si="2"/>
        <v>243</v>
      </c>
      <c r="Q16" s="75">
        <f t="shared" si="2"/>
        <v>244</v>
      </c>
      <c r="R16" s="75">
        <f t="shared" si="2"/>
        <v>229</v>
      </c>
      <c r="S16" s="75">
        <f t="shared" si="2"/>
        <v>225</v>
      </c>
      <c r="T16" s="75">
        <f t="shared" si="2"/>
        <v>277</v>
      </c>
      <c r="U16" s="75">
        <f t="shared" si="2"/>
        <v>275</v>
      </c>
      <c r="V16" s="75">
        <f t="shared" si="2"/>
        <v>262</v>
      </c>
      <c r="W16" s="75">
        <f t="shared" si="2"/>
        <v>267</v>
      </c>
      <c r="X16" s="75">
        <f t="shared" si="2"/>
        <v>274</v>
      </c>
      <c r="Y16" s="75">
        <f t="shared" si="2"/>
        <v>269</v>
      </c>
      <c r="Z16" s="13">
        <f t="shared" si="1"/>
        <v>5547</v>
      </c>
    </row>
    <row r="17" ht="12.75" customHeight="1">
      <c r="A17" s="24"/>
      <c r="B17" s="15"/>
      <c r="C17" s="15"/>
      <c r="D17" s="1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68"/>
    </row>
    <row r="18" ht="12.75" customHeight="1">
      <c r="A18" s="30" t="s">
        <v>15</v>
      </c>
      <c r="B18" s="20" t="s">
        <v>16</v>
      </c>
      <c r="C18" s="15"/>
      <c r="D18" s="1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74">
        <v>95.0</v>
      </c>
      <c r="F19" s="74">
        <v>101.0</v>
      </c>
      <c r="G19" s="74">
        <v>106.0</v>
      </c>
      <c r="H19" s="74">
        <v>92.0</v>
      </c>
      <c r="I19" s="74">
        <v>99.0</v>
      </c>
      <c r="J19" s="74">
        <v>97.0</v>
      </c>
      <c r="K19" s="74">
        <v>96.0</v>
      </c>
      <c r="L19" s="74">
        <v>125.0</v>
      </c>
      <c r="M19" s="74">
        <v>112.0</v>
      </c>
      <c r="N19" s="74">
        <v>81.0</v>
      </c>
      <c r="O19" s="74">
        <v>88.0</v>
      </c>
      <c r="P19" s="74">
        <v>88.0</v>
      </c>
      <c r="Q19" s="74">
        <v>104.0</v>
      </c>
      <c r="R19" s="74">
        <v>95.0</v>
      </c>
      <c r="S19" s="74">
        <v>86.0</v>
      </c>
      <c r="T19" s="74">
        <v>98.0</v>
      </c>
      <c r="U19" s="74">
        <v>102.0</v>
      </c>
      <c r="V19" s="74">
        <v>100.0</v>
      </c>
      <c r="W19" s="74">
        <v>91.0</v>
      </c>
      <c r="X19" s="74">
        <v>105.0</v>
      </c>
      <c r="Y19" s="74">
        <v>90.0</v>
      </c>
      <c r="Z19" s="13">
        <f t="shared" ref="Z19:Z30" si="3">SUM(E19:Y19)</f>
        <v>2051</v>
      </c>
    </row>
    <row r="20" ht="12.75" customHeight="1">
      <c r="A20" s="33"/>
      <c r="B20" s="27"/>
      <c r="C20" s="34"/>
      <c r="D20" s="19" t="s">
        <v>13</v>
      </c>
      <c r="E20" s="74">
        <v>105.0</v>
      </c>
      <c r="F20" s="74">
        <v>108.0</v>
      </c>
      <c r="G20" s="74">
        <v>128.0</v>
      </c>
      <c r="H20" s="74">
        <v>117.0</v>
      </c>
      <c r="I20" s="74">
        <v>119.0</v>
      </c>
      <c r="J20" s="74">
        <v>110.0</v>
      </c>
      <c r="K20" s="74">
        <v>128.0</v>
      </c>
      <c r="L20" s="74">
        <v>116.0</v>
      </c>
      <c r="M20" s="74">
        <v>122.0</v>
      </c>
      <c r="N20" s="74">
        <v>102.0</v>
      </c>
      <c r="O20" s="74">
        <v>88.0</v>
      </c>
      <c r="P20" s="74">
        <v>111.0</v>
      </c>
      <c r="Q20" s="74">
        <v>106.0</v>
      </c>
      <c r="R20" s="74">
        <v>93.0</v>
      </c>
      <c r="S20" s="74">
        <v>91.0</v>
      </c>
      <c r="T20" s="74">
        <v>113.0</v>
      </c>
      <c r="U20" s="74">
        <v>113.0</v>
      </c>
      <c r="V20" s="74">
        <v>112.0</v>
      </c>
      <c r="W20" s="74">
        <v>105.0</v>
      </c>
      <c r="X20" s="74">
        <v>127.0</v>
      </c>
      <c r="Y20" s="74">
        <v>107.0</v>
      </c>
      <c r="Z20" s="13">
        <f t="shared" si="3"/>
        <v>2321</v>
      </c>
    </row>
    <row r="21" ht="12.75" customHeight="1">
      <c r="A21" s="35"/>
      <c r="B21" s="28"/>
      <c r="C21" s="36"/>
      <c r="D21" s="13" t="s">
        <v>14</v>
      </c>
      <c r="E21" s="75">
        <v>200.0</v>
      </c>
      <c r="F21" s="75">
        <v>209.0</v>
      </c>
      <c r="G21" s="75">
        <v>234.0</v>
      </c>
      <c r="H21" s="75">
        <v>209.0</v>
      </c>
      <c r="I21" s="75">
        <v>218.0</v>
      </c>
      <c r="J21" s="75">
        <v>207.0</v>
      </c>
      <c r="K21" s="75">
        <v>224.0</v>
      </c>
      <c r="L21" s="75">
        <v>241.0</v>
      </c>
      <c r="M21" s="75">
        <v>234.0</v>
      </c>
      <c r="N21" s="75">
        <v>183.0</v>
      </c>
      <c r="O21" s="75">
        <v>176.0</v>
      </c>
      <c r="P21" s="75">
        <v>199.0</v>
      </c>
      <c r="Q21" s="75">
        <v>210.0</v>
      </c>
      <c r="R21" s="75">
        <v>188.0</v>
      </c>
      <c r="S21" s="75">
        <v>177.0</v>
      </c>
      <c r="T21" s="75">
        <v>211.0</v>
      </c>
      <c r="U21" s="75">
        <v>215.0</v>
      </c>
      <c r="V21" s="75">
        <v>212.0</v>
      </c>
      <c r="W21" s="75">
        <v>196.0</v>
      </c>
      <c r="X21" s="75">
        <v>232.0</v>
      </c>
      <c r="Y21" s="75">
        <v>197.0</v>
      </c>
      <c r="Z21" s="13">
        <f t="shared" si="3"/>
        <v>4372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74">
        <v>0.0</v>
      </c>
      <c r="F22" s="74">
        <v>0.0</v>
      </c>
      <c r="G22" s="74">
        <v>0.0</v>
      </c>
      <c r="H22" s="74">
        <v>0.0</v>
      </c>
      <c r="I22" s="74">
        <v>1.0</v>
      </c>
      <c r="J22" s="74">
        <v>0.0</v>
      </c>
      <c r="K22" s="74">
        <v>0.0</v>
      </c>
      <c r="L22" s="74">
        <v>0.0</v>
      </c>
      <c r="M22" s="74">
        <v>0.0</v>
      </c>
      <c r="N22" s="74">
        <v>0.0</v>
      </c>
      <c r="O22" s="74">
        <v>0.0</v>
      </c>
      <c r="P22" s="74">
        <v>0.0</v>
      </c>
      <c r="Q22" s="74">
        <v>1.0</v>
      </c>
      <c r="R22" s="74">
        <v>0.0</v>
      </c>
      <c r="S22" s="74">
        <v>0.0</v>
      </c>
      <c r="T22" s="74">
        <v>0.0</v>
      </c>
      <c r="U22" s="74">
        <v>0.0</v>
      </c>
      <c r="V22" s="74">
        <v>0.0</v>
      </c>
      <c r="W22" s="74">
        <v>0.0</v>
      </c>
      <c r="X22" s="74">
        <v>0.0</v>
      </c>
      <c r="Y22" s="74">
        <v>0.0</v>
      </c>
      <c r="Z22" s="13">
        <f t="shared" si="3"/>
        <v>2</v>
      </c>
    </row>
    <row r="23" ht="12.75" customHeight="1">
      <c r="A23" s="33"/>
      <c r="B23" s="27"/>
      <c r="C23" s="34"/>
      <c r="D23" s="19" t="s">
        <v>13</v>
      </c>
      <c r="E23" s="74">
        <v>0.0</v>
      </c>
      <c r="F23" s="74">
        <v>0.0</v>
      </c>
      <c r="G23" s="74">
        <v>0.0</v>
      </c>
      <c r="H23" s="74">
        <v>0.0</v>
      </c>
      <c r="I23" s="74">
        <v>0.0</v>
      </c>
      <c r="J23" s="74">
        <v>1.0</v>
      </c>
      <c r="K23" s="74">
        <v>0.0</v>
      </c>
      <c r="L23" s="74">
        <v>0.0</v>
      </c>
      <c r="M23" s="74">
        <v>0.0</v>
      </c>
      <c r="N23" s="74">
        <v>0.0</v>
      </c>
      <c r="O23" s="74">
        <v>0.0</v>
      </c>
      <c r="P23" s="74">
        <v>1.0</v>
      </c>
      <c r="Q23" s="74">
        <v>1.0</v>
      </c>
      <c r="R23" s="74">
        <v>0.0</v>
      </c>
      <c r="S23" s="74">
        <v>0.0</v>
      </c>
      <c r="T23" s="74">
        <v>0.0</v>
      </c>
      <c r="U23" s="74">
        <v>0.0</v>
      </c>
      <c r="V23" s="74">
        <v>0.0</v>
      </c>
      <c r="W23" s="74">
        <v>0.0</v>
      </c>
      <c r="X23" s="74">
        <v>0.0</v>
      </c>
      <c r="Y23" s="74">
        <v>1.0</v>
      </c>
      <c r="Z23" s="13">
        <f t="shared" si="3"/>
        <v>4</v>
      </c>
    </row>
    <row r="24" ht="12.75" customHeight="1">
      <c r="A24" s="35"/>
      <c r="B24" s="28"/>
      <c r="C24" s="36"/>
      <c r="D24" s="13" t="s">
        <v>14</v>
      </c>
      <c r="E24" s="75">
        <v>0.0</v>
      </c>
      <c r="F24" s="75">
        <v>0.0</v>
      </c>
      <c r="G24" s="75">
        <v>0.0</v>
      </c>
      <c r="H24" s="75">
        <v>0.0</v>
      </c>
      <c r="I24" s="75">
        <v>1.0</v>
      </c>
      <c r="J24" s="75">
        <v>1.0</v>
      </c>
      <c r="K24" s="75">
        <v>0.0</v>
      </c>
      <c r="L24" s="75">
        <v>0.0</v>
      </c>
      <c r="M24" s="75">
        <v>0.0</v>
      </c>
      <c r="N24" s="75">
        <v>0.0</v>
      </c>
      <c r="O24" s="75">
        <v>0.0</v>
      </c>
      <c r="P24" s="75">
        <v>1.0</v>
      </c>
      <c r="Q24" s="75">
        <v>2.0</v>
      </c>
      <c r="R24" s="75">
        <v>0.0</v>
      </c>
      <c r="S24" s="75">
        <v>0.0</v>
      </c>
      <c r="T24" s="75">
        <v>0.0</v>
      </c>
      <c r="U24" s="75">
        <v>0.0</v>
      </c>
      <c r="V24" s="75">
        <v>0.0</v>
      </c>
      <c r="W24" s="75">
        <v>0.0</v>
      </c>
      <c r="X24" s="75">
        <v>0.0</v>
      </c>
      <c r="Y24" s="75">
        <v>1.0</v>
      </c>
      <c r="Z24" s="13">
        <f t="shared" si="3"/>
        <v>6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74">
        <v>0.0</v>
      </c>
      <c r="F25" s="74">
        <v>1.0</v>
      </c>
      <c r="G25" s="74">
        <v>0.0</v>
      </c>
      <c r="H25" s="74">
        <v>0.0</v>
      </c>
      <c r="I25" s="74">
        <v>0.0</v>
      </c>
      <c r="J25" s="74">
        <v>0.0</v>
      </c>
      <c r="K25" s="74">
        <v>1.0</v>
      </c>
      <c r="L25" s="74">
        <v>0.0</v>
      </c>
      <c r="M25" s="74">
        <v>1.0</v>
      </c>
      <c r="N25" s="74">
        <v>0.0</v>
      </c>
      <c r="O25" s="74">
        <v>0.0</v>
      </c>
      <c r="P25" s="74">
        <v>0.0</v>
      </c>
      <c r="Q25" s="74">
        <v>1.0</v>
      </c>
      <c r="R25" s="74">
        <v>0.0</v>
      </c>
      <c r="S25" s="74">
        <v>0.0</v>
      </c>
      <c r="T25" s="74">
        <v>0.0</v>
      </c>
      <c r="U25" s="74">
        <v>0.0</v>
      </c>
      <c r="V25" s="74">
        <v>0.0</v>
      </c>
      <c r="W25" s="74">
        <v>0.0</v>
      </c>
      <c r="X25" s="74">
        <v>1.0</v>
      </c>
      <c r="Y25" s="74">
        <v>0.0</v>
      </c>
      <c r="Z25" s="13">
        <f t="shared" si="3"/>
        <v>5</v>
      </c>
    </row>
    <row r="26" ht="12.75" customHeight="1">
      <c r="A26" s="33"/>
      <c r="B26" s="27"/>
      <c r="C26" s="34"/>
      <c r="D26" s="19" t="s">
        <v>13</v>
      </c>
      <c r="E26" s="74">
        <v>0.0</v>
      </c>
      <c r="F26" s="74">
        <v>0.0</v>
      </c>
      <c r="G26" s="74">
        <v>0.0</v>
      </c>
      <c r="H26" s="74">
        <v>1.0</v>
      </c>
      <c r="I26" s="74">
        <v>1.0</v>
      </c>
      <c r="J26" s="74">
        <v>3.0</v>
      </c>
      <c r="K26" s="74">
        <v>2.0</v>
      </c>
      <c r="L26" s="74">
        <v>2.0</v>
      </c>
      <c r="M26" s="74">
        <v>0.0</v>
      </c>
      <c r="N26" s="74">
        <v>0.0</v>
      </c>
      <c r="O26" s="74">
        <v>0.0</v>
      </c>
      <c r="P26" s="74">
        <v>0.0</v>
      </c>
      <c r="Q26" s="74">
        <v>1.0</v>
      </c>
      <c r="R26" s="74">
        <v>0.0</v>
      </c>
      <c r="S26" s="74">
        <v>0.0</v>
      </c>
      <c r="T26" s="74">
        <v>0.0</v>
      </c>
      <c r="U26" s="74">
        <v>0.0</v>
      </c>
      <c r="V26" s="74">
        <v>0.0</v>
      </c>
      <c r="W26" s="74">
        <v>0.0</v>
      </c>
      <c r="X26" s="74">
        <v>0.0</v>
      </c>
      <c r="Y26" s="74">
        <v>0.0</v>
      </c>
      <c r="Z26" s="13">
        <f t="shared" si="3"/>
        <v>10</v>
      </c>
    </row>
    <row r="27" ht="12.75" customHeight="1">
      <c r="A27" s="35"/>
      <c r="B27" s="28"/>
      <c r="C27" s="36"/>
      <c r="D27" s="13" t="s">
        <v>14</v>
      </c>
      <c r="E27" s="75">
        <v>0.0</v>
      </c>
      <c r="F27" s="75">
        <v>1.0</v>
      </c>
      <c r="G27" s="75">
        <v>0.0</v>
      </c>
      <c r="H27" s="75">
        <v>1.0</v>
      </c>
      <c r="I27" s="75">
        <v>1.0</v>
      </c>
      <c r="J27" s="75">
        <v>3.0</v>
      </c>
      <c r="K27" s="75">
        <v>3.0</v>
      </c>
      <c r="L27" s="75">
        <v>2.0</v>
      </c>
      <c r="M27" s="75">
        <v>1.0</v>
      </c>
      <c r="N27" s="75">
        <v>0.0</v>
      </c>
      <c r="O27" s="75">
        <v>0.0</v>
      </c>
      <c r="P27" s="75">
        <v>0.0</v>
      </c>
      <c r="Q27" s="75">
        <v>2.0</v>
      </c>
      <c r="R27" s="75">
        <v>0.0</v>
      </c>
      <c r="S27" s="75">
        <v>0.0</v>
      </c>
      <c r="T27" s="75">
        <v>0.0</v>
      </c>
      <c r="U27" s="75">
        <v>0.0</v>
      </c>
      <c r="V27" s="75">
        <v>0.0</v>
      </c>
      <c r="W27" s="75">
        <v>0.0</v>
      </c>
      <c r="X27" s="75">
        <v>1.0</v>
      </c>
      <c r="Y27" s="75">
        <v>0.0</v>
      </c>
      <c r="Z27" s="13">
        <f t="shared" si="3"/>
        <v>15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75">
        <v>95.0</v>
      </c>
      <c r="F28" s="75">
        <v>102.0</v>
      </c>
      <c r="G28" s="75">
        <v>106.0</v>
      </c>
      <c r="H28" s="75">
        <v>92.0</v>
      </c>
      <c r="I28" s="75">
        <v>100.0</v>
      </c>
      <c r="J28" s="75">
        <v>97.0</v>
      </c>
      <c r="K28" s="75">
        <v>97.0</v>
      </c>
      <c r="L28" s="75">
        <v>125.0</v>
      </c>
      <c r="M28" s="75">
        <v>113.0</v>
      </c>
      <c r="N28" s="75">
        <v>81.0</v>
      </c>
      <c r="O28" s="75">
        <v>88.0</v>
      </c>
      <c r="P28" s="75">
        <v>88.0</v>
      </c>
      <c r="Q28" s="75">
        <v>106.0</v>
      </c>
      <c r="R28" s="75">
        <v>95.0</v>
      </c>
      <c r="S28" s="75">
        <v>86.0</v>
      </c>
      <c r="T28" s="75">
        <v>98.0</v>
      </c>
      <c r="U28" s="75">
        <v>102.0</v>
      </c>
      <c r="V28" s="75">
        <v>100.0</v>
      </c>
      <c r="W28" s="75">
        <v>91.0</v>
      </c>
      <c r="X28" s="75">
        <v>106.0</v>
      </c>
      <c r="Y28" s="75">
        <v>90.0</v>
      </c>
      <c r="Z28" s="13">
        <f t="shared" si="3"/>
        <v>2058</v>
      </c>
    </row>
    <row r="29" ht="12.75" customHeight="1">
      <c r="A29" s="35"/>
      <c r="B29" s="27"/>
      <c r="C29" s="34"/>
      <c r="D29" s="13" t="s">
        <v>13</v>
      </c>
      <c r="E29" s="75">
        <v>105.0</v>
      </c>
      <c r="F29" s="75">
        <v>108.0</v>
      </c>
      <c r="G29" s="75">
        <v>128.0</v>
      </c>
      <c r="H29" s="75">
        <v>118.0</v>
      </c>
      <c r="I29" s="75">
        <v>120.0</v>
      </c>
      <c r="J29" s="75">
        <v>114.0</v>
      </c>
      <c r="K29" s="75">
        <v>130.0</v>
      </c>
      <c r="L29" s="75">
        <v>118.0</v>
      </c>
      <c r="M29" s="75">
        <v>122.0</v>
      </c>
      <c r="N29" s="75">
        <v>102.0</v>
      </c>
      <c r="O29" s="75">
        <v>88.0</v>
      </c>
      <c r="P29" s="75">
        <v>112.0</v>
      </c>
      <c r="Q29" s="75">
        <v>108.0</v>
      </c>
      <c r="R29" s="75">
        <v>93.0</v>
      </c>
      <c r="S29" s="75">
        <v>91.0</v>
      </c>
      <c r="T29" s="75">
        <v>113.0</v>
      </c>
      <c r="U29" s="75">
        <v>113.0</v>
      </c>
      <c r="V29" s="75">
        <v>112.0</v>
      </c>
      <c r="W29" s="75">
        <v>105.0</v>
      </c>
      <c r="X29" s="75">
        <v>127.0</v>
      </c>
      <c r="Y29" s="75">
        <v>108.0</v>
      </c>
      <c r="Z29" s="13">
        <f t="shared" si="3"/>
        <v>2335</v>
      </c>
    </row>
    <row r="30" ht="12.75" customHeight="1">
      <c r="A30" s="35"/>
      <c r="B30" s="28"/>
      <c r="C30" s="36"/>
      <c r="D30" s="13" t="s">
        <v>14</v>
      </c>
      <c r="E30" s="77">
        <f t="shared" ref="E30:Y30" si="4">SUM(E28:E29)</f>
        <v>200</v>
      </c>
      <c r="F30" s="77">
        <f t="shared" si="4"/>
        <v>210</v>
      </c>
      <c r="G30" s="77">
        <f t="shared" si="4"/>
        <v>234</v>
      </c>
      <c r="H30" s="77">
        <f t="shared" si="4"/>
        <v>210</v>
      </c>
      <c r="I30" s="77">
        <f t="shared" si="4"/>
        <v>220</v>
      </c>
      <c r="J30" s="77">
        <f t="shared" si="4"/>
        <v>211</v>
      </c>
      <c r="K30" s="77">
        <f t="shared" si="4"/>
        <v>227</v>
      </c>
      <c r="L30" s="77">
        <f t="shared" si="4"/>
        <v>243</v>
      </c>
      <c r="M30" s="77">
        <f t="shared" si="4"/>
        <v>235</v>
      </c>
      <c r="N30" s="77">
        <f t="shared" si="4"/>
        <v>183</v>
      </c>
      <c r="O30" s="77">
        <f t="shared" si="4"/>
        <v>176</v>
      </c>
      <c r="P30" s="77">
        <f t="shared" si="4"/>
        <v>200</v>
      </c>
      <c r="Q30" s="77">
        <f t="shared" si="4"/>
        <v>214</v>
      </c>
      <c r="R30" s="77">
        <f t="shared" si="4"/>
        <v>188</v>
      </c>
      <c r="S30" s="77">
        <f t="shared" si="4"/>
        <v>177</v>
      </c>
      <c r="T30" s="77">
        <f t="shared" si="4"/>
        <v>211</v>
      </c>
      <c r="U30" s="77">
        <f t="shared" si="4"/>
        <v>215</v>
      </c>
      <c r="V30" s="77">
        <f t="shared" si="4"/>
        <v>212</v>
      </c>
      <c r="W30" s="77">
        <f t="shared" si="4"/>
        <v>196</v>
      </c>
      <c r="X30" s="77">
        <f t="shared" si="4"/>
        <v>233</v>
      </c>
      <c r="Y30" s="77">
        <f t="shared" si="4"/>
        <v>198</v>
      </c>
      <c r="Z30" s="13">
        <f t="shared" si="3"/>
        <v>4393</v>
      </c>
    </row>
    <row r="31" ht="12.75" customHeight="1">
      <c r="A31" s="24"/>
      <c r="B31" s="15"/>
      <c r="C31" s="15"/>
      <c r="D31" s="1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68"/>
    </row>
    <row r="32" ht="12.75" customHeight="1">
      <c r="A32" s="41" t="s">
        <v>25</v>
      </c>
      <c r="B32" s="14" t="s">
        <v>26</v>
      </c>
      <c r="C32" s="15"/>
      <c r="D32" s="1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68"/>
    </row>
    <row r="33" ht="12.75" customHeight="1">
      <c r="A33" s="19">
        <v>1.0</v>
      </c>
      <c r="B33" s="20" t="s">
        <v>27</v>
      </c>
      <c r="C33" s="15"/>
      <c r="D33" s="16"/>
      <c r="E33" s="74">
        <v>270.0</v>
      </c>
      <c r="F33" s="74">
        <v>292.0</v>
      </c>
      <c r="G33" s="74">
        <v>290.0</v>
      </c>
      <c r="H33" s="74">
        <v>291.0</v>
      </c>
      <c r="I33" s="74">
        <v>276.0</v>
      </c>
      <c r="J33" s="74">
        <v>266.0</v>
      </c>
      <c r="K33" s="74">
        <v>290.0</v>
      </c>
      <c r="L33" s="74">
        <v>294.0</v>
      </c>
      <c r="M33" s="74">
        <v>290.0</v>
      </c>
      <c r="N33" s="74">
        <v>246.0</v>
      </c>
      <c r="O33" s="74">
        <v>240.0</v>
      </c>
      <c r="P33" s="74">
        <v>248.0</v>
      </c>
      <c r="Q33" s="74">
        <v>249.0</v>
      </c>
      <c r="R33" s="74">
        <v>234.0</v>
      </c>
      <c r="S33" s="74">
        <v>230.0</v>
      </c>
      <c r="T33" s="74">
        <v>283.0</v>
      </c>
      <c r="U33" s="74">
        <v>281.0</v>
      </c>
      <c r="V33" s="74">
        <v>268.0</v>
      </c>
      <c r="W33" s="74">
        <v>273.0</v>
      </c>
      <c r="X33" s="74">
        <v>280.0</v>
      </c>
      <c r="Y33" s="74">
        <v>275.0</v>
      </c>
      <c r="Z33" s="13">
        <f t="shared" ref="Z33:Z36" si="5">SUM(E33:Y33)</f>
        <v>5666</v>
      </c>
    </row>
    <row r="34" ht="12.75" customHeight="1">
      <c r="A34" s="19">
        <v>2.0</v>
      </c>
      <c r="B34" s="20" t="s">
        <v>28</v>
      </c>
      <c r="C34" s="15"/>
      <c r="D34" s="16"/>
      <c r="E34" s="78">
        <v>200.0</v>
      </c>
      <c r="F34" s="78">
        <v>210.0</v>
      </c>
      <c r="G34" s="78">
        <v>234.0</v>
      </c>
      <c r="H34" s="78">
        <v>210.0</v>
      </c>
      <c r="I34" s="78">
        <v>220.0</v>
      </c>
      <c r="J34" s="78">
        <v>211.0</v>
      </c>
      <c r="K34" s="78">
        <v>227.0</v>
      </c>
      <c r="L34" s="78">
        <v>243.0</v>
      </c>
      <c r="M34" s="78">
        <v>235.0</v>
      </c>
      <c r="N34" s="78">
        <v>183.0</v>
      </c>
      <c r="O34" s="78">
        <v>176.0</v>
      </c>
      <c r="P34" s="78">
        <v>200.0</v>
      </c>
      <c r="Q34" s="78">
        <v>214.0</v>
      </c>
      <c r="R34" s="78">
        <v>188.0</v>
      </c>
      <c r="S34" s="78">
        <v>177.0</v>
      </c>
      <c r="T34" s="78">
        <v>211.0</v>
      </c>
      <c r="U34" s="78">
        <v>215.0</v>
      </c>
      <c r="V34" s="78">
        <v>212.0</v>
      </c>
      <c r="W34" s="78">
        <v>196.0</v>
      </c>
      <c r="X34" s="78">
        <v>233.0</v>
      </c>
      <c r="Y34" s="78">
        <v>198.0</v>
      </c>
      <c r="Z34" s="13">
        <f t="shared" si="5"/>
        <v>4393</v>
      </c>
    </row>
    <row r="35" ht="12.75" customHeight="1">
      <c r="A35" s="19">
        <v>3.0</v>
      </c>
      <c r="B35" s="20" t="s">
        <v>29</v>
      </c>
      <c r="C35" s="15"/>
      <c r="D35" s="16"/>
      <c r="E35" s="79">
        <v>1.0</v>
      </c>
      <c r="F35" s="74">
        <v>1.0</v>
      </c>
      <c r="G35" s="74">
        <v>0.0</v>
      </c>
      <c r="H35" s="74">
        <v>0.0</v>
      </c>
      <c r="I35" s="79">
        <v>0.0</v>
      </c>
      <c r="J35" s="74">
        <v>0.0</v>
      </c>
      <c r="K35" s="79">
        <v>0.0</v>
      </c>
      <c r="L35" s="79">
        <v>3.0</v>
      </c>
      <c r="M35" s="74">
        <v>0.0</v>
      </c>
      <c r="N35" s="74">
        <v>0.0</v>
      </c>
      <c r="O35" s="74">
        <v>0.0</v>
      </c>
      <c r="P35" s="79">
        <v>1.0</v>
      </c>
      <c r="Q35" s="79">
        <v>1.0</v>
      </c>
      <c r="R35" s="74">
        <v>0.0</v>
      </c>
      <c r="S35" s="79">
        <v>3.0</v>
      </c>
      <c r="T35" s="79">
        <v>1.0</v>
      </c>
      <c r="U35" s="74">
        <v>0.0</v>
      </c>
      <c r="V35" s="74">
        <v>1.0</v>
      </c>
      <c r="W35" s="74">
        <v>0.0</v>
      </c>
      <c r="X35" s="79">
        <v>2.0</v>
      </c>
      <c r="Y35" s="74">
        <v>0.0</v>
      </c>
      <c r="Z35" s="13">
        <f t="shared" si="5"/>
        <v>14</v>
      </c>
    </row>
    <row r="36" ht="12.75" customHeight="1">
      <c r="A36" s="19">
        <v>4.0</v>
      </c>
      <c r="B36" s="20" t="s">
        <v>30</v>
      </c>
      <c r="C36" s="15"/>
      <c r="D36" s="16"/>
      <c r="E36" s="80">
        <v>69.0</v>
      </c>
      <c r="F36" s="75">
        <v>81.0</v>
      </c>
      <c r="G36" s="75">
        <v>56.0</v>
      </c>
      <c r="H36" s="75">
        <v>81.0</v>
      </c>
      <c r="I36" s="80">
        <v>56.0</v>
      </c>
      <c r="J36" s="75">
        <v>55.0</v>
      </c>
      <c r="K36" s="80">
        <v>60.0</v>
      </c>
      <c r="L36" s="75">
        <v>51.0</v>
      </c>
      <c r="M36" s="75">
        <v>55.0</v>
      </c>
      <c r="N36" s="75">
        <v>63.0</v>
      </c>
      <c r="O36" s="75">
        <v>64.0</v>
      </c>
      <c r="P36" s="80">
        <v>47.0</v>
      </c>
      <c r="Q36" s="80">
        <v>34.0</v>
      </c>
      <c r="R36" s="75">
        <v>46.0</v>
      </c>
      <c r="S36" s="80">
        <v>50.0</v>
      </c>
      <c r="T36" s="80">
        <v>71.0</v>
      </c>
      <c r="U36" s="75">
        <v>66.0</v>
      </c>
      <c r="V36" s="75">
        <v>55.0</v>
      </c>
      <c r="W36" s="75">
        <v>77.0</v>
      </c>
      <c r="X36" s="80">
        <v>45.0</v>
      </c>
      <c r="Y36" s="75">
        <v>77.0</v>
      </c>
      <c r="Z36" s="13">
        <f t="shared" si="5"/>
        <v>1259</v>
      </c>
    </row>
    <row r="37" ht="12.75" customHeight="1">
      <c r="A37" s="24"/>
      <c r="B37" s="15"/>
      <c r="C37" s="15"/>
      <c r="D37" s="15"/>
      <c r="E37" s="81"/>
      <c r="F37" s="15"/>
      <c r="G37" s="15"/>
      <c r="H37" s="15"/>
      <c r="I37" s="16"/>
      <c r="J37" s="76"/>
      <c r="K37" s="76"/>
      <c r="L37" s="76"/>
      <c r="M37" s="76"/>
      <c r="N37" s="76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68"/>
    </row>
    <row r="38" ht="12.75" customHeight="1">
      <c r="A38" s="42" t="s">
        <v>31</v>
      </c>
      <c r="B38" s="14" t="s">
        <v>32</v>
      </c>
      <c r="C38" s="15"/>
      <c r="D38" s="1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68"/>
    </row>
    <row r="39" ht="12.75" customHeight="1">
      <c r="A39" s="30"/>
      <c r="B39" s="43" t="s">
        <v>33</v>
      </c>
      <c r="C39" s="23"/>
      <c r="D39" s="19" t="s">
        <v>12</v>
      </c>
      <c r="E39" s="74">
        <v>0.0</v>
      </c>
      <c r="F39" s="74">
        <v>0.0</v>
      </c>
      <c r="G39" s="79">
        <v>0.0</v>
      </c>
      <c r="H39" s="74">
        <v>0.0</v>
      </c>
      <c r="I39" s="74">
        <v>0.0</v>
      </c>
      <c r="J39" s="74">
        <v>0.0</v>
      </c>
      <c r="K39" s="74">
        <v>0.0</v>
      </c>
      <c r="L39" s="74">
        <v>2.0</v>
      </c>
      <c r="M39" s="74">
        <v>0.0</v>
      </c>
      <c r="N39" s="74">
        <v>0.0</v>
      </c>
      <c r="O39" s="74">
        <v>0.0</v>
      </c>
      <c r="P39" s="74">
        <v>0.0</v>
      </c>
      <c r="Q39" s="74">
        <v>0.0</v>
      </c>
      <c r="R39" s="74">
        <v>0.0</v>
      </c>
      <c r="S39" s="74">
        <v>1.0</v>
      </c>
      <c r="T39" s="74">
        <v>0.0</v>
      </c>
      <c r="U39" s="74">
        <v>0.0</v>
      </c>
      <c r="V39" s="74">
        <v>0.0</v>
      </c>
      <c r="W39" s="74">
        <v>0.0</v>
      </c>
      <c r="X39" s="74">
        <v>0.0</v>
      </c>
      <c r="Y39" s="74">
        <v>0.0</v>
      </c>
      <c r="Z39" s="13">
        <f t="shared" ref="Z39:Z41" si="6">SUM(E39:Y39)</f>
        <v>3</v>
      </c>
    </row>
    <row r="40" ht="12.75" customHeight="1">
      <c r="A40" s="33"/>
      <c r="C40" s="27"/>
      <c r="D40" s="19" t="s">
        <v>13</v>
      </c>
      <c r="E40" s="74">
        <v>0.0</v>
      </c>
      <c r="F40" s="74">
        <v>1.0</v>
      </c>
      <c r="G40" s="74">
        <v>0.0</v>
      </c>
      <c r="H40" s="74">
        <v>0.0</v>
      </c>
      <c r="I40" s="74">
        <v>0.0</v>
      </c>
      <c r="J40" s="74">
        <v>0.0</v>
      </c>
      <c r="K40" s="74">
        <v>2.0</v>
      </c>
      <c r="L40" s="74">
        <v>1.0</v>
      </c>
      <c r="M40" s="74">
        <v>0.0</v>
      </c>
      <c r="N40" s="74">
        <v>1.0</v>
      </c>
      <c r="O40" s="74">
        <v>0.0</v>
      </c>
      <c r="P40" s="74">
        <v>0.0</v>
      </c>
      <c r="Q40" s="74">
        <v>0.0</v>
      </c>
      <c r="R40" s="74">
        <v>0.0</v>
      </c>
      <c r="S40" s="74">
        <v>0.0</v>
      </c>
      <c r="T40" s="74">
        <v>0.0</v>
      </c>
      <c r="U40" s="74">
        <v>0.0</v>
      </c>
      <c r="V40" s="74">
        <v>0.0</v>
      </c>
      <c r="W40" s="74">
        <v>0.0</v>
      </c>
      <c r="X40" s="74">
        <v>1.0</v>
      </c>
      <c r="Y40" s="74">
        <v>0.0</v>
      </c>
      <c r="Z40" s="13">
        <f t="shared" si="6"/>
        <v>6</v>
      </c>
    </row>
    <row r="41" ht="12.75" customHeight="1">
      <c r="A41" s="41"/>
      <c r="B41" s="44"/>
      <c r="C41" s="28"/>
      <c r="D41" s="13" t="s">
        <v>14</v>
      </c>
      <c r="E41" s="13">
        <f t="shared" ref="E41:Y41" si="7">SUM(E39:E40)</f>
        <v>0</v>
      </c>
      <c r="F41" s="13">
        <f t="shared" si="7"/>
        <v>1</v>
      </c>
      <c r="G41" s="13">
        <f t="shared" si="7"/>
        <v>0</v>
      </c>
      <c r="H41" s="13">
        <f t="shared" si="7"/>
        <v>0</v>
      </c>
      <c r="I41" s="13">
        <f t="shared" si="7"/>
        <v>0</v>
      </c>
      <c r="J41" s="13">
        <f t="shared" si="7"/>
        <v>0</v>
      </c>
      <c r="K41" s="13">
        <f t="shared" si="7"/>
        <v>2</v>
      </c>
      <c r="L41" s="13">
        <f t="shared" si="7"/>
        <v>3</v>
      </c>
      <c r="M41" s="13">
        <f t="shared" si="7"/>
        <v>0</v>
      </c>
      <c r="N41" s="13">
        <f t="shared" si="7"/>
        <v>1</v>
      </c>
      <c r="O41" s="13">
        <f t="shared" si="7"/>
        <v>0</v>
      </c>
      <c r="P41" s="13">
        <f t="shared" si="7"/>
        <v>0</v>
      </c>
      <c r="Q41" s="13">
        <f t="shared" si="7"/>
        <v>0</v>
      </c>
      <c r="R41" s="13">
        <f t="shared" si="7"/>
        <v>0</v>
      </c>
      <c r="S41" s="13">
        <f t="shared" si="7"/>
        <v>1</v>
      </c>
      <c r="T41" s="13">
        <f t="shared" si="7"/>
        <v>0</v>
      </c>
      <c r="U41" s="13">
        <f t="shared" si="7"/>
        <v>0</v>
      </c>
      <c r="V41" s="13">
        <f t="shared" si="7"/>
        <v>0</v>
      </c>
      <c r="W41" s="13">
        <f t="shared" si="7"/>
        <v>0</v>
      </c>
      <c r="X41" s="13">
        <f t="shared" si="7"/>
        <v>1</v>
      </c>
      <c r="Y41" s="13">
        <f t="shared" si="7"/>
        <v>0</v>
      </c>
      <c r="Z41" s="13">
        <f t="shared" si="6"/>
        <v>9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67"/>
      <c r="Q42" s="19"/>
      <c r="R42" s="67"/>
      <c r="S42" s="19"/>
      <c r="T42" s="67"/>
      <c r="U42" s="19"/>
      <c r="V42" s="67"/>
      <c r="W42" s="19"/>
      <c r="X42" s="67"/>
      <c r="Y42" s="19"/>
      <c r="Z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3.0</v>
      </c>
      <c r="F45" s="66">
        <v>9.0</v>
      </c>
      <c r="G45" s="66">
        <v>10.0</v>
      </c>
      <c r="H45" s="66">
        <v>4.0</v>
      </c>
      <c r="I45" s="66">
        <v>5.0</v>
      </c>
      <c r="J45" s="66">
        <v>10.0</v>
      </c>
      <c r="K45" s="66">
        <v>4.0</v>
      </c>
      <c r="L45" s="66">
        <v>5.0</v>
      </c>
      <c r="M45" s="66">
        <v>3.0</v>
      </c>
      <c r="N45" s="66">
        <v>9.0</v>
      </c>
      <c r="O45" s="66">
        <v>3.0</v>
      </c>
      <c r="P45" s="66">
        <v>8.0</v>
      </c>
      <c r="Q45" s="66">
        <v>4.0</v>
      </c>
      <c r="R45" s="66">
        <v>4.0</v>
      </c>
      <c r="S45" s="66">
        <v>3.0</v>
      </c>
      <c r="T45" s="66">
        <v>17.0</v>
      </c>
      <c r="U45" s="66">
        <v>0.0</v>
      </c>
      <c r="V45" s="66">
        <v>7.0</v>
      </c>
      <c r="W45" s="66">
        <v>12.0</v>
      </c>
      <c r="X45" s="66">
        <v>10.0</v>
      </c>
      <c r="Y45" s="66">
        <v>5.0</v>
      </c>
      <c r="Z45" s="13">
        <f t="shared" ref="Z45:Z192" si="8">SUM(E45:Y45)</f>
        <v>135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22.0</v>
      </c>
      <c r="F46" s="66">
        <v>54.0</v>
      </c>
      <c r="G46" s="66">
        <v>59.0</v>
      </c>
      <c r="H46" s="66">
        <v>27.0</v>
      </c>
      <c r="I46" s="66">
        <v>16.0</v>
      </c>
      <c r="J46" s="66">
        <v>30.0</v>
      </c>
      <c r="K46" s="66">
        <v>41.0</v>
      </c>
      <c r="L46" s="66">
        <v>40.0</v>
      </c>
      <c r="M46" s="66">
        <v>25.0</v>
      </c>
      <c r="N46" s="66">
        <v>45.0</v>
      </c>
      <c r="O46" s="66">
        <v>19.0</v>
      </c>
      <c r="P46" s="66">
        <v>23.0</v>
      </c>
      <c r="Q46" s="66">
        <v>22.0</v>
      </c>
      <c r="R46" s="66">
        <v>9.0</v>
      </c>
      <c r="S46" s="66">
        <v>16.0</v>
      </c>
      <c r="T46" s="66">
        <v>64.0</v>
      </c>
      <c r="U46" s="66">
        <v>112.0</v>
      </c>
      <c r="V46" s="66">
        <v>61.0</v>
      </c>
      <c r="W46" s="66">
        <v>47.0</v>
      </c>
      <c r="X46" s="66">
        <v>73.0</v>
      </c>
      <c r="Y46" s="66">
        <v>84.0</v>
      </c>
      <c r="Z46" s="13">
        <f t="shared" si="8"/>
        <v>889</v>
      </c>
    </row>
    <row r="47" ht="12.75" customHeight="1">
      <c r="A47" s="18"/>
      <c r="B47" s="49"/>
      <c r="C47" s="50" t="s">
        <v>41</v>
      </c>
      <c r="D47" s="51"/>
      <c r="E47" s="66">
        <v>2.0</v>
      </c>
      <c r="F47" s="66">
        <v>0.0</v>
      </c>
      <c r="G47" s="66">
        <v>0.0</v>
      </c>
      <c r="H47" s="66">
        <v>0.0</v>
      </c>
      <c r="I47" s="66">
        <v>1.0</v>
      </c>
      <c r="J47" s="66">
        <v>0.0</v>
      </c>
      <c r="K47" s="66">
        <v>0.0</v>
      </c>
      <c r="L47" s="66">
        <v>1.0</v>
      </c>
      <c r="M47" s="66">
        <v>0.0</v>
      </c>
      <c r="N47" s="66">
        <v>4.0</v>
      </c>
      <c r="O47" s="66">
        <v>0.0</v>
      </c>
      <c r="P47" s="66">
        <v>1.0</v>
      </c>
      <c r="Q47" s="66">
        <v>1.0</v>
      </c>
      <c r="R47" s="66">
        <v>0.0</v>
      </c>
      <c r="S47" s="66">
        <v>0.0</v>
      </c>
      <c r="T47" s="66">
        <v>2.0</v>
      </c>
      <c r="U47" s="66">
        <v>0.0</v>
      </c>
      <c r="V47" s="66">
        <v>0.0</v>
      </c>
      <c r="W47" s="66">
        <v>0.0</v>
      </c>
      <c r="X47" s="66">
        <v>2.0</v>
      </c>
      <c r="Y47" s="66">
        <v>0.0</v>
      </c>
      <c r="Z47" s="13">
        <f t="shared" si="8"/>
        <v>14</v>
      </c>
    </row>
    <row r="48" ht="12.75" customHeight="1">
      <c r="A48" s="18"/>
      <c r="B48" s="49"/>
      <c r="C48" s="50" t="s">
        <v>42</v>
      </c>
      <c r="D48" s="51"/>
      <c r="E48" s="66">
        <v>4.0</v>
      </c>
      <c r="F48" s="66">
        <v>1.0</v>
      </c>
      <c r="G48" s="66">
        <v>12.0</v>
      </c>
      <c r="H48" s="66">
        <v>5.0</v>
      </c>
      <c r="I48" s="66">
        <v>3.0</v>
      </c>
      <c r="J48" s="66">
        <v>3.0</v>
      </c>
      <c r="K48" s="66">
        <v>5.0</v>
      </c>
      <c r="L48" s="66">
        <v>4.0</v>
      </c>
      <c r="M48" s="66">
        <v>14.0</v>
      </c>
      <c r="N48" s="66">
        <v>0.0</v>
      </c>
      <c r="O48" s="66">
        <v>0.0</v>
      </c>
      <c r="P48" s="66">
        <v>3.0</v>
      </c>
      <c r="Q48" s="66">
        <v>3.0</v>
      </c>
      <c r="R48" s="66">
        <v>0.0</v>
      </c>
      <c r="S48" s="66">
        <v>15.0</v>
      </c>
      <c r="T48" s="66">
        <v>3.0</v>
      </c>
      <c r="U48" s="66">
        <v>6.0</v>
      </c>
      <c r="V48" s="66">
        <v>2.0</v>
      </c>
      <c r="W48" s="66">
        <v>0.0</v>
      </c>
      <c r="X48" s="66">
        <v>3.0</v>
      </c>
      <c r="Y48" s="66">
        <v>0.0</v>
      </c>
      <c r="Z48" s="13">
        <f t="shared" si="8"/>
        <v>86</v>
      </c>
    </row>
    <row r="49" ht="12.75" customHeight="1">
      <c r="A49" s="18"/>
      <c r="B49" s="49"/>
      <c r="C49" s="50" t="s">
        <v>43</v>
      </c>
      <c r="D49" s="51"/>
      <c r="E49" s="66">
        <v>0.0</v>
      </c>
      <c r="F49" s="66">
        <v>0.0</v>
      </c>
      <c r="G49" s="66">
        <v>0.0</v>
      </c>
      <c r="H49" s="66">
        <v>0.0</v>
      </c>
      <c r="I49" s="66">
        <v>0.0</v>
      </c>
      <c r="J49" s="66">
        <v>0.0</v>
      </c>
      <c r="K49" s="66">
        <v>0.0</v>
      </c>
      <c r="L49" s="66">
        <v>1.0</v>
      </c>
      <c r="M49" s="66">
        <v>1.0</v>
      </c>
      <c r="N49" s="66">
        <v>3.0</v>
      </c>
      <c r="O49" s="66">
        <v>0.0</v>
      </c>
      <c r="P49" s="66">
        <v>0.0</v>
      </c>
      <c r="Q49" s="66">
        <v>0.0</v>
      </c>
      <c r="R49" s="66">
        <v>0.0</v>
      </c>
      <c r="S49" s="66">
        <v>0.0</v>
      </c>
      <c r="T49" s="66">
        <v>5.0</v>
      </c>
      <c r="U49" s="66">
        <v>0.0</v>
      </c>
      <c r="V49" s="66">
        <v>0.0</v>
      </c>
      <c r="W49" s="66">
        <v>2.0</v>
      </c>
      <c r="X49" s="66">
        <v>0.0</v>
      </c>
      <c r="Y49" s="66">
        <v>2.0</v>
      </c>
      <c r="Z49" s="13">
        <f t="shared" si="8"/>
        <v>14</v>
      </c>
    </row>
    <row r="50" ht="12.75" customHeight="1">
      <c r="A50" s="18"/>
      <c r="B50" s="49"/>
      <c r="C50" s="50" t="s">
        <v>44</v>
      </c>
      <c r="D50" s="51"/>
      <c r="E50" s="66">
        <v>0.0</v>
      </c>
      <c r="F50" s="66">
        <v>0.0</v>
      </c>
      <c r="G50" s="66">
        <v>0.0</v>
      </c>
      <c r="H50" s="66">
        <v>0.0</v>
      </c>
      <c r="I50" s="66">
        <v>0.0</v>
      </c>
      <c r="J50" s="66">
        <v>0.0</v>
      </c>
      <c r="K50" s="66">
        <v>0.0</v>
      </c>
      <c r="L50" s="66">
        <v>0.0</v>
      </c>
      <c r="M50" s="66">
        <v>0.0</v>
      </c>
      <c r="N50" s="66">
        <v>1.0</v>
      </c>
      <c r="O50" s="66">
        <v>0.0</v>
      </c>
      <c r="P50" s="66">
        <v>0.0</v>
      </c>
      <c r="Q50" s="66">
        <v>0.0</v>
      </c>
      <c r="R50" s="66">
        <v>0.0</v>
      </c>
      <c r="S50" s="66">
        <v>0.0</v>
      </c>
      <c r="T50" s="66">
        <v>0.0</v>
      </c>
      <c r="U50" s="66">
        <v>0.0</v>
      </c>
      <c r="V50" s="66">
        <v>0.0</v>
      </c>
      <c r="W50" s="66">
        <v>0.0</v>
      </c>
      <c r="X50" s="66">
        <v>0.0</v>
      </c>
      <c r="Y50" s="66">
        <v>0.0</v>
      </c>
      <c r="Z50" s="13">
        <f t="shared" si="8"/>
        <v>1</v>
      </c>
    </row>
    <row r="51" ht="12.75" customHeight="1">
      <c r="A51" s="18"/>
      <c r="B51" s="49"/>
      <c r="C51" s="50" t="s">
        <v>45</v>
      </c>
      <c r="D51" s="51"/>
      <c r="E51" s="66">
        <v>0.0</v>
      </c>
      <c r="F51" s="66">
        <v>0.0</v>
      </c>
      <c r="G51" s="66">
        <v>0.0</v>
      </c>
      <c r="H51" s="66">
        <v>0.0</v>
      </c>
      <c r="I51" s="66">
        <v>1.0</v>
      </c>
      <c r="J51" s="66">
        <v>0.0</v>
      </c>
      <c r="K51" s="66">
        <v>0.0</v>
      </c>
      <c r="L51" s="66">
        <v>0.0</v>
      </c>
      <c r="M51" s="66">
        <v>0.0</v>
      </c>
      <c r="N51" s="66">
        <v>0.0</v>
      </c>
      <c r="O51" s="66">
        <v>0.0</v>
      </c>
      <c r="P51" s="66">
        <v>0.0</v>
      </c>
      <c r="Q51" s="66">
        <v>0.0</v>
      </c>
      <c r="R51" s="66">
        <v>1.0</v>
      </c>
      <c r="S51" s="66">
        <v>0.0</v>
      </c>
      <c r="T51" s="66">
        <v>0.0</v>
      </c>
      <c r="U51" s="66">
        <v>0.0</v>
      </c>
      <c r="V51" s="66">
        <v>2.0</v>
      </c>
      <c r="W51" s="66">
        <v>0.0</v>
      </c>
      <c r="X51" s="66">
        <v>0.0</v>
      </c>
      <c r="Y51" s="66">
        <v>0.0</v>
      </c>
      <c r="Z51" s="13">
        <f t="shared" si="8"/>
        <v>4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Y52" si="9">SUM(E45:E51)</f>
        <v>31</v>
      </c>
      <c r="F52" s="13">
        <f t="shared" si="9"/>
        <v>64</v>
      </c>
      <c r="G52" s="13">
        <f t="shared" si="9"/>
        <v>81</v>
      </c>
      <c r="H52" s="13">
        <f t="shared" si="9"/>
        <v>36</v>
      </c>
      <c r="I52" s="13">
        <f t="shared" si="9"/>
        <v>26</v>
      </c>
      <c r="J52" s="13">
        <f t="shared" si="9"/>
        <v>43</v>
      </c>
      <c r="K52" s="13">
        <f t="shared" si="9"/>
        <v>50</v>
      </c>
      <c r="L52" s="13">
        <f t="shared" si="9"/>
        <v>51</v>
      </c>
      <c r="M52" s="13">
        <f t="shared" si="9"/>
        <v>43</v>
      </c>
      <c r="N52" s="13">
        <f t="shared" si="9"/>
        <v>62</v>
      </c>
      <c r="O52" s="13">
        <f t="shared" si="9"/>
        <v>22</v>
      </c>
      <c r="P52" s="13">
        <f t="shared" si="9"/>
        <v>35</v>
      </c>
      <c r="Q52" s="13">
        <f t="shared" si="9"/>
        <v>30</v>
      </c>
      <c r="R52" s="13">
        <f t="shared" si="9"/>
        <v>14</v>
      </c>
      <c r="S52" s="13">
        <f t="shared" si="9"/>
        <v>34</v>
      </c>
      <c r="T52" s="13">
        <f t="shared" si="9"/>
        <v>91</v>
      </c>
      <c r="U52" s="13">
        <f t="shared" si="9"/>
        <v>118</v>
      </c>
      <c r="V52" s="13">
        <f t="shared" si="9"/>
        <v>72</v>
      </c>
      <c r="W52" s="13">
        <f t="shared" si="9"/>
        <v>61</v>
      </c>
      <c r="X52" s="13">
        <f t="shared" si="9"/>
        <v>88</v>
      </c>
      <c r="Y52" s="13">
        <f t="shared" si="9"/>
        <v>91</v>
      </c>
      <c r="Z52" s="13">
        <f t="shared" si="8"/>
        <v>1143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13">
        <f t="shared" si="8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4.0</v>
      </c>
      <c r="F54" s="66">
        <v>6.0</v>
      </c>
      <c r="G54" s="66">
        <v>6.0</v>
      </c>
      <c r="H54" s="66">
        <v>9.0</v>
      </c>
      <c r="I54" s="66">
        <v>1.0</v>
      </c>
      <c r="J54" s="66">
        <v>7.0</v>
      </c>
      <c r="K54" s="66">
        <v>5.0</v>
      </c>
      <c r="L54" s="66">
        <v>1.0</v>
      </c>
      <c r="M54" s="66">
        <v>4.0</v>
      </c>
      <c r="N54" s="66">
        <v>1.0</v>
      </c>
      <c r="O54" s="66">
        <v>2.0</v>
      </c>
      <c r="P54" s="66">
        <v>3.0</v>
      </c>
      <c r="Q54" s="66">
        <v>11.0</v>
      </c>
      <c r="R54" s="66">
        <v>5.0</v>
      </c>
      <c r="S54" s="66">
        <v>3.0</v>
      </c>
      <c r="T54" s="66">
        <v>3.0</v>
      </c>
      <c r="U54" s="66">
        <v>1.0</v>
      </c>
      <c r="V54" s="66">
        <v>5.0</v>
      </c>
      <c r="W54" s="66">
        <v>4.0</v>
      </c>
      <c r="X54" s="66">
        <v>4.0</v>
      </c>
      <c r="Y54" s="66">
        <v>2.0</v>
      </c>
      <c r="Z54" s="13">
        <f t="shared" si="8"/>
        <v>87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1.0</v>
      </c>
      <c r="F55" s="66">
        <v>5.0</v>
      </c>
      <c r="G55" s="66">
        <v>1.0</v>
      </c>
      <c r="H55" s="66">
        <v>1.0</v>
      </c>
      <c r="I55" s="66">
        <v>1.0</v>
      </c>
      <c r="J55" s="66">
        <v>2.0</v>
      </c>
      <c r="K55" s="66">
        <v>4.0</v>
      </c>
      <c r="L55" s="66">
        <v>3.0</v>
      </c>
      <c r="M55" s="66">
        <v>0.0</v>
      </c>
      <c r="N55" s="66">
        <v>2.0</v>
      </c>
      <c r="O55" s="66">
        <v>3.0</v>
      </c>
      <c r="P55" s="66">
        <v>9.0</v>
      </c>
      <c r="Q55" s="66">
        <v>1.0</v>
      </c>
      <c r="R55" s="66">
        <v>2.0</v>
      </c>
      <c r="S55" s="66">
        <v>1.0</v>
      </c>
      <c r="T55" s="66">
        <v>1.0</v>
      </c>
      <c r="U55" s="66">
        <v>0.0</v>
      </c>
      <c r="V55" s="66">
        <v>1.0</v>
      </c>
      <c r="W55" s="66">
        <v>1.0</v>
      </c>
      <c r="X55" s="66">
        <v>2.0</v>
      </c>
      <c r="Y55" s="66">
        <v>2.0</v>
      </c>
      <c r="Z55" s="13">
        <f t="shared" si="8"/>
        <v>43</v>
      </c>
    </row>
    <row r="56" ht="12.75" customHeight="1">
      <c r="A56" s="18"/>
      <c r="B56" s="49"/>
      <c r="C56" s="50" t="s">
        <v>49</v>
      </c>
      <c r="D56" s="51"/>
      <c r="E56" s="66">
        <v>2.0</v>
      </c>
      <c r="F56" s="66">
        <v>0.0</v>
      </c>
      <c r="G56" s="66">
        <v>0.0</v>
      </c>
      <c r="H56" s="66">
        <v>0.0</v>
      </c>
      <c r="I56" s="66">
        <v>1.0</v>
      </c>
      <c r="J56" s="66">
        <v>0.0</v>
      </c>
      <c r="K56" s="66">
        <v>1.0</v>
      </c>
      <c r="L56" s="66">
        <v>0.0</v>
      </c>
      <c r="M56" s="66">
        <v>1.0</v>
      </c>
      <c r="N56" s="66">
        <v>0.0</v>
      </c>
      <c r="O56" s="66">
        <v>0.0</v>
      </c>
      <c r="P56" s="66">
        <v>3.0</v>
      </c>
      <c r="Q56" s="66">
        <v>0.0</v>
      </c>
      <c r="R56" s="66">
        <v>1.0</v>
      </c>
      <c r="S56" s="66">
        <v>0.0</v>
      </c>
      <c r="T56" s="66">
        <v>1.0</v>
      </c>
      <c r="U56" s="66">
        <v>1.0</v>
      </c>
      <c r="V56" s="66">
        <v>1.0</v>
      </c>
      <c r="W56" s="66">
        <v>1.0</v>
      </c>
      <c r="X56" s="66">
        <v>0.0</v>
      </c>
      <c r="Y56" s="66">
        <v>0.0</v>
      </c>
      <c r="Z56" s="13">
        <f t="shared" si="8"/>
        <v>13</v>
      </c>
    </row>
    <row r="57" ht="12.75" customHeight="1">
      <c r="A57" s="18"/>
      <c r="B57" s="49"/>
      <c r="C57" s="50" t="s">
        <v>50</v>
      </c>
      <c r="D57" s="51"/>
      <c r="E57" s="66">
        <v>0.0</v>
      </c>
      <c r="F57" s="66">
        <v>1.0</v>
      </c>
      <c r="G57" s="66">
        <v>0.0</v>
      </c>
      <c r="H57" s="66">
        <v>0.0</v>
      </c>
      <c r="I57" s="66">
        <v>0.0</v>
      </c>
      <c r="J57" s="66">
        <v>0.0</v>
      </c>
      <c r="K57" s="66">
        <v>0.0</v>
      </c>
      <c r="L57" s="66">
        <v>0.0</v>
      </c>
      <c r="M57" s="66">
        <v>0.0</v>
      </c>
      <c r="N57" s="66">
        <v>0.0</v>
      </c>
      <c r="O57" s="66">
        <v>0.0</v>
      </c>
      <c r="P57" s="66">
        <v>1.0</v>
      </c>
      <c r="Q57" s="66">
        <v>0.0</v>
      </c>
      <c r="R57" s="66">
        <v>0.0</v>
      </c>
      <c r="S57" s="66">
        <v>0.0</v>
      </c>
      <c r="T57" s="66">
        <v>0.0</v>
      </c>
      <c r="U57" s="66">
        <v>0.0</v>
      </c>
      <c r="V57" s="66">
        <v>0.0</v>
      </c>
      <c r="W57" s="66">
        <v>0.0</v>
      </c>
      <c r="X57" s="66">
        <v>0.0</v>
      </c>
      <c r="Y57" s="66">
        <v>1.0</v>
      </c>
      <c r="Z57" s="13">
        <f t="shared" si="8"/>
        <v>3</v>
      </c>
    </row>
    <row r="58" ht="12.75" customHeight="1">
      <c r="A58" s="18"/>
      <c r="B58" s="49"/>
      <c r="C58" s="50" t="s">
        <v>51</v>
      </c>
      <c r="D58" s="51"/>
      <c r="E58" s="66">
        <v>9.0</v>
      </c>
      <c r="F58" s="66">
        <v>7.0</v>
      </c>
      <c r="G58" s="66">
        <v>12.0</v>
      </c>
      <c r="H58" s="66">
        <v>28.0</v>
      </c>
      <c r="I58" s="66">
        <v>5.0</v>
      </c>
      <c r="J58" s="66">
        <v>15.0</v>
      </c>
      <c r="K58" s="66">
        <v>6.0</v>
      </c>
      <c r="L58" s="66">
        <v>8.0</v>
      </c>
      <c r="M58" s="66">
        <v>39.0</v>
      </c>
      <c r="N58" s="66">
        <v>7.0</v>
      </c>
      <c r="O58" s="66">
        <v>8.0</v>
      </c>
      <c r="P58" s="66">
        <v>7.0</v>
      </c>
      <c r="Q58" s="66">
        <v>34.0</v>
      </c>
      <c r="R58" s="66">
        <v>18.0</v>
      </c>
      <c r="S58" s="66">
        <v>26.0</v>
      </c>
      <c r="T58" s="66">
        <v>6.0</v>
      </c>
      <c r="U58" s="66">
        <v>0.0</v>
      </c>
      <c r="V58" s="66">
        <v>11.0</v>
      </c>
      <c r="W58" s="66">
        <v>0.0</v>
      </c>
      <c r="X58" s="66">
        <v>0.0</v>
      </c>
      <c r="Y58" s="66">
        <v>5.0</v>
      </c>
      <c r="Z58" s="13">
        <f t="shared" si="8"/>
        <v>251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0.0</v>
      </c>
      <c r="O59" s="66">
        <v>1.0</v>
      </c>
      <c r="P59" s="66">
        <v>0.0</v>
      </c>
      <c r="Q59" s="66">
        <v>1.0</v>
      </c>
      <c r="R59" s="66">
        <v>0.0</v>
      </c>
      <c r="S59" s="66">
        <v>0.0</v>
      </c>
      <c r="T59" s="66">
        <v>0.0</v>
      </c>
      <c r="U59" s="66">
        <v>1.0</v>
      </c>
      <c r="V59" s="66">
        <v>1.0</v>
      </c>
      <c r="W59" s="66">
        <v>0.0</v>
      </c>
      <c r="X59" s="66">
        <v>0.0</v>
      </c>
      <c r="Y59" s="66">
        <v>0.0</v>
      </c>
      <c r="Z59" s="13">
        <f t="shared" si="8"/>
        <v>4</v>
      </c>
    </row>
    <row r="60" ht="12.75" customHeight="1">
      <c r="A60" s="18"/>
      <c r="B60" s="49"/>
      <c r="C60" s="50" t="s">
        <v>53</v>
      </c>
      <c r="D60" s="51"/>
      <c r="E60" s="66">
        <v>5.0</v>
      </c>
      <c r="F60" s="66">
        <v>1.0</v>
      </c>
      <c r="G60" s="66">
        <v>2.0</v>
      </c>
      <c r="H60" s="66">
        <v>1.0</v>
      </c>
      <c r="I60" s="66">
        <v>1.0</v>
      </c>
      <c r="J60" s="66">
        <v>4.0</v>
      </c>
      <c r="K60" s="66">
        <v>0.0</v>
      </c>
      <c r="L60" s="66">
        <v>2.0</v>
      </c>
      <c r="M60" s="66">
        <v>2.0</v>
      </c>
      <c r="N60" s="66">
        <v>0.0</v>
      </c>
      <c r="O60" s="66">
        <v>0.0</v>
      </c>
      <c r="P60" s="66">
        <v>0.0</v>
      </c>
      <c r="Q60" s="66">
        <v>8.0</v>
      </c>
      <c r="R60" s="66">
        <v>2.0</v>
      </c>
      <c r="S60" s="66">
        <v>4.0</v>
      </c>
      <c r="T60" s="66">
        <v>2.0</v>
      </c>
      <c r="U60" s="66">
        <v>0.0</v>
      </c>
      <c r="V60" s="66">
        <v>1.0</v>
      </c>
      <c r="W60" s="66">
        <v>0.0</v>
      </c>
      <c r="X60" s="66">
        <v>0.0</v>
      </c>
      <c r="Y60" s="66">
        <v>0.0</v>
      </c>
      <c r="Z60" s="13">
        <f t="shared" si="8"/>
        <v>35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Y61" si="10">SUM(E54:E60)</f>
        <v>21</v>
      </c>
      <c r="F61" s="13">
        <f t="shared" si="10"/>
        <v>20</v>
      </c>
      <c r="G61" s="13">
        <f t="shared" si="10"/>
        <v>21</v>
      </c>
      <c r="H61" s="13">
        <f t="shared" si="10"/>
        <v>39</v>
      </c>
      <c r="I61" s="13">
        <f t="shared" si="10"/>
        <v>9</v>
      </c>
      <c r="J61" s="13">
        <f t="shared" si="10"/>
        <v>28</v>
      </c>
      <c r="K61" s="13">
        <f t="shared" si="10"/>
        <v>16</v>
      </c>
      <c r="L61" s="13">
        <f t="shared" si="10"/>
        <v>14</v>
      </c>
      <c r="M61" s="13">
        <f t="shared" si="10"/>
        <v>46</v>
      </c>
      <c r="N61" s="13">
        <f t="shared" si="10"/>
        <v>10</v>
      </c>
      <c r="O61" s="13">
        <f t="shared" si="10"/>
        <v>14</v>
      </c>
      <c r="P61" s="13">
        <f t="shared" si="10"/>
        <v>23</v>
      </c>
      <c r="Q61" s="13">
        <f t="shared" si="10"/>
        <v>55</v>
      </c>
      <c r="R61" s="13">
        <f t="shared" si="10"/>
        <v>28</v>
      </c>
      <c r="S61" s="13">
        <f t="shared" si="10"/>
        <v>34</v>
      </c>
      <c r="T61" s="13">
        <f t="shared" si="10"/>
        <v>13</v>
      </c>
      <c r="U61" s="13">
        <f t="shared" si="10"/>
        <v>3</v>
      </c>
      <c r="V61" s="13">
        <f t="shared" si="10"/>
        <v>20</v>
      </c>
      <c r="W61" s="13">
        <f t="shared" si="10"/>
        <v>6</v>
      </c>
      <c r="X61" s="13">
        <f t="shared" si="10"/>
        <v>6</v>
      </c>
      <c r="Y61" s="13">
        <f t="shared" si="10"/>
        <v>10</v>
      </c>
      <c r="Z61" s="13">
        <f t="shared" si="8"/>
        <v>436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13">
        <f t="shared" si="8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10.0</v>
      </c>
      <c r="F63" s="66">
        <v>3.0</v>
      </c>
      <c r="G63" s="66">
        <v>2.0</v>
      </c>
      <c r="H63" s="66">
        <v>4.0</v>
      </c>
      <c r="I63" s="66">
        <v>9.0</v>
      </c>
      <c r="J63" s="66">
        <v>6.0</v>
      </c>
      <c r="K63" s="66">
        <v>3.0</v>
      </c>
      <c r="L63" s="66">
        <v>7.0</v>
      </c>
      <c r="M63" s="66">
        <v>2.0</v>
      </c>
      <c r="N63" s="66">
        <v>0.0</v>
      </c>
      <c r="O63" s="66">
        <v>5.0</v>
      </c>
      <c r="P63" s="66">
        <v>4.0</v>
      </c>
      <c r="Q63" s="66">
        <v>1.0</v>
      </c>
      <c r="R63" s="66">
        <v>4.0</v>
      </c>
      <c r="S63" s="66">
        <v>4.0</v>
      </c>
      <c r="T63" s="66">
        <v>2.0</v>
      </c>
      <c r="U63" s="66">
        <v>0.0</v>
      </c>
      <c r="V63" s="66">
        <v>3.0</v>
      </c>
      <c r="W63" s="66">
        <v>3.0</v>
      </c>
      <c r="X63" s="66">
        <v>0.0</v>
      </c>
      <c r="Y63" s="66">
        <v>1.0</v>
      </c>
      <c r="Z63" s="13">
        <f t="shared" si="8"/>
        <v>73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2.0</v>
      </c>
      <c r="F64" s="66">
        <v>5.0</v>
      </c>
      <c r="G64" s="66">
        <v>21.0</v>
      </c>
      <c r="H64" s="66">
        <v>14.0</v>
      </c>
      <c r="I64" s="66">
        <v>42.0</v>
      </c>
      <c r="J64" s="66">
        <v>9.0</v>
      </c>
      <c r="K64" s="66">
        <v>5.0</v>
      </c>
      <c r="L64" s="66">
        <v>8.0</v>
      </c>
      <c r="M64" s="66">
        <v>3.0</v>
      </c>
      <c r="N64" s="66">
        <v>4.0</v>
      </c>
      <c r="O64" s="66">
        <v>1.0</v>
      </c>
      <c r="P64" s="66">
        <v>1.0</v>
      </c>
      <c r="Q64" s="66">
        <v>8.0</v>
      </c>
      <c r="R64" s="66">
        <v>2.0</v>
      </c>
      <c r="S64" s="66">
        <v>1.0</v>
      </c>
      <c r="T64" s="66">
        <v>16.0</v>
      </c>
      <c r="U64" s="66">
        <v>1.0</v>
      </c>
      <c r="V64" s="66">
        <v>5.0</v>
      </c>
      <c r="W64" s="66">
        <v>1.0</v>
      </c>
      <c r="X64" s="66">
        <v>1.0</v>
      </c>
      <c r="Y64" s="66">
        <v>0.0</v>
      </c>
      <c r="Z64" s="13">
        <f t="shared" si="8"/>
        <v>150</v>
      </c>
    </row>
    <row r="65" ht="12.75" customHeight="1">
      <c r="A65" s="18"/>
      <c r="B65" s="49"/>
      <c r="C65" s="50" t="s">
        <v>56</v>
      </c>
      <c r="D65" s="51"/>
      <c r="E65" s="66">
        <v>2.0</v>
      </c>
      <c r="F65" s="66">
        <v>0.0</v>
      </c>
      <c r="G65" s="66">
        <v>0.0</v>
      </c>
      <c r="H65" s="66">
        <v>1.0</v>
      </c>
      <c r="I65" s="66">
        <v>0.0</v>
      </c>
      <c r="J65" s="66">
        <v>2.0</v>
      </c>
      <c r="K65" s="66">
        <v>2.0</v>
      </c>
      <c r="L65" s="66">
        <v>0.0</v>
      </c>
      <c r="M65" s="66">
        <v>1.0</v>
      </c>
      <c r="N65" s="66">
        <v>1.0</v>
      </c>
      <c r="O65" s="66">
        <v>3.0</v>
      </c>
      <c r="P65" s="66">
        <v>0.0</v>
      </c>
      <c r="Q65" s="66">
        <v>0.0</v>
      </c>
      <c r="R65" s="66">
        <v>0.0</v>
      </c>
      <c r="S65" s="66">
        <v>1.0</v>
      </c>
      <c r="T65" s="66">
        <v>1.0</v>
      </c>
      <c r="U65" s="66">
        <v>0.0</v>
      </c>
      <c r="V65" s="66">
        <v>0.0</v>
      </c>
      <c r="W65" s="66">
        <v>0.0</v>
      </c>
      <c r="X65" s="66">
        <v>0.0</v>
      </c>
      <c r="Y65" s="66">
        <v>0.0</v>
      </c>
      <c r="Z65" s="13">
        <f t="shared" si="8"/>
        <v>14</v>
      </c>
    </row>
    <row r="66" ht="12.75" customHeight="1">
      <c r="A66" s="18"/>
      <c r="B66" s="49"/>
      <c r="C66" s="50" t="s">
        <v>57</v>
      </c>
      <c r="D66" s="51"/>
      <c r="E66" s="66">
        <v>40.0</v>
      </c>
      <c r="F66" s="66">
        <v>25.0</v>
      </c>
      <c r="G66" s="66">
        <v>30.0</v>
      </c>
      <c r="H66" s="66">
        <v>23.0</v>
      </c>
      <c r="I66" s="66">
        <v>13.0</v>
      </c>
      <c r="J66" s="66">
        <v>14.0</v>
      </c>
      <c r="K66" s="66">
        <v>16.0</v>
      </c>
      <c r="L66" s="66">
        <v>14.0</v>
      </c>
      <c r="M66" s="66">
        <v>4.0</v>
      </c>
      <c r="N66" s="66">
        <v>1.0</v>
      </c>
      <c r="O66" s="66">
        <v>3.0</v>
      </c>
      <c r="P66" s="66">
        <v>6.0</v>
      </c>
      <c r="Q66" s="66">
        <v>8.0</v>
      </c>
      <c r="R66" s="66">
        <v>3.0</v>
      </c>
      <c r="S66" s="66">
        <v>23.0</v>
      </c>
      <c r="T66" s="66">
        <v>1.0</v>
      </c>
      <c r="U66" s="66">
        <v>2.0</v>
      </c>
      <c r="V66" s="66">
        <v>4.0</v>
      </c>
      <c r="W66" s="66">
        <v>4.0</v>
      </c>
      <c r="X66" s="66">
        <v>0.0</v>
      </c>
      <c r="Y66" s="66">
        <v>1.0</v>
      </c>
      <c r="Z66" s="13">
        <f t="shared" si="8"/>
        <v>235</v>
      </c>
    </row>
    <row r="67" ht="12.75" customHeight="1">
      <c r="A67" s="18"/>
      <c r="B67" s="49"/>
      <c r="C67" s="50" t="s">
        <v>58</v>
      </c>
      <c r="D67" s="51"/>
      <c r="E67" s="66">
        <v>2.0</v>
      </c>
      <c r="F67" s="66">
        <v>1.0</v>
      </c>
      <c r="G67" s="66">
        <v>0.0</v>
      </c>
      <c r="H67" s="66">
        <v>0.0</v>
      </c>
      <c r="I67" s="66">
        <v>0.0</v>
      </c>
      <c r="J67" s="66">
        <v>0.0</v>
      </c>
      <c r="K67" s="66">
        <v>0.0</v>
      </c>
      <c r="L67" s="66">
        <v>10.0</v>
      </c>
      <c r="M67" s="66">
        <v>0.0</v>
      </c>
      <c r="N67" s="66">
        <v>1.0</v>
      </c>
      <c r="O67" s="66">
        <v>0.0</v>
      </c>
      <c r="P67" s="66">
        <v>4.0</v>
      </c>
      <c r="Q67" s="66">
        <v>1.0</v>
      </c>
      <c r="R67" s="66">
        <v>0.0</v>
      </c>
      <c r="S67" s="66">
        <v>0.0</v>
      </c>
      <c r="T67" s="66">
        <v>0.0</v>
      </c>
      <c r="U67" s="66">
        <v>0.0</v>
      </c>
      <c r="V67" s="66">
        <v>0.0</v>
      </c>
      <c r="W67" s="66">
        <v>0.0</v>
      </c>
      <c r="X67" s="66">
        <v>0.0</v>
      </c>
      <c r="Y67" s="66">
        <v>0.0</v>
      </c>
      <c r="Z67" s="13">
        <f t="shared" si="8"/>
        <v>19</v>
      </c>
    </row>
    <row r="68" ht="12.75" customHeight="1">
      <c r="A68" s="18"/>
      <c r="B68" s="49"/>
      <c r="C68" s="50" t="s">
        <v>59</v>
      </c>
      <c r="D68" s="51"/>
      <c r="E68" s="66">
        <v>1.0</v>
      </c>
      <c r="F68" s="66">
        <v>0.0</v>
      </c>
      <c r="G68" s="66">
        <v>0.0</v>
      </c>
      <c r="H68" s="66">
        <v>1.0</v>
      </c>
      <c r="I68" s="66">
        <v>0.0</v>
      </c>
      <c r="J68" s="66">
        <v>1.0</v>
      </c>
      <c r="K68" s="66">
        <v>0.0</v>
      </c>
      <c r="L68" s="66">
        <v>1.0</v>
      </c>
      <c r="M68" s="66">
        <v>0.0</v>
      </c>
      <c r="N68" s="66">
        <v>0.0</v>
      </c>
      <c r="O68" s="66">
        <v>0.0</v>
      </c>
      <c r="P68" s="66">
        <v>0.0</v>
      </c>
      <c r="Q68" s="66">
        <v>0.0</v>
      </c>
      <c r="R68" s="66">
        <v>0.0</v>
      </c>
      <c r="S68" s="66">
        <v>0.0</v>
      </c>
      <c r="T68" s="66">
        <v>1.0</v>
      </c>
      <c r="U68" s="66">
        <v>0.0</v>
      </c>
      <c r="V68" s="66">
        <v>2.0</v>
      </c>
      <c r="W68" s="66">
        <v>0.0</v>
      </c>
      <c r="X68" s="66">
        <v>0.0</v>
      </c>
      <c r="Y68" s="66">
        <v>0.0</v>
      </c>
      <c r="Z68" s="13">
        <f t="shared" si="8"/>
        <v>7</v>
      </c>
    </row>
    <row r="69" ht="12.75" customHeight="1">
      <c r="A69" s="18"/>
      <c r="B69" s="49"/>
      <c r="C69" s="50" t="s">
        <v>60</v>
      </c>
      <c r="D69" s="51"/>
      <c r="E69" s="66">
        <v>10.0</v>
      </c>
      <c r="F69" s="66">
        <v>3.0</v>
      </c>
      <c r="G69" s="66">
        <v>1.0</v>
      </c>
      <c r="H69" s="66">
        <v>0.0</v>
      </c>
      <c r="I69" s="66">
        <v>2.0</v>
      </c>
      <c r="J69" s="66">
        <v>3.0</v>
      </c>
      <c r="K69" s="66">
        <v>1.0</v>
      </c>
      <c r="L69" s="66">
        <v>2.0</v>
      </c>
      <c r="M69" s="66">
        <v>1.0</v>
      </c>
      <c r="N69" s="66">
        <v>2.0</v>
      </c>
      <c r="O69" s="66">
        <v>0.0</v>
      </c>
      <c r="P69" s="66">
        <v>0.0</v>
      </c>
      <c r="Q69" s="66">
        <v>3.0</v>
      </c>
      <c r="R69" s="66">
        <v>0.0</v>
      </c>
      <c r="S69" s="66">
        <v>1.0</v>
      </c>
      <c r="T69" s="66">
        <v>0.0</v>
      </c>
      <c r="U69" s="66">
        <v>0.0</v>
      </c>
      <c r="V69" s="66">
        <v>0.0</v>
      </c>
      <c r="W69" s="66">
        <v>0.0</v>
      </c>
      <c r="X69" s="66">
        <v>0.0</v>
      </c>
      <c r="Y69" s="66">
        <v>0.0</v>
      </c>
      <c r="Z69" s="13">
        <f t="shared" si="8"/>
        <v>29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Y70" si="11">SUM(E63:E69)</f>
        <v>67</v>
      </c>
      <c r="F70" s="13">
        <f t="shared" si="11"/>
        <v>37</v>
      </c>
      <c r="G70" s="13">
        <f t="shared" si="11"/>
        <v>54</v>
      </c>
      <c r="H70" s="13">
        <f t="shared" si="11"/>
        <v>43</v>
      </c>
      <c r="I70" s="13">
        <f t="shared" si="11"/>
        <v>66</v>
      </c>
      <c r="J70" s="13">
        <f t="shared" si="11"/>
        <v>35</v>
      </c>
      <c r="K70" s="13">
        <f t="shared" si="11"/>
        <v>27</v>
      </c>
      <c r="L70" s="13">
        <f t="shared" si="11"/>
        <v>42</v>
      </c>
      <c r="M70" s="13">
        <f t="shared" si="11"/>
        <v>11</v>
      </c>
      <c r="N70" s="13">
        <f t="shared" si="11"/>
        <v>9</v>
      </c>
      <c r="O70" s="13">
        <f t="shared" si="11"/>
        <v>12</v>
      </c>
      <c r="P70" s="13">
        <f t="shared" si="11"/>
        <v>15</v>
      </c>
      <c r="Q70" s="13">
        <f t="shared" si="11"/>
        <v>21</v>
      </c>
      <c r="R70" s="13">
        <f t="shared" si="11"/>
        <v>9</v>
      </c>
      <c r="S70" s="13">
        <f t="shared" si="11"/>
        <v>30</v>
      </c>
      <c r="T70" s="13">
        <f t="shared" si="11"/>
        <v>21</v>
      </c>
      <c r="U70" s="13">
        <f t="shared" si="11"/>
        <v>3</v>
      </c>
      <c r="V70" s="13">
        <f t="shared" si="11"/>
        <v>14</v>
      </c>
      <c r="W70" s="13">
        <f t="shared" si="11"/>
        <v>8</v>
      </c>
      <c r="X70" s="13">
        <f t="shared" si="11"/>
        <v>1</v>
      </c>
      <c r="Y70" s="13">
        <f t="shared" si="11"/>
        <v>2</v>
      </c>
      <c r="Z70" s="13">
        <f t="shared" si="8"/>
        <v>527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13">
        <f t="shared" si="8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66">
        <v>6.0</v>
      </c>
      <c r="F72" s="66">
        <v>7.0</v>
      </c>
      <c r="G72" s="66">
        <v>2.0</v>
      </c>
      <c r="H72" s="66">
        <v>3.0</v>
      </c>
      <c r="I72" s="66">
        <v>2.0</v>
      </c>
      <c r="J72" s="66">
        <v>3.0</v>
      </c>
      <c r="K72" s="66">
        <v>5.0</v>
      </c>
      <c r="L72" s="66">
        <v>7.0</v>
      </c>
      <c r="M72" s="66">
        <v>3.0</v>
      </c>
      <c r="N72" s="66">
        <v>2.0</v>
      </c>
      <c r="O72" s="66">
        <v>8.0</v>
      </c>
      <c r="P72" s="66">
        <v>6.0</v>
      </c>
      <c r="Q72" s="66">
        <v>4.0</v>
      </c>
      <c r="R72" s="66">
        <v>3.0</v>
      </c>
      <c r="S72" s="66">
        <v>4.0</v>
      </c>
      <c r="T72" s="66">
        <v>6.0</v>
      </c>
      <c r="U72" s="66">
        <v>1.0</v>
      </c>
      <c r="V72" s="66">
        <v>2.0</v>
      </c>
      <c r="W72" s="66">
        <v>6.0</v>
      </c>
      <c r="X72" s="66">
        <v>7.0</v>
      </c>
      <c r="Y72" s="66">
        <v>0.0</v>
      </c>
      <c r="Z72" s="13">
        <f t="shared" si="8"/>
        <v>87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8.0</v>
      </c>
      <c r="F73" s="66">
        <v>16.0</v>
      </c>
      <c r="G73" s="66">
        <v>9.0</v>
      </c>
      <c r="H73" s="66">
        <v>8.0</v>
      </c>
      <c r="I73" s="66">
        <v>12.0</v>
      </c>
      <c r="J73" s="66">
        <v>17.0</v>
      </c>
      <c r="K73" s="66">
        <v>17.0</v>
      </c>
      <c r="L73" s="66">
        <v>11.0</v>
      </c>
      <c r="M73" s="66">
        <v>19.0</v>
      </c>
      <c r="N73" s="66">
        <v>19.0</v>
      </c>
      <c r="O73" s="66">
        <v>35.0</v>
      </c>
      <c r="P73" s="66">
        <v>44.0</v>
      </c>
      <c r="Q73" s="66">
        <v>15.0</v>
      </c>
      <c r="R73" s="66">
        <v>28.0</v>
      </c>
      <c r="S73" s="66">
        <v>27.0</v>
      </c>
      <c r="T73" s="66">
        <v>14.0</v>
      </c>
      <c r="U73" s="66">
        <v>13.0</v>
      </c>
      <c r="V73" s="66">
        <v>10.0</v>
      </c>
      <c r="W73" s="66">
        <v>43.0</v>
      </c>
      <c r="X73" s="66">
        <v>38.0</v>
      </c>
      <c r="Y73" s="66">
        <v>0.0</v>
      </c>
      <c r="Z73" s="13">
        <f t="shared" si="8"/>
        <v>403</v>
      </c>
    </row>
    <row r="74" ht="12.75" customHeight="1">
      <c r="A74" s="18"/>
      <c r="B74" s="49"/>
      <c r="C74" s="50" t="s">
        <v>63</v>
      </c>
      <c r="D74" s="51"/>
      <c r="E74" s="66">
        <v>0.0</v>
      </c>
      <c r="F74" s="66">
        <v>0.0</v>
      </c>
      <c r="G74" s="66">
        <v>0.0</v>
      </c>
      <c r="H74" s="66">
        <v>0.0</v>
      </c>
      <c r="I74" s="66">
        <v>0.0</v>
      </c>
      <c r="J74" s="66">
        <v>1.0</v>
      </c>
      <c r="K74" s="66">
        <v>0.0</v>
      </c>
      <c r="L74" s="66">
        <v>0.0</v>
      </c>
      <c r="M74" s="66">
        <v>0.0</v>
      </c>
      <c r="N74" s="66">
        <v>1.0</v>
      </c>
      <c r="O74" s="66">
        <v>1.0</v>
      </c>
      <c r="P74" s="66">
        <v>1.0</v>
      </c>
      <c r="Q74" s="66">
        <v>0.0</v>
      </c>
      <c r="R74" s="66">
        <v>0.0</v>
      </c>
      <c r="S74" s="66">
        <v>0.0</v>
      </c>
      <c r="T74" s="66">
        <v>0.0</v>
      </c>
      <c r="U74" s="66">
        <v>0.0</v>
      </c>
      <c r="V74" s="66">
        <v>0.0</v>
      </c>
      <c r="W74" s="66">
        <v>0.0</v>
      </c>
      <c r="X74" s="66">
        <v>0.0</v>
      </c>
      <c r="Y74" s="66">
        <v>0.0</v>
      </c>
      <c r="Z74" s="13">
        <f t="shared" si="8"/>
        <v>4</v>
      </c>
    </row>
    <row r="75" ht="12.75" customHeight="1">
      <c r="A75" s="18"/>
      <c r="B75" s="49"/>
      <c r="C75" s="50" t="s">
        <v>64</v>
      </c>
      <c r="D75" s="51"/>
      <c r="E75" s="66">
        <v>0.0</v>
      </c>
      <c r="F75" s="66">
        <v>0.0</v>
      </c>
      <c r="G75" s="66">
        <v>0.0</v>
      </c>
      <c r="H75" s="66">
        <v>0.0</v>
      </c>
      <c r="I75" s="66">
        <v>0.0</v>
      </c>
      <c r="J75" s="66">
        <v>1.0</v>
      </c>
      <c r="K75" s="66">
        <v>0.0</v>
      </c>
      <c r="L75" s="66">
        <v>1.0</v>
      </c>
      <c r="M75" s="66">
        <v>0.0</v>
      </c>
      <c r="N75" s="66">
        <v>0.0</v>
      </c>
      <c r="O75" s="66">
        <v>0.0</v>
      </c>
      <c r="P75" s="66">
        <v>0.0</v>
      </c>
      <c r="Q75" s="66">
        <v>0.0</v>
      </c>
      <c r="R75" s="66">
        <v>0.0</v>
      </c>
      <c r="S75" s="66">
        <v>0.0</v>
      </c>
      <c r="T75" s="66">
        <v>0.0</v>
      </c>
      <c r="U75" s="66">
        <v>0.0</v>
      </c>
      <c r="V75" s="66">
        <v>0.0</v>
      </c>
      <c r="W75" s="66">
        <v>0.0</v>
      </c>
      <c r="X75" s="66">
        <v>0.0</v>
      </c>
      <c r="Y75" s="66">
        <v>0.0</v>
      </c>
      <c r="Z75" s="13">
        <f t="shared" si="8"/>
        <v>2</v>
      </c>
    </row>
    <row r="76" ht="12.75" customHeight="1">
      <c r="A76" s="18"/>
      <c r="B76" s="49"/>
      <c r="C76" s="50" t="s">
        <v>65</v>
      </c>
      <c r="D76" s="51"/>
      <c r="E76" s="66">
        <v>1.0</v>
      </c>
      <c r="F76" s="66">
        <v>1.0</v>
      </c>
      <c r="G76" s="66">
        <v>0.0</v>
      </c>
      <c r="H76" s="66">
        <v>1.0</v>
      </c>
      <c r="I76" s="66">
        <v>0.0</v>
      </c>
      <c r="J76" s="66">
        <v>0.0</v>
      </c>
      <c r="K76" s="66">
        <v>2.0</v>
      </c>
      <c r="L76" s="66">
        <v>0.0</v>
      </c>
      <c r="M76" s="66">
        <v>0.0</v>
      </c>
      <c r="N76" s="66">
        <v>0.0</v>
      </c>
      <c r="O76" s="66">
        <v>0.0</v>
      </c>
      <c r="P76" s="66">
        <v>0.0</v>
      </c>
      <c r="Q76" s="66">
        <v>0.0</v>
      </c>
      <c r="R76" s="66">
        <v>0.0</v>
      </c>
      <c r="S76" s="66">
        <v>0.0</v>
      </c>
      <c r="T76" s="66">
        <v>0.0</v>
      </c>
      <c r="U76" s="66">
        <v>0.0</v>
      </c>
      <c r="V76" s="66">
        <v>0.0</v>
      </c>
      <c r="W76" s="66">
        <v>0.0</v>
      </c>
      <c r="X76" s="66">
        <v>0.0</v>
      </c>
      <c r="Y76" s="66">
        <v>0.0</v>
      </c>
      <c r="Z76" s="13">
        <f t="shared" si="8"/>
        <v>5</v>
      </c>
    </row>
    <row r="77" ht="12.75" customHeight="1">
      <c r="A77" s="18"/>
      <c r="B77" s="49"/>
      <c r="C77" s="50" t="s">
        <v>66</v>
      </c>
      <c r="D77" s="51"/>
      <c r="E77" s="66">
        <v>0.0</v>
      </c>
      <c r="F77" s="66">
        <v>0.0</v>
      </c>
      <c r="G77" s="66">
        <v>0.0</v>
      </c>
      <c r="H77" s="66">
        <v>1.0</v>
      </c>
      <c r="I77" s="66">
        <v>1.0</v>
      </c>
      <c r="J77" s="66">
        <v>1.0</v>
      </c>
      <c r="K77" s="66">
        <v>1.0</v>
      </c>
      <c r="L77" s="66">
        <v>0.0</v>
      </c>
      <c r="M77" s="66">
        <v>0.0</v>
      </c>
      <c r="N77" s="66">
        <v>0.0</v>
      </c>
      <c r="O77" s="66">
        <v>0.0</v>
      </c>
      <c r="P77" s="66">
        <v>0.0</v>
      </c>
      <c r="Q77" s="66">
        <v>1.0</v>
      </c>
      <c r="R77" s="66">
        <v>0.0</v>
      </c>
      <c r="S77" s="66">
        <v>0.0</v>
      </c>
      <c r="T77" s="66">
        <v>0.0</v>
      </c>
      <c r="U77" s="66">
        <v>0.0</v>
      </c>
      <c r="V77" s="66">
        <v>0.0</v>
      </c>
      <c r="W77" s="66">
        <v>0.0</v>
      </c>
      <c r="X77" s="66">
        <v>0.0</v>
      </c>
      <c r="Y77" s="66">
        <v>0.0</v>
      </c>
      <c r="Z77" s="13">
        <f t="shared" si="8"/>
        <v>5</v>
      </c>
    </row>
    <row r="78" ht="12.75" customHeight="1">
      <c r="A78" s="18"/>
      <c r="B78" s="49"/>
      <c r="C78" s="50" t="s">
        <v>67</v>
      </c>
      <c r="D78" s="51"/>
      <c r="E78" s="66">
        <v>26.0</v>
      </c>
      <c r="F78" s="66">
        <v>7.0</v>
      </c>
      <c r="G78" s="66">
        <v>23.0</v>
      </c>
      <c r="H78" s="66">
        <v>9.0</v>
      </c>
      <c r="I78" s="66">
        <v>19.0</v>
      </c>
      <c r="J78" s="66">
        <v>28.0</v>
      </c>
      <c r="K78" s="66">
        <v>6.0</v>
      </c>
      <c r="L78" s="66">
        <v>32.0</v>
      </c>
      <c r="M78" s="66">
        <v>40.0</v>
      </c>
      <c r="N78" s="66">
        <v>35.0</v>
      </c>
      <c r="O78" s="66">
        <v>3.0</v>
      </c>
      <c r="P78" s="66">
        <v>7.0</v>
      </c>
      <c r="Q78" s="66">
        <v>20.0</v>
      </c>
      <c r="R78" s="66">
        <v>10.0</v>
      </c>
      <c r="S78" s="66">
        <v>6.0</v>
      </c>
      <c r="T78" s="66">
        <v>7.0</v>
      </c>
      <c r="U78" s="66">
        <v>3.0</v>
      </c>
      <c r="V78" s="66">
        <v>8.0</v>
      </c>
      <c r="W78" s="66">
        <v>4.0</v>
      </c>
      <c r="X78" s="66">
        <v>0.0</v>
      </c>
      <c r="Y78" s="66">
        <v>1.0</v>
      </c>
      <c r="Z78" s="13">
        <f t="shared" si="8"/>
        <v>294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Y79" si="12">SUM(E72:E78)</f>
        <v>41</v>
      </c>
      <c r="F79" s="13">
        <f t="shared" si="12"/>
        <v>31</v>
      </c>
      <c r="G79" s="13">
        <f t="shared" si="12"/>
        <v>34</v>
      </c>
      <c r="H79" s="13">
        <f t="shared" si="12"/>
        <v>22</v>
      </c>
      <c r="I79" s="13">
        <f t="shared" si="12"/>
        <v>34</v>
      </c>
      <c r="J79" s="13">
        <f t="shared" si="12"/>
        <v>51</v>
      </c>
      <c r="K79" s="13">
        <f t="shared" si="12"/>
        <v>31</v>
      </c>
      <c r="L79" s="13">
        <f t="shared" si="12"/>
        <v>51</v>
      </c>
      <c r="M79" s="13">
        <f t="shared" si="12"/>
        <v>62</v>
      </c>
      <c r="N79" s="13">
        <f t="shared" si="12"/>
        <v>57</v>
      </c>
      <c r="O79" s="13">
        <f t="shared" si="12"/>
        <v>47</v>
      </c>
      <c r="P79" s="13">
        <f t="shared" si="12"/>
        <v>58</v>
      </c>
      <c r="Q79" s="13">
        <f t="shared" si="12"/>
        <v>40</v>
      </c>
      <c r="R79" s="13">
        <f t="shared" si="12"/>
        <v>41</v>
      </c>
      <c r="S79" s="13">
        <f t="shared" si="12"/>
        <v>37</v>
      </c>
      <c r="T79" s="13">
        <f t="shared" si="12"/>
        <v>27</v>
      </c>
      <c r="U79" s="13">
        <f t="shared" si="12"/>
        <v>17</v>
      </c>
      <c r="V79" s="13">
        <f t="shared" si="12"/>
        <v>20</v>
      </c>
      <c r="W79" s="13">
        <f t="shared" si="12"/>
        <v>53</v>
      </c>
      <c r="X79" s="13">
        <f t="shared" si="12"/>
        <v>45</v>
      </c>
      <c r="Y79" s="13">
        <f t="shared" si="12"/>
        <v>1</v>
      </c>
      <c r="Z79" s="13">
        <f t="shared" si="8"/>
        <v>800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13">
        <f t="shared" si="8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0.0</v>
      </c>
      <c r="F81" s="66">
        <v>1.0</v>
      </c>
      <c r="G81" s="66">
        <v>0.0</v>
      </c>
      <c r="H81" s="66">
        <v>1.0</v>
      </c>
      <c r="I81" s="66">
        <v>1.0</v>
      </c>
      <c r="J81" s="66">
        <v>2.0</v>
      </c>
      <c r="K81" s="66">
        <v>0.0</v>
      </c>
      <c r="L81" s="66">
        <v>0.0</v>
      </c>
      <c r="M81" s="66">
        <v>0.0</v>
      </c>
      <c r="N81" s="66">
        <v>0.0</v>
      </c>
      <c r="O81" s="66">
        <v>1.0</v>
      </c>
      <c r="P81" s="66">
        <v>0.0</v>
      </c>
      <c r="Q81" s="66">
        <v>0.0</v>
      </c>
      <c r="R81" s="66">
        <v>0.0</v>
      </c>
      <c r="S81" s="66">
        <v>0.0</v>
      </c>
      <c r="T81" s="66">
        <v>0.0</v>
      </c>
      <c r="U81" s="66">
        <v>1.0</v>
      </c>
      <c r="V81" s="66">
        <v>0.0</v>
      </c>
      <c r="W81" s="66">
        <v>0.0</v>
      </c>
      <c r="X81" s="66">
        <v>0.0</v>
      </c>
      <c r="Y81" s="66">
        <v>0.0</v>
      </c>
      <c r="Z81" s="13">
        <f t="shared" si="8"/>
        <v>7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0.0</v>
      </c>
      <c r="F82" s="66">
        <v>0.0</v>
      </c>
      <c r="G82" s="66">
        <v>0.0</v>
      </c>
      <c r="H82" s="66">
        <v>0.0</v>
      </c>
      <c r="I82" s="66">
        <v>0.0</v>
      </c>
      <c r="J82" s="66">
        <v>0.0</v>
      </c>
      <c r="K82" s="66">
        <v>0.0</v>
      </c>
      <c r="L82" s="66">
        <v>0.0</v>
      </c>
      <c r="M82" s="66">
        <v>0.0</v>
      </c>
      <c r="N82" s="66">
        <v>0.0</v>
      </c>
      <c r="O82" s="66">
        <v>0.0</v>
      </c>
      <c r="P82" s="66">
        <v>0.0</v>
      </c>
      <c r="Q82" s="66">
        <v>0.0</v>
      </c>
      <c r="R82" s="66">
        <v>1.0</v>
      </c>
      <c r="S82" s="66">
        <v>1.0</v>
      </c>
      <c r="T82" s="66">
        <v>0.0</v>
      </c>
      <c r="U82" s="66">
        <v>2.0</v>
      </c>
      <c r="V82" s="66">
        <v>0.0</v>
      </c>
      <c r="W82" s="66">
        <v>1.0</v>
      </c>
      <c r="X82" s="66">
        <v>1.0</v>
      </c>
      <c r="Y82" s="66">
        <v>0.0</v>
      </c>
      <c r="Z82" s="13">
        <f t="shared" si="8"/>
        <v>6</v>
      </c>
    </row>
    <row r="83" ht="12.75" customHeight="1">
      <c r="A83" s="18"/>
      <c r="B83" s="49"/>
      <c r="C83" s="50" t="s">
        <v>71</v>
      </c>
      <c r="D83" s="51"/>
      <c r="E83" s="66">
        <v>0.0</v>
      </c>
      <c r="F83" s="66">
        <v>3.0</v>
      </c>
      <c r="G83" s="66">
        <v>6.0</v>
      </c>
      <c r="H83" s="66">
        <v>40.0</v>
      </c>
      <c r="I83" s="66">
        <v>21.0</v>
      </c>
      <c r="J83" s="66">
        <v>3.0</v>
      </c>
      <c r="K83" s="66">
        <v>0.0</v>
      </c>
      <c r="L83" s="66">
        <v>1.0</v>
      </c>
      <c r="M83" s="66">
        <v>9.0</v>
      </c>
      <c r="N83" s="66">
        <v>0.0</v>
      </c>
      <c r="O83" s="66">
        <v>9.0</v>
      </c>
      <c r="P83" s="66">
        <v>4.0</v>
      </c>
      <c r="Q83" s="66">
        <v>18.0</v>
      </c>
      <c r="R83" s="66">
        <v>15.0</v>
      </c>
      <c r="S83" s="66">
        <v>0.0</v>
      </c>
      <c r="T83" s="66">
        <v>10.0</v>
      </c>
      <c r="U83" s="66">
        <v>32.0</v>
      </c>
      <c r="V83" s="66">
        <v>44.0</v>
      </c>
      <c r="W83" s="66">
        <v>5.0</v>
      </c>
      <c r="X83" s="66">
        <v>9.0</v>
      </c>
      <c r="Y83" s="66">
        <v>7.0</v>
      </c>
      <c r="Z83" s="13">
        <f t="shared" si="8"/>
        <v>236</v>
      </c>
    </row>
    <row r="84" ht="12.75" customHeight="1">
      <c r="A84" s="18"/>
      <c r="B84" s="49"/>
      <c r="C84" s="50" t="s">
        <v>72</v>
      </c>
      <c r="D84" s="51"/>
      <c r="E84" s="66">
        <v>0.0</v>
      </c>
      <c r="F84" s="66">
        <v>5.0</v>
      </c>
      <c r="G84" s="66">
        <v>1.0</v>
      </c>
      <c r="H84" s="66">
        <v>1.0</v>
      </c>
      <c r="I84" s="66">
        <v>0.0</v>
      </c>
      <c r="J84" s="66">
        <v>0.0</v>
      </c>
      <c r="K84" s="66">
        <v>0.0</v>
      </c>
      <c r="L84" s="66">
        <v>0.0</v>
      </c>
      <c r="M84" s="66">
        <v>0.0</v>
      </c>
      <c r="N84" s="66">
        <v>1.0</v>
      </c>
      <c r="O84" s="66">
        <v>0.0</v>
      </c>
      <c r="P84" s="66">
        <v>1.0</v>
      </c>
      <c r="Q84" s="66">
        <v>0.0</v>
      </c>
      <c r="R84" s="66">
        <v>0.0</v>
      </c>
      <c r="S84" s="66">
        <v>0.0</v>
      </c>
      <c r="T84" s="66">
        <v>0.0</v>
      </c>
      <c r="U84" s="66">
        <v>0.0</v>
      </c>
      <c r="V84" s="66">
        <v>0.0</v>
      </c>
      <c r="W84" s="66">
        <v>0.0</v>
      </c>
      <c r="X84" s="66">
        <v>0.0</v>
      </c>
      <c r="Y84" s="66">
        <v>0.0</v>
      </c>
      <c r="Z84" s="13">
        <f t="shared" si="8"/>
        <v>9</v>
      </c>
    </row>
    <row r="85" ht="12.75" customHeight="1">
      <c r="A85" s="18"/>
      <c r="B85" s="49"/>
      <c r="C85" s="50" t="s">
        <v>73</v>
      </c>
      <c r="D85" s="51"/>
      <c r="E85" s="66">
        <v>0.0</v>
      </c>
      <c r="F85" s="66">
        <v>0.0</v>
      </c>
      <c r="G85" s="66">
        <v>0.0</v>
      </c>
      <c r="H85" s="66">
        <v>0.0</v>
      </c>
      <c r="I85" s="66">
        <v>0.0</v>
      </c>
      <c r="J85" s="66">
        <v>0.0</v>
      </c>
      <c r="K85" s="66">
        <v>0.0</v>
      </c>
      <c r="L85" s="66">
        <v>0.0</v>
      </c>
      <c r="M85" s="66">
        <v>0.0</v>
      </c>
      <c r="N85" s="66">
        <v>0.0</v>
      </c>
      <c r="O85" s="66">
        <v>0.0</v>
      </c>
      <c r="P85" s="66">
        <v>0.0</v>
      </c>
      <c r="Q85" s="66">
        <v>0.0</v>
      </c>
      <c r="R85" s="66">
        <v>0.0</v>
      </c>
      <c r="S85" s="66">
        <v>0.0</v>
      </c>
      <c r="T85" s="66">
        <v>0.0</v>
      </c>
      <c r="U85" s="66">
        <v>0.0</v>
      </c>
      <c r="V85" s="66">
        <v>0.0</v>
      </c>
      <c r="W85" s="66">
        <v>0.0</v>
      </c>
      <c r="X85" s="66">
        <v>0.0</v>
      </c>
      <c r="Y85" s="66">
        <v>0.0</v>
      </c>
      <c r="Z85" s="13">
        <f t="shared" si="8"/>
        <v>0</v>
      </c>
    </row>
    <row r="86" ht="12.75" customHeight="1">
      <c r="A86" s="18"/>
      <c r="B86" s="49"/>
      <c r="C86" s="50" t="s">
        <v>74</v>
      </c>
      <c r="D86" s="51"/>
      <c r="E86" s="66">
        <v>0.0</v>
      </c>
      <c r="F86" s="66">
        <v>0.0</v>
      </c>
      <c r="G86" s="66">
        <v>0.0</v>
      </c>
      <c r="H86" s="66">
        <v>0.0</v>
      </c>
      <c r="I86" s="66">
        <v>0.0</v>
      </c>
      <c r="J86" s="66">
        <v>0.0</v>
      </c>
      <c r="K86" s="66">
        <v>0.0</v>
      </c>
      <c r="L86" s="66">
        <v>0.0</v>
      </c>
      <c r="M86" s="66">
        <v>0.0</v>
      </c>
      <c r="N86" s="66">
        <v>0.0</v>
      </c>
      <c r="O86" s="66">
        <v>0.0</v>
      </c>
      <c r="P86" s="66">
        <v>0.0</v>
      </c>
      <c r="Q86" s="66">
        <v>0.0</v>
      </c>
      <c r="R86" s="66">
        <v>0.0</v>
      </c>
      <c r="S86" s="66">
        <v>0.0</v>
      </c>
      <c r="T86" s="66">
        <v>0.0</v>
      </c>
      <c r="U86" s="66">
        <v>0.0</v>
      </c>
      <c r="V86" s="66">
        <v>0.0</v>
      </c>
      <c r="W86" s="66">
        <v>0.0</v>
      </c>
      <c r="X86" s="66">
        <v>0.0</v>
      </c>
      <c r="Y86" s="66">
        <v>0.0</v>
      </c>
      <c r="Z86" s="13">
        <f t="shared" si="8"/>
        <v>0</v>
      </c>
    </row>
    <row r="87" ht="12.75" customHeight="1">
      <c r="A87" s="18"/>
      <c r="B87" s="49"/>
      <c r="C87" s="50" t="s">
        <v>75</v>
      </c>
      <c r="D87" s="51"/>
      <c r="E87" s="66">
        <v>0.0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0.0</v>
      </c>
      <c r="O87" s="66">
        <v>0.0</v>
      </c>
      <c r="P87" s="66">
        <v>0.0</v>
      </c>
      <c r="Q87" s="66">
        <v>0.0</v>
      </c>
      <c r="R87" s="66">
        <v>0.0</v>
      </c>
      <c r="S87" s="66">
        <v>0.0</v>
      </c>
      <c r="T87" s="66">
        <v>0.0</v>
      </c>
      <c r="U87" s="66">
        <v>0.0</v>
      </c>
      <c r="V87" s="66">
        <v>0.0</v>
      </c>
      <c r="W87" s="66">
        <v>0.0</v>
      </c>
      <c r="X87" s="66">
        <v>0.0</v>
      </c>
      <c r="Y87" s="66">
        <v>0.0</v>
      </c>
      <c r="Z87" s="13">
        <f t="shared" si="8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Y88" si="13">SUM(E81:E87)</f>
        <v>0</v>
      </c>
      <c r="F88" s="13">
        <f t="shared" si="13"/>
        <v>9</v>
      </c>
      <c r="G88" s="13">
        <f t="shared" si="13"/>
        <v>7</v>
      </c>
      <c r="H88" s="13">
        <f t="shared" si="13"/>
        <v>42</v>
      </c>
      <c r="I88" s="13">
        <f t="shared" si="13"/>
        <v>22</v>
      </c>
      <c r="J88" s="13">
        <f t="shared" si="13"/>
        <v>5</v>
      </c>
      <c r="K88" s="13">
        <f t="shared" si="13"/>
        <v>0</v>
      </c>
      <c r="L88" s="13">
        <f t="shared" si="13"/>
        <v>1</v>
      </c>
      <c r="M88" s="13">
        <f t="shared" si="13"/>
        <v>9</v>
      </c>
      <c r="N88" s="13">
        <f t="shared" si="13"/>
        <v>1</v>
      </c>
      <c r="O88" s="13">
        <f t="shared" si="13"/>
        <v>10</v>
      </c>
      <c r="P88" s="13">
        <f t="shared" si="13"/>
        <v>5</v>
      </c>
      <c r="Q88" s="13">
        <f t="shared" si="13"/>
        <v>18</v>
      </c>
      <c r="R88" s="13">
        <f t="shared" si="13"/>
        <v>16</v>
      </c>
      <c r="S88" s="13">
        <f t="shared" si="13"/>
        <v>1</v>
      </c>
      <c r="T88" s="13">
        <f t="shared" si="13"/>
        <v>10</v>
      </c>
      <c r="U88" s="13">
        <f t="shared" si="13"/>
        <v>35</v>
      </c>
      <c r="V88" s="13">
        <f t="shared" si="13"/>
        <v>44</v>
      </c>
      <c r="W88" s="13">
        <f t="shared" si="13"/>
        <v>6</v>
      </c>
      <c r="X88" s="13">
        <f t="shared" si="13"/>
        <v>10</v>
      </c>
      <c r="Y88" s="13">
        <f t="shared" si="13"/>
        <v>7</v>
      </c>
      <c r="Z88" s="13">
        <f t="shared" si="8"/>
        <v>258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13">
        <f t="shared" si="8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66">
        <v>2.0</v>
      </c>
      <c r="F90" s="66">
        <v>1.0</v>
      </c>
      <c r="G90" s="66">
        <v>0.0</v>
      </c>
      <c r="H90" s="66">
        <v>0.0</v>
      </c>
      <c r="I90" s="66">
        <v>1.0</v>
      </c>
      <c r="J90" s="66">
        <v>1.0</v>
      </c>
      <c r="K90" s="66">
        <v>0.0</v>
      </c>
      <c r="L90" s="66">
        <v>1.0</v>
      </c>
      <c r="M90" s="66">
        <v>0.0</v>
      </c>
      <c r="N90" s="66">
        <v>0.0</v>
      </c>
      <c r="O90" s="66">
        <v>0.0</v>
      </c>
      <c r="P90" s="66">
        <v>0.0</v>
      </c>
      <c r="Q90" s="66">
        <v>1.0</v>
      </c>
      <c r="R90" s="66">
        <v>0.0</v>
      </c>
      <c r="S90" s="66">
        <v>1.0</v>
      </c>
      <c r="T90" s="66">
        <v>0.0</v>
      </c>
      <c r="U90" s="66">
        <v>0.0</v>
      </c>
      <c r="V90" s="66">
        <v>0.0</v>
      </c>
      <c r="W90" s="66">
        <v>0.0</v>
      </c>
      <c r="X90" s="66">
        <v>0.0</v>
      </c>
      <c r="Y90" s="66">
        <v>0.0</v>
      </c>
      <c r="Z90" s="13">
        <f t="shared" si="8"/>
        <v>8</v>
      </c>
    </row>
    <row r="91" ht="12.75" customHeight="1">
      <c r="A91" s="30" t="s">
        <v>39</v>
      </c>
      <c r="B91" s="49"/>
      <c r="C91" s="50" t="s">
        <v>78</v>
      </c>
      <c r="D91" s="16"/>
      <c r="E91" s="66">
        <v>0.0</v>
      </c>
      <c r="F91" s="66">
        <v>0.0</v>
      </c>
      <c r="G91" s="66">
        <v>0.0</v>
      </c>
      <c r="H91" s="66">
        <v>0.0</v>
      </c>
      <c r="I91" s="66">
        <v>0.0</v>
      </c>
      <c r="J91" s="66">
        <v>1.0</v>
      </c>
      <c r="K91" s="66">
        <v>0.0</v>
      </c>
      <c r="L91" s="66">
        <v>0.0</v>
      </c>
      <c r="M91" s="66">
        <v>0.0</v>
      </c>
      <c r="N91" s="66">
        <v>0.0</v>
      </c>
      <c r="O91" s="66">
        <v>0.0</v>
      </c>
      <c r="P91" s="66">
        <v>0.0</v>
      </c>
      <c r="Q91" s="66">
        <v>0.0</v>
      </c>
      <c r="R91" s="66">
        <v>0.0</v>
      </c>
      <c r="S91" s="66">
        <v>0.0</v>
      </c>
      <c r="T91" s="66">
        <v>1.0</v>
      </c>
      <c r="U91" s="66">
        <v>0.0</v>
      </c>
      <c r="V91" s="66">
        <v>0.0</v>
      </c>
      <c r="W91" s="66">
        <v>0.0</v>
      </c>
      <c r="X91" s="66">
        <v>0.0</v>
      </c>
      <c r="Y91" s="66">
        <v>1.0</v>
      </c>
      <c r="Z91" s="13">
        <f t="shared" si="8"/>
        <v>3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Y92" si="14">SUM(E90:E91)</f>
        <v>2</v>
      </c>
      <c r="F92" s="58">
        <f t="shared" si="14"/>
        <v>1</v>
      </c>
      <c r="G92" s="58">
        <f t="shared" si="14"/>
        <v>0</v>
      </c>
      <c r="H92" s="58">
        <f t="shared" si="14"/>
        <v>0</v>
      </c>
      <c r="I92" s="58">
        <f t="shared" si="14"/>
        <v>1</v>
      </c>
      <c r="J92" s="58">
        <f t="shared" si="14"/>
        <v>2</v>
      </c>
      <c r="K92" s="58">
        <f t="shared" si="14"/>
        <v>0</v>
      </c>
      <c r="L92" s="58">
        <f t="shared" si="14"/>
        <v>1</v>
      </c>
      <c r="M92" s="58">
        <f t="shared" si="14"/>
        <v>0</v>
      </c>
      <c r="N92" s="58">
        <f t="shared" si="14"/>
        <v>0</v>
      </c>
      <c r="O92" s="58">
        <f t="shared" si="14"/>
        <v>0</v>
      </c>
      <c r="P92" s="58">
        <f t="shared" si="14"/>
        <v>0</v>
      </c>
      <c r="Q92" s="58">
        <f t="shared" si="14"/>
        <v>1</v>
      </c>
      <c r="R92" s="58">
        <f t="shared" si="14"/>
        <v>0</v>
      </c>
      <c r="S92" s="58">
        <f t="shared" si="14"/>
        <v>1</v>
      </c>
      <c r="T92" s="58">
        <f t="shared" si="14"/>
        <v>1</v>
      </c>
      <c r="U92" s="58">
        <f t="shared" si="14"/>
        <v>0</v>
      </c>
      <c r="V92" s="58">
        <f t="shared" si="14"/>
        <v>0</v>
      </c>
      <c r="W92" s="58">
        <f t="shared" si="14"/>
        <v>0</v>
      </c>
      <c r="X92" s="58">
        <f t="shared" si="14"/>
        <v>0</v>
      </c>
      <c r="Y92" s="58">
        <f t="shared" si="14"/>
        <v>1</v>
      </c>
      <c r="Z92" s="13">
        <f t="shared" si="8"/>
        <v>11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13">
        <f t="shared" si="8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66">
        <v>1.0</v>
      </c>
      <c r="F94" s="66">
        <v>0.0</v>
      </c>
      <c r="G94" s="66">
        <v>0.0</v>
      </c>
      <c r="H94" s="66">
        <v>0.0</v>
      </c>
      <c r="I94" s="66">
        <v>2.0</v>
      </c>
      <c r="J94" s="66">
        <v>1.0</v>
      </c>
      <c r="K94" s="66">
        <v>0.0</v>
      </c>
      <c r="L94" s="66">
        <v>0.0</v>
      </c>
      <c r="M94" s="66">
        <v>1.0</v>
      </c>
      <c r="N94" s="66">
        <v>0.0</v>
      </c>
      <c r="O94" s="66">
        <v>1.0</v>
      </c>
      <c r="P94" s="66">
        <v>0.0</v>
      </c>
      <c r="Q94" s="66">
        <v>1.0</v>
      </c>
      <c r="R94" s="66">
        <v>0.0</v>
      </c>
      <c r="S94" s="66">
        <v>1.0</v>
      </c>
      <c r="T94" s="66">
        <v>0.0</v>
      </c>
      <c r="U94" s="66">
        <v>0.0</v>
      </c>
      <c r="V94" s="66">
        <v>1.0</v>
      </c>
      <c r="W94" s="66">
        <v>0.0</v>
      </c>
      <c r="X94" s="66">
        <v>1.0</v>
      </c>
      <c r="Y94" s="66">
        <v>0.0</v>
      </c>
      <c r="Z94" s="13">
        <f t="shared" si="8"/>
        <v>10</v>
      </c>
    </row>
    <row r="95" ht="12.75" customHeight="1">
      <c r="A95" s="30" t="s">
        <v>39</v>
      </c>
      <c r="B95" s="49"/>
      <c r="C95" s="50" t="s">
        <v>81</v>
      </c>
      <c r="D95" s="51"/>
      <c r="E95" s="66">
        <v>0.0</v>
      </c>
      <c r="F95" s="66">
        <v>0.0</v>
      </c>
      <c r="G95" s="66">
        <v>0.0</v>
      </c>
      <c r="H95" s="66">
        <v>1.0</v>
      </c>
      <c r="I95" s="66">
        <v>0.0</v>
      </c>
      <c r="J95" s="66">
        <v>0.0</v>
      </c>
      <c r="K95" s="66">
        <v>0.0</v>
      </c>
      <c r="L95" s="66">
        <v>0.0</v>
      </c>
      <c r="M95" s="66">
        <v>0.0</v>
      </c>
      <c r="N95" s="66">
        <v>1.0</v>
      </c>
      <c r="O95" s="66">
        <v>0.0</v>
      </c>
      <c r="P95" s="66">
        <v>0.0</v>
      </c>
      <c r="Q95" s="66">
        <v>0.0</v>
      </c>
      <c r="R95" s="66">
        <v>0.0</v>
      </c>
      <c r="S95" s="66">
        <v>0.0</v>
      </c>
      <c r="T95" s="66">
        <v>1.0</v>
      </c>
      <c r="U95" s="66">
        <v>1.0</v>
      </c>
      <c r="V95" s="66">
        <v>0.0</v>
      </c>
      <c r="W95" s="66">
        <v>0.0</v>
      </c>
      <c r="X95" s="66">
        <v>0.0</v>
      </c>
      <c r="Y95" s="66">
        <v>0.0</v>
      </c>
      <c r="Z95" s="13">
        <f t="shared" si="8"/>
        <v>4</v>
      </c>
    </row>
    <row r="96" ht="12.75" customHeight="1">
      <c r="A96" s="30"/>
      <c r="B96" s="49"/>
      <c r="C96" s="50" t="s">
        <v>82</v>
      </c>
      <c r="D96" s="51"/>
      <c r="E96" s="66">
        <v>0.0</v>
      </c>
      <c r="F96" s="66">
        <v>0.0</v>
      </c>
      <c r="G96" s="66">
        <v>0.0</v>
      </c>
      <c r="H96" s="66">
        <v>0.0</v>
      </c>
      <c r="I96" s="66">
        <v>0.0</v>
      </c>
      <c r="J96" s="66">
        <v>0.0</v>
      </c>
      <c r="K96" s="66">
        <v>0.0</v>
      </c>
      <c r="L96" s="66">
        <v>0.0</v>
      </c>
      <c r="M96" s="66">
        <v>0.0</v>
      </c>
      <c r="N96" s="66">
        <v>0.0</v>
      </c>
      <c r="O96" s="66">
        <v>0.0</v>
      </c>
      <c r="P96" s="66">
        <v>0.0</v>
      </c>
      <c r="Q96" s="66">
        <v>0.0</v>
      </c>
      <c r="R96" s="66">
        <v>0.0</v>
      </c>
      <c r="S96" s="66">
        <v>0.0</v>
      </c>
      <c r="T96" s="66">
        <v>0.0</v>
      </c>
      <c r="U96" s="66">
        <v>0.0</v>
      </c>
      <c r="V96" s="66">
        <v>0.0</v>
      </c>
      <c r="W96" s="66">
        <v>0.0</v>
      </c>
      <c r="X96" s="66">
        <v>0.0</v>
      </c>
      <c r="Y96" s="66">
        <v>0.0</v>
      </c>
      <c r="Z96" s="13">
        <f t="shared" si="8"/>
        <v>0</v>
      </c>
    </row>
    <row r="97" ht="12.75" customHeight="1">
      <c r="A97" s="30"/>
      <c r="B97" s="49"/>
      <c r="C97" s="50" t="s">
        <v>83</v>
      </c>
      <c r="D97" s="51"/>
      <c r="E97" s="66">
        <v>0.0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0.0</v>
      </c>
      <c r="N97" s="66">
        <v>0.0</v>
      </c>
      <c r="O97" s="66">
        <v>0.0</v>
      </c>
      <c r="P97" s="66">
        <v>0.0</v>
      </c>
      <c r="Q97" s="66">
        <v>0.0</v>
      </c>
      <c r="R97" s="66">
        <v>0.0</v>
      </c>
      <c r="S97" s="66">
        <v>0.0</v>
      </c>
      <c r="T97" s="66">
        <v>0.0</v>
      </c>
      <c r="U97" s="66">
        <v>0.0</v>
      </c>
      <c r="V97" s="66">
        <v>0.0</v>
      </c>
      <c r="W97" s="66">
        <v>0.0</v>
      </c>
      <c r="X97" s="66">
        <v>0.0</v>
      </c>
      <c r="Y97" s="66">
        <v>1.0</v>
      </c>
      <c r="Z97" s="13">
        <f t="shared" si="8"/>
        <v>1</v>
      </c>
    </row>
    <row r="98" ht="12.75" customHeight="1">
      <c r="A98" s="30"/>
      <c r="B98" s="49"/>
      <c r="C98" s="50" t="s">
        <v>84</v>
      </c>
      <c r="D98" s="51"/>
      <c r="E98" s="66">
        <v>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0.0</v>
      </c>
      <c r="P98" s="66">
        <v>0.0</v>
      </c>
      <c r="Q98" s="66">
        <v>0.0</v>
      </c>
      <c r="R98" s="66">
        <v>0.0</v>
      </c>
      <c r="S98" s="66">
        <v>0.0</v>
      </c>
      <c r="T98" s="66">
        <v>0.0</v>
      </c>
      <c r="U98" s="66">
        <v>0.0</v>
      </c>
      <c r="V98" s="66">
        <v>0.0</v>
      </c>
      <c r="W98" s="66">
        <v>0.0</v>
      </c>
      <c r="X98" s="66">
        <v>0.0</v>
      </c>
      <c r="Y98" s="66">
        <v>0.0</v>
      </c>
      <c r="Z98" s="13">
        <f t="shared" si="8"/>
        <v>0</v>
      </c>
    </row>
    <row r="99" ht="12.75" customHeight="1">
      <c r="A99" s="30"/>
      <c r="B99" s="49"/>
      <c r="C99" s="50" t="s">
        <v>85</v>
      </c>
      <c r="D99" s="51"/>
      <c r="E99" s="66">
        <v>0.0</v>
      </c>
      <c r="F99" s="66">
        <v>0.0</v>
      </c>
      <c r="G99" s="66">
        <v>0.0</v>
      </c>
      <c r="H99" s="66">
        <v>0.0</v>
      </c>
      <c r="I99" s="66">
        <v>0.0</v>
      </c>
      <c r="J99" s="66">
        <v>0.0</v>
      </c>
      <c r="K99" s="66">
        <v>0.0</v>
      </c>
      <c r="L99" s="66">
        <v>0.0</v>
      </c>
      <c r="M99" s="66">
        <v>0.0</v>
      </c>
      <c r="N99" s="66">
        <v>0.0</v>
      </c>
      <c r="O99" s="66">
        <v>0.0</v>
      </c>
      <c r="P99" s="66">
        <v>0.0</v>
      </c>
      <c r="Q99" s="66">
        <v>0.0</v>
      </c>
      <c r="R99" s="66">
        <v>0.0</v>
      </c>
      <c r="S99" s="66">
        <v>0.0</v>
      </c>
      <c r="T99" s="66">
        <v>0.0</v>
      </c>
      <c r="U99" s="66">
        <v>0.0</v>
      </c>
      <c r="V99" s="66">
        <v>0.0</v>
      </c>
      <c r="W99" s="66">
        <v>0.0</v>
      </c>
      <c r="X99" s="66">
        <v>0.0</v>
      </c>
      <c r="Y99" s="66">
        <v>0.0</v>
      </c>
      <c r="Z99" s="13">
        <f t="shared" si="8"/>
        <v>0</v>
      </c>
    </row>
    <row r="100" ht="12.75" customHeight="1">
      <c r="A100" s="30"/>
      <c r="B100" s="49"/>
      <c r="C100" s="50" t="s">
        <v>86</v>
      </c>
      <c r="D100" s="51"/>
      <c r="E100" s="66">
        <v>0.0</v>
      </c>
      <c r="F100" s="66">
        <v>0.0</v>
      </c>
      <c r="G100" s="66">
        <v>0.0</v>
      </c>
      <c r="H100" s="66">
        <v>0.0</v>
      </c>
      <c r="I100" s="66">
        <v>0.0</v>
      </c>
      <c r="J100" s="66">
        <v>0.0</v>
      </c>
      <c r="K100" s="66">
        <v>0.0</v>
      </c>
      <c r="L100" s="66">
        <v>0.0</v>
      </c>
      <c r="M100" s="66">
        <v>0.0</v>
      </c>
      <c r="N100" s="66">
        <v>0.0</v>
      </c>
      <c r="O100" s="66">
        <v>0.0</v>
      </c>
      <c r="P100" s="66">
        <v>0.0</v>
      </c>
      <c r="Q100" s="66">
        <v>0.0</v>
      </c>
      <c r="R100" s="66">
        <v>0.0</v>
      </c>
      <c r="S100" s="66">
        <v>0.0</v>
      </c>
      <c r="T100" s="66">
        <v>0.0</v>
      </c>
      <c r="U100" s="66">
        <v>0.0</v>
      </c>
      <c r="V100" s="66">
        <v>0.0</v>
      </c>
      <c r="W100" s="66">
        <v>0.0</v>
      </c>
      <c r="X100" s="66">
        <v>0.0</v>
      </c>
      <c r="Y100" s="66">
        <v>0.0</v>
      </c>
      <c r="Z100" s="13">
        <f t="shared" si="8"/>
        <v>0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Y101" si="15">SUM(E94:E100)</f>
        <v>1</v>
      </c>
      <c r="F101" s="13">
        <f t="shared" si="15"/>
        <v>0</v>
      </c>
      <c r="G101" s="13">
        <f t="shared" si="15"/>
        <v>0</v>
      </c>
      <c r="H101" s="13">
        <f t="shared" si="15"/>
        <v>1</v>
      </c>
      <c r="I101" s="13">
        <f t="shared" si="15"/>
        <v>2</v>
      </c>
      <c r="J101" s="13">
        <f t="shared" si="15"/>
        <v>1</v>
      </c>
      <c r="K101" s="13">
        <f t="shared" si="15"/>
        <v>0</v>
      </c>
      <c r="L101" s="13">
        <f t="shared" si="15"/>
        <v>0</v>
      </c>
      <c r="M101" s="13">
        <f t="shared" si="15"/>
        <v>1</v>
      </c>
      <c r="N101" s="13">
        <f t="shared" si="15"/>
        <v>1</v>
      </c>
      <c r="O101" s="13">
        <f t="shared" si="15"/>
        <v>1</v>
      </c>
      <c r="P101" s="13">
        <f t="shared" si="15"/>
        <v>0</v>
      </c>
      <c r="Q101" s="13">
        <f t="shared" si="15"/>
        <v>1</v>
      </c>
      <c r="R101" s="13">
        <f t="shared" si="15"/>
        <v>0</v>
      </c>
      <c r="S101" s="13">
        <f t="shared" si="15"/>
        <v>1</v>
      </c>
      <c r="T101" s="13">
        <f t="shared" si="15"/>
        <v>1</v>
      </c>
      <c r="U101" s="13">
        <f t="shared" si="15"/>
        <v>1</v>
      </c>
      <c r="V101" s="13">
        <f t="shared" si="15"/>
        <v>1</v>
      </c>
      <c r="W101" s="13">
        <f t="shared" si="15"/>
        <v>0</v>
      </c>
      <c r="X101" s="13">
        <f t="shared" si="15"/>
        <v>1</v>
      </c>
      <c r="Y101" s="13">
        <f t="shared" si="15"/>
        <v>1</v>
      </c>
      <c r="Z101" s="13">
        <f t="shared" si="8"/>
        <v>15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13">
        <f t="shared" si="8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66">
        <v>1.0</v>
      </c>
      <c r="F103" s="66">
        <v>2.0</v>
      </c>
      <c r="G103" s="66">
        <v>0.0</v>
      </c>
      <c r="H103" s="66">
        <v>2.0</v>
      </c>
      <c r="I103" s="66">
        <v>0.0</v>
      </c>
      <c r="J103" s="66">
        <v>0.0</v>
      </c>
      <c r="K103" s="66">
        <v>0.0</v>
      </c>
      <c r="L103" s="66">
        <v>1.0</v>
      </c>
      <c r="M103" s="66">
        <v>0.0</v>
      </c>
      <c r="N103" s="66">
        <v>1.0</v>
      </c>
      <c r="O103" s="66">
        <v>0.0</v>
      </c>
      <c r="P103" s="66">
        <v>0.0</v>
      </c>
      <c r="Q103" s="66">
        <v>1.0</v>
      </c>
      <c r="R103" s="66">
        <v>0.0</v>
      </c>
      <c r="S103" s="66">
        <v>0.0</v>
      </c>
      <c r="T103" s="66">
        <v>0.0</v>
      </c>
      <c r="U103" s="66">
        <v>0.0</v>
      </c>
      <c r="V103" s="66">
        <v>0.0</v>
      </c>
      <c r="W103" s="66">
        <v>0.0</v>
      </c>
      <c r="X103" s="66">
        <v>0.0</v>
      </c>
      <c r="Y103" s="66">
        <v>0.0</v>
      </c>
      <c r="Z103" s="13">
        <f t="shared" si="8"/>
        <v>8</v>
      </c>
    </row>
    <row r="104" ht="12.75" customHeight="1">
      <c r="A104" s="30" t="s">
        <v>39</v>
      </c>
      <c r="B104" s="49"/>
      <c r="C104" s="50" t="s">
        <v>89</v>
      </c>
      <c r="D104" s="51"/>
      <c r="E104" s="66">
        <v>1.0</v>
      </c>
      <c r="F104" s="66">
        <v>4.0</v>
      </c>
      <c r="G104" s="66">
        <v>0.0</v>
      </c>
      <c r="H104" s="66">
        <v>0.0</v>
      </c>
      <c r="I104" s="66">
        <v>0.0</v>
      </c>
      <c r="J104" s="66">
        <v>0.0</v>
      </c>
      <c r="K104" s="66">
        <v>0.0</v>
      </c>
      <c r="L104" s="66">
        <v>2.0</v>
      </c>
      <c r="M104" s="66">
        <v>0.0</v>
      </c>
      <c r="N104" s="66">
        <v>0.0</v>
      </c>
      <c r="O104" s="66">
        <v>0.0</v>
      </c>
      <c r="P104" s="66">
        <v>0.0</v>
      </c>
      <c r="Q104" s="66">
        <v>0.0</v>
      </c>
      <c r="R104" s="66">
        <v>0.0</v>
      </c>
      <c r="S104" s="66">
        <v>0.0</v>
      </c>
      <c r="T104" s="66">
        <v>1.0</v>
      </c>
      <c r="U104" s="66">
        <v>0.0</v>
      </c>
      <c r="V104" s="66">
        <v>0.0</v>
      </c>
      <c r="W104" s="66">
        <v>0.0</v>
      </c>
      <c r="X104" s="66">
        <v>0.0</v>
      </c>
      <c r="Y104" s="66">
        <v>0.0</v>
      </c>
      <c r="Z104" s="13">
        <f t="shared" si="8"/>
        <v>8</v>
      </c>
    </row>
    <row r="105" ht="12.75" customHeight="1">
      <c r="A105" s="18"/>
      <c r="B105" s="49"/>
      <c r="C105" s="50" t="s">
        <v>90</v>
      </c>
      <c r="D105" s="51"/>
      <c r="E105" s="66">
        <v>0.0</v>
      </c>
      <c r="F105" s="66">
        <v>0.0</v>
      </c>
      <c r="G105" s="66">
        <v>0.0</v>
      </c>
      <c r="H105" s="66">
        <v>0.0</v>
      </c>
      <c r="I105" s="66">
        <v>0.0</v>
      </c>
      <c r="J105" s="66">
        <v>0.0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66">
        <v>0.0</v>
      </c>
      <c r="Q105" s="66">
        <v>0.0</v>
      </c>
      <c r="R105" s="66">
        <v>0.0</v>
      </c>
      <c r="S105" s="66">
        <v>0.0</v>
      </c>
      <c r="T105" s="66">
        <v>0.0</v>
      </c>
      <c r="U105" s="66">
        <v>0.0</v>
      </c>
      <c r="V105" s="66">
        <v>0.0</v>
      </c>
      <c r="W105" s="66">
        <v>0.0</v>
      </c>
      <c r="X105" s="66">
        <v>0.0</v>
      </c>
      <c r="Y105" s="66">
        <v>0.0</v>
      </c>
      <c r="Z105" s="13">
        <f t="shared" si="8"/>
        <v>0</v>
      </c>
    </row>
    <row r="106" ht="12.75" customHeight="1">
      <c r="A106" s="18"/>
      <c r="B106" s="49"/>
      <c r="C106" s="50" t="s">
        <v>91</v>
      </c>
      <c r="D106" s="51"/>
      <c r="E106" s="66">
        <v>0.0</v>
      </c>
      <c r="F106" s="66">
        <v>0.0</v>
      </c>
      <c r="G106" s="66">
        <v>0.0</v>
      </c>
      <c r="H106" s="66">
        <v>0.0</v>
      </c>
      <c r="I106" s="66">
        <v>0.0</v>
      </c>
      <c r="J106" s="66">
        <v>0.0</v>
      </c>
      <c r="K106" s="66">
        <v>0.0</v>
      </c>
      <c r="L106" s="66">
        <v>1.0</v>
      </c>
      <c r="M106" s="66">
        <v>0.0</v>
      </c>
      <c r="N106" s="66">
        <v>0.0</v>
      </c>
      <c r="O106" s="66">
        <v>0.0</v>
      </c>
      <c r="P106" s="66">
        <v>0.0</v>
      </c>
      <c r="Q106" s="66">
        <v>0.0</v>
      </c>
      <c r="R106" s="66">
        <v>0.0</v>
      </c>
      <c r="S106" s="66">
        <v>0.0</v>
      </c>
      <c r="T106" s="66">
        <v>0.0</v>
      </c>
      <c r="U106" s="66">
        <v>0.0</v>
      </c>
      <c r="V106" s="66">
        <v>0.0</v>
      </c>
      <c r="W106" s="66">
        <v>0.0</v>
      </c>
      <c r="X106" s="66">
        <v>0.0</v>
      </c>
      <c r="Y106" s="66">
        <v>0.0</v>
      </c>
      <c r="Z106" s="13">
        <f t="shared" si="8"/>
        <v>1</v>
      </c>
    </row>
    <row r="107" ht="12.75" customHeight="1">
      <c r="A107" s="18"/>
      <c r="B107" s="49"/>
      <c r="C107" s="50" t="s">
        <v>92</v>
      </c>
      <c r="D107" s="51"/>
      <c r="E107" s="66">
        <v>0.0</v>
      </c>
      <c r="F107" s="66">
        <v>0.0</v>
      </c>
      <c r="G107" s="66">
        <v>0.0</v>
      </c>
      <c r="H107" s="66">
        <v>0.0</v>
      </c>
      <c r="I107" s="66">
        <v>0.0</v>
      </c>
      <c r="J107" s="66">
        <v>0.0</v>
      </c>
      <c r="K107" s="66">
        <v>0.0</v>
      </c>
      <c r="L107" s="66">
        <v>0.0</v>
      </c>
      <c r="M107" s="66">
        <v>0.0</v>
      </c>
      <c r="N107" s="66">
        <v>0.0</v>
      </c>
      <c r="O107" s="66">
        <v>0.0</v>
      </c>
      <c r="P107" s="66">
        <v>0.0</v>
      </c>
      <c r="Q107" s="66">
        <v>0.0</v>
      </c>
      <c r="R107" s="66">
        <v>1.0</v>
      </c>
      <c r="S107" s="66">
        <v>0.0</v>
      </c>
      <c r="T107" s="66">
        <v>0.0</v>
      </c>
      <c r="U107" s="66">
        <v>0.0</v>
      </c>
      <c r="V107" s="66">
        <v>0.0</v>
      </c>
      <c r="W107" s="66">
        <v>0.0</v>
      </c>
      <c r="X107" s="66">
        <v>0.0</v>
      </c>
      <c r="Y107" s="66">
        <v>0.0</v>
      </c>
      <c r="Z107" s="13">
        <f t="shared" si="8"/>
        <v>1</v>
      </c>
    </row>
    <row r="108" ht="12.75" customHeight="1">
      <c r="A108" s="18"/>
      <c r="B108" s="49"/>
      <c r="C108" s="50" t="s">
        <v>93</v>
      </c>
      <c r="D108" s="51"/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0.0</v>
      </c>
      <c r="N108" s="66">
        <v>0.0</v>
      </c>
      <c r="O108" s="66">
        <v>0.0</v>
      </c>
      <c r="P108" s="66">
        <v>0.0</v>
      </c>
      <c r="Q108" s="66">
        <v>0.0</v>
      </c>
      <c r="R108" s="66">
        <v>0.0</v>
      </c>
      <c r="S108" s="66">
        <v>0.0</v>
      </c>
      <c r="T108" s="66">
        <v>0.0</v>
      </c>
      <c r="U108" s="66">
        <v>0.0</v>
      </c>
      <c r="V108" s="66">
        <v>0.0</v>
      </c>
      <c r="W108" s="66">
        <v>0.0</v>
      </c>
      <c r="X108" s="66">
        <v>0.0</v>
      </c>
      <c r="Y108" s="66">
        <v>0.0</v>
      </c>
      <c r="Z108" s="13">
        <f t="shared" si="8"/>
        <v>0</v>
      </c>
    </row>
    <row r="109" ht="12.75" customHeight="1">
      <c r="A109" s="18"/>
      <c r="B109" s="49"/>
      <c r="C109" s="50" t="s">
        <v>94</v>
      </c>
      <c r="D109" s="51"/>
      <c r="E109" s="66">
        <v>0.0</v>
      </c>
      <c r="F109" s="66">
        <v>0.0</v>
      </c>
      <c r="G109" s="66">
        <v>0.0</v>
      </c>
      <c r="H109" s="66">
        <v>0.0</v>
      </c>
      <c r="I109" s="66">
        <v>0.0</v>
      </c>
      <c r="J109" s="66">
        <v>0.0</v>
      </c>
      <c r="K109" s="66">
        <v>0.0</v>
      </c>
      <c r="L109" s="66">
        <v>0.0</v>
      </c>
      <c r="M109" s="66">
        <v>0.0</v>
      </c>
      <c r="N109" s="66">
        <v>0.0</v>
      </c>
      <c r="O109" s="66">
        <v>0.0</v>
      </c>
      <c r="P109" s="66">
        <v>0.0</v>
      </c>
      <c r="Q109" s="66">
        <v>0.0</v>
      </c>
      <c r="R109" s="66">
        <v>0.0</v>
      </c>
      <c r="S109" s="66">
        <v>0.0</v>
      </c>
      <c r="T109" s="66">
        <v>0.0</v>
      </c>
      <c r="U109" s="66">
        <v>0.0</v>
      </c>
      <c r="V109" s="66">
        <v>0.0</v>
      </c>
      <c r="W109" s="66">
        <v>0.0</v>
      </c>
      <c r="X109" s="66">
        <v>0.0</v>
      </c>
      <c r="Y109" s="66">
        <v>0.0</v>
      </c>
      <c r="Z109" s="13">
        <f t="shared" si="8"/>
        <v>0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Y110" si="16">SUM(E103:E109)</f>
        <v>2</v>
      </c>
      <c r="F110" s="13">
        <f t="shared" si="16"/>
        <v>6</v>
      </c>
      <c r="G110" s="13">
        <f t="shared" si="16"/>
        <v>0</v>
      </c>
      <c r="H110" s="13">
        <f t="shared" si="16"/>
        <v>2</v>
      </c>
      <c r="I110" s="13">
        <f t="shared" si="16"/>
        <v>0</v>
      </c>
      <c r="J110" s="13">
        <f t="shared" si="16"/>
        <v>0</v>
      </c>
      <c r="K110" s="13">
        <f t="shared" si="16"/>
        <v>0</v>
      </c>
      <c r="L110" s="13">
        <f t="shared" si="16"/>
        <v>4</v>
      </c>
      <c r="M110" s="13">
        <f t="shared" si="16"/>
        <v>0</v>
      </c>
      <c r="N110" s="13">
        <f t="shared" si="16"/>
        <v>1</v>
      </c>
      <c r="O110" s="13">
        <f t="shared" si="16"/>
        <v>0</v>
      </c>
      <c r="P110" s="13">
        <f t="shared" si="16"/>
        <v>0</v>
      </c>
      <c r="Q110" s="13">
        <f t="shared" si="16"/>
        <v>1</v>
      </c>
      <c r="R110" s="13">
        <f t="shared" si="16"/>
        <v>1</v>
      </c>
      <c r="S110" s="13">
        <f t="shared" si="16"/>
        <v>0</v>
      </c>
      <c r="T110" s="13">
        <f t="shared" si="16"/>
        <v>1</v>
      </c>
      <c r="U110" s="13">
        <f t="shared" si="16"/>
        <v>0</v>
      </c>
      <c r="V110" s="13">
        <f t="shared" si="16"/>
        <v>0</v>
      </c>
      <c r="W110" s="13">
        <f t="shared" si="16"/>
        <v>0</v>
      </c>
      <c r="X110" s="13">
        <f t="shared" si="16"/>
        <v>0</v>
      </c>
      <c r="Y110" s="13">
        <f t="shared" si="16"/>
        <v>0</v>
      </c>
      <c r="Z110" s="13">
        <f t="shared" si="8"/>
        <v>18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13">
        <f t="shared" si="8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66">
        <v>0.0</v>
      </c>
      <c r="F112" s="66">
        <v>0.0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66">
        <v>0.0</v>
      </c>
      <c r="Q112" s="66">
        <v>0.0</v>
      </c>
      <c r="R112" s="66">
        <v>0.0</v>
      </c>
      <c r="S112" s="66">
        <v>0.0</v>
      </c>
      <c r="T112" s="66">
        <v>0.0</v>
      </c>
      <c r="U112" s="66">
        <v>0.0</v>
      </c>
      <c r="V112" s="66">
        <v>0.0</v>
      </c>
      <c r="W112" s="66">
        <v>0.0</v>
      </c>
      <c r="X112" s="66">
        <v>0.0</v>
      </c>
      <c r="Y112" s="66">
        <v>0.0</v>
      </c>
      <c r="Z112" s="13">
        <f t="shared" si="8"/>
        <v>0</v>
      </c>
    </row>
    <row r="113" ht="12.75" customHeight="1">
      <c r="A113" s="30"/>
      <c r="B113" s="47"/>
      <c r="C113" s="50" t="s">
        <v>97</v>
      </c>
      <c r="D113" s="59"/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66">
        <v>0.0</v>
      </c>
      <c r="Q113" s="66">
        <v>0.0</v>
      </c>
      <c r="R113" s="66">
        <v>0.0</v>
      </c>
      <c r="S113" s="66">
        <v>0.0</v>
      </c>
      <c r="T113" s="66">
        <v>0.0</v>
      </c>
      <c r="U113" s="66">
        <v>0.0</v>
      </c>
      <c r="V113" s="66">
        <v>0.0</v>
      </c>
      <c r="W113" s="66">
        <v>0.0</v>
      </c>
      <c r="X113" s="66">
        <v>0.0</v>
      </c>
      <c r="Y113" s="66">
        <v>0.0</v>
      </c>
      <c r="Z113" s="13">
        <f t="shared" si="8"/>
        <v>0</v>
      </c>
    </row>
    <row r="114" ht="12.75" customHeight="1">
      <c r="A114" s="30"/>
      <c r="B114" s="47"/>
      <c r="C114" s="50" t="s">
        <v>98</v>
      </c>
      <c r="D114" s="59"/>
      <c r="E114" s="66">
        <v>0.0</v>
      </c>
      <c r="F114" s="66">
        <v>0.0</v>
      </c>
      <c r="G114" s="66">
        <v>0.0</v>
      </c>
      <c r="H114" s="66">
        <v>0.0</v>
      </c>
      <c r="I114" s="66">
        <v>0.0</v>
      </c>
      <c r="J114" s="66">
        <v>0.0</v>
      </c>
      <c r="K114" s="66">
        <v>0.0</v>
      </c>
      <c r="L114" s="66">
        <v>0.0</v>
      </c>
      <c r="M114" s="66">
        <v>0.0</v>
      </c>
      <c r="N114" s="66">
        <v>0.0</v>
      </c>
      <c r="O114" s="66">
        <v>0.0</v>
      </c>
      <c r="P114" s="66">
        <v>0.0</v>
      </c>
      <c r="Q114" s="66">
        <v>0.0</v>
      </c>
      <c r="R114" s="66">
        <v>0.0</v>
      </c>
      <c r="S114" s="66">
        <v>0.0</v>
      </c>
      <c r="T114" s="66">
        <v>0.0</v>
      </c>
      <c r="U114" s="66">
        <v>0.0</v>
      </c>
      <c r="V114" s="66">
        <v>0.0</v>
      </c>
      <c r="W114" s="66">
        <v>0.0</v>
      </c>
      <c r="X114" s="66">
        <v>0.0</v>
      </c>
      <c r="Y114" s="66">
        <v>0.0</v>
      </c>
      <c r="Z114" s="13">
        <f t="shared" si="8"/>
        <v>0</v>
      </c>
    </row>
    <row r="115" ht="12.75" customHeight="1">
      <c r="A115" s="30"/>
      <c r="B115" s="47"/>
      <c r="C115" s="50" t="s">
        <v>99</v>
      </c>
      <c r="D115" s="59"/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0.0</v>
      </c>
      <c r="K115" s="66">
        <v>0.0</v>
      </c>
      <c r="L115" s="66">
        <v>0.0</v>
      </c>
      <c r="M115" s="66">
        <v>0.0</v>
      </c>
      <c r="N115" s="66">
        <v>0.0</v>
      </c>
      <c r="O115" s="66">
        <v>0.0</v>
      </c>
      <c r="P115" s="66">
        <v>0.0</v>
      </c>
      <c r="Q115" s="66">
        <v>0.0</v>
      </c>
      <c r="R115" s="66">
        <v>0.0</v>
      </c>
      <c r="S115" s="66">
        <v>0.0</v>
      </c>
      <c r="T115" s="66">
        <v>0.0</v>
      </c>
      <c r="U115" s="66">
        <v>0.0</v>
      </c>
      <c r="V115" s="66">
        <v>0.0</v>
      </c>
      <c r="W115" s="66">
        <v>0.0</v>
      </c>
      <c r="X115" s="66">
        <v>0.0</v>
      </c>
      <c r="Y115" s="66">
        <v>0.0</v>
      </c>
      <c r="Z115" s="13">
        <f t="shared" si="8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66">
        <v>0.0</v>
      </c>
      <c r="F116" s="66">
        <v>0.0</v>
      </c>
      <c r="G116" s="66">
        <v>0.0</v>
      </c>
      <c r="H116" s="66">
        <v>0.0</v>
      </c>
      <c r="I116" s="66">
        <v>0.0</v>
      </c>
      <c r="J116" s="66">
        <v>0.0</v>
      </c>
      <c r="K116" s="66">
        <v>0.0</v>
      </c>
      <c r="L116" s="66">
        <v>0.0</v>
      </c>
      <c r="M116" s="66">
        <v>0.0</v>
      </c>
      <c r="N116" s="66">
        <v>0.0</v>
      </c>
      <c r="O116" s="66">
        <v>0.0</v>
      </c>
      <c r="P116" s="66">
        <v>0.0</v>
      </c>
      <c r="Q116" s="66">
        <v>0.0</v>
      </c>
      <c r="R116" s="66">
        <v>0.0</v>
      </c>
      <c r="S116" s="66">
        <v>0.0</v>
      </c>
      <c r="T116" s="66">
        <v>0.0</v>
      </c>
      <c r="U116" s="66">
        <v>0.0</v>
      </c>
      <c r="V116" s="66">
        <v>0.0</v>
      </c>
      <c r="W116" s="66">
        <v>0.0</v>
      </c>
      <c r="X116" s="66">
        <v>0.0</v>
      </c>
      <c r="Y116" s="66">
        <v>0.0</v>
      </c>
      <c r="Z116" s="13">
        <f t="shared" si="8"/>
        <v>0</v>
      </c>
    </row>
    <row r="117" ht="12.75" customHeight="1">
      <c r="A117" s="18"/>
      <c r="B117" s="49"/>
      <c r="C117" s="50" t="s">
        <v>101</v>
      </c>
      <c r="D117" s="51"/>
      <c r="E117" s="66">
        <v>0.0</v>
      </c>
      <c r="F117" s="66">
        <v>0.0</v>
      </c>
      <c r="G117" s="66">
        <v>0.0</v>
      </c>
      <c r="H117" s="66">
        <v>0.0</v>
      </c>
      <c r="I117" s="66">
        <v>0.0</v>
      </c>
      <c r="J117" s="66">
        <v>0.0</v>
      </c>
      <c r="K117" s="66">
        <v>0.0</v>
      </c>
      <c r="L117" s="66">
        <v>0.0</v>
      </c>
      <c r="M117" s="66">
        <v>0.0</v>
      </c>
      <c r="N117" s="66">
        <v>0.0</v>
      </c>
      <c r="O117" s="66">
        <v>0.0</v>
      </c>
      <c r="P117" s="66">
        <v>0.0</v>
      </c>
      <c r="Q117" s="66">
        <v>0.0</v>
      </c>
      <c r="R117" s="66">
        <v>0.0</v>
      </c>
      <c r="S117" s="66">
        <v>0.0</v>
      </c>
      <c r="T117" s="66">
        <v>0.0</v>
      </c>
      <c r="U117" s="66">
        <v>0.0</v>
      </c>
      <c r="V117" s="66">
        <v>0.0</v>
      </c>
      <c r="W117" s="66">
        <v>0.0</v>
      </c>
      <c r="X117" s="66">
        <v>0.0</v>
      </c>
      <c r="Y117" s="66">
        <v>0.0</v>
      </c>
      <c r="Z117" s="13">
        <f t="shared" si="8"/>
        <v>0</v>
      </c>
      <c r="AA117" s="5"/>
      <c r="AB117" s="5"/>
    </row>
    <row r="118" ht="12.75" customHeight="1">
      <c r="A118" s="18"/>
      <c r="B118" s="49"/>
      <c r="C118" s="50" t="s">
        <v>102</v>
      </c>
      <c r="D118" s="51"/>
      <c r="E118" s="66">
        <v>0.0</v>
      </c>
      <c r="F118" s="66">
        <v>0.0</v>
      </c>
      <c r="G118" s="66">
        <v>0.0</v>
      </c>
      <c r="H118" s="66">
        <v>0.0</v>
      </c>
      <c r="I118" s="66">
        <v>0.0</v>
      </c>
      <c r="J118" s="66">
        <v>0.0</v>
      </c>
      <c r="K118" s="66">
        <v>0.0</v>
      </c>
      <c r="L118" s="66">
        <v>0.0</v>
      </c>
      <c r="M118" s="66">
        <v>0.0</v>
      </c>
      <c r="N118" s="66">
        <v>0.0</v>
      </c>
      <c r="O118" s="66">
        <v>0.0</v>
      </c>
      <c r="P118" s="66">
        <v>0.0</v>
      </c>
      <c r="Q118" s="66">
        <v>0.0</v>
      </c>
      <c r="R118" s="66">
        <v>0.0</v>
      </c>
      <c r="S118" s="66">
        <v>0.0</v>
      </c>
      <c r="T118" s="66">
        <v>0.0</v>
      </c>
      <c r="U118" s="66">
        <v>0.0</v>
      </c>
      <c r="V118" s="66">
        <v>0.0</v>
      </c>
      <c r="W118" s="66">
        <v>0.0</v>
      </c>
      <c r="X118" s="66">
        <v>0.0</v>
      </c>
      <c r="Y118" s="66">
        <v>0.0</v>
      </c>
      <c r="Z118" s="13">
        <f t="shared" si="8"/>
        <v>0</v>
      </c>
      <c r="AA118" s="5"/>
      <c r="AB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Y119" si="17">SUM(E112:E118)</f>
        <v>0</v>
      </c>
      <c r="F119" s="13">
        <f t="shared" si="17"/>
        <v>0</v>
      </c>
      <c r="G119" s="13">
        <f t="shared" si="17"/>
        <v>0</v>
      </c>
      <c r="H119" s="13">
        <f t="shared" si="17"/>
        <v>0</v>
      </c>
      <c r="I119" s="13">
        <f t="shared" si="17"/>
        <v>0</v>
      </c>
      <c r="J119" s="13">
        <f t="shared" si="17"/>
        <v>0</v>
      </c>
      <c r="K119" s="13">
        <f t="shared" si="17"/>
        <v>0</v>
      </c>
      <c r="L119" s="13">
        <f t="shared" si="17"/>
        <v>0</v>
      </c>
      <c r="M119" s="13">
        <f t="shared" si="17"/>
        <v>0</v>
      </c>
      <c r="N119" s="13">
        <f t="shared" si="17"/>
        <v>0</v>
      </c>
      <c r="O119" s="13">
        <f t="shared" si="17"/>
        <v>0</v>
      </c>
      <c r="P119" s="13">
        <f t="shared" si="17"/>
        <v>0</v>
      </c>
      <c r="Q119" s="13">
        <f t="shared" si="17"/>
        <v>0</v>
      </c>
      <c r="R119" s="13">
        <f t="shared" si="17"/>
        <v>0</v>
      </c>
      <c r="S119" s="13">
        <f t="shared" si="17"/>
        <v>0</v>
      </c>
      <c r="T119" s="13">
        <f t="shared" si="17"/>
        <v>0</v>
      </c>
      <c r="U119" s="13">
        <f t="shared" si="17"/>
        <v>0</v>
      </c>
      <c r="V119" s="13">
        <f t="shared" si="17"/>
        <v>0</v>
      </c>
      <c r="W119" s="13">
        <f t="shared" si="17"/>
        <v>0</v>
      </c>
      <c r="X119" s="13">
        <f t="shared" si="17"/>
        <v>0</v>
      </c>
      <c r="Y119" s="13">
        <f t="shared" si="17"/>
        <v>0</v>
      </c>
      <c r="Z119" s="13">
        <f t="shared" si="8"/>
        <v>0</v>
      </c>
      <c r="AA119" s="5"/>
      <c r="AB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13">
        <f t="shared" si="8"/>
        <v>0</v>
      </c>
      <c r="AA120" s="5"/>
      <c r="AB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66">
        <v>0.0</v>
      </c>
      <c r="F121" s="66">
        <v>0.0</v>
      </c>
      <c r="G121" s="66">
        <v>0.0</v>
      </c>
      <c r="H121" s="66">
        <v>0.0</v>
      </c>
      <c r="I121" s="66">
        <v>0.0</v>
      </c>
      <c r="J121" s="66">
        <v>0.0</v>
      </c>
      <c r="K121" s="66">
        <v>0.0</v>
      </c>
      <c r="L121" s="66">
        <v>0.0</v>
      </c>
      <c r="M121" s="66">
        <v>0.0</v>
      </c>
      <c r="N121" s="66">
        <v>0.0</v>
      </c>
      <c r="O121" s="66">
        <v>0.0</v>
      </c>
      <c r="P121" s="66">
        <v>0.0</v>
      </c>
      <c r="Q121" s="66">
        <v>0.0</v>
      </c>
      <c r="R121" s="66">
        <v>0.0</v>
      </c>
      <c r="S121" s="66">
        <v>0.0</v>
      </c>
      <c r="T121" s="66">
        <v>0.0</v>
      </c>
      <c r="U121" s="66">
        <v>0.0</v>
      </c>
      <c r="V121" s="66">
        <v>0.0</v>
      </c>
      <c r="W121" s="66">
        <v>0.0</v>
      </c>
      <c r="X121" s="66">
        <v>0.0</v>
      </c>
      <c r="Y121" s="66">
        <v>0.0</v>
      </c>
      <c r="Z121" s="13">
        <f t="shared" si="8"/>
        <v>0</v>
      </c>
      <c r="AA121" s="5"/>
      <c r="AB121" s="5"/>
    </row>
    <row r="122" ht="12.75" customHeight="1">
      <c r="A122" s="30" t="s">
        <v>39</v>
      </c>
      <c r="B122" s="49"/>
      <c r="C122" s="50" t="s">
        <v>105</v>
      </c>
      <c r="D122" s="51"/>
      <c r="E122" s="66">
        <v>0.0</v>
      </c>
      <c r="F122" s="66">
        <v>0.0</v>
      </c>
      <c r="G122" s="66">
        <v>0.0</v>
      </c>
      <c r="H122" s="66">
        <v>0.0</v>
      </c>
      <c r="I122" s="66">
        <v>0.0</v>
      </c>
      <c r="J122" s="66">
        <v>1.0</v>
      </c>
      <c r="K122" s="66">
        <v>0.0</v>
      </c>
      <c r="L122" s="66">
        <v>0.0</v>
      </c>
      <c r="M122" s="66">
        <v>0.0</v>
      </c>
      <c r="N122" s="66">
        <v>0.0</v>
      </c>
      <c r="O122" s="66">
        <v>0.0</v>
      </c>
      <c r="P122" s="66">
        <v>0.0</v>
      </c>
      <c r="Q122" s="66">
        <v>0.0</v>
      </c>
      <c r="R122" s="66">
        <v>1.0</v>
      </c>
      <c r="S122" s="66">
        <v>0.0</v>
      </c>
      <c r="T122" s="66">
        <v>0.0</v>
      </c>
      <c r="U122" s="66">
        <v>0.0</v>
      </c>
      <c r="V122" s="66">
        <v>0.0</v>
      </c>
      <c r="W122" s="66">
        <v>0.0</v>
      </c>
      <c r="X122" s="66">
        <v>1.0</v>
      </c>
      <c r="Y122" s="66">
        <v>0.0</v>
      </c>
      <c r="Z122" s="13">
        <f t="shared" si="8"/>
        <v>3</v>
      </c>
      <c r="AA122" s="5"/>
      <c r="AB122" s="5"/>
    </row>
    <row r="123" ht="12.75" customHeight="1">
      <c r="A123" s="18"/>
      <c r="B123" s="49"/>
      <c r="C123" s="50" t="s">
        <v>106</v>
      </c>
      <c r="D123" s="51"/>
      <c r="E123" s="66">
        <v>2.0</v>
      </c>
      <c r="F123" s="66">
        <v>0.0</v>
      </c>
      <c r="G123" s="66">
        <v>1.0</v>
      </c>
      <c r="H123" s="66">
        <v>0.0</v>
      </c>
      <c r="I123" s="66">
        <v>0.0</v>
      </c>
      <c r="J123" s="66">
        <v>0.0</v>
      </c>
      <c r="K123" s="66">
        <v>0.0</v>
      </c>
      <c r="L123" s="66">
        <v>0.0</v>
      </c>
      <c r="M123" s="66">
        <v>0.0</v>
      </c>
      <c r="N123" s="66">
        <v>0.0</v>
      </c>
      <c r="O123" s="66">
        <v>2.0</v>
      </c>
      <c r="P123" s="66">
        <v>1.0</v>
      </c>
      <c r="Q123" s="66">
        <v>1.0</v>
      </c>
      <c r="R123" s="66">
        <v>0.0</v>
      </c>
      <c r="S123" s="66">
        <v>0.0</v>
      </c>
      <c r="T123" s="66">
        <v>0.0</v>
      </c>
      <c r="U123" s="66">
        <v>0.0</v>
      </c>
      <c r="V123" s="66">
        <v>0.0</v>
      </c>
      <c r="W123" s="66">
        <v>0.0</v>
      </c>
      <c r="X123" s="66">
        <v>0.0</v>
      </c>
      <c r="Y123" s="66">
        <v>0.0</v>
      </c>
      <c r="Z123" s="13">
        <f t="shared" si="8"/>
        <v>7</v>
      </c>
      <c r="AA123" s="5"/>
      <c r="AB123" s="5"/>
    </row>
    <row r="124" ht="12.75" customHeight="1">
      <c r="A124" s="18"/>
      <c r="B124" s="49"/>
      <c r="C124" s="50" t="s">
        <v>107</v>
      </c>
      <c r="D124" s="51"/>
      <c r="E124" s="66">
        <v>0.0</v>
      </c>
      <c r="F124" s="66">
        <v>0.0</v>
      </c>
      <c r="G124" s="66">
        <v>0.0</v>
      </c>
      <c r="H124" s="66">
        <v>0.0</v>
      </c>
      <c r="I124" s="66">
        <v>0.0</v>
      </c>
      <c r="J124" s="66">
        <v>0.0</v>
      </c>
      <c r="K124" s="66">
        <v>0.0</v>
      </c>
      <c r="L124" s="66">
        <v>0.0</v>
      </c>
      <c r="M124" s="66">
        <v>0.0</v>
      </c>
      <c r="N124" s="66">
        <v>0.0</v>
      </c>
      <c r="O124" s="66">
        <v>0.0</v>
      </c>
      <c r="P124" s="66">
        <v>1.0</v>
      </c>
      <c r="Q124" s="66">
        <v>0.0</v>
      </c>
      <c r="R124" s="66">
        <v>0.0</v>
      </c>
      <c r="S124" s="66">
        <v>0.0</v>
      </c>
      <c r="T124" s="66">
        <v>0.0</v>
      </c>
      <c r="U124" s="66">
        <v>0.0</v>
      </c>
      <c r="V124" s="66">
        <v>0.0</v>
      </c>
      <c r="W124" s="66">
        <v>0.0</v>
      </c>
      <c r="X124" s="66">
        <v>0.0</v>
      </c>
      <c r="Y124" s="66">
        <v>0.0</v>
      </c>
      <c r="Z124" s="13">
        <f t="shared" si="8"/>
        <v>1</v>
      </c>
      <c r="AA124" s="5"/>
      <c r="AB124" s="5"/>
    </row>
    <row r="125" ht="12.75" customHeight="1">
      <c r="A125" s="18"/>
      <c r="B125" s="49"/>
      <c r="C125" s="50" t="s">
        <v>108</v>
      </c>
      <c r="D125" s="51"/>
      <c r="E125" s="66">
        <v>0.0</v>
      </c>
      <c r="F125" s="66">
        <v>1.0</v>
      </c>
      <c r="G125" s="66">
        <v>0.0</v>
      </c>
      <c r="H125" s="66">
        <v>0.0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0.0</v>
      </c>
      <c r="S125" s="66">
        <v>0.0</v>
      </c>
      <c r="T125" s="66">
        <v>0.0</v>
      </c>
      <c r="U125" s="66">
        <v>0.0</v>
      </c>
      <c r="V125" s="66">
        <v>0.0</v>
      </c>
      <c r="W125" s="66">
        <v>0.0</v>
      </c>
      <c r="X125" s="66">
        <v>0.0</v>
      </c>
      <c r="Y125" s="66">
        <v>0.0</v>
      </c>
      <c r="Z125" s="13">
        <f t="shared" si="8"/>
        <v>1</v>
      </c>
      <c r="AA125" s="5"/>
      <c r="AB125" s="5"/>
    </row>
    <row r="126" ht="12.75" customHeight="1">
      <c r="A126" s="18"/>
      <c r="B126" s="49"/>
      <c r="C126" s="50" t="s">
        <v>109</v>
      </c>
      <c r="D126" s="51"/>
      <c r="E126" s="66">
        <v>1.0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0.0</v>
      </c>
      <c r="O126" s="66">
        <v>2.0</v>
      </c>
      <c r="P126" s="66">
        <v>0.0</v>
      </c>
      <c r="Q126" s="66">
        <v>0.0</v>
      </c>
      <c r="R126" s="66">
        <v>0.0</v>
      </c>
      <c r="S126" s="66">
        <v>0.0</v>
      </c>
      <c r="T126" s="66">
        <v>0.0</v>
      </c>
      <c r="U126" s="66">
        <v>0.0</v>
      </c>
      <c r="V126" s="66">
        <v>0.0</v>
      </c>
      <c r="W126" s="66">
        <v>0.0</v>
      </c>
      <c r="X126" s="66">
        <v>0.0</v>
      </c>
      <c r="Y126" s="66">
        <v>0.0</v>
      </c>
      <c r="Z126" s="13">
        <f t="shared" si="8"/>
        <v>3</v>
      </c>
      <c r="AA126" s="5"/>
      <c r="AB126" s="5"/>
    </row>
    <row r="127" ht="12.75" customHeight="1">
      <c r="A127" s="18"/>
      <c r="B127" s="49"/>
      <c r="C127" s="50" t="s">
        <v>110</v>
      </c>
      <c r="D127" s="51"/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66">
        <v>0.0</v>
      </c>
      <c r="Q127" s="66">
        <v>0.0</v>
      </c>
      <c r="R127" s="66">
        <v>0.0</v>
      </c>
      <c r="S127" s="66">
        <v>0.0</v>
      </c>
      <c r="T127" s="66">
        <v>0.0</v>
      </c>
      <c r="U127" s="66">
        <v>0.0</v>
      </c>
      <c r="V127" s="66">
        <v>0.0</v>
      </c>
      <c r="W127" s="66">
        <v>0.0</v>
      </c>
      <c r="X127" s="66">
        <v>0.0</v>
      </c>
      <c r="Y127" s="66">
        <v>0.0</v>
      </c>
      <c r="Z127" s="13">
        <f t="shared" si="8"/>
        <v>0</v>
      </c>
      <c r="AA127" s="5"/>
      <c r="AB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Y128" si="18">SUM(E121:E127)</f>
        <v>3</v>
      </c>
      <c r="F128" s="13">
        <f t="shared" si="18"/>
        <v>1</v>
      </c>
      <c r="G128" s="13">
        <f t="shared" si="18"/>
        <v>1</v>
      </c>
      <c r="H128" s="13">
        <f t="shared" si="18"/>
        <v>0</v>
      </c>
      <c r="I128" s="13">
        <f t="shared" si="18"/>
        <v>0</v>
      </c>
      <c r="J128" s="13">
        <f t="shared" si="18"/>
        <v>1</v>
      </c>
      <c r="K128" s="13">
        <f t="shared" si="18"/>
        <v>0</v>
      </c>
      <c r="L128" s="13">
        <f t="shared" si="18"/>
        <v>0</v>
      </c>
      <c r="M128" s="13">
        <f t="shared" si="18"/>
        <v>0</v>
      </c>
      <c r="N128" s="13">
        <f t="shared" si="18"/>
        <v>0</v>
      </c>
      <c r="O128" s="13">
        <f t="shared" si="18"/>
        <v>4</v>
      </c>
      <c r="P128" s="13">
        <f t="shared" si="18"/>
        <v>2</v>
      </c>
      <c r="Q128" s="13">
        <f t="shared" si="18"/>
        <v>1</v>
      </c>
      <c r="R128" s="13">
        <f t="shared" si="18"/>
        <v>1</v>
      </c>
      <c r="S128" s="13">
        <f t="shared" si="18"/>
        <v>0</v>
      </c>
      <c r="T128" s="13">
        <f t="shared" si="18"/>
        <v>0</v>
      </c>
      <c r="U128" s="13">
        <f t="shared" si="18"/>
        <v>0</v>
      </c>
      <c r="V128" s="13">
        <f t="shared" si="18"/>
        <v>0</v>
      </c>
      <c r="W128" s="13">
        <f t="shared" si="18"/>
        <v>0</v>
      </c>
      <c r="X128" s="13">
        <f t="shared" si="18"/>
        <v>1</v>
      </c>
      <c r="Y128" s="13">
        <f t="shared" si="18"/>
        <v>0</v>
      </c>
      <c r="Z128" s="13">
        <f t="shared" si="8"/>
        <v>15</v>
      </c>
      <c r="AA128" s="5"/>
      <c r="AB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13">
        <f t="shared" si="8"/>
        <v>0</v>
      </c>
      <c r="AA129" s="5"/>
      <c r="AB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66">
        <v>0.0</v>
      </c>
      <c r="F130" s="66">
        <v>0.0</v>
      </c>
      <c r="G130" s="66">
        <v>1.0</v>
      </c>
      <c r="H130" s="66">
        <v>0.0</v>
      </c>
      <c r="I130" s="66">
        <v>0.0</v>
      </c>
      <c r="J130" s="66">
        <v>0.0</v>
      </c>
      <c r="K130" s="66">
        <v>0.0</v>
      </c>
      <c r="L130" s="66">
        <v>0.0</v>
      </c>
      <c r="M130" s="66">
        <v>0.0</v>
      </c>
      <c r="N130" s="66">
        <v>0.0</v>
      </c>
      <c r="O130" s="66">
        <v>0.0</v>
      </c>
      <c r="P130" s="66">
        <v>0.0</v>
      </c>
      <c r="Q130" s="66">
        <v>0.0</v>
      </c>
      <c r="R130" s="66">
        <v>0.0</v>
      </c>
      <c r="S130" s="66">
        <v>0.0</v>
      </c>
      <c r="T130" s="66">
        <v>0.0</v>
      </c>
      <c r="U130" s="66">
        <v>0.0</v>
      </c>
      <c r="V130" s="66">
        <v>0.0</v>
      </c>
      <c r="W130" s="66">
        <v>0.0</v>
      </c>
      <c r="X130" s="66">
        <v>0.0</v>
      </c>
      <c r="Y130" s="66">
        <v>0.0</v>
      </c>
      <c r="Z130" s="13">
        <f t="shared" si="8"/>
        <v>1</v>
      </c>
      <c r="AA130" s="1"/>
      <c r="AB130" s="1"/>
    </row>
    <row r="131" ht="12.75" customHeight="1">
      <c r="A131" s="30" t="s">
        <v>39</v>
      </c>
      <c r="B131" s="49"/>
      <c r="C131" s="50" t="s">
        <v>113</v>
      </c>
      <c r="D131" s="51"/>
      <c r="E131" s="66">
        <v>0.0</v>
      </c>
      <c r="F131" s="66">
        <v>0.0</v>
      </c>
      <c r="G131" s="66">
        <v>0.0</v>
      </c>
      <c r="H131" s="66">
        <v>0.0</v>
      </c>
      <c r="I131" s="66">
        <v>0.0</v>
      </c>
      <c r="J131" s="66">
        <v>0.0</v>
      </c>
      <c r="K131" s="66">
        <v>0.0</v>
      </c>
      <c r="L131" s="66">
        <v>0.0</v>
      </c>
      <c r="M131" s="66">
        <v>0.0</v>
      </c>
      <c r="N131" s="66">
        <v>0.0</v>
      </c>
      <c r="O131" s="66">
        <v>0.0</v>
      </c>
      <c r="P131" s="66">
        <v>0.0</v>
      </c>
      <c r="Q131" s="66">
        <v>0.0</v>
      </c>
      <c r="R131" s="66">
        <v>0.0</v>
      </c>
      <c r="S131" s="66">
        <v>0.0</v>
      </c>
      <c r="T131" s="66">
        <v>0.0</v>
      </c>
      <c r="U131" s="66">
        <v>0.0</v>
      </c>
      <c r="V131" s="66">
        <v>0.0</v>
      </c>
      <c r="W131" s="66">
        <v>0.0</v>
      </c>
      <c r="X131" s="66">
        <v>0.0</v>
      </c>
      <c r="Y131" s="66">
        <v>0.0</v>
      </c>
      <c r="Z131" s="13">
        <f t="shared" si="8"/>
        <v>0</v>
      </c>
      <c r="AA131" s="53"/>
      <c r="AB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Y132" si="19">SUM(E130:E131)</f>
        <v>0</v>
      </c>
      <c r="F132" s="13">
        <f t="shared" si="19"/>
        <v>0</v>
      </c>
      <c r="G132" s="13">
        <f t="shared" si="19"/>
        <v>1</v>
      </c>
      <c r="H132" s="13">
        <f t="shared" si="19"/>
        <v>0</v>
      </c>
      <c r="I132" s="13">
        <f t="shared" si="19"/>
        <v>0</v>
      </c>
      <c r="J132" s="13">
        <f t="shared" si="19"/>
        <v>0</v>
      </c>
      <c r="K132" s="13">
        <f t="shared" si="19"/>
        <v>0</v>
      </c>
      <c r="L132" s="13">
        <f t="shared" si="19"/>
        <v>0</v>
      </c>
      <c r="M132" s="13">
        <f t="shared" si="19"/>
        <v>0</v>
      </c>
      <c r="N132" s="13">
        <f t="shared" si="19"/>
        <v>0</v>
      </c>
      <c r="O132" s="13">
        <f t="shared" si="19"/>
        <v>0</v>
      </c>
      <c r="P132" s="13">
        <f t="shared" si="19"/>
        <v>0</v>
      </c>
      <c r="Q132" s="13">
        <f t="shared" si="19"/>
        <v>0</v>
      </c>
      <c r="R132" s="13">
        <f t="shared" si="19"/>
        <v>0</v>
      </c>
      <c r="S132" s="13">
        <f t="shared" si="19"/>
        <v>0</v>
      </c>
      <c r="T132" s="13">
        <f t="shared" si="19"/>
        <v>0</v>
      </c>
      <c r="U132" s="13">
        <f t="shared" si="19"/>
        <v>0</v>
      </c>
      <c r="V132" s="13">
        <f t="shared" si="19"/>
        <v>0</v>
      </c>
      <c r="W132" s="13">
        <f t="shared" si="19"/>
        <v>0</v>
      </c>
      <c r="X132" s="13">
        <f t="shared" si="19"/>
        <v>0</v>
      </c>
      <c r="Y132" s="13">
        <f t="shared" si="19"/>
        <v>0</v>
      </c>
      <c r="Z132" s="13">
        <f t="shared" si="8"/>
        <v>1</v>
      </c>
      <c r="AA132" s="5"/>
      <c r="AB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13">
        <f t="shared" si="8"/>
        <v>0</v>
      </c>
      <c r="AA133" s="5"/>
      <c r="AB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66">
        <v>1.0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1.0</v>
      </c>
      <c r="N134" s="66">
        <v>0.0</v>
      </c>
      <c r="O134" s="66">
        <v>0.0</v>
      </c>
      <c r="P134" s="66">
        <v>1.0</v>
      </c>
      <c r="Q134" s="66">
        <v>0.0</v>
      </c>
      <c r="R134" s="66">
        <v>1.0</v>
      </c>
      <c r="S134" s="66">
        <v>0.0</v>
      </c>
      <c r="T134" s="66">
        <v>0.0</v>
      </c>
      <c r="U134" s="66">
        <v>0.0</v>
      </c>
      <c r="V134" s="66">
        <v>0.0</v>
      </c>
      <c r="W134" s="66">
        <v>1.0</v>
      </c>
      <c r="X134" s="66">
        <v>0.0</v>
      </c>
      <c r="Y134" s="66">
        <v>1.0</v>
      </c>
      <c r="Z134" s="13">
        <f t="shared" si="8"/>
        <v>6</v>
      </c>
      <c r="AA134" s="5"/>
      <c r="AB134" s="5"/>
    </row>
    <row r="135" ht="12.75" customHeight="1">
      <c r="A135" s="30" t="s">
        <v>39</v>
      </c>
      <c r="B135" s="49"/>
      <c r="C135" s="50" t="s">
        <v>116</v>
      </c>
      <c r="D135" s="51"/>
      <c r="E135" s="66">
        <v>0.0</v>
      </c>
      <c r="F135" s="66">
        <v>0.0</v>
      </c>
      <c r="G135" s="66">
        <v>0.0</v>
      </c>
      <c r="H135" s="66">
        <v>0.0</v>
      </c>
      <c r="I135" s="66">
        <v>0.0</v>
      </c>
      <c r="J135" s="66">
        <v>0.0</v>
      </c>
      <c r="K135" s="66">
        <v>0.0</v>
      </c>
      <c r="L135" s="66">
        <v>0.0</v>
      </c>
      <c r="M135" s="66">
        <v>0.0</v>
      </c>
      <c r="N135" s="66">
        <v>0.0</v>
      </c>
      <c r="O135" s="66">
        <v>0.0</v>
      </c>
      <c r="P135" s="66">
        <v>0.0</v>
      </c>
      <c r="Q135" s="66">
        <v>0.0</v>
      </c>
      <c r="R135" s="66">
        <v>0.0</v>
      </c>
      <c r="S135" s="66">
        <v>0.0</v>
      </c>
      <c r="T135" s="66">
        <v>0.0</v>
      </c>
      <c r="U135" s="66">
        <v>0.0</v>
      </c>
      <c r="V135" s="66">
        <v>0.0</v>
      </c>
      <c r="W135" s="66">
        <v>0.0</v>
      </c>
      <c r="X135" s="66">
        <v>0.0</v>
      </c>
      <c r="Y135" s="66">
        <v>0.0</v>
      </c>
      <c r="Z135" s="13">
        <f t="shared" si="8"/>
        <v>0</v>
      </c>
      <c r="AA135" s="5"/>
      <c r="AB135" s="5"/>
    </row>
    <row r="136" ht="12.75" customHeight="1">
      <c r="A136" s="18"/>
      <c r="B136" s="49"/>
      <c r="C136" s="50" t="s">
        <v>117</v>
      </c>
      <c r="D136" s="51"/>
      <c r="E136" s="66">
        <v>3.0</v>
      </c>
      <c r="F136" s="66">
        <v>0.0</v>
      </c>
      <c r="G136" s="66">
        <v>0.0</v>
      </c>
      <c r="H136" s="66">
        <v>0.0</v>
      </c>
      <c r="I136" s="66">
        <v>0.0</v>
      </c>
      <c r="J136" s="66">
        <v>0.0</v>
      </c>
      <c r="K136" s="66">
        <v>0.0</v>
      </c>
      <c r="L136" s="66">
        <v>1.0</v>
      </c>
      <c r="M136" s="66">
        <v>2.0</v>
      </c>
      <c r="N136" s="66">
        <v>0.0</v>
      </c>
      <c r="O136" s="66">
        <v>0.0</v>
      </c>
      <c r="P136" s="66">
        <v>2.0</v>
      </c>
      <c r="Q136" s="66">
        <v>0.0</v>
      </c>
      <c r="R136" s="66">
        <v>1.0</v>
      </c>
      <c r="S136" s="66">
        <v>1.0</v>
      </c>
      <c r="T136" s="66">
        <v>0.0</v>
      </c>
      <c r="U136" s="66">
        <v>0.0</v>
      </c>
      <c r="V136" s="66">
        <v>0.0</v>
      </c>
      <c r="W136" s="66">
        <v>0.0</v>
      </c>
      <c r="X136" s="66">
        <v>0.0</v>
      </c>
      <c r="Y136" s="66">
        <v>0.0</v>
      </c>
      <c r="Z136" s="13">
        <f t="shared" si="8"/>
        <v>10</v>
      </c>
      <c r="AA136" s="5"/>
      <c r="AB136" s="5"/>
    </row>
    <row r="137" ht="12.75" customHeight="1">
      <c r="A137" s="18"/>
      <c r="B137" s="49"/>
      <c r="C137" s="50" t="s">
        <v>118</v>
      </c>
      <c r="D137" s="51"/>
      <c r="E137" s="66">
        <v>0.0</v>
      </c>
      <c r="F137" s="66">
        <v>0.0</v>
      </c>
      <c r="G137" s="66">
        <v>0.0</v>
      </c>
      <c r="H137" s="66">
        <v>0.0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0.0</v>
      </c>
      <c r="O137" s="66">
        <v>0.0</v>
      </c>
      <c r="P137" s="66">
        <v>0.0</v>
      </c>
      <c r="Q137" s="66">
        <v>0.0</v>
      </c>
      <c r="R137" s="66">
        <v>0.0</v>
      </c>
      <c r="S137" s="66">
        <v>0.0</v>
      </c>
      <c r="T137" s="66">
        <v>0.0</v>
      </c>
      <c r="U137" s="66">
        <v>0.0</v>
      </c>
      <c r="V137" s="66">
        <v>0.0</v>
      </c>
      <c r="W137" s="66">
        <v>0.0</v>
      </c>
      <c r="X137" s="66">
        <v>0.0</v>
      </c>
      <c r="Y137" s="66">
        <v>1.0</v>
      </c>
      <c r="Z137" s="13">
        <f t="shared" si="8"/>
        <v>1</v>
      </c>
      <c r="AA137" s="5"/>
      <c r="AB137" s="5"/>
    </row>
    <row r="138" ht="12.75" customHeight="1">
      <c r="A138" s="18"/>
      <c r="B138" s="49"/>
      <c r="C138" s="50" t="s">
        <v>119</v>
      </c>
      <c r="D138" s="51"/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0.0</v>
      </c>
      <c r="K138" s="66">
        <v>0.0</v>
      </c>
      <c r="L138" s="66">
        <v>0.0</v>
      </c>
      <c r="M138" s="66">
        <v>0.0</v>
      </c>
      <c r="N138" s="66">
        <v>0.0</v>
      </c>
      <c r="O138" s="66">
        <v>0.0</v>
      </c>
      <c r="P138" s="66">
        <v>0.0</v>
      </c>
      <c r="Q138" s="66">
        <v>0.0</v>
      </c>
      <c r="R138" s="66">
        <v>0.0</v>
      </c>
      <c r="S138" s="66">
        <v>0.0</v>
      </c>
      <c r="T138" s="66">
        <v>0.0</v>
      </c>
      <c r="U138" s="66">
        <v>0.0</v>
      </c>
      <c r="V138" s="66">
        <v>0.0</v>
      </c>
      <c r="W138" s="66">
        <v>0.0</v>
      </c>
      <c r="X138" s="66">
        <v>0.0</v>
      </c>
      <c r="Y138" s="66">
        <v>1.0</v>
      </c>
      <c r="Z138" s="13">
        <f t="shared" si="8"/>
        <v>1</v>
      </c>
      <c r="AA138" s="5"/>
      <c r="AB138" s="5"/>
    </row>
    <row r="139" ht="12.75" customHeight="1">
      <c r="A139" s="18"/>
      <c r="B139" s="49"/>
      <c r="C139" s="50" t="s">
        <v>120</v>
      </c>
      <c r="D139" s="51"/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0.0</v>
      </c>
      <c r="N139" s="66">
        <v>0.0</v>
      </c>
      <c r="O139" s="66">
        <v>0.0</v>
      </c>
      <c r="P139" s="66">
        <v>0.0</v>
      </c>
      <c r="Q139" s="66">
        <v>0.0</v>
      </c>
      <c r="R139" s="66">
        <v>0.0</v>
      </c>
      <c r="S139" s="66">
        <v>0.0</v>
      </c>
      <c r="T139" s="66">
        <v>0.0</v>
      </c>
      <c r="U139" s="66">
        <v>0.0</v>
      </c>
      <c r="V139" s="66">
        <v>0.0</v>
      </c>
      <c r="W139" s="66">
        <v>0.0</v>
      </c>
      <c r="X139" s="66">
        <v>0.0</v>
      </c>
      <c r="Y139" s="66">
        <v>0.0</v>
      </c>
      <c r="Z139" s="13">
        <f t="shared" si="8"/>
        <v>0</v>
      </c>
      <c r="AA139" s="5"/>
      <c r="AB139" s="5"/>
    </row>
    <row r="140" ht="12.75" customHeight="1">
      <c r="A140" s="18"/>
      <c r="B140" s="49"/>
      <c r="C140" s="50" t="s">
        <v>121</v>
      </c>
      <c r="D140" s="51"/>
      <c r="E140" s="66">
        <v>0.0</v>
      </c>
      <c r="F140" s="66">
        <v>0.0</v>
      </c>
      <c r="G140" s="66">
        <v>0.0</v>
      </c>
      <c r="H140" s="66">
        <v>0.0</v>
      </c>
      <c r="I140" s="66">
        <v>0.0</v>
      </c>
      <c r="J140" s="66">
        <v>1.0</v>
      </c>
      <c r="K140" s="66">
        <v>1.0</v>
      </c>
      <c r="L140" s="66">
        <v>0.0</v>
      </c>
      <c r="M140" s="66">
        <v>0.0</v>
      </c>
      <c r="N140" s="66">
        <v>0.0</v>
      </c>
      <c r="O140" s="66">
        <v>0.0</v>
      </c>
      <c r="P140" s="66">
        <v>0.0</v>
      </c>
      <c r="Q140" s="66">
        <v>0.0</v>
      </c>
      <c r="R140" s="66">
        <v>0.0</v>
      </c>
      <c r="S140" s="66">
        <v>0.0</v>
      </c>
      <c r="T140" s="66">
        <v>0.0</v>
      </c>
      <c r="U140" s="66">
        <v>0.0</v>
      </c>
      <c r="V140" s="66">
        <v>0.0</v>
      </c>
      <c r="W140" s="66">
        <v>0.0</v>
      </c>
      <c r="X140" s="66">
        <v>0.0</v>
      </c>
      <c r="Y140" s="66">
        <v>0.0</v>
      </c>
      <c r="Z140" s="13">
        <f t="shared" si="8"/>
        <v>2</v>
      </c>
      <c r="AA140" s="5"/>
      <c r="AB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Y141" si="20">SUM(E134:E140)</f>
        <v>4</v>
      </c>
      <c r="F141" s="13">
        <f t="shared" si="20"/>
        <v>0</v>
      </c>
      <c r="G141" s="13">
        <f t="shared" si="20"/>
        <v>0</v>
      </c>
      <c r="H141" s="13">
        <f t="shared" si="20"/>
        <v>0</v>
      </c>
      <c r="I141" s="13">
        <f t="shared" si="20"/>
        <v>0</v>
      </c>
      <c r="J141" s="13">
        <f t="shared" si="20"/>
        <v>1</v>
      </c>
      <c r="K141" s="13">
        <f t="shared" si="20"/>
        <v>1</v>
      </c>
      <c r="L141" s="13">
        <f t="shared" si="20"/>
        <v>1</v>
      </c>
      <c r="M141" s="13">
        <f t="shared" si="20"/>
        <v>3</v>
      </c>
      <c r="N141" s="13">
        <f t="shared" si="20"/>
        <v>0</v>
      </c>
      <c r="O141" s="13">
        <f t="shared" si="20"/>
        <v>0</v>
      </c>
      <c r="P141" s="13">
        <f t="shared" si="20"/>
        <v>3</v>
      </c>
      <c r="Q141" s="13">
        <f t="shared" si="20"/>
        <v>0</v>
      </c>
      <c r="R141" s="13">
        <f t="shared" si="20"/>
        <v>2</v>
      </c>
      <c r="S141" s="13">
        <f t="shared" si="20"/>
        <v>1</v>
      </c>
      <c r="T141" s="13">
        <f t="shared" si="20"/>
        <v>0</v>
      </c>
      <c r="U141" s="13">
        <f t="shared" si="20"/>
        <v>0</v>
      </c>
      <c r="V141" s="13">
        <f t="shared" si="20"/>
        <v>0</v>
      </c>
      <c r="W141" s="13">
        <f t="shared" si="20"/>
        <v>1</v>
      </c>
      <c r="X141" s="13">
        <f t="shared" si="20"/>
        <v>0</v>
      </c>
      <c r="Y141" s="13">
        <f t="shared" si="20"/>
        <v>3</v>
      </c>
      <c r="Z141" s="13">
        <f t="shared" si="8"/>
        <v>20</v>
      </c>
      <c r="AA141" s="1"/>
      <c r="AB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13">
        <f t="shared" si="8"/>
        <v>0</v>
      </c>
      <c r="AA142" s="53"/>
      <c r="AB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66">
        <v>0.0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0.0</v>
      </c>
      <c r="O143" s="66">
        <v>0.0</v>
      </c>
      <c r="P143" s="66">
        <v>0.0</v>
      </c>
      <c r="Q143" s="66">
        <v>2.0</v>
      </c>
      <c r="R143" s="66">
        <v>0.0</v>
      </c>
      <c r="S143" s="66">
        <v>0.0</v>
      </c>
      <c r="T143" s="66">
        <v>0.0</v>
      </c>
      <c r="U143" s="66">
        <v>0.0</v>
      </c>
      <c r="V143" s="66">
        <v>0.0</v>
      </c>
      <c r="W143" s="66">
        <v>0.0</v>
      </c>
      <c r="X143" s="66">
        <v>0.0</v>
      </c>
      <c r="Y143" s="66">
        <v>0.0</v>
      </c>
      <c r="Z143" s="13">
        <f t="shared" si="8"/>
        <v>2</v>
      </c>
      <c r="AA143" s="5"/>
      <c r="AB143" s="5"/>
    </row>
    <row r="144" ht="12.75" customHeight="1">
      <c r="A144" s="30" t="s">
        <v>39</v>
      </c>
      <c r="B144" s="49"/>
      <c r="C144" s="50" t="s">
        <v>124</v>
      </c>
      <c r="D144" s="51"/>
      <c r="E144" s="66">
        <v>0.0</v>
      </c>
      <c r="F144" s="66">
        <v>0.0</v>
      </c>
      <c r="G144" s="66">
        <v>1.0</v>
      </c>
      <c r="H144" s="66">
        <v>0.0</v>
      </c>
      <c r="I144" s="66">
        <v>0.0</v>
      </c>
      <c r="J144" s="66">
        <v>0.0</v>
      </c>
      <c r="K144" s="66">
        <v>0.0</v>
      </c>
      <c r="L144" s="66">
        <v>0.0</v>
      </c>
      <c r="M144" s="66">
        <v>0.0</v>
      </c>
      <c r="N144" s="66">
        <v>0.0</v>
      </c>
      <c r="O144" s="66">
        <v>0.0</v>
      </c>
      <c r="P144" s="66">
        <v>0.0</v>
      </c>
      <c r="Q144" s="66">
        <v>0.0</v>
      </c>
      <c r="R144" s="66">
        <v>0.0</v>
      </c>
      <c r="S144" s="66">
        <v>0.0</v>
      </c>
      <c r="T144" s="66">
        <v>0.0</v>
      </c>
      <c r="U144" s="66">
        <v>0.0</v>
      </c>
      <c r="V144" s="66">
        <v>0.0</v>
      </c>
      <c r="W144" s="66">
        <v>0.0</v>
      </c>
      <c r="X144" s="66">
        <v>0.0</v>
      </c>
      <c r="Y144" s="66">
        <v>0.0</v>
      </c>
      <c r="Z144" s="13">
        <f t="shared" si="8"/>
        <v>1</v>
      </c>
      <c r="AA144" s="5"/>
      <c r="AB144" s="5"/>
    </row>
    <row r="145" ht="12.75" customHeight="1">
      <c r="A145" s="18"/>
      <c r="B145" s="49"/>
      <c r="C145" s="50" t="s">
        <v>125</v>
      </c>
      <c r="D145" s="51"/>
      <c r="E145" s="66">
        <v>0.0</v>
      </c>
      <c r="F145" s="66">
        <v>0.0</v>
      </c>
      <c r="G145" s="66">
        <v>0.0</v>
      </c>
      <c r="H145" s="66">
        <v>0.0</v>
      </c>
      <c r="I145" s="66">
        <v>0.0</v>
      </c>
      <c r="J145" s="66">
        <v>0.0</v>
      </c>
      <c r="K145" s="66">
        <v>0.0</v>
      </c>
      <c r="L145" s="66">
        <v>0.0</v>
      </c>
      <c r="M145" s="66">
        <v>0.0</v>
      </c>
      <c r="N145" s="66">
        <v>0.0</v>
      </c>
      <c r="O145" s="66">
        <v>0.0</v>
      </c>
      <c r="P145" s="66">
        <v>0.0</v>
      </c>
      <c r="Q145" s="66">
        <v>1.0</v>
      </c>
      <c r="R145" s="66">
        <v>0.0</v>
      </c>
      <c r="S145" s="66">
        <v>0.0</v>
      </c>
      <c r="T145" s="66">
        <v>0.0</v>
      </c>
      <c r="U145" s="66">
        <v>0.0</v>
      </c>
      <c r="V145" s="66">
        <v>0.0</v>
      </c>
      <c r="W145" s="66">
        <v>0.0</v>
      </c>
      <c r="X145" s="66">
        <v>0.0</v>
      </c>
      <c r="Y145" s="66">
        <v>0.0</v>
      </c>
      <c r="Z145" s="13">
        <f t="shared" si="8"/>
        <v>1</v>
      </c>
      <c r="AA145" s="5"/>
      <c r="AB145" s="5"/>
    </row>
    <row r="146" ht="12.75" customHeight="1">
      <c r="A146" s="18"/>
      <c r="B146" s="49"/>
      <c r="C146" s="50" t="s">
        <v>126</v>
      </c>
      <c r="D146" s="51"/>
      <c r="E146" s="66">
        <v>1.0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66">
        <v>0.0</v>
      </c>
      <c r="Q146" s="66">
        <v>0.0</v>
      </c>
      <c r="R146" s="66">
        <v>0.0</v>
      </c>
      <c r="S146" s="66">
        <v>0.0</v>
      </c>
      <c r="T146" s="66">
        <v>0.0</v>
      </c>
      <c r="U146" s="66">
        <v>0.0</v>
      </c>
      <c r="V146" s="66">
        <v>0.0</v>
      </c>
      <c r="W146" s="66">
        <v>0.0</v>
      </c>
      <c r="X146" s="66">
        <v>0.0</v>
      </c>
      <c r="Y146" s="66">
        <v>0.0</v>
      </c>
      <c r="Z146" s="13">
        <f t="shared" si="8"/>
        <v>1</v>
      </c>
      <c r="AA146" s="5"/>
      <c r="AB146" s="5"/>
    </row>
    <row r="147" ht="12.75" customHeight="1">
      <c r="A147" s="18"/>
      <c r="B147" s="49"/>
      <c r="C147" s="50" t="s">
        <v>127</v>
      </c>
      <c r="D147" s="51"/>
      <c r="E147" s="66">
        <v>0.0</v>
      </c>
      <c r="F147" s="66">
        <v>0.0</v>
      </c>
      <c r="G147" s="66">
        <v>0.0</v>
      </c>
      <c r="H147" s="66">
        <v>0.0</v>
      </c>
      <c r="I147" s="66">
        <v>0.0</v>
      </c>
      <c r="J147" s="66">
        <v>0.0</v>
      </c>
      <c r="K147" s="66">
        <v>0.0</v>
      </c>
      <c r="L147" s="66">
        <v>0.0</v>
      </c>
      <c r="M147" s="66">
        <v>0.0</v>
      </c>
      <c r="N147" s="66">
        <v>0.0</v>
      </c>
      <c r="O147" s="66">
        <v>0.0</v>
      </c>
      <c r="P147" s="66">
        <v>0.0</v>
      </c>
      <c r="Q147" s="66">
        <v>0.0</v>
      </c>
      <c r="R147" s="66">
        <v>0.0</v>
      </c>
      <c r="S147" s="66">
        <v>0.0</v>
      </c>
      <c r="T147" s="66">
        <v>0.0</v>
      </c>
      <c r="U147" s="66">
        <v>0.0</v>
      </c>
      <c r="V147" s="66">
        <v>0.0</v>
      </c>
      <c r="W147" s="66">
        <v>0.0</v>
      </c>
      <c r="X147" s="66">
        <v>0.0</v>
      </c>
      <c r="Y147" s="66">
        <v>0.0</v>
      </c>
      <c r="Z147" s="13">
        <f t="shared" si="8"/>
        <v>0</v>
      </c>
      <c r="AA147" s="5"/>
      <c r="AB147" s="5"/>
    </row>
    <row r="148" ht="12.75" customHeight="1">
      <c r="A148" s="18"/>
      <c r="B148" s="49"/>
      <c r="C148" s="50" t="s">
        <v>128</v>
      </c>
      <c r="D148" s="51"/>
      <c r="E148" s="66">
        <v>0.0</v>
      </c>
      <c r="F148" s="66">
        <v>0.0</v>
      </c>
      <c r="G148" s="66">
        <v>0.0</v>
      </c>
      <c r="H148" s="66">
        <v>0.0</v>
      </c>
      <c r="I148" s="66">
        <v>0.0</v>
      </c>
      <c r="J148" s="66">
        <v>0.0</v>
      </c>
      <c r="K148" s="66">
        <v>0.0</v>
      </c>
      <c r="L148" s="66">
        <v>0.0</v>
      </c>
      <c r="M148" s="66">
        <v>0.0</v>
      </c>
      <c r="N148" s="66">
        <v>0.0</v>
      </c>
      <c r="O148" s="66">
        <v>0.0</v>
      </c>
      <c r="P148" s="66">
        <v>0.0</v>
      </c>
      <c r="Q148" s="66">
        <v>0.0</v>
      </c>
      <c r="R148" s="66">
        <v>0.0</v>
      </c>
      <c r="S148" s="66">
        <v>0.0</v>
      </c>
      <c r="T148" s="66">
        <v>0.0</v>
      </c>
      <c r="U148" s="66">
        <v>0.0</v>
      </c>
      <c r="V148" s="66">
        <v>0.0</v>
      </c>
      <c r="W148" s="66">
        <v>0.0</v>
      </c>
      <c r="X148" s="66">
        <v>0.0</v>
      </c>
      <c r="Y148" s="66">
        <v>0.0</v>
      </c>
      <c r="Z148" s="13">
        <f t="shared" si="8"/>
        <v>0</v>
      </c>
      <c r="AA148" s="5"/>
      <c r="AB148" s="5"/>
    </row>
    <row r="149" ht="12.75" customHeight="1">
      <c r="A149" s="18"/>
      <c r="B149" s="49"/>
      <c r="C149" s="50" t="s">
        <v>129</v>
      </c>
      <c r="D149" s="51"/>
      <c r="E149" s="66">
        <v>0.0</v>
      </c>
      <c r="F149" s="66">
        <v>0.0</v>
      </c>
      <c r="G149" s="66">
        <v>0.0</v>
      </c>
      <c r="H149" s="66">
        <v>0.0</v>
      </c>
      <c r="I149" s="66">
        <v>0.0</v>
      </c>
      <c r="J149" s="66">
        <v>0.0</v>
      </c>
      <c r="K149" s="66">
        <v>0.0</v>
      </c>
      <c r="L149" s="66">
        <v>0.0</v>
      </c>
      <c r="M149" s="66">
        <v>0.0</v>
      </c>
      <c r="N149" s="66">
        <v>0.0</v>
      </c>
      <c r="O149" s="66">
        <v>0.0</v>
      </c>
      <c r="P149" s="66">
        <v>0.0</v>
      </c>
      <c r="Q149" s="66">
        <v>0.0</v>
      </c>
      <c r="R149" s="66">
        <v>0.0</v>
      </c>
      <c r="S149" s="66">
        <v>0.0</v>
      </c>
      <c r="T149" s="66">
        <v>0.0</v>
      </c>
      <c r="U149" s="66">
        <v>0.0</v>
      </c>
      <c r="V149" s="66">
        <v>0.0</v>
      </c>
      <c r="W149" s="66">
        <v>0.0</v>
      </c>
      <c r="X149" s="66">
        <v>0.0</v>
      </c>
      <c r="Y149" s="66">
        <v>0.0</v>
      </c>
      <c r="Z149" s="13">
        <f t="shared" si="8"/>
        <v>0</v>
      </c>
      <c r="AA149" s="5"/>
      <c r="AB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Y150" si="21">SUM(E143:E149)</f>
        <v>1</v>
      </c>
      <c r="F150" s="13">
        <f t="shared" si="21"/>
        <v>0</v>
      </c>
      <c r="G150" s="13">
        <f t="shared" si="21"/>
        <v>1</v>
      </c>
      <c r="H150" s="13">
        <f t="shared" si="21"/>
        <v>0</v>
      </c>
      <c r="I150" s="13">
        <f t="shared" si="21"/>
        <v>0</v>
      </c>
      <c r="J150" s="13">
        <f t="shared" si="21"/>
        <v>0</v>
      </c>
      <c r="K150" s="13">
        <f t="shared" si="21"/>
        <v>0</v>
      </c>
      <c r="L150" s="13">
        <f t="shared" si="21"/>
        <v>0</v>
      </c>
      <c r="M150" s="13">
        <f t="shared" si="21"/>
        <v>0</v>
      </c>
      <c r="N150" s="13">
        <f t="shared" si="21"/>
        <v>0</v>
      </c>
      <c r="O150" s="13">
        <f t="shared" si="21"/>
        <v>0</v>
      </c>
      <c r="P150" s="13">
        <f t="shared" si="21"/>
        <v>0</v>
      </c>
      <c r="Q150" s="13">
        <f t="shared" si="21"/>
        <v>3</v>
      </c>
      <c r="R150" s="13">
        <f t="shared" si="21"/>
        <v>0</v>
      </c>
      <c r="S150" s="13">
        <f t="shared" si="21"/>
        <v>0</v>
      </c>
      <c r="T150" s="13">
        <f t="shared" si="21"/>
        <v>0</v>
      </c>
      <c r="U150" s="13">
        <f t="shared" si="21"/>
        <v>0</v>
      </c>
      <c r="V150" s="13">
        <f t="shared" si="21"/>
        <v>0</v>
      </c>
      <c r="W150" s="13">
        <f t="shared" si="21"/>
        <v>0</v>
      </c>
      <c r="X150" s="13">
        <f t="shared" si="21"/>
        <v>0</v>
      </c>
      <c r="Y150" s="13">
        <f t="shared" si="21"/>
        <v>0</v>
      </c>
      <c r="Z150" s="13">
        <f t="shared" si="8"/>
        <v>5</v>
      </c>
      <c r="AA150" s="5"/>
      <c r="AB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13">
        <f t="shared" si="8"/>
        <v>0</v>
      </c>
      <c r="AA151" s="1"/>
      <c r="AB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3.0</v>
      </c>
      <c r="F152" s="66">
        <v>5.0</v>
      </c>
      <c r="G152" s="66">
        <v>2.0</v>
      </c>
      <c r="H152" s="66">
        <v>1.0</v>
      </c>
      <c r="I152" s="66">
        <v>4.0</v>
      </c>
      <c r="J152" s="66">
        <v>1.0</v>
      </c>
      <c r="K152" s="66">
        <v>0.0</v>
      </c>
      <c r="L152" s="66">
        <v>5.0</v>
      </c>
      <c r="M152" s="66">
        <v>1.0</v>
      </c>
      <c r="N152" s="66">
        <v>2.0</v>
      </c>
      <c r="O152" s="66">
        <v>5.0</v>
      </c>
      <c r="P152" s="66">
        <v>3.0</v>
      </c>
      <c r="Q152" s="66">
        <v>1.0</v>
      </c>
      <c r="R152" s="66">
        <v>4.0</v>
      </c>
      <c r="S152" s="66">
        <v>0.0</v>
      </c>
      <c r="T152" s="66">
        <v>2.0</v>
      </c>
      <c r="U152" s="66">
        <v>0.0</v>
      </c>
      <c r="V152" s="66">
        <v>2.0</v>
      </c>
      <c r="W152" s="66">
        <v>7.0</v>
      </c>
      <c r="X152" s="66">
        <v>6.0</v>
      </c>
      <c r="Y152" s="66">
        <v>8.0</v>
      </c>
      <c r="Z152" s="13">
        <f t="shared" si="8"/>
        <v>62</v>
      </c>
      <c r="AA152" s="53"/>
      <c r="AB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8.0</v>
      </c>
      <c r="F153" s="66">
        <v>7.0</v>
      </c>
      <c r="G153" s="66">
        <v>2.0</v>
      </c>
      <c r="H153" s="66">
        <v>0.0</v>
      </c>
      <c r="I153" s="66">
        <v>15.0</v>
      </c>
      <c r="J153" s="66">
        <v>1.0</v>
      </c>
      <c r="K153" s="66">
        <v>23.0</v>
      </c>
      <c r="L153" s="66">
        <v>5.0</v>
      </c>
      <c r="M153" s="66">
        <v>2.0</v>
      </c>
      <c r="N153" s="66">
        <v>11.0</v>
      </c>
      <c r="O153" s="66">
        <v>25.0</v>
      </c>
      <c r="P153" s="66">
        <v>10.0</v>
      </c>
      <c r="Q153" s="66">
        <v>2.0</v>
      </c>
      <c r="R153" s="66">
        <v>5.0</v>
      </c>
      <c r="S153" s="66">
        <v>5.0</v>
      </c>
      <c r="T153" s="66">
        <v>1.0</v>
      </c>
      <c r="U153" s="66">
        <v>1.0</v>
      </c>
      <c r="V153" s="66">
        <v>1.0</v>
      </c>
      <c r="W153" s="66">
        <v>0.0</v>
      </c>
      <c r="X153" s="66">
        <v>1.0</v>
      </c>
      <c r="Y153" s="66">
        <v>5.0</v>
      </c>
      <c r="Z153" s="13">
        <f t="shared" si="8"/>
        <v>130</v>
      </c>
      <c r="AA153" s="5"/>
      <c r="AB153" s="5"/>
    </row>
    <row r="154" ht="12.75" customHeight="1">
      <c r="A154" s="18"/>
      <c r="B154" s="49"/>
      <c r="C154" s="50" t="s">
        <v>133</v>
      </c>
      <c r="D154" s="51"/>
      <c r="E154" s="66">
        <v>5.0</v>
      </c>
      <c r="F154" s="66">
        <v>5.0</v>
      </c>
      <c r="G154" s="66">
        <v>3.0</v>
      </c>
      <c r="H154" s="66">
        <v>9.0</v>
      </c>
      <c r="I154" s="66">
        <v>10.0</v>
      </c>
      <c r="J154" s="66">
        <v>8.0</v>
      </c>
      <c r="K154" s="66">
        <v>16.0</v>
      </c>
      <c r="L154" s="66">
        <v>14.0</v>
      </c>
      <c r="M154" s="66">
        <v>8.0</v>
      </c>
      <c r="N154" s="66">
        <v>17.0</v>
      </c>
      <c r="O154" s="66">
        <v>9.0</v>
      </c>
      <c r="P154" s="66">
        <v>17.0</v>
      </c>
      <c r="Q154" s="66">
        <v>9.0</v>
      </c>
      <c r="R154" s="66">
        <v>15.0</v>
      </c>
      <c r="S154" s="66">
        <v>6.0</v>
      </c>
      <c r="T154" s="66">
        <v>14.0</v>
      </c>
      <c r="U154" s="66">
        <v>2.0</v>
      </c>
      <c r="V154" s="66">
        <v>22.0</v>
      </c>
      <c r="W154" s="66">
        <v>30.0</v>
      </c>
      <c r="X154" s="66">
        <v>58.0</v>
      </c>
      <c r="Y154" s="66">
        <v>47.0</v>
      </c>
      <c r="Z154" s="13">
        <f t="shared" si="8"/>
        <v>324</v>
      </c>
      <c r="AA154" s="5"/>
      <c r="AB154" s="5"/>
    </row>
    <row r="155" ht="12.75" customHeight="1">
      <c r="A155" s="18"/>
      <c r="B155" s="49"/>
      <c r="C155" s="50" t="s">
        <v>134</v>
      </c>
      <c r="D155" s="51"/>
      <c r="E155" s="66">
        <v>0.0</v>
      </c>
      <c r="F155" s="66">
        <v>0.0</v>
      </c>
      <c r="G155" s="66">
        <v>1.0</v>
      </c>
      <c r="H155" s="66">
        <v>0.0</v>
      </c>
      <c r="I155" s="66">
        <v>1.0</v>
      </c>
      <c r="J155" s="66">
        <v>0.0</v>
      </c>
      <c r="K155" s="66">
        <v>0.0</v>
      </c>
      <c r="L155" s="66">
        <v>0.0</v>
      </c>
      <c r="M155" s="66">
        <v>0.0</v>
      </c>
      <c r="N155" s="66">
        <v>0.0</v>
      </c>
      <c r="O155" s="66">
        <v>0.0</v>
      </c>
      <c r="P155" s="66">
        <v>0.0</v>
      </c>
      <c r="Q155" s="66">
        <v>0.0</v>
      </c>
      <c r="R155" s="66">
        <v>1.0</v>
      </c>
      <c r="S155" s="66">
        <v>0.0</v>
      </c>
      <c r="T155" s="66">
        <v>1.0</v>
      </c>
      <c r="U155" s="66">
        <v>1.0</v>
      </c>
      <c r="V155" s="66">
        <v>1.0</v>
      </c>
      <c r="W155" s="66">
        <v>1.0</v>
      </c>
      <c r="X155" s="66">
        <v>0.0</v>
      </c>
      <c r="Y155" s="66">
        <v>0.0</v>
      </c>
      <c r="Z155" s="13">
        <f t="shared" si="8"/>
        <v>7</v>
      </c>
      <c r="AA155" s="5"/>
      <c r="AB155" s="5"/>
    </row>
    <row r="156" ht="12.75" customHeight="1">
      <c r="A156" s="18"/>
      <c r="B156" s="49"/>
      <c r="C156" s="50" t="s">
        <v>135</v>
      </c>
      <c r="D156" s="51"/>
      <c r="E156" s="66">
        <v>0.0</v>
      </c>
      <c r="F156" s="66">
        <v>0.0</v>
      </c>
      <c r="G156" s="66">
        <v>0.0</v>
      </c>
      <c r="H156" s="66">
        <v>0.0</v>
      </c>
      <c r="I156" s="66">
        <v>0.0</v>
      </c>
      <c r="J156" s="66">
        <v>0.0</v>
      </c>
      <c r="K156" s="66">
        <v>0.0</v>
      </c>
      <c r="L156" s="66">
        <v>0.0</v>
      </c>
      <c r="M156" s="66">
        <v>1.0</v>
      </c>
      <c r="N156" s="66">
        <v>0.0</v>
      </c>
      <c r="O156" s="66">
        <v>1.0</v>
      </c>
      <c r="P156" s="66">
        <v>2.0</v>
      </c>
      <c r="Q156" s="66">
        <v>0.0</v>
      </c>
      <c r="R156" s="66">
        <v>0.0</v>
      </c>
      <c r="S156" s="66">
        <v>0.0</v>
      </c>
      <c r="T156" s="66">
        <v>0.0</v>
      </c>
      <c r="U156" s="66">
        <v>0.0</v>
      </c>
      <c r="V156" s="66">
        <v>0.0</v>
      </c>
      <c r="W156" s="66">
        <v>0.0</v>
      </c>
      <c r="X156" s="66">
        <v>0.0</v>
      </c>
      <c r="Y156" s="66">
        <v>0.0</v>
      </c>
      <c r="Z156" s="13">
        <f t="shared" si="8"/>
        <v>4</v>
      </c>
      <c r="AA156" s="5"/>
      <c r="AB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66">
        <v>1.0</v>
      </c>
      <c r="Q157" s="66">
        <v>0.0</v>
      </c>
      <c r="R157" s="66">
        <v>0.0</v>
      </c>
      <c r="S157" s="66">
        <v>0.0</v>
      </c>
      <c r="T157" s="66">
        <v>1.0</v>
      </c>
      <c r="U157" s="66">
        <v>0.0</v>
      </c>
      <c r="V157" s="66">
        <v>0.0</v>
      </c>
      <c r="W157" s="66">
        <v>0.0</v>
      </c>
      <c r="X157" s="66">
        <v>0.0</v>
      </c>
      <c r="Y157" s="66">
        <v>0.0</v>
      </c>
      <c r="Z157" s="13">
        <f t="shared" si="8"/>
        <v>2</v>
      </c>
      <c r="AA157" s="5"/>
      <c r="AB157" s="5"/>
    </row>
    <row r="158" ht="12.75" customHeight="1">
      <c r="A158" s="18"/>
      <c r="B158" s="49"/>
      <c r="C158" s="50" t="s">
        <v>137</v>
      </c>
      <c r="D158" s="51"/>
      <c r="E158" s="66">
        <v>0.0</v>
      </c>
      <c r="F158" s="66">
        <v>0.0</v>
      </c>
      <c r="G158" s="66">
        <v>0.0</v>
      </c>
      <c r="H158" s="66">
        <v>0.0</v>
      </c>
      <c r="I158" s="66">
        <v>0.0</v>
      </c>
      <c r="J158" s="66">
        <v>3.0</v>
      </c>
      <c r="K158" s="66">
        <v>1.0</v>
      </c>
      <c r="L158" s="66">
        <v>0.0</v>
      </c>
      <c r="M158" s="66">
        <v>0.0</v>
      </c>
      <c r="N158" s="66">
        <v>0.0</v>
      </c>
      <c r="O158" s="66">
        <v>0.0</v>
      </c>
      <c r="P158" s="66">
        <v>0.0</v>
      </c>
      <c r="Q158" s="66">
        <v>0.0</v>
      </c>
      <c r="R158" s="66">
        <v>0.0</v>
      </c>
      <c r="S158" s="66">
        <v>0.0</v>
      </c>
      <c r="T158" s="66">
        <v>0.0</v>
      </c>
      <c r="U158" s="66">
        <v>2.0</v>
      </c>
      <c r="V158" s="66">
        <v>0.0</v>
      </c>
      <c r="W158" s="66">
        <v>0.0</v>
      </c>
      <c r="X158" s="66">
        <v>0.0</v>
      </c>
      <c r="Y158" s="66">
        <v>0.0</v>
      </c>
      <c r="Z158" s="13">
        <f t="shared" si="8"/>
        <v>6</v>
      </c>
      <c r="AA158" s="5"/>
      <c r="AB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Y159" si="22">SUM(E152:E158)</f>
        <v>16</v>
      </c>
      <c r="F159" s="13">
        <f t="shared" si="22"/>
        <v>17</v>
      </c>
      <c r="G159" s="13">
        <f t="shared" si="22"/>
        <v>8</v>
      </c>
      <c r="H159" s="13">
        <f t="shared" si="22"/>
        <v>10</v>
      </c>
      <c r="I159" s="13">
        <f t="shared" si="22"/>
        <v>30</v>
      </c>
      <c r="J159" s="13">
        <f t="shared" si="22"/>
        <v>13</v>
      </c>
      <c r="K159" s="13">
        <f t="shared" si="22"/>
        <v>40</v>
      </c>
      <c r="L159" s="13">
        <f t="shared" si="22"/>
        <v>24</v>
      </c>
      <c r="M159" s="13">
        <f t="shared" si="22"/>
        <v>12</v>
      </c>
      <c r="N159" s="13">
        <f t="shared" si="22"/>
        <v>30</v>
      </c>
      <c r="O159" s="13">
        <f t="shared" si="22"/>
        <v>40</v>
      </c>
      <c r="P159" s="13">
        <f t="shared" si="22"/>
        <v>33</v>
      </c>
      <c r="Q159" s="13">
        <f t="shared" si="22"/>
        <v>12</v>
      </c>
      <c r="R159" s="13">
        <f t="shared" si="22"/>
        <v>25</v>
      </c>
      <c r="S159" s="13">
        <f t="shared" si="22"/>
        <v>11</v>
      </c>
      <c r="T159" s="13">
        <f t="shared" si="22"/>
        <v>19</v>
      </c>
      <c r="U159" s="13">
        <f t="shared" si="22"/>
        <v>6</v>
      </c>
      <c r="V159" s="13">
        <f t="shared" si="22"/>
        <v>26</v>
      </c>
      <c r="W159" s="13">
        <f t="shared" si="22"/>
        <v>38</v>
      </c>
      <c r="X159" s="13">
        <f t="shared" si="22"/>
        <v>65</v>
      </c>
      <c r="Y159" s="13">
        <f t="shared" si="22"/>
        <v>60</v>
      </c>
      <c r="Z159" s="13">
        <f t="shared" si="8"/>
        <v>535</v>
      </c>
      <c r="AA159" s="5"/>
      <c r="AB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13">
        <f t="shared" si="8"/>
        <v>0</v>
      </c>
      <c r="AA160" s="5"/>
      <c r="AB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0.0</v>
      </c>
      <c r="F161" s="73">
        <v>0.0</v>
      </c>
      <c r="G161" s="73">
        <v>0.0</v>
      </c>
      <c r="H161" s="73">
        <v>1.0</v>
      </c>
      <c r="I161" s="73">
        <v>1.0</v>
      </c>
      <c r="J161" s="73">
        <v>1.0</v>
      </c>
      <c r="K161" s="73">
        <v>0.0</v>
      </c>
      <c r="L161" s="73">
        <v>0.0</v>
      </c>
      <c r="M161" s="73">
        <v>0.0</v>
      </c>
      <c r="N161" s="73">
        <v>0.0</v>
      </c>
      <c r="O161" s="73">
        <v>0.0</v>
      </c>
      <c r="P161" s="73">
        <v>0.0</v>
      </c>
      <c r="Q161" s="73">
        <v>0.0</v>
      </c>
      <c r="R161" s="73">
        <v>0.0</v>
      </c>
      <c r="S161" s="73">
        <v>0.0</v>
      </c>
      <c r="T161" s="73">
        <v>0.0</v>
      </c>
      <c r="U161" s="73">
        <v>0.0</v>
      </c>
      <c r="V161" s="73">
        <v>0.0</v>
      </c>
      <c r="W161" s="73">
        <v>1.0</v>
      </c>
      <c r="X161" s="73">
        <v>0.0</v>
      </c>
      <c r="Y161" s="73">
        <v>0.0</v>
      </c>
      <c r="Z161" s="13">
        <f t="shared" si="8"/>
        <v>4</v>
      </c>
      <c r="AA161" s="5"/>
      <c r="AB161" s="5"/>
    </row>
    <row r="162" ht="12.75" customHeight="1">
      <c r="A162" s="30" t="s">
        <v>39</v>
      </c>
      <c r="B162" s="49"/>
      <c r="C162" s="50" t="s">
        <v>140</v>
      </c>
      <c r="D162" s="51"/>
      <c r="E162" s="73">
        <v>0.0</v>
      </c>
      <c r="F162" s="73">
        <v>0.0</v>
      </c>
      <c r="G162" s="73">
        <v>0.0</v>
      </c>
      <c r="H162" s="73">
        <v>2.0</v>
      </c>
      <c r="I162" s="73">
        <v>1.0</v>
      </c>
      <c r="J162" s="73">
        <v>0.0</v>
      </c>
      <c r="K162" s="73">
        <v>0.0</v>
      </c>
      <c r="L162" s="73">
        <v>0.0</v>
      </c>
      <c r="M162" s="73">
        <v>0.0</v>
      </c>
      <c r="N162" s="73">
        <v>1.0</v>
      </c>
      <c r="O162" s="73">
        <v>1.0</v>
      </c>
      <c r="P162" s="73">
        <v>0.0</v>
      </c>
      <c r="Q162" s="73">
        <v>0.0</v>
      </c>
      <c r="R162" s="73">
        <v>0.0</v>
      </c>
      <c r="S162" s="73">
        <v>0.0</v>
      </c>
      <c r="T162" s="73">
        <v>0.0</v>
      </c>
      <c r="U162" s="73">
        <v>0.0</v>
      </c>
      <c r="V162" s="73">
        <v>0.0</v>
      </c>
      <c r="W162" s="73">
        <v>0.0</v>
      </c>
      <c r="X162" s="73">
        <v>0.0</v>
      </c>
      <c r="Y162" s="73">
        <v>0.0</v>
      </c>
      <c r="Z162" s="13">
        <f t="shared" si="8"/>
        <v>5</v>
      </c>
      <c r="AA162" s="5"/>
      <c r="AB162" s="5"/>
    </row>
    <row r="163" ht="12.75" customHeight="1">
      <c r="A163" s="30"/>
      <c r="B163" s="49"/>
      <c r="C163" s="50" t="s">
        <v>141</v>
      </c>
      <c r="D163" s="51"/>
      <c r="E163" s="73">
        <v>0.0</v>
      </c>
      <c r="F163" s="73">
        <v>2.0</v>
      </c>
      <c r="G163" s="73">
        <v>0.0</v>
      </c>
      <c r="H163" s="73">
        <v>0.0</v>
      </c>
      <c r="I163" s="73">
        <v>0.0</v>
      </c>
      <c r="J163" s="73">
        <v>0.0</v>
      </c>
      <c r="K163" s="73">
        <v>0.0</v>
      </c>
      <c r="L163" s="73">
        <v>1.0</v>
      </c>
      <c r="M163" s="73">
        <v>1.0</v>
      </c>
      <c r="N163" s="73">
        <v>0.0</v>
      </c>
      <c r="O163" s="73">
        <v>1.0</v>
      </c>
      <c r="P163" s="73">
        <v>0.0</v>
      </c>
      <c r="Q163" s="73">
        <v>1.0</v>
      </c>
      <c r="R163" s="73">
        <v>0.0</v>
      </c>
      <c r="S163" s="73">
        <v>0.0</v>
      </c>
      <c r="T163" s="73">
        <v>1.0</v>
      </c>
      <c r="U163" s="73">
        <v>0.0</v>
      </c>
      <c r="V163" s="73">
        <v>0.0</v>
      </c>
      <c r="W163" s="73">
        <v>0.0</v>
      </c>
      <c r="X163" s="73">
        <v>0.0</v>
      </c>
      <c r="Y163" s="73">
        <v>0.0</v>
      </c>
      <c r="Z163" s="13">
        <f t="shared" si="8"/>
        <v>7</v>
      </c>
      <c r="AA163" s="5"/>
      <c r="AB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Y164" si="23">SUM(E161:E163)</f>
        <v>0</v>
      </c>
      <c r="F164" s="13">
        <f t="shared" si="23"/>
        <v>2</v>
      </c>
      <c r="G164" s="13">
        <f t="shared" si="23"/>
        <v>0</v>
      </c>
      <c r="H164" s="13">
        <f t="shared" si="23"/>
        <v>3</v>
      </c>
      <c r="I164" s="13">
        <f t="shared" si="23"/>
        <v>2</v>
      </c>
      <c r="J164" s="13">
        <f t="shared" si="23"/>
        <v>1</v>
      </c>
      <c r="K164" s="13">
        <f t="shared" si="23"/>
        <v>0</v>
      </c>
      <c r="L164" s="13">
        <f t="shared" si="23"/>
        <v>1</v>
      </c>
      <c r="M164" s="13">
        <f t="shared" si="23"/>
        <v>1</v>
      </c>
      <c r="N164" s="13">
        <f t="shared" si="23"/>
        <v>1</v>
      </c>
      <c r="O164" s="13">
        <f t="shared" si="23"/>
        <v>2</v>
      </c>
      <c r="P164" s="13">
        <f t="shared" si="23"/>
        <v>0</v>
      </c>
      <c r="Q164" s="13">
        <f t="shared" si="23"/>
        <v>1</v>
      </c>
      <c r="R164" s="13">
        <f t="shared" si="23"/>
        <v>0</v>
      </c>
      <c r="S164" s="13">
        <f t="shared" si="23"/>
        <v>0</v>
      </c>
      <c r="T164" s="13">
        <f t="shared" si="23"/>
        <v>1</v>
      </c>
      <c r="U164" s="13">
        <f t="shared" si="23"/>
        <v>0</v>
      </c>
      <c r="V164" s="13">
        <f t="shared" si="23"/>
        <v>0</v>
      </c>
      <c r="W164" s="13">
        <f t="shared" si="23"/>
        <v>1</v>
      </c>
      <c r="X164" s="13">
        <f t="shared" si="23"/>
        <v>0</v>
      </c>
      <c r="Y164" s="13">
        <f t="shared" si="23"/>
        <v>0</v>
      </c>
      <c r="Z164" s="13">
        <f t="shared" si="8"/>
        <v>16</v>
      </c>
      <c r="AA164" s="5"/>
      <c r="AB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13">
        <f t="shared" si="8"/>
        <v>0</v>
      </c>
      <c r="AA165" s="1"/>
      <c r="AB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66">
        <v>0.0</v>
      </c>
      <c r="J166" s="66">
        <v>0.0</v>
      </c>
      <c r="K166" s="66">
        <v>0.0</v>
      </c>
      <c r="L166" s="66">
        <v>0.0</v>
      </c>
      <c r="M166" s="66">
        <v>0.0</v>
      </c>
      <c r="N166" s="66">
        <v>0.0</v>
      </c>
      <c r="O166" s="66">
        <v>0.0</v>
      </c>
      <c r="P166" s="66">
        <v>0.0</v>
      </c>
      <c r="Q166" s="66">
        <v>0.0</v>
      </c>
      <c r="R166" s="66">
        <v>0.0</v>
      </c>
      <c r="S166" s="66">
        <v>0.0</v>
      </c>
      <c r="T166" s="66">
        <v>0.0</v>
      </c>
      <c r="U166" s="66">
        <v>0.0</v>
      </c>
      <c r="V166" s="66">
        <v>0.0</v>
      </c>
      <c r="W166" s="66">
        <v>0.0</v>
      </c>
      <c r="X166" s="66">
        <v>0.0</v>
      </c>
      <c r="Y166" s="66">
        <v>0.0</v>
      </c>
      <c r="Z166" s="13">
        <f t="shared" si="8"/>
        <v>0</v>
      </c>
      <c r="AA166" s="53"/>
      <c r="AB166" s="53"/>
    </row>
    <row r="167" ht="12.75" customHeight="1">
      <c r="A167" s="30"/>
      <c r="B167" s="47"/>
      <c r="C167" s="50" t="s">
        <v>144</v>
      </c>
      <c r="D167" s="59"/>
      <c r="E167" s="66">
        <v>0.0</v>
      </c>
      <c r="F167" s="66">
        <v>0.0</v>
      </c>
      <c r="G167" s="66">
        <v>0.0</v>
      </c>
      <c r="H167" s="66">
        <v>0.0</v>
      </c>
      <c r="I167" s="66">
        <v>0.0</v>
      </c>
      <c r="J167" s="66">
        <v>0.0</v>
      </c>
      <c r="K167" s="66">
        <v>0.0</v>
      </c>
      <c r="L167" s="66">
        <v>0.0</v>
      </c>
      <c r="M167" s="66">
        <v>0.0</v>
      </c>
      <c r="N167" s="66">
        <v>0.0</v>
      </c>
      <c r="O167" s="66">
        <v>0.0</v>
      </c>
      <c r="P167" s="66">
        <v>0.0</v>
      </c>
      <c r="Q167" s="66">
        <v>0.0</v>
      </c>
      <c r="R167" s="66">
        <v>0.0</v>
      </c>
      <c r="S167" s="66">
        <v>0.0</v>
      </c>
      <c r="T167" s="66">
        <v>0.0</v>
      </c>
      <c r="U167" s="66">
        <v>0.0</v>
      </c>
      <c r="V167" s="66">
        <v>1.0</v>
      </c>
      <c r="W167" s="66">
        <v>3.0</v>
      </c>
      <c r="X167" s="66">
        <v>0.0</v>
      </c>
      <c r="Y167" s="66">
        <v>0.0</v>
      </c>
      <c r="Z167" s="13">
        <f t="shared" si="8"/>
        <v>4</v>
      </c>
      <c r="AA167" s="5"/>
      <c r="AB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66">
        <v>0.0</v>
      </c>
      <c r="L168" s="66">
        <v>0.0</v>
      </c>
      <c r="M168" s="66">
        <v>0.0</v>
      </c>
      <c r="N168" s="66">
        <v>0.0</v>
      </c>
      <c r="O168" s="66">
        <v>0.0</v>
      </c>
      <c r="P168" s="66">
        <v>0.0</v>
      </c>
      <c r="Q168" s="66">
        <v>0.0</v>
      </c>
      <c r="R168" s="66">
        <v>0.0</v>
      </c>
      <c r="S168" s="66">
        <v>0.0</v>
      </c>
      <c r="T168" s="66">
        <v>0.0</v>
      </c>
      <c r="U168" s="66">
        <v>0.0</v>
      </c>
      <c r="V168" s="66">
        <v>0.0</v>
      </c>
      <c r="W168" s="66">
        <v>0.0</v>
      </c>
      <c r="X168" s="66">
        <v>0.0</v>
      </c>
      <c r="Y168" s="66">
        <v>0.0</v>
      </c>
      <c r="Z168" s="13">
        <f t="shared" si="8"/>
        <v>0</v>
      </c>
      <c r="AA168" s="5"/>
      <c r="AB168" s="5"/>
    </row>
    <row r="169" ht="12.75" customHeight="1">
      <c r="A169" s="30"/>
      <c r="B169" s="47"/>
      <c r="C169" s="50" t="s">
        <v>146</v>
      </c>
      <c r="D169" s="59"/>
      <c r="E169" s="66">
        <v>0.0</v>
      </c>
      <c r="F169" s="66">
        <v>0.0</v>
      </c>
      <c r="G169" s="66">
        <v>0.0</v>
      </c>
      <c r="H169" s="66">
        <v>0.0</v>
      </c>
      <c r="I169" s="66">
        <v>0.0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66">
        <v>0.0</v>
      </c>
      <c r="Q169" s="66">
        <v>0.0</v>
      </c>
      <c r="R169" s="66">
        <v>0.0</v>
      </c>
      <c r="S169" s="66">
        <v>0.0</v>
      </c>
      <c r="T169" s="66">
        <v>0.0</v>
      </c>
      <c r="U169" s="66">
        <v>0.0</v>
      </c>
      <c r="V169" s="66">
        <v>0.0</v>
      </c>
      <c r="W169" s="66">
        <v>0.0</v>
      </c>
      <c r="X169" s="66">
        <v>0.0</v>
      </c>
      <c r="Y169" s="66">
        <v>0.0</v>
      </c>
      <c r="Z169" s="13">
        <f t="shared" si="8"/>
        <v>0</v>
      </c>
      <c r="AA169" s="5"/>
      <c r="AB169" s="5"/>
    </row>
    <row r="170" ht="12.75" customHeight="1">
      <c r="A170" s="30" t="s">
        <v>39</v>
      </c>
      <c r="B170" s="49"/>
      <c r="C170" s="50" t="s">
        <v>147</v>
      </c>
      <c r="D170" s="51"/>
      <c r="E170" s="66">
        <v>0.0</v>
      </c>
      <c r="F170" s="66">
        <v>0.0</v>
      </c>
      <c r="G170" s="66">
        <v>0.0</v>
      </c>
      <c r="H170" s="66">
        <v>0.0</v>
      </c>
      <c r="I170" s="66">
        <v>0.0</v>
      </c>
      <c r="J170" s="66">
        <v>0.0</v>
      </c>
      <c r="K170" s="66">
        <v>0.0</v>
      </c>
      <c r="L170" s="66">
        <v>0.0</v>
      </c>
      <c r="M170" s="66">
        <v>0.0</v>
      </c>
      <c r="N170" s="66">
        <v>0.0</v>
      </c>
      <c r="O170" s="66">
        <v>0.0</v>
      </c>
      <c r="P170" s="66">
        <v>0.0</v>
      </c>
      <c r="Q170" s="66">
        <v>0.0</v>
      </c>
      <c r="R170" s="66">
        <v>0.0</v>
      </c>
      <c r="S170" s="66">
        <v>0.0</v>
      </c>
      <c r="T170" s="66">
        <v>0.0</v>
      </c>
      <c r="U170" s="66">
        <v>0.0</v>
      </c>
      <c r="V170" s="66">
        <v>0.0</v>
      </c>
      <c r="W170" s="66">
        <v>0.0</v>
      </c>
      <c r="X170" s="66">
        <v>0.0</v>
      </c>
      <c r="Y170" s="66">
        <v>0.0</v>
      </c>
      <c r="Z170" s="13">
        <f t="shared" si="8"/>
        <v>0</v>
      </c>
      <c r="AA170" s="5"/>
      <c r="AB170" s="5"/>
    </row>
    <row r="171" ht="12.75" customHeight="1">
      <c r="A171" s="18"/>
      <c r="B171" s="49"/>
      <c r="C171" s="50" t="s">
        <v>148</v>
      </c>
      <c r="D171" s="51"/>
      <c r="E171" s="66">
        <v>0.0</v>
      </c>
      <c r="F171" s="66">
        <v>0.0</v>
      </c>
      <c r="G171" s="66">
        <v>0.0</v>
      </c>
      <c r="H171" s="66">
        <v>0.0</v>
      </c>
      <c r="I171" s="66">
        <v>0.0</v>
      </c>
      <c r="J171" s="66">
        <v>0.0</v>
      </c>
      <c r="K171" s="66">
        <v>0.0</v>
      </c>
      <c r="L171" s="66">
        <v>0.0</v>
      </c>
      <c r="M171" s="66">
        <v>0.0</v>
      </c>
      <c r="N171" s="66">
        <v>0.0</v>
      </c>
      <c r="O171" s="66">
        <v>0.0</v>
      </c>
      <c r="P171" s="66">
        <v>0.0</v>
      </c>
      <c r="Q171" s="66">
        <v>0.0</v>
      </c>
      <c r="R171" s="66">
        <v>0.0</v>
      </c>
      <c r="S171" s="66">
        <v>0.0</v>
      </c>
      <c r="T171" s="66">
        <v>0.0</v>
      </c>
      <c r="U171" s="66">
        <v>0.0</v>
      </c>
      <c r="V171" s="66">
        <v>0.0</v>
      </c>
      <c r="W171" s="66">
        <v>0.0</v>
      </c>
      <c r="X171" s="66">
        <v>0.0</v>
      </c>
      <c r="Y171" s="66">
        <v>0.0</v>
      </c>
      <c r="Z171" s="13">
        <f t="shared" si="8"/>
        <v>0</v>
      </c>
      <c r="AA171" s="5"/>
      <c r="AB171" s="5"/>
    </row>
    <row r="172" ht="12.75" customHeight="1">
      <c r="A172" s="18"/>
      <c r="B172" s="49"/>
      <c r="C172" s="50" t="s">
        <v>149</v>
      </c>
      <c r="D172" s="51"/>
      <c r="E172" s="66">
        <v>0.0</v>
      </c>
      <c r="F172" s="66">
        <v>0.0</v>
      </c>
      <c r="G172" s="66">
        <v>0.0</v>
      </c>
      <c r="H172" s="66">
        <v>0.0</v>
      </c>
      <c r="I172" s="66">
        <v>0.0</v>
      </c>
      <c r="J172" s="66">
        <v>0.0</v>
      </c>
      <c r="K172" s="66">
        <v>0.0</v>
      </c>
      <c r="L172" s="66">
        <v>0.0</v>
      </c>
      <c r="M172" s="66">
        <v>0.0</v>
      </c>
      <c r="N172" s="66">
        <v>0.0</v>
      </c>
      <c r="O172" s="66">
        <v>0.0</v>
      </c>
      <c r="P172" s="66">
        <v>0.0</v>
      </c>
      <c r="Q172" s="66">
        <v>0.0</v>
      </c>
      <c r="R172" s="66">
        <v>0.0</v>
      </c>
      <c r="S172" s="66">
        <v>0.0</v>
      </c>
      <c r="T172" s="66">
        <v>0.0</v>
      </c>
      <c r="U172" s="66">
        <v>0.0</v>
      </c>
      <c r="V172" s="66">
        <v>0.0</v>
      </c>
      <c r="W172" s="66">
        <v>0.0</v>
      </c>
      <c r="X172" s="66">
        <v>0.0</v>
      </c>
      <c r="Y172" s="66">
        <v>0.0</v>
      </c>
      <c r="Z172" s="13">
        <f t="shared" si="8"/>
        <v>0</v>
      </c>
      <c r="AA172" s="5"/>
      <c r="AB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Y173" si="24">SUM(E166:E172)</f>
        <v>0</v>
      </c>
      <c r="F173" s="13">
        <f t="shared" si="24"/>
        <v>0</v>
      </c>
      <c r="G173" s="13">
        <f t="shared" si="24"/>
        <v>0</v>
      </c>
      <c r="H173" s="13">
        <f t="shared" si="24"/>
        <v>0</v>
      </c>
      <c r="I173" s="13">
        <f t="shared" si="24"/>
        <v>0</v>
      </c>
      <c r="J173" s="13">
        <f t="shared" si="24"/>
        <v>0</v>
      </c>
      <c r="K173" s="13">
        <f t="shared" si="24"/>
        <v>0</v>
      </c>
      <c r="L173" s="13">
        <f t="shared" si="24"/>
        <v>0</v>
      </c>
      <c r="M173" s="13">
        <f t="shared" si="24"/>
        <v>0</v>
      </c>
      <c r="N173" s="13">
        <f t="shared" si="24"/>
        <v>0</v>
      </c>
      <c r="O173" s="13">
        <f t="shared" si="24"/>
        <v>0</v>
      </c>
      <c r="P173" s="13">
        <f t="shared" si="24"/>
        <v>0</v>
      </c>
      <c r="Q173" s="13">
        <f t="shared" si="24"/>
        <v>0</v>
      </c>
      <c r="R173" s="13">
        <f t="shared" si="24"/>
        <v>0</v>
      </c>
      <c r="S173" s="13">
        <f t="shared" si="24"/>
        <v>0</v>
      </c>
      <c r="T173" s="13">
        <f t="shared" si="24"/>
        <v>0</v>
      </c>
      <c r="U173" s="13">
        <f t="shared" si="24"/>
        <v>0</v>
      </c>
      <c r="V173" s="13">
        <f t="shared" si="24"/>
        <v>1</v>
      </c>
      <c r="W173" s="13">
        <f t="shared" si="24"/>
        <v>3</v>
      </c>
      <c r="X173" s="13">
        <f t="shared" si="24"/>
        <v>0</v>
      </c>
      <c r="Y173" s="13">
        <f t="shared" si="24"/>
        <v>0</v>
      </c>
      <c r="Z173" s="13">
        <f t="shared" si="8"/>
        <v>4</v>
      </c>
      <c r="AA173" s="5"/>
      <c r="AB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13">
        <f t="shared" si="8"/>
        <v>0</v>
      </c>
      <c r="AA174" s="5"/>
      <c r="AB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0.0</v>
      </c>
      <c r="F175" s="66">
        <v>1.0</v>
      </c>
      <c r="G175" s="66">
        <v>1.0</v>
      </c>
      <c r="H175" s="66">
        <v>2.0</v>
      </c>
      <c r="I175" s="66">
        <v>0.0</v>
      </c>
      <c r="J175" s="66">
        <v>1.0</v>
      </c>
      <c r="K175" s="66">
        <v>0.0</v>
      </c>
      <c r="L175" s="66">
        <v>3.0</v>
      </c>
      <c r="M175" s="66">
        <v>0.0</v>
      </c>
      <c r="N175" s="66">
        <v>0.0</v>
      </c>
      <c r="O175" s="66">
        <v>5.0</v>
      </c>
      <c r="P175" s="66">
        <v>0.0</v>
      </c>
      <c r="Q175" s="66">
        <v>3.0</v>
      </c>
      <c r="R175" s="66">
        <v>4.0</v>
      </c>
      <c r="S175" s="66">
        <v>1.0</v>
      </c>
      <c r="T175" s="66">
        <v>2.0</v>
      </c>
      <c r="U175" s="66">
        <v>0.0</v>
      </c>
      <c r="V175" s="66">
        <v>1.0</v>
      </c>
      <c r="W175" s="66">
        <v>2.0</v>
      </c>
      <c r="X175" s="66">
        <v>0.0</v>
      </c>
      <c r="Y175" s="66">
        <v>1.0</v>
      </c>
      <c r="Z175" s="13">
        <f t="shared" si="8"/>
        <v>27</v>
      </c>
      <c r="AA175" s="5"/>
      <c r="AB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0.0</v>
      </c>
      <c r="F176" s="66">
        <v>1.0</v>
      </c>
      <c r="G176" s="66">
        <v>0.0</v>
      </c>
      <c r="H176" s="66">
        <v>0.0</v>
      </c>
      <c r="I176" s="66">
        <v>0.0</v>
      </c>
      <c r="J176" s="66">
        <v>0.0</v>
      </c>
      <c r="K176" s="66">
        <v>0.0</v>
      </c>
      <c r="L176" s="66">
        <v>2.0</v>
      </c>
      <c r="M176" s="66">
        <v>2.0</v>
      </c>
      <c r="N176" s="66">
        <v>0.0</v>
      </c>
      <c r="O176" s="66">
        <v>1.0</v>
      </c>
      <c r="P176" s="66">
        <v>0.0</v>
      </c>
      <c r="Q176" s="66">
        <v>1.0</v>
      </c>
      <c r="R176" s="66">
        <v>2.0</v>
      </c>
      <c r="S176" s="66">
        <v>0.0</v>
      </c>
      <c r="T176" s="66">
        <v>1.0</v>
      </c>
      <c r="U176" s="66">
        <v>1.0</v>
      </c>
      <c r="V176" s="66">
        <v>1.0</v>
      </c>
      <c r="W176" s="66">
        <v>0.0</v>
      </c>
      <c r="X176" s="66">
        <v>1.0</v>
      </c>
      <c r="Y176" s="66">
        <v>0.0</v>
      </c>
      <c r="Z176" s="13">
        <f t="shared" si="8"/>
        <v>13</v>
      </c>
      <c r="AA176" s="1"/>
      <c r="AB176" s="1"/>
    </row>
    <row r="177" ht="12.75" customHeight="1">
      <c r="A177" s="18"/>
      <c r="B177" s="49"/>
      <c r="C177" s="50" t="s">
        <v>153</v>
      </c>
      <c r="D177" s="51"/>
      <c r="E177" s="66">
        <v>2.0</v>
      </c>
      <c r="F177" s="66">
        <v>11.0</v>
      </c>
      <c r="G177" s="66">
        <v>14.0</v>
      </c>
      <c r="H177" s="66">
        <v>4.0</v>
      </c>
      <c r="I177" s="66">
        <v>4.0</v>
      </c>
      <c r="J177" s="66">
        <v>10.0</v>
      </c>
      <c r="K177" s="66">
        <v>0.0</v>
      </c>
      <c r="L177" s="66">
        <v>29.0</v>
      </c>
      <c r="M177" s="66">
        <v>33.0</v>
      </c>
      <c r="N177" s="66">
        <v>3.0</v>
      </c>
      <c r="O177" s="66">
        <v>7.0</v>
      </c>
      <c r="P177" s="66">
        <v>21.0</v>
      </c>
      <c r="Q177" s="66">
        <v>14.0</v>
      </c>
      <c r="R177" s="66">
        <v>30.0</v>
      </c>
      <c r="S177" s="66">
        <v>23.0</v>
      </c>
      <c r="T177" s="66">
        <v>5.0</v>
      </c>
      <c r="U177" s="66">
        <v>25.0</v>
      </c>
      <c r="V177" s="66">
        <v>6.0</v>
      </c>
      <c r="W177" s="66">
        <v>11.0</v>
      </c>
      <c r="X177" s="66">
        <v>6.0</v>
      </c>
      <c r="Y177" s="66">
        <v>14.0</v>
      </c>
      <c r="Z177" s="13">
        <f t="shared" si="8"/>
        <v>272</v>
      </c>
    </row>
    <row r="178" ht="12.75" customHeight="1">
      <c r="A178" s="18"/>
      <c r="B178" s="49"/>
      <c r="C178" s="50" t="s">
        <v>154</v>
      </c>
      <c r="D178" s="51"/>
      <c r="E178" s="66">
        <v>0.0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0.0</v>
      </c>
      <c r="N178" s="66">
        <v>0.0</v>
      </c>
      <c r="O178" s="66">
        <v>0.0</v>
      </c>
      <c r="P178" s="66">
        <v>0.0</v>
      </c>
      <c r="Q178" s="66">
        <v>0.0</v>
      </c>
      <c r="R178" s="66">
        <v>1.0</v>
      </c>
      <c r="S178" s="66">
        <v>0.0</v>
      </c>
      <c r="T178" s="66">
        <v>0.0</v>
      </c>
      <c r="U178" s="66">
        <v>0.0</v>
      </c>
      <c r="V178" s="66">
        <v>0.0</v>
      </c>
      <c r="W178" s="66">
        <v>0.0</v>
      </c>
      <c r="X178" s="66">
        <v>0.0</v>
      </c>
      <c r="Y178" s="66">
        <v>0.0</v>
      </c>
      <c r="Z178" s="13">
        <f t="shared" si="8"/>
        <v>1</v>
      </c>
      <c r="AA178" s="5"/>
      <c r="AB178" s="5"/>
    </row>
    <row r="179" ht="12.75" customHeight="1">
      <c r="A179" s="18"/>
      <c r="B179" s="49"/>
      <c r="C179" s="50" t="s">
        <v>155</v>
      </c>
      <c r="D179" s="51"/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0.0</v>
      </c>
      <c r="S179" s="66">
        <v>0.0</v>
      </c>
      <c r="T179" s="66">
        <v>0.0</v>
      </c>
      <c r="U179" s="66">
        <v>0.0</v>
      </c>
      <c r="V179" s="66">
        <v>0.0</v>
      </c>
      <c r="W179" s="66">
        <v>0.0</v>
      </c>
      <c r="X179" s="66">
        <v>0.0</v>
      </c>
      <c r="Y179" s="66">
        <v>0.0</v>
      </c>
      <c r="Z179" s="13">
        <f t="shared" si="8"/>
        <v>0</v>
      </c>
      <c r="AA179" s="5"/>
      <c r="AB179" s="5"/>
    </row>
    <row r="180" ht="12.75" customHeight="1">
      <c r="A180" s="18"/>
      <c r="B180" s="49"/>
      <c r="C180" s="50" t="s">
        <v>156</v>
      </c>
      <c r="D180" s="51"/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0.0</v>
      </c>
      <c r="L180" s="66">
        <v>0.0</v>
      </c>
      <c r="M180" s="66">
        <v>0.0</v>
      </c>
      <c r="N180" s="66">
        <v>0.0</v>
      </c>
      <c r="O180" s="66">
        <v>0.0</v>
      </c>
      <c r="P180" s="66">
        <v>0.0</v>
      </c>
      <c r="Q180" s="66">
        <v>0.0</v>
      </c>
      <c r="R180" s="66">
        <v>1.0</v>
      </c>
      <c r="S180" s="66">
        <v>0.0</v>
      </c>
      <c r="T180" s="66">
        <v>0.0</v>
      </c>
      <c r="U180" s="66">
        <v>0.0</v>
      </c>
      <c r="V180" s="66">
        <v>1.0</v>
      </c>
      <c r="W180" s="66">
        <v>0.0</v>
      </c>
      <c r="X180" s="66">
        <v>0.0</v>
      </c>
      <c r="Y180" s="66">
        <v>0.0</v>
      </c>
      <c r="Z180" s="13">
        <f t="shared" si="8"/>
        <v>2</v>
      </c>
      <c r="AA180" s="5"/>
      <c r="AB180" s="5"/>
    </row>
    <row r="181" ht="12.75" customHeight="1">
      <c r="A181" s="18"/>
      <c r="B181" s="49"/>
      <c r="C181" s="50" t="s">
        <v>157</v>
      </c>
      <c r="D181" s="51"/>
      <c r="E181" s="66">
        <v>0.0</v>
      </c>
      <c r="F181" s="66">
        <v>0.0</v>
      </c>
      <c r="G181" s="66">
        <v>0.0</v>
      </c>
      <c r="H181" s="66">
        <v>0.0</v>
      </c>
      <c r="I181" s="66">
        <v>1.0</v>
      </c>
      <c r="J181" s="66">
        <v>0.0</v>
      </c>
      <c r="K181" s="66">
        <v>0.0</v>
      </c>
      <c r="L181" s="66">
        <v>0.0</v>
      </c>
      <c r="M181" s="66">
        <v>0.0</v>
      </c>
      <c r="N181" s="66">
        <v>1.0</v>
      </c>
      <c r="O181" s="66">
        <v>0.0</v>
      </c>
      <c r="P181" s="66">
        <v>0.0</v>
      </c>
      <c r="Q181" s="66">
        <v>0.0</v>
      </c>
      <c r="R181" s="66">
        <v>0.0</v>
      </c>
      <c r="S181" s="66">
        <v>0.0</v>
      </c>
      <c r="T181" s="66">
        <v>0.0</v>
      </c>
      <c r="U181" s="66">
        <v>0.0</v>
      </c>
      <c r="V181" s="66">
        <v>0.0</v>
      </c>
      <c r="W181" s="66">
        <v>0.0</v>
      </c>
      <c r="X181" s="66">
        <v>0.0</v>
      </c>
      <c r="Y181" s="66">
        <v>0.0</v>
      </c>
      <c r="Z181" s="13">
        <f t="shared" si="8"/>
        <v>2</v>
      </c>
      <c r="AA181" s="5"/>
      <c r="AB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Y182" si="25">SUM(E175:E181)</f>
        <v>2</v>
      </c>
      <c r="F182" s="13">
        <f t="shared" si="25"/>
        <v>13</v>
      </c>
      <c r="G182" s="13">
        <f t="shared" si="25"/>
        <v>15</v>
      </c>
      <c r="H182" s="13">
        <f t="shared" si="25"/>
        <v>6</v>
      </c>
      <c r="I182" s="13">
        <f t="shared" si="25"/>
        <v>5</v>
      </c>
      <c r="J182" s="13">
        <f t="shared" si="25"/>
        <v>11</v>
      </c>
      <c r="K182" s="13">
        <f t="shared" si="25"/>
        <v>0</v>
      </c>
      <c r="L182" s="13">
        <f t="shared" si="25"/>
        <v>34</v>
      </c>
      <c r="M182" s="13">
        <f t="shared" si="25"/>
        <v>35</v>
      </c>
      <c r="N182" s="13">
        <f t="shared" si="25"/>
        <v>4</v>
      </c>
      <c r="O182" s="13">
        <f t="shared" si="25"/>
        <v>13</v>
      </c>
      <c r="P182" s="13">
        <f t="shared" si="25"/>
        <v>21</v>
      </c>
      <c r="Q182" s="13">
        <f t="shared" si="25"/>
        <v>18</v>
      </c>
      <c r="R182" s="13">
        <f t="shared" si="25"/>
        <v>38</v>
      </c>
      <c r="S182" s="13">
        <f t="shared" si="25"/>
        <v>24</v>
      </c>
      <c r="T182" s="13">
        <f t="shared" si="25"/>
        <v>8</v>
      </c>
      <c r="U182" s="13">
        <f t="shared" si="25"/>
        <v>26</v>
      </c>
      <c r="V182" s="13">
        <f t="shared" si="25"/>
        <v>9</v>
      </c>
      <c r="W182" s="13">
        <f t="shared" si="25"/>
        <v>13</v>
      </c>
      <c r="X182" s="13">
        <f t="shared" si="25"/>
        <v>7</v>
      </c>
      <c r="Y182" s="13">
        <f t="shared" si="25"/>
        <v>15</v>
      </c>
      <c r="Z182" s="13">
        <f t="shared" si="8"/>
        <v>317</v>
      </c>
      <c r="AA182" s="5"/>
      <c r="AB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13">
        <f t="shared" si="8"/>
        <v>0</v>
      </c>
      <c r="AA183" s="5"/>
      <c r="AB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66">
        <v>0.0</v>
      </c>
      <c r="F184" s="66">
        <v>0.0</v>
      </c>
      <c r="G184" s="66">
        <v>0.0</v>
      </c>
      <c r="H184" s="66">
        <v>1.0</v>
      </c>
      <c r="I184" s="66">
        <v>0.0</v>
      </c>
      <c r="J184" s="66">
        <v>0.0</v>
      </c>
      <c r="K184" s="66">
        <v>0.0</v>
      </c>
      <c r="L184" s="66">
        <v>0.0</v>
      </c>
      <c r="M184" s="66">
        <v>0.0</v>
      </c>
      <c r="N184" s="66">
        <v>0.0</v>
      </c>
      <c r="O184" s="66">
        <v>0.0</v>
      </c>
      <c r="P184" s="66">
        <v>0.0</v>
      </c>
      <c r="Q184" s="66">
        <v>0.0</v>
      </c>
      <c r="R184" s="66">
        <v>1.0</v>
      </c>
      <c r="S184" s="66">
        <v>0.0</v>
      </c>
      <c r="T184" s="66">
        <v>0.0</v>
      </c>
      <c r="U184" s="66">
        <v>0.0</v>
      </c>
      <c r="V184" s="66">
        <v>0.0</v>
      </c>
      <c r="W184" s="66">
        <v>1.0</v>
      </c>
      <c r="X184" s="66">
        <v>1.0</v>
      </c>
      <c r="Y184" s="66">
        <v>0.0</v>
      </c>
      <c r="Z184" s="13">
        <f t="shared" si="8"/>
        <v>4</v>
      </c>
      <c r="AA184" s="5"/>
      <c r="AB184" s="5"/>
    </row>
    <row r="185" ht="12.75" customHeight="1">
      <c r="A185" s="30" t="s">
        <v>39</v>
      </c>
      <c r="B185" s="49"/>
      <c r="C185" s="50" t="s">
        <v>160</v>
      </c>
      <c r="D185" s="51"/>
      <c r="E185" s="66">
        <v>0.0</v>
      </c>
      <c r="F185" s="66">
        <v>0.0</v>
      </c>
      <c r="G185" s="66">
        <v>1.0</v>
      </c>
      <c r="H185" s="66">
        <v>1.0</v>
      </c>
      <c r="I185" s="66">
        <v>0.0</v>
      </c>
      <c r="J185" s="66">
        <v>0.0</v>
      </c>
      <c r="K185" s="66">
        <v>0.0</v>
      </c>
      <c r="L185" s="66">
        <v>0.0</v>
      </c>
      <c r="M185" s="66">
        <v>0.0</v>
      </c>
      <c r="N185" s="66">
        <v>0.0</v>
      </c>
      <c r="O185" s="66">
        <v>1.0</v>
      </c>
      <c r="P185" s="66">
        <v>0.0</v>
      </c>
      <c r="Q185" s="66">
        <v>0.0</v>
      </c>
      <c r="R185" s="66">
        <v>0.0</v>
      </c>
      <c r="S185" s="66">
        <v>0.0</v>
      </c>
      <c r="T185" s="66">
        <v>0.0</v>
      </c>
      <c r="U185" s="66">
        <v>2.0</v>
      </c>
      <c r="V185" s="66">
        <v>0.0</v>
      </c>
      <c r="W185" s="66">
        <v>0.0</v>
      </c>
      <c r="X185" s="66">
        <v>0.0</v>
      </c>
      <c r="Y185" s="66">
        <v>0.0</v>
      </c>
      <c r="Z185" s="13">
        <f t="shared" si="8"/>
        <v>5</v>
      </c>
      <c r="AA185" s="5"/>
      <c r="AB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3">
        <f t="shared" si="8"/>
        <v>0</v>
      </c>
      <c r="AA186" s="5"/>
      <c r="AB186" s="5"/>
    </row>
    <row r="187" ht="12.75" customHeight="1">
      <c r="A187" s="24"/>
      <c r="B187" s="15"/>
      <c r="C187" s="15"/>
      <c r="D187" s="16"/>
      <c r="E187" s="13">
        <f t="shared" ref="E187:Y187" si="26">SUM(E177:E184)</f>
        <v>4</v>
      </c>
      <c r="F187" s="13">
        <f t="shared" si="26"/>
        <v>24</v>
      </c>
      <c r="G187" s="13">
        <f t="shared" si="26"/>
        <v>29</v>
      </c>
      <c r="H187" s="13">
        <f t="shared" si="26"/>
        <v>11</v>
      </c>
      <c r="I187" s="13">
        <f t="shared" si="26"/>
        <v>10</v>
      </c>
      <c r="J187" s="13">
        <f t="shared" si="26"/>
        <v>21</v>
      </c>
      <c r="K187" s="13">
        <f t="shared" si="26"/>
        <v>0</v>
      </c>
      <c r="L187" s="13">
        <f t="shared" si="26"/>
        <v>63</v>
      </c>
      <c r="M187" s="13">
        <f t="shared" si="26"/>
        <v>68</v>
      </c>
      <c r="N187" s="13">
        <f t="shared" si="26"/>
        <v>8</v>
      </c>
      <c r="O187" s="13">
        <f t="shared" si="26"/>
        <v>20</v>
      </c>
      <c r="P187" s="13">
        <f t="shared" si="26"/>
        <v>42</v>
      </c>
      <c r="Q187" s="13">
        <f t="shared" si="26"/>
        <v>32</v>
      </c>
      <c r="R187" s="13">
        <f t="shared" si="26"/>
        <v>71</v>
      </c>
      <c r="S187" s="13">
        <f t="shared" si="26"/>
        <v>47</v>
      </c>
      <c r="T187" s="13">
        <f t="shared" si="26"/>
        <v>13</v>
      </c>
      <c r="U187" s="13">
        <f t="shared" si="26"/>
        <v>51</v>
      </c>
      <c r="V187" s="13">
        <f t="shared" si="26"/>
        <v>16</v>
      </c>
      <c r="W187" s="13">
        <f t="shared" si="26"/>
        <v>25</v>
      </c>
      <c r="X187" s="13">
        <f t="shared" si="26"/>
        <v>14</v>
      </c>
      <c r="Y187" s="13">
        <f t="shared" si="26"/>
        <v>29</v>
      </c>
      <c r="Z187" s="13">
        <f t="shared" si="8"/>
        <v>598</v>
      </c>
      <c r="AA187" s="1"/>
      <c r="AB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13">
        <f t="shared" si="8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13">
        <f t="shared" si="8"/>
        <v>0</v>
      </c>
      <c r="AA189" s="5"/>
      <c r="AB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Y190" si="27">E187+E182+E173+E164+E159+E150+E141+E132+E128+E119+E110+E101+E92+E88+E79+E70+E61+E52</f>
        <v>195</v>
      </c>
      <c r="F190" s="19">
        <f t="shared" si="27"/>
        <v>225</v>
      </c>
      <c r="G190" s="19">
        <f t="shared" si="27"/>
        <v>252</v>
      </c>
      <c r="H190" s="19">
        <f t="shared" si="27"/>
        <v>215</v>
      </c>
      <c r="I190" s="19">
        <f t="shared" si="27"/>
        <v>207</v>
      </c>
      <c r="J190" s="19">
        <f t="shared" si="27"/>
        <v>213</v>
      </c>
      <c r="K190" s="19">
        <f t="shared" si="27"/>
        <v>165</v>
      </c>
      <c r="L190" s="19">
        <f t="shared" si="27"/>
        <v>287</v>
      </c>
      <c r="M190" s="19">
        <f t="shared" si="27"/>
        <v>291</v>
      </c>
      <c r="N190" s="19">
        <f t="shared" si="27"/>
        <v>184</v>
      </c>
      <c r="O190" s="19">
        <f t="shared" si="27"/>
        <v>185</v>
      </c>
      <c r="P190" s="19">
        <f t="shared" si="27"/>
        <v>237</v>
      </c>
      <c r="Q190" s="19">
        <f t="shared" si="27"/>
        <v>234</v>
      </c>
      <c r="R190" s="19">
        <f t="shared" si="27"/>
        <v>246</v>
      </c>
      <c r="S190" s="19">
        <f t="shared" si="27"/>
        <v>221</v>
      </c>
      <c r="T190" s="19">
        <f t="shared" si="27"/>
        <v>206</v>
      </c>
      <c r="U190" s="19">
        <f t="shared" si="27"/>
        <v>260</v>
      </c>
      <c r="V190" s="19">
        <f t="shared" si="27"/>
        <v>223</v>
      </c>
      <c r="W190" s="19">
        <f t="shared" si="27"/>
        <v>215</v>
      </c>
      <c r="X190" s="19">
        <f t="shared" si="27"/>
        <v>238</v>
      </c>
      <c r="Y190" s="19">
        <f t="shared" si="27"/>
        <v>220</v>
      </c>
      <c r="Z190" s="13">
        <f t="shared" si="8"/>
        <v>4719</v>
      </c>
      <c r="AA190" s="5"/>
      <c r="AB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9.0</v>
      </c>
      <c r="F191" s="66">
        <v>9.0</v>
      </c>
      <c r="G191" s="66">
        <v>10.0</v>
      </c>
      <c r="H191" s="66">
        <v>4.0</v>
      </c>
      <c r="I191" s="66">
        <v>23.0</v>
      </c>
      <c r="J191" s="66">
        <v>19.0</v>
      </c>
      <c r="K191" s="66">
        <v>13.0</v>
      </c>
      <c r="L191" s="66">
        <v>19.0</v>
      </c>
      <c r="M191" s="66">
        <v>12.0</v>
      </c>
      <c r="N191" s="66">
        <v>7.0</v>
      </c>
      <c r="O191" s="66">
        <v>10.0</v>
      </c>
      <c r="P191" s="66">
        <v>5.0</v>
      </c>
      <c r="Q191" s="66">
        <v>12.0</v>
      </c>
      <c r="R191" s="66">
        <v>12.0</v>
      </c>
      <c r="S191" s="66">
        <v>3.0</v>
      </c>
      <c r="T191" s="66">
        <v>19.0</v>
      </c>
      <c r="U191" s="66">
        <v>4.0</v>
      </c>
      <c r="V191" s="66">
        <v>6.0</v>
      </c>
      <c r="W191" s="66">
        <v>5.0</v>
      </c>
      <c r="X191" s="66">
        <v>8.0</v>
      </c>
      <c r="Y191" s="66">
        <v>7.0</v>
      </c>
      <c r="Z191" s="13">
        <f t="shared" si="8"/>
        <v>216</v>
      </c>
      <c r="AA191" s="5"/>
      <c r="AB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Y192" si="28">E190+E191</f>
        <v>204</v>
      </c>
      <c r="F192" s="19">
        <f t="shared" si="28"/>
        <v>234</v>
      </c>
      <c r="G192" s="19">
        <f t="shared" si="28"/>
        <v>262</v>
      </c>
      <c r="H192" s="19">
        <f t="shared" si="28"/>
        <v>219</v>
      </c>
      <c r="I192" s="19">
        <f t="shared" si="28"/>
        <v>230</v>
      </c>
      <c r="J192" s="19">
        <f t="shared" si="28"/>
        <v>232</v>
      </c>
      <c r="K192" s="19">
        <f t="shared" si="28"/>
        <v>178</v>
      </c>
      <c r="L192" s="19">
        <f t="shared" si="28"/>
        <v>306</v>
      </c>
      <c r="M192" s="19">
        <f t="shared" si="28"/>
        <v>303</v>
      </c>
      <c r="N192" s="19">
        <f t="shared" si="28"/>
        <v>191</v>
      </c>
      <c r="O192" s="19">
        <f t="shared" si="28"/>
        <v>195</v>
      </c>
      <c r="P192" s="19">
        <f t="shared" si="28"/>
        <v>242</v>
      </c>
      <c r="Q192" s="19">
        <f t="shared" si="28"/>
        <v>246</v>
      </c>
      <c r="R192" s="19">
        <f t="shared" si="28"/>
        <v>258</v>
      </c>
      <c r="S192" s="19">
        <f t="shared" si="28"/>
        <v>224</v>
      </c>
      <c r="T192" s="19">
        <f t="shared" si="28"/>
        <v>225</v>
      </c>
      <c r="U192" s="19">
        <f t="shared" si="28"/>
        <v>264</v>
      </c>
      <c r="V192" s="19">
        <f t="shared" si="28"/>
        <v>229</v>
      </c>
      <c r="W192" s="19">
        <f t="shared" si="28"/>
        <v>220</v>
      </c>
      <c r="X192" s="19">
        <f t="shared" si="28"/>
        <v>246</v>
      </c>
      <c r="Y192" s="19">
        <f t="shared" si="28"/>
        <v>227</v>
      </c>
      <c r="Z192" s="13">
        <f t="shared" si="8"/>
        <v>4935</v>
      </c>
      <c r="AA192" s="5"/>
      <c r="AB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Y12"/>
    <mergeCell ref="Z12:Z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34:T34">
    <cfRule type="expression" dxfId="1" priority="1">
      <formula>E34&lt;&gt;E64</formula>
    </cfRule>
  </conditionalFormatting>
  <conditionalFormatting sqref="E14:Y15">
    <cfRule type="containsBlanks" dxfId="0" priority="2">
      <formula>LEN(TRIM(E14))=0</formula>
    </cfRule>
  </conditionalFormatting>
  <conditionalFormatting sqref="E19:Y20">
    <cfRule type="containsBlanks" dxfId="0" priority="3">
      <formula>LEN(TRIM(E19))=0</formula>
    </cfRule>
  </conditionalFormatting>
  <conditionalFormatting sqref="E22:Y23 E25:Y26 E33:Y33 E35:Y35 E39:Y40">
    <cfRule type="containsBlanks" dxfId="0" priority="4">
      <formula>LEN(TRIM(E22))=0</formula>
    </cfRule>
  </conditionalFormatting>
  <conditionalFormatting sqref="E30:Y30">
    <cfRule type="expression" dxfId="1" priority="5">
      <formula>E30&lt;&gt;E47</formula>
    </cfRule>
  </conditionalFormatting>
  <conditionalFormatting sqref="E30:Y30">
    <cfRule type="expression" dxfId="1" priority="6">
      <formula>E30&lt;&gt;E34</formula>
    </cfRule>
  </conditionalFormatting>
  <conditionalFormatting sqref="E34:Y34">
    <cfRule type="expression" dxfId="2" priority="7">
      <formula>E30&lt;&gt;E34</formula>
    </cfRule>
  </conditionalFormatting>
  <conditionalFormatting sqref="E34:Y34">
    <cfRule type="expression" dxfId="3" priority="8">
      <formula>E30=E34</formula>
    </cfRule>
  </conditionalFormatting>
  <conditionalFormatting sqref="E34:Y34">
    <cfRule type="expression" dxfId="1" priority="9">
      <formula>E34&lt;&gt;E30</formula>
    </cfRule>
  </conditionalFormatting>
  <conditionalFormatting sqref="U34:Y34">
    <cfRule type="expression" dxfId="1" priority="10">
      <formula>U34&lt;&gt;U47</formula>
    </cfRule>
  </conditionalFormatting>
  <conditionalFormatting sqref="E45:Y52 E54:Y61">
    <cfRule type="containsBlanks" dxfId="0" priority="11">
      <formula>LEN(TRIM(E45))=0</formula>
    </cfRule>
  </conditionalFormatting>
  <conditionalFormatting sqref="E90:Y90">
    <cfRule type="containsBlanks" dxfId="0" priority="12">
      <formula>LEN(TRIM(E90))=0</formula>
    </cfRule>
  </conditionalFormatting>
  <conditionalFormatting sqref="E130:Y132">
    <cfRule type="containsBlanks" dxfId="0" priority="13">
      <formula>LEN(TRIM(E130))=0</formula>
    </cfRule>
  </conditionalFormatting>
  <conditionalFormatting sqref="E161:Y162">
    <cfRule type="containsBlanks" dxfId="0" priority="14">
      <formula>LEN(TRIM(E161))=0</formula>
    </cfRule>
  </conditionalFormatting>
  <conditionalFormatting sqref="E184:Y186">
    <cfRule type="containsBlanks" dxfId="0" priority="15">
      <formula>LEN(TRIM(E184))=0</formula>
    </cfRule>
  </conditionalFormatting>
  <conditionalFormatting sqref="E190:Y192">
    <cfRule type="containsBlanks" dxfId="0" priority="16">
      <formula>LEN(TRIM(E190))=0</formula>
    </cfRule>
  </conditionalFormatting>
  <conditionalFormatting sqref="E63:Y70">
    <cfRule type="containsBlanks" dxfId="0" priority="17">
      <formula>LEN(TRIM(E63))=0</formula>
    </cfRule>
  </conditionalFormatting>
  <conditionalFormatting sqref="E72:Y79">
    <cfRule type="containsBlanks" dxfId="0" priority="18">
      <formula>LEN(TRIM(E72))=0</formula>
    </cfRule>
  </conditionalFormatting>
  <conditionalFormatting sqref="E81:Y88">
    <cfRule type="containsBlanks" dxfId="0" priority="19">
      <formula>LEN(TRIM(E81))=0</formula>
    </cfRule>
  </conditionalFormatting>
  <conditionalFormatting sqref="E94:Y101">
    <cfRule type="containsBlanks" dxfId="0" priority="20">
      <formula>LEN(TRIM(E94))=0</formula>
    </cfRule>
  </conditionalFormatting>
  <conditionalFormatting sqref="E103:Y110">
    <cfRule type="containsBlanks" dxfId="0" priority="21">
      <formula>LEN(TRIM(E103))=0</formula>
    </cfRule>
  </conditionalFormatting>
  <conditionalFormatting sqref="E112:Y119">
    <cfRule type="containsBlanks" dxfId="0" priority="22">
      <formula>LEN(TRIM(E112))=0</formula>
    </cfRule>
  </conditionalFormatting>
  <conditionalFormatting sqref="E121:Y128">
    <cfRule type="containsBlanks" dxfId="0" priority="23">
      <formula>LEN(TRIM(E121))=0</formula>
    </cfRule>
  </conditionalFormatting>
  <conditionalFormatting sqref="E134:Y141">
    <cfRule type="containsBlanks" dxfId="0" priority="24">
      <formula>LEN(TRIM(E134))=0</formula>
    </cfRule>
  </conditionalFormatting>
  <conditionalFormatting sqref="E143:Y150">
    <cfRule type="containsBlanks" dxfId="0" priority="25">
      <formula>LEN(TRIM(E143))=0</formula>
    </cfRule>
  </conditionalFormatting>
  <conditionalFormatting sqref="E152:Y159">
    <cfRule type="containsBlanks" dxfId="0" priority="26">
      <formula>LEN(TRIM(E152))=0</formula>
    </cfRule>
  </conditionalFormatting>
  <conditionalFormatting sqref="E166:Y173">
    <cfRule type="containsBlanks" dxfId="0" priority="27">
      <formula>LEN(TRIM(E166))=0</formula>
    </cfRule>
  </conditionalFormatting>
  <conditionalFormatting sqref="E175:Y182">
    <cfRule type="containsBlanks" dxfId="0" priority="28">
      <formula>LEN(TRIM(E175))=0</formula>
    </cfRule>
  </conditionalFormatting>
  <conditionalFormatting sqref="E91:Y91">
    <cfRule type="containsBlanks" dxfId="0" priority="29">
      <formula>LEN(TRIM(E91))=0</formula>
    </cfRule>
  </conditionalFormatting>
  <conditionalFormatting sqref="E163:Y163">
    <cfRule type="containsBlanks" dxfId="0" priority="30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17" width="8.71"/>
    <col customWidth="1" min="18" max="18" width="13.29"/>
    <col customWidth="1" min="19" max="26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196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13" t="s">
        <v>197</v>
      </c>
      <c r="Q13" s="13" t="s">
        <v>198</v>
      </c>
      <c r="R13" s="36"/>
    </row>
    <row r="14" ht="12.75" customHeight="1">
      <c r="A14" s="18"/>
      <c r="B14" s="22" t="s">
        <v>11</v>
      </c>
      <c r="C14" s="23"/>
      <c r="D14" s="19" t="s">
        <v>12</v>
      </c>
      <c r="E14" s="82">
        <v>116.0</v>
      </c>
      <c r="F14" s="82">
        <v>123.0</v>
      </c>
      <c r="G14" s="82">
        <v>135.0</v>
      </c>
      <c r="H14" s="82">
        <v>136.0</v>
      </c>
      <c r="I14" s="82">
        <v>146.0</v>
      </c>
      <c r="J14" s="82">
        <v>140.0</v>
      </c>
      <c r="K14" s="82">
        <v>127.0</v>
      </c>
      <c r="L14" s="82">
        <v>122.0</v>
      </c>
      <c r="M14" s="82">
        <v>134.0</v>
      </c>
      <c r="N14" s="82">
        <v>143.0</v>
      </c>
      <c r="O14" s="82">
        <v>140.0</v>
      </c>
      <c r="P14" s="82">
        <v>267.0</v>
      </c>
      <c r="Q14" s="82">
        <v>223.0</v>
      </c>
      <c r="R14" s="13">
        <f t="shared" ref="R14:R16" si="1">SUM(E14:Q14)</f>
        <v>1952</v>
      </c>
    </row>
    <row r="15" ht="12.75" customHeight="1">
      <c r="A15" s="18"/>
      <c r="B15" s="26"/>
      <c r="C15" s="27"/>
      <c r="D15" s="19" t="s">
        <v>13</v>
      </c>
      <c r="E15" s="82">
        <v>119.0</v>
      </c>
      <c r="F15" s="82">
        <v>131.0</v>
      </c>
      <c r="G15" s="82">
        <v>117.0</v>
      </c>
      <c r="H15" s="82">
        <v>138.0</v>
      </c>
      <c r="I15" s="82">
        <v>149.0</v>
      </c>
      <c r="J15" s="82">
        <v>135.0</v>
      </c>
      <c r="K15" s="82">
        <v>123.0</v>
      </c>
      <c r="L15" s="82">
        <v>140.0</v>
      </c>
      <c r="M15" s="82">
        <v>148.0</v>
      </c>
      <c r="N15" s="82">
        <v>139.0</v>
      </c>
      <c r="O15" s="82">
        <v>137.0</v>
      </c>
      <c r="P15" s="82">
        <v>0.0</v>
      </c>
      <c r="Q15" s="82">
        <v>0.0</v>
      </c>
      <c r="R15" s="13">
        <f t="shared" si="1"/>
        <v>1476</v>
      </c>
    </row>
    <row r="16" ht="12.75" customHeight="1">
      <c r="A16" s="25"/>
      <c r="B16" s="21"/>
      <c r="C16" s="28"/>
      <c r="D16" s="13" t="s">
        <v>14</v>
      </c>
      <c r="E16" s="83">
        <f t="shared" ref="E16:Q16" si="2">SUM(E14:E15)</f>
        <v>235</v>
      </c>
      <c r="F16" s="83">
        <f t="shared" si="2"/>
        <v>254</v>
      </c>
      <c r="G16" s="83">
        <f t="shared" si="2"/>
        <v>252</v>
      </c>
      <c r="H16" s="83">
        <f t="shared" si="2"/>
        <v>274</v>
      </c>
      <c r="I16" s="83">
        <f t="shared" si="2"/>
        <v>295</v>
      </c>
      <c r="J16" s="83">
        <f t="shared" si="2"/>
        <v>275</v>
      </c>
      <c r="K16" s="83">
        <f t="shared" si="2"/>
        <v>250</v>
      </c>
      <c r="L16" s="83">
        <f t="shared" si="2"/>
        <v>262</v>
      </c>
      <c r="M16" s="83">
        <f t="shared" si="2"/>
        <v>282</v>
      </c>
      <c r="N16" s="83">
        <f t="shared" si="2"/>
        <v>282</v>
      </c>
      <c r="O16" s="83">
        <f t="shared" si="2"/>
        <v>277</v>
      </c>
      <c r="P16" s="83">
        <f t="shared" si="2"/>
        <v>267</v>
      </c>
      <c r="Q16" s="83">
        <f t="shared" si="2"/>
        <v>223</v>
      </c>
      <c r="R16" s="13">
        <f t="shared" si="1"/>
        <v>3428</v>
      </c>
    </row>
    <row r="17" ht="12.75" customHeight="1">
      <c r="A17" s="24"/>
      <c r="B17" s="15"/>
      <c r="C17" s="15"/>
      <c r="D17" s="16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68"/>
    </row>
    <row r="18" ht="12.75" customHeight="1">
      <c r="A18" s="30" t="s">
        <v>15</v>
      </c>
      <c r="B18" s="20" t="s">
        <v>16</v>
      </c>
      <c r="C18" s="15"/>
      <c r="D18" s="16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82">
        <v>83.0</v>
      </c>
      <c r="F19" s="82">
        <v>81.0</v>
      </c>
      <c r="G19" s="82">
        <v>95.0</v>
      </c>
      <c r="H19" s="82">
        <v>103.0</v>
      </c>
      <c r="I19" s="82">
        <v>116.0</v>
      </c>
      <c r="J19" s="82">
        <v>101.0</v>
      </c>
      <c r="K19" s="82">
        <v>85.0</v>
      </c>
      <c r="L19" s="82">
        <v>89.0</v>
      </c>
      <c r="M19" s="82">
        <v>97.0</v>
      </c>
      <c r="N19" s="82">
        <v>113.0</v>
      </c>
      <c r="O19" s="82">
        <v>104.0</v>
      </c>
      <c r="P19" s="85">
        <v>1.0</v>
      </c>
      <c r="Q19" s="85">
        <v>0.0</v>
      </c>
      <c r="R19" s="13">
        <f t="shared" ref="R19:R30" si="3">SUM(E19:Q19)</f>
        <v>1068</v>
      </c>
    </row>
    <row r="20" ht="12.75" customHeight="1">
      <c r="A20" s="33"/>
      <c r="B20" s="27"/>
      <c r="C20" s="34"/>
      <c r="D20" s="19" t="s">
        <v>13</v>
      </c>
      <c r="E20" s="82">
        <v>91.0</v>
      </c>
      <c r="F20" s="82">
        <v>108.0</v>
      </c>
      <c r="G20" s="82">
        <v>95.0</v>
      </c>
      <c r="H20" s="82">
        <v>115.0</v>
      </c>
      <c r="I20" s="82">
        <v>128.0</v>
      </c>
      <c r="J20" s="82">
        <v>114.0</v>
      </c>
      <c r="K20" s="82">
        <v>100.0</v>
      </c>
      <c r="L20" s="82">
        <v>115.0</v>
      </c>
      <c r="M20" s="82">
        <v>128.0</v>
      </c>
      <c r="N20" s="82">
        <v>104.0</v>
      </c>
      <c r="O20" s="82">
        <v>105.0</v>
      </c>
      <c r="P20" s="82">
        <v>0.0</v>
      </c>
      <c r="Q20" s="82">
        <v>0.0</v>
      </c>
      <c r="R20" s="13">
        <f t="shared" si="3"/>
        <v>1203</v>
      </c>
    </row>
    <row r="21" ht="12.75" customHeight="1">
      <c r="A21" s="35"/>
      <c r="B21" s="28"/>
      <c r="C21" s="36"/>
      <c r="D21" s="13" t="s">
        <v>14</v>
      </c>
      <c r="E21" s="83">
        <f t="shared" ref="E21:Q21" si="4">SUM(E19:E20)</f>
        <v>174</v>
      </c>
      <c r="F21" s="83">
        <f t="shared" si="4"/>
        <v>189</v>
      </c>
      <c r="G21" s="83">
        <f t="shared" si="4"/>
        <v>190</v>
      </c>
      <c r="H21" s="83">
        <f t="shared" si="4"/>
        <v>218</v>
      </c>
      <c r="I21" s="83">
        <f t="shared" si="4"/>
        <v>244</v>
      </c>
      <c r="J21" s="83">
        <f t="shared" si="4"/>
        <v>215</v>
      </c>
      <c r="K21" s="83">
        <f t="shared" si="4"/>
        <v>185</v>
      </c>
      <c r="L21" s="83">
        <f t="shared" si="4"/>
        <v>204</v>
      </c>
      <c r="M21" s="83">
        <f t="shared" si="4"/>
        <v>225</v>
      </c>
      <c r="N21" s="83">
        <f t="shared" si="4"/>
        <v>217</v>
      </c>
      <c r="O21" s="83">
        <f t="shared" si="4"/>
        <v>209</v>
      </c>
      <c r="P21" s="83">
        <f t="shared" si="4"/>
        <v>1</v>
      </c>
      <c r="Q21" s="83">
        <f t="shared" si="4"/>
        <v>0</v>
      </c>
      <c r="R21" s="13">
        <f t="shared" si="3"/>
        <v>2271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74">
        <v>4.0</v>
      </c>
      <c r="F22" s="74">
        <v>5.0</v>
      </c>
      <c r="G22" s="74">
        <v>1.0</v>
      </c>
      <c r="H22" s="74">
        <v>2.0</v>
      </c>
      <c r="I22" s="74">
        <v>1.0</v>
      </c>
      <c r="J22" s="74">
        <v>1.0</v>
      </c>
      <c r="K22" s="74">
        <v>0.0</v>
      </c>
      <c r="L22" s="74">
        <v>1.0</v>
      </c>
      <c r="M22" s="74">
        <v>4.0</v>
      </c>
      <c r="N22" s="74">
        <v>1.0</v>
      </c>
      <c r="O22" s="74">
        <v>0.0</v>
      </c>
      <c r="P22" s="74">
        <v>9.0</v>
      </c>
      <c r="Q22" s="74">
        <v>32.0</v>
      </c>
      <c r="R22" s="13">
        <f t="shared" si="3"/>
        <v>61</v>
      </c>
    </row>
    <row r="23" ht="12.75" customHeight="1">
      <c r="A23" s="33"/>
      <c r="B23" s="27"/>
      <c r="C23" s="34"/>
      <c r="D23" s="19" t="s">
        <v>13</v>
      </c>
      <c r="E23" s="74">
        <v>0.0</v>
      </c>
      <c r="F23" s="74">
        <v>0.0</v>
      </c>
      <c r="G23" s="74">
        <v>0.0</v>
      </c>
      <c r="H23" s="74">
        <v>0.0</v>
      </c>
      <c r="I23" s="74">
        <v>0.0</v>
      </c>
      <c r="J23" s="74">
        <v>0.0</v>
      </c>
      <c r="K23" s="74">
        <v>0.0</v>
      </c>
      <c r="L23" s="74">
        <v>1.0</v>
      </c>
      <c r="M23" s="74">
        <v>0.0</v>
      </c>
      <c r="N23" s="74">
        <v>0.0</v>
      </c>
      <c r="O23" s="74">
        <v>0.0</v>
      </c>
      <c r="P23" s="74">
        <v>0.0</v>
      </c>
      <c r="Q23" s="74">
        <v>0.0</v>
      </c>
      <c r="R23" s="13">
        <f t="shared" si="3"/>
        <v>1</v>
      </c>
    </row>
    <row r="24" ht="12.75" customHeight="1">
      <c r="A24" s="35"/>
      <c r="B24" s="28"/>
      <c r="C24" s="36"/>
      <c r="D24" s="13" t="s">
        <v>14</v>
      </c>
      <c r="E24" s="75">
        <f t="shared" ref="E24:Q24" si="5">SUM(E22:E23)</f>
        <v>4</v>
      </c>
      <c r="F24" s="75">
        <f t="shared" si="5"/>
        <v>5</v>
      </c>
      <c r="G24" s="75">
        <f t="shared" si="5"/>
        <v>1</v>
      </c>
      <c r="H24" s="75">
        <f t="shared" si="5"/>
        <v>2</v>
      </c>
      <c r="I24" s="75">
        <f t="shared" si="5"/>
        <v>1</v>
      </c>
      <c r="J24" s="75">
        <f t="shared" si="5"/>
        <v>1</v>
      </c>
      <c r="K24" s="75">
        <f t="shared" si="5"/>
        <v>0</v>
      </c>
      <c r="L24" s="75">
        <f t="shared" si="5"/>
        <v>2</v>
      </c>
      <c r="M24" s="75">
        <f t="shared" si="5"/>
        <v>4</v>
      </c>
      <c r="N24" s="75">
        <f t="shared" si="5"/>
        <v>1</v>
      </c>
      <c r="O24" s="75">
        <f t="shared" si="5"/>
        <v>0</v>
      </c>
      <c r="P24" s="75">
        <f t="shared" si="5"/>
        <v>9</v>
      </c>
      <c r="Q24" s="75">
        <f t="shared" si="5"/>
        <v>32</v>
      </c>
      <c r="R24" s="13">
        <f t="shared" si="3"/>
        <v>62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74">
        <v>0.0</v>
      </c>
      <c r="F25" s="74">
        <v>0.0</v>
      </c>
      <c r="G25" s="74">
        <v>1.0</v>
      </c>
      <c r="H25" s="74">
        <v>0.0</v>
      </c>
      <c r="I25" s="74">
        <v>0.0</v>
      </c>
      <c r="J25" s="74">
        <v>0.0</v>
      </c>
      <c r="K25" s="74">
        <v>0.0</v>
      </c>
      <c r="L25" s="74">
        <v>0.0</v>
      </c>
      <c r="M25" s="74">
        <v>0.0</v>
      </c>
      <c r="N25" s="74">
        <v>0.0</v>
      </c>
      <c r="O25" s="74">
        <v>1.0</v>
      </c>
      <c r="P25" s="74">
        <v>0.0</v>
      </c>
      <c r="Q25" s="74">
        <v>0.0</v>
      </c>
      <c r="R25" s="13">
        <f t="shared" si="3"/>
        <v>2</v>
      </c>
    </row>
    <row r="26" ht="12.75" customHeight="1">
      <c r="A26" s="33"/>
      <c r="B26" s="27"/>
      <c r="C26" s="34"/>
      <c r="D26" s="19" t="s">
        <v>13</v>
      </c>
      <c r="E26" s="74">
        <v>1.0</v>
      </c>
      <c r="F26" s="74">
        <v>0.0</v>
      </c>
      <c r="G26" s="74">
        <v>3.0</v>
      </c>
      <c r="H26" s="74">
        <v>0.0</v>
      </c>
      <c r="I26" s="74">
        <v>0.0</v>
      </c>
      <c r="J26" s="74">
        <v>0.0</v>
      </c>
      <c r="K26" s="74">
        <v>0.0</v>
      </c>
      <c r="L26" s="74">
        <v>2.0</v>
      </c>
      <c r="M26" s="74">
        <v>0.0</v>
      </c>
      <c r="N26" s="74">
        <v>0.0</v>
      </c>
      <c r="O26" s="74">
        <v>2.0</v>
      </c>
      <c r="P26" s="74">
        <v>0.0</v>
      </c>
      <c r="Q26" s="74">
        <v>0.0</v>
      </c>
      <c r="R26" s="13">
        <f t="shared" si="3"/>
        <v>8</v>
      </c>
    </row>
    <row r="27" ht="12.75" customHeight="1">
      <c r="A27" s="35"/>
      <c r="B27" s="28"/>
      <c r="C27" s="36"/>
      <c r="D27" s="13" t="s">
        <v>14</v>
      </c>
      <c r="E27" s="75">
        <f t="shared" ref="E27:Q27" si="6">SUM(E25:E26)</f>
        <v>1</v>
      </c>
      <c r="F27" s="75">
        <f t="shared" si="6"/>
        <v>0</v>
      </c>
      <c r="G27" s="75">
        <f t="shared" si="6"/>
        <v>4</v>
      </c>
      <c r="H27" s="75">
        <f t="shared" si="6"/>
        <v>0</v>
      </c>
      <c r="I27" s="75">
        <f t="shared" si="6"/>
        <v>0</v>
      </c>
      <c r="J27" s="75">
        <f t="shared" si="6"/>
        <v>0</v>
      </c>
      <c r="K27" s="75">
        <f t="shared" si="6"/>
        <v>0</v>
      </c>
      <c r="L27" s="75">
        <f t="shared" si="6"/>
        <v>2</v>
      </c>
      <c r="M27" s="75">
        <f t="shared" si="6"/>
        <v>0</v>
      </c>
      <c r="N27" s="75">
        <f t="shared" si="6"/>
        <v>0</v>
      </c>
      <c r="O27" s="75">
        <f t="shared" si="6"/>
        <v>3</v>
      </c>
      <c r="P27" s="75">
        <f t="shared" si="6"/>
        <v>0</v>
      </c>
      <c r="Q27" s="75">
        <f t="shared" si="6"/>
        <v>0</v>
      </c>
      <c r="R27" s="13">
        <f t="shared" si="3"/>
        <v>10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80">
        <v>83.0</v>
      </c>
      <c r="F28" s="80">
        <v>81.0</v>
      </c>
      <c r="G28" s="80">
        <v>96.0</v>
      </c>
      <c r="H28" s="80">
        <v>103.0</v>
      </c>
      <c r="I28" s="80">
        <v>116.0</v>
      </c>
      <c r="J28" s="80">
        <v>101.0</v>
      </c>
      <c r="K28" s="80">
        <v>85.0</v>
      </c>
      <c r="L28" s="80">
        <v>89.0</v>
      </c>
      <c r="M28" s="80">
        <v>97.0</v>
      </c>
      <c r="N28" s="80">
        <v>113.0</v>
      </c>
      <c r="O28" s="80">
        <v>105.0</v>
      </c>
      <c r="P28" s="80">
        <v>1.0</v>
      </c>
      <c r="Q28" s="80">
        <v>0.0</v>
      </c>
      <c r="R28" s="13">
        <f t="shared" si="3"/>
        <v>1070</v>
      </c>
    </row>
    <row r="29" ht="12.75" customHeight="1">
      <c r="A29" s="35"/>
      <c r="B29" s="27"/>
      <c r="C29" s="34"/>
      <c r="D29" s="13" t="s">
        <v>13</v>
      </c>
      <c r="E29" s="80">
        <v>92.0</v>
      </c>
      <c r="F29" s="80">
        <v>108.0</v>
      </c>
      <c r="G29" s="80">
        <v>98.0</v>
      </c>
      <c r="H29" s="80">
        <v>115.0</v>
      </c>
      <c r="I29" s="80">
        <v>128.0</v>
      </c>
      <c r="J29" s="80">
        <v>114.0</v>
      </c>
      <c r="K29" s="80">
        <v>100.0</v>
      </c>
      <c r="L29" s="80">
        <v>117.0</v>
      </c>
      <c r="M29" s="80">
        <v>128.0</v>
      </c>
      <c r="N29" s="80">
        <v>104.0</v>
      </c>
      <c r="O29" s="80">
        <v>107.0</v>
      </c>
      <c r="P29" s="80">
        <v>0.0</v>
      </c>
      <c r="Q29" s="80">
        <v>0.0</v>
      </c>
      <c r="R29" s="13">
        <f t="shared" si="3"/>
        <v>1211</v>
      </c>
    </row>
    <row r="30" ht="12.75" customHeight="1">
      <c r="A30" s="35"/>
      <c r="B30" s="28"/>
      <c r="C30" s="36"/>
      <c r="D30" s="13" t="s">
        <v>14</v>
      </c>
      <c r="E30" s="77">
        <f t="shared" ref="E30:Q30" si="7">SUM(E28:E29)</f>
        <v>175</v>
      </c>
      <c r="F30" s="77">
        <f t="shared" si="7"/>
        <v>189</v>
      </c>
      <c r="G30" s="77">
        <f t="shared" si="7"/>
        <v>194</v>
      </c>
      <c r="H30" s="77">
        <f t="shared" si="7"/>
        <v>218</v>
      </c>
      <c r="I30" s="77">
        <f t="shared" si="7"/>
        <v>244</v>
      </c>
      <c r="J30" s="77">
        <f t="shared" si="7"/>
        <v>215</v>
      </c>
      <c r="K30" s="77">
        <f t="shared" si="7"/>
        <v>185</v>
      </c>
      <c r="L30" s="77">
        <f t="shared" si="7"/>
        <v>206</v>
      </c>
      <c r="M30" s="77">
        <f t="shared" si="7"/>
        <v>225</v>
      </c>
      <c r="N30" s="77">
        <f t="shared" si="7"/>
        <v>217</v>
      </c>
      <c r="O30" s="77">
        <f t="shared" si="7"/>
        <v>212</v>
      </c>
      <c r="P30" s="77">
        <f t="shared" si="7"/>
        <v>1</v>
      </c>
      <c r="Q30" s="77">
        <f t="shared" si="7"/>
        <v>0</v>
      </c>
      <c r="R30" s="13">
        <f t="shared" si="3"/>
        <v>2281</v>
      </c>
    </row>
    <row r="31" ht="12.75" customHeight="1">
      <c r="A31" s="24"/>
      <c r="B31" s="15"/>
      <c r="C31" s="15"/>
      <c r="D31" s="1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68"/>
    </row>
    <row r="32" ht="12.75" customHeight="1">
      <c r="A32" s="41" t="s">
        <v>25</v>
      </c>
      <c r="B32" s="14" t="s">
        <v>26</v>
      </c>
      <c r="C32" s="15"/>
      <c r="D32" s="1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68"/>
    </row>
    <row r="33" ht="12.75" customHeight="1">
      <c r="A33" s="19">
        <v>1.0</v>
      </c>
      <c r="B33" s="20" t="s">
        <v>27</v>
      </c>
      <c r="C33" s="15"/>
      <c r="D33" s="16"/>
      <c r="E33" s="74">
        <v>240.0</v>
      </c>
      <c r="F33" s="74">
        <v>260.0</v>
      </c>
      <c r="G33" s="79">
        <v>258.0</v>
      </c>
      <c r="H33" s="79">
        <v>280.0</v>
      </c>
      <c r="I33" s="79">
        <v>301.0</v>
      </c>
      <c r="J33" s="79">
        <v>281.0</v>
      </c>
      <c r="K33" s="74">
        <v>255.0</v>
      </c>
      <c r="L33" s="79">
        <v>268.0</v>
      </c>
      <c r="M33" s="74">
        <v>288.0</v>
      </c>
      <c r="N33" s="74">
        <v>288.0</v>
      </c>
      <c r="O33" s="74">
        <v>283.0</v>
      </c>
      <c r="P33" s="74">
        <v>273.0</v>
      </c>
      <c r="Q33" s="74">
        <v>229.0</v>
      </c>
      <c r="R33" s="13">
        <f t="shared" ref="R33:R36" si="8">SUM(E33:Q33)</f>
        <v>3504</v>
      </c>
    </row>
    <row r="34" ht="12.75" customHeight="1">
      <c r="A34" s="19">
        <v>2.0</v>
      </c>
      <c r="B34" s="20" t="s">
        <v>28</v>
      </c>
      <c r="C34" s="15"/>
      <c r="D34" s="16"/>
      <c r="E34" s="86">
        <v>175.0</v>
      </c>
      <c r="F34" s="86">
        <v>189.0</v>
      </c>
      <c r="G34" s="86">
        <v>194.0</v>
      </c>
      <c r="H34" s="86">
        <v>218.0</v>
      </c>
      <c r="I34" s="86">
        <v>244.0</v>
      </c>
      <c r="J34" s="86">
        <v>215.0</v>
      </c>
      <c r="K34" s="78">
        <v>185.0</v>
      </c>
      <c r="L34" s="86">
        <v>206.0</v>
      </c>
      <c r="M34" s="86">
        <v>225.0</v>
      </c>
      <c r="N34" s="86">
        <v>217.0</v>
      </c>
      <c r="O34" s="78">
        <v>212.0</v>
      </c>
      <c r="P34" s="86">
        <v>1.0</v>
      </c>
      <c r="Q34" s="86">
        <v>0.0</v>
      </c>
      <c r="R34" s="13">
        <f t="shared" si="8"/>
        <v>2281</v>
      </c>
    </row>
    <row r="35" ht="12.75" customHeight="1">
      <c r="A35" s="19">
        <v>3.0</v>
      </c>
      <c r="B35" s="20" t="s">
        <v>29</v>
      </c>
      <c r="C35" s="15"/>
      <c r="D35" s="16"/>
      <c r="E35" s="79">
        <v>1.0</v>
      </c>
      <c r="F35" s="79">
        <v>2.0</v>
      </c>
      <c r="G35" s="79">
        <v>1.0</v>
      </c>
      <c r="H35" s="74">
        <v>0.0</v>
      </c>
      <c r="I35" s="74">
        <v>0.0</v>
      </c>
      <c r="J35" s="79">
        <v>0.0</v>
      </c>
      <c r="K35" s="74">
        <v>0.0</v>
      </c>
      <c r="L35" s="74">
        <v>0.0</v>
      </c>
      <c r="M35" s="74">
        <v>0.0</v>
      </c>
      <c r="N35" s="79">
        <v>3.0</v>
      </c>
      <c r="O35" s="74">
        <v>1.0</v>
      </c>
      <c r="P35" s="74">
        <v>0.0</v>
      </c>
      <c r="Q35" s="74">
        <v>0.0</v>
      </c>
      <c r="R35" s="13">
        <f t="shared" si="8"/>
        <v>8</v>
      </c>
    </row>
    <row r="36" ht="12.75" customHeight="1">
      <c r="A36" s="19">
        <v>4.0</v>
      </c>
      <c r="B36" s="20" t="s">
        <v>30</v>
      </c>
      <c r="C36" s="15"/>
      <c r="D36" s="16"/>
      <c r="E36" s="75">
        <f t="shared" ref="E36:Q36" si="9">E33-(E34+E35)</f>
        <v>64</v>
      </c>
      <c r="F36" s="75">
        <f t="shared" si="9"/>
        <v>69</v>
      </c>
      <c r="G36" s="75">
        <f t="shared" si="9"/>
        <v>63</v>
      </c>
      <c r="H36" s="75">
        <f t="shared" si="9"/>
        <v>62</v>
      </c>
      <c r="I36" s="75">
        <f t="shared" si="9"/>
        <v>57</v>
      </c>
      <c r="J36" s="75">
        <f t="shared" si="9"/>
        <v>66</v>
      </c>
      <c r="K36" s="75">
        <f t="shared" si="9"/>
        <v>70</v>
      </c>
      <c r="L36" s="75">
        <f t="shared" si="9"/>
        <v>62</v>
      </c>
      <c r="M36" s="75">
        <f t="shared" si="9"/>
        <v>63</v>
      </c>
      <c r="N36" s="75">
        <f t="shared" si="9"/>
        <v>68</v>
      </c>
      <c r="O36" s="75">
        <f t="shared" si="9"/>
        <v>70</v>
      </c>
      <c r="P36" s="75">
        <f t="shared" si="9"/>
        <v>272</v>
      </c>
      <c r="Q36" s="75">
        <f t="shared" si="9"/>
        <v>229</v>
      </c>
      <c r="R36" s="13">
        <f t="shared" si="8"/>
        <v>1215</v>
      </c>
    </row>
    <row r="37" ht="12.75" customHeight="1">
      <c r="A37" s="24"/>
      <c r="B37" s="15"/>
      <c r="C37" s="15"/>
      <c r="D37" s="15"/>
      <c r="E37" s="81"/>
      <c r="F37" s="15"/>
      <c r="G37" s="15"/>
      <c r="H37" s="15"/>
      <c r="I37" s="16"/>
      <c r="J37" s="76"/>
      <c r="K37" s="76"/>
      <c r="L37" s="76"/>
      <c r="M37" s="76"/>
      <c r="N37" s="76"/>
      <c r="O37" s="81"/>
      <c r="P37" s="81"/>
      <c r="Q37" s="81"/>
      <c r="R37" s="68"/>
    </row>
    <row r="38" ht="12.75" customHeight="1">
      <c r="A38" s="42" t="s">
        <v>31</v>
      </c>
      <c r="B38" s="14" t="s">
        <v>32</v>
      </c>
      <c r="C38" s="15"/>
      <c r="D38" s="1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8"/>
    </row>
    <row r="39" ht="12.75" customHeight="1">
      <c r="A39" s="30"/>
      <c r="B39" s="43" t="s">
        <v>33</v>
      </c>
      <c r="C39" s="23"/>
      <c r="D39" s="19" t="s">
        <v>12</v>
      </c>
      <c r="E39" s="74">
        <v>0.0</v>
      </c>
      <c r="F39" s="74">
        <v>0.0</v>
      </c>
      <c r="G39" s="74">
        <v>0.0</v>
      </c>
      <c r="H39" s="74">
        <v>0.0</v>
      </c>
      <c r="I39" s="74">
        <v>3.0</v>
      </c>
      <c r="J39" s="74">
        <v>0.0</v>
      </c>
      <c r="K39" s="74">
        <v>0.0</v>
      </c>
      <c r="L39" s="74">
        <v>0.0</v>
      </c>
      <c r="M39" s="74">
        <v>0.0</v>
      </c>
      <c r="N39" s="74">
        <v>0.0</v>
      </c>
      <c r="O39" s="74">
        <v>0.0</v>
      </c>
      <c r="P39" s="74">
        <v>0.0</v>
      </c>
      <c r="Q39" s="74">
        <v>0.0</v>
      </c>
      <c r="R39" s="13">
        <f t="shared" ref="R39:R41" si="10">SUM(E39:Q39)</f>
        <v>3</v>
      </c>
    </row>
    <row r="40" ht="12.75" customHeight="1">
      <c r="A40" s="33"/>
      <c r="C40" s="27"/>
      <c r="D40" s="19" t="s">
        <v>13</v>
      </c>
      <c r="E40" s="74">
        <v>0.0</v>
      </c>
      <c r="F40" s="74">
        <v>0.0</v>
      </c>
      <c r="G40" s="74">
        <v>0.0</v>
      </c>
      <c r="H40" s="74">
        <v>0.0</v>
      </c>
      <c r="I40" s="79">
        <v>1.0</v>
      </c>
      <c r="J40" s="74">
        <v>0.0</v>
      </c>
      <c r="K40" s="74">
        <v>0.0</v>
      </c>
      <c r="L40" s="74">
        <v>0.0</v>
      </c>
      <c r="M40" s="74">
        <v>0.0</v>
      </c>
      <c r="N40" s="74">
        <v>0.0</v>
      </c>
      <c r="O40" s="74">
        <v>1.0</v>
      </c>
      <c r="P40" s="74">
        <v>0.0</v>
      </c>
      <c r="Q40" s="74">
        <v>0.0</v>
      </c>
      <c r="R40" s="13">
        <f t="shared" si="10"/>
        <v>2</v>
      </c>
    </row>
    <row r="41" ht="12.75" customHeight="1">
      <c r="A41" s="41"/>
      <c r="B41" s="44"/>
      <c r="C41" s="28"/>
      <c r="D41" s="13" t="s">
        <v>14</v>
      </c>
      <c r="E41" s="13">
        <f t="shared" ref="E41:Q41" si="11">SUM(E39:E40)</f>
        <v>0</v>
      </c>
      <c r="F41" s="13">
        <f t="shared" si="11"/>
        <v>0</v>
      </c>
      <c r="G41" s="13">
        <f t="shared" si="11"/>
        <v>0</v>
      </c>
      <c r="H41" s="13">
        <f t="shared" si="11"/>
        <v>0</v>
      </c>
      <c r="I41" s="13">
        <f t="shared" si="11"/>
        <v>4</v>
      </c>
      <c r="J41" s="13">
        <f t="shared" si="11"/>
        <v>0</v>
      </c>
      <c r="K41" s="13">
        <f t="shared" si="11"/>
        <v>0</v>
      </c>
      <c r="L41" s="13">
        <f t="shared" si="11"/>
        <v>0</v>
      </c>
      <c r="M41" s="13">
        <f t="shared" si="11"/>
        <v>0</v>
      </c>
      <c r="N41" s="13">
        <f t="shared" si="11"/>
        <v>0</v>
      </c>
      <c r="O41" s="13">
        <f t="shared" si="11"/>
        <v>1</v>
      </c>
      <c r="P41" s="13">
        <f t="shared" si="11"/>
        <v>0</v>
      </c>
      <c r="Q41" s="13">
        <f t="shared" si="11"/>
        <v>0</v>
      </c>
      <c r="R41" s="13">
        <f t="shared" si="10"/>
        <v>5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67"/>
      <c r="Q42" s="19"/>
      <c r="R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19" t="s">
        <v>199</v>
      </c>
      <c r="F45" s="19" t="s">
        <v>200</v>
      </c>
      <c r="G45" s="19" t="s">
        <v>201</v>
      </c>
      <c r="H45" s="19" t="s">
        <v>202</v>
      </c>
      <c r="I45" s="19" t="s">
        <v>203</v>
      </c>
      <c r="J45" s="19" t="s">
        <v>200</v>
      </c>
      <c r="K45" s="19" t="s">
        <v>204</v>
      </c>
      <c r="L45" s="19" t="s">
        <v>199</v>
      </c>
      <c r="M45" s="19" t="s">
        <v>203</v>
      </c>
      <c r="N45" s="19" t="s">
        <v>201</v>
      </c>
      <c r="O45" s="19" t="s">
        <v>205</v>
      </c>
      <c r="P45" s="19" t="s">
        <v>206</v>
      </c>
      <c r="Q45" s="19" t="s">
        <v>206</v>
      </c>
      <c r="R45" s="13">
        <f t="shared" ref="R45:R192" si="12">SUM(E45:Q45)</f>
        <v>0</v>
      </c>
    </row>
    <row r="46" ht="12.75" customHeight="1">
      <c r="A46" s="30" t="s">
        <v>39</v>
      </c>
      <c r="B46" s="49"/>
      <c r="C46" s="50" t="s">
        <v>40</v>
      </c>
      <c r="D46" s="51"/>
      <c r="E46" s="19" t="s">
        <v>207</v>
      </c>
      <c r="F46" s="19" t="s">
        <v>208</v>
      </c>
      <c r="G46" s="19" t="s">
        <v>209</v>
      </c>
      <c r="H46" s="19" t="s">
        <v>210</v>
      </c>
      <c r="I46" s="19" t="s">
        <v>211</v>
      </c>
      <c r="J46" s="19" t="s">
        <v>212</v>
      </c>
      <c r="K46" s="19" t="s">
        <v>209</v>
      </c>
      <c r="L46" s="19" t="s">
        <v>213</v>
      </c>
      <c r="M46" s="19" t="s">
        <v>214</v>
      </c>
      <c r="N46" s="19" t="s">
        <v>215</v>
      </c>
      <c r="O46" s="19" t="s">
        <v>202</v>
      </c>
      <c r="P46" s="19" t="s">
        <v>206</v>
      </c>
      <c r="Q46" s="19" t="s">
        <v>206</v>
      </c>
      <c r="R46" s="13">
        <f t="shared" si="12"/>
        <v>0</v>
      </c>
    </row>
    <row r="47" ht="12.75" customHeight="1">
      <c r="A47" s="18"/>
      <c r="B47" s="49"/>
      <c r="C47" s="50" t="s">
        <v>41</v>
      </c>
      <c r="D47" s="51"/>
      <c r="E47" s="19" t="s">
        <v>202</v>
      </c>
      <c r="F47" s="19" t="s">
        <v>205</v>
      </c>
      <c r="G47" s="19" t="s">
        <v>206</v>
      </c>
      <c r="H47" s="19" t="s">
        <v>206</v>
      </c>
      <c r="I47" s="19" t="s">
        <v>216</v>
      </c>
      <c r="J47" s="19" t="s">
        <v>216</v>
      </c>
      <c r="K47" s="19" t="s">
        <v>216</v>
      </c>
      <c r="L47" s="19" t="s">
        <v>201</v>
      </c>
      <c r="M47" s="19" t="s">
        <v>216</v>
      </c>
      <c r="N47" s="19" t="s">
        <v>206</v>
      </c>
      <c r="O47" s="19" t="s">
        <v>206</v>
      </c>
      <c r="P47" s="19" t="s">
        <v>206</v>
      </c>
      <c r="Q47" s="19" t="s">
        <v>206</v>
      </c>
      <c r="R47" s="13">
        <f t="shared" si="12"/>
        <v>0</v>
      </c>
    </row>
    <row r="48" ht="12.75" customHeight="1">
      <c r="A48" s="18"/>
      <c r="B48" s="49"/>
      <c r="C48" s="50" t="s">
        <v>42</v>
      </c>
      <c r="D48" s="51"/>
      <c r="E48" s="19" t="s">
        <v>205</v>
      </c>
      <c r="F48" s="19" t="s">
        <v>206</v>
      </c>
      <c r="G48" s="19" t="s">
        <v>216</v>
      </c>
      <c r="H48" s="19" t="s">
        <v>216</v>
      </c>
      <c r="I48" s="19" t="s">
        <v>205</v>
      </c>
      <c r="J48" s="19" t="s">
        <v>206</v>
      </c>
      <c r="K48" s="19" t="s">
        <v>216</v>
      </c>
      <c r="L48" s="19" t="s">
        <v>217</v>
      </c>
      <c r="M48" s="19" t="s">
        <v>202</v>
      </c>
      <c r="N48" s="19" t="s">
        <v>203</v>
      </c>
      <c r="O48" s="19" t="s">
        <v>202</v>
      </c>
      <c r="P48" s="19" t="s">
        <v>206</v>
      </c>
      <c r="Q48" s="19" t="s">
        <v>206</v>
      </c>
      <c r="R48" s="13">
        <f t="shared" si="12"/>
        <v>0</v>
      </c>
    </row>
    <row r="49" ht="12.75" customHeight="1">
      <c r="A49" s="18"/>
      <c r="B49" s="49"/>
      <c r="C49" s="50" t="s">
        <v>43</v>
      </c>
      <c r="D49" s="51"/>
      <c r="E49" s="19" t="s">
        <v>200</v>
      </c>
      <c r="F49" s="19" t="s">
        <v>218</v>
      </c>
      <c r="G49" s="19" t="s">
        <v>200</v>
      </c>
      <c r="H49" s="19" t="s">
        <v>217</v>
      </c>
      <c r="I49" s="19" t="s">
        <v>219</v>
      </c>
      <c r="J49" s="19" t="s">
        <v>220</v>
      </c>
      <c r="K49" s="19" t="s">
        <v>221</v>
      </c>
      <c r="L49" s="19" t="s">
        <v>206</v>
      </c>
      <c r="M49" s="19" t="s">
        <v>206</v>
      </c>
      <c r="N49" s="19" t="s">
        <v>206</v>
      </c>
      <c r="O49" s="19" t="s">
        <v>216</v>
      </c>
      <c r="P49" s="19" t="s">
        <v>206</v>
      </c>
      <c r="Q49" s="19" t="s">
        <v>206</v>
      </c>
      <c r="R49" s="13">
        <f t="shared" si="12"/>
        <v>0</v>
      </c>
    </row>
    <row r="50" ht="12.75" customHeight="1">
      <c r="A50" s="18"/>
      <c r="B50" s="49"/>
      <c r="C50" s="50" t="s">
        <v>44</v>
      </c>
      <c r="D50" s="51"/>
      <c r="E50" s="19" t="s">
        <v>206</v>
      </c>
      <c r="F50" s="19" t="s">
        <v>206</v>
      </c>
      <c r="G50" s="19" t="s">
        <v>206</v>
      </c>
      <c r="H50" s="19" t="s">
        <v>206</v>
      </c>
      <c r="I50" s="19" t="s">
        <v>206</v>
      </c>
      <c r="J50" s="19" t="s">
        <v>216</v>
      </c>
      <c r="K50" s="19" t="s">
        <v>206</v>
      </c>
      <c r="L50" s="19" t="s">
        <v>206</v>
      </c>
      <c r="M50" s="19" t="s">
        <v>206</v>
      </c>
      <c r="N50" s="19" t="s">
        <v>216</v>
      </c>
      <c r="O50" s="19" t="s">
        <v>206</v>
      </c>
      <c r="P50" s="19" t="s">
        <v>206</v>
      </c>
      <c r="Q50" s="19" t="s">
        <v>206</v>
      </c>
      <c r="R50" s="13">
        <f t="shared" si="12"/>
        <v>0</v>
      </c>
    </row>
    <row r="51" ht="12.75" customHeight="1">
      <c r="A51" s="18"/>
      <c r="B51" s="49"/>
      <c r="C51" s="50" t="s">
        <v>45</v>
      </c>
      <c r="D51" s="51"/>
      <c r="E51" s="19" t="s">
        <v>206</v>
      </c>
      <c r="F51" s="19" t="s">
        <v>206</v>
      </c>
      <c r="G51" s="19" t="s">
        <v>206</v>
      </c>
      <c r="H51" s="19" t="s">
        <v>206</v>
      </c>
      <c r="I51" s="19" t="s">
        <v>206</v>
      </c>
      <c r="J51" s="19" t="s">
        <v>206</v>
      </c>
      <c r="K51" s="19" t="s">
        <v>206</v>
      </c>
      <c r="L51" s="19" t="s">
        <v>206</v>
      </c>
      <c r="M51" s="19" t="s">
        <v>206</v>
      </c>
      <c r="N51" s="19" t="s">
        <v>206</v>
      </c>
      <c r="O51" s="19" t="s">
        <v>206</v>
      </c>
      <c r="P51" s="19" t="s">
        <v>206</v>
      </c>
      <c r="Q51" s="19" t="s">
        <v>206</v>
      </c>
      <c r="R51" s="13">
        <f t="shared" si="12"/>
        <v>0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Q52" si="13">SUM(E45:E51)</f>
        <v>0</v>
      </c>
      <c r="F52" s="13">
        <f t="shared" si="13"/>
        <v>0</v>
      </c>
      <c r="G52" s="13">
        <f t="shared" si="13"/>
        <v>0</v>
      </c>
      <c r="H52" s="13">
        <f t="shared" si="13"/>
        <v>0</v>
      </c>
      <c r="I52" s="13">
        <f t="shared" si="13"/>
        <v>0</v>
      </c>
      <c r="J52" s="13">
        <f t="shared" si="13"/>
        <v>0</v>
      </c>
      <c r="K52" s="13">
        <f t="shared" si="13"/>
        <v>0</v>
      </c>
      <c r="L52" s="13">
        <f t="shared" si="13"/>
        <v>0</v>
      </c>
      <c r="M52" s="13">
        <f t="shared" si="13"/>
        <v>0</v>
      </c>
      <c r="N52" s="13">
        <f t="shared" si="13"/>
        <v>0</v>
      </c>
      <c r="O52" s="13">
        <f t="shared" si="13"/>
        <v>0</v>
      </c>
      <c r="P52" s="13">
        <f t="shared" si="13"/>
        <v>0</v>
      </c>
      <c r="Q52" s="13">
        <f t="shared" si="13"/>
        <v>0</v>
      </c>
      <c r="R52" s="13">
        <f t="shared" si="12"/>
        <v>0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13">
        <f t="shared" si="12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4.0</v>
      </c>
      <c r="F54" s="66">
        <v>3.0</v>
      </c>
      <c r="G54" s="66">
        <v>1.0</v>
      </c>
      <c r="H54" s="66">
        <v>2.0</v>
      </c>
      <c r="I54" s="66">
        <v>7.0</v>
      </c>
      <c r="J54" s="66">
        <v>1.0</v>
      </c>
      <c r="K54" s="66">
        <v>8.0</v>
      </c>
      <c r="L54" s="66">
        <v>9.0</v>
      </c>
      <c r="M54" s="66">
        <v>9.0</v>
      </c>
      <c r="N54" s="66">
        <v>2.0</v>
      </c>
      <c r="O54" s="66">
        <v>4.0</v>
      </c>
      <c r="P54" s="66">
        <v>0.0</v>
      </c>
      <c r="Q54" s="66">
        <v>0.0</v>
      </c>
      <c r="R54" s="13">
        <f t="shared" si="12"/>
        <v>50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0.0</v>
      </c>
      <c r="F55" s="66">
        <v>0.0</v>
      </c>
      <c r="G55" s="66">
        <v>1.0</v>
      </c>
      <c r="H55" s="66">
        <v>1.0</v>
      </c>
      <c r="I55" s="66">
        <v>26.0</v>
      </c>
      <c r="J55" s="66">
        <v>5.0</v>
      </c>
      <c r="K55" s="66">
        <v>4.0</v>
      </c>
      <c r="L55" s="66">
        <v>3.0</v>
      </c>
      <c r="M55" s="66">
        <v>2.0</v>
      </c>
      <c r="N55" s="66">
        <v>20.0</v>
      </c>
      <c r="O55" s="66">
        <v>2.0</v>
      </c>
      <c r="P55" s="66">
        <v>0.0</v>
      </c>
      <c r="Q55" s="66">
        <v>0.0</v>
      </c>
      <c r="R55" s="13">
        <f t="shared" si="12"/>
        <v>64</v>
      </c>
    </row>
    <row r="56" ht="12.75" customHeight="1">
      <c r="A56" s="18"/>
      <c r="B56" s="49"/>
      <c r="C56" s="50" t="s">
        <v>49</v>
      </c>
      <c r="D56" s="51"/>
      <c r="E56" s="66">
        <v>0.0</v>
      </c>
      <c r="F56" s="66">
        <v>2.0</v>
      </c>
      <c r="G56" s="66">
        <v>2.0</v>
      </c>
      <c r="H56" s="66">
        <v>0.0</v>
      </c>
      <c r="I56" s="66">
        <v>1.0</v>
      </c>
      <c r="J56" s="66">
        <v>0.0</v>
      </c>
      <c r="K56" s="66">
        <v>0.0</v>
      </c>
      <c r="L56" s="66">
        <v>2.0</v>
      </c>
      <c r="M56" s="66">
        <v>1.0</v>
      </c>
      <c r="N56" s="66">
        <v>3.0</v>
      </c>
      <c r="O56" s="66">
        <v>0.0</v>
      </c>
      <c r="P56" s="66">
        <v>0.0</v>
      </c>
      <c r="Q56" s="66">
        <v>0.0</v>
      </c>
      <c r="R56" s="13">
        <f t="shared" si="12"/>
        <v>11</v>
      </c>
    </row>
    <row r="57" ht="12.75" customHeight="1">
      <c r="A57" s="18"/>
      <c r="B57" s="49"/>
      <c r="C57" s="50" t="s">
        <v>50</v>
      </c>
      <c r="D57" s="51"/>
      <c r="E57" s="66">
        <v>0.0</v>
      </c>
      <c r="F57" s="66">
        <v>0.0</v>
      </c>
      <c r="G57" s="66">
        <v>0.0</v>
      </c>
      <c r="H57" s="66">
        <v>1.0</v>
      </c>
      <c r="I57" s="66">
        <v>0.0</v>
      </c>
      <c r="J57" s="66">
        <v>0.0</v>
      </c>
      <c r="K57" s="66">
        <v>0.0</v>
      </c>
      <c r="L57" s="66">
        <v>3.0</v>
      </c>
      <c r="M57" s="66">
        <v>1.0</v>
      </c>
      <c r="N57" s="66">
        <v>8.0</v>
      </c>
      <c r="O57" s="66">
        <v>1.0</v>
      </c>
      <c r="P57" s="66">
        <v>0.0</v>
      </c>
      <c r="Q57" s="66">
        <v>0.0</v>
      </c>
      <c r="R57" s="13">
        <f t="shared" si="12"/>
        <v>14</v>
      </c>
    </row>
    <row r="58" ht="12.75" customHeight="1">
      <c r="A58" s="18"/>
      <c r="B58" s="49"/>
      <c r="C58" s="50" t="s">
        <v>51</v>
      </c>
      <c r="D58" s="51"/>
      <c r="E58" s="66">
        <v>1.0</v>
      </c>
      <c r="F58" s="66">
        <v>0.0</v>
      </c>
      <c r="G58" s="66">
        <v>0.0</v>
      </c>
      <c r="H58" s="66">
        <v>0.0</v>
      </c>
      <c r="I58" s="66">
        <v>3.0</v>
      </c>
      <c r="J58" s="66">
        <v>0.0</v>
      </c>
      <c r="K58" s="66">
        <v>3.0</v>
      </c>
      <c r="L58" s="66">
        <v>0.0</v>
      </c>
      <c r="M58" s="66">
        <v>3.0</v>
      </c>
      <c r="N58" s="66">
        <v>0.0</v>
      </c>
      <c r="O58" s="66">
        <v>1.0</v>
      </c>
      <c r="P58" s="66">
        <v>0.0</v>
      </c>
      <c r="Q58" s="66">
        <v>0.0</v>
      </c>
      <c r="R58" s="13">
        <f t="shared" si="12"/>
        <v>11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0.0</v>
      </c>
      <c r="O59" s="66">
        <v>0.0</v>
      </c>
      <c r="P59" s="66">
        <v>0.0</v>
      </c>
      <c r="Q59" s="66">
        <v>0.0</v>
      </c>
      <c r="R59" s="13">
        <f t="shared" si="12"/>
        <v>0</v>
      </c>
    </row>
    <row r="60" ht="12.75" customHeight="1">
      <c r="A60" s="18"/>
      <c r="B60" s="49"/>
      <c r="C60" s="50" t="s">
        <v>53</v>
      </c>
      <c r="D60" s="51"/>
      <c r="E60" s="66">
        <v>0.0</v>
      </c>
      <c r="F60" s="66">
        <v>0.0</v>
      </c>
      <c r="G60" s="66">
        <v>4.0</v>
      </c>
      <c r="H60" s="66">
        <v>0.0</v>
      </c>
      <c r="I60" s="66">
        <v>0.0</v>
      </c>
      <c r="J60" s="66">
        <v>0.0</v>
      </c>
      <c r="K60" s="66">
        <v>10.0</v>
      </c>
      <c r="L60" s="66">
        <v>0.0</v>
      </c>
      <c r="M60" s="66">
        <v>0.0</v>
      </c>
      <c r="N60" s="66">
        <v>4.0</v>
      </c>
      <c r="O60" s="66">
        <v>0.0</v>
      </c>
      <c r="P60" s="66">
        <v>0.0</v>
      </c>
      <c r="Q60" s="66">
        <v>0.0</v>
      </c>
      <c r="R60" s="13">
        <f t="shared" si="12"/>
        <v>18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Q61" si="14">SUM(E54:E60)</f>
        <v>5</v>
      </c>
      <c r="F61" s="13">
        <f t="shared" si="14"/>
        <v>5</v>
      </c>
      <c r="G61" s="13">
        <f t="shared" si="14"/>
        <v>8</v>
      </c>
      <c r="H61" s="13">
        <f t="shared" si="14"/>
        <v>4</v>
      </c>
      <c r="I61" s="13">
        <f t="shared" si="14"/>
        <v>37</v>
      </c>
      <c r="J61" s="13">
        <f t="shared" si="14"/>
        <v>6</v>
      </c>
      <c r="K61" s="13">
        <f t="shared" si="14"/>
        <v>25</v>
      </c>
      <c r="L61" s="13">
        <f t="shared" si="14"/>
        <v>17</v>
      </c>
      <c r="M61" s="13">
        <f t="shared" si="14"/>
        <v>16</v>
      </c>
      <c r="N61" s="13">
        <f t="shared" si="14"/>
        <v>37</v>
      </c>
      <c r="O61" s="13">
        <f t="shared" si="14"/>
        <v>8</v>
      </c>
      <c r="P61" s="13">
        <f t="shared" si="14"/>
        <v>0</v>
      </c>
      <c r="Q61" s="13">
        <f t="shared" si="14"/>
        <v>0</v>
      </c>
      <c r="R61" s="13">
        <f t="shared" si="12"/>
        <v>168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13">
        <f t="shared" si="12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19" t="s">
        <v>201</v>
      </c>
      <c r="F63" s="19" t="s">
        <v>202</v>
      </c>
      <c r="G63" s="19" t="s">
        <v>202</v>
      </c>
      <c r="H63" s="19" t="s">
        <v>203</v>
      </c>
      <c r="I63" s="19" t="s">
        <v>216</v>
      </c>
      <c r="J63" s="19" t="s">
        <v>206</v>
      </c>
      <c r="K63" s="19" t="s">
        <v>217</v>
      </c>
      <c r="L63" s="19" t="s">
        <v>200</v>
      </c>
      <c r="M63" s="19" t="s">
        <v>202</v>
      </c>
      <c r="N63" s="19" t="s">
        <v>200</v>
      </c>
      <c r="O63" s="19" t="s">
        <v>200</v>
      </c>
      <c r="P63" s="19" t="s">
        <v>206</v>
      </c>
      <c r="Q63" s="19" t="s">
        <v>206</v>
      </c>
      <c r="R63" s="13">
        <f t="shared" si="12"/>
        <v>0</v>
      </c>
    </row>
    <row r="64" ht="12.75" customHeight="1">
      <c r="A64" s="30" t="s">
        <v>39</v>
      </c>
      <c r="B64" s="49"/>
      <c r="C64" s="50" t="s">
        <v>55</v>
      </c>
      <c r="D64" s="51"/>
      <c r="E64" s="19" t="s">
        <v>209</v>
      </c>
      <c r="F64" s="19" t="s">
        <v>222</v>
      </c>
      <c r="G64" s="19" t="s">
        <v>223</v>
      </c>
      <c r="H64" s="19" t="s">
        <v>224</v>
      </c>
      <c r="I64" s="19" t="s">
        <v>203</v>
      </c>
      <c r="J64" s="19" t="s">
        <v>202</v>
      </c>
      <c r="K64" s="19" t="s">
        <v>225</v>
      </c>
      <c r="L64" s="19" t="s">
        <v>209</v>
      </c>
      <c r="M64" s="19" t="s">
        <v>213</v>
      </c>
      <c r="N64" s="19" t="s">
        <v>226</v>
      </c>
      <c r="O64" s="19" t="s">
        <v>227</v>
      </c>
      <c r="P64" s="19" t="s">
        <v>206</v>
      </c>
      <c r="Q64" s="19" t="s">
        <v>206</v>
      </c>
      <c r="R64" s="13">
        <f t="shared" si="12"/>
        <v>0</v>
      </c>
    </row>
    <row r="65" ht="12.75" customHeight="1">
      <c r="A65" s="18"/>
      <c r="B65" s="49"/>
      <c r="C65" s="50" t="s">
        <v>56</v>
      </c>
      <c r="D65" s="51"/>
      <c r="E65" s="19" t="s">
        <v>205</v>
      </c>
      <c r="F65" s="19" t="s">
        <v>216</v>
      </c>
      <c r="G65" s="19" t="s">
        <v>216</v>
      </c>
      <c r="H65" s="19" t="s">
        <v>216</v>
      </c>
      <c r="I65" s="19" t="s">
        <v>216</v>
      </c>
      <c r="J65" s="19" t="s">
        <v>217</v>
      </c>
      <c r="K65" s="19" t="s">
        <v>216</v>
      </c>
      <c r="L65" s="19" t="s">
        <v>216</v>
      </c>
      <c r="M65" s="19" t="s">
        <v>205</v>
      </c>
      <c r="N65" s="19" t="s">
        <v>216</v>
      </c>
      <c r="O65" s="19" t="s">
        <v>217</v>
      </c>
      <c r="P65" s="19" t="s">
        <v>206</v>
      </c>
      <c r="Q65" s="19" t="s">
        <v>206</v>
      </c>
      <c r="R65" s="13">
        <f t="shared" si="12"/>
        <v>0</v>
      </c>
    </row>
    <row r="66" ht="12.75" customHeight="1">
      <c r="A66" s="18"/>
      <c r="B66" s="49"/>
      <c r="C66" s="50" t="s">
        <v>57</v>
      </c>
      <c r="D66" s="51"/>
      <c r="E66" s="19" t="s">
        <v>206</v>
      </c>
      <c r="F66" s="19" t="s">
        <v>216</v>
      </c>
      <c r="G66" s="19" t="s">
        <v>206</v>
      </c>
      <c r="H66" s="19" t="s">
        <v>202</v>
      </c>
      <c r="I66" s="19" t="s">
        <v>206</v>
      </c>
      <c r="J66" s="19" t="s">
        <v>206</v>
      </c>
      <c r="K66" s="19" t="s">
        <v>216</v>
      </c>
      <c r="L66" s="19" t="s">
        <v>216</v>
      </c>
      <c r="M66" s="19" t="s">
        <v>206</v>
      </c>
      <c r="N66" s="19" t="s">
        <v>216</v>
      </c>
      <c r="O66" s="19" t="s">
        <v>216</v>
      </c>
      <c r="P66" s="19" t="s">
        <v>206</v>
      </c>
      <c r="Q66" s="19" t="s">
        <v>206</v>
      </c>
      <c r="R66" s="13">
        <f t="shared" si="12"/>
        <v>0</v>
      </c>
    </row>
    <row r="67" ht="12.75" customHeight="1">
      <c r="A67" s="18"/>
      <c r="B67" s="49"/>
      <c r="C67" s="50" t="s">
        <v>58</v>
      </c>
      <c r="D67" s="51"/>
      <c r="E67" s="19" t="s">
        <v>206</v>
      </c>
      <c r="F67" s="19" t="s">
        <v>206</v>
      </c>
      <c r="G67" s="19" t="s">
        <v>206</v>
      </c>
      <c r="H67" s="19" t="s">
        <v>206</v>
      </c>
      <c r="I67" s="19" t="s">
        <v>206</v>
      </c>
      <c r="J67" s="19" t="s">
        <v>206</v>
      </c>
      <c r="K67" s="19" t="s">
        <v>206</v>
      </c>
      <c r="L67" s="19" t="s">
        <v>206</v>
      </c>
      <c r="M67" s="19" t="s">
        <v>216</v>
      </c>
      <c r="N67" s="19" t="s">
        <v>206</v>
      </c>
      <c r="O67" s="19" t="s">
        <v>217</v>
      </c>
      <c r="P67" s="19" t="s">
        <v>206</v>
      </c>
      <c r="Q67" s="19" t="s">
        <v>206</v>
      </c>
      <c r="R67" s="13">
        <f t="shared" si="12"/>
        <v>0</v>
      </c>
    </row>
    <row r="68" ht="12.75" customHeight="1">
      <c r="A68" s="18"/>
      <c r="B68" s="49"/>
      <c r="C68" s="50" t="s">
        <v>59</v>
      </c>
      <c r="D68" s="51"/>
      <c r="E68" s="19" t="s">
        <v>206</v>
      </c>
      <c r="F68" s="19" t="s">
        <v>206</v>
      </c>
      <c r="G68" s="19" t="s">
        <v>206</v>
      </c>
      <c r="H68" s="19" t="s">
        <v>206</v>
      </c>
      <c r="I68" s="19" t="s">
        <v>206</v>
      </c>
      <c r="J68" s="19" t="s">
        <v>206</v>
      </c>
      <c r="K68" s="19" t="s">
        <v>206</v>
      </c>
      <c r="L68" s="19" t="s">
        <v>206</v>
      </c>
      <c r="M68" s="19" t="s">
        <v>206</v>
      </c>
      <c r="N68" s="19" t="s">
        <v>206</v>
      </c>
      <c r="O68" s="19" t="s">
        <v>202</v>
      </c>
      <c r="P68" s="19" t="s">
        <v>206</v>
      </c>
      <c r="Q68" s="19" t="s">
        <v>206</v>
      </c>
      <c r="R68" s="13">
        <f t="shared" si="12"/>
        <v>0</v>
      </c>
    </row>
    <row r="69" ht="12.75" customHeight="1">
      <c r="A69" s="18"/>
      <c r="B69" s="49"/>
      <c r="C69" s="50" t="s">
        <v>60</v>
      </c>
      <c r="D69" s="51"/>
      <c r="E69" s="19" t="s">
        <v>206</v>
      </c>
      <c r="F69" s="19" t="s">
        <v>202</v>
      </c>
      <c r="G69" s="19" t="s">
        <v>203</v>
      </c>
      <c r="H69" s="19" t="s">
        <v>206</v>
      </c>
      <c r="I69" s="19" t="s">
        <v>206</v>
      </c>
      <c r="J69" s="19" t="s">
        <v>206</v>
      </c>
      <c r="K69" s="19" t="s">
        <v>206</v>
      </c>
      <c r="L69" s="19" t="s">
        <v>206</v>
      </c>
      <c r="M69" s="19" t="s">
        <v>206</v>
      </c>
      <c r="N69" s="19" t="s">
        <v>206</v>
      </c>
      <c r="O69" s="19" t="s">
        <v>206</v>
      </c>
      <c r="P69" s="19" t="s">
        <v>206</v>
      </c>
      <c r="Q69" s="19" t="s">
        <v>206</v>
      </c>
      <c r="R69" s="13">
        <f t="shared" si="12"/>
        <v>0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Q70" si="15">SUM(E63:E69)</f>
        <v>0</v>
      </c>
      <c r="F70" s="13">
        <f t="shared" si="15"/>
        <v>0</v>
      </c>
      <c r="G70" s="13">
        <f t="shared" si="15"/>
        <v>0</v>
      </c>
      <c r="H70" s="13">
        <f t="shared" si="15"/>
        <v>0</v>
      </c>
      <c r="I70" s="13">
        <f t="shared" si="15"/>
        <v>0</v>
      </c>
      <c r="J70" s="13">
        <f t="shared" si="15"/>
        <v>0</v>
      </c>
      <c r="K70" s="13">
        <f t="shared" si="15"/>
        <v>0</v>
      </c>
      <c r="L70" s="13">
        <f t="shared" si="15"/>
        <v>0</v>
      </c>
      <c r="M70" s="13">
        <f t="shared" si="15"/>
        <v>0</v>
      </c>
      <c r="N70" s="13">
        <f t="shared" si="15"/>
        <v>0</v>
      </c>
      <c r="O70" s="13">
        <f t="shared" si="15"/>
        <v>0</v>
      </c>
      <c r="P70" s="13">
        <f t="shared" si="15"/>
        <v>0</v>
      </c>
      <c r="Q70" s="13">
        <f t="shared" si="15"/>
        <v>0</v>
      </c>
      <c r="R70" s="13">
        <f t="shared" si="12"/>
        <v>0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13">
        <f t="shared" si="12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19" t="s">
        <v>202</v>
      </c>
      <c r="F72" s="19" t="s">
        <v>216</v>
      </c>
      <c r="G72" s="19" t="s">
        <v>217</v>
      </c>
      <c r="H72" s="19" t="s">
        <v>200</v>
      </c>
      <c r="I72" s="19" t="s">
        <v>199</v>
      </c>
      <c r="J72" s="19" t="s">
        <v>217</v>
      </c>
      <c r="K72" s="19" t="s">
        <v>199</v>
      </c>
      <c r="L72" s="19" t="s">
        <v>203</v>
      </c>
      <c r="M72" s="19" t="s">
        <v>199</v>
      </c>
      <c r="N72" s="19" t="s">
        <v>202</v>
      </c>
      <c r="O72" s="19" t="s">
        <v>205</v>
      </c>
      <c r="P72" s="19" t="s">
        <v>206</v>
      </c>
      <c r="Q72" s="19" t="s">
        <v>206</v>
      </c>
      <c r="R72" s="13">
        <f t="shared" si="12"/>
        <v>0</v>
      </c>
    </row>
    <row r="73" ht="12.75" customHeight="1">
      <c r="A73" s="30" t="s">
        <v>39</v>
      </c>
      <c r="B73" s="49"/>
      <c r="C73" s="50" t="s">
        <v>62</v>
      </c>
      <c r="D73" s="51"/>
      <c r="E73" s="19" t="s">
        <v>228</v>
      </c>
      <c r="F73" s="19" t="s">
        <v>218</v>
      </c>
      <c r="G73" s="19" t="s">
        <v>229</v>
      </c>
      <c r="H73" s="19" t="s">
        <v>230</v>
      </c>
      <c r="I73" s="19" t="s">
        <v>231</v>
      </c>
      <c r="J73" s="19" t="s">
        <v>232</v>
      </c>
      <c r="K73" s="19" t="s">
        <v>233</v>
      </c>
      <c r="L73" s="19" t="s">
        <v>199</v>
      </c>
      <c r="M73" s="19" t="s">
        <v>234</v>
      </c>
      <c r="N73" s="19" t="s">
        <v>205</v>
      </c>
      <c r="O73" s="19" t="s">
        <v>215</v>
      </c>
      <c r="P73" s="19" t="s">
        <v>206</v>
      </c>
      <c r="Q73" s="19" t="s">
        <v>206</v>
      </c>
      <c r="R73" s="13">
        <f t="shared" si="12"/>
        <v>0</v>
      </c>
    </row>
    <row r="74" ht="12.75" customHeight="1">
      <c r="A74" s="18"/>
      <c r="B74" s="49"/>
      <c r="C74" s="50" t="s">
        <v>63</v>
      </c>
      <c r="D74" s="51"/>
      <c r="E74" s="19" t="s">
        <v>206</v>
      </c>
      <c r="F74" s="19" t="s">
        <v>206</v>
      </c>
      <c r="G74" s="19" t="s">
        <v>206</v>
      </c>
      <c r="H74" s="19" t="s">
        <v>206</v>
      </c>
      <c r="I74" s="19" t="s">
        <v>216</v>
      </c>
      <c r="J74" s="19" t="s">
        <v>206</v>
      </c>
      <c r="K74" s="19" t="s">
        <v>202</v>
      </c>
      <c r="L74" s="19" t="s">
        <v>206</v>
      </c>
      <c r="M74" s="19" t="s">
        <v>205</v>
      </c>
      <c r="N74" s="19" t="s">
        <v>206</v>
      </c>
      <c r="O74" s="19" t="s">
        <v>206</v>
      </c>
      <c r="P74" s="19" t="s">
        <v>206</v>
      </c>
      <c r="Q74" s="19" t="s">
        <v>206</v>
      </c>
      <c r="R74" s="13">
        <f t="shared" si="12"/>
        <v>0</v>
      </c>
    </row>
    <row r="75" ht="12.75" customHeight="1">
      <c r="A75" s="18"/>
      <c r="B75" s="49"/>
      <c r="C75" s="50" t="s">
        <v>64</v>
      </c>
      <c r="D75" s="51"/>
      <c r="E75" s="19" t="s">
        <v>206</v>
      </c>
      <c r="F75" s="19" t="s">
        <v>206</v>
      </c>
      <c r="G75" s="19" t="s">
        <v>206</v>
      </c>
      <c r="H75" s="19" t="s">
        <v>206</v>
      </c>
      <c r="I75" s="19" t="s">
        <v>206</v>
      </c>
      <c r="J75" s="19" t="s">
        <v>206</v>
      </c>
      <c r="K75" s="19" t="s">
        <v>206</v>
      </c>
      <c r="L75" s="19" t="s">
        <v>202</v>
      </c>
      <c r="M75" s="19" t="s">
        <v>216</v>
      </c>
      <c r="N75" s="19" t="s">
        <v>206</v>
      </c>
      <c r="O75" s="19" t="s">
        <v>206</v>
      </c>
      <c r="P75" s="19" t="s">
        <v>206</v>
      </c>
      <c r="Q75" s="19" t="s">
        <v>206</v>
      </c>
      <c r="R75" s="13">
        <f t="shared" si="12"/>
        <v>0</v>
      </c>
    </row>
    <row r="76" ht="12.75" customHeight="1">
      <c r="A76" s="18"/>
      <c r="B76" s="49"/>
      <c r="C76" s="50" t="s">
        <v>65</v>
      </c>
      <c r="D76" s="51"/>
      <c r="E76" s="19" t="s">
        <v>216</v>
      </c>
      <c r="F76" s="19" t="s">
        <v>206</v>
      </c>
      <c r="G76" s="19" t="s">
        <v>206</v>
      </c>
      <c r="H76" s="19" t="s">
        <v>206</v>
      </c>
      <c r="I76" s="19" t="s">
        <v>206</v>
      </c>
      <c r="J76" s="19" t="s">
        <v>206</v>
      </c>
      <c r="K76" s="19" t="s">
        <v>206</v>
      </c>
      <c r="L76" s="19" t="s">
        <v>206</v>
      </c>
      <c r="M76" s="19" t="s">
        <v>206</v>
      </c>
      <c r="N76" s="19" t="s">
        <v>206</v>
      </c>
      <c r="O76" s="19" t="s">
        <v>206</v>
      </c>
      <c r="P76" s="19" t="s">
        <v>206</v>
      </c>
      <c r="Q76" s="19" t="s">
        <v>206</v>
      </c>
      <c r="R76" s="13">
        <f t="shared" si="12"/>
        <v>0</v>
      </c>
    </row>
    <row r="77" ht="12.75" customHeight="1">
      <c r="A77" s="18"/>
      <c r="B77" s="49"/>
      <c r="C77" s="50" t="s">
        <v>66</v>
      </c>
      <c r="D77" s="51"/>
      <c r="E77" s="19" t="s">
        <v>206</v>
      </c>
      <c r="F77" s="19" t="s">
        <v>206</v>
      </c>
      <c r="G77" s="19" t="s">
        <v>206</v>
      </c>
      <c r="H77" s="19" t="s">
        <v>206</v>
      </c>
      <c r="I77" s="19" t="s">
        <v>206</v>
      </c>
      <c r="J77" s="19" t="s">
        <v>206</v>
      </c>
      <c r="K77" s="19" t="s">
        <v>206</v>
      </c>
      <c r="L77" s="19" t="s">
        <v>202</v>
      </c>
      <c r="M77" s="19" t="s">
        <v>206</v>
      </c>
      <c r="N77" s="19" t="s">
        <v>206</v>
      </c>
      <c r="O77" s="19" t="s">
        <v>206</v>
      </c>
      <c r="P77" s="19" t="s">
        <v>206</v>
      </c>
      <c r="Q77" s="19" t="s">
        <v>206</v>
      </c>
      <c r="R77" s="13">
        <f t="shared" si="12"/>
        <v>0</v>
      </c>
    </row>
    <row r="78" ht="12.75" customHeight="1">
      <c r="A78" s="18"/>
      <c r="B78" s="49"/>
      <c r="C78" s="50" t="s">
        <v>67</v>
      </c>
      <c r="D78" s="51"/>
      <c r="E78" s="19" t="s">
        <v>235</v>
      </c>
      <c r="F78" s="19" t="s">
        <v>204</v>
      </c>
      <c r="G78" s="19" t="s">
        <v>214</v>
      </c>
      <c r="H78" s="19" t="s">
        <v>219</v>
      </c>
      <c r="I78" s="19" t="s">
        <v>215</v>
      </c>
      <c r="J78" s="19" t="s">
        <v>236</v>
      </c>
      <c r="K78" s="19" t="s">
        <v>216</v>
      </c>
      <c r="L78" s="19" t="s">
        <v>216</v>
      </c>
      <c r="M78" s="19" t="s">
        <v>214</v>
      </c>
      <c r="N78" s="19" t="s">
        <v>214</v>
      </c>
      <c r="O78" s="19" t="s">
        <v>219</v>
      </c>
      <c r="P78" s="19" t="s">
        <v>206</v>
      </c>
      <c r="Q78" s="19" t="s">
        <v>206</v>
      </c>
      <c r="R78" s="13">
        <f t="shared" si="12"/>
        <v>0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Q79" si="16">SUM(E72:E78)</f>
        <v>0</v>
      </c>
      <c r="F79" s="13">
        <f t="shared" si="16"/>
        <v>0</v>
      </c>
      <c r="G79" s="13">
        <f t="shared" si="16"/>
        <v>0</v>
      </c>
      <c r="H79" s="13">
        <f t="shared" si="16"/>
        <v>0</v>
      </c>
      <c r="I79" s="13">
        <f t="shared" si="16"/>
        <v>0</v>
      </c>
      <c r="J79" s="13">
        <f t="shared" si="16"/>
        <v>0</v>
      </c>
      <c r="K79" s="13">
        <f t="shared" si="16"/>
        <v>0</v>
      </c>
      <c r="L79" s="13">
        <f t="shared" si="16"/>
        <v>0</v>
      </c>
      <c r="M79" s="13">
        <f t="shared" si="16"/>
        <v>0</v>
      </c>
      <c r="N79" s="13">
        <f t="shared" si="16"/>
        <v>0</v>
      </c>
      <c r="O79" s="13">
        <f t="shared" si="16"/>
        <v>0</v>
      </c>
      <c r="P79" s="13">
        <f t="shared" si="16"/>
        <v>0</v>
      </c>
      <c r="Q79" s="13">
        <f t="shared" si="16"/>
        <v>0</v>
      </c>
      <c r="R79" s="13">
        <f t="shared" si="12"/>
        <v>0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13">
        <f t="shared" si="12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19" t="s">
        <v>206</v>
      </c>
      <c r="F81" s="19" t="s">
        <v>206</v>
      </c>
      <c r="G81" s="19" t="s">
        <v>216</v>
      </c>
      <c r="H81" s="19" t="s">
        <v>206</v>
      </c>
      <c r="I81" s="19" t="s">
        <v>206</v>
      </c>
      <c r="J81" s="19" t="s">
        <v>206</v>
      </c>
      <c r="K81" s="19" t="s">
        <v>216</v>
      </c>
      <c r="L81" s="19" t="s">
        <v>216</v>
      </c>
      <c r="M81" s="19" t="s">
        <v>205</v>
      </c>
      <c r="N81" s="19" t="s">
        <v>202</v>
      </c>
      <c r="O81" s="19" t="s">
        <v>216</v>
      </c>
      <c r="P81" s="19" t="s">
        <v>206</v>
      </c>
      <c r="Q81" s="19" t="s">
        <v>206</v>
      </c>
      <c r="R81" s="13">
        <f t="shared" si="12"/>
        <v>0</v>
      </c>
    </row>
    <row r="82" ht="12.75" customHeight="1">
      <c r="A82" s="30" t="s">
        <v>39</v>
      </c>
      <c r="B82" s="49"/>
      <c r="C82" s="50" t="s">
        <v>70</v>
      </c>
      <c r="D82" s="51"/>
      <c r="E82" s="19" t="s">
        <v>206</v>
      </c>
      <c r="F82" s="19" t="s">
        <v>206</v>
      </c>
      <c r="G82" s="19" t="s">
        <v>206</v>
      </c>
      <c r="H82" s="19" t="s">
        <v>206</v>
      </c>
      <c r="I82" s="19" t="s">
        <v>216</v>
      </c>
      <c r="J82" s="19" t="s">
        <v>206</v>
      </c>
      <c r="K82" s="19" t="s">
        <v>206</v>
      </c>
      <c r="L82" s="19" t="s">
        <v>205</v>
      </c>
      <c r="M82" s="19" t="s">
        <v>202</v>
      </c>
      <c r="N82" s="19" t="s">
        <v>206</v>
      </c>
      <c r="O82" s="19" t="s">
        <v>206</v>
      </c>
      <c r="P82" s="19" t="s">
        <v>206</v>
      </c>
      <c r="Q82" s="19" t="s">
        <v>206</v>
      </c>
      <c r="R82" s="13">
        <f t="shared" si="12"/>
        <v>0</v>
      </c>
    </row>
    <row r="83" ht="12.75" customHeight="1">
      <c r="A83" s="18"/>
      <c r="B83" s="49"/>
      <c r="C83" s="50" t="s">
        <v>71</v>
      </c>
      <c r="D83" s="51"/>
      <c r="E83" s="19" t="s">
        <v>206</v>
      </c>
      <c r="F83" s="19" t="s">
        <v>206</v>
      </c>
      <c r="G83" s="19" t="s">
        <v>206</v>
      </c>
      <c r="H83" s="19" t="s">
        <v>206</v>
      </c>
      <c r="I83" s="19" t="s">
        <v>206</v>
      </c>
      <c r="J83" s="19" t="s">
        <v>206</v>
      </c>
      <c r="K83" s="19" t="s">
        <v>206</v>
      </c>
      <c r="L83" s="19" t="s">
        <v>206</v>
      </c>
      <c r="M83" s="19" t="s">
        <v>206</v>
      </c>
      <c r="N83" s="19" t="s">
        <v>206</v>
      </c>
      <c r="O83" s="19" t="s">
        <v>206</v>
      </c>
      <c r="P83" s="19" t="s">
        <v>206</v>
      </c>
      <c r="Q83" s="19" t="s">
        <v>206</v>
      </c>
      <c r="R83" s="13">
        <f t="shared" si="12"/>
        <v>0</v>
      </c>
    </row>
    <row r="84" ht="12.75" customHeight="1">
      <c r="A84" s="18"/>
      <c r="B84" s="49"/>
      <c r="C84" s="50" t="s">
        <v>72</v>
      </c>
      <c r="D84" s="51"/>
      <c r="E84" s="19" t="s">
        <v>206</v>
      </c>
      <c r="F84" s="19" t="s">
        <v>206</v>
      </c>
      <c r="G84" s="19" t="s">
        <v>206</v>
      </c>
      <c r="H84" s="19" t="s">
        <v>206</v>
      </c>
      <c r="I84" s="19" t="s">
        <v>206</v>
      </c>
      <c r="J84" s="19" t="s">
        <v>206</v>
      </c>
      <c r="K84" s="19" t="s">
        <v>206</v>
      </c>
      <c r="L84" s="19" t="s">
        <v>206</v>
      </c>
      <c r="M84" s="19" t="s">
        <v>206</v>
      </c>
      <c r="N84" s="19" t="s">
        <v>206</v>
      </c>
      <c r="O84" s="19" t="s">
        <v>206</v>
      </c>
      <c r="P84" s="19" t="s">
        <v>206</v>
      </c>
      <c r="Q84" s="19" t="s">
        <v>206</v>
      </c>
      <c r="R84" s="13">
        <f t="shared" si="12"/>
        <v>0</v>
      </c>
    </row>
    <row r="85" ht="12.75" customHeight="1">
      <c r="A85" s="18"/>
      <c r="B85" s="49"/>
      <c r="C85" s="50" t="s">
        <v>73</v>
      </c>
      <c r="D85" s="51"/>
      <c r="E85" s="19" t="s">
        <v>206</v>
      </c>
      <c r="F85" s="19" t="s">
        <v>206</v>
      </c>
      <c r="G85" s="19" t="s">
        <v>206</v>
      </c>
      <c r="H85" s="19" t="s">
        <v>206</v>
      </c>
      <c r="I85" s="19" t="s">
        <v>206</v>
      </c>
      <c r="J85" s="19" t="s">
        <v>206</v>
      </c>
      <c r="K85" s="19" t="s">
        <v>206</v>
      </c>
      <c r="L85" s="19" t="s">
        <v>206</v>
      </c>
      <c r="M85" s="19" t="s">
        <v>206</v>
      </c>
      <c r="N85" s="19" t="s">
        <v>206</v>
      </c>
      <c r="O85" s="19" t="s">
        <v>206</v>
      </c>
      <c r="P85" s="19" t="s">
        <v>206</v>
      </c>
      <c r="Q85" s="19" t="s">
        <v>206</v>
      </c>
      <c r="R85" s="13">
        <f t="shared" si="12"/>
        <v>0</v>
      </c>
    </row>
    <row r="86" ht="12.75" customHeight="1">
      <c r="A86" s="18"/>
      <c r="B86" s="49"/>
      <c r="C86" s="50" t="s">
        <v>74</v>
      </c>
      <c r="D86" s="51"/>
      <c r="E86" s="19" t="s">
        <v>206</v>
      </c>
      <c r="F86" s="19" t="s">
        <v>206</v>
      </c>
      <c r="G86" s="19" t="s">
        <v>216</v>
      </c>
      <c r="H86" s="19" t="s">
        <v>206</v>
      </c>
      <c r="I86" s="19" t="s">
        <v>206</v>
      </c>
      <c r="J86" s="19" t="s">
        <v>206</v>
      </c>
      <c r="K86" s="19" t="s">
        <v>206</v>
      </c>
      <c r="L86" s="19" t="s">
        <v>206</v>
      </c>
      <c r="M86" s="19" t="s">
        <v>206</v>
      </c>
      <c r="N86" s="19" t="s">
        <v>216</v>
      </c>
      <c r="O86" s="19" t="s">
        <v>206</v>
      </c>
      <c r="P86" s="19" t="s">
        <v>206</v>
      </c>
      <c r="Q86" s="19" t="s">
        <v>206</v>
      </c>
      <c r="R86" s="13">
        <f t="shared" si="12"/>
        <v>0</v>
      </c>
    </row>
    <row r="87" ht="12.75" customHeight="1">
      <c r="A87" s="18"/>
      <c r="B87" s="49"/>
      <c r="C87" s="50" t="s">
        <v>75</v>
      </c>
      <c r="D87" s="51"/>
      <c r="E87" s="19" t="s">
        <v>206</v>
      </c>
      <c r="F87" s="19" t="s">
        <v>206</v>
      </c>
      <c r="G87" s="19" t="s">
        <v>206</v>
      </c>
      <c r="H87" s="19" t="s">
        <v>206</v>
      </c>
      <c r="I87" s="19" t="s">
        <v>206</v>
      </c>
      <c r="J87" s="19" t="s">
        <v>206</v>
      </c>
      <c r="K87" s="19" t="s">
        <v>206</v>
      </c>
      <c r="L87" s="19" t="s">
        <v>206</v>
      </c>
      <c r="M87" s="19" t="s">
        <v>206</v>
      </c>
      <c r="N87" s="19" t="s">
        <v>206</v>
      </c>
      <c r="O87" s="19" t="s">
        <v>206</v>
      </c>
      <c r="P87" s="19" t="s">
        <v>206</v>
      </c>
      <c r="Q87" s="19" t="s">
        <v>206</v>
      </c>
      <c r="R87" s="13">
        <f t="shared" si="12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Q88" si="17">SUM(E81:E87)</f>
        <v>0</v>
      </c>
      <c r="F88" s="13">
        <f t="shared" si="17"/>
        <v>0</v>
      </c>
      <c r="G88" s="13">
        <f t="shared" si="17"/>
        <v>0</v>
      </c>
      <c r="H88" s="13">
        <f t="shared" si="17"/>
        <v>0</v>
      </c>
      <c r="I88" s="13">
        <f t="shared" si="17"/>
        <v>0</v>
      </c>
      <c r="J88" s="13">
        <f t="shared" si="17"/>
        <v>0</v>
      </c>
      <c r="K88" s="13">
        <f t="shared" si="17"/>
        <v>0</v>
      </c>
      <c r="L88" s="13">
        <f t="shared" si="17"/>
        <v>0</v>
      </c>
      <c r="M88" s="13">
        <f t="shared" si="17"/>
        <v>0</v>
      </c>
      <c r="N88" s="13">
        <f t="shared" si="17"/>
        <v>0</v>
      </c>
      <c r="O88" s="13">
        <f t="shared" si="17"/>
        <v>0</v>
      </c>
      <c r="P88" s="13">
        <f t="shared" si="17"/>
        <v>0</v>
      </c>
      <c r="Q88" s="13">
        <f t="shared" si="17"/>
        <v>0</v>
      </c>
      <c r="R88" s="13">
        <f t="shared" si="12"/>
        <v>0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13">
        <f t="shared" si="12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19" t="s">
        <v>206</v>
      </c>
      <c r="F90" s="19" t="s">
        <v>206</v>
      </c>
      <c r="G90" s="19" t="s">
        <v>206</v>
      </c>
      <c r="H90" s="19" t="s">
        <v>206</v>
      </c>
      <c r="I90" s="19" t="s">
        <v>205</v>
      </c>
      <c r="J90" s="19" t="s">
        <v>202</v>
      </c>
      <c r="K90" s="19" t="s">
        <v>206</v>
      </c>
      <c r="L90" s="19" t="s">
        <v>216</v>
      </c>
      <c r="M90" s="19" t="s">
        <v>216</v>
      </c>
      <c r="N90" s="19" t="s">
        <v>216</v>
      </c>
      <c r="O90" s="19" t="s">
        <v>217</v>
      </c>
      <c r="P90" s="19" t="s">
        <v>206</v>
      </c>
      <c r="Q90" s="19" t="s">
        <v>206</v>
      </c>
      <c r="R90" s="13">
        <f t="shared" si="12"/>
        <v>0</v>
      </c>
    </row>
    <row r="91" ht="12.75" customHeight="1">
      <c r="A91" s="30" t="s">
        <v>39</v>
      </c>
      <c r="B91" s="49"/>
      <c r="C91" s="50" t="s">
        <v>78</v>
      </c>
      <c r="D91" s="16"/>
      <c r="E91" s="19" t="s">
        <v>206</v>
      </c>
      <c r="F91" s="19" t="s">
        <v>206</v>
      </c>
      <c r="G91" s="19" t="s">
        <v>206</v>
      </c>
      <c r="H91" s="19" t="s">
        <v>206</v>
      </c>
      <c r="I91" s="19" t="s">
        <v>206</v>
      </c>
      <c r="J91" s="19" t="s">
        <v>206</v>
      </c>
      <c r="K91" s="19" t="s">
        <v>206</v>
      </c>
      <c r="L91" s="19" t="s">
        <v>206</v>
      </c>
      <c r="M91" s="19" t="s">
        <v>206</v>
      </c>
      <c r="N91" s="19" t="s">
        <v>206</v>
      </c>
      <c r="O91" s="19" t="s">
        <v>206</v>
      </c>
      <c r="P91" s="19" t="s">
        <v>206</v>
      </c>
      <c r="Q91" s="19" t="s">
        <v>206</v>
      </c>
      <c r="R91" s="13">
        <f t="shared" si="12"/>
        <v>0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Q92" si="18">SUM(E90:E91)</f>
        <v>0</v>
      </c>
      <c r="F92" s="58">
        <f t="shared" si="18"/>
        <v>0</v>
      </c>
      <c r="G92" s="58">
        <f t="shared" si="18"/>
        <v>0</v>
      </c>
      <c r="H92" s="58">
        <f t="shared" si="18"/>
        <v>0</v>
      </c>
      <c r="I92" s="58">
        <f t="shared" si="18"/>
        <v>0</v>
      </c>
      <c r="J92" s="58">
        <f t="shared" si="18"/>
        <v>0</v>
      </c>
      <c r="K92" s="58">
        <f t="shared" si="18"/>
        <v>0</v>
      </c>
      <c r="L92" s="58">
        <f t="shared" si="18"/>
        <v>0</v>
      </c>
      <c r="M92" s="58">
        <f t="shared" si="18"/>
        <v>0</v>
      </c>
      <c r="N92" s="58">
        <f t="shared" si="18"/>
        <v>0</v>
      </c>
      <c r="O92" s="58">
        <f t="shared" si="18"/>
        <v>0</v>
      </c>
      <c r="P92" s="58">
        <f t="shared" si="18"/>
        <v>0</v>
      </c>
      <c r="Q92" s="58">
        <f t="shared" si="18"/>
        <v>0</v>
      </c>
      <c r="R92" s="13">
        <f t="shared" si="12"/>
        <v>0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13">
        <f t="shared" si="12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19" t="s">
        <v>206</v>
      </c>
      <c r="F94" s="19" t="s">
        <v>206</v>
      </c>
      <c r="G94" s="19" t="s">
        <v>216</v>
      </c>
      <c r="H94" s="19" t="s">
        <v>216</v>
      </c>
      <c r="I94" s="19" t="s">
        <v>206</v>
      </c>
      <c r="J94" s="19" t="s">
        <v>206</v>
      </c>
      <c r="K94" s="19" t="s">
        <v>206</v>
      </c>
      <c r="L94" s="19" t="s">
        <v>202</v>
      </c>
      <c r="M94" s="19" t="s">
        <v>206</v>
      </c>
      <c r="N94" s="19" t="s">
        <v>216</v>
      </c>
      <c r="O94" s="19" t="s">
        <v>206</v>
      </c>
      <c r="P94" s="19" t="s">
        <v>206</v>
      </c>
      <c r="Q94" s="19" t="s">
        <v>206</v>
      </c>
      <c r="R94" s="13">
        <f t="shared" si="12"/>
        <v>0</v>
      </c>
    </row>
    <row r="95" ht="12.75" customHeight="1">
      <c r="A95" s="30" t="s">
        <v>39</v>
      </c>
      <c r="B95" s="49"/>
      <c r="C95" s="50" t="s">
        <v>81</v>
      </c>
      <c r="D95" s="51"/>
      <c r="E95" s="19" t="s">
        <v>206</v>
      </c>
      <c r="F95" s="19" t="s">
        <v>206</v>
      </c>
      <c r="G95" s="19" t="s">
        <v>206</v>
      </c>
      <c r="H95" s="19" t="s">
        <v>206</v>
      </c>
      <c r="I95" s="19" t="s">
        <v>206</v>
      </c>
      <c r="J95" s="19" t="s">
        <v>206</v>
      </c>
      <c r="K95" s="19" t="s">
        <v>206</v>
      </c>
      <c r="L95" s="19" t="s">
        <v>206</v>
      </c>
      <c r="M95" s="19" t="s">
        <v>206</v>
      </c>
      <c r="N95" s="19" t="s">
        <v>206</v>
      </c>
      <c r="O95" s="19" t="s">
        <v>206</v>
      </c>
      <c r="P95" s="19" t="s">
        <v>206</v>
      </c>
      <c r="Q95" s="19" t="s">
        <v>206</v>
      </c>
      <c r="R95" s="13">
        <f t="shared" si="12"/>
        <v>0</v>
      </c>
    </row>
    <row r="96" ht="12.75" customHeight="1">
      <c r="A96" s="30"/>
      <c r="B96" s="49"/>
      <c r="C96" s="50" t="s">
        <v>82</v>
      </c>
      <c r="D96" s="51"/>
      <c r="E96" s="19" t="s">
        <v>206</v>
      </c>
      <c r="F96" s="19" t="s">
        <v>206</v>
      </c>
      <c r="G96" s="19" t="s">
        <v>206</v>
      </c>
      <c r="H96" s="19" t="s">
        <v>206</v>
      </c>
      <c r="I96" s="19" t="s">
        <v>216</v>
      </c>
      <c r="J96" s="19" t="s">
        <v>206</v>
      </c>
      <c r="K96" s="19" t="s">
        <v>206</v>
      </c>
      <c r="L96" s="19" t="s">
        <v>206</v>
      </c>
      <c r="M96" s="19" t="s">
        <v>206</v>
      </c>
      <c r="N96" s="19" t="s">
        <v>206</v>
      </c>
      <c r="O96" s="19" t="s">
        <v>206</v>
      </c>
      <c r="P96" s="19" t="s">
        <v>206</v>
      </c>
      <c r="Q96" s="19" t="s">
        <v>206</v>
      </c>
      <c r="R96" s="13">
        <f t="shared" si="12"/>
        <v>0</v>
      </c>
    </row>
    <row r="97" ht="12.75" customHeight="1">
      <c r="A97" s="30"/>
      <c r="B97" s="49"/>
      <c r="C97" s="50" t="s">
        <v>83</v>
      </c>
      <c r="D97" s="51"/>
      <c r="E97" s="19" t="s">
        <v>206</v>
      </c>
      <c r="F97" s="19" t="s">
        <v>206</v>
      </c>
      <c r="G97" s="19" t="s">
        <v>206</v>
      </c>
      <c r="H97" s="19" t="s">
        <v>206</v>
      </c>
      <c r="I97" s="19" t="s">
        <v>206</v>
      </c>
      <c r="J97" s="19" t="s">
        <v>206</v>
      </c>
      <c r="K97" s="19" t="s">
        <v>206</v>
      </c>
      <c r="L97" s="19" t="s">
        <v>216</v>
      </c>
      <c r="M97" s="19" t="s">
        <v>206</v>
      </c>
      <c r="N97" s="19" t="s">
        <v>206</v>
      </c>
      <c r="O97" s="19" t="s">
        <v>206</v>
      </c>
      <c r="P97" s="19" t="s">
        <v>206</v>
      </c>
      <c r="Q97" s="19" t="s">
        <v>206</v>
      </c>
      <c r="R97" s="13">
        <f t="shared" si="12"/>
        <v>0</v>
      </c>
    </row>
    <row r="98" ht="12.75" customHeight="1">
      <c r="A98" s="30"/>
      <c r="B98" s="49"/>
      <c r="C98" s="50" t="s">
        <v>84</v>
      </c>
      <c r="D98" s="51"/>
      <c r="E98" s="19" t="s">
        <v>206</v>
      </c>
      <c r="F98" s="19" t="s">
        <v>206</v>
      </c>
      <c r="G98" s="19" t="s">
        <v>206</v>
      </c>
      <c r="H98" s="19" t="s">
        <v>206</v>
      </c>
      <c r="I98" s="19" t="s">
        <v>206</v>
      </c>
      <c r="J98" s="19" t="s">
        <v>206</v>
      </c>
      <c r="K98" s="19" t="s">
        <v>206</v>
      </c>
      <c r="L98" s="19" t="s">
        <v>206</v>
      </c>
      <c r="M98" s="19" t="s">
        <v>206</v>
      </c>
      <c r="N98" s="19" t="s">
        <v>206</v>
      </c>
      <c r="O98" s="19" t="s">
        <v>206</v>
      </c>
      <c r="P98" s="19" t="s">
        <v>206</v>
      </c>
      <c r="Q98" s="19" t="s">
        <v>206</v>
      </c>
      <c r="R98" s="13">
        <f t="shared" si="12"/>
        <v>0</v>
      </c>
    </row>
    <row r="99" ht="12.75" customHeight="1">
      <c r="A99" s="30"/>
      <c r="B99" s="49"/>
      <c r="C99" s="50" t="s">
        <v>85</v>
      </c>
      <c r="D99" s="51"/>
      <c r="E99" s="19" t="s">
        <v>206</v>
      </c>
      <c r="F99" s="19" t="s">
        <v>206</v>
      </c>
      <c r="G99" s="19" t="s">
        <v>206</v>
      </c>
      <c r="H99" s="19" t="s">
        <v>206</v>
      </c>
      <c r="I99" s="19" t="s">
        <v>206</v>
      </c>
      <c r="J99" s="19" t="s">
        <v>206</v>
      </c>
      <c r="K99" s="19" t="s">
        <v>206</v>
      </c>
      <c r="L99" s="19" t="s">
        <v>206</v>
      </c>
      <c r="M99" s="19" t="s">
        <v>206</v>
      </c>
      <c r="N99" s="19" t="s">
        <v>206</v>
      </c>
      <c r="O99" s="19" t="s">
        <v>206</v>
      </c>
      <c r="P99" s="19" t="s">
        <v>206</v>
      </c>
      <c r="Q99" s="19" t="s">
        <v>206</v>
      </c>
      <c r="R99" s="13">
        <f t="shared" si="12"/>
        <v>0</v>
      </c>
    </row>
    <row r="100" ht="12.75" customHeight="1">
      <c r="A100" s="30"/>
      <c r="B100" s="49"/>
      <c r="C100" s="50" t="s">
        <v>86</v>
      </c>
      <c r="D100" s="51"/>
      <c r="E100" s="19" t="s">
        <v>206</v>
      </c>
      <c r="F100" s="19" t="s">
        <v>206</v>
      </c>
      <c r="G100" s="19" t="s">
        <v>206</v>
      </c>
      <c r="H100" s="19" t="s">
        <v>206</v>
      </c>
      <c r="I100" s="19" t="s">
        <v>206</v>
      </c>
      <c r="J100" s="19" t="s">
        <v>206</v>
      </c>
      <c r="K100" s="19" t="s">
        <v>206</v>
      </c>
      <c r="L100" s="19" t="s">
        <v>206</v>
      </c>
      <c r="M100" s="19" t="s">
        <v>206</v>
      </c>
      <c r="N100" s="19" t="s">
        <v>206</v>
      </c>
      <c r="O100" s="19" t="s">
        <v>206</v>
      </c>
      <c r="P100" s="19" t="s">
        <v>206</v>
      </c>
      <c r="Q100" s="19" t="s">
        <v>206</v>
      </c>
      <c r="R100" s="13">
        <f t="shared" si="12"/>
        <v>0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Q101" si="19">SUM(E94:E100)</f>
        <v>0</v>
      </c>
      <c r="F101" s="13">
        <f t="shared" si="19"/>
        <v>0</v>
      </c>
      <c r="G101" s="13">
        <f t="shared" si="19"/>
        <v>0</v>
      </c>
      <c r="H101" s="13">
        <f t="shared" si="19"/>
        <v>0</v>
      </c>
      <c r="I101" s="13">
        <f t="shared" si="19"/>
        <v>0</v>
      </c>
      <c r="J101" s="13">
        <f t="shared" si="19"/>
        <v>0</v>
      </c>
      <c r="K101" s="13">
        <f t="shared" si="19"/>
        <v>0</v>
      </c>
      <c r="L101" s="13">
        <f t="shared" si="19"/>
        <v>0</v>
      </c>
      <c r="M101" s="13">
        <f t="shared" si="19"/>
        <v>0</v>
      </c>
      <c r="N101" s="13">
        <f t="shared" si="19"/>
        <v>0</v>
      </c>
      <c r="O101" s="13">
        <f t="shared" si="19"/>
        <v>0</v>
      </c>
      <c r="P101" s="13">
        <f t="shared" si="19"/>
        <v>0</v>
      </c>
      <c r="Q101" s="13">
        <f t="shared" si="19"/>
        <v>0</v>
      </c>
      <c r="R101" s="13">
        <f t="shared" si="12"/>
        <v>0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13">
        <f t="shared" si="12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19" t="s">
        <v>206</v>
      </c>
      <c r="F103" s="19" t="s">
        <v>206</v>
      </c>
      <c r="G103" s="19" t="s">
        <v>206</v>
      </c>
      <c r="H103" s="19" t="s">
        <v>206</v>
      </c>
      <c r="I103" s="19" t="s">
        <v>206</v>
      </c>
      <c r="J103" s="19" t="s">
        <v>206</v>
      </c>
      <c r="K103" s="19" t="s">
        <v>206</v>
      </c>
      <c r="L103" s="19" t="s">
        <v>205</v>
      </c>
      <c r="M103" s="19" t="s">
        <v>216</v>
      </c>
      <c r="N103" s="19" t="s">
        <v>206</v>
      </c>
      <c r="O103" s="19" t="s">
        <v>216</v>
      </c>
      <c r="P103" s="19" t="s">
        <v>206</v>
      </c>
      <c r="Q103" s="19" t="s">
        <v>206</v>
      </c>
      <c r="R103" s="13">
        <f t="shared" si="12"/>
        <v>0</v>
      </c>
    </row>
    <row r="104" ht="12.75" customHeight="1">
      <c r="A104" s="30" t="s">
        <v>39</v>
      </c>
      <c r="B104" s="49"/>
      <c r="C104" s="50" t="s">
        <v>89</v>
      </c>
      <c r="D104" s="51"/>
      <c r="E104" s="19" t="s">
        <v>206</v>
      </c>
      <c r="F104" s="19" t="s">
        <v>202</v>
      </c>
      <c r="G104" s="19" t="s">
        <v>216</v>
      </c>
      <c r="H104" s="19" t="s">
        <v>206</v>
      </c>
      <c r="I104" s="19" t="s">
        <v>206</v>
      </c>
      <c r="J104" s="19" t="s">
        <v>206</v>
      </c>
      <c r="K104" s="19" t="s">
        <v>206</v>
      </c>
      <c r="L104" s="19" t="s">
        <v>206</v>
      </c>
      <c r="M104" s="19" t="s">
        <v>201</v>
      </c>
      <c r="N104" s="19" t="s">
        <v>206</v>
      </c>
      <c r="O104" s="19" t="s">
        <v>206</v>
      </c>
      <c r="P104" s="19" t="s">
        <v>206</v>
      </c>
      <c r="Q104" s="19" t="s">
        <v>206</v>
      </c>
      <c r="R104" s="13">
        <f t="shared" si="12"/>
        <v>0</v>
      </c>
    </row>
    <row r="105" ht="12.75" customHeight="1">
      <c r="A105" s="18"/>
      <c r="B105" s="49"/>
      <c r="C105" s="50" t="s">
        <v>90</v>
      </c>
      <c r="D105" s="51"/>
      <c r="E105" s="19" t="s">
        <v>206</v>
      </c>
      <c r="F105" s="19" t="s">
        <v>206</v>
      </c>
      <c r="G105" s="19" t="s">
        <v>216</v>
      </c>
      <c r="H105" s="19" t="s">
        <v>206</v>
      </c>
      <c r="I105" s="19" t="s">
        <v>206</v>
      </c>
      <c r="J105" s="19" t="s">
        <v>206</v>
      </c>
      <c r="K105" s="19" t="s">
        <v>206</v>
      </c>
      <c r="L105" s="19" t="s">
        <v>206</v>
      </c>
      <c r="M105" s="19" t="s">
        <v>206</v>
      </c>
      <c r="N105" s="19" t="s">
        <v>206</v>
      </c>
      <c r="O105" s="19" t="s">
        <v>206</v>
      </c>
      <c r="P105" s="19" t="s">
        <v>206</v>
      </c>
      <c r="Q105" s="19" t="s">
        <v>206</v>
      </c>
      <c r="R105" s="13">
        <f t="shared" si="12"/>
        <v>0</v>
      </c>
    </row>
    <row r="106" ht="12.75" customHeight="1">
      <c r="A106" s="18"/>
      <c r="B106" s="49"/>
      <c r="C106" s="50" t="s">
        <v>91</v>
      </c>
      <c r="D106" s="51"/>
      <c r="E106" s="19" t="s">
        <v>206</v>
      </c>
      <c r="F106" s="19" t="s">
        <v>206</v>
      </c>
      <c r="G106" s="19" t="s">
        <v>206</v>
      </c>
      <c r="H106" s="19" t="s">
        <v>206</v>
      </c>
      <c r="I106" s="19" t="s">
        <v>206</v>
      </c>
      <c r="J106" s="19" t="s">
        <v>206</v>
      </c>
      <c r="K106" s="19" t="s">
        <v>206</v>
      </c>
      <c r="L106" s="19" t="s">
        <v>206</v>
      </c>
      <c r="M106" s="19" t="s">
        <v>206</v>
      </c>
      <c r="N106" s="19" t="s">
        <v>206</v>
      </c>
      <c r="O106" s="19" t="s">
        <v>206</v>
      </c>
      <c r="P106" s="19" t="s">
        <v>206</v>
      </c>
      <c r="Q106" s="19" t="s">
        <v>206</v>
      </c>
      <c r="R106" s="13">
        <f t="shared" si="12"/>
        <v>0</v>
      </c>
    </row>
    <row r="107" ht="12.75" customHeight="1">
      <c r="A107" s="18"/>
      <c r="B107" s="49"/>
      <c r="C107" s="50" t="s">
        <v>92</v>
      </c>
      <c r="D107" s="51"/>
      <c r="E107" s="19" t="s">
        <v>206</v>
      </c>
      <c r="F107" s="19" t="s">
        <v>206</v>
      </c>
      <c r="G107" s="19" t="s">
        <v>206</v>
      </c>
      <c r="H107" s="19" t="s">
        <v>206</v>
      </c>
      <c r="I107" s="19" t="s">
        <v>206</v>
      </c>
      <c r="J107" s="19" t="s">
        <v>206</v>
      </c>
      <c r="K107" s="19" t="s">
        <v>206</v>
      </c>
      <c r="L107" s="19" t="s">
        <v>206</v>
      </c>
      <c r="M107" s="19" t="s">
        <v>216</v>
      </c>
      <c r="N107" s="19" t="s">
        <v>206</v>
      </c>
      <c r="O107" s="19" t="s">
        <v>206</v>
      </c>
      <c r="P107" s="19" t="s">
        <v>206</v>
      </c>
      <c r="Q107" s="19" t="s">
        <v>206</v>
      </c>
      <c r="R107" s="13">
        <f t="shared" si="12"/>
        <v>0</v>
      </c>
    </row>
    <row r="108" ht="12.75" customHeight="1">
      <c r="A108" s="18"/>
      <c r="B108" s="49"/>
      <c r="C108" s="50" t="s">
        <v>93</v>
      </c>
      <c r="D108" s="51"/>
      <c r="E108" s="19" t="s">
        <v>206</v>
      </c>
      <c r="F108" s="19" t="s">
        <v>206</v>
      </c>
      <c r="G108" s="19" t="s">
        <v>206</v>
      </c>
      <c r="H108" s="19" t="s">
        <v>206</v>
      </c>
      <c r="I108" s="19" t="s">
        <v>206</v>
      </c>
      <c r="J108" s="19" t="s">
        <v>206</v>
      </c>
      <c r="K108" s="19" t="s">
        <v>206</v>
      </c>
      <c r="L108" s="19" t="s">
        <v>206</v>
      </c>
      <c r="M108" s="19" t="s">
        <v>206</v>
      </c>
      <c r="N108" s="19" t="s">
        <v>206</v>
      </c>
      <c r="O108" s="19" t="s">
        <v>206</v>
      </c>
      <c r="P108" s="19" t="s">
        <v>206</v>
      </c>
      <c r="Q108" s="19" t="s">
        <v>206</v>
      </c>
      <c r="R108" s="13">
        <f t="shared" si="12"/>
        <v>0</v>
      </c>
    </row>
    <row r="109" ht="12.75" customHeight="1">
      <c r="A109" s="18"/>
      <c r="B109" s="49"/>
      <c r="C109" s="50" t="s">
        <v>94</v>
      </c>
      <c r="D109" s="51"/>
      <c r="E109" s="19" t="s">
        <v>206</v>
      </c>
      <c r="F109" s="19" t="s">
        <v>206</v>
      </c>
      <c r="G109" s="19" t="s">
        <v>206</v>
      </c>
      <c r="H109" s="19" t="s">
        <v>206</v>
      </c>
      <c r="I109" s="19" t="s">
        <v>206</v>
      </c>
      <c r="J109" s="19" t="s">
        <v>206</v>
      </c>
      <c r="K109" s="19" t="s">
        <v>206</v>
      </c>
      <c r="L109" s="19" t="s">
        <v>206</v>
      </c>
      <c r="M109" s="19" t="s">
        <v>216</v>
      </c>
      <c r="N109" s="19" t="s">
        <v>206</v>
      </c>
      <c r="O109" s="19" t="s">
        <v>216</v>
      </c>
      <c r="P109" s="19" t="s">
        <v>206</v>
      </c>
      <c r="Q109" s="19" t="s">
        <v>206</v>
      </c>
      <c r="R109" s="13">
        <f t="shared" si="12"/>
        <v>0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Q110" si="20">SUM(E103:E109)</f>
        <v>0</v>
      </c>
      <c r="F110" s="13">
        <f t="shared" si="20"/>
        <v>0</v>
      </c>
      <c r="G110" s="13">
        <f t="shared" si="20"/>
        <v>0</v>
      </c>
      <c r="H110" s="13">
        <f t="shared" si="20"/>
        <v>0</v>
      </c>
      <c r="I110" s="13">
        <f t="shared" si="20"/>
        <v>0</v>
      </c>
      <c r="J110" s="13">
        <f t="shared" si="20"/>
        <v>0</v>
      </c>
      <c r="K110" s="13">
        <f t="shared" si="20"/>
        <v>0</v>
      </c>
      <c r="L110" s="13">
        <f t="shared" si="20"/>
        <v>0</v>
      </c>
      <c r="M110" s="13">
        <f t="shared" si="20"/>
        <v>0</v>
      </c>
      <c r="N110" s="13">
        <f t="shared" si="20"/>
        <v>0</v>
      </c>
      <c r="O110" s="13">
        <f t="shared" si="20"/>
        <v>0</v>
      </c>
      <c r="P110" s="13">
        <f t="shared" si="20"/>
        <v>0</v>
      </c>
      <c r="Q110" s="13">
        <f t="shared" si="20"/>
        <v>0</v>
      </c>
      <c r="R110" s="13">
        <f t="shared" si="12"/>
        <v>0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13">
        <f t="shared" si="12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19" t="s">
        <v>206</v>
      </c>
      <c r="F112" s="19" t="s">
        <v>206</v>
      </c>
      <c r="G112" s="19" t="s">
        <v>206</v>
      </c>
      <c r="H112" s="19" t="s">
        <v>206</v>
      </c>
      <c r="I112" s="19" t="s">
        <v>206</v>
      </c>
      <c r="J112" s="19" t="s">
        <v>206</v>
      </c>
      <c r="K112" s="19" t="s">
        <v>216</v>
      </c>
      <c r="L112" s="19" t="s">
        <v>206</v>
      </c>
      <c r="M112" s="19" t="s">
        <v>206</v>
      </c>
      <c r="N112" s="19" t="s">
        <v>206</v>
      </c>
      <c r="O112" s="19" t="s">
        <v>206</v>
      </c>
      <c r="P112" s="19" t="s">
        <v>206</v>
      </c>
      <c r="Q112" s="19" t="s">
        <v>206</v>
      </c>
      <c r="R112" s="13">
        <f t="shared" si="12"/>
        <v>0</v>
      </c>
    </row>
    <row r="113" ht="12.75" customHeight="1">
      <c r="A113" s="30"/>
      <c r="B113" s="47"/>
      <c r="C113" s="50" t="s">
        <v>97</v>
      </c>
      <c r="D113" s="59"/>
      <c r="E113" s="19" t="s">
        <v>206</v>
      </c>
      <c r="F113" s="19" t="s">
        <v>206</v>
      </c>
      <c r="G113" s="19" t="s">
        <v>206</v>
      </c>
      <c r="H113" s="19" t="s">
        <v>206</v>
      </c>
      <c r="I113" s="19" t="s">
        <v>206</v>
      </c>
      <c r="J113" s="19" t="s">
        <v>206</v>
      </c>
      <c r="K113" s="19" t="s">
        <v>206</v>
      </c>
      <c r="L113" s="19" t="s">
        <v>206</v>
      </c>
      <c r="M113" s="19" t="s">
        <v>206</v>
      </c>
      <c r="N113" s="19" t="s">
        <v>206</v>
      </c>
      <c r="O113" s="19" t="s">
        <v>206</v>
      </c>
      <c r="P113" s="19" t="s">
        <v>206</v>
      </c>
      <c r="Q113" s="19" t="s">
        <v>206</v>
      </c>
      <c r="R113" s="13">
        <f t="shared" si="12"/>
        <v>0</v>
      </c>
    </row>
    <row r="114" ht="12.75" customHeight="1">
      <c r="A114" s="30"/>
      <c r="B114" s="47"/>
      <c r="C114" s="50" t="s">
        <v>98</v>
      </c>
      <c r="D114" s="59"/>
      <c r="E114" s="19" t="s">
        <v>206</v>
      </c>
      <c r="F114" s="19" t="s">
        <v>206</v>
      </c>
      <c r="G114" s="19" t="s">
        <v>206</v>
      </c>
      <c r="H114" s="19" t="s">
        <v>206</v>
      </c>
      <c r="I114" s="19" t="s">
        <v>206</v>
      </c>
      <c r="J114" s="19" t="s">
        <v>206</v>
      </c>
      <c r="K114" s="19" t="s">
        <v>206</v>
      </c>
      <c r="L114" s="19" t="s">
        <v>206</v>
      </c>
      <c r="M114" s="19" t="s">
        <v>206</v>
      </c>
      <c r="N114" s="19" t="s">
        <v>206</v>
      </c>
      <c r="O114" s="19" t="s">
        <v>206</v>
      </c>
      <c r="P114" s="19" t="s">
        <v>206</v>
      </c>
      <c r="Q114" s="19" t="s">
        <v>206</v>
      </c>
      <c r="R114" s="13">
        <f t="shared" si="12"/>
        <v>0</v>
      </c>
    </row>
    <row r="115" ht="12.75" customHeight="1">
      <c r="A115" s="30"/>
      <c r="B115" s="47"/>
      <c r="C115" s="50" t="s">
        <v>99</v>
      </c>
      <c r="D115" s="59"/>
      <c r="E115" s="19" t="s">
        <v>206</v>
      </c>
      <c r="F115" s="19" t="s">
        <v>206</v>
      </c>
      <c r="G115" s="19" t="s">
        <v>206</v>
      </c>
      <c r="H115" s="19" t="s">
        <v>206</v>
      </c>
      <c r="I115" s="19" t="s">
        <v>206</v>
      </c>
      <c r="J115" s="19" t="s">
        <v>206</v>
      </c>
      <c r="K115" s="19" t="s">
        <v>206</v>
      </c>
      <c r="L115" s="19" t="s">
        <v>206</v>
      </c>
      <c r="M115" s="19" t="s">
        <v>206</v>
      </c>
      <c r="N115" s="19" t="s">
        <v>206</v>
      </c>
      <c r="O115" s="19" t="s">
        <v>206</v>
      </c>
      <c r="P115" s="19" t="s">
        <v>206</v>
      </c>
      <c r="Q115" s="19" t="s">
        <v>206</v>
      </c>
      <c r="R115" s="13">
        <f t="shared" si="12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19" t="s">
        <v>206</v>
      </c>
      <c r="F116" s="19" t="s">
        <v>206</v>
      </c>
      <c r="G116" s="19" t="s">
        <v>206</v>
      </c>
      <c r="H116" s="19" t="s">
        <v>206</v>
      </c>
      <c r="I116" s="19" t="s">
        <v>206</v>
      </c>
      <c r="J116" s="19" t="s">
        <v>206</v>
      </c>
      <c r="K116" s="19" t="s">
        <v>206</v>
      </c>
      <c r="L116" s="19" t="s">
        <v>206</v>
      </c>
      <c r="M116" s="19" t="s">
        <v>206</v>
      </c>
      <c r="N116" s="19" t="s">
        <v>206</v>
      </c>
      <c r="O116" s="19" t="s">
        <v>206</v>
      </c>
      <c r="P116" s="19" t="s">
        <v>206</v>
      </c>
      <c r="Q116" s="19" t="s">
        <v>206</v>
      </c>
      <c r="R116" s="13">
        <f t="shared" si="12"/>
        <v>0</v>
      </c>
    </row>
    <row r="117" ht="12.75" customHeight="1">
      <c r="A117" s="18"/>
      <c r="B117" s="49"/>
      <c r="C117" s="50" t="s">
        <v>101</v>
      </c>
      <c r="D117" s="51"/>
      <c r="E117" s="19" t="s">
        <v>206</v>
      </c>
      <c r="F117" s="19" t="s">
        <v>206</v>
      </c>
      <c r="G117" s="19" t="s">
        <v>206</v>
      </c>
      <c r="H117" s="19" t="s">
        <v>206</v>
      </c>
      <c r="I117" s="19" t="s">
        <v>206</v>
      </c>
      <c r="J117" s="19" t="s">
        <v>206</v>
      </c>
      <c r="K117" s="19" t="s">
        <v>206</v>
      </c>
      <c r="L117" s="19" t="s">
        <v>206</v>
      </c>
      <c r="M117" s="19" t="s">
        <v>206</v>
      </c>
      <c r="N117" s="19" t="s">
        <v>206</v>
      </c>
      <c r="O117" s="19" t="s">
        <v>206</v>
      </c>
      <c r="P117" s="19" t="s">
        <v>206</v>
      </c>
      <c r="Q117" s="19" t="s">
        <v>206</v>
      </c>
      <c r="R117" s="13">
        <f t="shared" si="12"/>
        <v>0</v>
      </c>
      <c r="S117" s="5"/>
      <c r="T117" s="5"/>
    </row>
    <row r="118" ht="12.75" customHeight="1">
      <c r="A118" s="18"/>
      <c r="B118" s="49"/>
      <c r="C118" s="50" t="s">
        <v>102</v>
      </c>
      <c r="D118" s="51"/>
      <c r="E118" s="19" t="s">
        <v>206</v>
      </c>
      <c r="F118" s="19" t="s">
        <v>206</v>
      </c>
      <c r="G118" s="19" t="s">
        <v>206</v>
      </c>
      <c r="H118" s="19" t="s">
        <v>206</v>
      </c>
      <c r="I118" s="19" t="s">
        <v>206</v>
      </c>
      <c r="J118" s="19" t="s">
        <v>206</v>
      </c>
      <c r="K118" s="19" t="s">
        <v>206</v>
      </c>
      <c r="L118" s="19" t="s">
        <v>206</v>
      </c>
      <c r="M118" s="19" t="s">
        <v>206</v>
      </c>
      <c r="N118" s="19" t="s">
        <v>206</v>
      </c>
      <c r="O118" s="19" t="s">
        <v>206</v>
      </c>
      <c r="P118" s="19" t="s">
        <v>206</v>
      </c>
      <c r="Q118" s="19" t="s">
        <v>206</v>
      </c>
      <c r="R118" s="13">
        <f t="shared" si="12"/>
        <v>0</v>
      </c>
      <c r="S118" s="5"/>
      <c r="T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Q119" si="21">SUM(E112:E118)</f>
        <v>0</v>
      </c>
      <c r="F119" s="13">
        <f t="shared" si="21"/>
        <v>0</v>
      </c>
      <c r="G119" s="13">
        <f t="shared" si="21"/>
        <v>0</v>
      </c>
      <c r="H119" s="13">
        <f t="shared" si="21"/>
        <v>0</v>
      </c>
      <c r="I119" s="13">
        <f t="shared" si="21"/>
        <v>0</v>
      </c>
      <c r="J119" s="13">
        <f t="shared" si="21"/>
        <v>0</v>
      </c>
      <c r="K119" s="13">
        <f t="shared" si="21"/>
        <v>0</v>
      </c>
      <c r="L119" s="13">
        <f t="shared" si="21"/>
        <v>0</v>
      </c>
      <c r="M119" s="13">
        <f t="shared" si="21"/>
        <v>0</v>
      </c>
      <c r="N119" s="13">
        <f t="shared" si="21"/>
        <v>0</v>
      </c>
      <c r="O119" s="13">
        <f t="shared" si="21"/>
        <v>0</v>
      </c>
      <c r="P119" s="13">
        <f t="shared" si="21"/>
        <v>0</v>
      </c>
      <c r="Q119" s="13">
        <f t="shared" si="21"/>
        <v>0</v>
      </c>
      <c r="R119" s="13">
        <f t="shared" si="12"/>
        <v>0</v>
      </c>
      <c r="S119" s="5"/>
      <c r="T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13">
        <f t="shared" si="12"/>
        <v>0</v>
      </c>
      <c r="S120" s="5"/>
      <c r="T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19" t="s">
        <v>206</v>
      </c>
      <c r="F121" s="19" t="s">
        <v>206</v>
      </c>
      <c r="G121" s="19" t="s">
        <v>206</v>
      </c>
      <c r="H121" s="19" t="s">
        <v>206</v>
      </c>
      <c r="I121" s="19" t="s">
        <v>206</v>
      </c>
      <c r="J121" s="19" t="s">
        <v>206</v>
      </c>
      <c r="K121" s="19" t="s">
        <v>216</v>
      </c>
      <c r="L121" s="19" t="s">
        <v>206</v>
      </c>
      <c r="M121" s="19" t="s">
        <v>206</v>
      </c>
      <c r="N121" s="19" t="s">
        <v>206</v>
      </c>
      <c r="O121" s="19" t="s">
        <v>206</v>
      </c>
      <c r="P121" s="19" t="s">
        <v>206</v>
      </c>
      <c r="Q121" s="19" t="s">
        <v>206</v>
      </c>
      <c r="R121" s="13">
        <f t="shared" si="12"/>
        <v>0</v>
      </c>
      <c r="S121" s="5"/>
      <c r="T121" s="5"/>
    </row>
    <row r="122" ht="12.75" customHeight="1">
      <c r="A122" s="30" t="s">
        <v>39</v>
      </c>
      <c r="B122" s="49"/>
      <c r="C122" s="50" t="s">
        <v>105</v>
      </c>
      <c r="D122" s="51"/>
      <c r="E122" s="19" t="s">
        <v>206</v>
      </c>
      <c r="F122" s="19" t="s">
        <v>206</v>
      </c>
      <c r="G122" s="19" t="s">
        <v>206</v>
      </c>
      <c r="H122" s="19" t="s">
        <v>206</v>
      </c>
      <c r="I122" s="19" t="s">
        <v>206</v>
      </c>
      <c r="J122" s="19" t="s">
        <v>206</v>
      </c>
      <c r="K122" s="19" t="s">
        <v>206</v>
      </c>
      <c r="L122" s="19" t="s">
        <v>206</v>
      </c>
      <c r="M122" s="19" t="s">
        <v>206</v>
      </c>
      <c r="N122" s="19" t="s">
        <v>206</v>
      </c>
      <c r="O122" s="19" t="s">
        <v>206</v>
      </c>
      <c r="P122" s="19" t="s">
        <v>206</v>
      </c>
      <c r="Q122" s="19" t="s">
        <v>206</v>
      </c>
      <c r="R122" s="13">
        <f t="shared" si="12"/>
        <v>0</v>
      </c>
      <c r="S122" s="5"/>
      <c r="T122" s="5"/>
    </row>
    <row r="123" ht="12.75" customHeight="1">
      <c r="A123" s="18"/>
      <c r="B123" s="49"/>
      <c r="C123" s="50" t="s">
        <v>106</v>
      </c>
      <c r="D123" s="51"/>
      <c r="E123" s="19" t="s">
        <v>206</v>
      </c>
      <c r="F123" s="19" t="s">
        <v>206</v>
      </c>
      <c r="G123" s="19" t="s">
        <v>206</v>
      </c>
      <c r="H123" s="19" t="s">
        <v>206</v>
      </c>
      <c r="I123" s="19" t="s">
        <v>206</v>
      </c>
      <c r="J123" s="19" t="s">
        <v>206</v>
      </c>
      <c r="K123" s="19" t="s">
        <v>206</v>
      </c>
      <c r="L123" s="19" t="s">
        <v>216</v>
      </c>
      <c r="M123" s="19" t="s">
        <v>206</v>
      </c>
      <c r="N123" s="19" t="s">
        <v>206</v>
      </c>
      <c r="O123" s="19" t="s">
        <v>206</v>
      </c>
      <c r="P123" s="19" t="s">
        <v>206</v>
      </c>
      <c r="Q123" s="19" t="s">
        <v>206</v>
      </c>
      <c r="R123" s="13">
        <f t="shared" si="12"/>
        <v>0</v>
      </c>
      <c r="S123" s="5"/>
      <c r="T123" s="5"/>
    </row>
    <row r="124" ht="12.75" customHeight="1">
      <c r="A124" s="18"/>
      <c r="B124" s="49"/>
      <c r="C124" s="50" t="s">
        <v>107</v>
      </c>
      <c r="D124" s="51"/>
      <c r="E124" s="19" t="s">
        <v>206</v>
      </c>
      <c r="F124" s="19" t="s">
        <v>206</v>
      </c>
      <c r="G124" s="19" t="s">
        <v>206</v>
      </c>
      <c r="H124" s="19" t="s">
        <v>206</v>
      </c>
      <c r="I124" s="19" t="s">
        <v>206</v>
      </c>
      <c r="J124" s="19" t="s">
        <v>206</v>
      </c>
      <c r="K124" s="19" t="s">
        <v>206</v>
      </c>
      <c r="L124" s="19" t="s">
        <v>206</v>
      </c>
      <c r="M124" s="19" t="s">
        <v>206</v>
      </c>
      <c r="N124" s="19" t="s">
        <v>206</v>
      </c>
      <c r="O124" s="19" t="s">
        <v>206</v>
      </c>
      <c r="P124" s="19" t="s">
        <v>206</v>
      </c>
      <c r="Q124" s="19" t="s">
        <v>206</v>
      </c>
      <c r="R124" s="13">
        <f t="shared" si="12"/>
        <v>0</v>
      </c>
      <c r="S124" s="5"/>
      <c r="T124" s="5"/>
    </row>
    <row r="125" ht="12.75" customHeight="1">
      <c r="A125" s="18"/>
      <c r="B125" s="49"/>
      <c r="C125" s="50" t="s">
        <v>108</v>
      </c>
      <c r="D125" s="51"/>
      <c r="E125" s="19" t="s">
        <v>206</v>
      </c>
      <c r="F125" s="19" t="s">
        <v>206</v>
      </c>
      <c r="G125" s="19" t="s">
        <v>206</v>
      </c>
      <c r="H125" s="19" t="s">
        <v>206</v>
      </c>
      <c r="I125" s="19" t="s">
        <v>206</v>
      </c>
      <c r="J125" s="19" t="s">
        <v>206</v>
      </c>
      <c r="K125" s="19" t="s">
        <v>206</v>
      </c>
      <c r="L125" s="19" t="s">
        <v>206</v>
      </c>
      <c r="M125" s="19" t="s">
        <v>206</v>
      </c>
      <c r="N125" s="19" t="s">
        <v>206</v>
      </c>
      <c r="O125" s="19" t="s">
        <v>206</v>
      </c>
      <c r="P125" s="19" t="s">
        <v>206</v>
      </c>
      <c r="Q125" s="19" t="s">
        <v>206</v>
      </c>
      <c r="R125" s="13">
        <f t="shared" si="12"/>
        <v>0</v>
      </c>
      <c r="S125" s="5"/>
      <c r="T125" s="5"/>
    </row>
    <row r="126" ht="12.75" customHeight="1">
      <c r="A126" s="18"/>
      <c r="B126" s="49"/>
      <c r="C126" s="50" t="s">
        <v>109</v>
      </c>
      <c r="D126" s="51"/>
      <c r="E126" s="19" t="s">
        <v>206</v>
      </c>
      <c r="F126" s="19" t="s">
        <v>206</v>
      </c>
      <c r="G126" s="19" t="s">
        <v>206</v>
      </c>
      <c r="H126" s="19" t="s">
        <v>206</v>
      </c>
      <c r="I126" s="19" t="s">
        <v>206</v>
      </c>
      <c r="J126" s="19" t="s">
        <v>206</v>
      </c>
      <c r="K126" s="19" t="s">
        <v>206</v>
      </c>
      <c r="L126" s="19" t="s">
        <v>206</v>
      </c>
      <c r="M126" s="19" t="s">
        <v>206</v>
      </c>
      <c r="N126" s="19" t="s">
        <v>206</v>
      </c>
      <c r="O126" s="19" t="s">
        <v>206</v>
      </c>
      <c r="P126" s="19" t="s">
        <v>206</v>
      </c>
      <c r="Q126" s="19" t="s">
        <v>206</v>
      </c>
      <c r="R126" s="13">
        <f t="shared" si="12"/>
        <v>0</v>
      </c>
      <c r="S126" s="5"/>
      <c r="T126" s="5"/>
    </row>
    <row r="127" ht="12.75" customHeight="1">
      <c r="A127" s="18"/>
      <c r="B127" s="49"/>
      <c r="C127" s="50" t="s">
        <v>110</v>
      </c>
      <c r="D127" s="51"/>
      <c r="E127" s="19" t="s">
        <v>206</v>
      </c>
      <c r="F127" s="19" t="s">
        <v>206</v>
      </c>
      <c r="G127" s="19" t="s">
        <v>206</v>
      </c>
      <c r="H127" s="19" t="s">
        <v>206</v>
      </c>
      <c r="I127" s="19" t="s">
        <v>206</v>
      </c>
      <c r="J127" s="19" t="s">
        <v>206</v>
      </c>
      <c r="K127" s="19" t="s">
        <v>206</v>
      </c>
      <c r="L127" s="19" t="s">
        <v>206</v>
      </c>
      <c r="M127" s="19" t="s">
        <v>206</v>
      </c>
      <c r="N127" s="19" t="s">
        <v>206</v>
      </c>
      <c r="O127" s="19" t="s">
        <v>206</v>
      </c>
      <c r="P127" s="19" t="s">
        <v>206</v>
      </c>
      <c r="Q127" s="19" t="s">
        <v>206</v>
      </c>
      <c r="R127" s="13">
        <f t="shared" si="12"/>
        <v>0</v>
      </c>
      <c r="S127" s="5"/>
      <c r="T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Q128" si="22">SUM(E121:E127)</f>
        <v>0</v>
      </c>
      <c r="F128" s="13">
        <f t="shared" si="22"/>
        <v>0</v>
      </c>
      <c r="G128" s="13">
        <f t="shared" si="22"/>
        <v>0</v>
      </c>
      <c r="H128" s="13">
        <f t="shared" si="22"/>
        <v>0</v>
      </c>
      <c r="I128" s="13">
        <f t="shared" si="22"/>
        <v>0</v>
      </c>
      <c r="J128" s="13">
        <f t="shared" si="22"/>
        <v>0</v>
      </c>
      <c r="K128" s="13">
        <f t="shared" si="22"/>
        <v>0</v>
      </c>
      <c r="L128" s="13">
        <f t="shared" si="22"/>
        <v>0</v>
      </c>
      <c r="M128" s="13">
        <f t="shared" si="22"/>
        <v>0</v>
      </c>
      <c r="N128" s="13">
        <f t="shared" si="22"/>
        <v>0</v>
      </c>
      <c r="O128" s="13">
        <f t="shared" si="22"/>
        <v>0</v>
      </c>
      <c r="P128" s="13">
        <f t="shared" si="22"/>
        <v>0</v>
      </c>
      <c r="Q128" s="13">
        <f t="shared" si="22"/>
        <v>0</v>
      </c>
      <c r="R128" s="13">
        <f t="shared" si="12"/>
        <v>0</v>
      </c>
      <c r="S128" s="5"/>
      <c r="T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13">
        <f t="shared" si="12"/>
        <v>0</v>
      </c>
      <c r="S129" s="5"/>
      <c r="T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19" t="s">
        <v>206</v>
      </c>
      <c r="F130" s="19" t="s">
        <v>206</v>
      </c>
      <c r="G130" s="19" t="s">
        <v>206</v>
      </c>
      <c r="H130" s="19" t="s">
        <v>206</v>
      </c>
      <c r="I130" s="19" t="s">
        <v>206</v>
      </c>
      <c r="J130" s="19" t="s">
        <v>206</v>
      </c>
      <c r="K130" s="19" t="s">
        <v>206</v>
      </c>
      <c r="L130" s="19" t="s">
        <v>206</v>
      </c>
      <c r="M130" s="19" t="s">
        <v>206</v>
      </c>
      <c r="N130" s="19" t="s">
        <v>216</v>
      </c>
      <c r="O130" s="19" t="s">
        <v>206</v>
      </c>
      <c r="P130" s="19" t="s">
        <v>206</v>
      </c>
      <c r="Q130" s="19" t="s">
        <v>206</v>
      </c>
      <c r="R130" s="13">
        <f t="shared" si="12"/>
        <v>0</v>
      </c>
      <c r="S130" s="1"/>
      <c r="T130" s="1"/>
    </row>
    <row r="131" ht="12.75" customHeight="1">
      <c r="A131" s="30" t="s">
        <v>39</v>
      </c>
      <c r="B131" s="49"/>
      <c r="C131" s="50" t="s">
        <v>113</v>
      </c>
      <c r="D131" s="51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3">
        <f t="shared" si="12"/>
        <v>0</v>
      </c>
      <c r="S131" s="53"/>
      <c r="T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Q132" si="23">SUM(E130:E131)</f>
        <v>0</v>
      </c>
      <c r="F132" s="13">
        <f t="shared" si="23"/>
        <v>0</v>
      </c>
      <c r="G132" s="13">
        <f t="shared" si="23"/>
        <v>0</v>
      </c>
      <c r="H132" s="13">
        <f t="shared" si="23"/>
        <v>0</v>
      </c>
      <c r="I132" s="13">
        <f t="shared" si="23"/>
        <v>0</v>
      </c>
      <c r="J132" s="13">
        <f t="shared" si="23"/>
        <v>0</v>
      </c>
      <c r="K132" s="13">
        <f t="shared" si="23"/>
        <v>0</v>
      </c>
      <c r="L132" s="13">
        <f t="shared" si="23"/>
        <v>0</v>
      </c>
      <c r="M132" s="13">
        <f t="shared" si="23"/>
        <v>0</v>
      </c>
      <c r="N132" s="13">
        <f t="shared" si="23"/>
        <v>0</v>
      </c>
      <c r="O132" s="13">
        <f t="shared" si="23"/>
        <v>0</v>
      </c>
      <c r="P132" s="13">
        <f t="shared" si="23"/>
        <v>0</v>
      </c>
      <c r="Q132" s="13">
        <f t="shared" si="23"/>
        <v>0</v>
      </c>
      <c r="R132" s="13">
        <f t="shared" si="12"/>
        <v>0</v>
      </c>
      <c r="S132" s="5"/>
      <c r="T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13">
        <f t="shared" si="12"/>
        <v>0</v>
      </c>
      <c r="S133" s="5"/>
      <c r="T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19" t="s">
        <v>206</v>
      </c>
      <c r="F134" s="19" t="s">
        <v>206</v>
      </c>
      <c r="G134" s="19" t="s">
        <v>206</v>
      </c>
      <c r="H134" s="19" t="s">
        <v>206</v>
      </c>
      <c r="I134" s="19" t="s">
        <v>206</v>
      </c>
      <c r="J134" s="19" t="s">
        <v>206</v>
      </c>
      <c r="K134" s="19" t="s">
        <v>202</v>
      </c>
      <c r="L134" s="19" t="s">
        <v>216</v>
      </c>
      <c r="M134" s="19" t="s">
        <v>206</v>
      </c>
      <c r="N134" s="19" t="s">
        <v>206</v>
      </c>
      <c r="O134" s="19" t="s">
        <v>206</v>
      </c>
      <c r="P134" s="19" t="s">
        <v>206</v>
      </c>
      <c r="Q134" s="19" t="s">
        <v>206</v>
      </c>
      <c r="R134" s="13">
        <f t="shared" si="12"/>
        <v>0</v>
      </c>
      <c r="S134" s="5"/>
      <c r="T134" s="5"/>
    </row>
    <row r="135" ht="12.75" customHeight="1">
      <c r="A135" s="30" t="s">
        <v>39</v>
      </c>
      <c r="B135" s="49"/>
      <c r="C135" s="50" t="s">
        <v>116</v>
      </c>
      <c r="D135" s="51"/>
      <c r="E135" s="19" t="s">
        <v>206</v>
      </c>
      <c r="F135" s="19" t="s">
        <v>206</v>
      </c>
      <c r="G135" s="19" t="s">
        <v>206</v>
      </c>
      <c r="H135" s="19" t="s">
        <v>206</v>
      </c>
      <c r="I135" s="19" t="s">
        <v>206</v>
      </c>
      <c r="J135" s="19" t="s">
        <v>206</v>
      </c>
      <c r="K135" s="19" t="s">
        <v>206</v>
      </c>
      <c r="L135" s="19" t="s">
        <v>206</v>
      </c>
      <c r="M135" s="19" t="s">
        <v>206</v>
      </c>
      <c r="N135" s="19" t="s">
        <v>216</v>
      </c>
      <c r="O135" s="19" t="s">
        <v>206</v>
      </c>
      <c r="P135" s="19" t="s">
        <v>206</v>
      </c>
      <c r="Q135" s="19" t="s">
        <v>206</v>
      </c>
      <c r="R135" s="13">
        <f t="shared" si="12"/>
        <v>0</v>
      </c>
      <c r="S135" s="5"/>
      <c r="T135" s="5"/>
    </row>
    <row r="136" ht="12.75" customHeight="1">
      <c r="A136" s="18"/>
      <c r="B136" s="49"/>
      <c r="C136" s="50" t="s">
        <v>117</v>
      </c>
      <c r="D136" s="51"/>
      <c r="E136" s="19" t="s">
        <v>206</v>
      </c>
      <c r="F136" s="19" t="s">
        <v>206</v>
      </c>
      <c r="G136" s="19" t="s">
        <v>206</v>
      </c>
      <c r="H136" s="19" t="s">
        <v>206</v>
      </c>
      <c r="I136" s="19" t="s">
        <v>206</v>
      </c>
      <c r="J136" s="19" t="s">
        <v>206</v>
      </c>
      <c r="K136" s="19" t="s">
        <v>206</v>
      </c>
      <c r="L136" s="19" t="s">
        <v>206</v>
      </c>
      <c r="M136" s="19" t="s">
        <v>206</v>
      </c>
      <c r="N136" s="19" t="s">
        <v>216</v>
      </c>
      <c r="O136" s="19" t="s">
        <v>206</v>
      </c>
      <c r="P136" s="19" t="s">
        <v>206</v>
      </c>
      <c r="Q136" s="19" t="s">
        <v>206</v>
      </c>
      <c r="R136" s="13">
        <f t="shared" si="12"/>
        <v>0</v>
      </c>
      <c r="S136" s="5"/>
      <c r="T136" s="5"/>
    </row>
    <row r="137" ht="12.75" customHeight="1">
      <c r="A137" s="18"/>
      <c r="B137" s="49"/>
      <c r="C137" s="50" t="s">
        <v>118</v>
      </c>
      <c r="D137" s="51"/>
      <c r="E137" s="19" t="s">
        <v>216</v>
      </c>
      <c r="F137" s="19" t="s">
        <v>206</v>
      </c>
      <c r="G137" s="19" t="s">
        <v>206</v>
      </c>
      <c r="H137" s="19" t="s">
        <v>206</v>
      </c>
      <c r="I137" s="19" t="s">
        <v>206</v>
      </c>
      <c r="J137" s="19" t="s">
        <v>206</v>
      </c>
      <c r="K137" s="19" t="s">
        <v>206</v>
      </c>
      <c r="L137" s="19" t="s">
        <v>206</v>
      </c>
      <c r="M137" s="19" t="s">
        <v>216</v>
      </c>
      <c r="N137" s="19" t="s">
        <v>206</v>
      </c>
      <c r="O137" s="19" t="s">
        <v>206</v>
      </c>
      <c r="P137" s="19" t="s">
        <v>206</v>
      </c>
      <c r="Q137" s="19" t="s">
        <v>206</v>
      </c>
      <c r="R137" s="13">
        <f t="shared" si="12"/>
        <v>0</v>
      </c>
      <c r="S137" s="5"/>
      <c r="T137" s="5"/>
    </row>
    <row r="138" ht="12.75" customHeight="1">
      <c r="A138" s="18"/>
      <c r="B138" s="49"/>
      <c r="C138" s="50" t="s">
        <v>119</v>
      </c>
      <c r="D138" s="51"/>
      <c r="E138" s="19" t="s">
        <v>206</v>
      </c>
      <c r="F138" s="19" t="s">
        <v>206</v>
      </c>
      <c r="G138" s="19" t="s">
        <v>206</v>
      </c>
      <c r="H138" s="19" t="s">
        <v>206</v>
      </c>
      <c r="I138" s="19" t="s">
        <v>206</v>
      </c>
      <c r="J138" s="19" t="s">
        <v>206</v>
      </c>
      <c r="K138" s="19" t="s">
        <v>206</v>
      </c>
      <c r="L138" s="19" t="s">
        <v>206</v>
      </c>
      <c r="M138" s="19" t="s">
        <v>206</v>
      </c>
      <c r="N138" s="19" t="s">
        <v>206</v>
      </c>
      <c r="O138" s="19" t="s">
        <v>206</v>
      </c>
      <c r="P138" s="19" t="s">
        <v>206</v>
      </c>
      <c r="Q138" s="19" t="s">
        <v>206</v>
      </c>
      <c r="R138" s="13">
        <f t="shared" si="12"/>
        <v>0</v>
      </c>
      <c r="S138" s="5"/>
      <c r="T138" s="5"/>
    </row>
    <row r="139" ht="12.75" customHeight="1">
      <c r="A139" s="18"/>
      <c r="B139" s="49"/>
      <c r="C139" s="50" t="s">
        <v>120</v>
      </c>
      <c r="D139" s="51"/>
      <c r="E139" s="19" t="s">
        <v>206</v>
      </c>
      <c r="F139" s="19" t="s">
        <v>206</v>
      </c>
      <c r="G139" s="19" t="s">
        <v>206</v>
      </c>
      <c r="H139" s="19" t="s">
        <v>206</v>
      </c>
      <c r="I139" s="19" t="s">
        <v>206</v>
      </c>
      <c r="J139" s="19" t="s">
        <v>206</v>
      </c>
      <c r="K139" s="19" t="s">
        <v>206</v>
      </c>
      <c r="L139" s="19" t="s">
        <v>206</v>
      </c>
      <c r="M139" s="19" t="s">
        <v>206</v>
      </c>
      <c r="N139" s="19" t="s">
        <v>206</v>
      </c>
      <c r="O139" s="19" t="s">
        <v>206</v>
      </c>
      <c r="P139" s="19" t="s">
        <v>206</v>
      </c>
      <c r="Q139" s="19" t="s">
        <v>206</v>
      </c>
      <c r="R139" s="13">
        <f t="shared" si="12"/>
        <v>0</v>
      </c>
      <c r="S139" s="5"/>
      <c r="T139" s="5"/>
    </row>
    <row r="140" ht="12.75" customHeight="1">
      <c r="A140" s="18"/>
      <c r="B140" s="49"/>
      <c r="C140" s="50" t="s">
        <v>121</v>
      </c>
      <c r="D140" s="51"/>
      <c r="E140" s="19" t="s">
        <v>206</v>
      </c>
      <c r="F140" s="19" t="s">
        <v>206</v>
      </c>
      <c r="G140" s="19" t="s">
        <v>206</v>
      </c>
      <c r="H140" s="19" t="s">
        <v>206</v>
      </c>
      <c r="I140" s="19" t="s">
        <v>206</v>
      </c>
      <c r="J140" s="19" t="s">
        <v>206</v>
      </c>
      <c r="K140" s="19" t="s">
        <v>206</v>
      </c>
      <c r="L140" s="19" t="s">
        <v>216</v>
      </c>
      <c r="M140" s="19" t="s">
        <v>206</v>
      </c>
      <c r="N140" s="19" t="s">
        <v>206</v>
      </c>
      <c r="O140" s="19" t="s">
        <v>206</v>
      </c>
      <c r="P140" s="19" t="s">
        <v>206</v>
      </c>
      <c r="Q140" s="19" t="s">
        <v>206</v>
      </c>
      <c r="R140" s="13">
        <f t="shared" si="12"/>
        <v>0</v>
      </c>
      <c r="S140" s="5"/>
      <c r="T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Q141" si="24">SUM(E134:E140)</f>
        <v>0</v>
      </c>
      <c r="F141" s="13">
        <f t="shared" si="24"/>
        <v>0</v>
      </c>
      <c r="G141" s="13">
        <f t="shared" si="24"/>
        <v>0</v>
      </c>
      <c r="H141" s="13">
        <f t="shared" si="24"/>
        <v>0</v>
      </c>
      <c r="I141" s="13">
        <f t="shared" si="24"/>
        <v>0</v>
      </c>
      <c r="J141" s="13">
        <f t="shared" si="24"/>
        <v>0</v>
      </c>
      <c r="K141" s="13">
        <f t="shared" si="24"/>
        <v>0</v>
      </c>
      <c r="L141" s="13">
        <f t="shared" si="24"/>
        <v>0</v>
      </c>
      <c r="M141" s="13">
        <f t="shared" si="24"/>
        <v>0</v>
      </c>
      <c r="N141" s="13">
        <f t="shared" si="24"/>
        <v>0</v>
      </c>
      <c r="O141" s="13">
        <f t="shared" si="24"/>
        <v>0</v>
      </c>
      <c r="P141" s="13">
        <f t="shared" si="24"/>
        <v>0</v>
      </c>
      <c r="Q141" s="13">
        <f t="shared" si="24"/>
        <v>0</v>
      </c>
      <c r="R141" s="13">
        <f t="shared" si="12"/>
        <v>0</v>
      </c>
      <c r="S141" s="1"/>
      <c r="T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13">
        <f t="shared" si="12"/>
        <v>0</v>
      </c>
      <c r="S142" s="53"/>
      <c r="T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19" t="s">
        <v>206</v>
      </c>
      <c r="F143" s="19" t="s">
        <v>206</v>
      </c>
      <c r="G143" s="19" t="s">
        <v>206</v>
      </c>
      <c r="H143" s="19" t="s">
        <v>206</v>
      </c>
      <c r="I143" s="19" t="s">
        <v>206</v>
      </c>
      <c r="J143" s="19" t="s">
        <v>206</v>
      </c>
      <c r="K143" s="19" t="s">
        <v>206</v>
      </c>
      <c r="L143" s="19" t="s">
        <v>216</v>
      </c>
      <c r="M143" s="19" t="s">
        <v>206</v>
      </c>
      <c r="N143" s="19" t="s">
        <v>206</v>
      </c>
      <c r="O143" s="19" t="s">
        <v>206</v>
      </c>
      <c r="P143" s="19" t="s">
        <v>206</v>
      </c>
      <c r="Q143" s="19" t="s">
        <v>206</v>
      </c>
      <c r="R143" s="13">
        <f t="shared" si="12"/>
        <v>0</v>
      </c>
      <c r="S143" s="5"/>
      <c r="T143" s="5"/>
    </row>
    <row r="144" ht="12.75" customHeight="1">
      <c r="A144" s="30" t="s">
        <v>39</v>
      </c>
      <c r="B144" s="49"/>
      <c r="C144" s="50" t="s">
        <v>124</v>
      </c>
      <c r="D144" s="51"/>
      <c r="E144" s="19" t="s">
        <v>216</v>
      </c>
      <c r="F144" s="19" t="s">
        <v>206</v>
      </c>
      <c r="G144" s="19" t="s">
        <v>206</v>
      </c>
      <c r="H144" s="19" t="s">
        <v>206</v>
      </c>
      <c r="I144" s="19" t="s">
        <v>206</v>
      </c>
      <c r="J144" s="19" t="s">
        <v>206</v>
      </c>
      <c r="K144" s="19" t="s">
        <v>206</v>
      </c>
      <c r="L144" s="19" t="s">
        <v>206</v>
      </c>
      <c r="M144" s="19" t="s">
        <v>206</v>
      </c>
      <c r="N144" s="19" t="s">
        <v>206</v>
      </c>
      <c r="O144" s="19" t="s">
        <v>206</v>
      </c>
      <c r="P144" s="19" t="s">
        <v>206</v>
      </c>
      <c r="Q144" s="19" t="s">
        <v>206</v>
      </c>
      <c r="R144" s="13">
        <f t="shared" si="12"/>
        <v>0</v>
      </c>
      <c r="S144" s="5"/>
      <c r="T144" s="5"/>
    </row>
    <row r="145" ht="12.75" customHeight="1">
      <c r="A145" s="18"/>
      <c r="B145" s="49"/>
      <c r="C145" s="50" t="s">
        <v>125</v>
      </c>
      <c r="D145" s="51"/>
      <c r="E145" s="19" t="s">
        <v>206</v>
      </c>
      <c r="F145" s="19" t="s">
        <v>206</v>
      </c>
      <c r="G145" s="19" t="s">
        <v>206</v>
      </c>
      <c r="H145" s="19" t="s">
        <v>206</v>
      </c>
      <c r="I145" s="19" t="s">
        <v>206</v>
      </c>
      <c r="J145" s="19" t="s">
        <v>206</v>
      </c>
      <c r="K145" s="19" t="s">
        <v>206</v>
      </c>
      <c r="L145" s="19" t="s">
        <v>206</v>
      </c>
      <c r="M145" s="19" t="s">
        <v>206</v>
      </c>
      <c r="N145" s="19" t="s">
        <v>206</v>
      </c>
      <c r="O145" s="19" t="s">
        <v>206</v>
      </c>
      <c r="P145" s="19" t="s">
        <v>206</v>
      </c>
      <c r="Q145" s="19" t="s">
        <v>206</v>
      </c>
      <c r="R145" s="13">
        <f t="shared" si="12"/>
        <v>0</v>
      </c>
      <c r="S145" s="5"/>
      <c r="T145" s="5"/>
    </row>
    <row r="146" ht="12.75" customHeight="1">
      <c r="A146" s="18"/>
      <c r="B146" s="49"/>
      <c r="C146" s="50" t="s">
        <v>126</v>
      </c>
      <c r="D146" s="51"/>
      <c r="E146" s="19" t="s">
        <v>206</v>
      </c>
      <c r="F146" s="19" t="s">
        <v>206</v>
      </c>
      <c r="G146" s="19" t="s">
        <v>216</v>
      </c>
      <c r="H146" s="19" t="s">
        <v>206</v>
      </c>
      <c r="I146" s="19" t="s">
        <v>206</v>
      </c>
      <c r="J146" s="19" t="s">
        <v>206</v>
      </c>
      <c r="K146" s="19" t="s">
        <v>206</v>
      </c>
      <c r="L146" s="19" t="s">
        <v>206</v>
      </c>
      <c r="M146" s="19" t="s">
        <v>206</v>
      </c>
      <c r="N146" s="19" t="s">
        <v>206</v>
      </c>
      <c r="O146" s="19" t="s">
        <v>206</v>
      </c>
      <c r="P146" s="19" t="s">
        <v>206</v>
      </c>
      <c r="Q146" s="19" t="s">
        <v>206</v>
      </c>
      <c r="R146" s="13">
        <f t="shared" si="12"/>
        <v>0</v>
      </c>
      <c r="S146" s="5"/>
      <c r="T146" s="5"/>
    </row>
    <row r="147" ht="12.75" customHeight="1">
      <c r="A147" s="18"/>
      <c r="B147" s="49"/>
      <c r="C147" s="50" t="s">
        <v>127</v>
      </c>
      <c r="D147" s="51"/>
      <c r="E147" s="19" t="s">
        <v>206</v>
      </c>
      <c r="F147" s="19" t="s">
        <v>206</v>
      </c>
      <c r="G147" s="19" t="s">
        <v>206</v>
      </c>
      <c r="H147" s="19" t="s">
        <v>206</v>
      </c>
      <c r="I147" s="19" t="s">
        <v>206</v>
      </c>
      <c r="J147" s="19" t="s">
        <v>206</v>
      </c>
      <c r="K147" s="19" t="s">
        <v>206</v>
      </c>
      <c r="L147" s="19" t="s">
        <v>216</v>
      </c>
      <c r="M147" s="19" t="s">
        <v>206</v>
      </c>
      <c r="N147" s="19" t="s">
        <v>206</v>
      </c>
      <c r="O147" s="19" t="s">
        <v>206</v>
      </c>
      <c r="P147" s="19" t="s">
        <v>206</v>
      </c>
      <c r="Q147" s="19" t="s">
        <v>206</v>
      </c>
      <c r="R147" s="13">
        <f t="shared" si="12"/>
        <v>0</v>
      </c>
      <c r="S147" s="5"/>
      <c r="T147" s="5"/>
    </row>
    <row r="148" ht="12.75" customHeight="1">
      <c r="A148" s="18"/>
      <c r="B148" s="49"/>
      <c r="C148" s="50" t="s">
        <v>128</v>
      </c>
      <c r="D148" s="51"/>
      <c r="E148" s="19" t="s">
        <v>206</v>
      </c>
      <c r="F148" s="19" t="s">
        <v>206</v>
      </c>
      <c r="G148" s="19" t="s">
        <v>206</v>
      </c>
      <c r="H148" s="19" t="s">
        <v>206</v>
      </c>
      <c r="I148" s="19" t="s">
        <v>206</v>
      </c>
      <c r="J148" s="19" t="s">
        <v>206</v>
      </c>
      <c r="K148" s="19" t="s">
        <v>206</v>
      </c>
      <c r="L148" s="19" t="s">
        <v>206</v>
      </c>
      <c r="M148" s="19" t="s">
        <v>206</v>
      </c>
      <c r="N148" s="19" t="s">
        <v>206</v>
      </c>
      <c r="O148" s="19" t="s">
        <v>206</v>
      </c>
      <c r="P148" s="19" t="s">
        <v>206</v>
      </c>
      <c r="Q148" s="19" t="s">
        <v>206</v>
      </c>
      <c r="R148" s="13">
        <f t="shared" si="12"/>
        <v>0</v>
      </c>
      <c r="S148" s="5"/>
      <c r="T148" s="5"/>
    </row>
    <row r="149" ht="12.75" customHeight="1">
      <c r="A149" s="18"/>
      <c r="B149" s="49"/>
      <c r="C149" s="50" t="s">
        <v>129</v>
      </c>
      <c r="D149" s="51"/>
      <c r="E149" s="19" t="s">
        <v>206</v>
      </c>
      <c r="F149" s="19" t="s">
        <v>206</v>
      </c>
      <c r="G149" s="19" t="s">
        <v>206</v>
      </c>
      <c r="H149" s="19" t="s">
        <v>206</v>
      </c>
      <c r="I149" s="19" t="s">
        <v>206</v>
      </c>
      <c r="J149" s="19" t="s">
        <v>206</v>
      </c>
      <c r="K149" s="19" t="s">
        <v>206</v>
      </c>
      <c r="L149" s="19" t="s">
        <v>206</v>
      </c>
      <c r="M149" s="19" t="s">
        <v>206</v>
      </c>
      <c r="N149" s="19" t="s">
        <v>206</v>
      </c>
      <c r="O149" s="19" t="s">
        <v>206</v>
      </c>
      <c r="P149" s="19" t="s">
        <v>206</v>
      </c>
      <c r="Q149" s="19" t="s">
        <v>206</v>
      </c>
      <c r="R149" s="13">
        <f t="shared" si="12"/>
        <v>0</v>
      </c>
      <c r="S149" s="5"/>
      <c r="T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Q150" si="25">SUM(E143:E149)</f>
        <v>0</v>
      </c>
      <c r="F150" s="13">
        <f t="shared" si="25"/>
        <v>0</v>
      </c>
      <c r="G150" s="13">
        <f t="shared" si="25"/>
        <v>0</v>
      </c>
      <c r="H150" s="13">
        <f t="shared" si="25"/>
        <v>0</v>
      </c>
      <c r="I150" s="13">
        <f t="shared" si="25"/>
        <v>0</v>
      </c>
      <c r="J150" s="13">
        <f t="shared" si="25"/>
        <v>0</v>
      </c>
      <c r="K150" s="13">
        <f t="shared" si="25"/>
        <v>0</v>
      </c>
      <c r="L150" s="13">
        <f t="shared" si="25"/>
        <v>0</v>
      </c>
      <c r="M150" s="13">
        <f t="shared" si="25"/>
        <v>0</v>
      </c>
      <c r="N150" s="13">
        <f t="shared" si="25"/>
        <v>0</v>
      </c>
      <c r="O150" s="13">
        <f t="shared" si="25"/>
        <v>0</v>
      </c>
      <c r="P150" s="13">
        <f t="shared" si="25"/>
        <v>0</v>
      </c>
      <c r="Q150" s="13">
        <f t="shared" si="25"/>
        <v>0</v>
      </c>
      <c r="R150" s="13">
        <f t="shared" si="12"/>
        <v>0</v>
      </c>
      <c r="S150" s="5"/>
      <c r="T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13">
        <f t="shared" si="12"/>
        <v>0</v>
      </c>
      <c r="S151" s="1"/>
      <c r="T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19" t="s">
        <v>202</v>
      </c>
      <c r="F152" s="19" t="s">
        <v>199</v>
      </c>
      <c r="G152" s="19" t="s">
        <v>217</v>
      </c>
      <c r="H152" s="19" t="s">
        <v>205</v>
      </c>
      <c r="I152" s="19" t="s">
        <v>214</v>
      </c>
      <c r="J152" s="19" t="s">
        <v>201</v>
      </c>
      <c r="K152" s="19" t="s">
        <v>202</v>
      </c>
      <c r="L152" s="19" t="s">
        <v>205</v>
      </c>
      <c r="M152" s="19" t="s">
        <v>200</v>
      </c>
      <c r="N152" s="19" t="s">
        <v>216</v>
      </c>
      <c r="O152" s="19" t="s">
        <v>216</v>
      </c>
      <c r="P152" s="19" t="s">
        <v>206</v>
      </c>
      <c r="Q152" s="19" t="s">
        <v>206</v>
      </c>
      <c r="R152" s="13">
        <f t="shared" si="12"/>
        <v>0</v>
      </c>
      <c r="S152" s="53"/>
      <c r="T152" s="53"/>
    </row>
    <row r="153" ht="12.75" customHeight="1">
      <c r="A153" s="30" t="s">
        <v>39</v>
      </c>
      <c r="B153" s="49"/>
      <c r="C153" s="50" t="s">
        <v>132</v>
      </c>
      <c r="D153" s="51"/>
      <c r="E153" s="19" t="s">
        <v>201</v>
      </c>
      <c r="F153" s="19" t="s">
        <v>201</v>
      </c>
      <c r="G153" s="19" t="s">
        <v>214</v>
      </c>
      <c r="H153" s="19" t="s">
        <v>214</v>
      </c>
      <c r="I153" s="19" t="s">
        <v>202</v>
      </c>
      <c r="J153" s="19" t="s">
        <v>199</v>
      </c>
      <c r="K153" s="19" t="s">
        <v>205</v>
      </c>
      <c r="L153" s="19" t="s">
        <v>205</v>
      </c>
      <c r="M153" s="19" t="s">
        <v>206</v>
      </c>
      <c r="N153" s="19" t="s">
        <v>206</v>
      </c>
      <c r="O153" s="19" t="s">
        <v>205</v>
      </c>
      <c r="P153" s="19" t="s">
        <v>206</v>
      </c>
      <c r="Q153" s="19" t="s">
        <v>206</v>
      </c>
      <c r="R153" s="13">
        <f t="shared" si="12"/>
        <v>0</v>
      </c>
      <c r="S153" s="5"/>
      <c r="T153" s="5"/>
    </row>
    <row r="154" ht="12.75" customHeight="1">
      <c r="A154" s="18"/>
      <c r="B154" s="49"/>
      <c r="C154" s="50" t="s">
        <v>133</v>
      </c>
      <c r="D154" s="51"/>
      <c r="E154" s="19" t="s">
        <v>220</v>
      </c>
      <c r="F154" s="19" t="s">
        <v>227</v>
      </c>
      <c r="G154" s="19" t="s">
        <v>237</v>
      </c>
      <c r="H154" s="19" t="s">
        <v>235</v>
      </c>
      <c r="I154" s="19" t="s">
        <v>223</v>
      </c>
      <c r="J154" s="19" t="s">
        <v>238</v>
      </c>
      <c r="K154" s="19" t="s">
        <v>221</v>
      </c>
      <c r="L154" s="19" t="s">
        <v>232</v>
      </c>
      <c r="M154" s="19" t="s">
        <v>207</v>
      </c>
      <c r="N154" s="19" t="s">
        <v>208</v>
      </c>
      <c r="O154" s="19" t="s">
        <v>239</v>
      </c>
      <c r="P154" s="19" t="s">
        <v>206</v>
      </c>
      <c r="Q154" s="19" t="s">
        <v>206</v>
      </c>
      <c r="R154" s="13">
        <f t="shared" si="12"/>
        <v>0</v>
      </c>
      <c r="S154" s="5"/>
      <c r="T154" s="5"/>
    </row>
    <row r="155" ht="12.75" customHeight="1">
      <c r="A155" s="18"/>
      <c r="B155" s="49"/>
      <c r="C155" s="50" t="s">
        <v>134</v>
      </c>
      <c r="D155" s="51"/>
      <c r="E155" s="19" t="s">
        <v>206</v>
      </c>
      <c r="F155" s="19" t="s">
        <v>206</v>
      </c>
      <c r="G155" s="19" t="s">
        <v>206</v>
      </c>
      <c r="H155" s="19" t="s">
        <v>202</v>
      </c>
      <c r="I155" s="19" t="s">
        <v>206</v>
      </c>
      <c r="J155" s="19" t="s">
        <v>206</v>
      </c>
      <c r="K155" s="19" t="s">
        <v>205</v>
      </c>
      <c r="L155" s="19" t="s">
        <v>216</v>
      </c>
      <c r="M155" s="19" t="s">
        <v>206</v>
      </c>
      <c r="N155" s="19" t="s">
        <v>206</v>
      </c>
      <c r="O155" s="19" t="s">
        <v>206</v>
      </c>
      <c r="P155" s="19" t="s">
        <v>206</v>
      </c>
      <c r="Q155" s="19" t="s">
        <v>206</v>
      </c>
      <c r="R155" s="13">
        <f t="shared" si="12"/>
        <v>0</v>
      </c>
      <c r="S155" s="5"/>
      <c r="T155" s="5"/>
    </row>
    <row r="156" ht="12.75" customHeight="1">
      <c r="A156" s="18"/>
      <c r="B156" s="49"/>
      <c r="C156" s="50" t="s">
        <v>135</v>
      </c>
      <c r="D156" s="51"/>
      <c r="E156" s="19" t="s">
        <v>206</v>
      </c>
      <c r="F156" s="19" t="s">
        <v>206</v>
      </c>
      <c r="G156" s="19" t="s">
        <v>206</v>
      </c>
      <c r="H156" s="19" t="s">
        <v>206</v>
      </c>
      <c r="I156" s="19" t="s">
        <v>206</v>
      </c>
      <c r="J156" s="19" t="s">
        <v>206</v>
      </c>
      <c r="K156" s="19" t="s">
        <v>206</v>
      </c>
      <c r="L156" s="19" t="s">
        <v>206</v>
      </c>
      <c r="M156" s="19" t="s">
        <v>206</v>
      </c>
      <c r="N156" s="19" t="s">
        <v>206</v>
      </c>
      <c r="O156" s="19" t="s">
        <v>206</v>
      </c>
      <c r="P156" s="19" t="s">
        <v>216</v>
      </c>
      <c r="Q156" s="19" t="s">
        <v>206</v>
      </c>
      <c r="R156" s="13">
        <f t="shared" si="12"/>
        <v>0</v>
      </c>
      <c r="S156" s="5"/>
      <c r="T156" s="5"/>
    </row>
    <row r="157" ht="12.75" customHeight="1">
      <c r="A157" s="18"/>
      <c r="B157" s="49"/>
      <c r="C157" s="50" t="s">
        <v>136</v>
      </c>
      <c r="D157" s="51"/>
      <c r="E157" s="19" t="s">
        <v>206</v>
      </c>
      <c r="F157" s="19" t="s">
        <v>206</v>
      </c>
      <c r="G157" s="19" t="s">
        <v>206</v>
      </c>
      <c r="H157" s="19" t="s">
        <v>206</v>
      </c>
      <c r="I157" s="19" t="s">
        <v>206</v>
      </c>
      <c r="J157" s="19" t="s">
        <v>206</v>
      </c>
      <c r="K157" s="19" t="s">
        <v>206</v>
      </c>
      <c r="L157" s="19" t="s">
        <v>206</v>
      </c>
      <c r="M157" s="19" t="s">
        <v>206</v>
      </c>
      <c r="N157" s="19" t="s">
        <v>206</v>
      </c>
      <c r="O157" s="19" t="s">
        <v>206</v>
      </c>
      <c r="P157" s="19" t="s">
        <v>206</v>
      </c>
      <c r="Q157" s="19" t="s">
        <v>206</v>
      </c>
      <c r="R157" s="13">
        <f t="shared" si="12"/>
        <v>0</v>
      </c>
      <c r="S157" s="5"/>
      <c r="T157" s="5"/>
    </row>
    <row r="158" ht="12.75" customHeight="1">
      <c r="A158" s="18"/>
      <c r="B158" s="49"/>
      <c r="C158" s="50" t="s">
        <v>137</v>
      </c>
      <c r="D158" s="51"/>
      <c r="E158" s="19" t="s">
        <v>206</v>
      </c>
      <c r="F158" s="19" t="s">
        <v>206</v>
      </c>
      <c r="G158" s="19" t="s">
        <v>206</v>
      </c>
      <c r="H158" s="19" t="s">
        <v>206</v>
      </c>
      <c r="I158" s="19" t="s">
        <v>206</v>
      </c>
      <c r="J158" s="19" t="s">
        <v>206</v>
      </c>
      <c r="K158" s="19" t="s">
        <v>216</v>
      </c>
      <c r="L158" s="19" t="s">
        <v>206</v>
      </c>
      <c r="M158" s="19" t="s">
        <v>206</v>
      </c>
      <c r="N158" s="19" t="s">
        <v>206</v>
      </c>
      <c r="O158" s="19" t="s">
        <v>206</v>
      </c>
      <c r="P158" s="19" t="s">
        <v>206</v>
      </c>
      <c r="Q158" s="19" t="s">
        <v>206</v>
      </c>
      <c r="R158" s="13">
        <f t="shared" si="12"/>
        <v>0</v>
      </c>
      <c r="S158" s="5"/>
      <c r="T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Q159" si="26">SUM(E152:E158)</f>
        <v>0</v>
      </c>
      <c r="F159" s="13">
        <f t="shared" si="26"/>
        <v>0</v>
      </c>
      <c r="G159" s="13">
        <f t="shared" si="26"/>
        <v>0</v>
      </c>
      <c r="H159" s="13">
        <f t="shared" si="26"/>
        <v>0</v>
      </c>
      <c r="I159" s="13">
        <f t="shared" si="26"/>
        <v>0</v>
      </c>
      <c r="J159" s="13">
        <f t="shared" si="26"/>
        <v>0</v>
      </c>
      <c r="K159" s="13">
        <f t="shared" si="26"/>
        <v>0</v>
      </c>
      <c r="L159" s="13">
        <f t="shared" si="26"/>
        <v>0</v>
      </c>
      <c r="M159" s="13">
        <f t="shared" si="26"/>
        <v>0</v>
      </c>
      <c r="N159" s="13">
        <f t="shared" si="26"/>
        <v>0</v>
      </c>
      <c r="O159" s="13">
        <f t="shared" si="26"/>
        <v>0</v>
      </c>
      <c r="P159" s="13">
        <f t="shared" si="26"/>
        <v>0</v>
      </c>
      <c r="Q159" s="13">
        <f t="shared" si="26"/>
        <v>0</v>
      </c>
      <c r="R159" s="13">
        <f t="shared" si="12"/>
        <v>0</v>
      </c>
      <c r="S159" s="5"/>
      <c r="T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13">
        <f t="shared" si="12"/>
        <v>0</v>
      </c>
      <c r="S160" s="5"/>
      <c r="T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87" t="s">
        <v>206</v>
      </c>
      <c r="F161" s="87" t="s">
        <v>206</v>
      </c>
      <c r="G161" s="87" t="s">
        <v>206</v>
      </c>
      <c r="H161" s="87" t="s">
        <v>206</v>
      </c>
      <c r="I161" s="87" t="s">
        <v>206</v>
      </c>
      <c r="J161" s="87" t="s">
        <v>216</v>
      </c>
      <c r="K161" s="87" t="s">
        <v>206</v>
      </c>
      <c r="L161" s="87" t="s">
        <v>206</v>
      </c>
      <c r="M161" s="87" t="s">
        <v>216</v>
      </c>
      <c r="N161" s="87" t="s">
        <v>202</v>
      </c>
      <c r="O161" s="87" t="s">
        <v>205</v>
      </c>
      <c r="P161" s="87" t="s">
        <v>206</v>
      </c>
      <c r="Q161" s="87" t="s">
        <v>206</v>
      </c>
      <c r="R161" s="13">
        <f t="shared" si="12"/>
        <v>0</v>
      </c>
      <c r="S161" s="5"/>
      <c r="T161" s="5"/>
    </row>
    <row r="162" ht="12.75" customHeight="1">
      <c r="A162" s="30" t="s">
        <v>39</v>
      </c>
      <c r="B162" s="49"/>
      <c r="C162" s="50" t="s">
        <v>140</v>
      </c>
      <c r="D162" s="51"/>
      <c r="E162" s="87" t="s">
        <v>206</v>
      </c>
      <c r="F162" s="87" t="s">
        <v>202</v>
      </c>
      <c r="G162" s="87" t="s">
        <v>206</v>
      </c>
      <c r="H162" s="87" t="s">
        <v>206</v>
      </c>
      <c r="I162" s="87" t="s">
        <v>206</v>
      </c>
      <c r="J162" s="87" t="s">
        <v>206</v>
      </c>
      <c r="K162" s="87" t="s">
        <v>206</v>
      </c>
      <c r="L162" s="87" t="s">
        <v>206</v>
      </c>
      <c r="M162" s="87" t="s">
        <v>205</v>
      </c>
      <c r="N162" s="87" t="s">
        <v>206</v>
      </c>
      <c r="O162" s="87" t="s">
        <v>206</v>
      </c>
      <c r="P162" s="87" t="s">
        <v>206</v>
      </c>
      <c r="Q162" s="87" t="s">
        <v>206</v>
      </c>
      <c r="R162" s="13">
        <f t="shared" si="12"/>
        <v>0</v>
      </c>
      <c r="S162" s="5"/>
      <c r="T162" s="5"/>
    </row>
    <row r="163" ht="12.75" customHeight="1">
      <c r="A163" s="30"/>
      <c r="B163" s="49"/>
      <c r="C163" s="50" t="s">
        <v>141</v>
      </c>
      <c r="D163" s="51"/>
      <c r="E163" s="87" t="s">
        <v>216</v>
      </c>
      <c r="F163" s="87" t="s">
        <v>206</v>
      </c>
      <c r="G163" s="87" t="s">
        <v>206</v>
      </c>
      <c r="H163" s="87" t="s">
        <v>206</v>
      </c>
      <c r="I163" s="87" t="s">
        <v>206</v>
      </c>
      <c r="J163" s="87" t="s">
        <v>206</v>
      </c>
      <c r="K163" s="87" t="s">
        <v>206</v>
      </c>
      <c r="L163" s="87" t="s">
        <v>206</v>
      </c>
      <c r="M163" s="87" t="s">
        <v>206</v>
      </c>
      <c r="N163" s="87" t="s">
        <v>206</v>
      </c>
      <c r="O163" s="87" t="s">
        <v>206</v>
      </c>
      <c r="P163" s="87" t="s">
        <v>206</v>
      </c>
      <c r="Q163" s="87" t="s">
        <v>206</v>
      </c>
      <c r="R163" s="13">
        <f t="shared" si="12"/>
        <v>0</v>
      </c>
      <c r="S163" s="5"/>
      <c r="T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Q164" si="27">SUM(E161:E163)</f>
        <v>0</v>
      </c>
      <c r="F164" s="13">
        <f t="shared" si="27"/>
        <v>0</v>
      </c>
      <c r="G164" s="13">
        <f t="shared" si="27"/>
        <v>0</v>
      </c>
      <c r="H164" s="13">
        <f t="shared" si="27"/>
        <v>0</v>
      </c>
      <c r="I164" s="13">
        <f t="shared" si="27"/>
        <v>0</v>
      </c>
      <c r="J164" s="13">
        <f t="shared" si="27"/>
        <v>0</v>
      </c>
      <c r="K164" s="13">
        <f t="shared" si="27"/>
        <v>0</v>
      </c>
      <c r="L164" s="13">
        <f t="shared" si="27"/>
        <v>0</v>
      </c>
      <c r="M164" s="13">
        <f t="shared" si="27"/>
        <v>0</v>
      </c>
      <c r="N164" s="13">
        <f t="shared" si="27"/>
        <v>0</v>
      </c>
      <c r="O164" s="13">
        <f t="shared" si="27"/>
        <v>0</v>
      </c>
      <c r="P164" s="13">
        <f t="shared" si="27"/>
        <v>0</v>
      </c>
      <c r="Q164" s="13">
        <f t="shared" si="27"/>
        <v>0</v>
      </c>
      <c r="R164" s="13">
        <f t="shared" si="12"/>
        <v>0</v>
      </c>
      <c r="S164" s="5"/>
      <c r="T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13">
        <f t="shared" si="12"/>
        <v>0</v>
      </c>
      <c r="S165" s="1"/>
      <c r="T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19" t="s">
        <v>206</v>
      </c>
      <c r="F166" s="19" t="s">
        <v>206</v>
      </c>
      <c r="G166" s="19" t="s">
        <v>206</v>
      </c>
      <c r="H166" s="19" t="s">
        <v>206</v>
      </c>
      <c r="I166" s="19" t="s">
        <v>206</v>
      </c>
      <c r="J166" s="19" t="s">
        <v>206</v>
      </c>
      <c r="K166" s="19" t="s">
        <v>206</v>
      </c>
      <c r="L166" s="19" t="s">
        <v>206</v>
      </c>
      <c r="M166" s="19" t="s">
        <v>206</v>
      </c>
      <c r="N166" s="19" t="s">
        <v>206</v>
      </c>
      <c r="O166" s="19" t="s">
        <v>206</v>
      </c>
      <c r="P166" s="19" t="s">
        <v>206</v>
      </c>
      <c r="Q166" s="19" t="s">
        <v>206</v>
      </c>
      <c r="R166" s="13">
        <f t="shared" si="12"/>
        <v>0</v>
      </c>
      <c r="S166" s="53"/>
      <c r="T166" s="53"/>
    </row>
    <row r="167" ht="12.75" customHeight="1">
      <c r="A167" s="30"/>
      <c r="B167" s="47"/>
      <c r="C167" s="50" t="s">
        <v>144</v>
      </c>
      <c r="D167" s="59"/>
      <c r="E167" s="19" t="s">
        <v>206</v>
      </c>
      <c r="F167" s="19" t="s">
        <v>206</v>
      </c>
      <c r="G167" s="19" t="s">
        <v>206</v>
      </c>
      <c r="H167" s="19" t="s">
        <v>206</v>
      </c>
      <c r="I167" s="19" t="s">
        <v>206</v>
      </c>
      <c r="J167" s="19" t="s">
        <v>206</v>
      </c>
      <c r="K167" s="19" t="s">
        <v>206</v>
      </c>
      <c r="L167" s="19" t="s">
        <v>206</v>
      </c>
      <c r="M167" s="19" t="s">
        <v>206</v>
      </c>
      <c r="N167" s="19" t="s">
        <v>206</v>
      </c>
      <c r="O167" s="19" t="s">
        <v>206</v>
      </c>
      <c r="P167" s="19" t="s">
        <v>206</v>
      </c>
      <c r="Q167" s="19" t="s">
        <v>206</v>
      </c>
      <c r="R167" s="13">
        <f t="shared" si="12"/>
        <v>0</v>
      </c>
      <c r="S167" s="5"/>
      <c r="T167" s="5"/>
    </row>
    <row r="168" ht="12.75" customHeight="1">
      <c r="A168" s="30"/>
      <c r="B168" s="47"/>
      <c r="C168" s="50" t="s">
        <v>145</v>
      </c>
      <c r="D168" s="59"/>
      <c r="E168" s="19" t="s">
        <v>206</v>
      </c>
      <c r="F168" s="19" t="s">
        <v>206</v>
      </c>
      <c r="G168" s="19" t="s">
        <v>206</v>
      </c>
      <c r="H168" s="19" t="s">
        <v>206</v>
      </c>
      <c r="I168" s="19" t="s">
        <v>206</v>
      </c>
      <c r="J168" s="19" t="s">
        <v>206</v>
      </c>
      <c r="K168" s="19" t="s">
        <v>206</v>
      </c>
      <c r="L168" s="19" t="s">
        <v>206</v>
      </c>
      <c r="M168" s="19" t="s">
        <v>206</v>
      </c>
      <c r="N168" s="19" t="s">
        <v>206</v>
      </c>
      <c r="O168" s="19" t="s">
        <v>206</v>
      </c>
      <c r="P168" s="19" t="s">
        <v>206</v>
      </c>
      <c r="Q168" s="19" t="s">
        <v>206</v>
      </c>
      <c r="R168" s="13">
        <f t="shared" si="12"/>
        <v>0</v>
      </c>
      <c r="S168" s="5"/>
      <c r="T168" s="5"/>
    </row>
    <row r="169" ht="12.75" customHeight="1">
      <c r="A169" s="30"/>
      <c r="B169" s="47"/>
      <c r="C169" s="50" t="s">
        <v>146</v>
      </c>
      <c r="D169" s="59"/>
      <c r="E169" s="19" t="s">
        <v>206</v>
      </c>
      <c r="F169" s="19" t="s">
        <v>206</v>
      </c>
      <c r="G169" s="19" t="s">
        <v>206</v>
      </c>
      <c r="H169" s="19" t="s">
        <v>206</v>
      </c>
      <c r="I169" s="19" t="s">
        <v>206</v>
      </c>
      <c r="J169" s="19" t="s">
        <v>206</v>
      </c>
      <c r="K169" s="19" t="s">
        <v>206</v>
      </c>
      <c r="L169" s="19" t="s">
        <v>206</v>
      </c>
      <c r="M169" s="19" t="s">
        <v>206</v>
      </c>
      <c r="N169" s="19" t="s">
        <v>206</v>
      </c>
      <c r="O169" s="19" t="s">
        <v>206</v>
      </c>
      <c r="P169" s="19" t="s">
        <v>206</v>
      </c>
      <c r="Q169" s="19" t="s">
        <v>206</v>
      </c>
      <c r="R169" s="13">
        <f t="shared" si="12"/>
        <v>0</v>
      </c>
      <c r="S169" s="5"/>
      <c r="T169" s="5"/>
    </row>
    <row r="170" ht="12.75" customHeight="1">
      <c r="A170" s="30" t="s">
        <v>39</v>
      </c>
      <c r="B170" s="49"/>
      <c r="C170" s="50" t="s">
        <v>147</v>
      </c>
      <c r="D170" s="51"/>
      <c r="E170" s="19" t="s">
        <v>206</v>
      </c>
      <c r="F170" s="19" t="s">
        <v>206</v>
      </c>
      <c r="G170" s="19" t="s">
        <v>206</v>
      </c>
      <c r="H170" s="19" t="s">
        <v>206</v>
      </c>
      <c r="I170" s="19" t="s">
        <v>206</v>
      </c>
      <c r="J170" s="19" t="s">
        <v>206</v>
      </c>
      <c r="K170" s="19" t="s">
        <v>206</v>
      </c>
      <c r="L170" s="19" t="s">
        <v>206</v>
      </c>
      <c r="M170" s="19" t="s">
        <v>206</v>
      </c>
      <c r="N170" s="19" t="s">
        <v>206</v>
      </c>
      <c r="O170" s="19" t="s">
        <v>206</v>
      </c>
      <c r="P170" s="19" t="s">
        <v>206</v>
      </c>
      <c r="Q170" s="19" t="s">
        <v>206</v>
      </c>
      <c r="R170" s="13">
        <f t="shared" si="12"/>
        <v>0</v>
      </c>
      <c r="S170" s="5"/>
      <c r="T170" s="5"/>
    </row>
    <row r="171" ht="12.75" customHeight="1">
      <c r="A171" s="18"/>
      <c r="B171" s="49"/>
      <c r="C171" s="50" t="s">
        <v>148</v>
      </c>
      <c r="D171" s="51"/>
      <c r="E171" s="19" t="s">
        <v>206</v>
      </c>
      <c r="F171" s="19" t="s">
        <v>206</v>
      </c>
      <c r="G171" s="19" t="s">
        <v>206</v>
      </c>
      <c r="H171" s="19" t="s">
        <v>206</v>
      </c>
      <c r="I171" s="19" t="s">
        <v>206</v>
      </c>
      <c r="J171" s="19" t="s">
        <v>206</v>
      </c>
      <c r="K171" s="19" t="s">
        <v>206</v>
      </c>
      <c r="L171" s="19" t="s">
        <v>206</v>
      </c>
      <c r="M171" s="19" t="s">
        <v>206</v>
      </c>
      <c r="N171" s="19" t="s">
        <v>206</v>
      </c>
      <c r="O171" s="19" t="s">
        <v>206</v>
      </c>
      <c r="P171" s="19" t="s">
        <v>206</v>
      </c>
      <c r="Q171" s="19" t="s">
        <v>206</v>
      </c>
      <c r="R171" s="13">
        <f t="shared" si="12"/>
        <v>0</v>
      </c>
      <c r="S171" s="5"/>
      <c r="T171" s="5"/>
    </row>
    <row r="172" ht="12.75" customHeight="1">
      <c r="A172" s="18"/>
      <c r="B172" s="49"/>
      <c r="C172" s="50" t="s">
        <v>149</v>
      </c>
      <c r="D172" s="51"/>
      <c r="E172" s="19" t="s">
        <v>206</v>
      </c>
      <c r="F172" s="19" t="s">
        <v>206</v>
      </c>
      <c r="G172" s="19" t="s">
        <v>206</v>
      </c>
      <c r="H172" s="19" t="s">
        <v>206</v>
      </c>
      <c r="I172" s="19" t="s">
        <v>206</v>
      </c>
      <c r="J172" s="19" t="s">
        <v>206</v>
      </c>
      <c r="K172" s="19" t="s">
        <v>206</v>
      </c>
      <c r="L172" s="19" t="s">
        <v>206</v>
      </c>
      <c r="M172" s="19" t="s">
        <v>206</v>
      </c>
      <c r="N172" s="19" t="s">
        <v>206</v>
      </c>
      <c r="O172" s="19" t="s">
        <v>206</v>
      </c>
      <c r="P172" s="19" t="s">
        <v>206</v>
      </c>
      <c r="Q172" s="19" t="s">
        <v>206</v>
      </c>
      <c r="R172" s="13">
        <f t="shared" si="12"/>
        <v>0</v>
      </c>
      <c r="S172" s="5"/>
      <c r="T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Q173" si="28">SUM(E166:E172)</f>
        <v>0</v>
      </c>
      <c r="F173" s="13">
        <f t="shared" si="28"/>
        <v>0</v>
      </c>
      <c r="G173" s="13">
        <f t="shared" si="28"/>
        <v>0</v>
      </c>
      <c r="H173" s="13">
        <f t="shared" si="28"/>
        <v>0</v>
      </c>
      <c r="I173" s="13">
        <f t="shared" si="28"/>
        <v>0</v>
      </c>
      <c r="J173" s="13">
        <f t="shared" si="28"/>
        <v>0</v>
      </c>
      <c r="K173" s="13">
        <f t="shared" si="28"/>
        <v>0</v>
      </c>
      <c r="L173" s="13">
        <f t="shared" si="28"/>
        <v>0</v>
      </c>
      <c r="M173" s="13">
        <f t="shared" si="28"/>
        <v>0</v>
      </c>
      <c r="N173" s="13">
        <f t="shared" si="28"/>
        <v>0</v>
      </c>
      <c r="O173" s="13">
        <f t="shared" si="28"/>
        <v>0</v>
      </c>
      <c r="P173" s="13">
        <f t="shared" si="28"/>
        <v>0</v>
      </c>
      <c r="Q173" s="13">
        <f t="shared" si="28"/>
        <v>0</v>
      </c>
      <c r="R173" s="13">
        <f t="shared" si="12"/>
        <v>0</v>
      </c>
      <c r="S173" s="5"/>
      <c r="T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13">
        <f t="shared" si="12"/>
        <v>0</v>
      </c>
      <c r="S174" s="5"/>
      <c r="T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19" t="s">
        <v>206</v>
      </c>
      <c r="F175" s="19" t="s">
        <v>216</v>
      </c>
      <c r="G175" s="19" t="s">
        <v>206</v>
      </c>
      <c r="H175" s="19" t="s">
        <v>206</v>
      </c>
      <c r="I175" s="19" t="s">
        <v>206</v>
      </c>
      <c r="J175" s="19" t="s">
        <v>206</v>
      </c>
      <c r="K175" s="19" t="s">
        <v>216</v>
      </c>
      <c r="L175" s="19" t="s">
        <v>206</v>
      </c>
      <c r="M175" s="19" t="s">
        <v>206</v>
      </c>
      <c r="N175" s="19" t="s">
        <v>206</v>
      </c>
      <c r="O175" s="19" t="s">
        <v>206</v>
      </c>
      <c r="P175" s="19" t="s">
        <v>206</v>
      </c>
      <c r="Q175" s="19" t="s">
        <v>206</v>
      </c>
      <c r="R175" s="13">
        <f t="shared" si="12"/>
        <v>0</v>
      </c>
      <c r="S175" s="5"/>
      <c r="T175" s="5"/>
    </row>
    <row r="176" ht="12.75" customHeight="1">
      <c r="A176" s="30" t="s">
        <v>39</v>
      </c>
      <c r="B176" s="49"/>
      <c r="C176" s="50" t="s">
        <v>152</v>
      </c>
      <c r="D176" s="51"/>
      <c r="E176" s="19" t="s">
        <v>216</v>
      </c>
      <c r="F176" s="19" t="s">
        <v>206</v>
      </c>
      <c r="G176" s="19" t="s">
        <v>216</v>
      </c>
      <c r="H176" s="19" t="s">
        <v>206</v>
      </c>
      <c r="I176" s="19" t="s">
        <v>206</v>
      </c>
      <c r="J176" s="19" t="s">
        <v>206</v>
      </c>
      <c r="K176" s="19" t="s">
        <v>216</v>
      </c>
      <c r="L176" s="19" t="s">
        <v>216</v>
      </c>
      <c r="M176" s="19" t="s">
        <v>206</v>
      </c>
      <c r="N176" s="19" t="s">
        <v>202</v>
      </c>
      <c r="O176" s="19" t="s">
        <v>206</v>
      </c>
      <c r="P176" s="19" t="s">
        <v>206</v>
      </c>
      <c r="Q176" s="19" t="s">
        <v>206</v>
      </c>
      <c r="R176" s="13">
        <f t="shared" si="12"/>
        <v>0</v>
      </c>
      <c r="S176" s="1"/>
      <c r="T176" s="1"/>
    </row>
    <row r="177" ht="12.75" customHeight="1">
      <c r="A177" s="18"/>
      <c r="B177" s="49"/>
      <c r="C177" s="50" t="s">
        <v>153</v>
      </c>
      <c r="D177" s="51"/>
      <c r="E177" s="19" t="s">
        <v>206</v>
      </c>
      <c r="F177" s="19" t="s">
        <v>206</v>
      </c>
      <c r="G177" s="19" t="s">
        <v>206</v>
      </c>
      <c r="H177" s="19" t="s">
        <v>206</v>
      </c>
      <c r="I177" s="19" t="s">
        <v>206</v>
      </c>
      <c r="J177" s="19" t="s">
        <v>206</v>
      </c>
      <c r="K177" s="19" t="s">
        <v>216</v>
      </c>
      <c r="L177" s="19" t="s">
        <v>213</v>
      </c>
      <c r="M177" s="19" t="s">
        <v>220</v>
      </c>
      <c r="N177" s="19" t="s">
        <v>201</v>
      </c>
      <c r="O177" s="19" t="s">
        <v>206</v>
      </c>
      <c r="P177" s="19" t="s">
        <v>206</v>
      </c>
      <c r="Q177" s="19" t="s">
        <v>206</v>
      </c>
      <c r="R177" s="13">
        <f t="shared" si="12"/>
        <v>0</v>
      </c>
    </row>
    <row r="178" ht="12.75" customHeight="1">
      <c r="A178" s="18"/>
      <c r="B178" s="49"/>
      <c r="C178" s="50" t="s">
        <v>154</v>
      </c>
      <c r="D178" s="51"/>
      <c r="E178" s="19" t="s">
        <v>206</v>
      </c>
      <c r="F178" s="19" t="s">
        <v>206</v>
      </c>
      <c r="G178" s="19" t="s">
        <v>206</v>
      </c>
      <c r="H178" s="19" t="s">
        <v>206</v>
      </c>
      <c r="I178" s="19" t="s">
        <v>206</v>
      </c>
      <c r="J178" s="19" t="s">
        <v>206</v>
      </c>
      <c r="K178" s="19" t="s">
        <v>206</v>
      </c>
      <c r="L178" s="19" t="s">
        <v>206</v>
      </c>
      <c r="M178" s="19" t="s">
        <v>206</v>
      </c>
      <c r="N178" s="19" t="s">
        <v>206</v>
      </c>
      <c r="O178" s="19" t="s">
        <v>206</v>
      </c>
      <c r="P178" s="19" t="s">
        <v>206</v>
      </c>
      <c r="Q178" s="19" t="s">
        <v>206</v>
      </c>
      <c r="R178" s="13">
        <f t="shared" si="12"/>
        <v>0</v>
      </c>
      <c r="S178" s="5"/>
      <c r="T178" s="5"/>
    </row>
    <row r="179" ht="12.75" customHeight="1">
      <c r="A179" s="18"/>
      <c r="B179" s="49"/>
      <c r="C179" s="50" t="s">
        <v>155</v>
      </c>
      <c r="D179" s="51"/>
      <c r="E179" s="19" t="s">
        <v>206</v>
      </c>
      <c r="F179" s="19" t="s">
        <v>206</v>
      </c>
      <c r="G179" s="19" t="s">
        <v>206</v>
      </c>
      <c r="H179" s="19" t="s">
        <v>206</v>
      </c>
      <c r="I179" s="19" t="s">
        <v>206</v>
      </c>
      <c r="J179" s="19" t="s">
        <v>206</v>
      </c>
      <c r="K179" s="19" t="s">
        <v>206</v>
      </c>
      <c r="L179" s="19" t="s">
        <v>206</v>
      </c>
      <c r="M179" s="19" t="s">
        <v>206</v>
      </c>
      <c r="N179" s="19" t="s">
        <v>206</v>
      </c>
      <c r="O179" s="19" t="s">
        <v>206</v>
      </c>
      <c r="P179" s="19" t="s">
        <v>206</v>
      </c>
      <c r="Q179" s="19" t="s">
        <v>206</v>
      </c>
      <c r="R179" s="13">
        <f t="shared" si="12"/>
        <v>0</v>
      </c>
      <c r="S179" s="5"/>
      <c r="T179" s="5"/>
    </row>
    <row r="180" ht="12.75" customHeight="1">
      <c r="A180" s="18"/>
      <c r="B180" s="49"/>
      <c r="C180" s="50" t="s">
        <v>156</v>
      </c>
      <c r="D180" s="51"/>
      <c r="E180" s="19" t="s">
        <v>206</v>
      </c>
      <c r="F180" s="19" t="s">
        <v>206</v>
      </c>
      <c r="G180" s="19" t="s">
        <v>206</v>
      </c>
      <c r="H180" s="19" t="s">
        <v>206</v>
      </c>
      <c r="I180" s="19" t="s">
        <v>206</v>
      </c>
      <c r="J180" s="19" t="s">
        <v>206</v>
      </c>
      <c r="K180" s="19" t="s">
        <v>216</v>
      </c>
      <c r="L180" s="19" t="s">
        <v>216</v>
      </c>
      <c r="M180" s="19" t="s">
        <v>206</v>
      </c>
      <c r="N180" s="19" t="s">
        <v>206</v>
      </c>
      <c r="O180" s="19" t="s">
        <v>206</v>
      </c>
      <c r="P180" s="19" t="s">
        <v>206</v>
      </c>
      <c r="Q180" s="19" t="s">
        <v>206</v>
      </c>
      <c r="R180" s="13">
        <f t="shared" si="12"/>
        <v>0</v>
      </c>
      <c r="S180" s="5"/>
      <c r="T180" s="5"/>
    </row>
    <row r="181" ht="12.75" customHeight="1">
      <c r="A181" s="18"/>
      <c r="B181" s="49"/>
      <c r="C181" s="50" t="s">
        <v>157</v>
      </c>
      <c r="D181" s="51"/>
      <c r="E181" s="19" t="s">
        <v>206</v>
      </c>
      <c r="F181" s="19" t="s">
        <v>206</v>
      </c>
      <c r="G181" s="19" t="s">
        <v>206</v>
      </c>
      <c r="H181" s="19" t="s">
        <v>216</v>
      </c>
      <c r="I181" s="19" t="s">
        <v>206</v>
      </c>
      <c r="J181" s="19" t="s">
        <v>206</v>
      </c>
      <c r="K181" s="19" t="s">
        <v>206</v>
      </c>
      <c r="L181" s="19" t="s">
        <v>206</v>
      </c>
      <c r="M181" s="19" t="s">
        <v>206</v>
      </c>
      <c r="N181" s="19" t="s">
        <v>206</v>
      </c>
      <c r="O181" s="19" t="s">
        <v>206</v>
      </c>
      <c r="P181" s="19" t="s">
        <v>206</v>
      </c>
      <c r="Q181" s="19" t="s">
        <v>206</v>
      </c>
      <c r="R181" s="13">
        <f t="shared" si="12"/>
        <v>0</v>
      </c>
      <c r="S181" s="5"/>
      <c r="T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Q182" si="29">SUM(E175:E181)</f>
        <v>0</v>
      </c>
      <c r="F182" s="13">
        <f t="shared" si="29"/>
        <v>0</v>
      </c>
      <c r="G182" s="13">
        <f t="shared" si="29"/>
        <v>0</v>
      </c>
      <c r="H182" s="13">
        <f t="shared" si="29"/>
        <v>0</v>
      </c>
      <c r="I182" s="13">
        <f t="shared" si="29"/>
        <v>0</v>
      </c>
      <c r="J182" s="13">
        <f t="shared" si="29"/>
        <v>0</v>
      </c>
      <c r="K182" s="13">
        <f t="shared" si="29"/>
        <v>0</v>
      </c>
      <c r="L182" s="13">
        <f t="shared" si="29"/>
        <v>0</v>
      </c>
      <c r="M182" s="13">
        <f t="shared" si="29"/>
        <v>0</v>
      </c>
      <c r="N182" s="13">
        <f t="shared" si="29"/>
        <v>0</v>
      </c>
      <c r="O182" s="13">
        <f t="shared" si="29"/>
        <v>0</v>
      </c>
      <c r="P182" s="13">
        <f t="shared" si="29"/>
        <v>0</v>
      </c>
      <c r="Q182" s="13">
        <f t="shared" si="29"/>
        <v>0</v>
      </c>
      <c r="R182" s="13">
        <f t="shared" si="12"/>
        <v>0</v>
      </c>
      <c r="S182" s="5"/>
      <c r="T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13">
        <f t="shared" si="12"/>
        <v>0</v>
      </c>
      <c r="S183" s="5"/>
      <c r="T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19" t="s">
        <v>206</v>
      </c>
      <c r="F184" s="19" t="s">
        <v>206</v>
      </c>
      <c r="G184" s="19" t="s">
        <v>206</v>
      </c>
      <c r="H184" s="19" t="s">
        <v>206</v>
      </c>
      <c r="I184" s="19" t="s">
        <v>206</v>
      </c>
      <c r="J184" s="19" t="s">
        <v>206</v>
      </c>
      <c r="K184" s="19" t="s">
        <v>216</v>
      </c>
      <c r="L184" s="19" t="s">
        <v>206</v>
      </c>
      <c r="M184" s="19" t="s">
        <v>206</v>
      </c>
      <c r="N184" s="19" t="s">
        <v>206</v>
      </c>
      <c r="O184" s="19" t="s">
        <v>206</v>
      </c>
      <c r="P184" s="19" t="s">
        <v>206</v>
      </c>
      <c r="Q184" s="19" t="s">
        <v>206</v>
      </c>
      <c r="R184" s="13">
        <f t="shared" si="12"/>
        <v>0</v>
      </c>
      <c r="S184" s="5"/>
      <c r="T184" s="5"/>
    </row>
    <row r="185" ht="12.75" customHeight="1">
      <c r="A185" s="30" t="s">
        <v>39</v>
      </c>
      <c r="B185" s="49"/>
      <c r="C185" s="50" t="s">
        <v>160</v>
      </c>
      <c r="D185" s="51"/>
      <c r="E185" s="19" t="s">
        <v>206</v>
      </c>
      <c r="F185" s="19" t="s">
        <v>206</v>
      </c>
      <c r="G185" s="19" t="s">
        <v>206</v>
      </c>
      <c r="H185" s="19" t="s">
        <v>206</v>
      </c>
      <c r="I185" s="19" t="s">
        <v>202</v>
      </c>
      <c r="J185" s="19" t="s">
        <v>206</v>
      </c>
      <c r="K185" s="19" t="s">
        <v>216</v>
      </c>
      <c r="L185" s="19" t="s">
        <v>206</v>
      </c>
      <c r="M185" s="19" t="s">
        <v>201</v>
      </c>
      <c r="N185" s="19" t="s">
        <v>205</v>
      </c>
      <c r="O185" s="19" t="s">
        <v>206</v>
      </c>
      <c r="P185" s="19" t="s">
        <v>206</v>
      </c>
      <c r="Q185" s="19" t="s">
        <v>206</v>
      </c>
      <c r="R185" s="13">
        <f t="shared" si="12"/>
        <v>0</v>
      </c>
      <c r="S185" s="5"/>
      <c r="T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3">
        <f t="shared" si="12"/>
        <v>0</v>
      </c>
      <c r="S186" s="5"/>
      <c r="T186" s="5"/>
    </row>
    <row r="187" ht="12.75" customHeight="1">
      <c r="A187" s="24"/>
      <c r="B187" s="15"/>
      <c r="C187" s="15"/>
      <c r="D187" s="16"/>
      <c r="E187" s="13">
        <f t="shared" ref="E187:Q187" si="30">SUM(E177:E184)</f>
        <v>0</v>
      </c>
      <c r="F187" s="13">
        <f t="shared" si="30"/>
        <v>0</v>
      </c>
      <c r="G187" s="13">
        <f t="shared" si="30"/>
        <v>0</v>
      </c>
      <c r="H187" s="13">
        <f t="shared" si="30"/>
        <v>0</v>
      </c>
      <c r="I187" s="13">
        <f t="shared" si="30"/>
        <v>0</v>
      </c>
      <c r="J187" s="13">
        <f t="shared" si="30"/>
        <v>0</v>
      </c>
      <c r="K187" s="13">
        <f t="shared" si="30"/>
        <v>0</v>
      </c>
      <c r="L187" s="13">
        <f t="shared" si="30"/>
        <v>0</v>
      </c>
      <c r="M187" s="13">
        <f t="shared" si="30"/>
        <v>0</v>
      </c>
      <c r="N187" s="13">
        <f t="shared" si="30"/>
        <v>0</v>
      </c>
      <c r="O187" s="13">
        <f t="shared" si="30"/>
        <v>0</v>
      </c>
      <c r="P187" s="13">
        <f t="shared" si="30"/>
        <v>0</v>
      </c>
      <c r="Q187" s="13">
        <f t="shared" si="30"/>
        <v>0</v>
      </c>
      <c r="R187" s="13">
        <f t="shared" si="12"/>
        <v>0</v>
      </c>
      <c r="S187" s="1"/>
      <c r="T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13">
        <f t="shared" si="12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13">
        <f t="shared" si="12"/>
        <v>0</v>
      </c>
      <c r="S189" s="5"/>
      <c r="T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Q190" si="31">E187+E182+E173+E164+E159+E150+E141+E132+E128+E119+E110+E101+E92+E88+E79+E70+E61+E52</f>
        <v>5</v>
      </c>
      <c r="F190" s="19">
        <f t="shared" si="31"/>
        <v>5</v>
      </c>
      <c r="G190" s="19">
        <f t="shared" si="31"/>
        <v>8</v>
      </c>
      <c r="H190" s="19">
        <f t="shared" si="31"/>
        <v>4</v>
      </c>
      <c r="I190" s="19">
        <f t="shared" si="31"/>
        <v>37</v>
      </c>
      <c r="J190" s="19">
        <f t="shared" si="31"/>
        <v>6</v>
      </c>
      <c r="K190" s="19">
        <f t="shared" si="31"/>
        <v>25</v>
      </c>
      <c r="L190" s="19">
        <f t="shared" si="31"/>
        <v>17</v>
      </c>
      <c r="M190" s="19">
        <f t="shared" si="31"/>
        <v>16</v>
      </c>
      <c r="N190" s="19">
        <f t="shared" si="31"/>
        <v>37</v>
      </c>
      <c r="O190" s="19">
        <f t="shared" si="31"/>
        <v>8</v>
      </c>
      <c r="P190" s="19">
        <f t="shared" si="31"/>
        <v>0</v>
      </c>
      <c r="Q190" s="19">
        <f t="shared" si="31"/>
        <v>0</v>
      </c>
      <c r="R190" s="13">
        <f t="shared" si="12"/>
        <v>168</v>
      </c>
      <c r="S190" s="5"/>
      <c r="T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7.0</v>
      </c>
      <c r="F191" s="66">
        <v>6.0</v>
      </c>
      <c r="G191" s="66">
        <v>7.0</v>
      </c>
      <c r="H191" s="66">
        <v>12.0</v>
      </c>
      <c r="I191" s="66">
        <v>9.0</v>
      </c>
      <c r="J191" s="66">
        <v>10.0</v>
      </c>
      <c r="K191" s="66">
        <v>12.0</v>
      </c>
      <c r="L191" s="66">
        <v>32.0</v>
      </c>
      <c r="M191" s="66">
        <v>22.0</v>
      </c>
      <c r="N191" s="66">
        <v>9.0</v>
      </c>
      <c r="O191" s="66">
        <v>12.0</v>
      </c>
      <c r="P191" s="66">
        <v>0.0</v>
      </c>
      <c r="Q191" s="66">
        <v>0.0</v>
      </c>
      <c r="R191" s="13">
        <f t="shared" si="12"/>
        <v>138</v>
      </c>
      <c r="S191" s="5"/>
      <c r="T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Q192" si="32">E190+E191</f>
        <v>12</v>
      </c>
      <c r="F192" s="19">
        <f t="shared" si="32"/>
        <v>11</v>
      </c>
      <c r="G192" s="19">
        <f t="shared" si="32"/>
        <v>15</v>
      </c>
      <c r="H192" s="19">
        <f t="shared" si="32"/>
        <v>16</v>
      </c>
      <c r="I192" s="19">
        <f t="shared" si="32"/>
        <v>46</v>
      </c>
      <c r="J192" s="19">
        <f t="shared" si="32"/>
        <v>16</v>
      </c>
      <c r="K192" s="19">
        <f t="shared" si="32"/>
        <v>37</v>
      </c>
      <c r="L192" s="19">
        <f t="shared" si="32"/>
        <v>49</v>
      </c>
      <c r="M192" s="19">
        <f t="shared" si="32"/>
        <v>38</v>
      </c>
      <c r="N192" s="19">
        <f t="shared" si="32"/>
        <v>46</v>
      </c>
      <c r="O192" s="19">
        <f t="shared" si="32"/>
        <v>20</v>
      </c>
      <c r="P192" s="19">
        <f t="shared" si="32"/>
        <v>0</v>
      </c>
      <c r="Q192" s="19">
        <f t="shared" si="32"/>
        <v>0</v>
      </c>
      <c r="R192" s="13">
        <f t="shared" si="12"/>
        <v>306</v>
      </c>
      <c r="S192" s="5"/>
      <c r="T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Q12"/>
    <mergeCell ref="R12:R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14:Q15">
    <cfRule type="containsBlanks" dxfId="0" priority="1">
      <formula>LEN(TRIM(E14))=0</formula>
    </cfRule>
  </conditionalFormatting>
  <conditionalFormatting sqref="E19:Q20">
    <cfRule type="containsBlanks" dxfId="0" priority="2">
      <formula>LEN(TRIM(E19))=0</formula>
    </cfRule>
  </conditionalFormatting>
  <conditionalFormatting sqref="E22:Q23 E25:Q26 E33:Q33 E35:Q35 E39:Q40">
    <cfRule type="containsBlanks" dxfId="0" priority="3">
      <formula>LEN(TRIM(E22))=0</formula>
    </cfRule>
  </conditionalFormatting>
  <conditionalFormatting sqref="E30:Q30">
    <cfRule type="expression" dxfId="1" priority="4">
      <formula>E30&lt;&gt;E47</formula>
    </cfRule>
  </conditionalFormatting>
  <conditionalFormatting sqref="E30:Q30">
    <cfRule type="expression" dxfId="1" priority="5">
      <formula>E30&lt;&gt;E34</formula>
    </cfRule>
  </conditionalFormatting>
  <conditionalFormatting sqref="E34:Q34">
    <cfRule type="expression" dxfId="2" priority="6">
      <formula>E30&lt;&gt;E34</formula>
    </cfRule>
  </conditionalFormatting>
  <conditionalFormatting sqref="E34:Q34">
    <cfRule type="expression" dxfId="3" priority="7">
      <formula>E30=E34</formula>
    </cfRule>
  </conditionalFormatting>
  <conditionalFormatting sqref="E34:Q34">
    <cfRule type="expression" dxfId="1" priority="8">
      <formula>E34&lt;&gt;E30</formula>
    </cfRule>
  </conditionalFormatting>
  <conditionalFormatting sqref="E34:Q34">
    <cfRule type="expression" dxfId="1" priority="9">
      <formula>E34&lt;&gt;E64</formula>
    </cfRule>
  </conditionalFormatting>
  <conditionalFormatting sqref="E45:Q52 E54:Q61">
    <cfRule type="containsBlanks" dxfId="0" priority="10">
      <formula>LEN(TRIM(E45))=0</formula>
    </cfRule>
  </conditionalFormatting>
  <conditionalFormatting sqref="E90:Q90">
    <cfRule type="containsBlanks" dxfId="0" priority="11">
      <formula>LEN(TRIM(E90))=0</formula>
    </cfRule>
  </conditionalFormatting>
  <conditionalFormatting sqref="E130:Q132">
    <cfRule type="containsBlanks" dxfId="0" priority="12">
      <formula>LEN(TRIM(E130))=0</formula>
    </cfRule>
  </conditionalFormatting>
  <conditionalFormatting sqref="E161:Q162">
    <cfRule type="containsBlanks" dxfId="0" priority="13">
      <formula>LEN(TRIM(E161))=0</formula>
    </cfRule>
  </conditionalFormatting>
  <conditionalFormatting sqref="E184:Q186">
    <cfRule type="containsBlanks" dxfId="0" priority="14">
      <formula>LEN(TRIM(E184))=0</formula>
    </cfRule>
  </conditionalFormatting>
  <conditionalFormatting sqref="E190:Q192">
    <cfRule type="containsBlanks" dxfId="0" priority="15">
      <formula>LEN(TRIM(E190))=0</formula>
    </cfRule>
  </conditionalFormatting>
  <conditionalFormatting sqref="E63:Q70">
    <cfRule type="containsBlanks" dxfId="0" priority="16">
      <formula>LEN(TRIM(E63))=0</formula>
    </cfRule>
  </conditionalFormatting>
  <conditionalFormatting sqref="E72:Q79">
    <cfRule type="containsBlanks" dxfId="0" priority="17">
      <formula>LEN(TRIM(E72))=0</formula>
    </cfRule>
  </conditionalFormatting>
  <conditionalFormatting sqref="E81:Q88">
    <cfRule type="containsBlanks" dxfId="0" priority="18">
      <formula>LEN(TRIM(E81))=0</formula>
    </cfRule>
  </conditionalFormatting>
  <conditionalFormatting sqref="E94:Q101">
    <cfRule type="containsBlanks" dxfId="0" priority="19">
      <formula>LEN(TRIM(E94))=0</formula>
    </cfRule>
  </conditionalFormatting>
  <conditionalFormatting sqref="E103:Q110">
    <cfRule type="containsBlanks" dxfId="0" priority="20">
      <formula>LEN(TRIM(E103))=0</formula>
    </cfRule>
  </conditionalFormatting>
  <conditionalFormatting sqref="E112:Q119">
    <cfRule type="containsBlanks" dxfId="0" priority="21">
      <formula>LEN(TRIM(E112))=0</formula>
    </cfRule>
  </conditionalFormatting>
  <conditionalFormatting sqref="E121:Q128">
    <cfRule type="containsBlanks" dxfId="0" priority="22">
      <formula>LEN(TRIM(E121))=0</formula>
    </cfRule>
  </conditionalFormatting>
  <conditionalFormatting sqref="E134:Q141">
    <cfRule type="containsBlanks" dxfId="0" priority="23">
      <formula>LEN(TRIM(E134))=0</formula>
    </cfRule>
  </conditionalFormatting>
  <conditionalFormatting sqref="E143:Q150">
    <cfRule type="containsBlanks" dxfId="0" priority="24">
      <formula>LEN(TRIM(E143))=0</formula>
    </cfRule>
  </conditionalFormatting>
  <conditionalFormatting sqref="E152:Q159">
    <cfRule type="containsBlanks" dxfId="0" priority="25">
      <formula>LEN(TRIM(E152))=0</formula>
    </cfRule>
  </conditionalFormatting>
  <conditionalFormatting sqref="E166:Q173">
    <cfRule type="containsBlanks" dxfId="0" priority="26">
      <formula>LEN(TRIM(E166))=0</formula>
    </cfRule>
  </conditionalFormatting>
  <conditionalFormatting sqref="E175:Q182">
    <cfRule type="containsBlanks" dxfId="0" priority="27">
      <formula>LEN(TRIM(E175))=0</formula>
    </cfRule>
  </conditionalFormatting>
  <conditionalFormatting sqref="E91:Q91">
    <cfRule type="containsBlanks" dxfId="0" priority="28">
      <formula>LEN(TRIM(E91))=0</formula>
    </cfRule>
  </conditionalFormatting>
  <conditionalFormatting sqref="E163:Q163">
    <cfRule type="containsBlanks" dxfId="0" priority="29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12" width="8.71"/>
    <col customWidth="1" min="13" max="13" width="13.29"/>
    <col customWidth="1" min="14" max="26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240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36"/>
    </row>
    <row r="14" ht="12.75" customHeight="1">
      <c r="A14" s="18"/>
      <c r="B14" s="22" t="s">
        <v>11</v>
      </c>
      <c r="C14" s="23"/>
      <c r="D14" s="19" t="s">
        <v>12</v>
      </c>
      <c r="E14" s="82">
        <v>143.0</v>
      </c>
      <c r="F14" s="82">
        <v>142.0</v>
      </c>
      <c r="G14" s="82">
        <v>147.0</v>
      </c>
      <c r="H14" s="82">
        <v>115.0</v>
      </c>
      <c r="I14" s="82">
        <v>127.0</v>
      </c>
      <c r="J14" s="82">
        <v>132.0</v>
      </c>
      <c r="K14" s="82">
        <v>135.0</v>
      </c>
      <c r="L14" s="82">
        <v>139.0</v>
      </c>
      <c r="M14" s="13">
        <f t="shared" ref="M14:M16" si="1">SUM(E14:L14)</f>
        <v>1080</v>
      </c>
    </row>
    <row r="15" ht="12.75" customHeight="1">
      <c r="A15" s="18"/>
      <c r="B15" s="26"/>
      <c r="C15" s="27"/>
      <c r="D15" s="19" t="s">
        <v>13</v>
      </c>
      <c r="E15" s="82">
        <v>147.0</v>
      </c>
      <c r="F15" s="82">
        <v>139.0</v>
      </c>
      <c r="G15" s="82">
        <v>121.0</v>
      </c>
      <c r="H15" s="82">
        <v>123.0</v>
      </c>
      <c r="I15" s="82">
        <v>130.0</v>
      </c>
      <c r="J15" s="82">
        <v>136.0</v>
      </c>
      <c r="K15" s="82">
        <v>141.0</v>
      </c>
      <c r="L15" s="82">
        <v>148.0</v>
      </c>
      <c r="M15" s="13">
        <f t="shared" si="1"/>
        <v>1085</v>
      </c>
    </row>
    <row r="16" ht="12.75" customHeight="1">
      <c r="A16" s="25"/>
      <c r="B16" s="21"/>
      <c r="C16" s="28"/>
      <c r="D16" s="13" t="s">
        <v>14</v>
      </c>
      <c r="E16" s="83">
        <f t="shared" ref="E16:L16" si="2">SUM(E14:E15)</f>
        <v>290</v>
      </c>
      <c r="F16" s="83">
        <f t="shared" si="2"/>
        <v>281</v>
      </c>
      <c r="G16" s="83">
        <f t="shared" si="2"/>
        <v>268</v>
      </c>
      <c r="H16" s="83">
        <f t="shared" si="2"/>
        <v>238</v>
      </c>
      <c r="I16" s="83">
        <f t="shared" si="2"/>
        <v>257</v>
      </c>
      <c r="J16" s="83">
        <f t="shared" si="2"/>
        <v>268</v>
      </c>
      <c r="K16" s="83">
        <f t="shared" si="2"/>
        <v>276</v>
      </c>
      <c r="L16" s="83">
        <f t="shared" si="2"/>
        <v>287</v>
      </c>
      <c r="M16" s="13">
        <f t="shared" si="1"/>
        <v>2165</v>
      </c>
    </row>
    <row r="17" ht="12.75" customHeight="1">
      <c r="A17" s="24"/>
      <c r="B17" s="15"/>
      <c r="C17" s="15"/>
      <c r="D17" s="16"/>
      <c r="E17" s="84"/>
      <c r="F17" s="84"/>
      <c r="G17" s="84"/>
      <c r="H17" s="84"/>
      <c r="I17" s="84"/>
      <c r="J17" s="84"/>
      <c r="K17" s="84"/>
      <c r="L17" s="84"/>
      <c r="M17" s="68"/>
    </row>
    <row r="18" ht="12.75" customHeight="1">
      <c r="A18" s="30" t="s">
        <v>15</v>
      </c>
      <c r="B18" s="20" t="s">
        <v>16</v>
      </c>
      <c r="C18" s="15"/>
      <c r="D18" s="16"/>
      <c r="E18" s="84"/>
      <c r="F18" s="84"/>
      <c r="G18" s="84"/>
      <c r="H18" s="84"/>
      <c r="I18" s="84"/>
      <c r="J18" s="84"/>
      <c r="K18" s="84"/>
      <c r="L18" s="84"/>
      <c r="M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82">
        <v>117.0</v>
      </c>
      <c r="F19" s="82">
        <v>103.0</v>
      </c>
      <c r="G19" s="82">
        <v>125.0</v>
      </c>
      <c r="H19" s="82">
        <v>102.0</v>
      </c>
      <c r="I19" s="82">
        <v>110.0</v>
      </c>
      <c r="J19" s="82">
        <v>119.0</v>
      </c>
      <c r="K19" s="82">
        <v>109.0</v>
      </c>
      <c r="L19" s="82">
        <v>115.0</v>
      </c>
      <c r="M19" s="13">
        <f t="shared" ref="M19:M30" si="3">SUM(E19:L19)</f>
        <v>900</v>
      </c>
    </row>
    <row r="20" ht="12.75" customHeight="1">
      <c r="A20" s="33"/>
      <c r="B20" s="27"/>
      <c r="C20" s="34"/>
      <c r="D20" s="19" t="s">
        <v>13</v>
      </c>
      <c r="E20" s="82">
        <v>123.0</v>
      </c>
      <c r="F20" s="82">
        <v>111.0</v>
      </c>
      <c r="G20" s="82">
        <v>108.0</v>
      </c>
      <c r="H20" s="82">
        <v>102.0</v>
      </c>
      <c r="I20" s="82">
        <v>117.0</v>
      </c>
      <c r="J20" s="82">
        <v>99.0</v>
      </c>
      <c r="K20" s="82">
        <v>119.0</v>
      </c>
      <c r="L20" s="82">
        <v>127.0</v>
      </c>
      <c r="M20" s="13">
        <f t="shared" si="3"/>
        <v>906</v>
      </c>
    </row>
    <row r="21" ht="12.75" customHeight="1">
      <c r="A21" s="35"/>
      <c r="B21" s="28"/>
      <c r="C21" s="36"/>
      <c r="D21" s="13" t="s">
        <v>14</v>
      </c>
      <c r="E21" s="83">
        <f t="shared" ref="E21:L21" si="4">SUM(E19:E20)</f>
        <v>240</v>
      </c>
      <c r="F21" s="83">
        <f t="shared" si="4"/>
        <v>214</v>
      </c>
      <c r="G21" s="83">
        <f t="shared" si="4"/>
        <v>233</v>
      </c>
      <c r="H21" s="83">
        <f t="shared" si="4"/>
        <v>204</v>
      </c>
      <c r="I21" s="83">
        <f t="shared" si="4"/>
        <v>227</v>
      </c>
      <c r="J21" s="83">
        <f t="shared" si="4"/>
        <v>218</v>
      </c>
      <c r="K21" s="83">
        <f t="shared" si="4"/>
        <v>228</v>
      </c>
      <c r="L21" s="83">
        <f t="shared" si="4"/>
        <v>242</v>
      </c>
      <c r="M21" s="13">
        <f t="shared" si="3"/>
        <v>1806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82">
        <v>0.0</v>
      </c>
      <c r="F22" s="82">
        <v>1.0</v>
      </c>
      <c r="G22" s="82">
        <v>0.0</v>
      </c>
      <c r="H22" s="82">
        <v>0.0</v>
      </c>
      <c r="I22" s="82">
        <v>0.0</v>
      </c>
      <c r="J22" s="82">
        <v>1.0</v>
      </c>
      <c r="K22" s="82">
        <v>1.0</v>
      </c>
      <c r="L22" s="85">
        <v>0.0</v>
      </c>
      <c r="M22" s="13">
        <f t="shared" si="3"/>
        <v>3</v>
      </c>
    </row>
    <row r="23" ht="12.75" customHeight="1">
      <c r="A23" s="33"/>
      <c r="B23" s="27"/>
      <c r="C23" s="34"/>
      <c r="D23" s="19" t="s">
        <v>13</v>
      </c>
      <c r="E23" s="82">
        <v>0.0</v>
      </c>
      <c r="F23" s="82">
        <v>1.0</v>
      </c>
      <c r="G23" s="82">
        <v>1.0</v>
      </c>
      <c r="H23" s="82">
        <v>0.0</v>
      </c>
      <c r="I23" s="82">
        <v>0.0</v>
      </c>
      <c r="J23" s="82">
        <v>0.0</v>
      </c>
      <c r="K23" s="82">
        <v>1.0</v>
      </c>
      <c r="L23" s="85">
        <v>0.0</v>
      </c>
      <c r="M23" s="13">
        <f t="shared" si="3"/>
        <v>3</v>
      </c>
    </row>
    <row r="24" ht="12.75" customHeight="1">
      <c r="A24" s="35"/>
      <c r="B24" s="28"/>
      <c r="C24" s="36"/>
      <c r="D24" s="13" t="s">
        <v>14</v>
      </c>
      <c r="E24" s="83">
        <f t="shared" ref="E24:L24" si="5">SUM(E22:E23)</f>
        <v>0</v>
      </c>
      <c r="F24" s="83">
        <f t="shared" si="5"/>
        <v>2</v>
      </c>
      <c r="G24" s="83">
        <f t="shared" si="5"/>
        <v>1</v>
      </c>
      <c r="H24" s="83">
        <f t="shared" si="5"/>
        <v>0</v>
      </c>
      <c r="I24" s="83">
        <f t="shared" si="5"/>
        <v>0</v>
      </c>
      <c r="J24" s="83">
        <f t="shared" si="5"/>
        <v>1</v>
      </c>
      <c r="K24" s="83">
        <f t="shared" si="5"/>
        <v>2</v>
      </c>
      <c r="L24" s="83">
        <f t="shared" si="5"/>
        <v>0</v>
      </c>
      <c r="M24" s="13">
        <f t="shared" si="3"/>
        <v>6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82">
        <v>0.0</v>
      </c>
      <c r="F25" s="82">
        <v>1.0</v>
      </c>
      <c r="G25" s="82">
        <v>0.0</v>
      </c>
      <c r="H25" s="82">
        <v>0.0</v>
      </c>
      <c r="I25" s="82">
        <v>0.0</v>
      </c>
      <c r="J25" s="82">
        <v>0.0</v>
      </c>
      <c r="K25" s="82">
        <v>0.0</v>
      </c>
      <c r="L25" s="82">
        <v>0.0</v>
      </c>
      <c r="M25" s="13">
        <f t="shared" si="3"/>
        <v>1</v>
      </c>
    </row>
    <row r="26" ht="12.75" customHeight="1">
      <c r="A26" s="33"/>
      <c r="B26" s="27"/>
      <c r="C26" s="34"/>
      <c r="D26" s="19" t="s">
        <v>13</v>
      </c>
      <c r="E26" s="82">
        <v>0.0</v>
      </c>
      <c r="F26" s="82">
        <v>2.0</v>
      </c>
      <c r="G26" s="82">
        <v>0.0</v>
      </c>
      <c r="H26" s="82">
        <v>0.0</v>
      </c>
      <c r="I26" s="82">
        <v>0.0</v>
      </c>
      <c r="J26" s="85">
        <v>1.0</v>
      </c>
      <c r="K26" s="82">
        <v>0.0</v>
      </c>
      <c r="L26" s="82">
        <v>0.0</v>
      </c>
      <c r="M26" s="13">
        <f t="shared" si="3"/>
        <v>3</v>
      </c>
    </row>
    <row r="27" ht="12.75" customHeight="1">
      <c r="A27" s="35"/>
      <c r="B27" s="28"/>
      <c r="C27" s="36"/>
      <c r="D27" s="13" t="s">
        <v>14</v>
      </c>
      <c r="E27" s="83">
        <f t="shared" ref="E27:L27" si="6">SUM(E25:E26)</f>
        <v>0</v>
      </c>
      <c r="F27" s="83">
        <f t="shared" si="6"/>
        <v>3</v>
      </c>
      <c r="G27" s="83">
        <f t="shared" si="6"/>
        <v>0</v>
      </c>
      <c r="H27" s="83">
        <f t="shared" si="6"/>
        <v>0</v>
      </c>
      <c r="I27" s="83">
        <f t="shared" si="6"/>
        <v>0</v>
      </c>
      <c r="J27" s="83">
        <f t="shared" si="6"/>
        <v>1</v>
      </c>
      <c r="K27" s="83">
        <f t="shared" si="6"/>
        <v>0</v>
      </c>
      <c r="L27" s="83">
        <f t="shared" si="6"/>
        <v>0</v>
      </c>
      <c r="M27" s="13">
        <f t="shared" si="3"/>
        <v>4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88">
        <v>117.0</v>
      </c>
      <c r="F28" s="88">
        <v>105.0</v>
      </c>
      <c r="G28" s="88">
        <v>125.0</v>
      </c>
      <c r="H28" s="88">
        <v>102.0</v>
      </c>
      <c r="I28" s="88">
        <v>110.0</v>
      </c>
      <c r="J28" s="88">
        <v>120.0</v>
      </c>
      <c r="K28" s="88">
        <v>110.0</v>
      </c>
      <c r="L28" s="88">
        <v>115.0</v>
      </c>
      <c r="M28" s="13">
        <f t="shared" si="3"/>
        <v>904</v>
      </c>
    </row>
    <row r="29" ht="12.75" customHeight="1">
      <c r="A29" s="35"/>
      <c r="B29" s="27"/>
      <c r="C29" s="34"/>
      <c r="D29" s="13" t="s">
        <v>13</v>
      </c>
      <c r="E29" s="88">
        <v>123.0</v>
      </c>
      <c r="F29" s="88">
        <v>114.0</v>
      </c>
      <c r="G29" s="88">
        <v>109.0</v>
      </c>
      <c r="H29" s="88">
        <v>102.0</v>
      </c>
      <c r="I29" s="88">
        <v>117.0</v>
      </c>
      <c r="J29" s="88">
        <v>100.0</v>
      </c>
      <c r="K29" s="88">
        <v>120.0</v>
      </c>
      <c r="L29" s="88">
        <v>127.0</v>
      </c>
      <c r="M29" s="13">
        <f t="shared" si="3"/>
        <v>912</v>
      </c>
    </row>
    <row r="30" ht="12.75" customHeight="1">
      <c r="A30" s="35"/>
      <c r="B30" s="28"/>
      <c r="C30" s="36"/>
      <c r="D30" s="13" t="s">
        <v>14</v>
      </c>
      <c r="E30" s="89">
        <f t="shared" ref="E30:L30" si="7">SUM(E28:E29)</f>
        <v>240</v>
      </c>
      <c r="F30" s="89">
        <f t="shared" si="7"/>
        <v>219</v>
      </c>
      <c r="G30" s="89">
        <f t="shared" si="7"/>
        <v>234</v>
      </c>
      <c r="H30" s="89">
        <f t="shared" si="7"/>
        <v>204</v>
      </c>
      <c r="I30" s="89">
        <f t="shared" si="7"/>
        <v>227</v>
      </c>
      <c r="J30" s="89">
        <f t="shared" si="7"/>
        <v>220</v>
      </c>
      <c r="K30" s="89">
        <f t="shared" si="7"/>
        <v>230</v>
      </c>
      <c r="L30" s="89">
        <f t="shared" si="7"/>
        <v>242</v>
      </c>
      <c r="M30" s="13">
        <f t="shared" si="3"/>
        <v>1816</v>
      </c>
    </row>
    <row r="31" ht="12.75" customHeight="1">
      <c r="A31" s="24"/>
      <c r="B31" s="15"/>
      <c r="C31" s="15"/>
      <c r="D31" s="16"/>
      <c r="E31" s="84"/>
      <c r="F31" s="84"/>
      <c r="G31" s="84"/>
      <c r="H31" s="84"/>
      <c r="I31" s="84"/>
      <c r="J31" s="84"/>
      <c r="K31" s="84"/>
      <c r="L31" s="84"/>
      <c r="M31" s="68"/>
    </row>
    <row r="32" ht="12.75" customHeight="1">
      <c r="A32" s="41" t="s">
        <v>25</v>
      </c>
      <c r="B32" s="14" t="s">
        <v>26</v>
      </c>
      <c r="C32" s="15"/>
      <c r="D32" s="16"/>
      <c r="E32" s="84"/>
      <c r="F32" s="84"/>
      <c r="G32" s="84"/>
      <c r="H32" s="84"/>
      <c r="I32" s="84"/>
      <c r="J32" s="84"/>
      <c r="K32" s="84"/>
      <c r="L32" s="84"/>
      <c r="M32" s="68"/>
    </row>
    <row r="33" ht="12.75" customHeight="1">
      <c r="A33" s="19">
        <v>1.0</v>
      </c>
      <c r="B33" s="20" t="s">
        <v>27</v>
      </c>
      <c r="C33" s="15"/>
      <c r="D33" s="16"/>
      <c r="E33" s="85">
        <v>297.0</v>
      </c>
      <c r="F33" s="82">
        <v>287.0</v>
      </c>
      <c r="G33" s="82">
        <v>274.0</v>
      </c>
      <c r="H33" s="82">
        <v>243.0</v>
      </c>
      <c r="I33" s="82">
        <v>263.0</v>
      </c>
      <c r="J33" s="82">
        <v>274.0</v>
      </c>
      <c r="K33" s="82">
        <v>282.0</v>
      </c>
      <c r="L33" s="82">
        <v>293.0</v>
      </c>
      <c r="M33" s="13">
        <f t="shared" ref="M33:M36" si="8">SUM(E33:L33)</f>
        <v>2213</v>
      </c>
    </row>
    <row r="34" ht="12.75" customHeight="1">
      <c r="A34" s="19">
        <v>2.0</v>
      </c>
      <c r="B34" s="20" t="s">
        <v>28</v>
      </c>
      <c r="C34" s="15"/>
      <c r="D34" s="16"/>
      <c r="E34" s="90">
        <v>240.0</v>
      </c>
      <c r="F34" s="90">
        <v>219.0</v>
      </c>
      <c r="G34" s="90">
        <v>234.0</v>
      </c>
      <c r="H34" s="90">
        <v>204.0</v>
      </c>
      <c r="I34" s="90">
        <v>227.0</v>
      </c>
      <c r="J34" s="91">
        <v>220.0</v>
      </c>
      <c r="K34" s="90">
        <v>230.0</v>
      </c>
      <c r="L34" s="91">
        <v>242.0</v>
      </c>
      <c r="M34" s="13">
        <f t="shared" si="8"/>
        <v>1816</v>
      </c>
    </row>
    <row r="35" ht="12.75" customHeight="1">
      <c r="A35" s="19">
        <v>3.0</v>
      </c>
      <c r="B35" s="20" t="s">
        <v>29</v>
      </c>
      <c r="C35" s="15"/>
      <c r="D35" s="16"/>
      <c r="E35" s="85">
        <v>0.0</v>
      </c>
      <c r="F35" s="85">
        <v>0.0</v>
      </c>
      <c r="G35" s="85">
        <v>3.0</v>
      </c>
      <c r="H35" s="82">
        <v>0.0</v>
      </c>
      <c r="I35" s="82">
        <v>0.0</v>
      </c>
      <c r="J35" s="85">
        <v>2.0</v>
      </c>
      <c r="K35" s="85">
        <v>1.0</v>
      </c>
      <c r="L35" s="85">
        <v>1.0</v>
      </c>
      <c r="M35" s="13">
        <f t="shared" si="8"/>
        <v>7</v>
      </c>
    </row>
    <row r="36" ht="12.75" customHeight="1">
      <c r="A36" s="19">
        <v>4.0</v>
      </c>
      <c r="B36" s="20" t="s">
        <v>30</v>
      </c>
      <c r="C36" s="15"/>
      <c r="D36" s="16"/>
      <c r="E36" s="83">
        <f t="shared" ref="E36:L36" si="9">E33-(E34+E35)</f>
        <v>57</v>
      </c>
      <c r="F36" s="83">
        <f t="shared" si="9"/>
        <v>68</v>
      </c>
      <c r="G36" s="83">
        <f t="shared" si="9"/>
        <v>37</v>
      </c>
      <c r="H36" s="83">
        <f t="shared" si="9"/>
        <v>39</v>
      </c>
      <c r="I36" s="83">
        <f t="shared" si="9"/>
        <v>36</v>
      </c>
      <c r="J36" s="83">
        <f t="shared" si="9"/>
        <v>52</v>
      </c>
      <c r="K36" s="83">
        <f t="shared" si="9"/>
        <v>51</v>
      </c>
      <c r="L36" s="83">
        <f t="shared" si="9"/>
        <v>50</v>
      </c>
      <c r="M36" s="13">
        <f t="shared" si="8"/>
        <v>390</v>
      </c>
    </row>
    <row r="37" ht="12.75" customHeight="1">
      <c r="A37" s="24"/>
      <c r="B37" s="15"/>
      <c r="C37" s="15"/>
      <c r="D37" s="15"/>
      <c r="E37" s="92"/>
      <c r="F37" s="15"/>
      <c r="G37" s="15"/>
      <c r="H37" s="15"/>
      <c r="I37" s="16"/>
      <c r="J37" s="84"/>
      <c r="K37" s="84"/>
      <c r="L37" s="84"/>
      <c r="M37" s="68"/>
    </row>
    <row r="38" ht="12.75" customHeight="1">
      <c r="A38" s="42" t="s">
        <v>31</v>
      </c>
      <c r="B38" s="14" t="s">
        <v>32</v>
      </c>
      <c r="C38" s="15"/>
      <c r="D38" s="16"/>
      <c r="E38" s="84"/>
      <c r="F38" s="84"/>
      <c r="G38" s="84"/>
      <c r="H38" s="84"/>
      <c r="I38" s="84"/>
      <c r="J38" s="84"/>
      <c r="K38" s="84"/>
      <c r="L38" s="84"/>
      <c r="M38" s="68"/>
    </row>
    <row r="39" ht="12.75" customHeight="1">
      <c r="A39" s="30"/>
      <c r="B39" s="43" t="s">
        <v>33</v>
      </c>
      <c r="C39" s="23"/>
      <c r="D39" s="19" t="s">
        <v>12</v>
      </c>
      <c r="E39" s="82">
        <v>1.0</v>
      </c>
      <c r="F39" s="82">
        <v>0.0</v>
      </c>
      <c r="G39" s="82">
        <v>0.0</v>
      </c>
      <c r="H39" s="82">
        <v>1.0</v>
      </c>
      <c r="I39" s="82">
        <v>0.0</v>
      </c>
      <c r="J39" s="82">
        <v>0.0</v>
      </c>
      <c r="K39" s="82">
        <v>0.0</v>
      </c>
      <c r="L39" s="82">
        <v>1.0</v>
      </c>
      <c r="M39" s="13">
        <f t="shared" ref="M39:M41" si="10">SUM(E39:L39)</f>
        <v>3</v>
      </c>
    </row>
    <row r="40" ht="12.75" customHeight="1">
      <c r="A40" s="33"/>
      <c r="C40" s="27"/>
      <c r="D40" s="19" t="s">
        <v>13</v>
      </c>
      <c r="E40" s="82">
        <v>0.0</v>
      </c>
      <c r="F40" s="82">
        <v>0.0</v>
      </c>
      <c r="G40" s="82">
        <v>0.0</v>
      </c>
      <c r="H40" s="82">
        <v>3.0</v>
      </c>
      <c r="I40" s="82">
        <v>0.0</v>
      </c>
      <c r="J40" s="82">
        <v>2.0</v>
      </c>
      <c r="K40" s="82">
        <v>1.0</v>
      </c>
      <c r="L40" s="82">
        <v>4.0</v>
      </c>
      <c r="M40" s="13">
        <f t="shared" si="10"/>
        <v>10</v>
      </c>
    </row>
    <row r="41" ht="12.75" customHeight="1">
      <c r="A41" s="41"/>
      <c r="B41" s="44"/>
      <c r="C41" s="28"/>
      <c r="D41" s="13" t="s">
        <v>14</v>
      </c>
      <c r="E41" s="13">
        <f t="shared" ref="E41:L41" si="11">SUM(E39:E40)</f>
        <v>1</v>
      </c>
      <c r="F41" s="13">
        <f t="shared" si="11"/>
        <v>0</v>
      </c>
      <c r="G41" s="13">
        <f t="shared" si="11"/>
        <v>0</v>
      </c>
      <c r="H41" s="13">
        <f t="shared" si="11"/>
        <v>4</v>
      </c>
      <c r="I41" s="13">
        <f t="shared" si="11"/>
        <v>0</v>
      </c>
      <c r="J41" s="13">
        <f t="shared" si="11"/>
        <v>2</v>
      </c>
      <c r="K41" s="13">
        <f t="shared" si="11"/>
        <v>1</v>
      </c>
      <c r="L41" s="13">
        <f t="shared" si="11"/>
        <v>5</v>
      </c>
      <c r="M41" s="13">
        <f t="shared" si="10"/>
        <v>13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19" t="s">
        <v>216</v>
      </c>
      <c r="F45" s="19" t="s">
        <v>217</v>
      </c>
      <c r="G45" s="19" t="s">
        <v>200</v>
      </c>
      <c r="H45" s="19" t="s">
        <v>205</v>
      </c>
      <c r="I45" s="19" t="s">
        <v>216</v>
      </c>
      <c r="J45" s="19" t="s">
        <v>199</v>
      </c>
      <c r="K45" s="19" t="s">
        <v>200</v>
      </c>
      <c r="L45" s="19" t="s">
        <v>200</v>
      </c>
      <c r="M45" s="13">
        <f t="shared" ref="M45:M192" si="12">SUM(E45:L45)</f>
        <v>0</v>
      </c>
    </row>
    <row r="46" ht="12.75" customHeight="1">
      <c r="A46" s="30" t="s">
        <v>39</v>
      </c>
      <c r="B46" s="49"/>
      <c r="C46" s="50" t="s">
        <v>40</v>
      </c>
      <c r="D46" s="51"/>
      <c r="E46" s="19" t="s">
        <v>213</v>
      </c>
      <c r="F46" s="19" t="s">
        <v>236</v>
      </c>
      <c r="G46" s="19" t="s">
        <v>241</v>
      </c>
      <c r="H46" s="19" t="s">
        <v>234</v>
      </c>
      <c r="I46" s="19" t="s">
        <v>201</v>
      </c>
      <c r="J46" s="19" t="s">
        <v>235</v>
      </c>
      <c r="K46" s="19" t="s">
        <v>218</v>
      </c>
      <c r="L46" s="19" t="s">
        <v>242</v>
      </c>
      <c r="M46" s="13">
        <f t="shared" si="12"/>
        <v>0</v>
      </c>
    </row>
    <row r="47" ht="12.75" customHeight="1">
      <c r="A47" s="18"/>
      <c r="B47" s="49"/>
      <c r="C47" s="50" t="s">
        <v>41</v>
      </c>
      <c r="D47" s="51"/>
      <c r="E47" s="19" t="s">
        <v>216</v>
      </c>
      <c r="F47" s="19" t="s">
        <v>206</v>
      </c>
      <c r="G47" s="19" t="s">
        <v>216</v>
      </c>
      <c r="H47" s="19" t="s">
        <v>216</v>
      </c>
      <c r="I47" s="19" t="s">
        <v>216</v>
      </c>
      <c r="J47" s="19" t="s">
        <v>206</v>
      </c>
      <c r="K47" s="19" t="s">
        <v>206</v>
      </c>
      <c r="L47" s="19"/>
      <c r="M47" s="13">
        <f t="shared" si="12"/>
        <v>0</v>
      </c>
    </row>
    <row r="48" ht="12.75" customHeight="1">
      <c r="A48" s="18"/>
      <c r="B48" s="49"/>
      <c r="C48" s="50" t="s">
        <v>42</v>
      </c>
      <c r="D48" s="51"/>
      <c r="E48" s="19" t="s">
        <v>202</v>
      </c>
      <c r="F48" s="19" t="s">
        <v>202</v>
      </c>
      <c r="G48" s="19" t="s">
        <v>206</v>
      </c>
      <c r="H48" s="19" t="s">
        <v>206</v>
      </c>
      <c r="I48" s="19" t="s">
        <v>206</v>
      </c>
      <c r="J48" s="19" t="s">
        <v>216</v>
      </c>
      <c r="K48" s="19" t="s">
        <v>202</v>
      </c>
      <c r="L48" s="19"/>
      <c r="M48" s="13">
        <f t="shared" si="12"/>
        <v>0</v>
      </c>
    </row>
    <row r="49" ht="12.75" customHeight="1">
      <c r="A49" s="18"/>
      <c r="B49" s="49"/>
      <c r="C49" s="50" t="s">
        <v>43</v>
      </c>
      <c r="D49" s="51"/>
      <c r="E49" s="19" t="s">
        <v>206</v>
      </c>
      <c r="F49" s="19" t="s">
        <v>206</v>
      </c>
      <c r="G49" s="19" t="s">
        <v>206</v>
      </c>
      <c r="H49" s="19" t="s">
        <v>206</v>
      </c>
      <c r="I49" s="19" t="s">
        <v>216</v>
      </c>
      <c r="J49" s="19" t="s">
        <v>216</v>
      </c>
      <c r="K49" s="19"/>
      <c r="L49" s="19"/>
      <c r="M49" s="13">
        <f t="shared" si="12"/>
        <v>0</v>
      </c>
    </row>
    <row r="50" ht="12.75" customHeight="1">
      <c r="A50" s="18"/>
      <c r="B50" s="49"/>
      <c r="C50" s="50" t="s">
        <v>44</v>
      </c>
      <c r="D50" s="51"/>
      <c r="E50" s="19" t="s">
        <v>206</v>
      </c>
      <c r="F50" s="19" t="s">
        <v>206</v>
      </c>
      <c r="G50" s="19" t="s">
        <v>206</v>
      </c>
      <c r="H50" s="19" t="s">
        <v>206</v>
      </c>
      <c r="I50" s="19" t="s">
        <v>206</v>
      </c>
      <c r="J50" s="19" t="s">
        <v>206</v>
      </c>
      <c r="K50" s="19"/>
      <c r="L50" s="19"/>
      <c r="M50" s="13">
        <f t="shared" si="12"/>
        <v>0</v>
      </c>
    </row>
    <row r="51" ht="12.75" customHeight="1">
      <c r="A51" s="18"/>
      <c r="B51" s="49"/>
      <c r="C51" s="50" t="s">
        <v>45</v>
      </c>
      <c r="D51" s="51"/>
      <c r="E51" s="19" t="s">
        <v>206</v>
      </c>
      <c r="F51" s="19" t="s">
        <v>216</v>
      </c>
      <c r="G51" s="19" t="s">
        <v>206</v>
      </c>
      <c r="H51" s="19" t="s">
        <v>206</v>
      </c>
      <c r="I51" s="19" t="s">
        <v>216</v>
      </c>
      <c r="J51" s="19"/>
      <c r="K51" s="19"/>
      <c r="L51" s="19"/>
      <c r="M51" s="13">
        <f t="shared" si="12"/>
        <v>0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L52" si="13">SUM(E45:E51)</f>
        <v>0</v>
      </c>
      <c r="F52" s="13">
        <f t="shared" si="13"/>
        <v>0</v>
      </c>
      <c r="G52" s="13">
        <f t="shared" si="13"/>
        <v>0</v>
      </c>
      <c r="H52" s="13">
        <f t="shared" si="13"/>
        <v>0</v>
      </c>
      <c r="I52" s="13">
        <f t="shared" si="13"/>
        <v>0</v>
      </c>
      <c r="J52" s="13">
        <f t="shared" si="13"/>
        <v>0</v>
      </c>
      <c r="K52" s="13">
        <f t="shared" si="13"/>
        <v>0</v>
      </c>
      <c r="L52" s="13">
        <f t="shared" si="13"/>
        <v>0</v>
      </c>
      <c r="M52" s="13">
        <f t="shared" si="12"/>
        <v>0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13">
        <f t="shared" si="12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19" t="s">
        <v>205</v>
      </c>
      <c r="F54" s="19" t="s">
        <v>216</v>
      </c>
      <c r="G54" s="19" t="s">
        <v>204</v>
      </c>
      <c r="H54" s="19" t="s">
        <v>202</v>
      </c>
      <c r="I54" s="19" t="s">
        <v>202</v>
      </c>
      <c r="J54" s="19" t="s">
        <v>216</v>
      </c>
      <c r="K54" s="19" t="s">
        <v>202</v>
      </c>
      <c r="L54" s="19" t="s">
        <v>205</v>
      </c>
      <c r="M54" s="13">
        <f t="shared" si="12"/>
        <v>0</v>
      </c>
    </row>
    <row r="55" ht="12.75" customHeight="1">
      <c r="A55" s="30" t="s">
        <v>39</v>
      </c>
      <c r="B55" s="49"/>
      <c r="C55" s="50" t="s">
        <v>48</v>
      </c>
      <c r="D55" s="51"/>
      <c r="E55" s="19" t="s">
        <v>216</v>
      </c>
      <c r="F55" s="19" t="s">
        <v>202</v>
      </c>
      <c r="G55" s="19" t="s">
        <v>206</v>
      </c>
      <c r="H55" s="19" t="s">
        <v>206</v>
      </c>
      <c r="I55" s="19" t="s">
        <v>206</v>
      </c>
      <c r="J55" s="19" t="s">
        <v>216</v>
      </c>
      <c r="K55" s="19" t="s">
        <v>202</v>
      </c>
      <c r="L55" s="19"/>
      <c r="M55" s="13">
        <f t="shared" si="12"/>
        <v>0</v>
      </c>
    </row>
    <row r="56" ht="12.75" customHeight="1">
      <c r="A56" s="18"/>
      <c r="B56" s="49"/>
      <c r="C56" s="50" t="s">
        <v>49</v>
      </c>
      <c r="D56" s="51"/>
      <c r="E56" s="19" t="s">
        <v>216</v>
      </c>
      <c r="F56" s="19" t="s">
        <v>202</v>
      </c>
      <c r="G56" s="19" t="s">
        <v>216</v>
      </c>
      <c r="H56" s="19" t="s">
        <v>206</v>
      </c>
      <c r="I56" s="19" t="s">
        <v>202</v>
      </c>
      <c r="J56" s="19" t="s">
        <v>202</v>
      </c>
      <c r="K56" s="19" t="s">
        <v>206</v>
      </c>
      <c r="L56" s="19"/>
      <c r="M56" s="13">
        <f t="shared" si="12"/>
        <v>0</v>
      </c>
    </row>
    <row r="57" ht="12.75" customHeight="1">
      <c r="A57" s="18"/>
      <c r="B57" s="49"/>
      <c r="C57" s="50" t="s">
        <v>50</v>
      </c>
      <c r="D57" s="51"/>
      <c r="E57" s="19" t="s">
        <v>206</v>
      </c>
      <c r="F57" s="19" t="s">
        <v>206</v>
      </c>
      <c r="G57" s="19" t="s">
        <v>206</v>
      </c>
      <c r="H57" s="19" t="s">
        <v>206</v>
      </c>
      <c r="I57" s="19" t="s">
        <v>216</v>
      </c>
      <c r="J57" s="19"/>
      <c r="K57" s="19"/>
      <c r="L57" s="19"/>
      <c r="M57" s="13">
        <f t="shared" si="12"/>
        <v>0</v>
      </c>
    </row>
    <row r="58" ht="12.75" customHeight="1">
      <c r="A58" s="18"/>
      <c r="B58" s="49"/>
      <c r="C58" s="50" t="s">
        <v>51</v>
      </c>
      <c r="D58" s="51"/>
      <c r="E58" s="19" t="s">
        <v>202</v>
      </c>
      <c r="F58" s="19" t="s">
        <v>206</v>
      </c>
      <c r="G58" s="19" t="s">
        <v>200</v>
      </c>
      <c r="H58" s="19" t="s">
        <v>206</v>
      </c>
      <c r="I58" s="19" t="s">
        <v>205</v>
      </c>
      <c r="J58" s="19" t="s">
        <v>206</v>
      </c>
      <c r="K58" s="19"/>
      <c r="L58" s="19"/>
      <c r="M58" s="13">
        <f t="shared" si="12"/>
        <v>0</v>
      </c>
    </row>
    <row r="59" ht="12.75" customHeight="1">
      <c r="A59" s="18"/>
      <c r="B59" s="49"/>
      <c r="C59" s="50" t="s">
        <v>52</v>
      </c>
      <c r="D59" s="51"/>
      <c r="E59" s="19" t="s">
        <v>206</v>
      </c>
      <c r="F59" s="19" t="s">
        <v>206</v>
      </c>
      <c r="G59" s="19" t="s">
        <v>206</v>
      </c>
      <c r="H59" s="19" t="s">
        <v>206</v>
      </c>
      <c r="I59" s="19" t="s">
        <v>206</v>
      </c>
      <c r="J59" s="19" t="s">
        <v>206</v>
      </c>
      <c r="K59" s="19"/>
      <c r="L59" s="19"/>
      <c r="M59" s="13">
        <f t="shared" si="12"/>
        <v>0</v>
      </c>
    </row>
    <row r="60" ht="12.75" customHeight="1">
      <c r="A60" s="18"/>
      <c r="B60" s="49"/>
      <c r="C60" s="50" t="s">
        <v>53</v>
      </c>
      <c r="D60" s="51"/>
      <c r="E60" s="19" t="s">
        <v>216</v>
      </c>
      <c r="F60" s="19" t="s">
        <v>202</v>
      </c>
      <c r="G60" s="19" t="s">
        <v>201</v>
      </c>
      <c r="H60" s="19" t="s">
        <v>216</v>
      </c>
      <c r="I60" s="19" t="s">
        <v>206</v>
      </c>
      <c r="J60" s="19" t="s">
        <v>216</v>
      </c>
      <c r="K60" s="19" t="s">
        <v>202</v>
      </c>
      <c r="L60" s="19"/>
      <c r="M60" s="13">
        <f t="shared" si="12"/>
        <v>0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L61" si="14">SUM(E54:E60)</f>
        <v>0</v>
      </c>
      <c r="F61" s="13">
        <f t="shared" si="14"/>
        <v>0</v>
      </c>
      <c r="G61" s="13">
        <f t="shared" si="14"/>
        <v>0</v>
      </c>
      <c r="H61" s="13">
        <f t="shared" si="14"/>
        <v>0</v>
      </c>
      <c r="I61" s="13">
        <f t="shared" si="14"/>
        <v>0</v>
      </c>
      <c r="J61" s="13">
        <f t="shared" si="14"/>
        <v>0</v>
      </c>
      <c r="K61" s="13">
        <f t="shared" si="14"/>
        <v>0</v>
      </c>
      <c r="L61" s="13">
        <f t="shared" si="14"/>
        <v>0</v>
      </c>
      <c r="M61" s="13">
        <f t="shared" si="12"/>
        <v>0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13">
        <f t="shared" si="12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19" t="s">
        <v>216</v>
      </c>
      <c r="F63" s="19" t="s">
        <v>201</v>
      </c>
      <c r="G63" s="19" t="s">
        <v>203</v>
      </c>
      <c r="H63" s="19" t="s">
        <v>216</v>
      </c>
      <c r="I63" s="19" t="s">
        <v>216</v>
      </c>
      <c r="J63" s="19" t="s">
        <v>200</v>
      </c>
      <c r="K63" s="19" t="s">
        <v>200</v>
      </c>
      <c r="L63" s="19"/>
      <c r="M63" s="13">
        <f t="shared" si="12"/>
        <v>0</v>
      </c>
    </row>
    <row r="64" ht="12.75" customHeight="1">
      <c r="A64" s="30" t="s">
        <v>39</v>
      </c>
      <c r="B64" s="49"/>
      <c r="C64" s="50" t="s">
        <v>55</v>
      </c>
      <c r="D64" s="51"/>
      <c r="E64" s="19" t="s">
        <v>217</v>
      </c>
      <c r="F64" s="19" t="s">
        <v>216</v>
      </c>
      <c r="G64" s="19" t="s">
        <v>216</v>
      </c>
      <c r="H64" s="19" t="s">
        <v>216</v>
      </c>
      <c r="I64" s="19" t="s">
        <v>205</v>
      </c>
      <c r="J64" s="19" t="s">
        <v>216</v>
      </c>
      <c r="K64" s="19" t="s">
        <v>203</v>
      </c>
      <c r="L64" s="19" t="s">
        <v>200</v>
      </c>
      <c r="M64" s="13">
        <f t="shared" si="12"/>
        <v>0</v>
      </c>
    </row>
    <row r="65" ht="12.75" customHeight="1">
      <c r="A65" s="18"/>
      <c r="B65" s="49"/>
      <c r="C65" s="50" t="s">
        <v>56</v>
      </c>
      <c r="D65" s="51"/>
      <c r="E65" s="19" t="s">
        <v>216</v>
      </c>
      <c r="F65" s="19" t="s">
        <v>206</v>
      </c>
      <c r="G65" s="19" t="s">
        <v>206</v>
      </c>
      <c r="H65" s="19" t="s">
        <v>206</v>
      </c>
      <c r="I65" s="19" t="s">
        <v>216</v>
      </c>
      <c r="J65" s="19" t="s">
        <v>216</v>
      </c>
      <c r="K65" s="19"/>
      <c r="L65" s="19"/>
      <c r="M65" s="13">
        <f t="shared" si="12"/>
        <v>0</v>
      </c>
    </row>
    <row r="66" ht="12.75" customHeight="1">
      <c r="A66" s="18"/>
      <c r="B66" s="49"/>
      <c r="C66" s="50" t="s">
        <v>57</v>
      </c>
      <c r="D66" s="51"/>
      <c r="E66" s="19" t="s">
        <v>243</v>
      </c>
      <c r="F66" s="19" t="s">
        <v>199</v>
      </c>
      <c r="G66" s="19" t="s">
        <v>218</v>
      </c>
      <c r="H66" s="19" t="s">
        <v>204</v>
      </c>
      <c r="I66" s="19" t="s">
        <v>244</v>
      </c>
      <c r="J66" s="19" t="s">
        <v>219</v>
      </c>
      <c r="K66" s="19" t="s">
        <v>234</v>
      </c>
      <c r="L66" s="19" t="s">
        <v>245</v>
      </c>
      <c r="M66" s="13">
        <f t="shared" si="12"/>
        <v>0</v>
      </c>
    </row>
    <row r="67" ht="12.75" customHeight="1">
      <c r="A67" s="18"/>
      <c r="B67" s="49"/>
      <c r="C67" s="50" t="s">
        <v>58</v>
      </c>
      <c r="D67" s="51"/>
      <c r="E67" s="19" t="s">
        <v>206</v>
      </c>
      <c r="F67" s="19" t="s">
        <v>216</v>
      </c>
      <c r="G67" s="19" t="s">
        <v>206</v>
      </c>
      <c r="H67" s="19" t="s">
        <v>216</v>
      </c>
      <c r="I67" s="19" t="s">
        <v>216</v>
      </c>
      <c r="J67" s="19" t="s">
        <v>206</v>
      </c>
      <c r="K67" s="19" t="s">
        <v>206</v>
      </c>
      <c r="L67" s="19"/>
      <c r="M67" s="13">
        <f t="shared" si="12"/>
        <v>0</v>
      </c>
    </row>
    <row r="68" ht="12.75" customHeight="1">
      <c r="A68" s="18"/>
      <c r="B68" s="49"/>
      <c r="C68" s="50" t="s">
        <v>59</v>
      </c>
      <c r="D68" s="51"/>
      <c r="E68" s="19" t="s">
        <v>206</v>
      </c>
      <c r="F68" s="19" t="s">
        <v>206</v>
      </c>
      <c r="G68" s="19" t="s">
        <v>206</v>
      </c>
      <c r="H68" s="19" t="s">
        <v>216</v>
      </c>
      <c r="I68" s="19" t="s">
        <v>216</v>
      </c>
      <c r="J68" s="19" t="s">
        <v>206</v>
      </c>
      <c r="K68" s="19"/>
      <c r="L68" s="19"/>
      <c r="M68" s="13">
        <f t="shared" si="12"/>
        <v>0</v>
      </c>
    </row>
    <row r="69" ht="12.75" customHeight="1">
      <c r="A69" s="18"/>
      <c r="B69" s="49"/>
      <c r="C69" s="50" t="s">
        <v>60</v>
      </c>
      <c r="D69" s="51"/>
      <c r="E69" s="19" t="s">
        <v>216</v>
      </c>
      <c r="F69" s="19" t="s">
        <v>206</v>
      </c>
      <c r="G69" s="19" t="s">
        <v>206</v>
      </c>
      <c r="H69" s="19" t="s">
        <v>206</v>
      </c>
      <c r="I69" s="19" t="s">
        <v>206</v>
      </c>
      <c r="J69" s="19" t="s">
        <v>216</v>
      </c>
      <c r="K69" s="19"/>
      <c r="L69" s="19"/>
      <c r="M69" s="13">
        <f t="shared" si="12"/>
        <v>0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L70" si="15">SUM(E63:E69)</f>
        <v>0</v>
      </c>
      <c r="F70" s="13">
        <f t="shared" si="15"/>
        <v>0</v>
      </c>
      <c r="G70" s="13">
        <f t="shared" si="15"/>
        <v>0</v>
      </c>
      <c r="H70" s="13">
        <f t="shared" si="15"/>
        <v>0</v>
      </c>
      <c r="I70" s="13">
        <f t="shared" si="15"/>
        <v>0</v>
      </c>
      <c r="J70" s="13">
        <f t="shared" si="15"/>
        <v>0</v>
      </c>
      <c r="K70" s="13">
        <f t="shared" si="15"/>
        <v>0</v>
      </c>
      <c r="L70" s="13">
        <f t="shared" si="15"/>
        <v>0</v>
      </c>
      <c r="M70" s="13">
        <f t="shared" si="12"/>
        <v>0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13">
        <f t="shared" si="12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19" t="s">
        <v>235</v>
      </c>
      <c r="F72" s="19" t="s">
        <v>204</v>
      </c>
      <c r="G72" s="19" t="s">
        <v>204</v>
      </c>
      <c r="H72" s="19" t="s">
        <v>199</v>
      </c>
      <c r="I72" s="19" t="s">
        <v>201</v>
      </c>
      <c r="J72" s="19" t="s">
        <v>218</v>
      </c>
      <c r="K72" s="19" t="s">
        <v>234</v>
      </c>
      <c r="L72" s="19" t="s">
        <v>217</v>
      </c>
      <c r="M72" s="13">
        <f t="shared" si="12"/>
        <v>0</v>
      </c>
    </row>
    <row r="73" ht="12.75" customHeight="1">
      <c r="A73" s="30" t="s">
        <v>39</v>
      </c>
      <c r="B73" s="49"/>
      <c r="C73" s="50" t="s">
        <v>62</v>
      </c>
      <c r="D73" s="51"/>
      <c r="E73" s="19" t="s">
        <v>246</v>
      </c>
      <c r="F73" s="19" t="s">
        <v>247</v>
      </c>
      <c r="G73" s="19" t="s">
        <v>248</v>
      </c>
      <c r="H73" s="19" t="s">
        <v>249</v>
      </c>
      <c r="I73" s="19" t="s">
        <v>250</v>
      </c>
      <c r="J73" s="19" t="s">
        <v>251</v>
      </c>
      <c r="K73" s="19" t="s">
        <v>252</v>
      </c>
      <c r="L73" s="19" t="s">
        <v>253</v>
      </c>
      <c r="M73" s="13">
        <f t="shared" si="12"/>
        <v>0</v>
      </c>
    </row>
    <row r="74" ht="12.75" customHeight="1">
      <c r="A74" s="18"/>
      <c r="B74" s="49"/>
      <c r="C74" s="50" t="s">
        <v>63</v>
      </c>
      <c r="D74" s="51"/>
      <c r="E74" s="19" t="s">
        <v>216</v>
      </c>
      <c r="F74" s="19" t="s">
        <v>206</v>
      </c>
      <c r="G74" s="19" t="s">
        <v>206</v>
      </c>
      <c r="H74" s="19" t="s">
        <v>216</v>
      </c>
      <c r="I74" s="19" t="s">
        <v>206</v>
      </c>
      <c r="J74" s="19" t="s">
        <v>206</v>
      </c>
      <c r="K74" s="19"/>
      <c r="L74" s="19"/>
      <c r="M74" s="13">
        <f t="shared" si="12"/>
        <v>0</v>
      </c>
    </row>
    <row r="75" ht="12.75" customHeight="1">
      <c r="A75" s="18"/>
      <c r="B75" s="49"/>
      <c r="C75" s="50" t="s">
        <v>64</v>
      </c>
      <c r="D75" s="51"/>
      <c r="E75" s="19" t="s">
        <v>206</v>
      </c>
      <c r="F75" s="19" t="s">
        <v>206</v>
      </c>
      <c r="G75" s="19" t="s">
        <v>216</v>
      </c>
      <c r="H75" s="19" t="s">
        <v>206</v>
      </c>
      <c r="I75" s="19" t="s">
        <v>202</v>
      </c>
      <c r="J75" s="19" t="s">
        <v>206</v>
      </c>
      <c r="K75" s="19"/>
      <c r="L75" s="19"/>
      <c r="M75" s="13">
        <f t="shared" si="12"/>
        <v>0</v>
      </c>
    </row>
    <row r="76" ht="12.75" customHeight="1">
      <c r="A76" s="18"/>
      <c r="B76" s="49"/>
      <c r="C76" s="50" t="s">
        <v>65</v>
      </c>
      <c r="D76" s="51"/>
      <c r="E76" s="19" t="s">
        <v>206</v>
      </c>
      <c r="F76" s="19" t="s">
        <v>206</v>
      </c>
      <c r="G76" s="19" t="s">
        <v>206</v>
      </c>
      <c r="H76" s="19" t="s">
        <v>216</v>
      </c>
      <c r="I76" s="19" t="s">
        <v>216</v>
      </c>
      <c r="J76" s="19" t="s">
        <v>206</v>
      </c>
      <c r="K76" s="19"/>
      <c r="L76" s="19"/>
      <c r="M76" s="13">
        <f t="shared" si="12"/>
        <v>0</v>
      </c>
    </row>
    <row r="77" ht="12.75" customHeight="1">
      <c r="A77" s="18"/>
      <c r="B77" s="49"/>
      <c r="C77" s="50" t="s">
        <v>66</v>
      </c>
      <c r="D77" s="51"/>
      <c r="E77" s="19" t="s">
        <v>206</v>
      </c>
      <c r="F77" s="19" t="s">
        <v>206</v>
      </c>
      <c r="G77" s="19" t="s">
        <v>206</v>
      </c>
      <c r="H77" s="19" t="s">
        <v>206</v>
      </c>
      <c r="I77" s="19" t="s">
        <v>206</v>
      </c>
      <c r="J77" s="19" t="s">
        <v>206</v>
      </c>
      <c r="K77" s="19"/>
      <c r="L77" s="19"/>
      <c r="M77" s="13">
        <f t="shared" si="12"/>
        <v>0</v>
      </c>
    </row>
    <row r="78" ht="12.75" customHeight="1">
      <c r="A78" s="18"/>
      <c r="B78" s="49"/>
      <c r="C78" s="50" t="s">
        <v>67</v>
      </c>
      <c r="D78" s="51"/>
      <c r="E78" s="19" t="s">
        <v>216</v>
      </c>
      <c r="F78" s="19" t="s">
        <v>206</v>
      </c>
      <c r="G78" s="19" t="s">
        <v>206</v>
      </c>
      <c r="H78" s="19" t="s">
        <v>216</v>
      </c>
      <c r="I78" s="19" t="s">
        <v>206</v>
      </c>
      <c r="J78" s="19" t="s">
        <v>216</v>
      </c>
      <c r="K78" s="19" t="s">
        <v>216</v>
      </c>
      <c r="L78" s="19"/>
      <c r="M78" s="13">
        <f t="shared" si="12"/>
        <v>0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L79" si="16">SUM(E72:E78)</f>
        <v>0</v>
      </c>
      <c r="F79" s="13">
        <f t="shared" si="16"/>
        <v>0</v>
      </c>
      <c r="G79" s="13">
        <f t="shared" si="16"/>
        <v>0</v>
      </c>
      <c r="H79" s="13">
        <f t="shared" si="16"/>
        <v>0</v>
      </c>
      <c r="I79" s="13">
        <f t="shared" si="16"/>
        <v>0</v>
      </c>
      <c r="J79" s="13">
        <f t="shared" si="16"/>
        <v>0</v>
      </c>
      <c r="K79" s="13">
        <f t="shared" si="16"/>
        <v>0</v>
      </c>
      <c r="L79" s="13">
        <f t="shared" si="16"/>
        <v>0</v>
      </c>
      <c r="M79" s="13">
        <f t="shared" si="12"/>
        <v>0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13">
        <f t="shared" si="12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19" t="s">
        <v>216</v>
      </c>
      <c r="F81" s="19" t="s">
        <v>216</v>
      </c>
      <c r="G81" s="19" t="s">
        <v>216</v>
      </c>
      <c r="H81" s="19" t="s">
        <v>216</v>
      </c>
      <c r="I81" s="19" t="s">
        <v>216</v>
      </c>
      <c r="J81" s="19" t="s">
        <v>206</v>
      </c>
      <c r="K81" s="19" t="s">
        <v>205</v>
      </c>
      <c r="L81" s="19"/>
      <c r="M81" s="13">
        <f t="shared" si="12"/>
        <v>0</v>
      </c>
    </row>
    <row r="82" ht="12.75" customHeight="1">
      <c r="A82" s="30" t="s">
        <v>39</v>
      </c>
      <c r="B82" s="49"/>
      <c r="C82" s="50" t="s">
        <v>70</v>
      </c>
      <c r="D82" s="51"/>
      <c r="E82" s="19" t="s">
        <v>213</v>
      </c>
      <c r="F82" s="19" t="s">
        <v>214</v>
      </c>
      <c r="G82" s="19" t="s">
        <v>210</v>
      </c>
      <c r="H82" s="19" t="s">
        <v>241</v>
      </c>
      <c r="I82" s="19" t="s">
        <v>242</v>
      </c>
      <c r="J82" s="19" t="s">
        <v>206</v>
      </c>
      <c r="K82" s="19" t="s">
        <v>206</v>
      </c>
      <c r="L82" s="19"/>
      <c r="M82" s="13">
        <f t="shared" si="12"/>
        <v>0</v>
      </c>
    </row>
    <row r="83" ht="12.75" customHeight="1">
      <c r="A83" s="18"/>
      <c r="B83" s="49"/>
      <c r="C83" s="50" t="s">
        <v>71</v>
      </c>
      <c r="D83" s="51"/>
      <c r="E83" s="19" t="s">
        <v>216</v>
      </c>
      <c r="F83" s="19" t="s">
        <v>216</v>
      </c>
      <c r="G83" s="19" t="s">
        <v>206</v>
      </c>
      <c r="H83" s="19" t="s">
        <v>206</v>
      </c>
      <c r="I83" s="19" t="s">
        <v>216</v>
      </c>
      <c r="J83" s="19" t="s">
        <v>206</v>
      </c>
      <c r="K83" s="19" t="s">
        <v>206</v>
      </c>
      <c r="L83" s="19"/>
      <c r="M83" s="13">
        <f t="shared" si="12"/>
        <v>0</v>
      </c>
    </row>
    <row r="84" ht="12.75" customHeight="1">
      <c r="A84" s="18"/>
      <c r="B84" s="49"/>
      <c r="C84" s="50" t="s">
        <v>72</v>
      </c>
      <c r="D84" s="51"/>
      <c r="E84" s="19" t="s">
        <v>206</v>
      </c>
      <c r="F84" s="19" t="s">
        <v>206</v>
      </c>
      <c r="G84" s="19" t="s">
        <v>206</v>
      </c>
      <c r="H84" s="19" t="s">
        <v>206</v>
      </c>
      <c r="I84" s="19" t="s">
        <v>216</v>
      </c>
      <c r="J84" s="19"/>
      <c r="K84" s="19"/>
      <c r="L84" s="19"/>
      <c r="M84" s="13">
        <f t="shared" si="12"/>
        <v>0</v>
      </c>
    </row>
    <row r="85" ht="12.75" customHeight="1">
      <c r="A85" s="18"/>
      <c r="B85" s="49"/>
      <c r="C85" s="50" t="s">
        <v>73</v>
      </c>
      <c r="D85" s="51"/>
      <c r="E85" s="19" t="s">
        <v>206</v>
      </c>
      <c r="F85" s="19" t="s">
        <v>206</v>
      </c>
      <c r="G85" s="19" t="s">
        <v>206</v>
      </c>
      <c r="H85" s="19" t="s">
        <v>206</v>
      </c>
      <c r="I85" s="19" t="s">
        <v>206</v>
      </c>
      <c r="J85" s="19"/>
      <c r="K85" s="19"/>
      <c r="L85" s="19"/>
      <c r="M85" s="13">
        <f t="shared" si="12"/>
        <v>0</v>
      </c>
    </row>
    <row r="86" ht="12.75" customHeight="1">
      <c r="A86" s="18"/>
      <c r="B86" s="49"/>
      <c r="C86" s="50" t="s">
        <v>74</v>
      </c>
      <c r="D86" s="51"/>
      <c r="E86" s="19" t="s">
        <v>206</v>
      </c>
      <c r="F86" s="19" t="s">
        <v>206</v>
      </c>
      <c r="G86" s="19" t="s">
        <v>206</v>
      </c>
      <c r="H86" s="19" t="s">
        <v>206</v>
      </c>
      <c r="I86" s="19" t="s">
        <v>216</v>
      </c>
      <c r="J86" s="19" t="s">
        <v>202</v>
      </c>
      <c r="K86" s="19" t="s">
        <v>205</v>
      </c>
      <c r="L86" s="19"/>
      <c r="M86" s="13">
        <f t="shared" si="12"/>
        <v>0</v>
      </c>
    </row>
    <row r="87" ht="12.75" customHeight="1">
      <c r="A87" s="18"/>
      <c r="B87" s="49"/>
      <c r="C87" s="50" t="s">
        <v>75</v>
      </c>
      <c r="D87" s="51"/>
      <c r="E87" s="19" t="s">
        <v>216</v>
      </c>
      <c r="F87" s="19" t="s">
        <v>206</v>
      </c>
      <c r="G87" s="19" t="s">
        <v>206</v>
      </c>
      <c r="H87" s="19" t="s">
        <v>206</v>
      </c>
      <c r="I87" s="19" t="s">
        <v>206</v>
      </c>
      <c r="J87" s="19" t="s">
        <v>216</v>
      </c>
      <c r="K87" s="19"/>
      <c r="L87" s="19"/>
      <c r="M87" s="13">
        <f t="shared" si="12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L88" si="17">SUM(E81:E87)</f>
        <v>0</v>
      </c>
      <c r="F88" s="13">
        <f t="shared" si="17"/>
        <v>0</v>
      </c>
      <c r="G88" s="13">
        <f t="shared" si="17"/>
        <v>0</v>
      </c>
      <c r="H88" s="13">
        <f t="shared" si="17"/>
        <v>0</v>
      </c>
      <c r="I88" s="13">
        <f t="shared" si="17"/>
        <v>0</v>
      </c>
      <c r="J88" s="13">
        <f t="shared" si="17"/>
        <v>0</v>
      </c>
      <c r="K88" s="13">
        <f t="shared" si="17"/>
        <v>0</v>
      </c>
      <c r="L88" s="13">
        <f t="shared" si="17"/>
        <v>0</v>
      </c>
      <c r="M88" s="13">
        <f t="shared" si="12"/>
        <v>0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13">
        <f t="shared" si="12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19" t="s">
        <v>206</v>
      </c>
      <c r="F90" s="19" t="s">
        <v>216</v>
      </c>
      <c r="G90" s="19" t="s">
        <v>206</v>
      </c>
      <c r="H90" s="19" t="s">
        <v>206</v>
      </c>
      <c r="I90" s="19" t="s">
        <v>216</v>
      </c>
      <c r="J90" s="19" t="s">
        <v>206</v>
      </c>
      <c r="K90" s="19"/>
      <c r="L90" s="19"/>
      <c r="M90" s="13">
        <f t="shared" si="12"/>
        <v>0</v>
      </c>
    </row>
    <row r="91" ht="12.75" customHeight="1">
      <c r="A91" s="30" t="s">
        <v>39</v>
      </c>
      <c r="B91" s="49"/>
      <c r="C91" s="50" t="s">
        <v>78</v>
      </c>
      <c r="D91" s="16"/>
      <c r="E91" s="19" t="s">
        <v>206</v>
      </c>
      <c r="F91" s="19" t="s">
        <v>206</v>
      </c>
      <c r="G91" s="19" t="s">
        <v>206</v>
      </c>
      <c r="H91" s="19" t="s">
        <v>206</v>
      </c>
      <c r="I91" s="19" t="s">
        <v>206</v>
      </c>
      <c r="J91" s="19" t="s">
        <v>206</v>
      </c>
      <c r="K91" s="19"/>
      <c r="L91" s="19"/>
      <c r="M91" s="13">
        <f t="shared" si="12"/>
        <v>0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L92" si="18">SUM(E90:E91)</f>
        <v>0</v>
      </c>
      <c r="F92" s="58">
        <f t="shared" si="18"/>
        <v>0</v>
      </c>
      <c r="G92" s="58">
        <f t="shared" si="18"/>
        <v>0</v>
      </c>
      <c r="H92" s="58">
        <f t="shared" si="18"/>
        <v>0</v>
      </c>
      <c r="I92" s="58">
        <f t="shared" si="18"/>
        <v>0</v>
      </c>
      <c r="J92" s="58">
        <f t="shared" si="18"/>
        <v>0</v>
      </c>
      <c r="K92" s="58">
        <f t="shared" si="18"/>
        <v>0</v>
      </c>
      <c r="L92" s="58">
        <f t="shared" si="18"/>
        <v>0</v>
      </c>
      <c r="M92" s="13">
        <f t="shared" si="12"/>
        <v>0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13">
        <f t="shared" si="12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19" t="s">
        <v>206</v>
      </c>
      <c r="F94" s="19" t="s">
        <v>202</v>
      </c>
      <c r="G94" s="19" t="s">
        <v>206</v>
      </c>
      <c r="H94" s="19" t="s">
        <v>206</v>
      </c>
      <c r="I94" s="19" t="s">
        <v>216</v>
      </c>
      <c r="J94" s="19" t="s">
        <v>205</v>
      </c>
      <c r="K94" s="19"/>
      <c r="L94" s="19"/>
      <c r="M94" s="13">
        <f t="shared" si="12"/>
        <v>0</v>
      </c>
    </row>
    <row r="95" ht="12.75" customHeight="1">
      <c r="A95" s="30" t="s">
        <v>39</v>
      </c>
      <c r="B95" s="49"/>
      <c r="C95" s="50" t="s">
        <v>81</v>
      </c>
      <c r="D95" s="51"/>
      <c r="E95" s="19" t="s">
        <v>206</v>
      </c>
      <c r="F95" s="19" t="s">
        <v>216</v>
      </c>
      <c r="G95" s="19" t="s">
        <v>206</v>
      </c>
      <c r="H95" s="19" t="s">
        <v>206</v>
      </c>
      <c r="I95" s="19" t="s">
        <v>206</v>
      </c>
      <c r="J95" s="19" t="s">
        <v>216</v>
      </c>
      <c r="K95" s="19"/>
      <c r="L95" s="19"/>
      <c r="M95" s="13">
        <f t="shared" si="12"/>
        <v>0</v>
      </c>
    </row>
    <row r="96" ht="12.75" customHeight="1">
      <c r="A96" s="30"/>
      <c r="B96" s="49"/>
      <c r="C96" s="50" t="s">
        <v>82</v>
      </c>
      <c r="D96" s="51"/>
      <c r="E96" s="19" t="s">
        <v>206</v>
      </c>
      <c r="F96" s="19" t="s">
        <v>206</v>
      </c>
      <c r="G96" s="19" t="s">
        <v>206</v>
      </c>
      <c r="H96" s="19" t="s">
        <v>206</v>
      </c>
      <c r="I96" s="19" t="s">
        <v>206</v>
      </c>
      <c r="J96" s="19" t="s">
        <v>206</v>
      </c>
      <c r="K96" s="19"/>
      <c r="L96" s="19"/>
      <c r="M96" s="13">
        <f t="shared" si="12"/>
        <v>0</v>
      </c>
    </row>
    <row r="97" ht="12.75" customHeight="1">
      <c r="A97" s="30"/>
      <c r="B97" s="49"/>
      <c r="C97" s="50" t="s">
        <v>83</v>
      </c>
      <c r="D97" s="51"/>
      <c r="E97" s="19" t="s">
        <v>206</v>
      </c>
      <c r="F97" s="19" t="s">
        <v>206</v>
      </c>
      <c r="G97" s="19" t="s">
        <v>206</v>
      </c>
      <c r="H97" s="19" t="s">
        <v>206</v>
      </c>
      <c r="I97" s="19" t="s">
        <v>206</v>
      </c>
      <c r="J97" s="19" t="s">
        <v>206</v>
      </c>
      <c r="K97" s="19"/>
      <c r="L97" s="19"/>
      <c r="M97" s="13">
        <f t="shared" si="12"/>
        <v>0</v>
      </c>
    </row>
    <row r="98" ht="12.75" customHeight="1">
      <c r="A98" s="30"/>
      <c r="B98" s="49"/>
      <c r="C98" s="50" t="s">
        <v>84</v>
      </c>
      <c r="D98" s="51"/>
      <c r="E98" s="19" t="s">
        <v>206</v>
      </c>
      <c r="F98" s="19" t="s">
        <v>206</v>
      </c>
      <c r="G98" s="19" t="s">
        <v>206</v>
      </c>
      <c r="H98" s="19" t="s">
        <v>206</v>
      </c>
      <c r="I98" s="19" t="s">
        <v>206</v>
      </c>
      <c r="J98" s="19" t="s">
        <v>206</v>
      </c>
      <c r="K98" s="19"/>
      <c r="L98" s="19"/>
      <c r="M98" s="13">
        <f t="shared" si="12"/>
        <v>0</v>
      </c>
    </row>
    <row r="99" ht="12.75" customHeight="1">
      <c r="A99" s="30"/>
      <c r="B99" s="49"/>
      <c r="C99" s="50" t="s">
        <v>85</v>
      </c>
      <c r="D99" s="51"/>
      <c r="E99" s="19" t="s">
        <v>206</v>
      </c>
      <c r="F99" s="19" t="s">
        <v>206</v>
      </c>
      <c r="G99" s="19" t="s">
        <v>206</v>
      </c>
      <c r="H99" s="19" t="s">
        <v>206</v>
      </c>
      <c r="I99" s="19" t="s">
        <v>206</v>
      </c>
      <c r="J99" s="19" t="s">
        <v>206</v>
      </c>
      <c r="K99" s="19"/>
      <c r="L99" s="19"/>
      <c r="M99" s="13">
        <f t="shared" si="12"/>
        <v>0</v>
      </c>
    </row>
    <row r="100" ht="12.75" customHeight="1">
      <c r="A100" s="30"/>
      <c r="B100" s="49"/>
      <c r="C100" s="50" t="s">
        <v>86</v>
      </c>
      <c r="D100" s="51"/>
      <c r="E100" s="19" t="s">
        <v>206</v>
      </c>
      <c r="F100" s="19" t="s">
        <v>206</v>
      </c>
      <c r="G100" s="19" t="s">
        <v>206</v>
      </c>
      <c r="H100" s="19" t="s">
        <v>206</v>
      </c>
      <c r="I100" s="19" t="s">
        <v>206</v>
      </c>
      <c r="J100" s="19" t="s">
        <v>206</v>
      </c>
      <c r="K100" s="19"/>
      <c r="L100" s="19"/>
      <c r="M100" s="13">
        <f t="shared" si="12"/>
        <v>0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L101" si="19">SUM(E94:E100)</f>
        <v>0</v>
      </c>
      <c r="F101" s="13">
        <f t="shared" si="19"/>
        <v>0</v>
      </c>
      <c r="G101" s="13">
        <f t="shared" si="19"/>
        <v>0</v>
      </c>
      <c r="H101" s="13">
        <f t="shared" si="19"/>
        <v>0</v>
      </c>
      <c r="I101" s="13">
        <f t="shared" si="19"/>
        <v>0</v>
      </c>
      <c r="J101" s="13">
        <f t="shared" si="19"/>
        <v>0</v>
      </c>
      <c r="K101" s="13">
        <f t="shared" si="19"/>
        <v>0</v>
      </c>
      <c r="L101" s="13">
        <f t="shared" si="19"/>
        <v>0</v>
      </c>
      <c r="M101" s="13">
        <f t="shared" si="12"/>
        <v>0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13">
        <f t="shared" si="12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19" t="s">
        <v>206</v>
      </c>
      <c r="F103" s="19" t="s">
        <v>206</v>
      </c>
      <c r="G103" s="19" t="s">
        <v>206</v>
      </c>
      <c r="H103" s="19" t="s">
        <v>206</v>
      </c>
      <c r="I103" s="19" t="s">
        <v>216</v>
      </c>
      <c r="J103" s="19" t="s">
        <v>216</v>
      </c>
      <c r="K103" s="19"/>
      <c r="L103" s="19"/>
      <c r="M103" s="13">
        <f t="shared" si="12"/>
        <v>0</v>
      </c>
    </row>
    <row r="104" ht="12.75" customHeight="1">
      <c r="A104" s="30" t="s">
        <v>39</v>
      </c>
      <c r="B104" s="49"/>
      <c r="C104" s="50" t="s">
        <v>89</v>
      </c>
      <c r="D104" s="51"/>
      <c r="E104" s="19" t="s">
        <v>206</v>
      </c>
      <c r="F104" s="19" t="s">
        <v>206</v>
      </c>
      <c r="G104" s="19" t="s">
        <v>206</v>
      </c>
      <c r="H104" s="19" t="s">
        <v>206</v>
      </c>
      <c r="I104" s="19" t="s">
        <v>216</v>
      </c>
      <c r="J104" s="19" t="s">
        <v>206</v>
      </c>
      <c r="K104" s="19"/>
      <c r="L104" s="19"/>
      <c r="M104" s="13">
        <f t="shared" si="12"/>
        <v>0</v>
      </c>
    </row>
    <row r="105" ht="12.75" customHeight="1">
      <c r="A105" s="18"/>
      <c r="B105" s="49"/>
      <c r="C105" s="50" t="s">
        <v>90</v>
      </c>
      <c r="D105" s="51"/>
      <c r="E105" s="19" t="s">
        <v>206</v>
      </c>
      <c r="F105" s="19" t="s">
        <v>206</v>
      </c>
      <c r="G105" s="19" t="s">
        <v>206</v>
      </c>
      <c r="H105" s="19" t="s">
        <v>206</v>
      </c>
      <c r="I105" s="19" t="s">
        <v>206</v>
      </c>
      <c r="J105" s="19" t="s">
        <v>206</v>
      </c>
      <c r="K105" s="19"/>
      <c r="L105" s="19"/>
      <c r="M105" s="13">
        <f t="shared" si="12"/>
        <v>0</v>
      </c>
    </row>
    <row r="106" ht="12.75" customHeight="1">
      <c r="A106" s="18"/>
      <c r="B106" s="49"/>
      <c r="C106" s="50" t="s">
        <v>91</v>
      </c>
      <c r="D106" s="51"/>
      <c r="E106" s="19" t="s">
        <v>201</v>
      </c>
      <c r="F106" s="19" t="s">
        <v>205</v>
      </c>
      <c r="G106" s="19" t="s">
        <v>206</v>
      </c>
      <c r="H106" s="19" t="s">
        <v>206</v>
      </c>
      <c r="I106" s="19" t="s">
        <v>216</v>
      </c>
      <c r="J106" s="19" t="s">
        <v>206</v>
      </c>
      <c r="K106" s="19"/>
      <c r="L106" s="19"/>
      <c r="M106" s="13">
        <f t="shared" si="12"/>
        <v>0</v>
      </c>
    </row>
    <row r="107" ht="12.75" customHeight="1">
      <c r="A107" s="18"/>
      <c r="B107" s="49"/>
      <c r="C107" s="50" t="s">
        <v>92</v>
      </c>
      <c r="D107" s="51"/>
      <c r="E107" s="19" t="s">
        <v>206</v>
      </c>
      <c r="F107" s="19" t="s">
        <v>206</v>
      </c>
      <c r="G107" s="19" t="s">
        <v>206</v>
      </c>
      <c r="H107" s="19" t="s">
        <v>206</v>
      </c>
      <c r="I107" s="19" t="s">
        <v>206</v>
      </c>
      <c r="J107" s="19" t="s">
        <v>206</v>
      </c>
      <c r="K107" s="19"/>
      <c r="L107" s="19"/>
      <c r="M107" s="13">
        <f t="shared" si="12"/>
        <v>0</v>
      </c>
    </row>
    <row r="108" ht="12.75" customHeight="1">
      <c r="A108" s="18"/>
      <c r="B108" s="49"/>
      <c r="C108" s="50" t="s">
        <v>93</v>
      </c>
      <c r="D108" s="51"/>
      <c r="E108" s="19" t="s">
        <v>206</v>
      </c>
      <c r="F108" s="19" t="s">
        <v>206</v>
      </c>
      <c r="G108" s="19" t="s">
        <v>206</v>
      </c>
      <c r="H108" s="19" t="s">
        <v>206</v>
      </c>
      <c r="I108" s="19" t="s">
        <v>206</v>
      </c>
      <c r="J108" s="19" t="s">
        <v>206</v>
      </c>
      <c r="K108" s="19"/>
      <c r="L108" s="19"/>
      <c r="M108" s="13">
        <f t="shared" si="12"/>
        <v>0</v>
      </c>
    </row>
    <row r="109" ht="12.75" customHeight="1">
      <c r="A109" s="18"/>
      <c r="B109" s="49"/>
      <c r="C109" s="50" t="s">
        <v>94</v>
      </c>
      <c r="D109" s="51"/>
      <c r="E109" s="19" t="s">
        <v>206</v>
      </c>
      <c r="F109" s="19" t="s">
        <v>206</v>
      </c>
      <c r="G109" s="19" t="s">
        <v>206</v>
      </c>
      <c r="H109" s="19" t="s">
        <v>216</v>
      </c>
      <c r="I109" s="19" t="s">
        <v>202</v>
      </c>
      <c r="J109" s="19"/>
      <c r="K109" s="19"/>
      <c r="L109" s="19" t="s">
        <v>205</v>
      </c>
      <c r="M109" s="13">
        <f t="shared" si="12"/>
        <v>0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L110" si="20">SUM(E103:E109)</f>
        <v>0</v>
      </c>
      <c r="F110" s="13">
        <f t="shared" si="20"/>
        <v>0</v>
      </c>
      <c r="G110" s="13">
        <f t="shared" si="20"/>
        <v>0</v>
      </c>
      <c r="H110" s="13">
        <f t="shared" si="20"/>
        <v>0</v>
      </c>
      <c r="I110" s="13">
        <f t="shared" si="20"/>
        <v>0</v>
      </c>
      <c r="J110" s="13">
        <f t="shared" si="20"/>
        <v>0</v>
      </c>
      <c r="K110" s="13">
        <f t="shared" si="20"/>
        <v>0</v>
      </c>
      <c r="L110" s="13">
        <f t="shared" si="20"/>
        <v>0</v>
      </c>
      <c r="M110" s="13">
        <f t="shared" si="12"/>
        <v>0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13">
        <f t="shared" si="12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19" t="s">
        <v>206</v>
      </c>
      <c r="F112" s="19" t="s">
        <v>206</v>
      </c>
      <c r="G112" s="19" t="s">
        <v>206</v>
      </c>
      <c r="H112" s="19" t="s">
        <v>206</v>
      </c>
      <c r="I112" s="19" t="s">
        <v>206</v>
      </c>
      <c r="J112" s="19" t="s">
        <v>206</v>
      </c>
      <c r="K112" s="19"/>
      <c r="L112" s="19"/>
      <c r="M112" s="13">
        <f t="shared" si="12"/>
        <v>0</v>
      </c>
    </row>
    <row r="113" ht="12.75" customHeight="1">
      <c r="A113" s="30"/>
      <c r="B113" s="47"/>
      <c r="C113" s="50" t="s">
        <v>97</v>
      </c>
      <c r="D113" s="59"/>
      <c r="E113" s="19" t="s">
        <v>206</v>
      </c>
      <c r="F113" s="19" t="s">
        <v>206</v>
      </c>
      <c r="G113" s="19" t="s">
        <v>206</v>
      </c>
      <c r="H113" s="19" t="s">
        <v>206</v>
      </c>
      <c r="I113" s="19" t="s">
        <v>206</v>
      </c>
      <c r="J113" s="19" t="s">
        <v>206</v>
      </c>
      <c r="K113" s="19"/>
      <c r="L113" s="19"/>
      <c r="M113" s="13">
        <f t="shared" si="12"/>
        <v>0</v>
      </c>
    </row>
    <row r="114" ht="12.75" customHeight="1">
      <c r="A114" s="30"/>
      <c r="B114" s="47"/>
      <c r="C114" s="50" t="s">
        <v>98</v>
      </c>
      <c r="D114" s="59"/>
      <c r="E114" s="19" t="s">
        <v>206</v>
      </c>
      <c r="F114" s="19" t="s">
        <v>206</v>
      </c>
      <c r="G114" s="19" t="s">
        <v>216</v>
      </c>
      <c r="H114" s="19" t="s">
        <v>206</v>
      </c>
      <c r="I114" s="19" t="s">
        <v>216</v>
      </c>
      <c r="J114" s="19"/>
      <c r="K114" s="19"/>
      <c r="L114" s="19"/>
      <c r="M114" s="13">
        <f t="shared" si="12"/>
        <v>0</v>
      </c>
    </row>
    <row r="115" ht="12.75" customHeight="1">
      <c r="A115" s="30"/>
      <c r="B115" s="47"/>
      <c r="C115" s="50" t="s">
        <v>99</v>
      </c>
      <c r="D115" s="59"/>
      <c r="E115" s="19" t="s">
        <v>206</v>
      </c>
      <c r="F115" s="19" t="s">
        <v>206</v>
      </c>
      <c r="G115" s="19" t="s">
        <v>206</v>
      </c>
      <c r="H115" s="19" t="s">
        <v>206</v>
      </c>
      <c r="I115" s="19" t="s">
        <v>206</v>
      </c>
      <c r="J115" s="19" t="s">
        <v>206</v>
      </c>
      <c r="K115" s="19"/>
      <c r="L115" s="19"/>
      <c r="M115" s="13">
        <f t="shared" si="12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19" t="s">
        <v>206</v>
      </c>
      <c r="F116" s="19" t="s">
        <v>206</v>
      </c>
      <c r="G116" s="19" t="s">
        <v>206</v>
      </c>
      <c r="H116" s="19" t="s">
        <v>206</v>
      </c>
      <c r="I116" s="19" t="s">
        <v>206</v>
      </c>
      <c r="J116" s="19" t="s">
        <v>206</v>
      </c>
      <c r="K116" s="19"/>
      <c r="L116" s="19"/>
      <c r="M116" s="13">
        <f t="shared" si="12"/>
        <v>0</v>
      </c>
    </row>
    <row r="117" ht="12.75" customHeight="1">
      <c r="A117" s="18"/>
      <c r="B117" s="49"/>
      <c r="C117" s="50" t="s">
        <v>101</v>
      </c>
      <c r="D117" s="51"/>
      <c r="E117" s="19" t="s">
        <v>206</v>
      </c>
      <c r="F117" s="19" t="s">
        <v>206</v>
      </c>
      <c r="G117" s="19" t="s">
        <v>206</v>
      </c>
      <c r="H117" s="19" t="s">
        <v>206</v>
      </c>
      <c r="I117" s="19" t="s">
        <v>206</v>
      </c>
      <c r="J117" s="19" t="s">
        <v>206</v>
      </c>
      <c r="K117" s="19"/>
      <c r="L117" s="19"/>
      <c r="M117" s="13">
        <f t="shared" si="12"/>
        <v>0</v>
      </c>
      <c r="N117" s="5"/>
      <c r="O117" s="5"/>
    </row>
    <row r="118" ht="12.75" customHeight="1">
      <c r="A118" s="18"/>
      <c r="B118" s="49"/>
      <c r="C118" s="50" t="s">
        <v>102</v>
      </c>
      <c r="D118" s="51"/>
      <c r="E118" s="19" t="s">
        <v>206</v>
      </c>
      <c r="F118" s="19" t="s">
        <v>206</v>
      </c>
      <c r="G118" s="19" t="s">
        <v>206</v>
      </c>
      <c r="H118" s="19" t="s">
        <v>206</v>
      </c>
      <c r="I118" s="19" t="s">
        <v>206</v>
      </c>
      <c r="J118" s="19" t="s">
        <v>206</v>
      </c>
      <c r="K118" s="19"/>
      <c r="L118" s="19"/>
      <c r="M118" s="13">
        <f t="shared" si="12"/>
        <v>0</v>
      </c>
      <c r="N118" s="5"/>
      <c r="O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L119" si="21">SUM(E112:E118)</f>
        <v>0</v>
      </c>
      <c r="F119" s="13">
        <f t="shared" si="21"/>
        <v>0</v>
      </c>
      <c r="G119" s="13">
        <f t="shared" si="21"/>
        <v>0</v>
      </c>
      <c r="H119" s="13">
        <f t="shared" si="21"/>
        <v>0</v>
      </c>
      <c r="I119" s="13">
        <f t="shared" si="21"/>
        <v>0</v>
      </c>
      <c r="J119" s="13">
        <f t="shared" si="21"/>
        <v>0</v>
      </c>
      <c r="K119" s="13">
        <f t="shared" si="21"/>
        <v>0</v>
      </c>
      <c r="L119" s="13">
        <f t="shared" si="21"/>
        <v>0</v>
      </c>
      <c r="M119" s="13">
        <f t="shared" si="12"/>
        <v>0</v>
      </c>
      <c r="N119" s="5"/>
      <c r="O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13">
        <f t="shared" si="12"/>
        <v>0</v>
      </c>
      <c r="N120" s="5"/>
      <c r="O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19" t="s">
        <v>206</v>
      </c>
      <c r="F121" s="19" t="s">
        <v>206</v>
      </c>
      <c r="G121" s="19" t="s">
        <v>206</v>
      </c>
      <c r="H121" s="19" t="s">
        <v>206</v>
      </c>
      <c r="I121" s="19" t="s">
        <v>206</v>
      </c>
      <c r="J121" s="19" t="s">
        <v>206</v>
      </c>
      <c r="K121" s="19"/>
      <c r="L121" s="19"/>
      <c r="M121" s="13">
        <f t="shared" si="12"/>
        <v>0</v>
      </c>
      <c r="N121" s="5"/>
      <c r="O121" s="5"/>
    </row>
    <row r="122" ht="12.75" customHeight="1">
      <c r="A122" s="30" t="s">
        <v>39</v>
      </c>
      <c r="B122" s="49"/>
      <c r="C122" s="50" t="s">
        <v>105</v>
      </c>
      <c r="D122" s="51"/>
      <c r="E122" s="19" t="s">
        <v>206</v>
      </c>
      <c r="F122" s="19" t="s">
        <v>206</v>
      </c>
      <c r="G122" s="19" t="s">
        <v>206</v>
      </c>
      <c r="H122" s="19" t="s">
        <v>206</v>
      </c>
      <c r="I122" s="19" t="s">
        <v>206</v>
      </c>
      <c r="J122" s="19" t="s">
        <v>206</v>
      </c>
      <c r="K122" s="19"/>
      <c r="L122" s="19"/>
      <c r="M122" s="13">
        <f t="shared" si="12"/>
        <v>0</v>
      </c>
      <c r="N122" s="5"/>
      <c r="O122" s="5"/>
    </row>
    <row r="123" ht="12.75" customHeight="1">
      <c r="A123" s="18"/>
      <c r="B123" s="49"/>
      <c r="C123" s="50" t="s">
        <v>106</v>
      </c>
      <c r="D123" s="51"/>
      <c r="E123" s="19" t="s">
        <v>216</v>
      </c>
      <c r="F123" s="19" t="s">
        <v>200</v>
      </c>
      <c r="G123" s="19" t="s">
        <v>206</v>
      </c>
      <c r="H123" s="19" t="s">
        <v>206</v>
      </c>
      <c r="I123" s="19" t="s">
        <v>216</v>
      </c>
      <c r="J123" s="19" t="s">
        <v>206</v>
      </c>
      <c r="K123" s="19"/>
      <c r="L123" s="19"/>
      <c r="M123" s="13">
        <f t="shared" si="12"/>
        <v>0</v>
      </c>
      <c r="N123" s="5"/>
      <c r="O123" s="5"/>
    </row>
    <row r="124" ht="12.75" customHeight="1">
      <c r="A124" s="18"/>
      <c r="B124" s="49"/>
      <c r="C124" s="50" t="s">
        <v>107</v>
      </c>
      <c r="D124" s="51"/>
      <c r="E124" s="19" t="s">
        <v>206</v>
      </c>
      <c r="F124" s="19" t="s">
        <v>206</v>
      </c>
      <c r="G124" s="19" t="s">
        <v>206</v>
      </c>
      <c r="H124" s="19" t="s">
        <v>206</v>
      </c>
      <c r="I124" s="19" t="s">
        <v>206</v>
      </c>
      <c r="J124" s="19" t="s">
        <v>206</v>
      </c>
      <c r="K124" s="19"/>
      <c r="L124" s="19"/>
      <c r="M124" s="13">
        <f t="shared" si="12"/>
        <v>0</v>
      </c>
      <c r="N124" s="5"/>
      <c r="O124" s="5"/>
    </row>
    <row r="125" ht="12.75" customHeight="1">
      <c r="A125" s="18"/>
      <c r="B125" s="49"/>
      <c r="C125" s="50" t="s">
        <v>108</v>
      </c>
      <c r="D125" s="51"/>
      <c r="E125" s="19" t="s">
        <v>206</v>
      </c>
      <c r="F125" s="19" t="s">
        <v>206</v>
      </c>
      <c r="G125" s="19" t="s">
        <v>206</v>
      </c>
      <c r="H125" s="19" t="s">
        <v>206</v>
      </c>
      <c r="I125" s="19" t="s">
        <v>206</v>
      </c>
      <c r="J125" s="19" t="s">
        <v>206</v>
      </c>
      <c r="K125" s="19"/>
      <c r="L125" s="19"/>
      <c r="M125" s="13">
        <f t="shared" si="12"/>
        <v>0</v>
      </c>
      <c r="N125" s="5"/>
      <c r="O125" s="5"/>
    </row>
    <row r="126" ht="12.75" customHeight="1">
      <c r="A126" s="18"/>
      <c r="B126" s="49"/>
      <c r="C126" s="50" t="s">
        <v>109</v>
      </c>
      <c r="D126" s="51"/>
      <c r="E126" s="19" t="s">
        <v>206</v>
      </c>
      <c r="F126" s="19" t="s">
        <v>206</v>
      </c>
      <c r="G126" s="19" t="s">
        <v>216</v>
      </c>
      <c r="H126" s="19" t="s">
        <v>206</v>
      </c>
      <c r="I126" s="19" t="s">
        <v>206</v>
      </c>
      <c r="J126" s="19" t="s">
        <v>216</v>
      </c>
      <c r="K126" s="19"/>
      <c r="L126" s="19"/>
      <c r="M126" s="13">
        <f t="shared" si="12"/>
        <v>0</v>
      </c>
      <c r="N126" s="5"/>
      <c r="O126" s="5"/>
    </row>
    <row r="127" ht="12.75" customHeight="1">
      <c r="A127" s="18"/>
      <c r="B127" s="49"/>
      <c r="C127" s="50" t="s">
        <v>110</v>
      </c>
      <c r="D127" s="51"/>
      <c r="E127" s="19" t="s">
        <v>206</v>
      </c>
      <c r="F127" s="19" t="s">
        <v>206</v>
      </c>
      <c r="G127" s="19" t="s">
        <v>206</v>
      </c>
      <c r="H127" s="19" t="s">
        <v>206</v>
      </c>
      <c r="I127" s="19" t="s">
        <v>206</v>
      </c>
      <c r="J127" s="19" t="s">
        <v>206</v>
      </c>
      <c r="K127" s="19"/>
      <c r="L127" s="19"/>
      <c r="M127" s="13">
        <f t="shared" si="12"/>
        <v>0</v>
      </c>
      <c r="N127" s="5"/>
      <c r="O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L128" si="22">SUM(E121:E127)</f>
        <v>0</v>
      </c>
      <c r="F128" s="13">
        <f t="shared" si="22"/>
        <v>0</v>
      </c>
      <c r="G128" s="13">
        <f t="shared" si="22"/>
        <v>0</v>
      </c>
      <c r="H128" s="13">
        <f t="shared" si="22"/>
        <v>0</v>
      </c>
      <c r="I128" s="13">
        <f t="shared" si="22"/>
        <v>0</v>
      </c>
      <c r="J128" s="13">
        <f t="shared" si="22"/>
        <v>0</v>
      </c>
      <c r="K128" s="13">
        <f t="shared" si="22"/>
        <v>0</v>
      </c>
      <c r="L128" s="13">
        <f t="shared" si="22"/>
        <v>0</v>
      </c>
      <c r="M128" s="13">
        <f t="shared" si="12"/>
        <v>0</v>
      </c>
      <c r="N128" s="5"/>
      <c r="O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13">
        <f t="shared" si="12"/>
        <v>0</v>
      </c>
      <c r="N129" s="5"/>
      <c r="O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19" t="s">
        <v>216</v>
      </c>
      <c r="F130" s="19" t="s">
        <v>206</v>
      </c>
      <c r="G130" s="19" t="s">
        <v>206</v>
      </c>
      <c r="H130" s="19" t="s">
        <v>206</v>
      </c>
      <c r="I130" s="19" t="s">
        <v>206</v>
      </c>
      <c r="J130" s="19" t="s">
        <v>206</v>
      </c>
      <c r="K130" s="19"/>
      <c r="L130" s="19"/>
      <c r="M130" s="13">
        <f t="shared" si="12"/>
        <v>0</v>
      </c>
      <c r="N130" s="1"/>
      <c r="O130" s="1"/>
    </row>
    <row r="131" ht="12.75" customHeight="1">
      <c r="A131" s="30" t="s">
        <v>39</v>
      </c>
      <c r="B131" s="49"/>
      <c r="C131" s="50" t="s">
        <v>113</v>
      </c>
      <c r="D131" s="51"/>
      <c r="E131" s="19"/>
      <c r="F131" s="19"/>
      <c r="G131" s="19"/>
      <c r="H131" s="19"/>
      <c r="I131" s="19"/>
      <c r="J131" s="19"/>
      <c r="K131" s="19"/>
      <c r="L131" s="19"/>
      <c r="M131" s="13">
        <f t="shared" si="12"/>
        <v>0</v>
      </c>
      <c r="N131" s="53"/>
      <c r="O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L132" si="23">SUM(E130:E131)</f>
        <v>0</v>
      </c>
      <c r="F132" s="13">
        <f t="shared" si="23"/>
        <v>0</v>
      </c>
      <c r="G132" s="13">
        <f t="shared" si="23"/>
        <v>0</v>
      </c>
      <c r="H132" s="13">
        <f t="shared" si="23"/>
        <v>0</v>
      </c>
      <c r="I132" s="13">
        <f t="shared" si="23"/>
        <v>0</v>
      </c>
      <c r="J132" s="13">
        <f t="shared" si="23"/>
        <v>0</v>
      </c>
      <c r="K132" s="13">
        <f t="shared" si="23"/>
        <v>0</v>
      </c>
      <c r="L132" s="13">
        <f t="shared" si="23"/>
        <v>0</v>
      </c>
      <c r="M132" s="13">
        <f t="shared" si="12"/>
        <v>0</v>
      </c>
      <c r="N132" s="5"/>
      <c r="O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13">
        <f t="shared" si="12"/>
        <v>0</v>
      </c>
      <c r="N133" s="5"/>
      <c r="O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66">
        <v>0.0</v>
      </c>
      <c r="F134" s="66">
        <v>0.0</v>
      </c>
      <c r="G134" s="66">
        <v>0.0</v>
      </c>
      <c r="H134" s="66">
        <v>1.0</v>
      </c>
      <c r="I134" s="66">
        <v>0.0</v>
      </c>
      <c r="J134" s="66">
        <v>0.0</v>
      </c>
      <c r="K134" s="19"/>
      <c r="L134" s="19"/>
      <c r="M134" s="13">
        <f t="shared" si="12"/>
        <v>1</v>
      </c>
      <c r="N134" s="5"/>
      <c r="O134" s="5"/>
    </row>
    <row r="135" ht="12.75" customHeight="1">
      <c r="A135" s="30" t="s">
        <v>39</v>
      </c>
      <c r="B135" s="49"/>
      <c r="C135" s="50" t="s">
        <v>116</v>
      </c>
      <c r="D135" s="51"/>
      <c r="E135" s="66">
        <v>0.0</v>
      </c>
      <c r="F135" s="66">
        <v>0.0</v>
      </c>
      <c r="G135" s="66">
        <v>0.0</v>
      </c>
      <c r="H135" s="66">
        <v>0.0</v>
      </c>
      <c r="I135" s="66">
        <v>0.0</v>
      </c>
      <c r="J135" s="66">
        <v>0.0</v>
      </c>
      <c r="K135" s="19"/>
      <c r="L135" s="19"/>
      <c r="M135" s="13">
        <f t="shared" si="12"/>
        <v>0</v>
      </c>
      <c r="N135" s="5"/>
      <c r="O135" s="5"/>
    </row>
    <row r="136" ht="12.75" customHeight="1">
      <c r="A136" s="18"/>
      <c r="B136" s="49"/>
      <c r="C136" s="50" t="s">
        <v>117</v>
      </c>
      <c r="D136" s="51"/>
      <c r="E136" s="66">
        <v>0.0</v>
      </c>
      <c r="F136" s="66">
        <v>0.0</v>
      </c>
      <c r="G136" s="66">
        <v>0.0</v>
      </c>
      <c r="H136" s="66">
        <v>0.0</v>
      </c>
      <c r="I136" s="66">
        <v>0.0</v>
      </c>
      <c r="J136" s="66">
        <v>0.0</v>
      </c>
      <c r="K136" s="19"/>
      <c r="L136" s="19"/>
      <c r="M136" s="13">
        <f t="shared" si="12"/>
        <v>0</v>
      </c>
      <c r="N136" s="5"/>
      <c r="O136" s="5"/>
    </row>
    <row r="137" ht="12.75" customHeight="1">
      <c r="A137" s="18"/>
      <c r="B137" s="49"/>
      <c r="C137" s="50" t="s">
        <v>118</v>
      </c>
      <c r="D137" s="51"/>
      <c r="E137" s="66">
        <v>2.0</v>
      </c>
      <c r="F137" s="66">
        <v>0.0</v>
      </c>
      <c r="G137" s="66">
        <v>0.0</v>
      </c>
      <c r="H137" s="66">
        <v>0.0</v>
      </c>
      <c r="I137" s="66">
        <v>1.0</v>
      </c>
      <c r="J137" s="19"/>
      <c r="K137" s="19"/>
      <c r="L137" s="19"/>
      <c r="M137" s="13">
        <f t="shared" si="12"/>
        <v>3</v>
      </c>
      <c r="N137" s="5"/>
      <c r="O137" s="5"/>
    </row>
    <row r="138" ht="12.75" customHeight="1">
      <c r="A138" s="18"/>
      <c r="B138" s="49"/>
      <c r="C138" s="50" t="s">
        <v>119</v>
      </c>
      <c r="D138" s="51"/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0.0</v>
      </c>
      <c r="K138" s="19"/>
      <c r="L138" s="19"/>
      <c r="M138" s="13">
        <f t="shared" si="12"/>
        <v>0</v>
      </c>
      <c r="N138" s="5"/>
      <c r="O138" s="5"/>
    </row>
    <row r="139" ht="12.75" customHeight="1">
      <c r="A139" s="18"/>
      <c r="B139" s="49"/>
      <c r="C139" s="50" t="s">
        <v>120</v>
      </c>
      <c r="D139" s="51"/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19"/>
      <c r="L139" s="19"/>
      <c r="M139" s="13">
        <f t="shared" si="12"/>
        <v>0</v>
      </c>
      <c r="N139" s="5"/>
      <c r="O139" s="5"/>
    </row>
    <row r="140" ht="12.75" customHeight="1">
      <c r="A140" s="18"/>
      <c r="B140" s="49"/>
      <c r="C140" s="50" t="s">
        <v>121</v>
      </c>
      <c r="D140" s="51"/>
      <c r="E140" s="66">
        <v>0.0</v>
      </c>
      <c r="F140" s="66">
        <v>1.0</v>
      </c>
      <c r="G140" s="66">
        <v>0.0</v>
      </c>
      <c r="H140" s="66">
        <v>0.0</v>
      </c>
      <c r="I140" s="66">
        <v>0.0</v>
      </c>
      <c r="J140" s="19"/>
      <c r="K140" s="19"/>
      <c r="L140" s="19"/>
      <c r="M140" s="13">
        <f t="shared" si="12"/>
        <v>1</v>
      </c>
      <c r="N140" s="5"/>
      <c r="O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L141" si="24">SUM(E134:E140)</f>
        <v>2</v>
      </c>
      <c r="F141" s="13">
        <f t="shared" si="24"/>
        <v>1</v>
      </c>
      <c r="G141" s="13">
        <f t="shared" si="24"/>
        <v>0</v>
      </c>
      <c r="H141" s="13">
        <f t="shared" si="24"/>
        <v>1</v>
      </c>
      <c r="I141" s="13">
        <f t="shared" si="24"/>
        <v>1</v>
      </c>
      <c r="J141" s="13">
        <f t="shared" si="24"/>
        <v>0</v>
      </c>
      <c r="K141" s="13">
        <f t="shared" si="24"/>
        <v>0</v>
      </c>
      <c r="L141" s="13">
        <f t="shared" si="24"/>
        <v>0</v>
      </c>
      <c r="M141" s="13">
        <f t="shared" si="12"/>
        <v>5</v>
      </c>
      <c r="N141" s="1"/>
      <c r="O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13">
        <f t="shared" si="12"/>
        <v>0</v>
      </c>
      <c r="N142" s="53"/>
      <c r="O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66">
        <v>0.0</v>
      </c>
      <c r="F143" s="66">
        <v>0.0</v>
      </c>
      <c r="G143" s="66">
        <v>1.0</v>
      </c>
      <c r="H143" s="66">
        <v>0.0</v>
      </c>
      <c r="I143" s="66">
        <v>0.0</v>
      </c>
      <c r="J143" s="66">
        <v>1.0</v>
      </c>
      <c r="K143" s="19"/>
      <c r="L143" s="19"/>
      <c r="M143" s="13">
        <f t="shared" si="12"/>
        <v>2</v>
      </c>
      <c r="N143" s="5"/>
      <c r="O143" s="5"/>
    </row>
    <row r="144" ht="12.75" customHeight="1">
      <c r="A144" s="30" t="s">
        <v>39</v>
      </c>
      <c r="B144" s="49"/>
      <c r="C144" s="50" t="s">
        <v>124</v>
      </c>
      <c r="D144" s="51"/>
      <c r="E144" s="66">
        <v>0.0</v>
      </c>
      <c r="F144" s="66">
        <v>0.0</v>
      </c>
      <c r="G144" s="66">
        <v>0.0</v>
      </c>
      <c r="H144" s="66">
        <v>0.0</v>
      </c>
      <c r="I144" s="66">
        <v>0.0</v>
      </c>
      <c r="J144" s="66">
        <v>0.0</v>
      </c>
      <c r="K144" s="19"/>
      <c r="L144" s="19"/>
      <c r="M144" s="13">
        <f t="shared" si="12"/>
        <v>0</v>
      </c>
      <c r="N144" s="5"/>
      <c r="O144" s="5"/>
    </row>
    <row r="145" ht="12.75" customHeight="1">
      <c r="A145" s="18"/>
      <c r="B145" s="49"/>
      <c r="C145" s="50" t="s">
        <v>125</v>
      </c>
      <c r="D145" s="51"/>
      <c r="E145" s="66">
        <v>0.0</v>
      </c>
      <c r="F145" s="66">
        <v>0.0</v>
      </c>
      <c r="G145" s="66">
        <v>0.0</v>
      </c>
      <c r="H145" s="66">
        <v>0.0</v>
      </c>
      <c r="I145" s="66">
        <v>0.0</v>
      </c>
      <c r="J145" s="66">
        <v>0.0</v>
      </c>
      <c r="K145" s="19"/>
      <c r="L145" s="19"/>
      <c r="M145" s="13">
        <f t="shared" si="12"/>
        <v>0</v>
      </c>
      <c r="N145" s="5"/>
      <c r="O145" s="5"/>
    </row>
    <row r="146" ht="12.75" customHeight="1">
      <c r="A146" s="18"/>
      <c r="B146" s="49"/>
      <c r="C146" s="50" t="s">
        <v>126</v>
      </c>
      <c r="D146" s="51"/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19"/>
      <c r="L146" s="19"/>
      <c r="M146" s="13">
        <f t="shared" si="12"/>
        <v>0</v>
      </c>
      <c r="N146" s="5"/>
      <c r="O146" s="5"/>
    </row>
    <row r="147" ht="12.75" customHeight="1">
      <c r="A147" s="18"/>
      <c r="B147" s="49"/>
      <c r="C147" s="50" t="s">
        <v>127</v>
      </c>
      <c r="D147" s="51"/>
      <c r="E147" s="66">
        <v>0.0</v>
      </c>
      <c r="F147" s="66">
        <v>0.0</v>
      </c>
      <c r="G147" s="66">
        <v>0.0</v>
      </c>
      <c r="H147" s="66">
        <v>0.0</v>
      </c>
      <c r="I147" s="66">
        <v>0.0</v>
      </c>
      <c r="J147" s="66">
        <v>0.0</v>
      </c>
      <c r="K147" s="19"/>
      <c r="L147" s="19"/>
      <c r="M147" s="13">
        <f t="shared" si="12"/>
        <v>0</v>
      </c>
      <c r="N147" s="5"/>
      <c r="O147" s="5"/>
    </row>
    <row r="148" ht="12.75" customHeight="1">
      <c r="A148" s="18"/>
      <c r="B148" s="49"/>
      <c r="C148" s="50" t="s">
        <v>128</v>
      </c>
      <c r="D148" s="51"/>
      <c r="E148" s="66">
        <v>0.0</v>
      </c>
      <c r="F148" s="66">
        <v>0.0</v>
      </c>
      <c r="G148" s="66">
        <v>0.0</v>
      </c>
      <c r="H148" s="66">
        <v>0.0</v>
      </c>
      <c r="I148" s="66">
        <v>0.0</v>
      </c>
      <c r="J148" s="66">
        <v>0.0</v>
      </c>
      <c r="K148" s="19"/>
      <c r="L148" s="19"/>
      <c r="M148" s="13">
        <f t="shared" si="12"/>
        <v>0</v>
      </c>
      <c r="N148" s="5"/>
      <c r="O148" s="5"/>
    </row>
    <row r="149" ht="12.75" customHeight="1">
      <c r="A149" s="18"/>
      <c r="B149" s="49"/>
      <c r="C149" s="50" t="s">
        <v>129</v>
      </c>
      <c r="D149" s="51"/>
      <c r="E149" s="66">
        <v>0.0</v>
      </c>
      <c r="F149" s="66">
        <v>0.0</v>
      </c>
      <c r="G149" s="66">
        <v>0.0</v>
      </c>
      <c r="H149" s="66">
        <v>0.0</v>
      </c>
      <c r="I149" s="66">
        <v>0.0</v>
      </c>
      <c r="J149" s="66">
        <v>0.0</v>
      </c>
      <c r="K149" s="19"/>
      <c r="L149" s="19"/>
      <c r="M149" s="13">
        <f t="shared" si="12"/>
        <v>0</v>
      </c>
      <c r="N149" s="5"/>
      <c r="O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L150" si="25">SUM(E143:E149)</f>
        <v>0</v>
      </c>
      <c r="F150" s="13">
        <f t="shared" si="25"/>
        <v>0</v>
      </c>
      <c r="G150" s="13">
        <f t="shared" si="25"/>
        <v>1</v>
      </c>
      <c r="H150" s="13">
        <f t="shared" si="25"/>
        <v>0</v>
      </c>
      <c r="I150" s="13">
        <f t="shared" si="25"/>
        <v>0</v>
      </c>
      <c r="J150" s="13">
        <f t="shared" si="25"/>
        <v>1</v>
      </c>
      <c r="K150" s="13">
        <f t="shared" si="25"/>
        <v>0</v>
      </c>
      <c r="L150" s="13">
        <f t="shared" si="25"/>
        <v>0</v>
      </c>
      <c r="M150" s="13">
        <f t="shared" si="12"/>
        <v>2</v>
      </c>
      <c r="N150" s="5"/>
      <c r="O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13">
        <f t="shared" si="12"/>
        <v>0</v>
      </c>
      <c r="N151" s="1"/>
      <c r="O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2.0</v>
      </c>
      <c r="F152" s="66">
        <v>3.0</v>
      </c>
      <c r="G152" s="66">
        <v>4.0</v>
      </c>
      <c r="H152" s="66">
        <v>1.0</v>
      </c>
      <c r="I152" s="66">
        <v>1.0</v>
      </c>
      <c r="J152" s="66">
        <v>4.0</v>
      </c>
      <c r="K152" s="66">
        <v>1.0</v>
      </c>
      <c r="L152" s="66">
        <v>8.0</v>
      </c>
      <c r="M152" s="13">
        <f t="shared" si="12"/>
        <v>24</v>
      </c>
      <c r="N152" s="53"/>
      <c r="O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1.0</v>
      </c>
      <c r="F153" s="66">
        <v>2.0</v>
      </c>
      <c r="G153" s="66">
        <v>1.0</v>
      </c>
      <c r="H153" s="66">
        <v>1.0</v>
      </c>
      <c r="I153" s="66">
        <v>2.0</v>
      </c>
      <c r="J153" s="66">
        <v>0.0</v>
      </c>
      <c r="K153" s="66">
        <v>1.0</v>
      </c>
      <c r="L153" s="66">
        <v>8.0</v>
      </c>
      <c r="M153" s="13">
        <f t="shared" si="12"/>
        <v>16</v>
      </c>
      <c r="N153" s="5"/>
      <c r="O153" s="5"/>
    </row>
    <row r="154" ht="12.75" customHeight="1">
      <c r="A154" s="18"/>
      <c r="B154" s="49"/>
      <c r="C154" s="50" t="s">
        <v>133</v>
      </c>
      <c r="D154" s="51"/>
      <c r="E154" s="66">
        <v>16.0</v>
      </c>
      <c r="F154" s="66">
        <v>19.0</v>
      </c>
      <c r="G154" s="66">
        <v>19.0</v>
      </c>
      <c r="H154" s="66">
        <v>14.0</v>
      </c>
      <c r="I154" s="66">
        <v>26.0</v>
      </c>
      <c r="J154" s="66">
        <v>6.0</v>
      </c>
      <c r="K154" s="66">
        <v>15.0</v>
      </c>
      <c r="L154" s="66">
        <v>5.0</v>
      </c>
      <c r="M154" s="13">
        <f t="shared" si="12"/>
        <v>120</v>
      </c>
      <c r="N154" s="5"/>
      <c r="O154" s="5"/>
    </row>
    <row r="155" ht="12.75" customHeight="1">
      <c r="A155" s="18"/>
      <c r="B155" s="49"/>
      <c r="C155" s="50" t="s">
        <v>134</v>
      </c>
      <c r="D155" s="51"/>
      <c r="E155" s="66">
        <v>0.0</v>
      </c>
      <c r="F155" s="66">
        <v>0.0</v>
      </c>
      <c r="G155" s="66">
        <v>1.0</v>
      </c>
      <c r="H155" s="66">
        <v>0.0</v>
      </c>
      <c r="I155" s="66">
        <v>1.0</v>
      </c>
      <c r="J155" s="66">
        <v>0.0</v>
      </c>
      <c r="K155" s="19"/>
      <c r="L155" s="19"/>
      <c r="M155" s="13">
        <f t="shared" si="12"/>
        <v>2</v>
      </c>
      <c r="N155" s="5"/>
      <c r="O155" s="5"/>
    </row>
    <row r="156" ht="12.75" customHeight="1">
      <c r="A156" s="18"/>
      <c r="B156" s="49"/>
      <c r="C156" s="50" t="s">
        <v>135</v>
      </c>
      <c r="D156" s="51"/>
      <c r="E156" s="66">
        <v>0.0</v>
      </c>
      <c r="F156" s="66">
        <v>0.0</v>
      </c>
      <c r="G156" s="66">
        <v>0.0</v>
      </c>
      <c r="H156" s="66">
        <v>0.0</v>
      </c>
      <c r="I156" s="66">
        <v>0.0</v>
      </c>
      <c r="J156" s="66">
        <v>0.0</v>
      </c>
      <c r="K156" s="19"/>
      <c r="L156" s="19"/>
      <c r="M156" s="13">
        <f t="shared" si="12"/>
        <v>0</v>
      </c>
      <c r="N156" s="5"/>
      <c r="O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19"/>
      <c r="L157" s="19"/>
      <c r="M157" s="13">
        <f t="shared" si="12"/>
        <v>0</v>
      </c>
      <c r="N157" s="5"/>
      <c r="O157" s="5"/>
    </row>
    <row r="158" ht="12.75" customHeight="1">
      <c r="A158" s="18"/>
      <c r="B158" s="49"/>
      <c r="C158" s="50" t="s">
        <v>137</v>
      </c>
      <c r="D158" s="51"/>
      <c r="E158" s="66">
        <v>0.0</v>
      </c>
      <c r="F158" s="66">
        <v>0.0</v>
      </c>
      <c r="G158" s="66">
        <v>0.0</v>
      </c>
      <c r="H158" s="66">
        <v>0.0</v>
      </c>
      <c r="I158" s="66">
        <v>0.0</v>
      </c>
      <c r="J158" s="66">
        <v>0.0</v>
      </c>
      <c r="K158" s="19"/>
      <c r="L158" s="19"/>
      <c r="M158" s="13">
        <f t="shared" si="12"/>
        <v>0</v>
      </c>
      <c r="N158" s="5"/>
      <c r="O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L159" si="26">SUM(E152:E158)</f>
        <v>19</v>
      </c>
      <c r="F159" s="13">
        <f t="shared" si="26"/>
        <v>24</v>
      </c>
      <c r="G159" s="13">
        <f t="shared" si="26"/>
        <v>25</v>
      </c>
      <c r="H159" s="13">
        <f t="shared" si="26"/>
        <v>16</v>
      </c>
      <c r="I159" s="13">
        <f t="shared" si="26"/>
        <v>30</v>
      </c>
      <c r="J159" s="13">
        <f t="shared" si="26"/>
        <v>10</v>
      </c>
      <c r="K159" s="13">
        <f t="shared" si="26"/>
        <v>17</v>
      </c>
      <c r="L159" s="13">
        <f t="shared" si="26"/>
        <v>21</v>
      </c>
      <c r="M159" s="13">
        <f t="shared" si="12"/>
        <v>162</v>
      </c>
      <c r="N159" s="5"/>
      <c r="O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13">
        <f t="shared" si="12"/>
        <v>0</v>
      </c>
      <c r="N160" s="5"/>
      <c r="O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1.0</v>
      </c>
      <c r="F161" s="73">
        <v>0.0</v>
      </c>
      <c r="G161" s="73">
        <v>0.0</v>
      </c>
      <c r="H161" s="73">
        <v>1.0</v>
      </c>
      <c r="I161" s="73">
        <v>0.0</v>
      </c>
      <c r="J161" s="73">
        <v>1.0</v>
      </c>
      <c r="K161" s="73">
        <v>1.0</v>
      </c>
      <c r="L161" s="73">
        <v>4.0</v>
      </c>
      <c r="M161" s="13">
        <f t="shared" si="12"/>
        <v>8</v>
      </c>
      <c r="N161" s="5"/>
      <c r="O161" s="5"/>
    </row>
    <row r="162" ht="12.75" customHeight="1">
      <c r="A162" s="30" t="s">
        <v>39</v>
      </c>
      <c r="B162" s="49"/>
      <c r="C162" s="50" t="s">
        <v>140</v>
      </c>
      <c r="D162" s="51"/>
      <c r="E162" s="73">
        <v>0.0</v>
      </c>
      <c r="F162" s="73">
        <v>0.0</v>
      </c>
      <c r="G162" s="73">
        <v>0.0</v>
      </c>
      <c r="H162" s="73">
        <v>1.0</v>
      </c>
      <c r="I162" s="73">
        <v>0.0</v>
      </c>
      <c r="J162" s="73">
        <v>3.0</v>
      </c>
      <c r="K162" s="73">
        <v>4.0</v>
      </c>
      <c r="L162" s="87"/>
      <c r="M162" s="13">
        <f t="shared" si="12"/>
        <v>8</v>
      </c>
      <c r="N162" s="5"/>
      <c r="O162" s="5"/>
    </row>
    <row r="163" ht="12.75" customHeight="1">
      <c r="A163" s="30"/>
      <c r="B163" s="49"/>
      <c r="C163" s="50" t="s">
        <v>141</v>
      </c>
      <c r="D163" s="51"/>
      <c r="E163" s="73">
        <v>0.0</v>
      </c>
      <c r="F163" s="73">
        <v>0.0</v>
      </c>
      <c r="G163" s="73">
        <v>0.0</v>
      </c>
      <c r="H163" s="73">
        <v>0.0</v>
      </c>
      <c r="I163" s="73">
        <v>1.0</v>
      </c>
      <c r="J163" s="73">
        <v>0.0</v>
      </c>
      <c r="K163" s="73">
        <v>1.0</v>
      </c>
      <c r="L163" s="87"/>
      <c r="M163" s="13">
        <f t="shared" si="12"/>
        <v>2</v>
      </c>
      <c r="N163" s="5"/>
      <c r="O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L164" si="27">SUM(E161:E163)</f>
        <v>1</v>
      </c>
      <c r="F164" s="13">
        <f t="shared" si="27"/>
        <v>0</v>
      </c>
      <c r="G164" s="13">
        <f t="shared" si="27"/>
        <v>0</v>
      </c>
      <c r="H164" s="13">
        <f t="shared" si="27"/>
        <v>2</v>
      </c>
      <c r="I164" s="13">
        <f t="shared" si="27"/>
        <v>1</v>
      </c>
      <c r="J164" s="13">
        <f t="shared" si="27"/>
        <v>4</v>
      </c>
      <c r="K164" s="13">
        <f t="shared" si="27"/>
        <v>6</v>
      </c>
      <c r="L164" s="13">
        <f t="shared" si="27"/>
        <v>4</v>
      </c>
      <c r="M164" s="13">
        <f t="shared" si="12"/>
        <v>18</v>
      </c>
      <c r="N164" s="5"/>
      <c r="O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13">
        <f t="shared" si="12"/>
        <v>0</v>
      </c>
      <c r="N165" s="1"/>
      <c r="O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66">
        <v>0.0</v>
      </c>
      <c r="J166" s="66">
        <v>0.0</v>
      </c>
      <c r="K166" s="19"/>
      <c r="L166" s="19"/>
      <c r="M166" s="13">
        <f t="shared" si="12"/>
        <v>0</v>
      </c>
      <c r="N166" s="53"/>
      <c r="O166" s="53"/>
    </row>
    <row r="167" ht="12.75" customHeight="1">
      <c r="A167" s="30"/>
      <c r="B167" s="47"/>
      <c r="C167" s="50" t="s">
        <v>144</v>
      </c>
      <c r="D167" s="59"/>
      <c r="E167" s="66">
        <v>0.0</v>
      </c>
      <c r="F167" s="66">
        <v>0.0</v>
      </c>
      <c r="G167" s="66">
        <v>0.0</v>
      </c>
      <c r="H167" s="66">
        <v>0.0</v>
      </c>
      <c r="I167" s="66">
        <v>0.0</v>
      </c>
      <c r="J167" s="66">
        <v>0.0</v>
      </c>
      <c r="K167" s="19"/>
      <c r="L167" s="19"/>
      <c r="M167" s="13">
        <f t="shared" si="12"/>
        <v>0</v>
      </c>
      <c r="N167" s="5"/>
      <c r="O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19"/>
      <c r="L168" s="19"/>
      <c r="M168" s="13">
        <f t="shared" si="12"/>
        <v>0</v>
      </c>
      <c r="N168" s="5"/>
      <c r="O168" s="5"/>
    </row>
    <row r="169" ht="12.75" customHeight="1">
      <c r="A169" s="30"/>
      <c r="B169" s="47"/>
      <c r="C169" s="50" t="s">
        <v>146</v>
      </c>
      <c r="D169" s="59"/>
      <c r="E169" s="66">
        <v>0.0</v>
      </c>
      <c r="F169" s="66">
        <v>0.0</v>
      </c>
      <c r="G169" s="66">
        <v>0.0</v>
      </c>
      <c r="H169" s="66">
        <v>0.0</v>
      </c>
      <c r="I169" s="66">
        <v>0.0</v>
      </c>
      <c r="J169" s="66">
        <v>0.0</v>
      </c>
      <c r="K169" s="19"/>
      <c r="L169" s="19"/>
      <c r="M169" s="13">
        <f t="shared" si="12"/>
        <v>0</v>
      </c>
      <c r="N169" s="5"/>
      <c r="O169" s="5"/>
    </row>
    <row r="170" ht="12.75" customHeight="1">
      <c r="A170" s="30" t="s">
        <v>39</v>
      </c>
      <c r="B170" s="49"/>
      <c r="C170" s="50" t="s">
        <v>147</v>
      </c>
      <c r="D170" s="51"/>
      <c r="E170" s="66">
        <v>0.0</v>
      </c>
      <c r="F170" s="66">
        <v>0.0</v>
      </c>
      <c r="G170" s="66">
        <v>0.0</v>
      </c>
      <c r="H170" s="66">
        <v>0.0</v>
      </c>
      <c r="I170" s="66">
        <v>0.0</v>
      </c>
      <c r="J170" s="66">
        <v>0.0</v>
      </c>
      <c r="K170" s="19"/>
      <c r="L170" s="19"/>
      <c r="M170" s="13">
        <f t="shared" si="12"/>
        <v>0</v>
      </c>
      <c r="N170" s="5"/>
      <c r="O170" s="5"/>
    </row>
    <row r="171" ht="12.75" customHeight="1">
      <c r="A171" s="18"/>
      <c r="B171" s="49"/>
      <c r="C171" s="50" t="s">
        <v>148</v>
      </c>
      <c r="D171" s="51"/>
      <c r="E171" s="66">
        <v>0.0</v>
      </c>
      <c r="F171" s="66">
        <v>0.0</v>
      </c>
      <c r="G171" s="66">
        <v>0.0</v>
      </c>
      <c r="H171" s="66">
        <v>0.0</v>
      </c>
      <c r="I171" s="66">
        <v>0.0</v>
      </c>
      <c r="J171" s="66">
        <v>0.0</v>
      </c>
      <c r="K171" s="19"/>
      <c r="L171" s="19"/>
      <c r="M171" s="13">
        <f t="shared" si="12"/>
        <v>0</v>
      </c>
      <c r="N171" s="5"/>
      <c r="O171" s="5"/>
    </row>
    <row r="172" ht="12.75" customHeight="1">
      <c r="A172" s="18"/>
      <c r="B172" s="49"/>
      <c r="C172" s="50" t="s">
        <v>149</v>
      </c>
      <c r="D172" s="51"/>
      <c r="E172" s="66">
        <v>0.0</v>
      </c>
      <c r="F172" s="66">
        <v>0.0</v>
      </c>
      <c r="G172" s="66">
        <v>0.0</v>
      </c>
      <c r="H172" s="66">
        <v>0.0</v>
      </c>
      <c r="I172" s="66">
        <v>0.0</v>
      </c>
      <c r="J172" s="66">
        <v>0.0</v>
      </c>
      <c r="K172" s="19"/>
      <c r="L172" s="19"/>
      <c r="M172" s="13">
        <f t="shared" si="12"/>
        <v>0</v>
      </c>
      <c r="N172" s="5"/>
      <c r="O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L173" si="28">SUM(E166:E172)</f>
        <v>0</v>
      </c>
      <c r="F173" s="13">
        <f t="shared" si="28"/>
        <v>0</v>
      </c>
      <c r="G173" s="13">
        <f t="shared" si="28"/>
        <v>0</v>
      </c>
      <c r="H173" s="13">
        <f t="shared" si="28"/>
        <v>0</v>
      </c>
      <c r="I173" s="13">
        <f t="shared" si="28"/>
        <v>0</v>
      </c>
      <c r="J173" s="13">
        <f t="shared" si="28"/>
        <v>0</v>
      </c>
      <c r="K173" s="13">
        <f t="shared" si="28"/>
        <v>0</v>
      </c>
      <c r="L173" s="13">
        <f t="shared" si="28"/>
        <v>0</v>
      </c>
      <c r="M173" s="13">
        <f t="shared" si="12"/>
        <v>0</v>
      </c>
      <c r="N173" s="5"/>
      <c r="O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13">
        <f t="shared" si="12"/>
        <v>0</v>
      </c>
      <c r="N174" s="5"/>
      <c r="O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1.0</v>
      </c>
      <c r="F175" s="66">
        <v>0.0</v>
      </c>
      <c r="G175" s="66">
        <v>4.0</v>
      </c>
      <c r="H175" s="66">
        <v>1.0</v>
      </c>
      <c r="I175" s="66">
        <v>0.0</v>
      </c>
      <c r="J175" s="66">
        <v>0.0</v>
      </c>
      <c r="K175" s="19"/>
      <c r="L175" s="19"/>
      <c r="M175" s="13">
        <f t="shared" si="12"/>
        <v>6</v>
      </c>
      <c r="N175" s="5"/>
      <c r="O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1.0</v>
      </c>
      <c r="F176" s="66">
        <v>0.0</v>
      </c>
      <c r="G176" s="66">
        <v>1.0</v>
      </c>
      <c r="H176" s="66">
        <v>0.0</v>
      </c>
      <c r="I176" s="66">
        <v>0.0</v>
      </c>
      <c r="J176" s="19"/>
      <c r="K176" s="19"/>
      <c r="L176" s="19"/>
      <c r="M176" s="13">
        <f t="shared" si="12"/>
        <v>2</v>
      </c>
      <c r="N176" s="1"/>
      <c r="O176" s="1"/>
    </row>
    <row r="177" ht="12.75" customHeight="1">
      <c r="A177" s="18"/>
      <c r="B177" s="49"/>
      <c r="C177" s="50" t="s">
        <v>153</v>
      </c>
      <c r="D177" s="51"/>
      <c r="E177" s="66">
        <v>6.0</v>
      </c>
      <c r="F177" s="66">
        <v>11.0</v>
      </c>
      <c r="G177" s="66">
        <v>12.0</v>
      </c>
      <c r="H177" s="66">
        <v>0.0</v>
      </c>
      <c r="I177" s="66">
        <v>1.0</v>
      </c>
      <c r="J177" s="66">
        <v>0.0</v>
      </c>
      <c r="K177" s="66">
        <v>0.0</v>
      </c>
      <c r="L177" s="19"/>
      <c r="M177" s="13">
        <f t="shared" si="12"/>
        <v>30</v>
      </c>
    </row>
    <row r="178" ht="12.75" customHeight="1">
      <c r="A178" s="18"/>
      <c r="B178" s="49"/>
      <c r="C178" s="50" t="s">
        <v>154</v>
      </c>
      <c r="D178" s="51"/>
      <c r="E178" s="66">
        <v>0.0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19"/>
      <c r="L178" s="19"/>
      <c r="M178" s="13">
        <f t="shared" si="12"/>
        <v>0</v>
      </c>
      <c r="N178" s="5"/>
      <c r="O178" s="5"/>
    </row>
    <row r="179" ht="12.75" customHeight="1">
      <c r="A179" s="18"/>
      <c r="B179" s="49"/>
      <c r="C179" s="50" t="s">
        <v>155</v>
      </c>
      <c r="D179" s="51"/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19"/>
      <c r="L179" s="19"/>
      <c r="M179" s="13">
        <f t="shared" si="12"/>
        <v>0</v>
      </c>
      <c r="N179" s="5"/>
      <c r="O179" s="5"/>
    </row>
    <row r="180" ht="12.75" customHeight="1">
      <c r="A180" s="18"/>
      <c r="B180" s="49"/>
      <c r="C180" s="50" t="s">
        <v>156</v>
      </c>
      <c r="D180" s="51"/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19"/>
      <c r="L180" s="19"/>
      <c r="M180" s="13">
        <f t="shared" si="12"/>
        <v>0</v>
      </c>
      <c r="N180" s="5"/>
      <c r="O180" s="5"/>
    </row>
    <row r="181" ht="12.75" customHeight="1">
      <c r="A181" s="18"/>
      <c r="B181" s="49"/>
      <c r="C181" s="50" t="s">
        <v>157</v>
      </c>
      <c r="D181" s="51"/>
      <c r="E181" s="66">
        <v>0.0</v>
      </c>
      <c r="F181" s="66">
        <v>1.0</v>
      </c>
      <c r="G181" s="66">
        <v>0.0</v>
      </c>
      <c r="H181" s="66">
        <v>0.0</v>
      </c>
      <c r="I181" s="66">
        <v>0.0</v>
      </c>
      <c r="J181" s="19"/>
      <c r="K181" s="19"/>
      <c r="L181" s="66">
        <v>1.0</v>
      </c>
      <c r="M181" s="13">
        <f t="shared" si="12"/>
        <v>2</v>
      </c>
      <c r="N181" s="5"/>
      <c r="O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L182" si="29">SUM(E175:E181)</f>
        <v>8</v>
      </c>
      <c r="F182" s="13">
        <f t="shared" si="29"/>
        <v>12</v>
      </c>
      <c r="G182" s="13">
        <f t="shared" si="29"/>
        <v>17</v>
      </c>
      <c r="H182" s="13">
        <f t="shared" si="29"/>
        <v>1</v>
      </c>
      <c r="I182" s="13">
        <f t="shared" si="29"/>
        <v>1</v>
      </c>
      <c r="J182" s="13">
        <f t="shared" si="29"/>
        <v>0</v>
      </c>
      <c r="K182" s="13">
        <f t="shared" si="29"/>
        <v>0</v>
      </c>
      <c r="L182" s="13">
        <f t="shared" si="29"/>
        <v>1</v>
      </c>
      <c r="M182" s="13">
        <f t="shared" si="12"/>
        <v>40</v>
      </c>
      <c r="N182" s="5"/>
      <c r="O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13">
        <f t="shared" si="12"/>
        <v>0</v>
      </c>
      <c r="N183" s="5"/>
      <c r="O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66">
        <v>0.0</v>
      </c>
      <c r="F184" s="66">
        <v>0.0</v>
      </c>
      <c r="G184" s="66">
        <v>0.0</v>
      </c>
      <c r="H184" s="66">
        <v>0.0</v>
      </c>
      <c r="I184" s="66">
        <v>0.0</v>
      </c>
      <c r="J184" s="66">
        <v>0.0</v>
      </c>
      <c r="K184" s="19"/>
      <c r="L184" s="19"/>
      <c r="M184" s="13">
        <f t="shared" si="12"/>
        <v>0</v>
      </c>
      <c r="N184" s="5"/>
      <c r="O184" s="5"/>
    </row>
    <row r="185" ht="12.75" customHeight="1">
      <c r="A185" s="30" t="s">
        <v>39</v>
      </c>
      <c r="B185" s="49"/>
      <c r="C185" s="50" t="s">
        <v>160</v>
      </c>
      <c r="D185" s="51"/>
      <c r="E185" s="66">
        <v>1.0</v>
      </c>
      <c r="F185" s="66">
        <v>0.0</v>
      </c>
      <c r="G185" s="66">
        <v>1.0</v>
      </c>
      <c r="H185" s="66">
        <v>0.0</v>
      </c>
      <c r="I185" s="66">
        <v>1.0</v>
      </c>
      <c r="J185" s="19"/>
      <c r="K185" s="19"/>
      <c r="L185" s="66">
        <v>3.0</v>
      </c>
      <c r="M185" s="13">
        <f t="shared" si="12"/>
        <v>6</v>
      </c>
      <c r="N185" s="5"/>
      <c r="O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3">
        <f t="shared" si="12"/>
        <v>0</v>
      </c>
      <c r="N186" s="5"/>
      <c r="O186" s="5"/>
    </row>
    <row r="187" ht="12.75" customHeight="1">
      <c r="A187" s="24"/>
      <c r="B187" s="15"/>
      <c r="C187" s="15"/>
      <c r="D187" s="16"/>
      <c r="E187" s="13">
        <f t="shared" ref="E187:L187" si="30">SUM(E177:E184)</f>
        <v>14</v>
      </c>
      <c r="F187" s="13">
        <f t="shared" si="30"/>
        <v>24</v>
      </c>
      <c r="G187" s="13">
        <f t="shared" si="30"/>
        <v>29</v>
      </c>
      <c r="H187" s="13">
        <f t="shared" si="30"/>
        <v>1</v>
      </c>
      <c r="I187" s="13">
        <f t="shared" si="30"/>
        <v>2</v>
      </c>
      <c r="J187" s="13">
        <f t="shared" si="30"/>
        <v>0</v>
      </c>
      <c r="K187" s="13">
        <f t="shared" si="30"/>
        <v>0</v>
      </c>
      <c r="L187" s="13">
        <f t="shared" si="30"/>
        <v>2</v>
      </c>
      <c r="M187" s="13">
        <f t="shared" si="12"/>
        <v>72</v>
      </c>
      <c r="N187" s="1"/>
      <c r="O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13">
        <f t="shared" si="12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13">
        <f t="shared" si="12"/>
        <v>0</v>
      </c>
      <c r="N189" s="5"/>
      <c r="O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L190" si="31">E187+E182+E173+E164+E159+E150+E141+E132+E128+E119+E110+E101+E92+E88+E79+E70+E61+E52</f>
        <v>44</v>
      </c>
      <c r="F190" s="19">
        <f t="shared" si="31"/>
        <v>61</v>
      </c>
      <c r="G190" s="19">
        <f t="shared" si="31"/>
        <v>72</v>
      </c>
      <c r="H190" s="19">
        <f t="shared" si="31"/>
        <v>21</v>
      </c>
      <c r="I190" s="19">
        <f t="shared" si="31"/>
        <v>35</v>
      </c>
      <c r="J190" s="19">
        <f t="shared" si="31"/>
        <v>15</v>
      </c>
      <c r="K190" s="19">
        <f t="shared" si="31"/>
        <v>23</v>
      </c>
      <c r="L190" s="19">
        <f t="shared" si="31"/>
        <v>28</v>
      </c>
      <c r="M190" s="13">
        <f t="shared" si="12"/>
        <v>299</v>
      </c>
      <c r="N190" s="5"/>
      <c r="O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8.0</v>
      </c>
      <c r="F191" s="66">
        <v>5.0</v>
      </c>
      <c r="G191" s="66">
        <v>28.0</v>
      </c>
      <c r="H191" s="66">
        <v>7.0</v>
      </c>
      <c r="I191" s="66">
        <v>19.0</v>
      </c>
      <c r="J191" s="66">
        <v>11.0</v>
      </c>
      <c r="K191" s="66">
        <v>16.0</v>
      </c>
      <c r="L191" s="66">
        <v>0.0</v>
      </c>
      <c r="M191" s="13">
        <f t="shared" si="12"/>
        <v>94</v>
      </c>
      <c r="N191" s="5"/>
      <c r="O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L192" si="32">E190+E191</f>
        <v>52</v>
      </c>
      <c r="F192" s="19">
        <f t="shared" si="32"/>
        <v>66</v>
      </c>
      <c r="G192" s="19">
        <f t="shared" si="32"/>
        <v>100</v>
      </c>
      <c r="H192" s="19">
        <f t="shared" si="32"/>
        <v>28</v>
      </c>
      <c r="I192" s="19">
        <f t="shared" si="32"/>
        <v>54</v>
      </c>
      <c r="J192" s="19">
        <f t="shared" si="32"/>
        <v>26</v>
      </c>
      <c r="K192" s="19">
        <f t="shared" si="32"/>
        <v>39</v>
      </c>
      <c r="L192" s="19">
        <f t="shared" si="32"/>
        <v>28</v>
      </c>
      <c r="M192" s="13">
        <f t="shared" si="12"/>
        <v>393</v>
      </c>
      <c r="N192" s="5"/>
      <c r="O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L12"/>
    <mergeCell ref="M12:M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14:L15">
    <cfRule type="containsBlanks" dxfId="0" priority="1">
      <formula>LEN(TRIM(E14))=0</formula>
    </cfRule>
  </conditionalFormatting>
  <conditionalFormatting sqref="E19:L20">
    <cfRule type="containsBlanks" dxfId="0" priority="2">
      <formula>LEN(TRIM(E19))=0</formula>
    </cfRule>
  </conditionalFormatting>
  <conditionalFormatting sqref="E22:L23 E25:L26 E33:L33 E35:L35 E39:L40">
    <cfRule type="containsBlanks" dxfId="0" priority="3">
      <formula>LEN(TRIM(E22))=0</formula>
    </cfRule>
  </conditionalFormatting>
  <conditionalFormatting sqref="E30:L30">
    <cfRule type="expression" dxfId="1" priority="4">
      <formula>E30&lt;&gt;E47</formula>
    </cfRule>
  </conditionalFormatting>
  <conditionalFormatting sqref="E30:L30">
    <cfRule type="expression" dxfId="1" priority="5">
      <formula>E30&lt;&gt;E34</formula>
    </cfRule>
  </conditionalFormatting>
  <conditionalFormatting sqref="E34:L34">
    <cfRule type="expression" dxfId="2" priority="6">
      <formula>E30&lt;&gt;E34</formula>
    </cfRule>
  </conditionalFormatting>
  <conditionalFormatting sqref="E34:L34">
    <cfRule type="expression" dxfId="3" priority="7">
      <formula>E30=E34</formula>
    </cfRule>
  </conditionalFormatting>
  <conditionalFormatting sqref="E34:L34">
    <cfRule type="expression" dxfId="1" priority="8">
      <formula>E34&lt;&gt;E30</formula>
    </cfRule>
  </conditionalFormatting>
  <conditionalFormatting sqref="E34:L34">
    <cfRule type="expression" dxfId="1" priority="9">
      <formula>E34&lt;&gt;E64</formula>
    </cfRule>
  </conditionalFormatting>
  <conditionalFormatting sqref="E45:L52 E54:L61">
    <cfRule type="containsBlanks" dxfId="0" priority="10">
      <formula>LEN(TRIM(E45))=0</formula>
    </cfRule>
  </conditionalFormatting>
  <conditionalFormatting sqref="E90:L90">
    <cfRule type="containsBlanks" dxfId="0" priority="11">
      <formula>LEN(TRIM(E90))=0</formula>
    </cfRule>
  </conditionalFormatting>
  <conditionalFormatting sqref="E130:L132">
    <cfRule type="containsBlanks" dxfId="0" priority="12">
      <formula>LEN(TRIM(E130))=0</formula>
    </cfRule>
  </conditionalFormatting>
  <conditionalFormatting sqref="E161:L162">
    <cfRule type="containsBlanks" dxfId="0" priority="13">
      <formula>LEN(TRIM(E161))=0</formula>
    </cfRule>
  </conditionalFormatting>
  <conditionalFormatting sqref="E184:L186">
    <cfRule type="containsBlanks" dxfId="0" priority="14">
      <formula>LEN(TRIM(E184))=0</formula>
    </cfRule>
  </conditionalFormatting>
  <conditionalFormatting sqref="E190:L192">
    <cfRule type="containsBlanks" dxfId="0" priority="15">
      <formula>LEN(TRIM(E190))=0</formula>
    </cfRule>
  </conditionalFormatting>
  <conditionalFormatting sqref="E63:L70">
    <cfRule type="containsBlanks" dxfId="0" priority="16">
      <formula>LEN(TRIM(E63))=0</formula>
    </cfRule>
  </conditionalFormatting>
  <conditionalFormatting sqref="E72:L79">
    <cfRule type="containsBlanks" dxfId="0" priority="17">
      <formula>LEN(TRIM(E72))=0</formula>
    </cfRule>
  </conditionalFormatting>
  <conditionalFormatting sqref="E81:L88">
    <cfRule type="containsBlanks" dxfId="0" priority="18">
      <formula>LEN(TRIM(E81))=0</formula>
    </cfRule>
  </conditionalFormatting>
  <conditionalFormatting sqref="E94:L101">
    <cfRule type="containsBlanks" dxfId="0" priority="19">
      <formula>LEN(TRIM(E94))=0</formula>
    </cfRule>
  </conditionalFormatting>
  <conditionalFormatting sqref="E103:L110">
    <cfRule type="containsBlanks" dxfId="0" priority="20">
      <formula>LEN(TRIM(E103))=0</formula>
    </cfRule>
  </conditionalFormatting>
  <conditionalFormatting sqref="E112:L119">
    <cfRule type="containsBlanks" dxfId="0" priority="21">
      <formula>LEN(TRIM(E112))=0</formula>
    </cfRule>
  </conditionalFormatting>
  <conditionalFormatting sqref="E121:L128">
    <cfRule type="containsBlanks" dxfId="0" priority="22">
      <formula>LEN(TRIM(E121))=0</formula>
    </cfRule>
  </conditionalFormatting>
  <conditionalFormatting sqref="E134:L141">
    <cfRule type="containsBlanks" dxfId="0" priority="23">
      <formula>LEN(TRIM(E134))=0</formula>
    </cfRule>
  </conditionalFormatting>
  <conditionalFormatting sqref="E143:L150">
    <cfRule type="containsBlanks" dxfId="0" priority="24">
      <formula>LEN(TRIM(E143))=0</formula>
    </cfRule>
  </conditionalFormatting>
  <conditionalFormatting sqref="E152:L159">
    <cfRule type="containsBlanks" dxfId="0" priority="25">
      <formula>LEN(TRIM(E152))=0</formula>
    </cfRule>
  </conditionalFormatting>
  <conditionalFormatting sqref="E166:L173">
    <cfRule type="containsBlanks" dxfId="0" priority="26">
      <formula>LEN(TRIM(E166))=0</formula>
    </cfRule>
  </conditionalFormatting>
  <conditionalFormatting sqref="E175:L182">
    <cfRule type="containsBlanks" dxfId="0" priority="27">
      <formula>LEN(TRIM(E175))=0</formula>
    </cfRule>
  </conditionalFormatting>
  <conditionalFormatting sqref="E91:L91">
    <cfRule type="containsBlanks" dxfId="0" priority="28">
      <formula>LEN(TRIM(E91))=0</formula>
    </cfRule>
  </conditionalFormatting>
  <conditionalFormatting sqref="E163:L163">
    <cfRule type="containsBlanks" dxfId="0" priority="29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15" width="8.71"/>
    <col customWidth="1" min="16" max="16" width="13.29"/>
    <col customWidth="1" min="17" max="26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254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36"/>
    </row>
    <row r="14" ht="12.75" customHeight="1">
      <c r="A14" s="18"/>
      <c r="B14" s="22" t="s">
        <v>11</v>
      </c>
      <c r="C14" s="23"/>
      <c r="D14" s="19" t="s">
        <v>12</v>
      </c>
      <c r="E14" s="82">
        <v>116.0</v>
      </c>
      <c r="F14" s="82">
        <v>118.0</v>
      </c>
      <c r="G14" s="82">
        <v>141.0</v>
      </c>
      <c r="H14" s="82">
        <v>136.0</v>
      </c>
      <c r="I14" s="82">
        <v>143.0</v>
      </c>
      <c r="J14" s="82">
        <v>130.0</v>
      </c>
      <c r="K14" s="82">
        <v>131.0</v>
      </c>
      <c r="L14" s="82">
        <v>127.0</v>
      </c>
      <c r="M14" s="82">
        <v>127.0</v>
      </c>
      <c r="N14" s="82">
        <v>121.0</v>
      </c>
      <c r="O14" s="82">
        <v>116.0</v>
      </c>
      <c r="P14" s="13">
        <f t="shared" ref="P14:P16" si="1">SUM(E14:O14)</f>
        <v>1406</v>
      </c>
    </row>
    <row r="15" ht="12.75" customHeight="1">
      <c r="A15" s="18"/>
      <c r="B15" s="26"/>
      <c r="C15" s="27"/>
      <c r="D15" s="19" t="s">
        <v>13</v>
      </c>
      <c r="E15" s="82">
        <v>112.0</v>
      </c>
      <c r="F15" s="82">
        <v>113.0</v>
      </c>
      <c r="G15" s="82">
        <v>122.0</v>
      </c>
      <c r="H15" s="82">
        <v>150.0</v>
      </c>
      <c r="I15" s="82">
        <v>134.0</v>
      </c>
      <c r="J15" s="82">
        <v>139.0</v>
      </c>
      <c r="K15" s="82">
        <v>128.0</v>
      </c>
      <c r="L15" s="82">
        <v>133.0</v>
      </c>
      <c r="M15" s="82">
        <v>124.0</v>
      </c>
      <c r="N15" s="82">
        <v>131.0</v>
      </c>
      <c r="O15" s="82">
        <v>126.0</v>
      </c>
      <c r="P15" s="13">
        <f t="shared" si="1"/>
        <v>1412</v>
      </c>
    </row>
    <row r="16" ht="12.75" customHeight="1">
      <c r="A16" s="25"/>
      <c r="B16" s="21"/>
      <c r="C16" s="28"/>
      <c r="D16" s="13" t="s">
        <v>14</v>
      </c>
      <c r="E16" s="83">
        <f t="shared" ref="E16:O16" si="2">SUM(E14:E15)</f>
        <v>228</v>
      </c>
      <c r="F16" s="83">
        <f t="shared" si="2"/>
        <v>231</v>
      </c>
      <c r="G16" s="83">
        <f t="shared" si="2"/>
        <v>263</v>
      </c>
      <c r="H16" s="83">
        <f t="shared" si="2"/>
        <v>286</v>
      </c>
      <c r="I16" s="83">
        <f t="shared" si="2"/>
        <v>277</v>
      </c>
      <c r="J16" s="83">
        <f t="shared" si="2"/>
        <v>269</v>
      </c>
      <c r="K16" s="83">
        <f t="shared" si="2"/>
        <v>259</v>
      </c>
      <c r="L16" s="83">
        <f t="shared" si="2"/>
        <v>260</v>
      </c>
      <c r="M16" s="83">
        <f t="shared" si="2"/>
        <v>251</v>
      </c>
      <c r="N16" s="83">
        <f t="shared" si="2"/>
        <v>252</v>
      </c>
      <c r="O16" s="83">
        <f t="shared" si="2"/>
        <v>242</v>
      </c>
      <c r="P16" s="13">
        <f t="shared" si="1"/>
        <v>2818</v>
      </c>
    </row>
    <row r="17" ht="12.75" customHeight="1">
      <c r="A17" s="24"/>
      <c r="B17" s="15"/>
      <c r="C17" s="15"/>
      <c r="D17" s="16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68"/>
    </row>
    <row r="18" ht="12.75" customHeight="1">
      <c r="A18" s="30" t="s">
        <v>15</v>
      </c>
      <c r="B18" s="20" t="s">
        <v>16</v>
      </c>
      <c r="C18" s="15"/>
      <c r="D18" s="16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82">
        <v>79.0</v>
      </c>
      <c r="F19" s="82">
        <v>73.0</v>
      </c>
      <c r="G19" s="82">
        <v>108.0</v>
      </c>
      <c r="H19" s="82">
        <v>104.0</v>
      </c>
      <c r="I19" s="82">
        <v>113.0</v>
      </c>
      <c r="J19" s="82">
        <v>99.0</v>
      </c>
      <c r="K19" s="82">
        <v>100.0</v>
      </c>
      <c r="L19" s="82">
        <v>103.0</v>
      </c>
      <c r="M19" s="82">
        <v>85.0</v>
      </c>
      <c r="N19" s="82">
        <v>79.0</v>
      </c>
      <c r="O19" s="82">
        <v>81.0</v>
      </c>
      <c r="P19" s="13">
        <f t="shared" ref="P19:P30" si="3">SUM(E19:O19)</f>
        <v>1024</v>
      </c>
    </row>
    <row r="20" ht="12.75" customHeight="1">
      <c r="A20" s="33"/>
      <c r="B20" s="27"/>
      <c r="C20" s="34"/>
      <c r="D20" s="19" t="s">
        <v>13</v>
      </c>
      <c r="E20" s="82">
        <v>85.0</v>
      </c>
      <c r="F20" s="82">
        <v>88.0</v>
      </c>
      <c r="G20" s="82">
        <v>105.0</v>
      </c>
      <c r="H20" s="82">
        <v>120.0</v>
      </c>
      <c r="I20" s="82">
        <v>114.0</v>
      </c>
      <c r="J20" s="82">
        <v>112.0</v>
      </c>
      <c r="K20" s="82">
        <v>101.0</v>
      </c>
      <c r="L20" s="82">
        <v>116.0</v>
      </c>
      <c r="M20" s="82">
        <v>101.0</v>
      </c>
      <c r="N20" s="82">
        <v>94.0</v>
      </c>
      <c r="O20" s="82">
        <v>97.0</v>
      </c>
      <c r="P20" s="13">
        <f t="shared" si="3"/>
        <v>1133</v>
      </c>
    </row>
    <row r="21" ht="12.75" customHeight="1">
      <c r="A21" s="35"/>
      <c r="B21" s="28"/>
      <c r="C21" s="36"/>
      <c r="D21" s="13" t="s">
        <v>14</v>
      </c>
      <c r="E21" s="83">
        <f t="shared" ref="E21:O21" si="4">SUM(E19:E20)</f>
        <v>164</v>
      </c>
      <c r="F21" s="83">
        <f t="shared" si="4"/>
        <v>161</v>
      </c>
      <c r="G21" s="83">
        <f t="shared" si="4"/>
        <v>213</v>
      </c>
      <c r="H21" s="83">
        <f t="shared" si="4"/>
        <v>224</v>
      </c>
      <c r="I21" s="83">
        <f t="shared" si="4"/>
        <v>227</v>
      </c>
      <c r="J21" s="83">
        <f t="shared" si="4"/>
        <v>211</v>
      </c>
      <c r="K21" s="83">
        <f t="shared" si="4"/>
        <v>201</v>
      </c>
      <c r="L21" s="83">
        <f t="shared" si="4"/>
        <v>219</v>
      </c>
      <c r="M21" s="83">
        <f t="shared" si="4"/>
        <v>186</v>
      </c>
      <c r="N21" s="83">
        <f t="shared" si="4"/>
        <v>173</v>
      </c>
      <c r="O21" s="83">
        <f t="shared" si="4"/>
        <v>178</v>
      </c>
      <c r="P21" s="13">
        <f t="shared" si="3"/>
        <v>2157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82">
        <v>0.0</v>
      </c>
      <c r="F22" s="85">
        <v>2.0</v>
      </c>
      <c r="G22" s="82">
        <v>0.0</v>
      </c>
      <c r="H22" s="82">
        <v>2.0</v>
      </c>
      <c r="I22" s="82">
        <v>0.0</v>
      </c>
      <c r="J22" s="82">
        <v>0.0</v>
      </c>
      <c r="K22" s="82">
        <v>0.0</v>
      </c>
      <c r="L22" s="82">
        <v>0.0</v>
      </c>
      <c r="M22" s="82">
        <v>1.0</v>
      </c>
      <c r="N22" s="82">
        <v>0.0</v>
      </c>
      <c r="O22" s="82">
        <v>0.0</v>
      </c>
      <c r="P22" s="13">
        <f t="shared" si="3"/>
        <v>5</v>
      </c>
    </row>
    <row r="23" ht="12.75" customHeight="1">
      <c r="A23" s="33"/>
      <c r="B23" s="27"/>
      <c r="C23" s="34"/>
      <c r="D23" s="19" t="s">
        <v>13</v>
      </c>
      <c r="E23" s="82">
        <v>0.0</v>
      </c>
      <c r="F23" s="82">
        <v>0.0</v>
      </c>
      <c r="G23" s="82">
        <v>1.0</v>
      </c>
      <c r="H23" s="82">
        <v>1.0</v>
      </c>
      <c r="I23" s="82">
        <v>0.0</v>
      </c>
      <c r="J23" s="82">
        <v>0.0</v>
      </c>
      <c r="K23" s="82">
        <v>0.0</v>
      </c>
      <c r="L23" s="82">
        <v>0.0</v>
      </c>
      <c r="M23" s="82">
        <v>0.0</v>
      </c>
      <c r="N23" s="82">
        <v>0.0</v>
      </c>
      <c r="O23" s="82">
        <v>1.0</v>
      </c>
      <c r="P23" s="13">
        <f t="shared" si="3"/>
        <v>3</v>
      </c>
    </row>
    <row r="24" ht="12.75" customHeight="1">
      <c r="A24" s="35"/>
      <c r="B24" s="28"/>
      <c r="C24" s="36"/>
      <c r="D24" s="13" t="s">
        <v>14</v>
      </c>
      <c r="E24" s="83">
        <f t="shared" ref="E24:O24" si="5">SUM(E22:E23)</f>
        <v>0</v>
      </c>
      <c r="F24" s="83">
        <f t="shared" si="5"/>
        <v>2</v>
      </c>
      <c r="G24" s="83">
        <f t="shared" si="5"/>
        <v>1</v>
      </c>
      <c r="H24" s="83">
        <f t="shared" si="5"/>
        <v>3</v>
      </c>
      <c r="I24" s="83">
        <f t="shared" si="5"/>
        <v>0</v>
      </c>
      <c r="J24" s="83">
        <f t="shared" si="5"/>
        <v>0</v>
      </c>
      <c r="K24" s="83">
        <f t="shared" si="5"/>
        <v>0</v>
      </c>
      <c r="L24" s="83">
        <f t="shared" si="5"/>
        <v>0</v>
      </c>
      <c r="M24" s="83">
        <f t="shared" si="5"/>
        <v>1</v>
      </c>
      <c r="N24" s="83">
        <f t="shared" si="5"/>
        <v>0</v>
      </c>
      <c r="O24" s="83">
        <f t="shared" si="5"/>
        <v>1</v>
      </c>
      <c r="P24" s="13">
        <f t="shared" si="3"/>
        <v>8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82">
        <v>0.0</v>
      </c>
      <c r="F25" s="82">
        <v>0.0</v>
      </c>
      <c r="G25" s="82">
        <v>0.0</v>
      </c>
      <c r="H25" s="82">
        <v>1.0</v>
      </c>
      <c r="I25" s="82">
        <v>0.0</v>
      </c>
      <c r="J25" s="82">
        <v>0.0</v>
      </c>
      <c r="K25" s="82">
        <v>1.0</v>
      </c>
      <c r="L25" s="82">
        <v>1.0</v>
      </c>
      <c r="M25" s="82">
        <v>0.0</v>
      </c>
      <c r="N25" s="82">
        <v>0.0</v>
      </c>
      <c r="O25" s="82">
        <v>0.0</v>
      </c>
      <c r="P25" s="13">
        <f t="shared" si="3"/>
        <v>3</v>
      </c>
    </row>
    <row r="26" ht="12.75" customHeight="1">
      <c r="A26" s="33"/>
      <c r="B26" s="27"/>
      <c r="C26" s="34"/>
      <c r="D26" s="19" t="s">
        <v>13</v>
      </c>
      <c r="E26" s="82">
        <v>0.0</v>
      </c>
      <c r="F26" s="82">
        <v>0.0</v>
      </c>
      <c r="G26" s="82">
        <v>1.0</v>
      </c>
      <c r="H26" s="82">
        <v>1.0</v>
      </c>
      <c r="I26" s="82">
        <v>0.0</v>
      </c>
      <c r="J26" s="82">
        <v>0.0</v>
      </c>
      <c r="K26" s="82">
        <v>1.0</v>
      </c>
      <c r="L26" s="82">
        <v>2.0</v>
      </c>
      <c r="M26" s="82">
        <v>0.0</v>
      </c>
      <c r="N26" s="82">
        <v>1.0</v>
      </c>
      <c r="O26" s="82">
        <v>1.0</v>
      </c>
      <c r="P26" s="13">
        <f t="shared" si="3"/>
        <v>7</v>
      </c>
    </row>
    <row r="27" ht="12.75" customHeight="1">
      <c r="A27" s="35"/>
      <c r="B27" s="28"/>
      <c r="C27" s="36"/>
      <c r="D27" s="13" t="s">
        <v>14</v>
      </c>
      <c r="E27" s="83">
        <f t="shared" ref="E27:O27" si="6">SUM(E25:E26)</f>
        <v>0</v>
      </c>
      <c r="F27" s="83">
        <f t="shared" si="6"/>
        <v>0</v>
      </c>
      <c r="G27" s="83">
        <f t="shared" si="6"/>
        <v>1</v>
      </c>
      <c r="H27" s="83">
        <f t="shared" si="6"/>
        <v>2</v>
      </c>
      <c r="I27" s="83">
        <f t="shared" si="6"/>
        <v>0</v>
      </c>
      <c r="J27" s="83">
        <f t="shared" si="6"/>
        <v>0</v>
      </c>
      <c r="K27" s="83">
        <f t="shared" si="6"/>
        <v>2</v>
      </c>
      <c r="L27" s="83">
        <f t="shared" si="6"/>
        <v>3</v>
      </c>
      <c r="M27" s="83">
        <f t="shared" si="6"/>
        <v>0</v>
      </c>
      <c r="N27" s="83">
        <f t="shared" si="6"/>
        <v>1</v>
      </c>
      <c r="O27" s="83">
        <f t="shared" si="6"/>
        <v>1</v>
      </c>
      <c r="P27" s="13">
        <f t="shared" si="3"/>
        <v>10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88">
        <v>79.0</v>
      </c>
      <c r="F28" s="88">
        <v>75.0</v>
      </c>
      <c r="G28" s="88">
        <v>108.0</v>
      </c>
      <c r="H28" s="88">
        <v>107.0</v>
      </c>
      <c r="I28" s="88">
        <v>113.0</v>
      </c>
      <c r="J28" s="88">
        <v>99.0</v>
      </c>
      <c r="K28" s="88">
        <v>101.0</v>
      </c>
      <c r="L28" s="88">
        <v>104.0</v>
      </c>
      <c r="M28" s="88">
        <v>86.0</v>
      </c>
      <c r="N28" s="88">
        <v>79.0</v>
      </c>
      <c r="O28" s="88">
        <v>81.0</v>
      </c>
      <c r="P28" s="13">
        <f t="shared" si="3"/>
        <v>1032</v>
      </c>
    </row>
    <row r="29" ht="12.75" customHeight="1">
      <c r="A29" s="35"/>
      <c r="B29" s="27"/>
      <c r="C29" s="34"/>
      <c r="D29" s="13" t="s">
        <v>13</v>
      </c>
      <c r="E29" s="88">
        <v>85.0</v>
      </c>
      <c r="F29" s="88">
        <v>88.0</v>
      </c>
      <c r="G29" s="88">
        <v>107.0</v>
      </c>
      <c r="H29" s="88">
        <v>122.0</v>
      </c>
      <c r="I29" s="88">
        <v>114.0</v>
      </c>
      <c r="J29" s="88">
        <v>112.0</v>
      </c>
      <c r="K29" s="88">
        <v>102.0</v>
      </c>
      <c r="L29" s="88">
        <v>118.0</v>
      </c>
      <c r="M29" s="88">
        <v>101.0</v>
      </c>
      <c r="N29" s="88">
        <v>95.0</v>
      </c>
      <c r="O29" s="88">
        <v>99.0</v>
      </c>
      <c r="P29" s="13">
        <f t="shared" si="3"/>
        <v>1143</v>
      </c>
    </row>
    <row r="30" ht="12.75" customHeight="1">
      <c r="A30" s="35"/>
      <c r="B30" s="28"/>
      <c r="C30" s="36"/>
      <c r="D30" s="13" t="s">
        <v>14</v>
      </c>
      <c r="E30" s="89">
        <f t="shared" ref="E30:O30" si="7">SUM(E28:E29)</f>
        <v>164</v>
      </c>
      <c r="F30" s="89">
        <f t="shared" si="7"/>
        <v>163</v>
      </c>
      <c r="G30" s="89">
        <f t="shared" si="7"/>
        <v>215</v>
      </c>
      <c r="H30" s="89">
        <f t="shared" si="7"/>
        <v>229</v>
      </c>
      <c r="I30" s="89">
        <f t="shared" si="7"/>
        <v>227</v>
      </c>
      <c r="J30" s="89">
        <f t="shared" si="7"/>
        <v>211</v>
      </c>
      <c r="K30" s="89">
        <f t="shared" si="7"/>
        <v>203</v>
      </c>
      <c r="L30" s="89">
        <f t="shared" si="7"/>
        <v>222</v>
      </c>
      <c r="M30" s="89">
        <f t="shared" si="7"/>
        <v>187</v>
      </c>
      <c r="N30" s="89">
        <f t="shared" si="7"/>
        <v>174</v>
      </c>
      <c r="O30" s="89">
        <f t="shared" si="7"/>
        <v>180</v>
      </c>
      <c r="P30" s="13">
        <f t="shared" si="3"/>
        <v>2175</v>
      </c>
    </row>
    <row r="31" ht="12.75" customHeight="1">
      <c r="A31" s="24"/>
      <c r="B31" s="15"/>
      <c r="C31" s="15"/>
      <c r="D31" s="16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68"/>
    </row>
    <row r="32" ht="12.75" customHeight="1">
      <c r="A32" s="41" t="s">
        <v>25</v>
      </c>
      <c r="B32" s="14" t="s">
        <v>26</v>
      </c>
      <c r="C32" s="15"/>
      <c r="D32" s="16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68"/>
    </row>
    <row r="33" ht="12.75" customHeight="1">
      <c r="A33" s="19">
        <v>1.0</v>
      </c>
      <c r="B33" s="20" t="s">
        <v>27</v>
      </c>
      <c r="C33" s="15"/>
      <c r="D33" s="16"/>
      <c r="E33" s="82">
        <v>233.0</v>
      </c>
      <c r="F33" s="82">
        <v>236.0</v>
      </c>
      <c r="G33" s="82">
        <v>269.0</v>
      </c>
      <c r="H33" s="85">
        <v>292.0</v>
      </c>
      <c r="I33" s="82">
        <v>283.0</v>
      </c>
      <c r="J33" s="82">
        <v>275.0</v>
      </c>
      <c r="K33" s="82">
        <v>265.0</v>
      </c>
      <c r="L33" s="82">
        <v>266.0</v>
      </c>
      <c r="M33" s="82">
        <v>257.0</v>
      </c>
      <c r="N33" s="82">
        <v>258.0</v>
      </c>
      <c r="O33" s="82">
        <v>247.0</v>
      </c>
      <c r="P33" s="13">
        <f t="shared" ref="P33:P36" si="8">SUM(E33:O33)</f>
        <v>2881</v>
      </c>
    </row>
    <row r="34" ht="12.75" customHeight="1">
      <c r="A34" s="19">
        <v>2.0</v>
      </c>
      <c r="B34" s="20" t="s">
        <v>28</v>
      </c>
      <c r="C34" s="15"/>
      <c r="D34" s="16"/>
      <c r="E34" s="90">
        <v>164.0</v>
      </c>
      <c r="F34" s="91">
        <v>163.0</v>
      </c>
      <c r="G34" s="90">
        <v>215.0</v>
      </c>
      <c r="H34" s="90">
        <v>229.0</v>
      </c>
      <c r="I34" s="90">
        <v>227.0</v>
      </c>
      <c r="J34" s="90">
        <v>211.0</v>
      </c>
      <c r="K34" s="90">
        <v>203.0</v>
      </c>
      <c r="L34" s="90">
        <v>222.0</v>
      </c>
      <c r="M34" s="90">
        <v>187.0</v>
      </c>
      <c r="N34" s="90">
        <v>174.0</v>
      </c>
      <c r="O34" s="90">
        <v>180.0</v>
      </c>
      <c r="P34" s="13">
        <f t="shared" si="8"/>
        <v>2175</v>
      </c>
    </row>
    <row r="35" ht="12.75" customHeight="1">
      <c r="A35" s="19">
        <v>3.0</v>
      </c>
      <c r="B35" s="20" t="s">
        <v>29</v>
      </c>
      <c r="C35" s="15"/>
      <c r="D35" s="16"/>
      <c r="E35" s="85">
        <v>5.0</v>
      </c>
      <c r="F35" s="82">
        <v>0.0</v>
      </c>
      <c r="G35" s="82">
        <v>0.0</v>
      </c>
      <c r="H35" s="85">
        <v>3.0</v>
      </c>
      <c r="I35" s="85">
        <v>1.0</v>
      </c>
      <c r="J35" s="82">
        <v>19.0</v>
      </c>
      <c r="K35" s="85">
        <v>0.0</v>
      </c>
      <c r="L35" s="85">
        <v>1.0</v>
      </c>
      <c r="M35" s="85">
        <v>0.0</v>
      </c>
      <c r="N35" s="82">
        <v>1.0</v>
      </c>
      <c r="O35" s="82">
        <v>0.0</v>
      </c>
      <c r="P35" s="13">
        <f t="shared" si="8"/>
        <v>30</v>
      </c>
    </row>
    <row r="36" ht="12.75" customHeight="1">
      <c r="A36" s="19">
        <v>4.0</v>
      </c>
      <c r="B36" s="20" t="s">
        <v>30</v>
      </c>
      <c r="C36" s="15"/>
      <c r="D36" s="16"/>
      <c r="E36" s="83">
        <f t="shared" ref="E36:O36" si="9">E33-(E34+E35)</f>
        <v>64</v>
      </c>
      <c r="F36" s="83">
        <f t="shared" si="9"/>
        <v>73</v>
      </c>
      <c r="G36" s="83">
        <f t="shared" si="9"/>
        <v>54</v>
      </c>
      <c r="H36" s="83">
        <f t="shared" si="9"/>
        <v>60</v>
      </c>
      <c r="I36" s="83">
        <f t="shared" si="9"/>
        <v>55</v>
      </c>
      <c r="J36" s="83">
        <f t="shared" si="9"/>
        <v>45</v>
      </c>
      <c r="K36" s="83">
        <f t="shared" si="9"/>
        <v>62</v>
      </c>
      <c r="L36" s="83">
        <f t="shared" si="9"/>
        <v>43</v>
      </c>
      <c r="M36" s="83">
        <f t="shared" si="9"/>
        <v>70</v>
      </c>
      <c r="N36" s="83">
        <f t="shared" si="9"/>
        <v>83</v>
      </c>
      <c r="O36" s="83">
        <f t="shared" si="9"/>
        <v>67</v>
      </c>
      <c r="P36" s="13">
        <f t="shared" si="8"/>
        <v>676</v>
      </c>
    </row>
    <row r="37" ht="12.75" customHeight="1">
      <c r="A37" s="24"/>
      <c r="B37" s="15"/>
      <c r="C37" s="15"/>
      <c r="D37" s="15"/>
      <c r="E37" s="92"/>
      <c r="F37" s="15"/>
      <c r="G37" s="15"/>
      <c r="H37" s="15"/>
      <c r="I37" s="16"/>
      <c r="J37" s="84"/>
      <c r="K37" s="84"/>
      <c r="L37" s="84"/>
      <c r="M37" s="84"/>
      <c r="N37" s="84"/>
      <c r="O37" s="92"/>
      <c r="P37" s="68"/>
    </row>
    <row r="38" ht="12.75" customHeight="1">
      <c r="A38" s="42" t="s">
        <v>31</v>
      </c>
      <c r="B38" s="14" t="s">
        <v>32</v>
      </c>
      <c r="C38" s="15"/>
      <c r="D38" s="16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68"/>
    </row>
    <row r="39" ht="12.75" customHeight="1">
      <c r="A39" s="30"/>
      <c r="B39" s="43" t="s">
        <v>33</v>
      </c>
      <c r="C39" s="23"/>
      <c r="D39" s="19" t="s">
        <v>12</v>
      </c>
      <c r="E39" s="82">
        <v>0.0</v>
      </c>
      <c r="F39" s="82">
        <v>1.0</v>
      </c>
      <c r="G39" s="82">
        <v>1.0</v>
      </c>
      <c r="H39" s="82">
        <v>3.0</v>
      </c>
      <c r="I39" s="82">
        <v>0.0</v>
      </c>
      <c r="J39" s="82">
        <v>0.0</v>
      </c>
      <c r="K39" s="82">
        <v>1.0</v>
      </c>
      <c r="L39" s="82">
        <v>1.0</v>
      </c>
      <c r="M39" s="82">
        <v>0.0</v>
      </c>
      <c r="N39" s="82">
        <v>0.0</v>
      </c>
      <c r="O39" s="82">
        <v>0.0</v>
      </c>
      <c r="P39" s="13">
        <f t="shared" ref="P39:P41" si="10">SUM(E39:O39)</f>
        <v>7</v>
      </c>
    </row>
    <row r="40" ht="12.75" customHeight="1">
      <c r="A40" s="33"/>
      <c r="C40" s="27"/>
      <c r="D40" s="19" t="s">
        <v>13</v>
      </c>
      <c r="E40" s="82">
        <v>1.0</v>
      </c>
      <c r="F40" s="82">
        <v>1.0</v>
      </c>
      <c r="G40" s="82">
        <v>0.0</v>
      </c>
      <c r="H40" s="82">
        <v>1.0</v>
      </c>
      <c r="I40" s="82">
        <v>0.0</v>
      </c>
      <c r="J40" s="82">
        <v>0.0</v>
      </c>
      <c r="K40" s="82">
        <v>1.0</v>
      </c>
      <c r="L40" s="82">
        <v>1.0</v>
      </c>
      <c r="M40" s="82">
        <v>0.0</v>
      </c>
      <c r="N40" s="82">
        <v>0.0</v>
      </c>
      <c r="O40" s="82">
        <v>0.0</v>
      </c>
      <c r="P40" s="13">
        <f t="shared" si="10"/>
        <v>5</v>
      </c>
    </row>
    <row r="41" ht="12.75" customHeight="1">
      <c r="A41" s="41"/>
      <c r="B41" s="44"/>
      <c r="C41" s="28"/>
      <c r="D41" s="13" t="s">
        <v>14</v>
      </c>
      <c r="E41" s="13">
        <f t="shared" ref="E41:O41" si="11">SUM(E39:E40)</f>
        <v>1</v>
      </c>
      <c r="F41" s="13">
        <f t="shared" si="11"/>
        <v>2</v>
      </c>
      <c r="G41" s="13">
        <f t="shared" si="11"/>
        <v>1</v>
      </c>
      <c r="H41" s="13">
        <f t="shared" si="11"/>
        <v>4</v>
      </c>
      <c r="I41" s="13">
        <f t="shared" si="11"/>
        <v>0</v>
      </c>
      <c r="J41" s="13">
        <f t="shared" si="11"/>
        <v>0</v>
      </c>
      <c r="K41" s="13">
        <f t="shared" si="11"/>
        <v>2</v>
      </c>
      <c r="L41" s="13">
        <f t="shared" si="11"/>
        <v>2</v>
      </c>
      <c r="M41" s="13">
        <f t="shared" si="11"/>
        <v>0</v>
      </c>
      <c r="N41" s="13">
        <f t="shared" si="11"/>
        <v>0</v>
      </c>
      <c r="O41" s="13">
        <f t="shared" si="11"/>
        <v>0</v>
      </c>
      <c r="P41" s="13">
        <f t="shared" si="10"/>
        <v>12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11.0</v>
      </c>
      <c r="F45" s="66">
        <v>11.0</v>
      </c>
      <c r="G45" s="66">
        <v>7.0</v>
      </c>
      <c r="H45" s="66">
        <v>5.0</v>
      </c>
      <c r="I45" s="66">
        <v>8.0</v>
      </c>
      <c r="J45" s="66">
        <v>4.0</v>
      </c>
      <c r="K45" s="66">
        <v>3.0</v>
      </c>
      <c r="L45" s="66">
        <v>6.0</v>
      </c>
      <c r="M45" s="66">
        <v>1.0</v>
      </c>
      <c r="N45" s="66">
        <v>4.0</v>
      </c>
      <c r="O45" s="66">
        <v>2.0</v>
      </c>
      <c r="P45" s="13">
        <f t="shared" ref="P45:P192" si="12">SUM(E45:O45)</f>
        <v>62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47.0</v>
      </c>
      <c r="F46" s="66">
        <v>31.0</v>
      </c>
      <c r="G46" s="66">
        <v>34.0</v>
      </c>
      <c r="H46" s="66">
        <v>17.0</v>
      </c>
      <c r="I46" s="66">
        <v>28.0</v>
      </c>
      <c r="J46" s="66">
        <v>6.0</v>
      </c>
      <c r="K46" s="66">
        <v>16.0</v>
      </c>
      <c r="L46" s="66">
        <v>8.0</v>
      </c>
      <c r="M46" s="66">
        <v>1.0</v>
      </c>
      <c r="N46" s="66">
        <v>6.0</v>
      </c>
      <c r="O46" s="66">
        <v>4.0</v>
      </c>
      <c r="P46" s="13">
        <f t="shared" si="12"/>
        <v>198</v>
      </c>
    </row>
    <row r="47" ht="12.75" customHeight="1">
      <c r="A47" s="18"/>
      <c r="B47" s="49"/>
      <c r="C47" s="50" t="s">
        <v>41</v>
      </c>
      <c r="D47" s="51"/>
      <c r="E47" s="66">
        <v>1.0</v>
      </c>
      <c r="F47" s="66">
        <v>1.0</v>
      </c>
      <c r="G47" s="66">
        <v>0.0</v>
      </c>
      <c r="H47" s="66">
        <v>0.0</v>
      </c>
      <c r="I47" s="66">
        <v>2.0</v>
      </c>
      <c r="J47" s="66">
        <v>0.0</v>
      </c>
      <c r="K47" s="66">
        <v>0.0</v>
      </c>
      <c r="L47" s="66">
        <v>1.0</v>
      </c>
      <c r="M47" s="66">
        <v>1.0</v>
      </c>
      <c r="N47" s="66">
        <v>0.0</v>
      </c>
      <c r="O47" s="66">
        <v>0.0</v>
      </c>
      <c r="P47" s="13">
        <f t="shared" si="12"/>
        <v>6</v>
      </c>
    </row>
    <row r="48" ht="12.75" customHeight="1">
      <c r="A48" s="18"/>
      <c r="B48" s="49"/>
      <c r="C48" s="50" t="s">
        <v>42</v>
      </c>
      <c r="D48" s="51"/>
      <c r="E48" s="66">
        <v>2.0</v>
      </c>
      <c r="F48" s="66">
        <v>1.0</v>
      </c>
      <c r="G48" s="66">
        <v>0.0</v>
      </c>
      <c r="H48" s="66">
        <v>0.0</v>
      </c>
      <c r="I48" s="66">
        <v>0.0</v>
      </c>
      <c r="J48" s="66">
        <v>0.0</v>
      </c>
      <c r="K48" s="66">
        <v>0.0</v>
      </c>
      <c r="L48" s="66">
        <v>1.0</v>
      </c>
      <c r="M48" s="66">
        <v>0.0</v>
      </c>
      <c r="N48" s="66">
        <v>0.0</v>
      </c>
      <c r="O48" s="66">
        <v>0.0</v>
      </c>
      <c r="P48" s="13">
        <f t="shared" si="12"/>
        <v>4</v>
      </c>
    </row>
    <row r="49" ht="12.75" customHeight="1">
      <c r="A49" s="18"/>
      <c r="B49" s="49"/>
      <c r="C49" s="50" t="s">
        <v>43</v>
      </c>
      <c r="D49" s="51"/>
      <c r="E49" s="66">
        <v>1.0</v>
      </c>
      <c r="F49" s="66">
        <v>0.0</v>
      </c>
      <c r="G49" s="66">
        <v>0.0</v>
      </c>
      <c r="H49" s="66">
        <v>1.0</v>
      </c>
      <c r="I49" s="66">
        <v>0.0</v>
      </c>
      <c r="J49" s="66">
        <v>0.0</v>
      </c>
      <c r="K49" s="66">
        <v>1.0</v>
      </c>
      <c r="L49" s="66">
        <v>0.0</v>
      </c>
      <c r="M49" s="66">
        <v>7.0</v>
      </c>
      <c r="N49" s="66">
        <v>7.0</v>
      </c>
      <c r="O49" s="66">
        <v>2.0</v>
      </c>
      <c r="P49" s="13">
        <f t="shared" si="12"/>
        <v>19</v>
      </c>
    </row>
    <row r="50" ht="12.75" customHeight="1">
      <c r="A50" s="18"/>
      <c r="B50" s="49"/>
      <c r="C50" s="50" t="s">
        <v>44</v>
      </c>
      <c r="D50" s="51"/>
      <c r="E50" s="66">
        <v>0.0</v>
      </c>
      <c r="F50" s="66">
        <v>0.0</v>
      </c>
      <c r="G50" s="66">
        <v>0.0</v>
      </c>
      <c r="H50" s="66">
        <v>0.0</v>
      </c>
      <c r="I50" s="66">
        <v>0.0</v>
      </c>
      <c r="J50" s="66">
        <v>0.0</v>
      </c>
      <c r="K50" s="66">
        <v>0.0</v>
      </c>
      <c r="L50" s="66">
        <v>0.0</v>
      </c>
      <c r="M50" s="66">
        <v>0.0</v>
      </c>
      <c r="N50" s="66">
        <v>0.0</v>
      </c>
      <c r="O50" s="66">
        <v>0.0</v>
      </c>
      <c r="P50" s="13">
        <f t="shared" si="12"/>
        <v>0</v>
      </c>
    </row>
    <row r="51" ht="12.75" customHeight="1">
      <c r="A51" s="18"/>
      <c r="B51" s="49"/>
      <c r="C51" s="50" t="s">
        <v>45</v>
      </c>
      <c r="D51" s="51"/>
      <c r="E51" s="66">
        <v>0.0</v>
      </c>
      <c r="F51" s="66">
        <v>2.0</v>
      </c>
      <c r="G51" s="66">
        <v>0.0</v>
      </c>
      <c r="H51" s="66">
        <v>0.0</v>
      </c>
      <c r="I51" s="66">
        <v>0.0</v>
      </c>
      <c r="J51" s="66">
        <v>0.0</v>
      </c>
      <c r="K51" s="66">
        <v>0.0</v>
      </c>
      <c r="L51" s="66">
        <v>0.0</v>
      </c>
      <c r="M51" s="66">
        <v>0.0</v>
      </c>
      <c r="N51" s="66">
        <v>0.0</v>
      </c>
      <c r="O51" s="66">
        <v>0.0</v>
      </c>
      <c r="P51" s="13">
        <f t="shared" si="12"/>
        <v>2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O52" si="13">SUM(E45:E51)</f>
        <v>62</v>
      </c>
      <c r="F52" s="13">
        <f t="shared" si="13"/>
        <v>46</v>
      </c>
      <c r="G52" s="13">
        <f t="shared" si="13"/>
        <v>41</v>
      </c>
      <c r="H52" s="13">
        <f t="shared" si="13"/>
        <v>23</v>
      </c>
      <c r="I52" s="13">
        <f t="shared" si="13"/>
        <v>38</v>
      </c>
      <c r="J52" s="13">
        <f t="shared" si="13"/>
        <v>10</v>
      </c>
      <c r="K52" s="13">
        <f t="shared" si="13"/>
        <v>20</v>
      </c>
      <c r="L52" s="13">
        <f t="shared" si="13"/>
        <v>16</v>
      </c>
      <c r="M52" s="13">
        <f t="shared" si="13"/>
        <v>10</v>
      </c>
      <c r="N52" s="13">
        <f t="shared" si="13"/>
        <v>17</v>
      </c>
      <c r="O52" s="13">
        <f t="shared" si="13"/>
        <v>8</v>
      </c>
      <c r="P52" s="13">
        <f t="shared" si="12"/>
        <v>291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13">
        <f t="shared" si="12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1.0</v>
      </c>
      <c r="F54" s="66">
        <v>4.0</v>
      </c>
      <c r="G54" s="66">
        <v>4.0</v>
      </c>
      <c r="H54" s="66">
        <v>3.0</v>
      </c>
      <c r="I54" s="66">
        <v>0.0</v>
      </c>
      <c r="J54" s="66">
        <v>10.0</v>
      </c>
      <c r="K54" s="66">
        <v>13.0</v>
      </c>
      <c r="L54" s="66">
        <v>6.0</v>
      </c>
      <c r="M54" s="66">
        <v>10.0</v>
      </c>
      <c r="N54" s="66">
        <v>9.0</v>
      </c>
      <c r="O54" s="66">
        <v>14.0</v>
      </c>
      <c r="P54" s="13">
        <f t="shared" si="12"/>
        <v>74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1.0</v>
      </c>
      <c r="F55" s="66">
        <v>0.0</v>
      </c>
      <c r="G55" s="66">
        <v>0.0</v>
      </c>
      <c r="H55" s="66">
        <v>1.0</v>
      </c>
      <c r="I55" s="66">
        <v>1.0</v>
      </c>
      <c r="J55" s="66">
        <v>6.0</v>
      </c>
      <c r="K55" s="66">
        <v>2.0</v>
      </c>
      <c r="L55" s="66">
        <v>1.0</v>
      </c>
      <c r="M55" s="66">
        <v>6.0</v>
      </c>
      <c r="N55" s="66">
        <v>5.0</v>
      </c>
      <c r="O55" s="66">
        <v>16.0</v>
      </c>
      <c r="P55" s="13">
        <f t="shared" si="12"/>
        <v>39</v>
      </c>
    </row>
    <row r="56" ht="12.75" customHeight="1">
      <c r="A56" s="18"/>
      <c r="B56" s="49"/>
      <c r="C56" s="50" t="s">
        <v>49</v>
      </c>
      <c r="D56" s="51"/>
      <c r="E56" s="66">
        <v>1.0</v>
      </c>
      <c r="F56" s="66">
        <v>0.0</v>
      </c>
      <c r="G56" s="66">
        <v>2.0</v>
      </c>
      <c r="H56" s="66">
        <v>1.0</v>
      </c>
      <c r="I56" s="66">
        <v>0.0</v>
      </c>
      <c r="J56" s="66">
        <v>0.0</v>
      </c>
      <c r="K56" s="66">
        <v>1.0</v>
      </c>
      <c r="L56" s="66">
        <v>0.0</v>
      </c>
      <c r="M56" s="66">
        <v>1.0</v>
      </c>
      <c r="N56" s="66">
        <v>0.0</v>
      </c>
      <c r="O56" s="66">
        <v>2.0</v>
      </c>
      <c r="P56" s="13">
        <f t="shared" si="12"/>
        <v>8</v>
      </c>
    </row>
    <row r="57" ht="12.75" customHeight="1">
      <c r="A57" s="18"/>
      <c r="B57" s="49"/>
      <c r="C57" s="50" t="s">
        <v>50</v>
      </c>
      <c r="D57" s="51"/>
      <c r="E57" s="66">
        <v>2.0</v>
      </c>
      <c r="F57" s="66">
        <v>0.0</v>
      </c>
      <c r="G57" s="66">
        <v>0.0</v>
      </c>
      <c r="H57" s="66">
        <v>0.0</v>
      </c>
      <c r="I57" s="66">
        <v>1.0</v>
      </c>
      <c r="J57" s="66">
        <v>0.0</v>
      </c>
      <c r="K57" s="66">
        <v>1.0</v>
      </c>
      <c r="L57" s="66">
        <v>0.0</v>
      </c>
      <c r="M57" s="66">
        <v>0.0</v>
      </c>
      <c r="N57" s="66">
        <v>0.0</v>
      </c>
      <c r="O57" s="66">
        <v>0.0</v>
      </c>
      <c r="P57" s="13">
        <f t="shared" si="12"/>
        <v>4</v>
      </c>
    </row>
    <row r="58" ht="12.75" customHeight="1">
      <c r="A58" s="18"/>
      <c r="B58" s="49"/>
      <c r="C58" s="50" t="s">
        <v>51</v>
      </c>
      <c r="D58" s="51"/>
      <c r="E58" s="66">
        <v>2.0</v>
      </c>
      <c r="F58" s="66">
        <v>0.0</v>
      </c>
      <c r="G58" s="66">
        <v>0.0</v>
      </c>
      <c r="H58" s="66">
        <v>0.0</v>
      </c>
      <c r="I58" s="66">
        <v>3.0</v>
      </c>
      <c r="J58" s="66">
        <v>0.0</v>
      </c>
      <c r="K58" s="66">
        <v>2.0</v>
      </c>
      <c r="L58" s="66">
        <v>0.0</v>
      </c>
      <c r="M58" s="66">
        <v>3.0</v>
      </c>
      <c r="N58" s="66">
        <v>1.0</v>
      </c>
      <c r="O58" s="66">
        <v>0.0</v>
      </c>
      <c r="P58" s="13">
        <f t="shared" si="12"/>
        <v>11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1.0</v>
      </c>
      <c r="M59" s="66">
        <v>0.0</v>
      </c>
      <c r="N59" s="66">
        <v>0.0</v>
      </c>
      <c r="O59" s="66">
        <v>0.0</v>
      </c>
      <c r="P59" s="13">
        <f t="shared" si="12"/>
        <v>1</v>
      </c>
    </row>
    <row r="60" ht="12.75" customHeight="1">
      <c r="A60" s="18"/>
      <c r="B60" s="49"/>
      <c r="C60" s="50" t="s">
        <v>53</v>
      </c>
      <c r="D60" s="51"/>
      <c r="E60" s="66">
        <v>0.0</v>
      </c>
      <c r="F60" s="66">
        <v>1.0</v>
      </c>
      <c r="G60" s="66">
        <v>1.0</v>
      </c>
      <c r="H60" s="66">
        <v>0.0</v>
      </c>
      <c r="I60" s="66">
        <v>2.0</v>
      </c>
      <c r="J60" s="66">
        <v>0.0</v>
      </c>
      <c r="K60" s="66">
        <v>0.0</v>
      </c>
      <c r="L60" s="66">
        <v>1.0</v>
      </c>
      <c r="M60" s="66">
        <v>0.0</v>
      </c>
      <c r="N60" s="66">
        <v>3.0</v>
      </c>
      <c r="O60" s="66">
        <v>0.0</v>
      </c>
      <c r="P60" s="13">
        <f t="shared" si="12"/>
        <v>8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O61" si="14">SUM(E54:E60)</f>
        <v>7</v>
      </c>
      <c r="F61" s="13">
        <f t="shared" si="14"/>
        <v>5</v>
      </c>
      <c r="G61" s="13">
        <f t="shared" si="14"/>
        <v>7</v>
      </c>
      <c r="H61" s="13">
        <f t="shared" si="14"/>
        <v>5</v>
      </c>
      <c r="I61" s="13">
        <f t="shared" si="14"/>
        <v>7</v>
      </c>
      <c r="J61" s="13">
        <f t="shared" si="14"/>
        <v>16</v>
      </c>
      <c r="K61" s="13">
        <f t="shared" si="14"/>
        <v>19</v>
      </c>
      <c r="L61" s="13">
        <f t="shared" si="14"/>
        <v>9</v>
      </c>
      <c r="M61" s="13">
        <f t="shared" si="14"/>
        <v>20</v>
      </c>
      <c r="N61" s="13">
        <f t="shared" si="14"/>
        <v>18</v>
      </c>
      <c r="O61" s="13">
        <f t="shared" si="14"/>
        <v>32</v>
      </c>
      <c r="P61" s="13">
        <f t="shared" si="12"/>
        <v>145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13">
        <f t="shared" si="12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4.0</v>
      </c>
      <c r="F63" s="66">
        <v>10.0</v>
      </c>
      <c r="G63" s="66">
        <v>9.0</v>
      </c>
      <c r="H63" s="66">
        <v>15.0</v>
      </c>
      <c r="I63" s="66">
        <v>14.0</v>
      </c>
      <c r="J63" s="66">
        <v>9.0</v>
      </c>
      <c r="K63" s="66">
        <v>18.0</v>
      </c>
      <c r="L63" s="66">
        <v>10.0</v>
      </c>
      <c r="M63" s="66">
        <v>6.0</v>
      </c>
      <c r="N63" s="66">
        <v>6.0</v>
      </c>
      <c r="O63" s="66">
        <v>7.0</v>
      </c>
      <c r="P63" s="13">
        <f t="shared" si="12"/>
        <v>108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8.0</v>
      </c>
      <c r="F64" s="66">
        <v>2.0</v>
      </c>
      <c r="G64" s="66">
        <v>23.0</v>
      </c>
      <c r="H64" s="66">
        <v>41.0</v>
      </c>
      <c r="I64" s="66">
        <v>33.0</v>
      </c>
      <c r="J64" s="66">
        <v>32.0</v>
      </c>
      <c r="K64" s="66">
        <v>58.0</v>
      </c>
      <c r="L64" s="66">
        <v>20.0</v>
      </c>
      <c r="M64" s="66">
        <v>6.0</v>
      </c>
      <c r="N64" s="66">
        <v>23.0</v>
      </c>
      <c r="O64" s="66">
        <v>14.0</v>
      </c>
      <c r="P64" s="13">
        <f t="shared" si="12"/>
        <v>260</v>
      </c>
    </row>
    <row r="65" ht="12.75" customHeight="1">
      <c r="A65" s="18"/>
      <c r="B65" s="49"/>
      <c r="C65" s="50" t="s">
        <v>56</v>
      </c>
      <c r="D65" s="51"/>
      <c r="E65" s="66">
        <v>0.0</v>
      </c>
      <c r="F65" s="66">
        <v>0.0</v>
      </c>
      <c r="G65" s="66">
        <v>2.0</v>
      </c>
      <c r="H65" s="66">
        <v>3.0</v>
      </c>
      <c r="I65" s="66">
        <v>0.0</v>
      </c>
      <c r="J65" s="66">
        <v>1.0</v>
      </c>
      <c r="K65" s="66">
        <v>0.0</v>
      </c>
      <c r="L65" s="66">
        <v>2.0</v>
      </c>
      <c r="M65" s="66">
        <v>1.0</v>
      </c>
      <c r="N65" s="66">
        <v>1.0</v>
      </c>
      <c r="O65" s="66">
        <v>2.0</v>
      </c>
      <c r="P65" s="13">
        <f t="shared" si="12"/>
        <v>12</v>
      </c>
    </row>
    <row r="66" ht="12.75" customHeight="1">
      <c r="A66" s="18"/>
      <c r="B66" s="49"/>
      <c r="C66" s="50" t="s">
        <v>57</v>
      </c>
      <c r="D66" s="51"/>
      <c r="E66" s="66">
        <v>6.0</v>
      </c>
      <c r="F66" s="66">
        <v>5.0</v>
      </c>
      <c r="G66" s="66">
        <v>11.0</v>
      </c>
      <c r="H66" s="66">
        <v>17.0</v>
      </c>
      <c r="I66" s="66">
        <v>9.0</v>
      </c>
      <c r="J66" s="66">
        <v>11.0</v>
      </c>
      <c r="K66" s="66">
        <v>10.0</v>
      </c>
      <c r="L66" s="66">
        <v>3.0</v>
      </c>
      <c r="M66" s="66">
        <v>11.0</v>
      </c>
      <c r="N66" s="66">
        <v>1.0</v>
      </c>
      <c r="O66" s="66">
        <v>1.0</v>
      </c>
      <c r="P66" s="13">
        <f t="shared" si="12"/>
        <v>85</v>
      </c>
    </row>
    <row r="67" ht="12.75" customHeight="1">
      <c r="A67" s="18"/>
      <c r="B67" s="49"/>
      <c r="C67" s="50" t="s">
        <v>58</v>
      </c>
      <c r="D67" s="51"/>
      <c r="E67" s="66">
        <v>0.0</v>
      </c>
      <c r="F67" s="66">
        <v>2.0</v>
      </c>
      <c r="G67" s="66">
        <v>3.0</v>
      </c>
      <c r="H67" s="66">
        <v>2.0</v>
      </c>
      <c r="I67" s="66">
        <v>0.0</v>
      </c>
      <c r="J67" s="66">
        <v>0.0</v>
      </c>
      <c r="K67" s="66">
        <v>0.0</v>
      </c>
      <c r="L67" s="66">
        <v>0.0</v>
      </c>
      <c r="M67" s="66">
        <v>1.0</v>
      </c>
      <c r="N67" s="66">
        <v>4.0</v>
      </c>
      <c r="O67" s="66">
        <v>0.0</v>
      </c>
      <c r="P67" s="13">
        <f t="shared" si="12"/>
        <v>12</v>
      </c>
    </row>
    <row r="68" ht="12.75" customHeight="1">
      <c r="A68" s="18"/>
      <c r="B68" s="49"/>
      <c r="C68" s="50" t="s">
        <v>59</v>
      </c>
      <c r="D68" s="51"/>
      <c r="E68" s="66">
        <v>0.0</v>
      </c>
      <c r="F68" s="66">
        <v>0.0</v>
      </c>
      <c r="G68" s="66">
        <v>0.0</v>
      </c>
      <c r="H68" s="66">
        <v>0.0</v>
      </c>
      <c r="I68" s="66">
        <v>0.0</v>
      </c>
      <c r="J68" s="66">
        <v>0.0</v>
      </c>
      <c r="K68" s="66">
        <v>1.0</v>
      </c>
      <c r="L68" s="66">
        <v>0.0</v>
      </c>
      <c r="M68" s="66">
        <v>0.0</v>
      </c>
      <c r="N68" s="66">
        <v>1.0</v>
      </c>
      <c r="O68" s="66">
        <v>1.0</v>
      </c>
      <c r="P68" s="13">
        <f t="shared" si="12"/>
        <v>3</v>
      </c>
    </row>
    <row r="69" ht="12.75" customHeight="1">
      <c r="A69" s="18"/>
      <c r="B69" s="49"/>
      <c r="C69" s="50" t="s">
        <v>60</v>
      </c>
      <c r="D69" s="51"/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0.0</v>
      </c>
      <c r="K69" s="66">
        <v>0.0</v>
      </c>
      <c r="L69" s="66">
        <v>1.0</v>
      </c>
      <c r="M69" s="66">
        <v>0.0</v>
      </c>
      <c r="N69" s="66">
        <v>0.0</v>
      </c>
      <c r="O69" s="66">
        <v>0.0</v>
      </c>
      <c r="P69" s="13">
        <f t="shared" si="12"/>
        <v>1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O70" si="15">SUM(E63:E69)</f>
        <v>18</v>
      </c>
      <c r="F70" s="13">
        <f t="shared" si="15"/>
        <v>19</v>
      </c>
      <c r="G70" s="13">
        <f t="shared" si="15"/>
        <v>48</v>
      </c>
      <c r="H70" s="13">
        <f t="shared" si="15"/>
        <v>78</v>
      </c>
      <c r="I70" s="13">
        <f t="shared" si="15"/>
        <v>56</v>
      </c>
      <c r="J70" s="13">
        <f t="shared" si="15"/>
        <v>53</v>
      </c>
      <c r="K70" s="13">
        <f t="shared" si="15"/>
        <v>87</v>
      </c>
      <c r="L70" s="13">
        <f t="shared" si="15"/>
        <v>36</v>
      </c>
      <c r="M70" s="13">
        <f t="shared" si="15"/>
        <v>25</v>
      </c>
      <c r="N70" s="13">
        <f t="shared" si="15"/>
        <v>36</v>
      </c>
      <c r="O70" s="13">
        <f t="shared" si="15"/>
        <v>25</v>
      </c>
      <c r="P70" s="13">
        <f t="shared" si="12"/>
        <v>481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13">
        <f t="shared" si="12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66">
        <v>2.0</v>
      </c>
      <c r="F72" s="66">
        <v>6.0</v>
      </c>
      <c r="G72" s="66">
        <v>4.0</v>
      </c>
      <c r="H72" s="66">
        <v>6.0</v>
      </c>
      <c r="I72" s="66">
        <v>1.0</v>
      </c>
      <c r="J72" s="66">
        <v>11.0</v>
      </c>
      <c r="K72" s="66">
        <v>1.0</v>
      </c>
      <c r="L72" s="66">
        <v>10.0</v>
      </c>
      <c r="M72" s="66">
        <v>1.0</v>
      </c>
      <c r="N72" s="66">
        <v>4.0</v>
      </c>
      <c r="O72" s="66">
        <v>1.0</v>
      </c>
      <c r="P72" s="13">
        <f t="shared" si="12"/>
        <v>47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3.0</v>
      </c>
      <c r="F73" s="66">
        <v>1.0</v>
      </c>
      <c r="G73" s="66">
        <v>2.0</v>
      </c>
      <c r="H73" s="66">
        <v>7.0</v>
      </c>
      <c r="I73" s="66">
        <v>3.0</v>
      </c>
      <c r="J73" s="66">
        <v>24.0</v>
      </c>
      <c r="K73" s="66">
        <v>2.0</v>
      </c>
      <c r="L73" s="66">
        <v>1.0</v>
      </c>
      <c r="M73" s="66">
        <v>1.0</v>
      </c>
      <c r="N73" s="66">
        <v>2.0</v>
      </c>
      <c r="O73" s="66">
        <v>1.0</v>
      </c>
      <c r="P73" s="13">
        <f t="shared" si="12"/>
        <v>47</v>
      </c>
    </row>
    <row r="74" ht="12.75" customHeight="1">
      <c r="A74" s="18"/>
      <c r="B74" s="49"/>
      <c r="C74" s="50" t="s">
        <v>63</v>
      </c>
      <c r="D74" s="51"/>
      <c r="E74" s="66">
        <v>0.0</v>
      </c>
      <c r="F74" s="66">
        <v>0.0</v>
      </c>
      <c r="G74" s="66">
        <v>0.0</v>
      </c>
      <c r="H74" s="66">
        <v>0.0</v>
      </c>
      <c r="I74" s="66">
        <v>0.0</v>
      </c>
      <c r="J74" s="66">
        <v>3.0</v>
      </c>
      <c r="K74" s="66">
        <v>0.0</v>
      </c>
      <c r="L74" s="66">
        <v>0.0</v>
      </c>
      <c r="M74" s="66">
        <v>1.0</v>
      </c>
      <c r="N74" s="66">
        <v>0.0</v>
      </c>
      <c r="O74" s="66">
        <v>0.0</v>
      </c>
      <c r="P74" s="13">
        <f t="shared" si="12"/>
        <v>4</v>
      </c>
    </row>
    <row r="75" ht="12.75" customHeight="1">
      <c r="A75" s="18"/>
      <c r="B75" s="49"/>
      <c r="C75" s="50" t="s">
        <v>64</v>
      </c>
      <c r="D75" s="51"/>
      <c r="E75" s="66">
        <v>0.0</v>
      </c>
      <c r="F75" s="66">
        <v>0.0</v>
      </c>
      <c r="G75" s="66">
        <v>0.0</v>
      </c>
      <c r="H75" s="66">
        <v>1.0</v>
      </c>
      <c r="I75" s="66">
        <v>0.0</v>
      </c>
      <c r="J75" s="66">
        <v>1.0</v>
      </c>
      <c r="K75" s="66">
        <v>0.0</v>
      </c>
      <c r="L75" s="66">
        <v>1.0</v>
      </c>
      <c r="M75" s="66">
        <v>0.0</v>
      </c>
      <c r="N75" s="66">
        <v>1.0</v>
      </c>
      <c r="O75" s="66">
        <v>0.0</v>
      </c>
      <c r="P75" s="13">
        <f t="shared" si="12"/>
        <v>4</v>
      </c>
    </row>
    <row r="76" ht="12.75" customHeight="1">
      <c r="A76" s="18"/>
      <c r="B76" s="49"/>
      <c r="C76" s="50" t="s">
        <v>65</v>
      </c>
      <c r="D76" s="51"/>
      <c r="E76" s="66">
        <v>1.0</v>
      </c>
      <c r="F76" s="66">
        <v>0.0</v>
      </c>
      <c r="G76" s="66">
        <v>0.0</v>
      </c>
      <c r="H76" s="66">
        <v>0.0</v>
      </c>
      <c r="I76" s="66">
        <v>0.0</v>
      </c>
      <c r="J76" s="66">
        <v>0.0</v>
      </c>
      <c r="K76" s="66">
        <v>0.0</v>
      </c>
      <c r="L76" s="66">
        <v>0.0</v>
      </c>
      <c r="M76" s="66">
        <v>0.0</v>
      </c>
      <c r="N76" s="66">
        <v>0.0</v>
      </c>
      <c r="O76" s="66">
        <v>0.0</v>
      </c>
      <c r="P76" s="13">
        <f t="shared" si="12"/>
        <v>1</v>
      </c>
    </row>
    <row r="77" ht="12.75" customHeight="1">
      <c r="A77" s="18"/>
      <c r="B77" s="49"/>
      <c r="C77" s="50" t="s">
        <v>66</v>
      </c>
      <c r="D77" s="51"/>
      <c r="E77" s="66">
        <v>0.0</v>
      </c>
      <c r="F77" s="66">
        <v>0.0</v>
      </c>
      <c r="G77" s="66">
        <v>0.0</v>
      </c>
      <c r="H77" s="66">
        <v>0.0</v>
      </c>
      <c r="I77" s="66">
        <v>0.0</v>
      </c>
      <c r="J77" s="66">
        <v>0.0</v>
      </c>
      <c r="K77" s="66">
        <v>0.0</v>
      </c>
      <c r="L77" s="66">
        <v>0.0</v>
      </c>
      <c r="M77" s="66">
        <v>0.0</v>
      </c>
      <c r="N77" s="66">
        <v>0.0</v>
      </c>
      <c r="O77" s="66">
        <v>1.0</v>
      </c>
      <c r="P77" s="13">
        <f t="shared" si="12"/>
        <v>1</v>
      </c>
    </row>
    <row r="78" ht="12.75" customHeight="1">
      <c r="A78" s="18"/>
      <c r="B78" s="49"/>
      <c r="C78" s="50" t="s">
        <v>67</v>
      </c>
      <c r="D78" s="51"/>
      <c r="E78" s="66">
        <v>34.0</v>
      </c>
      <c r="F78" s="66">
        <v>47.0</v>
      </c>
      <c r="G78" s="66">
        <v>6.0</v>
      </c>
      <c r="H78" s="66">
        <v>15.0</v>
      </c>
      <c r="I78" s="66">
        <v>41.0</v>
      </c>
      <c r="J78" s="66">
        <v>32.0</v>
      </c>
      <c r="K78" s="66">
        <v>21.0</v>
      </c>
      <c r="L78" s="66">
        <v>86.0</v>
      </c>
      <c r="M78" s="66">
        <v>3.0</v>
      </c>
      <c r="N78" s="66">
        <v>14.0</v>
      </c>
      <c r="O78" s="66">
        <v>2.0</v>
      </c>
      <c r="P78" s="13">
        <f t="shared" si="12"/>
        <v>301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O79" si="16">SUM(E72:E78)</f>
        <v>40</v>
      </c>
      <c r="F79" s="13">
        <f t="shared" si="16"/>
        <v>54</v>
      </c>
      <c r="G79" s="13">
        <f t="shared" si="16"/>
        <v>12</v>
      </c>
      <c r="H79" s="13">
        <f t="shared" si="16"/>
        <v>29</v>
      </c>
      <c r="I79" s="13">
        <f t="shared" si="16"/>
        <v>45</v>
      </c>
      <c r="J79" s="13">
        <f t="shared" si="16"/>
        <v>71</v>
      </c>
      <c r="K79" s="13">
        <f t="shared" si="16"/>
        <v>24</v>
      </c>
      <c r="L79" s="13">
        <f t="shared" si="16"/>
        <v>98</v>
      </c>
      <c r="M79" s="13">
        <f t="shared" si="16"/>
        <v>6</v>
      </c>
      <c r="N79" s="13">
        <f t="shared" si="16"/>
        <v>21</v>
      </c>
      <c r="O79" s="13">
        <f t="shared" si="16"/>
        <v>5</v>
      </c>
      <c r="P79" s="13">
        <f t="shared" si="12"/>
        <v>405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13">
        <f t="shared" si="12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1.0</v>
      </c>
      <c r="F81" s="66">
        <v>0.0</v>
      </c>
      <c r="G81" s="66">
        <v>2.0</v>
      </c>
      <c r="H81" s="66">
        <v>2.0</v>
      </c>
      <c r="I81" s="66">
        <v>1.0</v>
      </c>
      <c r="J81" s="66">
        <v>0.0</v>
      </c>
      <c r="K81" s="66">
        <v>0.0</v>
      </c>
      <c r="L81" s="66">
        <v>0.0</v>
      </c>
      <c r="M81" s="66">
        <v>3.0</v>
      </c>
      <c r="N81" s="66">
        <v>1.0</v>
      </c>
      <c r="O81" s="66">
        <v>4.0</v>
      </c>
      <c r="P81" s="13">
        <f t="shared" si="12"/>
        <v>14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0.0</v>
      </c>
      <c r="F82" s="66">
        <v>0.0</v>
      </c>
      <c r="G82" s="66">
        <v>1.0</v>
      </c>
      <c r="H82" s="66">
        <v>0.0</v>
      </c>
      <c r="I82" s="66">
        <v>0.0</v>
      </c>
      <c r="J82" s="66">
        <v>0.0</v>
      </c>
      <c r="K82" s="66">
        <v>1.0</v>
      </c>
      <c r="L82" s="66">
        <v>0.0</v>
      </c>
      <c r="M82" s="66">
        <v>0.0</v>
      </c>
      <c r="N82" s="66">
        <v>0.0</v>
      </c>
      <c r="O82" s="66">
        <v>0.0</v>
      </c>
      <c r="P82" s="13">
        <f t="shared" si="12"/>
        <v>2</v>
      </c>
    </row>
    <row r="83" ht="12.75" customHeight="1">
      <c r="A83" s="18"/>
      <c r="B83" s="49"/>
      <c r="C83" s="50" t="s">
        <v>71</v>
      </c>
      <c r="D83" s="51"/>
      <c r="E83" s="66">
        <v>6.0</v>
      </c>
      <c r="F83" s="66">
        <v>2.0</v>
      </c>
      <c r="G83" s="66">
        <v>10.0</v>
      </c>
      <c r="H83" s="66">
        <v>7.0</v>
      </c>
      <c r="I83" s="66">
        <v>16.0</v>
      </c>
      <c r="J83" s="66">
        <v>19.0</v>
      </c>
      <c r="K83" s="66">
        <v>7.0</v>
      </c>
      <c r="L83" s="66">
        <v>2.0</v>
      </c>
      <c r="M83" s="66">
        <v>30.0</v>
      </c>
      <c r="N83" s="66">
        <v>14.0</v>
      </c>
      <c r="O83" s="66">
        <v>28.0</v>
      </c>
      <c r="P83" s="13">
        <f t="shared" si="12"/>
        <v>141</v>
      </c>
    </row>
    <row r="84" ht="12.75" customHeight="1">
      <c r="A84" s="18"/>
      <c r="B84" s="49"/>
      <c r="C84" s="50" t="s">
        <v>72</v>
      </c>
      <c r="D84" s="51"/>
      <c r="E84" s="66">
        <v>0.0</v>
      </c>
      <c r="F84" s="66">
        <v>0.0</v>
      </c>
      <c r="G84" s="66">
        <v>0.0</v>
      </c>
      <c r="H84" s="66">
        <v>0.0</v>
      </c>
      <c r="I84" s="66">
        <v>0.0</v>
      </c>
      <c r="J84" s="66">
        <v>1.0</v>
      </c>
      <c r="K84" s="66">
        <v>0.0</v>
      </c>
      <c r="L84" s="66">
        <v>0.0</v>
      </c>
      <c r="M84" s="66">
        <v>1.0</v>
      </c>
      <c r="N84" s="66">
        <v>0.0</v>
      </c>
      <c r="O84" s="66">
        <v>2.0</v>
      </c>
      <c r="P84" s="13">
        <f t="shared" si="12"/>
        <v>4</v>
      </c>
    </row>
    <row r="85" ht="12.75" customHeight="1">
      <c r="A85" s="18"/>
      <c r="B85" s="49"/>
      <c r="C85" s="50" t="s">
        <v>73</v>
      </c>
      <c r="D85" s="51"/>
      <c r="E85" s="66">
        <v>0.0</v>
      </c>
      <c r="F85" s="66">
        <v>0.0</v>
      </c>
      <c r="G85" s="66">
        <v>0.0</v>
      </c>
      <c r="H85" s="66">
        <v>0.0</v>
      </c>
      <c r="I85" s="66">
        <v>0.0</v>
      </c>
      <c r="J85" s="66">
        <v>0.0</v>
      </c>
      <c r="K85" s="66">
        <v>0.0</v>
      </c>
      <c r="L85" s="66">
        <v>0.0</v>
      </c>
      <c r="M85" s="66">
        <v>0.0</v>
      </c>
      <c r="N85" s="66">
        <v>1.0</v>
      </c>
      <c r="O85" s="66">
        <v>0.0</v>
      </c>
      <c r="P85" s="13">
        <f t="shared" si="12"/>
        <v>1</v>
      </c>
    </row>
    <row r="86" ht="12.75" customHeight="1">
      <c r="A86" s="18"/>
      <c r="B86" s="49"/>
      <c r="C86" s="50" t="s">
        <v>74</v>
      </c>
      <c r="D86" s="51"/>
      <c r="E86" s="66">
        <v>0.0</v>
      </c>
      <c r="F86" s="66">
        <v>0.0</v>
      </c>
      <c r="G86" s="66">
        <v>1.0</v>
      </c>
      <c r="H86" s="66">
        <v>0.0</v>
      </c>
      <c r="I86" s="66">
        <v>0.0</v>
      </c>
      <c r="J86" s="66">
        <v>0.0</v>
      </c>
      <c r="K86" s="66">
        <v>0.0</v>
      </c>
      <c r="L86" s="66">
        <v>0.0</v>
      </c>
      <c r="M86" s="66">
        <v>0.0</v>
      </c>
      <c r="N86" s="66">
        <v>0.0</v>
      </c>
      <c r="O86" s="66">
        <v>0.0</v>
      </c>
      <c r="P86" s="13">
        <f t="shared" si="12"/>
        <v>1</v>
      </c>
    </row>
    <row r="87" ht="12.75" customHeight="1">
      <c r="A87" s="18"/>
      <c r="B87" s="49"/>
      <c r="C87" s="50" t="s">
        <v>75</v>
      </c>
      <c r="D87" s="51"/>
      <c r="E87" s="66">
        <v>0.0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0.0</v>
      </c>
      <c r="O87" s="66">
        <v>1.0</v>
      </c>
      <c r="P87" s="13">
        <f t="shared" si="12"/>
        <v>1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O88" si="17">SUM(E81:E87)</f>
        <v>7</v>
      </c>
      <c r="F88" s="13">
        <f t="shared" si="17"/>
        <v>2</v>
      </c>
      <c r="G88" s="13">
        <f t="shared" si="17"/>
        <v>14</v>
      </c>
      <c r="H88" s="13">
        <f t="shared" si="17"/>
        <v>9</v>
      </c>
      <c r="I88" s="13">
        <f t="shared" si="17"/>
        <v>17</v>
      </c>
      <c r="J88" s="13">
        <f t="shared" si="17"/>
        <v>20</v>
      </c>
      <c r="K88" s="13">
        <f t="shared" si="17"/>
        <v>8</v>
      </c>
      <c r="L88" s="13">
        <f t="shared" si="17"/>
        <v>2</v>
      </c>
      <c r="M88" s="13">
        <f t="shared" si="17"/>
        <v>34</v>
      </c>
      <c r="N88" s="13">
        <f t="shared" si="17"/>
        <v>16</v>
      </c>
      <c r="O88" s="13">
        <f t="shared" si="17"/>
        <v>35</v>
      </c>
      <c r="P88" s="13">
        <f t="shared" si="12"/>
        <v>164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13">
        <f t="shared" si="12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66">
        <v>1.0</v>
      </c>
      <c r="F90" s="66">
        <v>1.0</v>
      </c>
      <c r="G90" s="66">
        <v>0.0</v>
      </c>
      <c r="H90" s="66">
        <v>3.0</v>
      </c>
      <c r="I90" s="66">
        <v>2.0</v>
      </c>
      <c r="J90" s="66">
        <v>1.0</v>
      </c>
      <c r="K90" s="66">
        <v>0.0</v>
      </c>
      <c r="L90" s="66">
        <v>7.0</v>
      </c>
      <c r="M90" s="66">
        <v>0.0</v>
      </c>
      <c r="N90" s="66">
        <v>0.0</v>
      </c>
      <c r="O90" s="66">
        <v>1.0</v>
      </c>
      <c r="P90" s="13">
        <f t="shared" si="12"/>
        <v>16</v>
      </c>
    </row>
    <row r="91" ht="12.75" customHeight="1">
      <c r="A91" s="30" t="s">
        <v>39</v>
      </c>
      <c r="B91" s="49"/>
      <c r="C91" s="50" t="s">
        <v>78</v>
      </c>
      <c r="D91" s="16"/>
      <c r="E91" s="66">
        <v>0.0</v>
      </c>
      <c r="F91" s="66">
        <v>1.0</v>
      </c>
      <c r="G91" s="66">
        <v>1.0</v>
      </c>
      <c r="H91" s="66">
        <v>0.0</v>
      </c>
      <c r="I91" s="66">
        <v>1.0</v>
      </c>
      <c r="J91" s="66">
        <v>1.0</v>
      </c>
      <c r="K91" s="66">
        <v>0.0</v>
      </c>
      <c r="L91" s="66">
        <v>1.0</v>
      </c>
      <c r="M91" s="66">
        <v>0.0</v>
      </c>
      <c r="N91" s="66">
        <v>1.0</v>
      </c>
      <c r="O91" s="66">
        <v>0.0</v>
      </c>
      <c r="P91" s="13">
        <f t="shared" si="12"/>
        <v>6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O92" si="18">SUM(E90:E91)</f>
        <v>1</v>
      </c>
      <c r="F92" s="58">
        <f t="shared" si="18"/>
        <v>2</v>
      </c>
      <c r="G92" s="58">
        <f t="shared" si="18"/>
        <v>1</v>
      </c>
      <c r="H92" s="58">
        <f t="shared" si="18"/>
        <v>3</v>
      </c>
      <c r="I92" s="58">
        <f t="shared" si="18"/>
        <v>3</v>
      </c>
      <c r="J92" s="58">
        <f t="shared" si="18"/>
        <v>2</v>
      </c>
      <c r="K92" s="58">
        <f t="shared" si="18"/>
        <v>0</v>
      </c>
      <c r="L92" s="58">
        <f t="shared" si="18"/>
        <v>8</v>
      </c>
      <c r="M92" s="58">
        <f t="shared" si="18"/>
        <v>0</v>
      </c>
      <c r="N92" s="58">
        <f t="shared" si="18"/>
        <v>1</v>
      </c>
      <c r="O92" s="58">
        <f t="shared" si="18"/>
        <v>1</v>
      </c>
      <c r="P92" s="13">
        <f t="shared" si="12"/>
        <v>22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13">
        <f t="shared" si="12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66">
        <v>1.0</v>
      </c>
      <c r="F94" s="66">
        <v>0.0</v>
      </c>
      <c r="G94" s="66">
        <v>0.0</v>
      </c>
      <c r="H94" s="66">
        <v>2.0</v>
      </c>
      <c r="I94" s="66">
        <v>0.0</v>
      </c>
      <c r="J94" s="66">
        <v>0.0</v>
      </c>
      <c r="K94" s="66">
        <v>0.0</v>
      </c>
      <c r="L94" s="66">
        <v>1.0</v>
      </c>
      <c r="M94" s="66">
        <v>2.0</v>
      </c>
      <c r="N94" s="66">
        <v>1.0</v>
      </c>
      <c r="O94" s="66">
        <v>0.0</v>
      </c>
      <c r="P94" s="13">
        <f t="shared" si="12"/>
        <v>7</v>
      </c>
    </row>
    <row r="95" ht="12.75" customHeight="1">
      <c r="A95" s="30" t="s">
        <v>39</v>
      </c>
      <c r="B95" s="49"/>
      <c r="C95" s="50" t="s">
        <v>81</v>
      </c>
      <c r="D95" s="51"/>
      <c r="E95" s="66">
        <v>0.0</v>
      </c>
      <c r="F95" s="66">
        <v>0.0</v>
      </c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0.0</v>
      </c>
      <c r="M95" s="66">
        <v>0.0</v>
      </c>
      <c r="N95" s="66">
        <v>1.0</v>
      </c>
      <c r="O95" s="66">
        <v>0.0</v>
      </c>
      <c r="P95" s="13">
        <f t="shared" si="12"/>
        <v>1</v>
      </c>
    </row>
    <row r="96" ht="12.75" customHeight="1">
      <c r="A96" s="30"/>
      <c r="B96" s="49"/>
      <c r="C96" s="50" t="s">
        <v>82</v>
      </c>
      <c r="D96" s="51"/>
      <c r="E96" s="66">
        <v>0.0</v>
      </c>
      <c r="F96" s="66">
        <v>0.0</v>
      </c>
      <c r="G96" s="66">
        <v>0.0</v>
      </c>
      <c r="H96" s="66">
        <v>0.0</v>
      </c>
      <c r="I96" s="66">
        <v>1.0</v>
      </c>
      <c r="J96" s="66">
        <v>0.0</v>
      </c>
      <c r="K96" s="66">
        <v>0.0</v>
      </c>
      <c r="L96" s="66">
        <v>0.0</v>
      </c>
      <c r="M96" s="66">
        <v>0.0</v>
      </c>
      <c r="N96" s="66">
        <v>0.0</v>
      </c>
      <c r="O96" s="66">
        <v>0.0</v>
      </c>
      <c r="P96" s="13">
        <f t="shared" si="12"/>
        <v>1</v>
      </c>
    </row>
    <row r="97" ht="12.75" customHeight="1">
      <c r="A97" s="30"/>
      <c r="B97" s="49"/>
      <c r="C97" s="50" t="s">
        <v>83</v>
      </c>
      <c r="D97" s="51"/>
      <c r="E97" s="66">
        <v>0.0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0.0</v>
      </c>
      <c r="N97" s="66">
        <v>0.0</v>
      </c>
      <c r="O97" s="66">
        <v>0.0</v>
      </c>
      <c r="P97" s="13">
        <f t="shared" si="12"/>
        <v>0</v>
      </c>
    </row>
    <row r="98" ht="12.75" customHeight="1">
      <c r="A98" s="30"/>
      <c r="B98" s="49"/>
      <c r="C98" s="50" t="s">
        <v>84</v>
      </c>
      <c r="D98" s="51"/>
      <c r="E98" s="66">
        <v>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0.0</v>
      </c>
      <c r="P98" s="13">
        <f t="shared" si="12"/>
        <v>0</v>
      </c>
    </row>
    <row r="99" ht="12.75" customHeight="1">
      <c r="A99" s="30"/>
      <c r="B99" s="49"/>
      <c r="C99" s="50" t="s">
        <v>85</v>
      </c>
      <c r="D99" s="51"/>
      <c r="E99" s="66">
        <v>0.0</v>
      </c>
      <c r="F99" s="66">
        <v>0.0</v>
      </c>
      <c r="G99" s="66">
        <v>0.0</v>
      </c>
      <c r="H99" s="66">
        <v>0.0</v>
      </c>
      <c r="I99" s="66">
        <v>0.0</v>
      </c>
      <c r="J99" s="66">
        <v>0.0</v>
      </c>
      <c r="K99" s="66">
        <v>0.0</v>
      </c>
      <c r="L99" s="66">
        <v>0.0</v>
      </c>
      <c r="M99" s="66">
        <v>0.0</v>
      </c>
      <c r="N99" s="66">
        <v>0.0</v>
      </c>
      <c r="O99" s="66">
        <v>0.0</v>
      </c>
      <c r="P99" s="13">
        <f t="shared" si="12"/>
        <v>0</v>
      </c>
    </row>
    <row r="100" ht="12.75" customHeight="1">
      <c r="A100" s="30"/>
      <c r="B100" s="49"/>
      <c r="C100" s="50" t="s">
        <v>86</v>
      </c>
      <c r="D100" s="51"/>
      <c r="E100" s="66">
        <v>0.0</v>
      </c>
      <c r="F100" s="66">
        <v>0.0</v>
      </c>
      <c r="G100" s="66">
        <v>0.0</v>
      </c>
      <c r="H100" s="66">
        <v>0.0</v>
      </c>
      <c r="I100" s="66">
        <v>0.0</v>
      </c>
      <c r="J100" s="66">
        <v>0.0</v>
      </c>
      <c r="K100" s="66">
        <v>0.0</v>
      </c>
      <c r="L100" s="66">
        <v>0.0</v>
      </c>
      <c r="M100" s="66">
        <v>0.0</v>
      </c>
      <c r="N100" s="66">
        <v>0.0</v>
      </c>
      <c r="O100" s="66">
        <v>0.0</v>
      </c>
      <c r="P100" s="13">
        <f t="shared" si="12"/>
        <v>0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O101" si="19">SUM(E94:E100)</f>
        <v>1</v>
      </c>
      <c r="F101" s="13">
        <f t="shared" si="19"/>
        <v>0</v>
      </c>
      <c r="G101" s="13">
        <f t="shared" si="19"/>
        <v>0</v>
      </c>
      <c r="H101" s="13">
        <f t="shared" si="19"/>
        <v>2</v>
      </c>
      <c r="I101" s="13">
        <f t="shared" si="19"/>
        <v>1</v>
      </c>
      <c r="J101" s="13">
        <f t="shared" si="19"/>
        <v>0</v>
      </c>
      <c r="K101" s="13">
        <f t="shared" si="19"/>
        <v>0</v>
      </c>
      <c r="L101" s="13">
        <f t="shared" si="19"/>
        <v>1</v>
      </c>
      <c r="M101" s="13">
        <f t="shared" si="19"/>
        <v>2</v>
      </c>
      <c r="N101" s="13">
        <f t="shared" si="19"/>
        <v>2</v>
      </c>
      <c r="O101" s="13">
        <f t="shared" si="19"/>
        <v>0</v>
      </c>
      <c r="P101" s="13">
        <f t="shared" si="12"/>
        <v>9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13">
        <f t="shared" si="12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66">
        <v>0.0</v>
      </c>
      <c r="F103" s="66">
        <v>0.0</v>
      </c>
      <c r="G103" s="66">
        <v>3.0</v>
      </c>
      <c r="H103" s="66">
        <v>1.0</v>
      </c>
      <c r="I103" s="66">
        <v>0.0</v>
      </c>
      <c r="J103" s="66">
        <v>0.0</v>
      </c>
      <c r="K103" s="66">
        <v>0.0</v>
      </c>
      <c r="L103" s="66">
        <v>0.0</v>
      </c>
      <c r="M103" s="66">
        <v>0.0</v>
      </c>
      <c r="N103" s="66">
        <v>0.0</v>
      </c>
      <c r="O103" s="66">
        <v>0.0</v>
      </c>
      <c r="P103" s="13">
        <f t="shared" si="12"/>
        <v>4</v>
      </c>
    </row>
    <row r="104" ht="12.75" customHeight="1">
      <c r="A104" s="30" t="s">
        <v>39</v>
      </c>
      <c r="B104" s="49"/>
      <c r="C104" s="50" t="s">
        <v>89</v>
      </c>
      <c r="D104" s="51"/>
      <c r="E104" s="66">
        <v>0.0</v>
      </c>
      <c r="F104" s="66">
        <v>0.0</v>
      </c>
      <c r="G104" s="66">
        <v>0.0</v>
      </c>
      <c r="H104" s="66">
        <v>1.0</v>
      </c>
      <c r="I104" s="66">
        <v>0.0</v>
      </c>
      <c r="J104" s="66">
        <v>0.0</v>
      </c>
      <c r="K104" s="66">
        <v>1.0</v>
      </c>
      <c r="L104" s="66">
        <v>0.0</v>
      </c>
      <c r="M104" s="66">
        <v>0.0</v>
      </c>
      <c r="N104" s="66">
        <v>0.0</v>
      </c>
      <c r="O104" s="66">
        <v>0.0</v>
      </c>
      <c r="P104" s="13">
        <f t="shared" si="12"/>
        <v>2</v>
      </c>
    </row>
    <row r="105" ht="12.75" customHeight="1">
      <c r="A105" s="18"/>
      <c r="B105" s="49"/>
      <c r="C105" s="50" t="s">
        <v>90</v>
      </c>
      <c r="D105" s="51"/>
      <c r="E105" s="66">
        <v>0.0</v>
      </c>
      <c r="F105" s="66">
        <v>1.0</v>
      </c>
      <c r="G105" s="66">
        <v>0.0</v>
      </c>
      <c r="H105" s="66">
        <v>0.0</v>
      </c>
      <c r="I105" s="66">
        <v>0.0</v>
      </c>
      <c r="J105" s="66">
        <v>0.0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13">
        <f t="shared" si="12"/>
        <v>1</v>
      </c>
    </row>
    <row r="106" ht="12.75" customHeight="1">
      <c r="A106" s="18"/>
      <c r="B106" s="49"/>
      <c r="C106" s="50" t="s">
        <v>91</v>
      </c>
      <c r="D106" s="51"/>
      <c r="E106" s="66">
        <v>0.0</v>
      </c>
      <c r="F106" s="66">
        <v>0.0</v>
      </c>
      <c r="G106" s="66">
        <v>0.0</v>
      </c>
      <c r="H106" s="66">
        <v>0.0</v>
      </c>
      <c r="I106" s="66">
        <v>0.0</v>
      </c>
      <c r="J106" s="66">
        <v>0.0</v>
      </c>
      <c r="K106" s="66">
        <v>0.0</v>
      </c>
      <c r="L106" s="66">
        <v>0.0</v>
      </c>
      <c r="M106" s="66">
        <v>0.0</v>
      </c>
      <c r="N106" s="66">
        <v>0.0</v>
      </c>
      <c r="O106" s="66">
        <v>0.0</v>
      </c>
      <c r="P106" s="13">
        <f t="shared" si="12"/>
        <v>0</v>
      </c>
    </row>
    <row r="107" ht="12.75" customHeight="1">
      <c r="A107" s="18"/>
      <c r="B107" s="49"/>
      <c r="C107" s="50" t="s">
        <v>92</v>
      </c>
      <c r="D107" s="51"/>
      <c r="E107" s="66">
        <v>0.0</v>
      </c>
      <c r="F107" s="66">
        <v>0.0</v>
      </c>
      <c r="G107" s="66">
        <v>0.0</v>
      </c>
      <c r="H107" s="66">
        <v>0.0</v>
      </c>
      <c r="I107" s="66">
        <v>0.0</v>
      </c>
      <c r="J107" s="66">
        <v>0.0</v>
      </c>
      <c r="K107" s="66">
        <v>0.0</v>
      </c>
      <c r="L107" s="66">
        <v>0.0</v>
      </c>
      <c r="M107" s="66">
        <v>0.0</v>
      </c>
      <c r="N107" s="66">
        <v>0.0</v>
      </c>
      <c r="O107" s="66">
        <v>0.0</v>
      </c>
      <c r="P107" s="13">
        <f t="shared" si="12"/>
        <v>0</v>
      </c>
    </row>
    <row r="108" ht="12.75" customHeight="1">
      <c r="A108" s="18"/>
      <c r="B108" s="49"/>
      <c r="C108" s="50" t="s">
        <v>93</v>
      </c>
      <c r="D108" s="51"/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0.0</v>
      </c>
      <c r="N108" s="66">
        <v>0.0</v>
      </c>
      <c r="O108" s="66">
        <v>0.0</v>
      </c>
      <c r="P108" s="13">
        <f t="shared" si="12"/>
        <v>0</v>
      </c>
    </row>
    <row r="109" ht="12.75" customHeight="1">
      <c r="A109" s="18"/>
      <c r="B109" s="49"/>
      <c r="C109" s="50" t="s">
        <v>94</v>
      </c>
      <c r="D109" s="51"/>
      <c r="E109" s="66">
        <v>0.0</v>
      </c>
      <c r="F109" s="66">
        <v>0.0</v>
      </c>
      <c r="G109" s="66">
        <v>0.0</v>
      </c>
      <c r="H109" s="66">
        <v>0.0</v>
      </c>
      <c r="I109" s="66">
        <v>0.0</v>
      </c>
      <c r="J109" s="66">
        <v>0.0</v>
      </c>
      <c r="K109" s="66">
        <v>0.0</v>
      </c>
      <c r="L109" s="66">
        <v>1.0</v>
      </c>
      <c r="M109" s="66">
        <v>0.0</v>
      </c>
      <c r="N109" s="66">
        <v>0.0</v>
      </c>
      <c r="O109" s="66">
        <v>0.0</v>
      </c>
      <c r="P109" s="13">
        <f t="shared" si="12"/>
        <v>1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O110" si="20">SUM(E103:E109)</f>
        <v>0</v>
      </c>
      <c r="F110" s="13">
        <f t="shared" si="20"/>
        <v>1</v>
      </c>
      <c r="G110" s="13">
        <f t="shared" si="20"/>
        <v>3</v>
      </c>
      <c r="H110" s="13">
        <f t="shared" si="20"/>
        <v>2</v>
      </c>
      <c r="I110" s="13">
        <f t="shared" si="20"/>
        <v>0</v>
      </c>
      <c r="J110" s="13">
        <f t="shared" si="20"/>
        <v>0</v>
      </c>
      <c r="K110" s="13">
        <f t="shared" si="20"/>
        <v>1</v>
      </c>
      <c r="L110" s="13">
        <f t="shared" si="20"/>
        <v>1</v>
      </c>
      <c r="M110" s="13">
        <f t="shared" si="20"/>
        <v>0</v>
      </c>
      <c r="N110" s="13">
        <f t="shared" si="20"/>
        <v>0</v>
      </c>
      <c r="O110" s="13">
        <f t="shared" si="20"/>
        <v>0</v>
      </c>
      <c r="P110" s="13">
        <f t="shared" si="12"/>
        <v>8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13">
        <f t="shared" si="12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66">
        <v>0.0</v>
      </c>
      <c r="F112" s="66">
        <v>0.0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13">
        <f t="shared" si="12"/>
        <v>0</v>
      </c>
    </row>
    <row r="113" ht="12.75" customHeight="1">
      <c r="A113" s="30"/>
      <c r="B113" s="47"/>
      <c r="C113" s="50" t="s">
        <v>97</v>
      </c>
      <c r="D113" s="59"/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13">
        <f t="shared" si="12"/>
        <v>0</v>
      </c>
    </row>
    <row r="114" ht="12.75" customHeight="1">
      <c r="A114" s="30"/>
      <c r="B114" s="47"/>
      <c r="C114" s="50" t="s">
        <v>98</v>
      </c>
      <c r="D114" s="59"/>
      <c r="E114" s="66">
        <v>0.0</v>
      </c>
      <c r="F114" s="66">
        <v>0.0</v>
      </c>
      <c r="G114" s="66">
        <v>0.0</v>
      </c>
      <c r="H114" s="66">
        <v>0.0</v>
      </c>
      <c r="I114" s="66">
        <v>0.0</v>
      </c>
      <c r="J114" s="66">
        <v>0.0</v>
      </c>
      <c r="K114" s="66">
        <v>0.0</v>
      </c>
      <c r="L114" s="66">
        <v>0.0</v>
      </c>
      <c r="M114" s="66">
        <v>0.0</v>
      </c>
      <c r="N114" s="66">
        <v>0.0</v>
      </c>
      <c r="O114" s="66">
        <v>0.0</v>
      </c>
      <c r="P114" s="13">
        <f t="shared" si="12"/>
        <v>0</v>
      </c>
    </row>
    <row r="115" ht="12.75" customHeight="1">
      <c r="A115" s="30"/>
      <c r="B115" s="47"/>
      <c r="C115" s="50" t="s">
        <v>99</v>
      </c>
      <c r="D115" s="59"/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0.0</v>
      </c>
      <c r="K115" s="66">
        <v>0.0</v>
      </c>
      <c r="L115" s="66">
        <v>0.0</v>
      </c>
      <c r="M115" s="66">
        <v>0.0</v>
      </c>
      <c r="N115" s="66">
        <v>0.0</v>
      </c>
      <c r="O115" s="66">
        <v>0.0</v>
      </c>
      <c r="P115" s="13">
        <f t="shared" si="12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66">
        <v>0.0</v>
      </c>
      <c r="F116" s="66">
        <v>0.0</v>
      </c>
      <c r="G116" s="66">
        <v>0.0</v>
      </c>
      <c r="H116" s="66">
        <v>0.0</v>
      </c>
      <c r="I116" s="66">
        <v>0.0</v>
      </c>
      <c r="J116" s="66">
        <v>0.0</v>
      </c>
      <c r="K116" s="66">
        <v>0.0</v>
      </c>
      <c r="L116" s="66">
        <v>0.0</v>
      </c>
      <c r="M116" s="66">
        <v>0.0</v>
      </c>
      <c r="N116" s="66">
        <v>0.0</v>
      </c>
      <c r="O116" s="66">
        <v>0.0</v>
      </c>
      <c r="P116" s="13">
        <f t="shared" si="12"/>
        <v>0</v>
      </c>
    </row>
    <row r="117" ht="12.75" customHeight="1">
      <c r="A117" s="18"/>
      <c r="B117" s="49"/>
      <c r="C117" s="50" t="s">
        <v>101</v>
      </c>
      <c r="D117" s="51"/>
      <c r="E117" s="66">
        <v>0.0</v>
      </c>
      <c r="F117" s="66">
        <v>0.0</v>
      </c>
      <c r="G117" s="66">
        <v>0.0</v>
      </c>
      <c r="H117" s="66">
        <v>0.0</v>
      </c>
      <c r="I117" s="66">
        <v>0.0</v>
      </c>
      <c r="J117" s="66">
        <v>0.0</v>
      </c>
      <c r="K117" s="66">
        <v>0.0</v>
      </c>
      <c r="L117" s="66">
        <v>0.0</v>
      </c>
      <c r="M117" s="66">
        <v>0.0</v>
      </c>
      <c r="N117" s="66">
        <v>0.0</v>
      </c>
      <c r="O117" s="66">
        <v>0.0</v>
      </c>
      <c r="P117" s="13">
        <f t="shared" si="12"/>
        <v>0</v>
      </c>
      <c r="Q117" s="5"/>
      <c r="R117" s="5"/>
    </row>
    <row r="118" ht="12.75" customHeight="1">
      <c r="A118" s="18"/>
      <c r="B118" s="49"/>
      <c r="C118" s="50" t="s">
        <v>102</v>
      </c>
      <c r="D118" s="51"/>
      <c r="E118" s="66">
        <v>0.0</v>
      </c>
      <c r="F118" s="66">
        <v>0.0</v>
      </c>
      <c r="G118" s="66">
        <v>0.0</v>
      </c>
      <c r="H118" s="66">
        <v>0.0</v>
      </c>
      <c r="I118" s="66">
        <v>0.0</v>
      </c>
      <c r="J118" s="66">
        <v>0.0</v>
      </c>
      <c r="K118" s="66">
        <v>0.0</v>
      </c>
      <c r="L118" s="66">
        <v>0.0</v>
      </c>
      <c r="M118" s="66">
        <v>0.0</v>
      </c>
      <c r="N118" s="66">
        <v>0.0</v>
      </c>
      <c r="O118" s="66">
        <v>0.0</v>
      </c>
      <c r="P118" s="13">
        <f t="shared" si="12"/>
        <v>0</v>
      </c>
      <c r="Q118" s="5"/>
      <c r="R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O119" si="21">SUM(E112:E118)</f>
        <v>0</v>
      </c>
      <c r="F119" s="13">
        <f t="shared" si="21"/>
        <v>0</v>
      </c>
      <c r="G119" s="13">
        <f t="shared" si="21"/>
        <v>0</v>
      </c>
      <c r="H119" s="13">
        <f t="shared" si="21"/>
        <v>0</v>
      </c>
      <c r="I119" s="13">
        <f t="shared" si="21"/>
        <v>0</v>
      </c>
      <c r="J119" s="13">
        <f t="shared" si="21"/>
        <v>0</v>
      </c>
      <c r="K119" s="13">
        <f t="shared" si="21"/>
        <v>0</v>
      </c>
      <c r="L119" s="13">
        <f t="shared" si="21"/>
        <v>0</v>
      </c>
      <c r="M119" s="13">
        <f t="shared" si="21"/>
        <v>0</v>
      </c>
      <c r="N119" s="13">
        <f t="shared" si="21"/>
        <v>0</v>
      </c>
      <c r="O119" s="13">
        <f t="shared" si="21"/>
        <v>0</v>
      </c>
      <c r="P119" s="13">
        <f t="shared" si="12"/>
        <v>0</v>
      </c>
      <c r="Q119" s="5"/>
      <c r="R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13">
        <f t="shared" si="12"/>
        <v>0</v>
      </c>
      <c r="Q120" s="5"/>
      <c r="R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66">
        <v>0.0</v>
      </c>
      <c r="F121" s="66">
        <v>0.0</v>
      </c>
      <c r="G121" s="66">
        <v>1.0</v>
      </c>
      <c r="H121" s="66">
        <v>0.0</v>
      </c>
      <c r="I121" s="66">
        <v>0.0</v>
      </c>
      <c r="J121" s="66">
        <v>0.0</v>
      </c>
      <c r="K121" s="66">
        <v>0.0</v>
      </c>
      <c r="L121" s="66">
        <v>0.0</v>
      </c>
      <c r="M121" s="66">
        <v>0.0</v>
      </c>
      <c r="N121" s="66">
        <v>0.0</v>
      </c>
      <c r="O121" s="66">
        <v>0.0</v>
      </c>
      <c r="P121" s="13">
        <f t="shared" si="12"/>
        <v>1</v>
      </c>
      <c r="Q121" s="5"/>
      <c r="R121" s="5"/>
    </row>
    <row r="122" ht="12.75" customHeight="1">
      <c r="A122" s="30" t="s">
        <v>39</v>
      </c>
      <c r="B122" s="49"/>
      <c r="C122" s="50" t="s">
        <v>105</v>
      </c>
      <c r="D122" s="51"/>
      <c r="E122" s="66">
        <v>0.0</v>
      </c>
      <c r="F122" s="66">
        <v>0.0</v>
      </c>
      <c r="G122" s="66">
        <v>0.0</v>
      </c>
      <c r="H122" s="66">
        <v>0.0</v>
      </c>
      <c r="I122" s="66">
        <v>0.0</v>
      </c>
      <c r="J122" s="66">
        <v>0.0</v>
      </c>
      <c r="K122" s="66">
        <v>0.0</v>
      </c>
      <c r="L122" s="66">
        <v>0.0</v>
      </c>
      <c r="M122" s="66">
        <v>0.0</v>
      </c>
      <c r="N122" s="66">
        <v>0.0</v>
      </c>
      <c r="O122" s="66">
        <v>0.0</v>
      </c>
      <c r="P122" s="13">
        <f t="shared" si="12"/>
        <v>0</v>
      </c>
      <c r="Q122" s="5"/>
      <c r="R122" s="5"/>
    </row>
    <row r="123" ht="12.75" customHeight="1">
      <c r="A123" s="18"/>
      <c r="B123" s="49"/>
      <c r="C123" s="50" t="s">
        <v>106</v>
      </c>
      <c r="D123" s="51"/>
      <c r="E123" s="66">
        <v>0.0</v>
      </c>
      <c r="F123" s="66">
        <v>0.0</v>
      </c>
      <c r="G123" s="66">
        <v>0.0</v>
      </c>
      <c r="H123" s="66">
        <v>0.0</v>
      </c>
      <c r="I123" s="66">
        <v>0.0</v>
      </c>
      <c r="J123" s="66">
        <v>0.0</v>
      </c>
      <c r="K123" s="66">
        <v>0.0</v>
      </c>
      <c r="L123" s="66">
        <v>0.0</v>
      </c>
      <c r="M123" s="66">
        <v>0.0</v>
      </c>
      <c r="N123" s="66">
        <v>0.0</v>
      </c>
      <c r="O123" s="66">
        <v>0.0</v>
      </c>
      <c r="P123" s="13">
        <f t="shared" si="12"/>
        <v>0</v>
      </c>
      <c r="Q123" s="5"/>
      <c r="R123" s="5"/>
    </row>
    <row r="124" ht="12.75" customHeight="1">
      <c r="A124" s="18"/>
      <c r="B124" s="49"/>
      <c r="C124" s="50" t="s">
        <v>107</v>
      </c>
      <c r="D124" s="51"/>
      <c r="E124" s="66">
        <v>0.0</v>
      </c>
      <c r="F124" s="66">
        <v>0.0</v>
      </c>
      <c r="G124" s="66">
        <v>0.0</v>
      </c>
      <c r="H124" s="66">
        <v>0.0</v>
      </c>
      <c r="I124" s="66">
        <v>0.0</v>
      </c>
      <c r="J124" s="66">
        <v>0.0</v>
      </c>
      <c r="K124" s="66">
        <v>0.0</v>
      </c>
      <c r="L124" s="66">
        <v>1.0</v>
      </c>
      <c r="M124" s="66">
        <v>1.0</v>
      </c>
      <c r="N124" s="66">
        <v>0.0</v>
      </c>
      <c r="O124" s="66">
        <v>0.0</v>
      </c>
      <c r="P124" s="13">
        <f t="shared" si="12"/>
        <v>2</v>
      </c>
      <c r="Q124" s="5"/>
      <c r="R124" s="5"/>
    </row>
    <row r="125" ht="12.75" customHeight="1">
      <c r="A125" s="18"/>
      <c r="B125" s="49"/>
      <c r="C125" s="50" t="s">
        <v>108</v>
      </c>
      <c r="D125" s="51"/>
      <c r="E125" s="66">
        <v>0.0</v>
      </c>
      <c r="F125" s="66">
        <v>0.0</v>
      </c>
      <c r="G125" s="66">
        <v>0.0</v>
      </c>
      <c r="H125" s="66">
        <v>0.0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13">
        <f t="shared" si="12"/>
        <v>0</v>
      </c>
      <c r="Q125" s="5"/>
      <c r="R125" s="5"/>
    </row>
    <row r="126" ht="12.75" customHeight="1">
      <c r="A126" s="18"/>
      <c r="B126" s="49"/>
      <c r="C126" s="50" t="s">
        <v>109</v>
      </c>
      <c r="D126" s="51"/>
      <c r="E126" s="66">
        <v>0.0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0.0</v>
      </c>
      <c r="O126" s="66">
        <v>0.0</v>
      </c>
      <c r="P126" s="13">
        <f t="shared" si="12"/>
        <v>0</v>
      </c>
      <c r="Q126" s="5"/>
      <c r="R126" s="5"/>
    </row>
    <row r="127" ht="12.75" customHeight="1">
      <c r="A127" s="18"/>
      <c r="B127" s="49"/>
      <c r="C127" s="50" t="s">
        <v>110</v>
      </c>
      <c r="D127" s="51"/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13">
        <f t="shared" si="12"/>
        <v>0</v>
      </c>
      <c r="Q127" s="5"/>
      <c r="R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O128" si="22">SUM(E121:E127)</f>
        <v>0</v>
      </c>
      <c r="F128" s="13">
        <f t="shared" si="22"/>
        <v>0</v>
      </c>
      <c r="G128" s="13">
        <f t="shared" si="22"/>
        <v>1</v>
      </c>
      <c r="H128" s="13">
        <f t="shared" si="22"/>
        <v>0</v>
      </c>
      <c r="I128" s="13">
        <f t="shared" si="22"/>
        <v>0</v>
      </c>
      <c r="J128" s="13">
        <f t="shared" si="22"/>
        <v>0</v>
      </c>
      <c r="K128" s="13">
        <f t="shared" si="22"/>
        <v>0</v>
      </c>
      <c r="L128" s="13">
        <f t="shared" si="22"/>
        <v>1</v>
      </c>
      <c r="M128" s="13">
        <f t="shared" si="22"/>
        <v>1</v>
      </c>
      <c r="N128" s="13">
        <f t="shared" si="22"/>
        <v>0</v>
      </c>
      <c r="O128" s="13">
        <f t="shared" si="22"/>
        <v>0</v>
      </c>
      <c r="P128" s="13">
        <f t="shared" si="12"/>
        <v>3</v>
      </c>
      <c r="Q128" s="5"/>
      <c r="R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13">
        <f t="shared" si="12"/>
        <v>0</v>
      </c>
      <c r="Q129" s="5"/>
      <c r="R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66">
        <v>0.0</v>
      </c>
      <c r="F130" s="66">
        <v>0.0</v>
      </c>
      <c r="G130" s="66">
        <v>0.0</v>
      </c>
      <c r="H130" s="66">
        <v>0.0</v>
      </c>
      <c r="I130" s="66">
        <v>0.0</v>
      </c>
      <c r="J130" s="66">
        <v>0.0</v>
      </c>
      <c r="K130" s="66">
        <v>0.0</v>
      </c>
      <c r="L130" s="66">
        <v>0.0</v>
      </c>
      <c r="M130" s="66">
        <v>0.0</v>
      </c>
      <c r="N130" s="66">
        <v>1.0</v>
      </c>
      <c r="O130" s="66">
        <v>0.0</v>
      </c>
      <c r="P130" s="13">
        <f t="shared" si="12"/>
        <v>1</v>
      </c>
      <c r="Q130" s="1"/>
      <c r="R130" s="1"/>
    </row>
    <row r="131" ht="12.75" customHeight="1">
      <c r="A131" s="30" t="s">
        <v>39</v>
      </c>
      <c r="B131" s="49"/>
      <c r="C131" s="50" t="s">
        <v>113</v>
      </c>
      <c r="D131" s="51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3">
        <f t="shared" si="12"/>
        <v>0</v>
      </c>
      <c r="Q131" s="53"/>
      <c r="R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O132" si="23">SUM(E130:E131)</f>
        <v>0</v>
      </c>
      <c r="F132" s="13">
        <f t="shared" si="23"/>
        <v>0</v>
      </c>
      <c r="G132" s="13">
        <f t="shared" si="23"/>
        <v>0</v>
      </c>
      <c r="H132" s="13">
        <f t="shared" si="23"/>
        <v>0</v>
      </c>
      <c r="I132" s="13">
        <f t="shared" si="23"/>
        <v>0</v>
      </c>
      <c r="J132" s="13">
        <f t="shared" si="23"/>
        <v>0</v>
      </c>
      <c r="K132" s="13">
        <f t="shared" si="23"/>
        <v>0</v>
      </c>
      <c r="L132" s="13">
        <f t="shared" si="23"/>
        <v>0</v>
      </c>
      <c r="M132" s="13">
        <f t="shared" si="23"/>
        <v>0</v>
      </c>
      <c r="N132" s="13">
        <f t="shared" si="23"/>
        <v>1</v>
      </c>
      <c r="O132" s="13">
        <f t="shared" si="23"/>
        <v>0</v>
      </c>
      <c r="P132" s="13">
        <f t="shared" si="12"/>
        <v>1</v>
      </c>
      <c r="Q132" s="5"/>
      <c r="R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13">
        <f t="shared" si="12"/>
        <v>0</v>
      </c>
      <c r="Q133" s="5"/>
      <c r="R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66">
        <v>0.0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1.0</v>
      </c>
      <c r="O134" s="66">
        <v>0.0</v>
      </c>
      <c r="P134" s="13">
        <f t="shared" si="12"/>
        <v>1</v>
      </c>
      <c r="Q134" s="5"/>
      <c r="R134" s="5"/>
    </row>
    <row r="135" ht="12.75" customHeight="1">
      <c r="A135" s="30" t="s">
        <v>39</v>
      </c>
      <c r="B135" s="49"/>
      <c r="C135" s="50" t="s">
        <v>116</v>
      </c>
      <c r="D135" s="51"/>
      <c r="E135" s="66">
        <v>0.0</v>
      </c>
      <c r="F135" s="66">
        <v>0.0</v>
      </c>
      <c r="G135" s="66">
        <v>0.0</v>
      </c>
      <c r="H135" s="66">
        <v>0.0</v>
      </c>
      <c r="I135" s="66">
        <v>0.0</v>
      </c>
      <c r="J135" s="66">
        <v>0.0</v>
      </c>
      <c r="K135" s="66">
        <v>0.0</v>
      </c>
      <c r="L135" s="66">
        <v>0.0</v>
      </c>
      <c r="M135" s="66">
        <v>0.0</v>
      </c>
      <c r="N135" s="66">
        <v>1.0</v>
      </c>
      <c r="O135" s="66">
        <v>0.0</v>
      </c>
      <c r="P135" s="13">
        <f t="shared" si="12"/>
        <v>1</v>
      </c>
      <c r="Q135" s="5"/>
      <c r="R135" s="5"/>
    </row>
    <row r="136" ht="12.75" customHeight="1">
      <c r="A136" s="18"/>
      <c r="B136" s="49"/>
      <c r="C136" s="50" t="s">
        <v>117</v>
      </c>
      <c r="D136" s="51"/>
      <c r="E136" s="66">
        <v>0.0</v>
      </c>
      <c r="F136" s="66">
        <v>0.0</v>
      </c>
      <c r="G136" s="66">
        <v>0.0</v>
      </c>
      <c r="H136" s="66">
        <v>0.0</v>
      </c>
      <c r="I136" s="66">
        <v>0.0</v>
      </c>
      <c r="J136" s="66">
        <v>0.0</v>
      </c>
      <c r="K136" s="66">
        <v>0.0</v>
      </c>
      <c r="L136" s="66">
        <v>0.0</v>
      </c>
      <c r="M136" s="66">
        <v>0.0</v>
      </c>
      <c r="N136" s="66">
        <v>1.0</v>
      </c>
      <c r="O136" s="66">
        <v>0.0</v>
      </c>
      <c r="P136" s="13">
        <f t="shared" si="12"/>
        <v>1</v>
      </c>
      <c r="Q136" s="5"/>
      <c r="R136" s="5"/>
    </row>
    <row r="137" ht="12.75" customHeight="1">
      <c r="A137" s="18"/>
      <c r="B137" s="49"/>
      <c r="C137" s="50" t="s">
        <v>118</v>
      </c>
      <c r="D137" s="51"/>
      <c r="E137" s="66">
        <v>0.0</v>
      </c>
      <c r="F137" s="66">
        <v>0.0</v>
      </c>
      <c r="G137" s="66">
        <v>0.0</v>
      </c>
      <c r="H137" s="66">
        <v>0.0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1.0</v>
      </c>
      <c r="O137" s="66">
        <v>0.0</v>
      </c>
      <c r="P137" s="13">
        <f t="shared" si="12"/>
        <v>1</v>
      </c>
      <c r="Q137" s="5"/>
      <c r="R137" s="5"/>
    </row>
    <row r="138" ht="12.75" customHeight="1">
      <c r="A138" s="18"/>
      <c r="B138" s="49"/>
      <c r="C138" s="50" t="s">
        <v>119</v>
      </c>
      <c r="D138" s="51"/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0.0</v>
      </c>
      <c r="K138" s="66">
        <v>0.0</v>
      </c>
      <c r="L138" s="66">
        <v>0.0</v>
      </c>
      <c r="M138" s="66">
        <v>0.0</v>
      </c>
      <c r="N138" s="66">
        <v>1.0</v>
      </c>
      <c r="O138" s="66">
        <v>0.0</v>
      </c>
      <c r="P138" s="13">
        <f t="shared" si="12"/>
        <v>1</v>
      </c>
      <c r="Q138" s="5"/>
      <c r="R138" s="5"/>
    </row>
    <row r="139" ht="12.75" customHeight="1">
      <c r="A139" s="18"/>
      <c r="B139" s="49"/>
      <c r="C139" s="50" t="s">
        <v>120</v>
      </c>
      <c r="D139" s="51"/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0.0</v>
      </c>
      <c r="N139" s="66">
        <v>1.0</v>
      </c>
      <c r="O139" s="66">
        <v>0.0</v>
      </c>
      <c r="P139" s="13">
        <f t="shared" si="12"/>
        <v>1</v>
      </c>
      <c r="Q139" s="5"/>
      <c r="R139" s="5"/>
    </row>
    <row r="140" ht="12.75" customHeight="1">
      <c r="A140" s="18"/>
      <c r="B140" s="49"/>
      <c r="C140" s="50" t="s">
        <v>121</v>
      </c>
      <c r="D140" s="51"/>
      <c r="E140" s="66">
        <v>0.0</v>
      </c>
      <c r="F140" s="66">
        <v>0.0</v>
      </c>
      <c r="G140" s="66">
        <v>0.0</v>
      </c>
      <c r="H140" s="66">
        <v>0.0</v>
      </c>
      <c r="I140" s="66">
        <v>0.0</v>
      </c>
      <c r="J140" s="66">
        <v>0.0</v>
      </c>
      <c r="K140" s="66">
        <v>0.0</v>
      </c>
      <c r="L140" s="66">
        <v>0.0</v>
      </c>
      <c r="M140" s="66">
        <v>0.0</v>
      </c>
      <c r="N140" s="66">
        <v>1.0</v>
      </c>
      <c r="O140" s="66">
        <v>0.0</v>
      </c>
      <c r="P140" s="13">
        <f t="shared" si="12"/>
        <v>1</v>
      </c>
      <c r="Q140" s="5"/>
      <c r="R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O141" si="24">SUM(E134:E140)</f>
        <v>0</v>
      </c>
      <c r="F141" s="13">
        <f t="shared" si="24"/>
        <v>0</v>
      </c>
      <c r="G141" s="13">
        <f t="shared" si="24"/>
        <v>0</v>
      </c>
      <c r="H141" s="13">
        <f t="shared" si="24"/>
        <v>0</v>
      </c>
      <c r="I141" s="13">
        <f t="shared" si="24"/>
        <v>0</v>
      </c>
      <c r="J141" s="13">
        <f t="shared" si="24"/>
        <v>0</v>
      </c>
      <c r="K141" s="13">
        <f t="shared" si="24"/>
        <v>0</v>
      </c>
      <c r="L141" s="13">
        <f t="shared" si="24"/>
        <v>0</v>
      </c>
      <c r="M141" s="13">
        <f t="shared" si="24"/>
        <v>0</v>
      </c>
      <c r="N141" s="13">
        <f t="shared" si="24"/>
        <v>7</v>
      </c>
      <c r="O141" s="13">
        <f t="shared" si="24"/>
        <v>0</v>
      </c>
      <c r="P141" s="13">
        <f t="shared" si="12"/>
        <v>7</v>
      </c>
      <c r="Q141" s="1"/>
      <c r="R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13">
        <f t="shared" si="12"/>
        <v>0</v>
      </c>
      <c r="Q142" s="53"/>
      <c r="R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66">
        <v>0.0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1.0</v>
      </c>
      <c r="L143" s="66">
        <v>0.0</v>
      </c>
      <c r="M143" s="66">
        <v>0.0</v>
      </c>
      <c r="N143" s="66">
        <v>0.0</v>
      </c>
      <c r="O143" s="66">
        <v>0.0</v>
      </c>
      <c r="P143" s="13">
        <f t="shared" si="12"/>
        <v>1</v>
      </c>
      <c r="Q143" s="5"/>
      <c r="R143" s="5"/>
    </row>
    <row r="144" ht="12.75" customHeight="1">
      <c r="A144" s="30" t="s">
        <v>39</v>
      </c>
      <c r="B144" s="49"/>
      <c r="C144" s="50" t="s">
        <v>124</v>
      </c>
      <c r="D144" s="51"/>
      <c r="E144" s="66">
        <v>0.0</v>
      </c>
      <c r="F144" s="66">
        <v>0.0</v>
      </c>
      <c r="G144" s="66">
        <v>0.0</v>
      </c>
      <c r="H144" s="66">
        <v>0.0</v>
      </c>
      <c r="I144" s="66">
        <v>0.0</v>
      </c>
      <c r="J144" s="66">
        <v>0.0</v>
      </c>
      <c r="K144" s="66">
        <v>0.0</v>
      </c>
      <c r="L144" s="66">
        <v>0.0</v>
      </c>
      <c r="M144" s="66">
        <v>0.0</v>
      </c>
      <c r="N144" s="66">
        <v>1.0</v>
      </c>
      <c r="O144" s="66">
        <v>0.0</v>
      </c>
      <c r="P144" s="13">
        <f t="shared" si="12"/>
        <v>1</v>
      </c>
      <c r="Q144" s="5"/>
      <c r="R144" s="5"/>
    </row>
    <row r="145" ht="12.75" customHeight="1">
      <c r="A145" s="18"/>
      <c r="B145" s="49"/>
      <c r="C145" s="50" t="s">
        <v>125</v>
      </c>
      <c r="D145" s="51"/>
      <c r="E145" s="66">
        <v>0.0</v>
      </c>
      <c r="F145" s="66">
        <v>0.0</v>
      </c>
      <c r="G145" s="66">
        <v>0.0</v>
      </c>
      <c r="H145" s="66">
        <v>0.0</v>
      </c>
      <c r="I145" s="66">
        <v>0.0</v>
      </c>
      <c r="J145" s="66">
        <v>0.0</v>
      </c>
      <c r="K145" s="66">
        <v>0.0</v>
      </c>
      <c r="L145" s="66">
        <v>0.0</v>
      </c>
      <c r="M145" s="66">
        <v>0.0</v>
      </c>
      <c r="N145" s="66">
        <v>0.0</v>
      </c>
      <c r="O145" s="66">
        <v>2.0</v>
      </c>
      <c r="P145" s="13">
        <f t="shared" si="12"/>
        <v>2</v>
      </c>
      <c r="Q145" s="5"/>
      <c r="R145" s="5"/>
    </row>
    <row r="146" ht="12.75" customHeight="1">
      <c r="A146" s="18"/>
      <c r="B146" s="49"/>
      <c r="C146" s="50" t="s">
        <v>126</v>
      </c>
      <c r="D146" s="51"/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13">
        <f t="shared" si="12"/>
        <v>0</v>
      </c>
      <c r="Q146" s="5"/>
      <c r="R146" s="5"/>
    </row>
    <row r="147" ht="12.75" customHeight="1">
      <c r="A147" s="18"/>
      <c r="B147" s="49"/>
      <c r="C147" s="50" t="s">
        <v>127</v>
      </c>
      <c r="D147" s="51"/>
      <c r="E147" s="66">
        <v>0.0</v>
      </c>
      <c r="F147" s="66">
        <v>0.0</v>
      </c>
      <c r="G147" s="66">
        <v>0.0</v>
      </c>
      <c r="H147" s="66">
        <v>0.0</v>
      </c>
      <c r="I147" s="66">
        <v>0.0</v>
      </c>
      <c r="J147" s="66">
        <v>0.0</v>
      </c>
      <c r="K147" s="66">
        <v>0.0</v>
      </c>
      <c r="L147" s="66">
        <v>0.0</v>
      </c>
      <c r="M147" s="66">
        <v>0.0</v>
      </c>
      <c r="N147" s="66">
        <v>0.0</v>
      </c>
      <c r="O147" s="66">
        <v>0.0</v>
      </c>
      <c r="P147" s="13">
        <f t="shared" si="12"/>
        <v>0</v>
      </c>
      <c r="Q147" s="5"/>
      <c r="R147" s="5"/>
    </row>
    <row r="148" ht="12.75" customHeight="1">
      <c r="A148" s="18"/>
      <c r="B148" s="49"/>
      <c r="C148" s="50" t="s">
        <v>128</v>
      </c>
      <c r="D148" s="51"/>
      <c r="E148" s="66">
        <v>0.0</v>
      </c>
      <c r="F148" s="66">
        <v>0.0</v>
      </c>
      <c r="G148" s="66">
        <v>0.0</v>
      </c>
      <c r="H148" s="66">
        <v>0.0</v>
      </c>
      <c r="I148" s="66">
        <v>0.0</v>
      </c>
      <c r="J148" s="66">
        <v>0.0</v>
      </c>
      <c r="K148" s="66">
        <v>0.0</v>
      </c>
      <c r="L148" s="66">
        <v>0.0</v>
      </c>
      <c r="M148" s="66">
        <v>0.0</v>
      </c>
      <c r="N148" s="66">
        <v>0.0</v>
      </c>
      <c r="O148" s="66">
        <v>0.0</v>
      </c>
      <c r="P148" s="13">
        <f t="shared" si="12"/>
        <v>0</v>
      </c>
      <c r="Q148" s="5"/>
      <c r="R148" s="5"/>
    </row>
    <row r="149" ht="12.75" customHeight="1">
      <c r="A149" s="18"/>
      <c r="B149" s="49"/>
      <c r="C149" s="50" t="s">
        <v>129</v>
      </c>
      <c r="D149" s="51"/>
      <c r="E149" s="66">
        <v>0.0</v>
      </c>
      <c r="F149" s="66">
        <v>0.0</v>
      </c>
      <c r="G149" s="66">
        <v>0.0</v>
      </c>
      <c r="H149" s="66">
        <v>0.0</v>
      </c>
      <c r="I149" s="66">
        <v>0.0</v>
      </c>
      <c r="J149" s="66">
        <v>0.0</v>
      </c>
      <c r="K149" s="66">
        <v>0.0</v>
      </c>
      <c r="L149" s="66">
        <v>0.0</v>
      </c>
      <c r="M149" s="66">
        <v>0.0</v>
      </c>
      <c r="N149" s="66">
        <v>0.0</v>
      </c>
      <c r="O149" s="66">
        <v>0.0</v>
      </c>
      <c r="P149" s="13">
        <f t="shared" si="12"/>
        <v>0</v>
      </c>
      <c r="Q149" s="5"/>
      <c r="R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O150" si="25">SUM(E143:E149)</f>
        <v>0</v>
      </c>
      <c r="F150" s="13">
        <f t="shared" si="25"/>
        <v>0</v>
      </c>
      <c r="G150" s="13">
        <f t="shared" si="25"/>
        <v>0</v>
      </c>
      <c r="H150" s="13">
        <f t="shared" si="25"/>
        <v>0</v>
      </c>
      <c r="I150" s="13">
        <f t="shared" si="25"/>
        <v>0</v>
      </c>
      <c r="J150" s="13">
        <f t="shared" si="25"/>
        <v>0</v>
      </c>
      <c r="K150" s="13">
        <f t="shared" si="25"/>
        <v>1</v>
      </c>
      <c r="L150" s="13">
        <f t="shared" si="25"/>
        <v>0</v>
      </c>
      <c r="M150" s="13">
        <f t="shared" si="25"/>
        <v>0</v>
      </c>
      <c r="N150" s="13">
        <f t="shared" si="25"/>
        <v>1</v>
      </c>
      <c r="O150" s="13">
        <f t="shared" si="25"/>
        <v>2</v>
      </c>
      <c r="P150" s="13">
        <f t="shared" si="12"/>
        <v>4</v>
      </c>
      <c r="Q150" s="5"/>
      <c r="R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13">
        <f t="shared" si="12"/>
        <v>0</v>
      </c>
      <c r="Q151" s="1"/>
      <c r="R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1.0</v>
      </c>
      <c r="F152" s="66">
        <v>4.0</v>
      </c>
      <c r="G152" s="66">
        <v>9.0</v>
      </c>
      <c r="H152" s="66">
        <v>4.0</v>
      </c>
      <c r="I152" s="66">
        <v>3.0</v>
      </c>
      <c r="J152" s="66">
        <v>2.0</v>
      </c>
      <c r="K152" s="66">
        <v>1.0</v>
      </c>
      <c r="L152" s="66">
        <v>1.0</v>
      </c>
      <c r="M152" s="66">
        <v>3.0</v>
      </c>
      <c r="N152" s="66">
        <v>5.0</v>
      </c>
      <c r="O152" s="66">
        <v>3.0</v>
      </c>
      <c r="P152" s="13">
        <f t="shared" si="12"/>
        <v>36</v>
      </c>
      <c r="Q152" s="53"/>
      <c r="R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1.0</v>
      </c>
      <c r="F153" s="66">
        <v>1.0</v>
      </c>
      <c r="G153" s="66">
        <v>4.0</v>
      </c>
      <c r="H153" s="66">
        <v>8.0</v>
      </c>
      <c r="I153" s="66">
        <v>2.0</v>
      </c>
      <c r="J153" s="66">
        <v>0.0</v>
      </c>
      <c r="K153" s="66">
        <v>1.0</v>
      </c>
      <c r="L153" s="66">
        <v>4.0</v>
      </c>
      <c r="M153" s="66">
        <v>2.0</v>
      </c>
      <c r="N153" s="66">
        <v>0.0</v>
      </c>
      <c r="O153" s="66">
        <v>0.0</v>
      </c>
      <c r="P153" s="13">
        <f t="shared" si="12"/>
        <v>23</v>
      </c>
      <c r="Q153" s="5"/>
      <c r="R153" s="5"/>
    </row>
    <row r="154" ht="12.75" customHeight="1">
      <c r="A154" s="18"/>
      <c r="B154" s="49"/>
      <c r="C154" s="50" t="s">
        <v>133</v>
      </c>
      <c r="D154" s="51"/>
      <c r="E154" s="66">
        <v>1.0</v>
      </c>
      <c r="F154" s="66">
        <v>2.0</v>
      </c>
      <c r="G154" s="66">
        <v>2.0</v>
      </c>
      <c r="H154" s="66">
        <v>0.0</v>
      </c>
      <c r="I154" s="66">
        <v>1.0</v>
      </c>
      <c r="J154" s="66">
        <v>0.0</v>
      </c>
      <c r="K154" s="66">
        <v>1.0</v>
      </c>
      <c r="L154" s="66">
        <v>1.0</v>
      </c>
      <c r="M154" s="66">
        <v>2.0</v>
      </c>
      <c r="N154" s="66">
        <v>2.0</v>
      </c>
      <c r="O154" s="66">
        <v>1.0</v>
      </c>
      <c r="P154" s="13">
        <f t="shared" si="12"/>
        <v>13</v>
      </c>
      <c r="Q154" s="5"/>
      <c r="R154" s="5"/>
    </row>
    <row r="155" ht="12.75" customHeight="1">
      <c r="A155" s="18"/>
      <c r="B155" s="49"/>
      <c r="C155" s="50" t="s">
        <v>134</v>
      </c>
      <c r="D155" s="51"/>
      <c r="E155" s="66">
        <v>5.0</v>
      </c>
      <c r="F155" s="66">
        <v>17.0</v>
      </c>
      <c r="G155" s="66">
        <v>57.0</v>
      </c>
      <c r="H155" s="66">
        <v>53.0</v>
      </c>
      <c r="I155" s="66">
        <v>34.0</v>
      </c>
      <c r="J155" s="66">
        <v>15.0</v>
      </c>
      <c r="K155" s="66">
        <v>18.0</v>
      </c>
      <c r="L155" s="66">
        <v>23.0</v>
      </c>
      <c r="M155" s="66">
        <v>46.0</v>
      </c>
      <c r="N155" s="66">
        <v>25.0</v>
      </c>
      <c r="O155" s="66">
        <v>49.0</v>
      </c>
      <c r="P155" s="13">
        <f t="shared" si="12"/>
        <v>342</v>
      </c>
      <c r="Q155" s="5"/>
      <c r="R155" s="5"/>
    </row>
    <row r="156" ht="12.75" customHeight="1">
      <c r="A156" s="18"/>
      <c r="B156" s="49"/>
      <c r="C156" s="50" t="s">
        <v>135</v>
      </c>
      <c r="D156" s="51"/>
      <c r="E156" s="66">
        <v>0.0</v>
      </c>
      <c r="F156" s="66">
        <v>0.0</v>
      </c>
      <c r="G156" s="66">
        <v>0.0</v>
      </c>
      <c r="H156" s="66">
        <v>0.0</v>
      </c>
      <c r="I156" s="66">
        <v>0.0</v>
      </c>
      <c r="J156" s="66">
        <v>0.0</v>
      </c>
      <c r="K156" s="66">
        <v>0.0</v>
      </c>
      <c r="L156" s="66">
        <v>0.0</v>
      </c>
      <c r="M156" s="66">
        <v>1.0</v>
      </c>
      <c r="N156" s="66">
        <v>0.0</v>
      </c>
      <c r="O156" s="66">
        <v>0.0</v>
      </c>
      <c r="P156" s="13">
        <f t="shared" si="12"/>
        <v>1</v>
      </c>
      <c r="Q156" s="5"/>
      <c r="R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13">
        <f t="shared" si="12"/>
        <v>0</v>
      </c>
      <c r="Q157" s="5"/>
      <c r="R157" s="5"/>
    </row>
    <row r="158" ht="12.75" customHeight="1">
      <c r="A158" s="18"/>
      <c r="B158" s="49"/>
      <c r="C158" s="50" t="s">
        <v>137</v>
      </c>
      <c r="D158" s="51"/>
      <c r="E158" s="66">
        <v>0.0</v>
      </c>
      <c r="F158" s="66">
        <v>0.0</v>
      </c>
      <c r="G158" s="66">
        <v>0.0</v>
      </c>
      <c r="H158" s="66">
        <v>0.0</v>
      </c>
      <c r="I158" s="66">
        <v>0.0</v>
      </c>
      <c r="J158" s="66">
        <v>0.0</v>
      </c>
      <c r="K158" s="66">
        <v>0.0</v>
      </c>
      <c r="L158" s="66">
        <v>0.0</v>
      </c>
      <c r="M158" s="66">
        <v>0.0</v>
      </c>
      <c r="N158" s="66">
        <v>0.0</v>
      </c>
      <c r="O158" s="66">
        <v>0.0</v>
      </c>
      <c r="P158" s="13">
        <f t="shared" si="12"/>
        <v>0</v>
      </c>
      <c r="Q158" s="5"/>
      <c r="R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O159" si="26">SUM(E152:E158)</f>
        <v>8</v>
      </c>
      <c r="F159" s="13">
        <f t="shared" si="26"/>
        <v>24</v>
      </c>
      <c r="G159" s="13">
        <f t="shared" si="26"/>
        <v>72</v>
      </c>
      <c r="H159" s="13">
        <f t="shared" si="26"/>
        <v>65</v>
      </c>
      <c r="I159" s="13">
        <f t="shared" si="26"/>
        <v>40</v>
      </c>
      <c r="J159" s="13">
        <f t="shared" si="26"/>
        <v>17</v>
      </c>
      <c r="K159" s="13">
        <f t="shared" si="26"/>
        <v>21</v>
      </c>
      <c r="L159" s="13">
        <f t="shared" si="26"/>
        <v>29</v>
      </c>
      <c r="M159" s="13">
        <f t="shared" si="26"/>
        <v>54</v>
      </c>
      <c r="N159" s="13">
        <f t="shared" si="26"/>
        <v>32</v>
      </c>
      <c r="O159" s="13">
        <f t="shared" si="26"/>
        <v>53</v>
      </c>
      <c r="P159" s="13">
        <f t="shared" si="12"/>
        <v>415</v>
      </c>
      <c r="Q159" s="5"/>
      <c r="R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13">
        <f t="shared" si="12"/>
        <v>0</v>
      </c>
      <c r="Q160" s="5"/>
      <c r="R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0.0</v>
      </c>
      <c r="F161" s="73">
        <v>0.0</v>
      </c>
      <c r="G161" s="73">
        <v>1.0</v>
      </c>
      <c r="H161" s="73">
        <v>0.0</v>
      </c>
      <c r="I161" s="73">
        <v>0.0</v>
      </c>
      <c r="J161" s="73">
        <v>0.0</v>
      </c>
      <c r="K161" s="73">
        <v>1.0</v>
      </c>
      <c r="L161" s="73">
        <v>0.0</v>
      </c>
      <c r="M161" s="73">
        <v>0.0</v>
      </c>
      <c r="N161" s="73">
        <v>0.0</v>
      </c>
      <c r="O161" s="73">
        <v>0.0</v>
      </c>
      <c r="P161" s="13">
        <f t="shared" si="12"/>
        <v>2</v>
      </c>
      <c r="Q161" s="5"/>
      <c r="R161" s="5"/>
    </row>
    <row r="162" ht="12.75" customHeight="1">
      <c r="A162" s="30" t="s">
        <v>39</v>
      </c>
      <c r="B162" s="49"/>
      <c r="C162" s="50" t="s">
        <v>140</v>
      </c>
      <c r="D162" s="51"/>
      <c r="E162" s="73">
        <v>0.0</v>
      </c>
      <c r="F162" s="73">
        <v>0.0</v>
      </c>
      <c r="G162" s="73">
        <v>0.0</v>
      </c>
      <c r="H162" s="73">
        <v>1.0</v>
      </c>
      <c r="I162" s="73">
        <v>0.0</v>
      </c>
      <c r="J162" s="73">
        <v>0.0</v>
      </c>
      <c r="K162" s="73">
        <v>0.0</v>
      </c>
      <c r="L162" s="73">
        <v>0.0</v>
      </c>
      <c r="M162" s="73">
        <v>0.0</v>
      </c>
      <c r="N162" s="73">
        <v>0.0</v>
      </c>
      <c r="O162" s="73">
        <v>0.0</v>
      </c>
      <c r="P162" s="13">
        <f t="shared" si="12"/>
        <v>1</v>
      </c>
      <c r="Q162" s="5"/>
      <c r="R162" s="5"/>
    </row>
    <row r="163" ht="12.75" customHeight="1">
      <c r="A163" s="30"/>
      <c r="B163" s="49"/>
      <c r="C163" s="50" t="s">
        <v>141</v>
      </c>
      <c r="D163" s="51"/>
      <c r="E163" s="73">
        <v>1.0</v>
      </c>
      <c r="F163" s="73">
        <v>0.0</v>
      </c>
      <c r="G163" s="73">
        <v>1.0</v>
      </c>
      <c r="H163" s="73">
        <v>0.0</v>
      </c>
      <c r="I163" s="73">
        <v>1.0</v>
      </c>
      <c r="J163" s="73">
        <v>2.0</v>
      </c>
      <c r="K163" s="73">
        <v>0.0</v>
      </c>
      <c r="L163" s="73">
        <v>1.0</v>
      </c>
      <c r="M163" s="73">
        <v>0.0</v>
      </c>
      <c r="N163" s="73">
        <v>0.0</v>
      </c>
      <c r="O163" s="73">
        <v>0.0</v>
      </c>
      <c r="P163" s="13">
        <f t="shared" si="12"/>
        <v>6</v>
      </c>
      <c r="Q163" s="5"/>
      <c r="R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O164" si="27">SUM(E161:E163)</f>
        <v>1</v>
      </c>
      <c r="F164" s="13">
        <f t="shared" si="27"/>
        <v>0</v>
      </c>
      <c r="G164" s="13">
        <f t="shared" si="27"/>
        <v>2</v>
      </c>
      <c r="H164" s="13">
        <f t="shared" si="27"/>
        <v>1</v>
      </c>
      <c r="I164" s="13">
        <f t="shared" si="27"/>
        <v>1</v>
      </c>
      <c r="J164" s="13">
        <f t="shared" si="27"/>
        <v>2</v>
      </c>
      <c r="K164" s="13">
        <f t="shared" si="27"/>
        <v>1</v>
      </c>
      <c r="L164" s="13">
        <f t="shared" si="27"/>
        <v>1</v>
      </c>
      <c r="M164" s="13">
        <f t="shared" si="27"/>
        <v>0</v>
      </c>
      <c r="N164" s="13">
        <f t="shared" si="27"/>
        <v>0</v>
      </c>
      <c r="O164" s="13">
        <f t="shared" si="27"/>
        <v>0</v>
      </c>
      <c r="P164" s="13">
        <f t="shared" si="12"/>
        <v>9</v>
      </c>
      <c r="Q164" s="5"/>
      <c r="R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13">
        <f t="shared" si="12"/>
        <v>0</v>
      </c>
      <c r="Q165" s="1"/>
      <c r="R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66">
        <v>0.0</v>
      </c>
      <c r="J166" s="66">
        <v>0.0</v>
      </c>
      <c r="K166" s="66">
        <v>0.0</v>
      </c>
      <c r="L166" s="66">
        <v>1.0</v>
      </c>
      <c r="M166" s="66">
        <v>0.0</v>
      </c>
      <c r="N166" s="66">
        <v>0.0</v>
      </c>
      <c r="O166" s="66">
        <v>0.0</v>
      </c>
      <c r="P166" s="13">
        <f t="shared" si="12"/>
        <v>1</v>
      </c>
      <c r="Q166" s="53"/>
      <c r="R166" s="53"/>
    </row>
    <row r="167" ht="12.75" customHeight="1">
      <c r="A167" s="30"/>
      <c r="B167" s="47"/>
      <c r="C167" s="50" t="s">
        <v>144</v>
      </c>
      <c r="D167" s="59"/>
      <c r="E167" s="66">
        <v>0.0</v>
      </c>
      <c r="F167" s="66">
        <v>0.0</v>
      </c>
      <c r="G167" s="66">
        <v>0.0</v>
      </c>
      <c r="H167" s="66">
        <v>0.0</v>
      </c>
      <c r="I167" s="66">
        <v>0.0</v>
      </c>
      <c r="J167" s="66">
        <v>0.0</v>
      </c>
      <c r="K167" s="66">
        <v>0.0</v>
      </c>
      <c r="L167" s="66">
        <v>0.0</v>
      </c>
      <c r="M167" s="66">
        <v>0.0</v>
      </c>
      <c r="N167" s="66">
        <v>0.0</v>
      </c>
      <c r="O167" s="66">
        <v>0.0</v>
      </c>
      <c r="P167" s="13">
        <f t="shared" si="12"/>
        <v>0</v>
      </c>
      <c r="Q167" s="5"/>
      <c r="R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66">
        <v>0.0</v>
      </c>
      <c r="L168" s="66">
        <v>0.0</v>
      </c>
      <c r="M168" s="66">
        <v>0.0</v>
      </c>
      <c r="N168" s="66">
        <v>0.0</v>
      </c>
      <c r="O168" s="66">
        <v>0.0</v>
      </c>
      <c r="P168" s="13">
        <f t="shared" si="12"/>
        <v>0</v>
      </c>
      <c r="Q168" s="5"/>
      <c r="R168" s="5"/>
    </row>
    <row r="169" ht="12.75" customHeight="1">
      <c r="A169" s="30"/>
      <c r="B169" s="47"/>
      <c r="C169" s="50" t="s">
        <v>146</v>
      </c>
      <c r="D169" s="59"/>
      <c r="E169" s="66">
        <v>0.0</v>
      </c>
      <c r="F169" s="66">
        <v>0.0</v>
      </c>
      <c r="G169" s="66">
        <v>0.0</v>
      </c>
      <c r="H169" s="66">
        <v>0.0</v>
      </c>
      <c r="I169" s="66">
        <v>0.0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13">
        <f t="shared" si="12"/>
        <v>0</v>
      </c>
      <c r="Q169" s="5"/>
      <c r="R169" s="5"/>
    </row>
    <row r="170" ht="12.75" customHeight="1">
      <c r="A170" s="30" t="s">
        <v>39</v>
      </c>
      <c r="B170" s="49"/>
      <c r="C170" s="50" t="s">
        <v>147</v>
      </c>
      <c r="D170" s="51"/>
      <c r="E170" s="66">
        <v>0.0</v>
      </c>
      <c r="F170" s="66">
        <v>0.0</v>
      </c>
      <c r="G170" s="66">
        <v>0.0</v>
      </c>
      <c r="H170" s="66">
        <v>0.0</v>
      </c>
      <c r="I170" s="66">
        <v>0.0</v>
      </c>
      <c r="J170" s="66">
        <v>0.0</v>
      </c>
      <c r="K170" s="66">
        <v>0.0</v>
      </c>
      <c r="L170" s="66">
        <v>0.0</v>
      </c>
      <c r="M170" s="66">
        <v>0.0</v>
      </c>
      <c r="N170" s="66">
        <v>0.0</v>
      </c>
      <c r="O170" s="66">
        <v>0.0</v>
      </c>
      <c r="P170" s="13">
        <f t="shared" si="12"/>
        <v>0</v>
      </c>
      <c r="Q170" s="5"/>
      <c r="R170" s="5"/>
    </row>
    <row r="171" ht="12.75" customHeight="1">
      <c r="A171" s="18"/>
      <c r="B171" s="49"/>
      <c r="C171" s="50" t="s">
        <v>148</v>
      </c>
      <c r="D171" s="51"/>
      <c r="E171" s="66">
        <v>0.0</v>
      </c>
      <c r="F171" s="66">
        <v>0.0</v>
      </c>
      <c r="G171" s="66">
        <v>0.0</v>
      </c>
      <c r="H171" s="66">
        <v>0.0</v>
      </c>
      <c r="I171" s="66">
        <v>0.0</v>
      </c>
      <c r="J171" s="66">
        <v>0.0</v>
      </c>
      <c r="K171" s="66">
        <v>0.0</v>
      </c>
      <c r="L171" s="66">
        <v>0.0</v>
      </c>
      <c r="M171" s="66">
        <v>0.0</v>
      </c>
      <c r="N171" s="66">
        <v>0.0</v>
      </c>
      <c r="O171" s="66">
        <v>0.0</v>
      </c>
      <c r="P171" s="13">
        <f t="shared" si="12"/>
        <v>0</v>
      </c>
      <c r="Q171" s="5"/>
      <c r="R171" s="5"/>
    </row>
    <row r="172" ht="12.75" customHeight="1">
      <c r="A172" s="18"/>
      <c r="B172" s="49"/>
      <c r="C172" s="50" t="s">
        <v>149</v>
      </c>
      <c r="D172" s="51"/>
      <c r="E172" s="66">
        <v>0.0</v>
      </c>
      <c r="F172" s="66">
        <v>0.0</v>
      </c>
      <c r="G172" s="66">
        <v>0.0</v>
      </c>
      <c r="H172" s="66">
        <v>0.0</v>
      </c>
      <c r="I172" s="66">
        <v>0.0</v>
      </c>
      <c r="J172" s="66">
        <v>0.0</v>
      </c>
      <c r="K172" s="66">
        <v>0.0</v>
      </c>
      <c r="L172" s="66">
        <v>0.0</v>
      </c>
      <c r="M172" s="66">
        <v>0.0</v>
      </c>
      <c r="N172" s="66">
        <v>0.0</v>
      </c>
      <c r="O172" s="66">
        <v>0.0</v>
      </c>
      <c r="P172" s="13">
        <f t="shared" si="12"/>
        <v>0</v>
      </c>
      <c r="Q172" s="5"/>
      <c r="R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O173" si="28">SUM(E166:E172)</f>
        <v>0</v>
      </c>
      <c r="F173" s="13">
        <f t="shared" si="28"/>
        <v>0</v>
      </c>
      <c r="G173" s="13">
        <f t="shared" si="28"/>
        <v>0</v>
      </c>
      <c r="H173" s="13">
        <f t="shared" si="28"/>
        <v>0</v>
      </c>
      <c r="I173" s="13">
        <f t="shared" si="28"/>
        <v>0</v>
      </c>
      <c r="J173" s="13">
        <f t="shared" si="28"/>
        <v>0</v>
      </c>
      <c r="K173" s="13">
        <f t="shared" si="28"/>
        <v>0</v>
      </c>
      <c r="L173" s="13">
        <f t="shared" si="28"/>
        <v>1</v>
      </c>
      <c r="M173" s="13">
        <f t="shared" si="28"/>
        <v>0</v>
      </c>
      <c r="N173" s="13">
        <f t="shared" si="28"/>
        <v>0</v>
      </c>
      <c r="O173" s="13">
        <f t="shared" si="28"/>
        <v>0</v>
      </c>
      <c r="P173" s="13">
        <f t="shared" si="12"/>
        <v>1</v>
      </c>
      <c r="Q173" s="5"/>
      <c r="R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13">
        <f t="shared" si="12"/>
        <v>0</v>
      </c>
      <c r="Q174" s="5"/>
      <c r="R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2.0</v>
      </c>
      <c r="F175" s="66">
        <v>0.0</v>
      </c>
      <c r="G175" s="66">
        <v>1.0</v>
      </c>
      <c r="H175" s="66">
        <v>0.0</v>
      </c>
      <c r="I175" s="66">
        <v>1.0</v>
      </c>
      <c r="J175" s="66">
        <v>0.0</v>
      </c>
      <c r="K175" s="66">
        <v>0.0</v>
      </c>
      <c r="L175" s="66">
        <v>0.0</v>
      </c>
      <c r="M175" s="66">
        <v>3.0</v>
      </c>
      <c r="N175" s="66">
        <v>0.0</v>
      </c>
      <c r="O175" s="66">
        <v>2.0</v>
      </c>
      <c r="P175" s="13">
        <f t="shared" si="12"/>
        <v>9</v>
      </c>
      <c r="Q175" s="5"/>
      <c r="R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0.0</v>
      </c>
      <c r="F176" s="66">
        <v>1.0</v>
      </c>
      <c r="G176" s="66">
        <v>0.0</v>
      </c>
      <c r="H176" s="66">
        <v>0.0</v>
      </c>
      <c r="I176" s="66">
        <v>1.0</v>
      </c>
      <c r="J176" s="66">
        <v>0.0</v>
      </c>
      <c r="K176" s="66">
        <v>0.0</v>
      </c>
      <c r="L176" s="66">
        <v>0.0</v>
      </c>
      <c r="M176" s="66">
        <v>0.0</v>
      </c>
      <c r="N176" s="66">
        <v>1.0</v>
      </c>
      <c r="O176" s="66">
        <v>0.0</v>
      </c>
      <c r="P176" s="13">
        <f t="shared" si="12"/>
        <v>3</v>
      </c>
      <c r="Q176" s="1"/>
      <c r="R176" s="1"/>
    </row>
    <row r="177" ht="12.75" customHeight="1">
      <c r="A177" s="18"/>
      <c r="B177" s="49"/>
      <c r="C177" s="50" t="s">
        <v>153</v>
      </c>
      <c r="D177" s="51"/>
      <c r="E177" s="66">
        <v>0.0</v>
      </c>
      <c r="F177" s="66">
        <v>0.0</v>
      </c>
      <c r="G177" s="66">
        <v>0.0</v>
      </c>
      <c r="H177" s="66">
        <v>0.0</v>
      </c>
      <c r="I177" s="66">
        <v>0.0</v>
      </c>
      <c r="J177" s="66">
        <v>1.0</v>
      </c>
      <c r="K177" s="66">
        <v>6.0</v>
      </c>
      <c r="L177" s="66">
        <v>0.0</v>
      </c>
      <c r="M177" s="66">
        <v>6.0</v>
      </c>
      <c r="N177" s="66">
        <v>10.0</v>
      </c>
      <c r="O177" s="66">
        <v>6.0</v>
      </c>
      <c r="P177" s="13">
        <f t="shared" si="12"/>
        <v>29</v>
      </c>
    </row>
    <row r="178" ht="12.75" customHeight="1">
      <c r="A178" s="18"/>
      <c r="B178" s="49"/>
      <c r="C178" s="50" t="s">
        <v>154</v>
      </c>
      <c r="D178" s="51"/>
      <c r="E178" s="66">
        <v>1.0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0.0</v>
      </c>
      <c r="N178" s="66">
        <v>0.0</v>
      </c>
      <c r="O178" s="66">
        <v>0.0</v>
      </c>
      <c r="P178" s="13">
        <f t="shared" si="12"/>
        <v>1</v>
      </c>
      <c r="Q178" s="5"/>
      <c r="R178" s="5"/>
    </row>
    <row r="179" ht="12.75" customHeight="1">
      <c r="A179" s="18"/>
      <c r="B179" s="49"/>
      <c r="C179" s="50" t="s">
        <v>155</v>
      </c>
      <c r="D179" s="51"/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13">
        <f t="shared" si="12"/>
        <v>0</v>
      </c>
      <c r="Q179" s="5"/>
      <c r="R179" s="5"/>
    </row>
    <row r="180" ht="12.75" customHeight="1">
      <c r="A180" s="18"/>
      <c r="B180" s="49"/>
      <c r="C180" s="50" t="s">
        <v>156</v>
      </c>
      <c r="D180" s="51"/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0.0</v>
      </c>
      <c r="L180" s="66">
        <v>0.0</v>
      </c>
      <c r="M180" s="66">
        <v>0.0</v>
      </c>
      <c r="N180" s="66">
        <v>0.0</v>
      </c>
      <c r="O180" s="66">
        <v>0.0</v>
      </c>
      <c r="P180" s="13">
        <f t="shared" si="12"/>
        <v>0</v>
      </c>
      <c r="Q180" s="5"/>
      <c r="R180" s="5"/>
    </row>
    <row r="181" ht="12.75" customHeight="1">
      <c r="A181" s="18"/>
      <c r="B181" s="49"/>
      <c r="C181" s="50" t="s">
        <v>157</v>
      </c>
      <c r="D181" s="51"/>
      <c r="E181" s="66">
        <v>0.0</v>
      </c>
      <c r="F181" s="66">
        <v>1.0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13">
        <f t="shared" si="12"/>
        <v>1</v>
      </c>
      <c r="Q181" s="5"/>
      <c r="R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O182" si="29">SUM(E175:E181)</f>
        <v>3</v>
      </c>
      <c r="F182" s="13">
        <f t="shared" si="29"/>
        <v>2</v>
      </c>
      <c r="G182" s="13">
        <f t="shared" si="29"/>
        <v>1</v>
      </c>
      <c r="H182" s="13">
        <f t="shared" si="29"/>
        <v>0</v>
      </c>
      <c r="I182" s="13">
        <f t="shared" si="29"/>
        <v>2</v>
      </c>
      <c r="J182" s="13">
        <f t="shared" si="29"/>
        <v>1</v>
      </c>
      <c r="K182" s="13">
        <f t="shared" si="29"/>
        <v>6</v>
      </c>
      <c r="L182" s="13">
        <f t="shared" si="29"/>
        <v>0</v>
      </c>
      <c r="M182" s="13">
        <f t="shared" si="29"/>
        <v>9</v>
      </c>
      <c r="N182" s="13">
        <f t="shared" si="29"/>
        <v>11</v>
      </c>
      <c r="O182" s="13">
        <f t="shared" si="29"/>
        <v>8</v>
      </c>
      <c r="P182" s="13">
        <f t="shared" si="12"/>
        <v>43</v>
      </c>
      <c r="Q182" s="5"/>
      <c r="R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13">
        <f t="shared" si="12"/>
        <v>0</v>
      </c>
      <c r="Q183" s="5"/>
      <c r="R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19" t="s">
        <v>216</v>
      </c>
      <c r="F184" s="19" t="s">
        <v>206</v>
      </c>
      <c r="G184" s="19" t="s">
        <v>206</v>
      </c>
      <c r="H184" s="19" t="s">
        <v>206</v>
      </c>
      <c r="I184" s="19" t="s">
        <v>206</v>
      </c>
      <c r="J184" s="19" t="s">
        <v>206</v>
      </c>
      <c r="K184" s="19" t="s">
        <v>206</v>
      </c>
      <c r="L184" s="19" t="s">
        <v>206</v>
      </c>
      <c r="M184" s="19" t="s">
        <v>206</v>
      </c>
      <c r="N184" s="19" t="s">
        <v>206</v>
      </c>
      <c r="O184" s="19" t="s">
        <v>206</v>
      </c>
      <c r="P184" s="13">
        <f t="shared" si="12"/>
        <v>0</v>
      </c>
      <c r="Q184" s="5"/>
      <c r="R184" s="5"/>
    </row>
    <row r="185" ht="12.75" customHeight="1">
      <c r="A185" s="30" t="s">
        <v>39</v>
      </c>
      <c r="B185" s="49"/>
      <c r="C185" s="50" t="s">
        <v>160</v>
      </c>
      <c r="D185" s="51"/>
      <c r="E185" s="19" t="s">
        <v>206</v>
      </c>
      <c r="F185" s="19" t="s">
        <v>206</v>
      </c>
      <c r="G185" s="19" t="s">
        <v>206</v>
      </c>
      <c r="H185" s="19" t="s">
        <v>206</v>
      </c>
      <c r="I185" s="19" t="s">
        <v>206</v>
      </c>
      <c r="J185" s="19" t="s">
        <v>206</v>
      </c>
      <c r="K185" s="19" t="s">
        <v>206</v>
      </c>
      <c r="L185" s="19" t="s">
        <v>206</v>
      </c>
      <c r="M185" s="19" t="s">
        <v>206</v>
      </c>
      <c r="N185" s="19" t="s">
        <v>206</v>
      </c>
      <c r="O185" s="19" t="s">
        <v>206</v>
      </c>
      <c r="P185" s="13">
        <f t="shared" si="12"/>
        <v>0</v>
      </c>
      <c r="Q185" s="5"/>
      <c r="R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3">
        <f t="shared" si="12"/>
        <v>0</v>
      </c>
      <c r="Q186" s="5"/>
      <c r="R186" s="5"/>
    </row>
    <row r="187" ht="12.75" customHeight="1">
      <c r="A187" s="24"/>
      <c r="B187" s="15"/>
      <c r="C187" s="15"/>
      <c r="D187" s="16"/>
      <c r="E187" s="13">
        <f t="shared" ref="E187:O187" si="30">SUM(E177:E184)</f>
        <v>4</v>
      </c>
      <c r="F187" s="13">
        <f t="shared" si="30"/>
        <v>3</v>
      </c>
      <c r="G187" s="13">
        <f t="shared" si="30"/>
        <v>1</v>
      </c>
      <c r="H187" s="13">
        <f t="shared" si="30"/>
        <v>0</v>
      </c>
      <c r="I187" s="13">
        <f t="shared" si="30"/>
        <v>2</v>
      </c>
      <c r="J187" s="13">
        <f t="shared" si="30"/>
        <v>2</v>
      </c>
      <c r="K187" s="13">
        <f t="shared" si="30"/>
        <v>12</v>
      </c>
      <c r="L187" s="13">
        <f t="shared" si="30"/>
        <v>0</v>
      </c>
      <c r="M187" s="13">
        <f t="shared" si="30"/>
        <v>15</v>
      </c>
      <c r="N187" s="13">
        <f t="shared" si="30"/>
        <v>21</v>
      </c>
      <c r="O187" s="13">
        <f t="shared" si="30"/>
        <v>14</v>
      </c>
      <c r="P187" s="13">
        <f t="shared" si="12"/>
        <v>74</v>
      </c>
      <c r="Q187" s="1"/>
      <c r="R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13">
        <f t="shared" si="12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13">
        <f t="shared" si="12"/>
        <v>0</v>
      </c>
      <c r="Q189" s="5"/>
      <c r="R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O190" si="31">E187+E182+E173+E164+E159+E150+E141+E132+E128+E119+E110+E101+E92+E88+E79+E70+E61+E52</f>
        <v>152</v>
      </c>
      <c r="F190" s="19">
        <f t="shared" si="31"/>
        <v>158</v>
      </c>
      <c r="G190" s="19">
        <f t="shared" si="31"/>
        <v>203</v>
      </c>
      <c r="H190" s="19">
        <f t="shared" si="31"/>
        <v>217</v>
      </c>
      <c r="I190" s="19">
        <f t="shared" si="31"/>
        <v>212</v>
      </c>
      <c r="J190" s="19">
        <f t="shared" si="31"/>
        <v>194</v>
      </c>
      <c r="K190" s="19">
        <f t="shared" si="31"/>
        <v>200</v>
      </c>
      <c r="L190" s="19">
        <f t="shared" si="31"/>
        <v>203</v>
      </c>
      <c r="M190" s="19">
        <f t="shared" si="31"/>
        <v>176</v>
      </c>
      <c r="N190" s="19">
        <f t="shared" si="31"/>
        <v>184</v>
      </c>
      <c r="O190" s="19">
        <f t="shared" si="31"/>
        <v>183</v>
      </c>
      <c r="P190" s="13">
        <f t="shared" si="12"/>
        <v>2082</v>
      </c>
      <c r="Q190" s="5"/>
      <c r="R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15.0</v>
      </c>
      <c r="F191" s="66">
        <v>8.0</v>
      </c>
      <c r="G191" s="66">
        <v>13.0</v>
      </c>
      <c r="H191" s="66">
        <v>12.0</v>
      </c>
      <c r="I191" s="66">
        <v>16.0</v>
      </c>
      <c r="J191" s="66">
        <v>19.0</v>
      </c>
      <c r="K191" s="66">
        <v>15.0</v>
      </c>
      <c r="L191" s="66">
        <v>19.0</v>
      </c>
      <c r="M191" s="66">
        <v>22.0</v>
      </c>
      <c r="N191" s="66">
        <v>14.0</v>
      </c>
      <c r="O191" s="66">
        <v>9.0</v>
      </c>
      <c r="P191" s="13">
        <f t="shared" si="12"/>
        <v>162</v>
      </c>
      <c r="Q191" s="5"/>
      <c r="R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O192" si="32">E190+E191</f>
        <v>167</v>
      </c>
      <c r="F192" s="19">
        <f t="shared" si="32"/>
        <v>166</v>
      </c>
      <c r="G192" s="19">
        <f t="shared" si="32"/>
        <v>216</v>
      </c>
      <c r="H192" s="19">
        <f t="shared" si="32"/>
        <v>229</v>
      </c>
      <c r="I192" s="19">
        <f t="shared" si="32"/>
        <v>228</v>
      </c>
      <c r="J192" s="19">
        <f t="shared" si="32"/>
        <v>213</v>
      </c>
      <c r="K192" s="19">
        <f t="shared" si="32"/>
        <v>215</v>
      </c>
      <c r="L192" s="19">
        <f t="shared" si="32"/>
        <v>222</v>
      </c>
      <c r="M192" s="19">
        <f t="shared" si="32"/>
        <v>198</v>
      </c>
      <c r="N192" s="19">
        <f t="shared" si="32"/>
        <v>198</v>
      </c>
      <c r="O192" s="19">
        <f t="shared" si="32"/>
        <v>192</v>
      </c>
      <c r="P192" s="13">
        <f t="shared" si="12"/>
        <v>2244</v>
      </c>
      <c r="Q192" s="5"/>
      <c r="R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O12"/>
    <mergeCell ref="P12:P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14:O15">
    <cfRule type="containsBlanks" dxfId="0" priority="1">
      <formula>LEN(TRIM(E14))=0</formula>
    </cfRule>
  </conditionalFormatting>
  <conditionalFormatting sqref="E19:O20">
    <cfRule type="containsBlanks" dxfId="0" priority="2">
      <formula>LEN(TRIM(E19))=0</formula>
    </cfRule>
  </conditionalFormatting>
  <conditionalFormatting sqref="E22:O23 E25:O26 E33:O33 E35:O35 E39:O40">
    <cfRule type="containsBlanks" dxfId="0" priority="3">
      <formula>LEN(TRIM(E22))=0</formula>
    </cfRule>
  </conditionalFormatting>
  <conditionalFormatting sqref="E30:O30">
    <cfRule type="expression" dxfId="1" priority="4">
      <formula>E30&lt;&gt;E47</formula>
    </cfRule>
  </conditionalFormatting>
  <conditionalFormatting sqref="E30:O30">
    <cfRule type="expression" dxfId="1" priority="5">
      <formula>E30&lt;&gt;E34</formula>
    </cfRule>
  </conditionalFormatting>
  <conditionalFormatting sqref="E34:O34">
    <cfRule type="expression" dxfId="2" priority="6">
      <formula>E30&lt;&gt;E34</formula>
    </cfRule>
  </conditionalFormatting>
  <conditionalFormatting sqref="E34:O34">
    <cfRule type="expression" dxfId="3" priority="7">
      <formula>E30=E34</formula>
    </cfRule>
  </conditionalFormatting>
  <conditionalFormatting sqref="E34:O34">
    <cfRule type="expression" dxfId="1" priority="8">
      <formula>E34&lt;&gt;E30</formula>
    </cfRule>
  </conditionalFormatting>
  <conditionalFormatting sqref="E34:O34">
    <cfRule type="expression" dxfId="1" priority="9">
      <formula>E34&lt;&gt;E64</formula>
    </cfRule>
  </conditionalFormatting>
  <conditionalFormatting sqref="E45:O52 E54:O61">
    <cfRule type="containsBlanks" dxfId="0" priority="10">
      <formula>LEN(TRIM(E45))=0</formula>
    </cfRule>
  </conditionalFormatting>
  <conditionalFormatting sqref="E90:O90">
    <cfRule type="containsBlanks" dxfId="0" priority="11">
      <formula>LEN(TRIM(E90))=0</formula>
    </cfRule>
  </conditionalFormatting>
  <conditionalFormatting sqref="E130:O132">
    <cfRule type="containsBlanks" dxfId="0" priority="12">
      <formula>LEN(TRIM(E130))=0</formula>
    </cfRule>
  </conditionalFormatting>
  <conditionalFormatting sqref="E161:O162">
    <cfRule type="containsBlanks" dxfId="0" priority="13">
      <formula>LEN(TRIM(E161))=0</formula>
    </cfRule>
  </conditionalFormatting>
  <conditionalFormatting sqref="E184:O186">
    <cfRule type="containsBlanks" dxfId="0" priority="14">
      <formula>LEN(TRIM(E184))=0</formula>
    </cfRule>
  </conditionalFormatting>
  <conditionalFormatting sqref="E190:O192">
    <cfRule type="containsBlanks" dxfId="0" priority="15">
      <formula>LEN(TRIM(E190))=0</formula>
    </cfRule>
  </conditionalFormatting>
  <conditionalFormatting sqref="E63:O70">
    <cfRule type="containsBlanks" dxfId="0" priority="16">
      <formula>LEN(TRIM(E63))=0</formula>
    </cfRule>
  </conditionalFormatting>
  <conditionalFormatting sqref="E72:O79">
    <cfRule type="containsBlanks" dxfId="0" priority="17">
      <formula>LEN(TRIM(E72))=0</formula>
    </cfRule>
  </conditionalFormatting>
  <conditionalFormatting sqref="E81:O88">
    <cfRule type="containsBlanks" dxfId="0" priority="18">
      <formula>LEN(TRIM(E81))=0</formula>
    </cfRule>
  </conditionalFormatting>
  <conditionalFormatting sqref="E94:O101">
    <cfRule type="containsBlanks" dxfId="0" priority="19">
      <formula>LEN(TRIM(E94))=0</formula>
    </cfRule>
  </conditionalFormatting>
  <conditionalFormatting sqref="E103:O110">
    <cfRule type="containsBlanks" dxfId="0" priority="20">
      <formula>LEN(TRIM(E103))=0</formula>
    </cfRule>
  </conditionalFormatting>
  <conditionalFormatting sqref="E112:O119">
    <cfRule type="containsBlanks" dxfId="0" priority="21">
      <formula>LEN(TRIM(E112))=0</formula>
    </cfRule>
  </conditionalFormatting>
  <conditionalFormatting sqref="E121:O128">
    <cfRule type="containsBlanks" dxfId="0" priority="22">
      <formula>LEN(TRIM(E121))=0</formula>
    </cfRule>
  </conditionalFormatting>
  <conditionalFormatting sqref="E134:O141">
    <cfRule type="containsBlanks" dxfId="0" priority="23">
      <formula>LEN(TRIM(E134))=0</formula>
    </cfRule>
  </conditionalFormatting>
  <conditionalFormatting sqref="E143:O150">
    <cfRule type="containsBlanks" dxfId="0" priority="24">
      <formula>LEN(TRIM(E143))=0</formula>
    </cfRule>
  </conditionalFormatting>
  <conditionalFormatting sqref="E152:O159">
    <cfRule type="containsBlanks" dxfId="0" priority="25">
      <formula>LEN(TRIM(E152))=0</formula>
    </cfRule>
  </conditionalFormatting>
  <conditionalFormatting sqref="E166:O173">
    <cfRule type="containsBlanks" dxfId="0" priority="26">
      <formula>LEN(TRIM(E166))=0</formula>
    </cfRule>
  </conditionalFormatting>
  <conditionalFormatting sqref="E175:O182">
    <cfRule type="containsBlanks" dxfId="0" priority="27">
      <formula>LEN(TRIM(E175))=0</formula>
    </cfRule>
  </conditionalFormatting>
  <conditionalFormatting sqref="E91:O91">
    <cfRule type="containsBlanks" dxfId="0" priority="28">
      <formula>LEN(TRIM(E91))=0</formula>
    </cfRule>
  </conditionalFormatting>
  <conditionalFormatting sqref="E163:O163">
    <cfRule type="containsBlanks" dxfId="0" priority="29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22" width="8.71"/>
    <col customWidth="1" min="23" max="23" width="13.29"/>
    <col customWidth="1" min="24" max="26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255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13" t="s">
        <v>182</v>
      </c>
      <c r="Q13" s="13" t="s">
        <v>183</v>
      </c>
      <c r="R13" s="13" t="s">
        <v>184</v>
      </c>
      <c r="S13" s="13" t="s">
        <v>185</v>
      </c>
      <c r="T13" s="13" t="s">
        <v>186</v>
      </c>
      <c r="U13" s="13" t="s">
        <v>187</v>
      </c>
      <c r="V13" s="13" t="s">
        <v>188</v>
      </c>
      <c r="W13" s="36"/>
    </row>
    <row r="14" ht="12.75" customHeight="1">
      <c r="A14" s="18"/>
      <c r="B14" s="22" t="s">
        <v>11</v>
      </c>
      <c r="C14" s="23"/>
      <c r="D14" s="19" t="s">
        <v>12</v>
      </c>
      <c r="E14" s="82">
        <v>128.0</v>
      </c>
      <c r="F14" s="82">
        <v>137.0</v>
      </c>
      <c r="G14" s="82">
        <v>126.0</v>
      </c>
      <c r="H14" s="82">
        <v>121.0</v>
      </c>
      <c r="I14" s="82">
        <v>118.0</v>
      </c>
      <c r="J14" s="82">
        <v>134.0</v>
      </c>
      <c r="K14" s="82">
        <v>114.0</v>
      </c>
      <c r="L14" s="82">
        <v>126.0</v>
      </c>
      <c r="M14" s="82">
        <v>150.0</v>
      </c>
      <c r="N14" s="82">
        <v>147.0</v>
      </c>
      <c r="O14" s="82">
        <v>145.0</v>
      </c>
      <c r="P14" s="82">
        <v>123.0</v>
      </c>
      <c r="Q14" s="82">
        <v>137.0</v>
      </c>
      <c r="R14" s="82">
        <v>138.0</v>
      </c>
      <c r="S14" s="82">
        <v>144.0</v>
      </c>
      <c r="T14" s="19"/>
      <c r="U14" s="19"/>
      <c r="V14" s="19"/>
      <c r="W14" s="13">
        <f t="shared" ref="W14:W16" si="1">SUM(E14:V14)</f>
        <v>1988</v>
      </c>
    </row>
    <row r="15" ht="12.75" customHeight="1">
      <c r="A15" s="18"/>
      <c r="B15" s="26"/>
      <c r="C15" s="27"/>
      <c r="D15" s="19" t="s">
        <v>13</v>
      </c>
      <c r="E15" s="82">
        <v>161.0</v>
      </c>
      <c r="F15" s="82">
        <v>147.0</v>
      </c>
      <c r="G15" s="82">
        <v>125.0</v>
      </c>
      <c r="H15" s="82">
        <v>118.0</v>
      </c>
      <c r="I15" s="82">
        <v>123.0</v>
      </c>
      <c r="J15" s="82">
        <v>133.0</v>
      </c>
      <c r="K15" s="82">
        <v>137.0</v>
      </c>
      <c r="L15" s="82">
        <v>132.0</v>
      </c>
      <c r="M15" s="82">
        <v>138.0</v>
      </c>
      <c r="N15" s="82">
        <v>147.0</v>
      </c>
      <c r="O15" s="82">
        <v>136.0</v>
      </c>
      <c r="P15" s="82">
        <v>125.0</v>
      </c>
      <c r="Q15" s="82">
        <v>147.0</v>
      </c>
      <c r="R15" s="82">
        <v>146.0</v>
      </c>
      <c r="S15" s="82">
        <v>147.0</v>
      </c>
      <c r="T15" s="19"/>
      <c r="U15" s="19"/>
      <c r="V15" s="19"/>
      <c r="W15" s="13">
        <f t="shared" si="1"/>
        <v>2062</v>
      </c>
    </row>
    <row r="16" ht="12.75" customHeight="1">
      <c r="A16" s="25"/>
      <c r="B16" s="21"/>
      <c r="C16" s="28"/>
      <c r="D16" s="13" t="s">
        <v>14</v>
      </c>
      <c r="E16" s="83">
        <f t="shared" ref="E16:V16" si="2">SUM(E14:E15)</f>
        <v>289</v>
      </c>
      <c r="F16" s="83">
        <f t="shared" si="2"/>
        <v>284</v>
      </c>
      <c r="G16" s="83">
        <f t="shared" si="2"/>
        <v>251</v>
      </c>
      <c r="H16" s="83">
        <f t="shared" si="2"/>
        <v>239</v>
      </c>
      <c r="I16" s="83">
        <f t="shared" si="2"/>
        <v>241</v>
      </c>
      <c r="J16" s="83">
        <f t="shared" si="2"/>
        <v>267</v>
      </c>
      <c r="K16" s="83">
        <f t="shared" si="2"/>
        <v>251</v>
      </c>
      <c r="L16" s="83">
        <f t="shared" si="2"/>
        <v>258</v>
      </c>
      <c r="M16" s="83">
        <f t="shared" si="2"/>
        <v>288</v>
      </c>
      <c r="N16" s="83">
        <f t="shared" si="2"/>
        <v>294</v>
      </c>
      <c r="O16" s="83">
        <f t="shared" si="2"/>
        <v>281</v>
      </c>
      <c r="P16" s="83">
        <f t="shared" si="2"/>
        <v>248</v>
      </c>
      <c r="Q16" s="83">
        <f t="shared" si="2"/>
        <v>284</v>
      </c>
      <c r="R16" s="83">
        <f t="shared" si="2"/>
        <v>284</v>
      </c>
      <c r="S16" s="83">
        <f t="shared" si="2"/>
        <v>291</v>
      </c>
      <c r="T16" s="13">
        <f t="shared" si="2"/>
        <v>0</v>
      </c>
      <c r="U16" s="13">
        <f t="shared" si="2"/>
        <v>0</v>
      </c>
      <c r="V16" s="13">
        <f t="shared" si="2"/>
        <v>0</v>
      </c>
      <c r="W16" s="13">
        <f t="shared" si="1"/>
        <v>4050</v>
      </c>
    </row>
    <row r="17" ht="12.75" customHeight="1">
      <c r="A17" s="24"/>
      <c r="B17" s="15"/>
      <c r="C17" s="15"/>
      <c r="D17" s="16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67"/>
      <c r="U17" s="67"/>
      <c r="V17" s="67"/>
      <c r="W17" s="68"/>
    </row>
    <row r="18" ht="12.75" customHeight="1">
      <c r="A18" s="30" t="s">
        <v>15</v>
      </c>
      <c r="B18" s="20" t="s">
        <v>16</v>
      </c>
      <c r="C18" s="15"/>
      <c r="D18" s="16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67"/>
      <c r="U18" s="67"/>
      <c r="V18" s="67"/>
      <c r="W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82">
        <v>109.0</v>
      </c>
      <c r="F19" s="82">
        <v>111.0</v>
      </c>
      <c r="G19" s="82">
        <v>98.0</v>
      </c>
      <c r="H19" s="82">
        <v>109.0</v>
      </c>
      <c r="I19" s="82">
        <v>97.0</v>
      </c>
      <c r="J19" s="82">
        <v>95.0</v>
      </c>
      <c r="K19" s="82">
        <v>91.0</v>
      </c>
      <c r="L19" s="82">
        <v>94.0</v>
      </c>
      <c r="M19" s="82">
        <v>120.0</v>
      </c>
      <c r="N19" s="82">
        <v>111.0</v>
      </c>
      <c r="O19" s="82">
        <v>112.0</v>
      </c>
      <c r="P19" s="82">
        <v>92.0</v>
      </c>
      <c r="Q19" s="82">
        <v>107.0</v>
      </c>
      <c r="R19" s="82">
        <v>106.0</v>
      </c>
      <c r="S19" s="82">
        <v>107.0</v>
      </c>
      <c r="T19" s="19"/>
      <c r="U19" s="19"/>
      <c r="V19" s="19"/>
      <c r="W19" s="13">
        <f t="shared" ref="W19:W30" si="3">SUM(E19:V19)</f>
        <v>1559</v>
      </c>
    </row>
    <row r="20" ht="12.75" customHeight="1">
      <c r="A20" s="33"/>
      <c r="B20" s="27"/>
      <c r="C20" s="34"/>
      <c r="D20" s="19" t="s">
        <v>13</v>
      </c>
      <c r="E20" s="82">
        <v>146.0</v>
      </c>
      <c r="F20" s="82">
        <v>120.0</v>
      </c>
      <c r="G20" s="82">
        <v>101.0</v>
      </c>
      <c r="H20" s="82">
        <v>104.0</v>
      </c>
      <c r="I20" s="82">
        <v>107.0</v>
      </c>
      <c r="J20" s="82">
        <v>110.0</v>
      </c>
      <c r="K20" s="82">
        <v>109.0</v>
      </c>
      <c r="L20" s="82">
        <v>105.0</v>
      </c>
      <c r="M20" s="82">
        <v>116.0</v>
      </c>
      <c r="N20" s="82">
        <v>118.0</v>
      </c>
      <c r="O20" s="82">
        <v>113.0</v>
      </c>
      <c r="P20" s="82">
        <v>98.0</v>
      </c>
      <c r="Q20" s="82">
        <v>121.0</v>
      </c>
      <c r="R20" s="82">
        <v>116.0</v>
      </c>
      <c r="S20" s="82">
        <v>109.0</v>
      </c>
      <c r="T20" s="19"/>
      <c r="U20" s="19"/>
      <c r="V20" s="19"/>
      <c r="W20" s="13">
        <f t="shared" si="3"/>
        <v>1693</v>
      </c>
    </row>
    <row r="21" ht="12.75" customHeight="1">
      <c r="A21" s="35"/>
      <c r="B21" s="28"/>
      <c r="C21" s="36"/>
      <c r="D21" s="13" t="s">
        <v>14</v>
      </c>
      <c r="E21" s="83">
        <f t="shared" ref="E21:V21" si="4">SUM(E19:E20)</f>
        <v>255</v>
      </c>
      <c r="F21" s="83">
        <f t="shared" si="4"/>
        <v>231</v>
      </c>
      <c r="G21" s="83">
        <f t="shared" si="4"/>
        <v>199</v>
      </c>
      <c r="H21" s="83">
        <f t="shared" si="4"/>
        <v>213</v>
      </c>
      <c r="I21" s="83">
        <f t="shared" si="4"/>
        <v>204</v>
      </c>
      <c r="J21" s="83">
        <f t="shared" si="4"/>
        <v>205</v>
      </c>
      <c r="K21" s="83">
        <f t="shared" si="4"/>
        <v>200</v>
      </c>
      <c r="L21" s="83">
        <f t="shared" si="4"/>
        <v>199</v>
      </c>
      <c r="M21" s="83">
        <f t="shared" si="4"/>
        <v>236</v>
      </c>
      <c r="N21" s="83">
        <f t="shared" si="4"/>
        <v>229</v>
      </c>
      <c r="O21" s="83">
        <f t="shared" si="4"/>
        <v>225</v>
      </c>
      <c r="P21" s="83">
        <f t="shared" si="4"/>
        <v>190</v>
      </c>
      <c r="Q21" s="83">
        <f t="shared" si="4"/>
        <v>228</v>
      </c>
      <c r="R21" s="83">
        <f t="shared" si="4"/>
        <v>222</v>
      </c>
      <c r="S21" s="83">
        <f t="shared" si="4"/>
        <v>216</v>
      </c>
      <c r="T21" s="13">
        <f t="shared" si="4"/>
        <v>0</v>
      </c>
      <c r="U21" s="13">
        <f t="shared" si="4"/>
        <v>0</v>
      </c>
      <c r="V21" s="13">
        <f t="shared" si="4"/>
        <v>0</v>
      </c>
      <c r="W21" s="13">
        <f t="shared" si="3"/>
        <v>3252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82">
        <v>0.0</v>
      </c>
      <c r="F22" s="82">
        <v>0.0</v>
      </c>
      <c r="G22" s="85">
        <v>0.0</v>
      </c>
      <c r="H22" s="85">
        <v>0.0</v>
      </c>
      <c r="I22" s="85">
        <v>0.0</v>
      </c>
      <c r="J22" s="82">
        <v>0.0</v>
      </c>
      <c r="K22" s="82">
        <v>0.0</v>
      </c>
      <c r="L22" s="82">
        <v>0.0</v>
      </c>
      <c r="M22" s="82">
        <v>0.0</v>
      </c>
      <c r="N22" s="82">
        <v>0.0</v>
      </c>
      <c r="O22" s="82">
        <v>0.0</v>
      </c>
      <c r="P22" s="82">
        <v>0.0</v>
      </c>
      <c r="Q22" s="82">
        <v>0.0</v>
      </c>
      <c r="R22" s="82">
        <v>0.0</v>
      </c>
      <c r="S22" s="85">
        <v>0.0</v>
      </c>
      <c r="T22" s="19"/>
      <c r="U22" s="19"/>
      <c r="V22" s="19"/>
      <c r="W22" s="13">
        <f t="shared" si="3"/>
        <v>0</v>
      </c>
    </row>
    <row r="23" ht="12.75" customHeight="1">
      <c r="A23" s="33"/>
      <c r="B23" s="27"/>
      <c r="C23" s="34"/>
      <c r="D23" s="19" t="s">
        <v>13</v>
      </c>
      <c r="E23" s="82">
        <v>0.0</v>
      </c>
      <c r="F23" s="82">
        <v>0.0</v>
      </c>
      <c r="G23" s="82">
        <v>0.0</v>
      </c>
      <c r="H23" s="82">
        <v>1.0</v>
      </c>
      <c r="I23" s="82">
        <v>0.0</v>
      </c>
      <c r="J23" s="82">
        <v>0.0</v>
      </c>
      <c r="K23" s="82">
        <v>0.0</v>
      </c>
      <c r="L23" s="82">
        <v>0.0</v>
      </c>
      <c r="M23" s="82">
        <v>0.0</v>
      </c>
      <c r="N23" s="82">
        <v>0.0</v>
      </c>
      <c r="O23" s="82">
        <v>0.0</v>
      </c>
      <c r="P23" s="82">
        <v>0.0</v>
      </c>
      <c r="Q23" s="82">
        <v>0.0</v>
      </c>
      <c r="R23" s="82">
        <v>0.0</v>
      </c>
      <c r="S23" s="85">
        <v>0.0</v>
      </c>
      <c r="T23" s="19"/>
      <c r="U23" s="19"/>
      <c r="V23" s="19"/>
      <c r="W23" s="13">
        <f t="shared" si="3"/>
        <v>1</v>
      </c>
    </row>
    <row r="24" ht="12.75" customHeight="1">
      <c r="A24" s="35"/>
      <c r="B24" s="28"/>
      <c r="C24" s="36"/>
      <c r="D24" s="13" t="s">
        <v>14</v>
      </c>
      <c r="E24" s="83">
        <v>0.0</v>
      </c>
      <c r="F24" s="83">
        <f t="shared" ref="F24:V24" si="5">SUM(F22:F23)</f>
        <v>0</v>
      </c>
      <c r="G24" s="83">
        <f t="shared" si="5"/>
        <v>0</v>
      </c>
      <c r="H24" s="83">
        <f t="shared" si="5"/>
        <v>1</v>
      </c>
      <c r="I24" s="83">
        <f t="shared" si="5"/>
        <v>0</v>
      </c>
      <c r="J24" s="83">
        <f t="shared" si="5"/>
        <v>0</v>
      </c>
      <c r="K24" s="83">
        <f t="shared" si="5"/>
        <v>0</v>
      </c>
      <c r="L24" s="83">
        <f t="shared" si="5"/>
        <v>0</v>
      </c>
      <c r="M24" s="83">
        <f t="shared" si="5"/>
        <v>0</v>
      </c>
      <c r="N24" s="83">
        <f t="shared" si="5"/>
        <v>0</v>
      </c>
      <c r="O24" s="83">
        <f t="shared" si="5"/>
        <v>0</v>
      </c>
      <c r="P24" s="83">
        <f t="shared" si="5"/>
        <v>0</v>
      </c>
      <c r="Q24" s="83">
        <f t="shared" si="5"/>
        <v>0</v>
      </c>
      <c r="R24" s="83">
        <f t="shared" si="5"/>
        <v>0</v>
      </c>
      <c r="S24" s="83">
        <f t="shared" si="5"/>
        <v>0</v>
      </c>
      <c r="T24" s="13">
        <f t="shared" si="5"/>
        <v>0</v>
      </c>
      <c r="U24" s="13">
        <f t="shared" si="5"/>
        <v>0</v>
      </c>
      <c r="V24" s="13">
        <f t="shared" si="5"/>
        <v>0</v>
      </c>
      <c r="W24" s="13">
        <f t="shared" si="3"/>
        <v>1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82">
        <v>0.0</v>
      </c>
      <c r="F25" s="82">
        <v>2.0</v>
      </c>
      <c r="G25" s="82">
        <v>1.0</v>
      </c>
      <c r="H25" s="82">
        <v>0.0</v>
      </c>
      <c r="I25" s="82">
        <v>0.0</v>
      </c>
      <c r="J25" s="82">
        <v>0.0</v>
      </c>
      <c r="K25" s="82">
        <v>0.0</v>
      </c>
      <c r="L25" s="82">
        <v>0.0</v>
      </c>
      <c r="M25" s="82">
        <v>1.0</v>
      </c>
      <c r="N25" s="82">
        <v>1.0</v>
      </c>
      <c r="O25" s="82">
        <v>0.0</v>
      </c>
      <c r="P25" s="82">
        <v>0.0</v>
      </c>
      <c r="Q25" s="82">
        <v>1.0</v>
      </c>
      <c r="R25" s="82">
        <v>0.0</v>
      </c>
      <c r="S25" s="82">
        <v>0.0</v>
      </c>
      <c r="T25" s="19"/>
      <c r="U25" s="19"/>
      <c r="V25" s="19"/>
      <c r="W25" s="13">
        <f t="shared" si="3"/>
        <v>6</v>
      </c>
    </row>
    <row r="26" ht="12.75" customHeight="1">
      <c r="A26" s="33"/>
      <c r="B26" s="27"/>
      <c r="C26" s="34"/>
      <c r="D26" s="19" t="s">
        <v>13</v>
      </c>
      <c r="E26" s="82">
        <v>0.0</v>
      </c>
      <c r="F26" s="82">
        <v>4.0</v>
      </c>
      <c r="G26" s="82">
        <v>1.0</v>
      </c>
      <c r="H26" s="82">
        <v>0.0</v>
      </c>
      <c r="I26" s="82">
        <v>0.0</v>
      </c>
      <c r="J26" s="82">
        <v>1.0</v>
      </c>
      <c r="K26" s="82">
        <v>0.0</v>
      </c>
      <c r="L26" s="82">
        <v>0.0</v>
      </c>
      <c r="M26" s="82">
        <v>1.0</v>
      </c>
      <c r="N26" s="82">
        <v>2.0</v>
      </c>
      <c r="O26" s="82">
        <v>0.0</v>
      </c>
      <c r="P26" s="82">
        <v>0.0</v>
      </c>
      <c r="Q26" s="82">
        <v>2.0</v>
      </c>
      <c r="R26" s="82">
        <v>0.0</v>
      </c>
      <c r="S26" s="82">
        <v>0.0</v>
      </c>
      <c r="T26" s="19"/>
      <c r="U26" s="19"/>
      <c r="V26" s="19"/>
      <c r="W26" s="13">
        <f t="shared" si="3"/>
        <v>11</v>
      </c>
    </row>
    <row r="27" ht="12.75" customHeight="1">
      <c r="A27" s="35"/>
      <c r="B27" s="28"/>
      <c r="C27" s="36"/>
      <c r="D27" s="13" t="s">
        <v>14</v>
      </c>
      <c r="E27" s="83">
        <f t="shared" ref="E27:V27" si="6">SUM(E25:E26)</f>
        <v>0</v>
      </c>
      <c r="F27" s="83">
        <f t="shared" si="6"/>
        <v>6</v>
      </c>
      <c r="G27" s="83">
        <f t="shared" si="6"/>
        <v>2</v>
      </c>
      <c r="H27" s="83">
        <f t="shared" si="6"/>
        <v>0</v>
      </c>
      <c r="I27" s="83">
        <f t="shared" si="6"/>
        <v>0</v>
      </c>
      <c r="J27" s="83">
        <f t="shared" si="6"/>
        <v>1</v>
      </c>
      <c r="K27" s="83">
        <f t="shared" si="6"/>
        <v>0</v>
      </c>
      <c r="L27" s="83">
        <f t="shared" si="6"/>
        <v>0</v>
      </c>
      <c r="M27" s="83">
        <f t="shared" si="6"/>
        <v>2</v>
      </c>
      <c r="N27" s="83">
        <f t="shared" si="6"/>
        <v>3</v>
      </c>
      <c r="O27" s="83">
        <f t="shared" si="6"/>
        <v>0</v>
      </c>
      <c r="P27" s="83">
        <f t="shared" si="6"/>
        <v>0</v>
      </c>
      <c r="Q27" s="83">
        <f t="shared" si="6"/>
        <v>3</v>
      </c>
      <c r="R27" s="83">
        <f t="shared" si="6"/>
        <v>0</v>
      </c>
      <c r="S27" s="83">
        <f t="shared" si="6"/>
        <v>0</v>
      </c>
      <c r="T27" s="13">
        <f t="shared" si="6"/>
        <v>0</v>
      </c>
      <c r="U27" s="13">
        <f t="shared" si="6"/>
        <v>0</v>
      </c>
      <c r="V27" s="13">
        <f t="shared" si="6"/>
        <v>0</v>
      </c>
      <c r="W27" s="13">
        <f t="shared" si="3"/>
        <v>17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88">
        <v>109.0</v>
      </c>
      <c r="F28" s="88">
        <v>113.0</v>
      </c>
      <c r="G28" s="88">
        <v>99.0</v>
      </c>
      <c r="H28" s="88">
        <v>109.0</v>
      </c>
      <c r="I28" s="88">
        <v>97.0</v>
      </c>
      <c r="J28" s="88">
        <v>95.0</v>
      </c>
      <c r="K28" s="88">
        <v>91.0</v>
      </c>
      <c r="L28" s="88">
        <v>94.0</v>
      </c>
      <c r="M28" s="88">
        <v>121.0</v>
      </c>
      <c r="N28" s="88">
        <v>112.0</v>
      </c>
      <c r="O28" s="88">
        <v>112.0</v>
      </c>
      <c r="P28" s="88">
        <v>92.0</v>
      </c>
      <c r="Q28" s="88">
        <v>108.0</v>
      </c>
      <c r="R28" s="88">
        <v>106.0</v>
      </c>
      <c r="S28" s="88">
        <v>107.0</v>
      </c>
      <c r="T28" s="13">
        <f t="shared" ref="T28:V28" si="7">SUM(T19,T22,T25)</f>
        <v>0</v>
      </c>
      <c r="U28" s="13">
        <f t="shared" si="7"/>
        <v>0</v>
      </c>
      <c r="V28" s="13">
        <f t="shared" si="7"/>
        <v>0</v>
      </c>
      <c r="W28" s="13">
        <f t="shared" si="3"/>
        <v>1565</v>
      </c>
    </row>
    <row r="29" ht="12.75" customHeight="1">
      <c r="A29" s="35"/>
      <c r="B29" s="27"/>
      <c r="C29" s="34"/>
      <c r="D29" s="13" t="s">
        <v>13</v>
      </c>
      <c r="E29" s="88">
        <v>146.0</v>
      </c>
      <c r="F29" s="88">
        <v>124.0</v>
      </c>
      <c r="G29" s="88">
        <v>102.0</v>
      </c>
      <c r="H29" s="88">
        <v>105.0</v>
      </c>
      <c r="I29" s="88">
        <v>107.0</v>
      </c>
      <c r="J29" s="88">
        <v>111.0</v>
      </c>
      <c r="K29" s="88">
        <v>109.0</v>
      </c>
      <c r="L29" s="88">
        <v>105.0</v>
      </c>
      <c r="M29" s="88">
        <v>117.0</v>
      </c>
      <c r="N29" s="88">
        <v>120.0</v>
      </c>
      <c r="O29" s="88">
        <v>113.0</v>
      </c>
      <c r="P29" s="88">
        <v>98.0</v>
      </c>
      <c r="Q29" s="88">
        <v>123.0</v>
      </c>
      <c r="R29" s="88">
        <v>116.0</v>
      </c>
      <c r="S29" s="88">
        <v>109.0</v>
      </c>
      <c r="T29" s="13">
        <f t="shared" ref="T29:V29" si="8">SUM(T20,T23,T26)</f>
        <v>0</v>
      </c>
      <c r="U29" s="13">
        <f t="shared" si="8"/>
        <v>0</v>
      </c>
      <c r="V29" s="13">
        <f t="shared" si="8"/>
        <v>0</v>
      </c>
      <c r="W29" s="13">
        <f t="shared" si="3"/>
        <v>1705</v>
      </c>
    </row>
    <row r="30" ht="12.75" customHeight="1">
      <c r="A30" s="35"/>
      <c r="B30" s="28"/>
      <c r="C30" s="36"/>
      <c r="D30" s="13" t="s">
        <v>14</v>
      </c>
      <c r="E30" s="89">
        <f t="shared" ref="E30:V30" si="9">SUM(E28:E29)</f>
        <v>255</v>
      </c>
      <c r="F30" s="89">
        <f t="shared" si="9"/>
        <v>237</v>
      </c>
      <c r="G30" s="89">
        <f t="shared" si="9"/>
        <v>201</v>
      </c>
      <c r="H30" s="89">
        <f t="shared" si="9"/>
        <v>214</v>
      </c>
      <c r="I30" s="89">
        <f t="shared" si="9"/>
        <v>204</v>
      </c>
      <c r="J30" s="89">
        <f t="shared" si="9"/>
        <v>206</v>
      </c>
      <c r="K30" s="89">
        <f t="shared" si="9"/>
        <v>200</v>
      </c>
      <c r="L30" s="89">
        <f t="shared" si="9"/>
        <v>199</v>
      </c>
      <c r="M30" s="89">
        <f t="shared" si="9"/>
        <v>238</v>
      </c>
      <c r="N30" s="89">
        <f t="shared" si="9"/>
        <v>232</v>
      </c>
      <c r="O30" s="89">
        <f t="shared" si="9"/>
        <v>225</v>
      </c>
      <c r="P30" s="89">
        <f t="shared" si="9"/>
        <v>190</v>
      </c>
      <c r="Q30" s="89">
        <f t="shared" si="9"/>
        <v>231</v>
      </c>
      <c r="R30" s="89">
        <f t="shared" si="9"/>
        <v>222</v>
      </c>
      <c r="S30" s="89">
        <f t="shared" si="9"/>
        <v>216</v>
      </c>
      <c r="T30" s="13">
        <f t="shared" si="9"/>
        <v>0</v>
      </c>
      <c r="U30" s="13">
        <f t="shared" si="9"/>
        <v>0</v>
      </c>
      <c r="V30" s="13">
        <f t="shared" si="9"/>
        <v>0</v>
      </c>
      <c r="W30" s="13">
        <f t="shared" si="3"/>
        <v>3270</v>
      </c>
    </row>
    <row r="31" ht="12.75" customHeight="1">
      <c r="A31" s="24"/>
      <c r="B31" s="15"/>
      <c r="C31" s="15"/>
      <c r="D31" s="16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67"/>
      <c r="U31" s="67"/>
      <c r="V31" s="67"/>
      <c r="W31" s="68"/>
    </row>
    <row r="32" ht="12.75" customHeight="1">
      <c r="A32" s="41" t="s">
        <v>25</v>
      </c>
      <c r="B32" s="14" t="s">
        <v>26</v>
      </c>
      <c r="C32" s="15"/>
      <c r="D32" s="16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70"/>
      <c r="U32" s="70"/>
      <c r="V32" s="70"/>
      <c r="W32" s="68"/>
    </row>
    <row r="33" ht="12.75" customHeight="1">
      <c r="A33" s="19">
        <v>1.0</v>
      </c>
      <c r="B33" s="20" t="s">
        <v>27</v>
      </c>
      <c r="C33" s="15"/>
      <c r="D33" s="16"/>
      <c r="E33" s="82">
        <v>295.0</v>
      </c>
      <c r="F33" s="82">
        <v>290.0</v>
      </c>
      <c r="G33" s="82">
        <v>257.0</v>
      </c>
      <c r="H33" s="82">
        <v>244.0</v>
      </c>
      <c r="I33" s="82">
        <v>246.0</v>
      </c>
      <c r="J33" s="82">
        <v>273.0</v>
      </c>
      <c r="K33" s="82">
        <v>257.0</v>
      </c>
      <c r="L33" s="82">
        <v>264.0</v>
      </c>
      <c r="M33" s="82">
        <v>294.0</v>
      </c>
      <c r="N33" s="82">
        <v>300.0</v>
      </c>
      <c r="O33" s="82">
        <v>287.0</v>
      </c>
      <c r="P33" s="82">
        <v>253.0</v>
      </c>
      <c r="Q33" s="82">
        <v>290.0</v>
      </c>
      <c r="R33" s="82">
        <v>290.0</v>
      </c>
      <c r="S33" s="82">
        <v>297.0</v>
      </c>
      <c r="T33" s="19"/>
      <c r="U33" s="19"/>
      <c r="V33" s="19"/>
      <c r="W33" s="13">
        <f t="shared" ref="W33:W36" si="10">SUM(E33:V33)</f>
        <v>4137</v>
      </c>
    </row>
    <row r="34" ht="12.75" customHeight="1">
      <c r="A34" s="19">
        <v>2.0</v>
      </c>
      <c r="B34" s="20" t="s">
        <v>28</v>
      </c>
      <c r="C34" s="15"/>
      <c r="D34" s="16"/>
      <c r="E34" s="90">
        <v>255.0</v>
      </c>
      <c r="F34" s="90">
        <v>237.0</v>
      </c>
      <c r="G34" s="90">
        <v>202.0</v>
      </c>
      <c r="H34" s="90">
        <v>216.0</v>
      </c>
      <c r="I34" s="90">
        <v>205.0</v>
      </c>
      <c r="J34" s="90">
        <v>206.0</v>
      </c>
      <c r="K34" s="90">
        <v>200.0</v>
      </c>
      <c r="L34" s="90">
        <v>199.0</v>
      </c>
      <c r="M34" s="90">
        <v>238.0</v>
      </c>
      <c r="N34" s="90">
        <v>232.0</v>
      </c>
      <c r="O34" s="90">
        <v>225.0</v>
      </c>
      <c r="P34" s="90">
        <v>190.0</v>
      </c>
      <c r="Q34" s="90">
        <v>231.0</v>
      </c>
      <c r="R34" s="90">
        <v>222.0</v>
      </c>
      <c r="S34" s="90">
        <v>220.0</v>
      </c>
      <c r="T34" s="13"/>
      <c r="U34" s="13"/>
      <c r="V34" s="13"/>
      <c r="W34" s="13">
        <f t="shared" si="10"/>
        <v>3278</v>
      </c>
    </row>
    <row r="35" ht="12.75" customHeight="1">
      <c r="A35" s="19">
        <v>3.0</v>
      </c>
      <c r="B35" s="20" t="s">
        <v>29</v>
      </c>
      <c r="C35" s="15"/>
      <c r="D35" s="16"/>
      <c r="E35" s="82">
        <v>0.0</v>
      </c>
      <c r="F35" s="85">
        <v>0.0</v>
      </c>
      <c r="G35" s="82">
        <v>0.0</v>
      </c>
      <c r="H35" s="82">
        <v>0.0</v>
      </c>
      <c r="I35" s="82">
        <v>0.0</v>
      </c>
      <c r="J35" s="85">
        <v>3.0</v>
      </c>
      <c r="K35" s="82">
        <v>0.0</v>
      </c>
      <c r="L35" s="85">
        <v>1.0</v>
      </c>
      <c r="M35" s="82">
        <v>0.0</v>
      </c>
      <c r="N35" s="82">
        <v>0.0</v>
      </c>
      <c r="O35" s="85">
        <v>0.0</v>
      </c>
      <c r="P35" s="85">
        <v>2.0</v>
      </c>
      <c r="Q35" s="82">
        <v>1.0</v>
      </c>
      <c r="R35" s="82">
        <v>0.0</v>
      </c>
      <c r="S35" s="82">
        <v>0.0</v>
      </c>
      <c r="T35" s="19"/>
      <c r="U35" s="19"/>
      <c r="V35" s="19"/>
      <c r="W35" s="13">
        <f t="shared" si="10"/>
        <v>7</v>
      </c>
    </row>
    <row r="36" ht="12.75" customHeight="1">
      <c r="A36" s="19">
        <v>4.0</v>
      </c>
      <c r="B36" s="20" t="s">
        <v>30</v>
      </c>
      <c r="C36" s="15"/>
      <c r="D36" s="16"/>
      <c r="E36" s="83">
        <f t="shared" ref="E36:V36" si="11">E33-(E34+E35)</f>
        <v>40</v>
      </c>
      <c r="F36" s="83">
        <f t="shared" si="11"/>
        <v>53</v>
      </c>
      <c r="G36" s="83">
        <f t="shared" si="11"/>
        <v>55</v>
      </c>
      <c r="H36" s="83">
        <f t="shared" si="11"/>
        <v>28</v>
      </c>
      <c r="I36" s="83">
        <f t="shared" si="11"/>
        <v>41</v>
      </c>
      <c r="J36" s="83">
        <f t="shared" si="11"/>
        <v>64</v>
      </c>
      <c r="K36" s="83">
        <f t="shared" si="11"/>
        <v>57</v>
      </c>
      <c r="L36" s="83">
        <f t="shared" si="11"/>
        <v>64</v>
      </c>
      <c r="M36" s="83">
        <f t="shared" si="11"/>
        <v>56</v>
      </c>
      <c r="N36" s="83">
        <f t="shared" si="11"/>
        <v>68</v>
      </c>
      <c r="O36" s="83">
        <f t="shared" si="11"/>
        <v>62</v>
      </c>
      <c r="P36" s="83">
        <f t="shared" si="11"/>
        <v>61</v>
      </c>
      <c r="Q36" s="83">
        <f t="shared" si="11"/>
        <v>58</v>
      </c>
      <c r="R36" s="83">
        <f t="shared" si="11"/>
        <v>68</v>
      </c>
      <c r="S36" s="83">
        <f t="shared" si="11"/>
        <v>77</v>
      </c>
      <c r="T36" s="13">
        <f t="shared" si="11"/>
        <v>0</v>
      </c>
      <c r="U36" s="13">
        <f t="shared" si="11"/>
        <v>0</v>
      </c>
      <c r="V36" s="13">
        <f t="shared" si="11"/>
        <v>0</v>
      </c>
      <c r="W36" s="13">
        <f t="shared" si="10"/>
        <v>852</v>
      </c>
    </row>
    <row r="37" ht="12.75" customHeight="1">
      <c r="A37" s="24"/>
      <c r="B37" s="15"/>
      <c r="C37" s="15"/>
      <c r="D37" s="15"/>
      <c r="E37" s="92"/>
      <c r="F37" s="15"/>
      <c r="G37" s="15"/>
      <c r="H37" s="15"/>
      <c r="I37" s="16"/>
      <c r="J37" s="84"/>
      <c r="K37" s="84"/>
      <c r="L37" s="84"/>
      <c r="M37" s="84"/>
      <c r="N37" s="84"/>
      <c r="O37" s="84"/>
      <c r="P37" s="84"/>
      <c r="Q37" s="84"/>
      <c r="R37" s="84"/>
      <c r="S37" s="92"/>
      <c r="T37" s="71"/>
      <c r="U37" s="71"/>
      <c r="V37" s="71"/>
      <c r="W37" s="68"/>
    </row>
    <row r="38" ht="12.75" customHeight="1">
      <c r="A38" s="42" t="s">
        <v>31</v>
      </c>
      <c r="B38" s="14" t="s">
        <v>32</v>
      </c>
      <c r="C38" s="15"/>
      <c r="D38" s="16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70"/>
      <c r="U38" s="70"/>
      <c r="V38" s="70"/>
      <c r="W38" s="68"/>
    </row>
    <row r="39" ht="12.75" customHeight="1">
      <c r="A39" s="30"/>
      <c r="B39" s="43" t="s">
        <v>33</v>
      </c>
      <c r="C39" s="23"/>
      <c r="D39" s="19" t="s">
        <v>12</v>
      </c>
      <c r="E39" s="82">
        <v>0.0</v>
      </c>
      <c r="F39" s="82">
        <v>0.0</v>
      </c>
      <c r="G39" s="82">
        <v>0.0</v>
      </c>
      <c r="H39" s="82">
        <v>0.0</v>
      </c>
      <c r="I39" s="82">
        <v>1.0</v>
      </c>
      <c r="J39" s="82">
        <v>0.0</v>
      </c>
      <c r="K39" s="82">
        <v>0.0</v>
      </c>
      <c r="L39" s="82">
        <v>0.0</v>
      </c>
      <c r="M39" s="82">
        <v>0.0</v>
      </c>
      <c r="N39" s="82">
        <v>0.0</v>
      </c>
      <c r="O39" s="82">
        <v>0.0</v>
      </c>
      <c r="P39" s="82">
        <v>0.0</v>
      </c>
      <c r="Q39" s="82">
        <v>0.0</v>
      </c>
      <c r="R39" s="82">
        <v>0.0</v>
      </c>
      <c r="S39" s="82">
        <v>0.0</v>
      </c>
      <c r="T39" s="19"/>
      <c r="U39" s="19"/>
      <c r="V39" s="19"/>
      <c r="W39" s="13">
        <f t="shared" ref="W39:W41" si="12">SUM(E39:V39)</f>
        <v>1</v>
      </c>
    </row>
    <row r="40" ht="12.75" customHeight="1">
      <c r="A40" s="33"/>
      <c r="C40" s="27"/>
      <c r="D40" s="19" t="s">
        <v>13</v>
      </c>
      <c r="E40" s="82">
        <v>0.0</v>
      </c>
      <c r="F40" s="82">
        <v>0.0</v>
      </c>
      <c r="G40" s="82">
        <v>0.0</v>
      </c>
      <c r="H40" s="82">
        <v>0.0</v>
      </c>
      <c r="I40" s="82">
        <v>3.0</v>
      </c>
      <c r="J40" s="82">
        <v>0.0</v>
      </c>
      <c r="K40" s="82">
        <v>0.0</v>
      </c>
      <c r="L40" s="82">
        <v>0.0</v>
      </c>
      <c r="M40" s="82">
        <v>0.0</v>
      </c>
      <c r="N40" s="82">
        <v>0.0</v>
      </c>
      <c r="O40" s="82">
        <v>0.0</v>
      </c>
      <c r="P40" s="82">
        <v>0.0</v>
      </c>
      <c r="Q40" s="82">
        <v>0.0</v>
      </c>
      <c r="R40" s="82">
        <v>0.0</v>
      </c>
      <c r="S40" s="82">
        <v>0.0</v>
      </c>
      <c r="T40" s="19"/>
      <c r="U40" s="19"/>
      <c r="V40" s="19"/>
      <c r="W40" s="13">
        <f t="shared" si="12"/>
        <v>3</v>
      </c>
    </row>
    <row r="41" ht="12.75" customHeight="1">
      <c r="A41" s="41"/>
      <c r="B41" s="44"/>
      <c r="C41" s="28"/>
      <c r="D41" s="13" t="s">
        <v>14</v>
      </c>
      <c r="E41" s="13">
        <f t="shared" ref="E41:V41" si="13">SUM(E39:E40)</f>
        <v>0</v>
      </c>
      <c r="F41" s="13">
        <f t="shared" si="13"/>
        <v>0</v>
      </c>
      <c r="G41" s="13">
        <f t="shared" si="13"/>
        <v>0</v>
      </c>
      <c r="H41" s="13">
        <f t="shared" si="13"/>
        <v>0</v>
      </c>
      <c r="I41" s="13">
        <f t="shared" si="13"/>
        <v>4</v>
      </c>
      <c r="J41" s="13">
        <f t="shared" si="13"/>
        <v>0</v>
      </c>
      <c r="K41" s="13">
        <f t="shared" si="13"/>
        <v>0</v>
      </c>
      <c r="L41" s="13">
        <f t="shared" si="13"/>
        <v>0</v>
      </c>
      <c r="M41" s="13">
        <f t="shared" si="13"/>
        <v>0</v>
      </c>
      <c r="N41" s="13">
        <f t="shared" si="13"/>
        <v>0</v>
      </c>
      <c r="O41" s="13">
        <f t="shared" si="13"/>
        <v>0</v>
      </c>
      <c r="P41" s="13">
        <f t="shared" si="13"/>
        <v>0</v>
      </c>
      <c r="Q41" s="13">
        <f t="shared" si="13"/>
        <v>0</v>
      </c>
      <c r="R41" s="13">
        <f t="shared" si="13"/>
        <v>0</v>
      </c>
      <c r="S41" s="13">
        <f t="shared" si="13"/>
        <v>0</v>
      </c>
      <c r="T41" s="13">
        <f t="shared" si="13"/>
        <v>0</v>
      </c>
      <c r="U41" s="13">
        <f t="shared" si="13"/>
        <v>0</v>
      </c>
      <c r="V41" s="13">
        <f t="shared" si="13"/>
        <v>0</v>
      </c>
      <c r="W41" s="13">
        <f t="shared" si="12"/>
        <v>4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67"/>
      <c r="Q42" s="19"/>
      <c r="R42" s="67"/>
      <c r="S42" s="19"/>
      <c r="T42" s="67"/>
      <c r="U42" s="19"/>
      <c r="V42" s="67"/>
      <c r="W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6.0</v>
      </c>
      <c r="F45" s="66">
        <v>5.0</v>
      </c>
      <c r="G45" s="66">
        <v>11.0</v>
      </c>
      <c r="H45" s="66">
        <v>3.0</v>
      </c>
      <c r="I45" s="66">
        <v>3.0</v>
      </c>
      <c r="J45" s="66">
        <v>5.0</v>
      </c>
      <c r="K45" s="66">
        <v>5.0</v>
      </c>
      <c r="L45" s="66">
        <v>6.0</v>
      </c>
      <c r="M45" s="66">
        <v>6.0</v>
      </c>
      <c r="N45" s="66">
        <v>2.0</v>
      </c>
      <c r="O45" s="66">
        <v>0.0</v>
      </c>
      <c r="P45" s="66">
        <v>1.0</v>
      </c>
      <c r="Q45" s="66">
        <v>5.0</v>
      </c>
      <c r="R45" s="66">
        <v>8.0</v>
      </c>
      <c r="S45" s="66">
        <v>2.0</v>
      </c>
      <c r="T45" s="19"/>
      <c r="U45" s="19"/>
      <c r="V45" s="19"/>
      <c r="W45" s="13">
        <f t="shared" ref="W45:W192" si="14">SUM(E45:V45)</f>
        <v>68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35.0</v>
      </c>
      <c r="F46" s="66">
        <v>31.0</v>
      </c>
      <c r="G46" s="66">
        <v>27.0</v>
      </c>
      <c r="H46" s="66">
        <v>13.0</v>
      </c>
      <c r="I46" s="66">
        <v>24.0</v>
      </c>
      <c r="J46" s="66">
        <v>21.0</v>
      </c>
      <c r="K46" s="66">
        <v>17.0</v>
      </c>
      <c r="L46" s="66">
        <v>22.0</v>
      </c>
      <c r="M46" s="66">
        <v>26.0</v>
      </c>
      <c r="N46" s="66">
        <v>21.0</v>
      </c>
      <c r="O46" s="66">
        <v>1.0</v>
      </c>
      <c r="P46" s="19"/>
      <c r="Q46" s="66">
        <v>16.0</v>
      </c>
      <c r="R46" s="66">
        <v>52.0</v>
      </c>
      <c r="S46" s="66">
        <v>24.0</v>
      </c>
      <c r="T46" s="19"/>
      <c r="U46" s="19"/>
      <c r="V46" s="19"/>
      <c r="W46" s="13">
        <f t="shared" si="14"/>
        <v>330</v>
      </c>
    </row>
    <row r="47" ht="12.75" customHeight="1">
      <c r="A47" s="18"/>
      <c r="B47" s="49"/>
      <c r="C47" s="50" t="s">
        <v>41</v>
      </c>
      <c r="D47" s="51"/>
      <c r="E47" s="66">
        <v>2.0</v>
      </c>
      <c r="F47" s="66">
        <v>11.0</v>
      </c>
      <c r="G47" s="66">
        <v>1.0</v>
      </c>
      <c r="H47" s="66">
        <v>2.0</v>
      </c>
      <c r="I47" s="66">
        <v>2.0</v>
      </c>
      <c r="J47" s="19"/>
      <c r="K47" s="66">
        <v>12.0</v>
      </c>
      <c r="L47" s="66">
        <v>5.0</v>
      </c>
      <c r="M47" s="19"/>
      <c r="N47" s="66">
        <v>0.0</v>
      </c>
      <c r="O47" s="19"/>
      <c r="P47" s="19"/>
      <c r="Q47" s="66">
        <v>2.0</v>
      </c>
      <c r="R47" s="66">
        <v>4.0</v>
      </c>
      <c r="S47" s="66">
        <v>2.0</v>
      </c>
      <c r="T47" s="19"/>
      <c r="U47" s="19"/>
      <c r="V47" s="19"/>
      <c r="W47" s="13">
        <f t="shared" si="14"/>
        <v>43</v>
      </c>
    </row>
    <row r="48" ht="12.75" customHeight="1">
      <c r="A48" s="18"/>
      <c r="B48" s="49"/>
      <c r="C48" s="50" t="s">
        <v>42</v>
      </c>
      <c r="D48" s="51"/>
      <c r="E48" s="66">
        <v>3.0</v>
      </c>
      <c r="F48" s="66">
        <v>0.0</v>
      </c>
      <c r="G48" s="66">
        <v>0.0</v>
      </c>
      <c r="H48" s="66">
        <v>1.0</v>
      </c>
      <c r="I48" s="66">
        <v>2.0</v>
      </c>
      <c r="J48" s="66">
        <v>1.0</v>
      </c>
      <c r="K48" s="66">
        <v>1.0</v>
      </c>
      <c r="L48" s="66">
        <v>0.0</v>
      </c>
      <c r="M48" s="19"/>
      <c r="N48" s="66">
        <v>1.0</v>
      </c>
      <c r="O48" s="19"/>
      <c r="P48" s="19"/>
      <c r="Q48" s="66">
        <v>4.0</v>
      </c>
      <c r="R48" s="66">
        <v>1.0</v>
      </c>
      <c r="S48" s="66">
        <v>1.0</v>
      </c>
      <c r="T48" s="19"/>
      <c r="U48" s="19"/>
      <c r="V48" s="19"/>
      <c r="W48" s="13">
        <f t="shared" si="14"/>
        <v>15</v>
      </c>
    </row>
    <row r="49" ht="12.75" customHeight="1">
      <c r="A49" s="18"/>
      <c r="B49" s="49"/>
      <c r="C49" s="50" t="s">
        <v>43</v>
      </c>
      <c r="D49" s="51"/>
      <c r="E49" s="66">
        <v>0.0</v>
      </c>
      <c r="F49" s="66">
        <v>1.0</v>
      </c>
      <c r="G49" s="19"/>
      <c r="H49" s="66">
        <v>0.0</v>
      </c>
      <c r="I49" s="19"/>
      <c r="J49" s="66">
        <v>1.0</v>
      </c>
      <c r="K49" s="66">
        <v>0.0</v>
      </c>
      <c r="L49" s="66">
        <v>0.0</v>
      </c>
      <c r="M49" s="19"/>
      <c r="N49" s="19"/>
      <c r="O49" s="19"/>
      <c r="P49" s="19"/>
      <c r="Q49" s="66">
        <v>0.0</v>
      </c>
      <c r="R49" s="66">
        <v>0.0</v>
      </c>
      <c r="S49" s="66">
        <v>1.0</v>
      </c>
      <c r="T49" s="19"/>
      <c r="U49" s="19"/>
      <c r="V49" s="19"/>
      <c r="W49" s="13">
        <f t="shared" si="14"/>
        <v>3</v>
      </c>
    </row>
    <row r="50" ht="12.75" customHeight="1">
      <c r="A50" s="18"/>
      <c r="B50" s="49"/>
      <c r="C50" s="50" t="s">
        <v>44</v>
      </c>
      <c r="D50" s="51"/>
      <c r="E50" s="19"/>
      <c r="F50" s="19"/>
      <c r="G50" s="19"/>
      <c r="H50" s="66">
        <v>1.0</v>
      </c>
      <c r="I50" s="19"/>
      <c r="J50" s="66">
        <v>1.0</v>
      </c>
      <c r="K50" s="66">
        <v>0.0</v>
      </c>
      <c r="L50" s="66">
        <v>0.0</v>
      </c>
      <c r="M50" s="19"/>
      <c r="N50" s="19"/>
      <c r="O50" s="19"/>
      <c r="P50" s="19"/>
      <c r="Q50" s="66">
        <v>0.0</v>
      </c>
      <c r="R50" s="66">
        <v>0.0</v>
      </c>
      <c r="S50" s="66">
        <v>0.0</v>
      </c>
      <c r="T50" s="19"/>
      <c r="U50" s="19"/>
      <c r="V50" s="19"/>
      <c r="W50" s="13">
        <f t="shared" si="14"/>
        <v>2</v>
      </c>
    </row>
    <row r="51" ht="12.75" customHeight="1">
      <c r="A51" s="18"/>
      <c r="B51" s="49"/>
      <c r="C51" s="50" t="s">
        <v>45</v>
      </c>
      <c r="D51" s="51"/>
      <c r="E51" s="19"/>
      <c r="F51" s="66">
        <v>1.0</v>
      </c>
      <c r="G51" s="66">
        <v>1.0</v>
      </c>
      <c r="H51" s="66">
        <v>0.0</v>
      </c>
      <c r="I51" s="19"/>
      <c r="J51" s="19"/>
      <c r="K51" s="66">
        <v>19.0</v>
      </c>
      <c r="L51" s="66">
        <v>1.0</v>
      </c>
      <c r="M51" s="66">
        <v>2.0</v>
      </c>
      <c r="N51" s="19"/>
      <c r="O51" s="19"/>
      <c r="P51" s="19"/>
      <c r="Q51" s="66">
        <v>0.0</v>
      </c>
      <c r="R51" s="66">
        <v>0.0</v>
      </c>
      <c r="S51" s="66">
        <v>0.0</v>
      </c>
      <c r="T51" s="19"/>
      <c r="U51" s="19"/>
      <c r="V51" s="19"/>
      <c r="W51" s="13">
        <f t="shared" si="14"/>
        <v>24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V52" si="15">SUM(E45:E51)</f>
        <v>46</v>
      </c>
      <c r="F52" s="13">
        <f t="shared" si="15"/>
        <v>49</v>
      </c>
      <c r="G52" s="13">
        <f t="shared" si="15"/>
        <v>40</v>
      </c>
      <c r="H52" s="13">
        <f t="shared" si="15"/>
        <v>20</v>
      </c>
      <c r="I52" s="13">
        <f t="shared" si="15"/>
        <v>31</v>
      </c>
      <c r="J52" s="13">
        <f t="shared" si="15"/>
        <v>29</v>
      </c>
      <c r="K52" s="13">
        <f t="shared" si="15"/>
        <v>54</v>
      </c>
      <c r="L52" s="13">
        <f t="shared" si="15"/>
        <v>34</v>
      </c>
      <c r="M52" s="13">
        <f t="shared" si="15"/>
        <v>34</v>
      </c>
      <c r="N52" s="13">
        <f t="shared" si="15"/>
        <v>24</v>
      </c>
      <c r="O52" s="13">
        <f t="shared" si="15"/>
        <v>1</v>
      </c>
      <c r="P52" s="13">
        <f t="shared" si="15"/>
        <v>1</v>
      </c>
      <c r="Q52" s="13">
        <f t="shared" si="15"/>
        <v>27</v>
      </c>
      <c r="R52" s="13">
        <f t="shared" si="15"/>
        <v>65</v>
      </c>
      <c r="S52" s="13">
        <f t="shared" si="15"/>
        <v>30</v>
      </c>
      <c r="T52" s="13">
        <f t="shared" si="15"/>
        <v>0</v>
      </c>
      <c r="U52" s="13">
        <f t="shared" si="15"/>
        <v>0</v>
      </c>
      <c r="V52" s="13">
        <f t="shared" si="15"/>
        <v>0</v>
      </c>
      <c r="W52" s="13">
        <f t="shared" si="14"/>
        <v>485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13">
        <f t="shared" si="14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4.0</v>
      </c>
      <c r="F54" s="66">
        <v>3.0</v>
      </c>
      <c r="G54" s="66">
        <v>3.0</v>
      </c>
      <c r="H54" s="66">
        <v>3.0</v>
      </c>
      <c r="I54" s="66">
        <v>0.0</v>
      </c>
      <c r="J54" s="66">
        <v>6.0</v>
      </c>
      <c r="K54" s="66">
        <v>3.0</v>
      </c>
      <c r="L54" s="66">
        <v>4.0</v>
      </c>
      <c r="M54" s="66">
        <v>3.0</v>
      </c>
      <c r="N54" s="66">
        <v>5.0</v>
      </c>
      <c r="O54" s="66">
        <v>5.0</v>
      </c>
      <c r="P54" s="66">
        <v>1.0</v>
      </c>
      <c r="Q54" s="66">
        <v>2.0</v>
      </c>
      <c r="R54" s="66">
        <v>7.0</v>
      </c>
      <c r="S54" s="66">
        <v>11.0</v>
      </c>
      <c r="T54" s="19"/>
      <c r="U54" s="19"/>
      <c r="V54" s="19"/>
      <c r="W54" s="13">
        <f t="shared" si="14"/>
        <v>60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3.0</v>
      </c>
      <c r="F55" s="19"/>
      <c r="G55" s="66">
        <v>1.0</v>
      </c>
      <c r="H55" s="66">
        <v>1.0</v>
      </c>
      <c r="I55" s="66">
        <v>1.0</v>
      </c>
      <c r="J55" s="66">
        <v>2.0</v>
      </c>
      <c r="K55" s="66">
        <v>0.0</v>
      </c>
      <c r="L55" s="66">
        <v>0.0</v>
      </c>
      <c r="M55" s="19"/>
      <c r="N55" s="66">
        <v>3.0</v>
      </c>
      <c r="O55" s="19"/>
      <c r="P55" s="19"/>
      <c r="Q55" s="66">
        <v>0.0</v>
      </c>
      <c r="R55" s="66">
        <v>2.0</v>
      </c>
      <c r="S55" s="66">
        <v>2.0</v>
      </c>
      <c r="T55" s="19"/>
      <c r="U55" s="19"/>
      <c r="V55" s="19"/>
      <c r="W55" s="13">
        <f t="shared" si="14"/>
        <v>15</v>
      </c>
    </row>
    <row r="56" ht="12.75" customHeight="1">
      <c r="A56" s="18"/>
      <c r="B56" s="49"/>
      <c r="C56" s="50" t="s">
        <v>49</v>
      </c>
      <c r="D56" s="51"/>
      <c r="E56" s="66">
        <v>4.0</v>
      </c>
      <c r="F56" s="66">
        <v>3.0</v>
      </c>
      <c r="G56" s="66">
        <v>1.0</v>
      </c>
      <c r="H56" s="66">
        <v>0.0</v>
      </c>
      <c r="I56" s="19"/>
      <c r="J56" s="66">
        <v>1.0</v>
      </c>
      <c r="K56" s="66">
        <v>0.0</v>
      </c>
      <c r="L56" s="66">
        <v>1.0</v>
      </c>
      <c r="M56" s="66">
        <v>3.0</v>
      </c>
      <c r="N56" s="66">
        <v>1.0</v>
      </c>
      <c r="O56" s="19"/>
      <c r="P56" s="19"/>
      <c r="Q56" s="66">
        <v>2.0</v>
      </c>
      <c r="R56" s="66">
        <v>0.0</v>
      </c>
      <c r="S56" s="66">
        <v>2.0</v>
      </c>
      <c r="T56" s="19"/>
      <c r="U56" s="19"/>
      <c r="V56" s="19"/>
      <c r="W56" s="13">
        <f t="shared" si="14"/>
        <v>18</v>
      </c>
    </row>
    <row r="57" ht="12.75" customHeight="1">
      <c r="A57" s="18"/>
      <c r="B57" s="49"/>
      <c r="C57" s="50" t="s">
        <v>50</v>
      </c>
      <c r="D57" s="51"/>
      <c r="E57" s="19"/>
      <c r="F57" s="19"/>
      <c r="G57" s="66">
        <v>0.0</v>
      </c>
      <c r="H57" s="66">
        <v>0.0</v>
      </c>
      <c r="I57" s="19"/>
      <c r="J57" s="66">
        <v>1.0</v>
      </c>
      <c r="K57" s="66">
        <v>0.0</v>
      </c>
      <c r="L57" s="66">
        <v>0.0</v>
      </c>
      <c r="M57" s="66">
        <v>1.0</v>
      </c>
      <c r="N57" s="66">
        <v>2.0</v>
      </c>
      <c r="O57" s="19"/>
      <c r="P57" s="19"/>
      <c r="Q57" s="66">
        <v>0.0</v>
      </c>
      <c r="R57" s="66">
        <v>0.0</v>
      </c>
      <c r="S57" s="66">
        <v>1.0</v>
      </c>
      <c r="T57" s="19"/>
      <c r="U57" s="19"/>
      <c r="V57" s="19"/>
      <c r="W57" s="13">
        <f t="shared" si="14"/>
        <v>5</v>
      </c>
    </row>
    <row r="58" ht="12.75" customHeight="1">
      <c r="A58" s="18"/>
      <c r="B58" s="49"/>
      <c r="C58" s="50" t="s">
        <v>51</v>
      </c>
      <c r="D58" s="51"/>
      <c r="E58" s="66">
        <v>1.0</v>
      </c>
      <c r="F58" s="19"/>
      <c r="G58" s="66">
        <v>3.0</v>
      </c>
      <c r="H58" s="66">
        <v>0.0</v>
      </c>
      <c r="I58" s="66">
        <v>1.0</v>
      </c>
      <c r="J58" s="66">
        <v>1.0</v>
      </c>
      <c r="K58" s="66">
        <v>0.0</v>
      </c>
      <c r="L58" s="66">
        <v>0.0</v>
      </c>
      <c r="M58" s="66">
        <v>1.0</v>
      </c>
      <c r="N58" s="66">
        <v>0.0</v>
      </c>
      <c r="O58" s="66">
        <v>3.0</v>
      </c>
      <c r="P58" s="19"/>
      <c r="Q58" s="66">
        <v>0.0</v>
      </c>
      <c r="R58" s="66">
        <v>0.0</v>
      </c>
      <c r="S58" s="66">
        <v>6.0</v>
      </c>
      <c r="T58" s="19"/>
      <c r="U58" s="19"/>
      <c r="V58" s="19"/>
      <c r="W58" s="13">
        <f t="shared" si="14"/>
        <v>16</v>
      </c>
    </row>
    <row r="59" ht="12.75" customHeight="1">
      <c r="A59" s="18"/>
      <c r="B59" s="49"/>
      <c r="C59" s="50" t="s">
        <v>52</v>
      </c>
      <c r="D59" s="51"/>
      <c r="E59" s="19"/>
      <c r="F59" s="19"/>
      <c r="G59" s="19"/>
      <c r="H59" s="66">
        <v>0.0</v>
      </c>
      <c r="I59" s="19"/>
      <c r="J59" s="19"/>
      <c r="K59" s="66">
        <v>1.0</v>
      </c>
      <c r="L59" s="66">
        <v>0.0</v>
      </c>
      <c r="M59" s="19"/>
      <c r="N59" s="66">
        <v>0.0</v>
      </c>
      <c r="O59" s="19"/>
      <c r="P59" s="19"/>
      <c r="Q59" s="66">
        <v>0.0</v>
      </c>
      <c r="R59" s="66">
        <v>0.0</v>
      </c>
      <c r="S59" s="66">
        <v>0.0</v>
      </c>
      <c r="T59" s="19"/>
      <c r="U59" s="19"/>
      <c r="V59" s="19"/>
      <c r="W59" s="13">
        <f t="shared" si="14"/>
        <v>1</v>
      </c>
    </row>
    <row r="60" ht="12.75" customHeight="1">
      <c r="A60" s="18"/>
      <c r="B60" s="49"/>
      <c r="C60" s="50" t="s">
        <v>53</v>
      </c>
      <c r="D60" s="51"/>
      <c r="E60" s="19"/>
      <c r="F60" s="66">
        <v>20.0</v>
      </c>
      <c r="G60" s="19"/>
      <c r="H60" s="66">
        <v>0.0</v>
      </c>
      <c r="I60" s="66">
        <v>4.0</v>
      </c>
      <c r="J60" s="66">
        <v>1.0</v>
      </c>
      <c r="K60" s="66">
        <v>0.0</v>
      </c>
      <c r="L60" s="66">
        <v>0.0</v>
      </c>
      <c r="M60" s="19"/>
      <c r="N60" s="66">
        <v>0.0</v>
      </c>
      <c r="O60" s="66">
        <v>9.0</v>
      </c>
      <c r="P60" s="19"/>
      <c r="Q60" s="66">
        <v>0.0</v>
      </c>
      <c r="R60" s="66">
        <v>5.0</v>
      </c>
      <c r="S60" s="66">
        <v>10.0</v>
      </c>
      <c r="T60" s="19"/>
      <c r="U60" s="19"/>
      <c r="V60" s="19"/>
      <c r="W60" s="13">
        <f t="shared" si="14"/>
        <v>49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V61" si="16">SUM(E54:E60)</f>
        <v>12</v>
      </c>
      <c r="F61" s="13">
        <f t="shared" si="16"/>
        <v>26</v>
      </c>
      <c r="G61" s="13">
        <f t="shared" si="16"/>
        <v>8</v>
      </c>
      <c r="H61" s="13">
        <f t="shared" si="16"/>
        <v>4</v>
      </c>
      <c r="I61" s="13">
        <f t="shared" si="16"/>
        <v>6</v>
      </c>
      <c r="J61" s="13">
        <f t="shared" si="16"/>
        <v>12</v>
      </c>
      <c r="K61" s="13">
        <f t="shared" si="16"/>
        <v>4</v>
      </c>
      <c r="L61" s="13">
        <f t="shared" si="16"/>
        <v>5</v>
      </c>
      <c r="M61" s="13">
        <f t="shared" si="16"/>
        <v>8</v>
      </c>
      <c r="N61" s="13">
        <f t="shared" si="16"/>
        <v>11</v>
      </c>
      <c r="O61" s="13">
        <f t="shared" si="16"/>
        <v>17</v>
      </c>
      <c r="P61" s="13">
        <f t="shared" si="16"/>
        <v>1</v>
      </c>
      <c r="Q61" s="13">
        <f t="shared" si="16"/>
        <v>4</v>
      </c>
      <c r="R61" s="13">
        <f t="shared" si="16"/>
        <v>14</v>
      </c>
      <c r="S61" s="13">
        <f t="shared" si="16"/>
        <v>32</v>
      </c>
      <c r="T61" s="13">
        <f t="shared" si="16"/>
        <v>0</v>
      </c>
      <c r="U61" s="13">
        <f t="shared" si="16"/>
        <v>0</v>
      </c>
      <c r="V61" s="13">
        <f t="shared" si="16"/>
        <v>0</v>
      </c>
      <c r="W61" s="13">
        <f t="shared" si="14"/>
        <v>164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13">
        <f t="shared" si="14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5.0</v>
      </c>
      <c r="F63" s="66">
        <v>6.0</v>
      </c>
      <c r="G63" s="66">
        <v>4.0</v>
      </c>
      <c r="H63" s="66">
        <v>2.0</v>
      </c>
      <c r="I63" s="66">
        <v>7.0</v>
      </c>
      <c r="J63" s="66">
        <v>3.0</v>
      </c>
      <c r="K63" s="66">
        <v>4.0</v>
      </c>
      <c r="L63" s="66">
        <v>9.0</v>
      </c>
      <c r="M63" s="66">
        <v>10.0</v>
      </c>
      <c r="N63" s="66">
        <v>16.0</v>
      </c>
      <c r="O63" s="66">
        <v>17.0</v>
      </c>
      <c r="P63" s="66">
        <v>13.0</v>
      </c>
      <c r="Q63" s="66">
        <v>4.0</v>
      </c>
      <c r="R63" s="66">
        <v>8.0</v>
      </c>
      <c r="S63" s="66">
        <v>5.0</v>
      </c>
      <c r="T63" s="19"/>
      <c r="U63" s="19"/>
      <c r="V63" s="19"/>
      <c r="W63" s="13">
        <f t="shared" si="14"/>
        <v>113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3.0</v>
      </c>
      <c r="F64" s="66">
        <v>5.0</v>
      </c>
      <c r="G64" s="66">
        <v>0.0</v>
      </c>
      <c r="H64" s="66">
        <v>1.0</v>
      </c>
      <c r="I64" s="66">
        <v>2.0</v>
      </c>
      <c r="J64" s="66">
        <v>0.0</v>
      </c>
      <c r="K64" s="66">
        <v>5.0</v>
      </c>
      <c r="L64" s="66">
        <v>25.0</v>
      </c>
      <c r="M64" s="66">
        <v>73.0</v>
      </c>
      <c r="N64" s="66">
        <v>8.0</v>
      </c>
      <c r="O64" s="66">
        <v>1.0</v>
      </c>
      <c r="P64" s="66">
        <v>1.0</v>
      </c>
      <c r="Q64" s="66">
        <v>3.0</v>
      </c>
      <c r="R64" s="66">
        <v>1.0</v>
      </c>
      <c r="S64" s="66">
        <v>0.0</v>
      </c>
      <c r="T64" s="19"/>
      <c r="U64" s="19"/>
      <c r="V64" s="19"/>
      <c r="W64" s="13">
        <f t="shared" si="14"/>
        <v>128</v>
      </c>
    </row>
    <row r="65" ht="12.75" customHeight="1">
      <c r="A65" s="18"/>
      <c r="B65" s="49"/>
      <c r="C65" s="50" t="s">
        <v>56</v>
      </c>
      <c r="D65" s="51"/>
      <c r="E65" s="66">
        <v>2.0</v>
      </c>
      <c r="F65" s="66">
        <v>2.0</v>
      </c>
      <c r="G65" s="66">
        <v>2.0</v>
      </c>
      <c r="H65" s="66">
        <v>0.0</v>
      </c>
      <c r="I65" s="19"/>
      <c r="J65" s="66">
        <v>1.0</v>
      </c>
      <c r="K65" s="66">
        <v>4.0</v>
      </c>
      <c r="L65" s="66">
        <v>1.0</v>
      </c>
      <c r="M65" s="66">
        <v>8.0</v>
      </c>
      <c r="N65" s="66">
        <v>1.0</v>
      </c>
      <c r="O65" s="66">
        <v>1.0</v>
      </c>
      <c r="P65" s="66">
        <v>1.0</v>
      </c>
      <c r="Q65" s="66">
        <v>3.0</v>
      </c>
      <c r="R65" s="66">
        <v>6.0</v>
      </c>
      <c r="S65" s="66">
        <v>0.0</v>
      </c>
      <c r="T65" s="19"/>
      <c r="U65" s="19"/>
      <c r="V65" s="19"/>
      <c r="W65" s="13">
        <f t="shared" si="14"/>
        <v>32</v>
      </c>
    </row>
    <row r="66" ht="12.75" customHeight="1">
      <c r="A66" s="18"/>
      <c r="B66" s="49"/>
      <c r="C66" s="50" t="s">
        <v>57</v>
      </c>
      <c r="D66" s="51"/>
      <c r="E66" s="66">
        <v>74.0</v>
      </c>
      <c r="F66" s="66">
        <v>52.0</v>
      </c>
      <c r="G66" s="66">
        <v>26.0</v>
      </c>
      <c r="H66" s="66">
        <v>32.0</v>
      </c>
      <c r="I66" s="66">
        <v>78.0</v>
      </c>
      <c r="J66" s="66">
        <v>5.0</v>
      </c>
      <c r="K66" s="66">
        <v>30.0</v>
      </c>
      <c r="L66" s="66">
        <v>58.0</v>
      </c>
      <c r="M66" s="66">
        <v>46.0</v>
      </c>
      <c r="N66" s="66">
        <v>73.0</v>
      </c>
      <c r="O66" s="66">
        <v>129.0</v>
      </c>
      <c r="P66" s="66">
        <v>134.0</v>
      </c>
      <c r="Q66" s="66">
        <v>73.0</v>
      </c>
      <c r="R66" s="66">
        <v>32.0</v>
      </c>
      <c r="S66" s="66">
        <v>10.0</v>
      </c>
      <c r="T66" s="19"/>
      <c r="U66" s="19"/>
      <c r="V66" s="19"/>
      <c r="W66" s="13">
        <f t="shared" si="14"/>
        <v>852</v>
      </c>
    </row>
    <row r="67" ht="12.75" customHeight="1">
      <c r="A67" s="18"/>
      <c r="B67" s="49"/>
      <c r="C67" s="50" t="s">
        <v>58</v>
      </c>
      <c r="D67" s="51"/>
      <c r="E67" s="66">
        <v>3.0</v>
      </c>
      <c r="F67" s="66">
        <v>12.0</v>
      </c>
      <c r="G67" s="66">
        <v>1.0</v>
      </c>
      <c r="H67" s="66">
        <v>0.0</v>
      </c>
      <c r="I67" s="19"/>
      <c r="J67" s="66">
        <v>1.0</v>
      </c>
      <c r="K67" s="66">
        <v>0.0</v>
      </c>
      <c r="L67" s="66">
        <v>0.0</v>
      </c>
      <c r="M67" s="66">
        <v>1.0</v>
      </c>
      <c r="N67" s="66">
        <v>0.0</v>
      </c>
      <c r="O67" s="66">
        <v>0.0</v>
      </c>
      <c r="P67" s="19"/>
      <c r="Q67" s="66">
        <v>0.0</v>
      </c>
      <c r="R67" s="66">
        <v>1.0</v>
      </c>
      <c r="S67" s="66">
        <v>0.0</v>
      </c>
      <c r="T67" s="19"/>
      <c r="U67" s="19"/>
      <c r="V67" s="19"/>
      <c r="W67" s="13">
        <f t="shared" si="14"/>
        <v>19</v>
      </c>
    </row>
    <row r="68" ht="12.75" customHeight="1">
      <c r="A68" s="18"/>
      <c r="B68" s="49"/>
      <c r="C68" s="50" t="s">
        <v>59</v>
      </c>
      <c r="D68" s="51"/>
      <c r="E68" s="19"/>
      <c r="F68" s="66">
        <v>0.0</v>
      </c>
      <c r="G68" s="19"/>
      <c r="H68" s="66">
        <v>0.0</v>
      </c>
      <c r="I68" s="19"/>
      <c r="J68" s="19"/>
      <c r="K68" s="66">
        <v>1.0</v>
      </c>
      <c r="L68" s="66">
        <v>0.0</v>
      </c>
      <c r="M68" s="19"/>
      <c r="N68" s="66">
        <v>0.0</v>
      </c>
      <c r="O68" s="19"/>
      <c r="P68" s="19"/>
      <c r="Q68" s="66">
        <v>0.0</v>
      </c>
      <c r="R68" s="66">
        <v>0.0</v>
      </c>
      <c r="S68" s="66">
        <v>0.0</v>
      </c>
      <c r="T68" s="19"/>
      <c r="U68" s="19"/>
      <c r="V68" s="19"/>
      <c r="W68" s="13">
        <f t="shared" si="14"/>
        <v>1</v>
      </c>
    </row>
    <row r="69" ht="12.75" customHeight="1">
      <c r="A69" s="18"/>
      <c r="B69" s="49"/>
      <c r="C69" s="50" t="s">
        <v>60</v>
      </c>
      <c r="D69" s="51"/>
      <c r="E69" s="19"/>
      <c r="F69" s="19"/>
      <c r="G69" s="19"/>
      <c r="H69" s="66">
        <v>0.0</v>
      </c>
      <c r="I69" s="19"/>
      <c r="J69" s="66">
        <v>1.0</v>
      </c>
      <c r="K69" s="66">
        <v>0.0</v>
      </c>
      <c r="L69" s="66">
        <v>0.0</v>
      </c>
      <c r="M69" s="19"/>
      <c r="N69" s="66">
        <v>0.0</v>
      </c>
      <c r="O69" s="19"/>
      <c r="P69" s="19"/>
      <c r="Q69" s="66">
        <v>0.0</v>
      </c>
      <c r="R69" s="66">
        <v>0.0</v>
      </c>
      <c r="S69" s="66">
        <v>0.0</v>
      </c>
      <c r="T69" s="19"/>
      <c r="U69" s="19"/>
      <c r="V69" s="19"/>
      <c r="W69" s="13">
        <f t="shared" si="14"/>
        <v>1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V70" si="17">SUM(E63:E69)</f>
        <v>87</v>
      </c>
      <c r="F70" s="13">
        <f t="shared" si="17"/>
        <v>77</v>
      </c>
      <c r="G70" s="13">
        <f t="shared" si="17"/>
        <v>33</v>
      </c>
      <c r="H70" s="13">
        <f t="shared" si="17"/>
        <v>35</v>
      </c>
      <c r="I70" s="13">
        <f t="shared" si="17"/>
        <v>87</v>
      </c>
      <c r="J70" s="13">
        <f t="shared" si="17"/>
        <v>11</v>
      </c>
      <c r="K70" s="13">
        <f t="shared" si="17"/>
        <v>44</v>
      </c>
      <c r="L70" s="13">
        <f t="shared" si="17"/>
        <v>93</v>
      </c>
      <c r="M70" s="13">
        <f t="shared" si="17"/>
        <v>138</v>
      </c>
      <c r="N70" s="13">
        <f t="shared" si="17"/>
        <v>98</v>
      </c>
      <c r="O70" s="13">
        <f t="shared" si="17"/>
        <v>148</v>
      </c>
      <c r="P70" s="13">
        <f t="shared" si="17"/>
        <v>149</v>
      </c>
      <c r="Q70" s="13">
        <f t="shared" si="17"/>
        <v>83</v>
      </c>
      <c r="R70" s="13">
        <f t="shared" si="17"/>
        <v>48</v>
      </c>
      <c r="S70" s="13">
        <f t="shared" si="17"/>
        <v>15</v>
      </c>
      <c r="T70" s="13">
        <f t="shared" si="17"/>
        <v>0</v>
      </c>
      <c r="U70" s="13">
        <f t="shared" si="17"/>
        <v>0</v>
      </c>
      <c r="V70" s="13">
        <f t="shared" si="17"/>
        <v>0</v>
      </c>
      <c r="W70" s="13">
        <f t="shared" si="14"/>
        <v>1146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13">
        <f t="shared" si="14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19"/>
      <c r="F72" s="66">
        <v>2.0</v>
      </c>
      <c r="G72" s="66">
        <v>2.0</v>
      </c>
      <c r="H72" s="66">
        <v>1.0</v>
      </c>
      <c r="I72" s="66">
        <v>1.0</v>
      </c>
      <c r="J72" s="66">
        <v>0.0</v>
      </c>
      <c r="K72" s="66">
        <v>0.0</v>
      </c>
      <c r="L72" s="66">
        <v>1.0</v>
      </c>
      <c r="M72" s="66">
        <v>1.0</v>
      </c>
      <c r="N72" s="66">
        <v>0.0</v>
      </c>
      <c r="O72" s="66">
        <v>0.0</v>
      </c>
      <c r="P72" s="19"/>
      <c r="Q72" s="66">
        <v>0.0</v>
      </c>
      <c r="R72" s="66">
        <v>0.0</v>
      </c>
      <c r="S72" s="66">
        <v>1.0</v>
      </c>
      <c r="T72" s="19"/>
      <c r="U72" s="19"/>
      <c r="V72" s="19"/>
      <c r="W72" s="13">
        <f t="shared" si="14"/>
        <v>9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3.0</v>
      </c>
      <c r="F73" s="66">
        <v>1.0</v>
      </c>
      <c r="G73" s="66">
        <v>1.0</v>
      </c>
      <c r="H73" s="66">
        <v>0.0</v>
      </c>
      <c r="I73" s="66">
        <v>1.0</v>
      </c>
      <c r="J73" s="19"/>
      <c r="K73" s="66">
        <v>1.0</v>
      </c>
      <c r="L73" s="66">
        <v>3.0</v>
      </c>
      <c r="M73" s="66">
        <v>1.0</v>
      </c>
      <c r="N73" s="66">
        <v>1.0</v>
      </c>
      <c r="O73" s="66">
        <v>1.0</v>
      </c>
      <c r="P73" s="19"/>
      <c r="Q73" s="66">
        <v>4.0</v>
      </c>
      <c r="R73" s="66">
        <v>2.0</v>
      </c>
      <c r="S73" s="66">
        <v>5.0</v>
      </c>
      <c r="T73" s="19"/>
      <c r="U73" s="19"/>
      <c r="V73" s="19"/>
      <c r="W73" s="13">
        <f t="shared" si="14"/>
        <v>24</v>
      </c>
    </row>
    <row r="74" ht="12.75" customHeight="1">
      <c r="A74" s="18"/>
      <c r="B74" s="49"/>
      <c r="C74" s="50" t="s">
        <v>63</v>
      </c>
      <c r="D74" s="51"/>
      <c r="E74" s="19"/>
      <c r="F74" s="66">
        <v>1.0</v>
      </c>
      <c r="G74" s="19"/>
      <c r="H74" s="66">
        <v>0.0</v>
      </c>
      <c r="I74" s="19"/>
      <c r="J74" s="19"/>
      <c r="K74" s="66">
        <v>0.0</v>
      </c>
      <c r="L74" s="66">
        <v>1.0</v>
      </c>
      <c r="M74" s="19"/>
      <c r="N74" s="66">
        <v>0.0</v>
      </c>
      <c r="O74" s="19"/>
      <c r="P74" s="19"/>
      <c r="Q74" s="66">
        <v>0.0</v>
      </c>
      <c r="R74" s="66">
        <v>0.0</v>
      </c>
      <c r="S74" s="66">
        <v>0.0</v>
      </c>
      <c r="T74" s="19"/>
      <c r="U74" s="19"/>
      <c r="V74" s="19"/>
      <c r="W74" s="13">
        <f t="shared" si="14"/>
        <v>2</v>
      </c>
    </row>
    <row r="75" ht="12.75" customHeight="1">
      <c r="A75" s="18"/>
      <c r="B75" s="49"/>
      <c r="C75" s="50" t="s">
        <v>64</v>
      </c>
      <c r="D75" s="51"/>
      <c r="E75" s="19"/>
      <c r="F75" s="66">
        <v>2.0</v>
      </c>
      <c r="G75" s="19"/>
      <c r="H75" s="66">
        <v>0.0</v>
      </c>
      <c r="I75" s="19"/>
      <c r="J75" s="19"/>
      <c r="K75" s="66">
        <v>0.0</v>
      </c>
      <c r="L75" s="66">
        <v>0.0</v>
      </c>
      <c r="M75" s="19"/>
      <c r="N75" s="66">
        <v>0.0</v>
      </c>
      <c r="O75" s="19"/>
      <c r="P75" s="19"/>
      <c r="Q75" s="66">
        <v>0.0</v>
      </c>
      <c r="R75" s="66">
        <v>1.0</v>
      </c>
      <c r="S75" s="66">
        <v>0.0</v>
      </c>
      <c r="T75" s="19"/>
      <c r="U75" s="19"/>
      <c r="V75" s="19"/>
      <c r="W75" s="13">
        <f t="shared" si="14"/>
        <v>3</v>
      </c>
    </row>
    <row r="76" ht="12.75" customHeight="1">
      <c r="A76" s="18"/>
      <c r="B76" s="49"/>
      <c r="C76" s="50" t="s">
        <v>65</v>
      </c>
      <c r="D76" s="51"/>
      <c r="E76" s="19"/>
      <c r="F76" s="19"/>
      <c r="G76" s="19"/>
      <c r="H76" s="66">
        <v>1.0</v>
      </c>
      <c r="I76" s="19"/>
      <c r="J76" s="19"/>
      <c r="K76" s="66">
        <v>0.0</v>
      </c>
      <c r="L76" s="66">
        <v>0.0</v>
      </c>
      <c r="M76" s="19"/>
      <c r="N76" s="66">
        <v>0.0</v>
      </c>
      <c r="O76" s="66">
        <v>1.0</v>
      </c>
      <c r="P76" s="19"/>
      <c r="Q76" s="66">
        <v>0.0</v>
      </c>
      <c r="R76" s="66">
        <v>0.0</v>
      </c>
      <c r="S76" s="66">
        <v>0.0</v>
      </c>
      <c r="T76" s="19"/>
      <c r="U76" s="19"/>
      <c r="V76" s="19"/>
      <c r="W76" s="13">
        <f t="shared" si="14"/>
        <v>2</v>
      </c>
    </row>
    <row r="77" ht="12.75" customHeight="1">
      <c r="A77" s="18"/>
      <c r="B77" s="49"/>
      <c r="C77" s="50" t="s">
        <v>66</v>
      </c>
      <c r="D77" s="51"/>
      <c r="E77" s="19"/>
      <c r="F77" s="19"/>
      <c r="G77" s="19"/>
      <c r="H77" s="66">
        <v>0.0</v>
      </c>
      <c r="I77" s="19"/>
      <c r="J77" s="19"/>
      <c r="K77" s="66">
        <v>0.0</v>
      </c>
      <c r="L77" s="66">
        <v>0.0</v>
      </c>
      <c r="M77" s="19"/>
      <c r="N77" s="66">
        <v>0.0</v>
      </c>
      <c r="O77" s="19"/>
      <c r="P77" s="19"/>
      <c r="Q77" s="66">
        <v>0.0</v>
      </c>
      <c r="R77" s="66">
        <v>0.0</v>
      </c>
      <c r="S77" s="66">
        <v>0.0</v>
      </c>
      <c r="T77" s="19"/>
      <c r="U77" s="19"/>
      <c r="V77" s="19"/>
      <c r="W77" s="13">
        <f t="shared" si="14"/>
        <v>0</v>
      </c>
    </row>
    <row r="78" ht="12.75" customHeight="1">
      <c r="A78" s="18"/>
      <c r="B78" s="49"/>
      <c r="C78" s="50" t="s">
        <v>67</v>
      </c>
      <c r="D78" s="51"/>
      <c r="E78" s="19"/>
      <c r="F78" s="19"/>
      <c r="G78" s="19"/>
      <c r="H78" s="66">
        <v>3.0</v>
      </c>
      <c r="I78" s="66">
        <v>1.0</v>
      </c>
      <c r="J78" s="19"/>
      <c r="K78" s="66">
        <v>1.0</v>
      </c>
      <c r="L78" s="66">
        <v>1.0</v>
      </c>
      <c r="M78" s="66">
        <v>1.0</v>
      </c>
      <c r="N78" s="66">
        <v>1.0</v>
      </c>
      <c r="O78" s="19"/>
      <c r="P78" s="19"/>
      <c r="Q78" s="66">
        <v>0.0</v>
      </c>
      <c r="R78" s="66">
        <v>0.0</v>
      </c>
      <c r="S78" s="66">
        <v>0.0</v>
      </c>
      <c r="T78" s="19"/>
      <c r="U78" s="19"/>
      <c r="V78" s="19"/>
      <c r="W78" s="13">
        <f t="shared" si="14"/>
        <v>8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V79" si="18">SUM(E72:E78)</f>
        <v>3</v>
      </c>
      <c r="F79" s="13">
        <f t="shared" si="18"/>
        <v>6</v>
      </c>
      <c r="G79" s="13">
        <f t="shared" si="18"/>
        <v>3</v>
      </c>
      <c r="H79" s="13">
        <f t="shared" si="18"/>
        <v>5</v>
      </c>
      <c r="I79" s="13">
        <f t="shared" si="18"/>
        <v>3</v>
      </c>
      <c r="J79" s="13">
        <f t="shared" si="18"/>
        <v>0</v>
      </c>
      <c r="K79" s="13">
        <f t="shared" si="18"/>
        <v>2</v>
      </c>
      <c r="L79" s="13">
        <f t="shared" si="18"/>
        <v>6</v>
      </c>
      <c r="M79" s="13">
        <f t="shared" si="18"/>
        <v>3</v>
      </c>
      <c r="N79" s="13">
        <f t="shared" si="18"/>
        <v>2</v>
      </c>
      <c r="O79" s="13">
        <f t="shared" si="18"/>
        <v>2</v>
      </c>
      <c r="P79" s="13">
        <f t="shared" si="18"/>
        <v>0</v>
      </c>
      <c r="Q79" s="13">
        <f t="shared" si="18"/>
        <v>4</v>
      </c>
      <c r="R79" s="13">
        <f t="shared" si="18"/>
        <v>3</v>
      </c>
      <c r="S79" s="13">
        <f t="shared" si="18"/>
        <v>6</v>
      </c>
      <c r="T79" s="13">
        <f t="shared" si="18"/>
        <v>0</v>
      </c>
      <c r="U79" s="13">
        <f t="shared" si="18"/>
        <v>0</v>
      </c>
      <c r="V79" s="13">
        <f t="shared" si="18"/>
        <v>0</v>
      </c>
      <c r="W79" s="13">
        <f t="shared" si="14"/>
        <v>48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13">
        <f t="shared" si="14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4.0</v>
      </c>
      <c r="F81" s="66">
        <v>2.0</v>
      </c>
      <c r="G81" s="66">
        <v>1.0</v>
      </c>
      <c r="H81" s="66">
        <v>1.0</v>
      </c>
      <c r="I81" s="66">
        <v>0.0</v>
      </c>
      <c r="J81" s="66">
        <v>3.0</v>
      </c>
      <c r="K81" s="66">
        <v>1.0</v>
      </c>
      <c r="L81" s="66">
        <v>0.0</v>
      </c>
      <c r="M81" s="19"/>
      <c r="N81" s="19"/>
      <c r="O81" s="19"/>
      <c r="P81" s="66">
        <v>1.0</v>
      </c>
      <c r="Q81" s="66">
        <v>0.0</v>
      </c>
      <c r="R81" s="66">
        <v>2.0</v>
      </c>
      <c r="S81" s="66">
        <v>1.0</v>
      </c>
      <c r="T81" s="19"/>
      <c r="U81" s="19"/>
      <c r="V81" s="19"/>
      <c r="W81" s="13">
        <f t="shared" si="14"/>
        <v>16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1.0</v>
      </c>
      <c r="F82" s="66">
        <v>0.0</v>
      </c>
      <c r="G82" s="66">
        <v>0.0</v>
      </c>
      <c r="H82" s="66">
        <v>0.0</v>
      </c>
      <c r="I82" s="19"/>
      <c r="J82" s="19"/>
      <c r="K82" s="66">
        <v>0.0</v>
      </c>
      <c r="L82" s="66">
        <v>0.0</v>
      </c>
      <c r="M82" s="19"/>
      <c r="N82" s="19"/>
      <c r="O82" s="19"/>
      <c r="P82" s="66">
        <v>1.0</v>
      </c>
      <c r="Q82" s="66">
        <v>1.0</v>
      </c>
      <c r="R82" s="66">
        <v>0.0</v>
      </c>
      <c r="S82" s="66">
        <v>0.0</v>
      </c>
      <c r="T82" s="19"/>
      <c r="U82" s="19"/>
      <c r="V82" s="19"/>
      <c r="W82" s="13">
        <f t="shared" si="14"/>
        <v>3</v>
      </c>
    </row>
    <row r="83" ht="12.75" customHeight="1">
      <c r="A83" s="18"/>
      <c r="B83" s="49"/>
      <c r="C83" s="50" t="s">
        <v>71</v>
      </c>
      <c r="D83" s="51"/>
      <c r="E83" s="66">
        <v>61.0</v>
      </c>
      <c r="F83" s="66">
        <v>19.0</v>
      </c>
      <c r="G83" s="66">
        <v>1.0</v>
      </c>
      <c r="H83" s="66">
        <v>1.0</v>
      </c>
      <c r="I83" s="66">
        <v>3.0</v>
      </c>
      <c r="J83" s="66">
        <v>18.0</v>
      </c>
      <c r="K83" s="66">
        <v>15.0</v>
      </c>
      <c r="L83" s="66">
        <v>1.0</v>
      </c>
      <c r="M83" s="19"/>
      <c r="N83" s="66">
        <v>2.0</v>
      </c>
      <c r="O83" s="66">
        <v>43.0</v>
      </c>
      <c r="P83" s="66">
        <v>30.0</v>
      </c>
      <c r="Q83" s="66">
        <v>39.0</v>
      </c>
      <c r="R83" s="66">
        <v>28.0</v>
      </c>
      <c r="S83" s="66">
        <v>18.0</v>
      </c>
      <c r="T83" s="19"/>
      <c r="U83" s="19"/>
      <c r="V83" s="19"/>
      <c r="W83" s="13">
        <f t="shared" si="14"/>
        <v>279</v>
      </c>
    </row>
    <row r="84" ht="12.75" customHeight="1">
      <c r="A84" s="18"/>
      <c r="B84" s="49"/>
      <c r="C84" s="50" t="s">
        <v>72</v>
      </c>
      <c r="D84" s="51"/>
      <c r="E84" s="66">
        <v>1.0</v>
      </c>
      <c r="F84" s="19"/>
      <c r="G84" s="19"/>
      <c r="H84" s="66">
        <v>0.0</v>
      </c>
      <c r="I84" s="19"/>
      <c r="J84" s="19"/>
      <c r="K84" s="66">
        <v>0.0</v>
      </c>
      <c r="L84" s="66">
        <v>0.0</v>
      </c>
      <c r="M84" s="19"/>
      <c r="N84" s="19"/>
      <c r="O84" s="19"/>
      <c r="P84" s="66">
        <v>1.0</v>
      </c>
      <c r="Q84" s="66">
        <v>0.0</v>
      </c>
      <c r="R84" s="66">
        <v>0.0</v>
      </c>
      <c r="S84" s="66">
        <v>0.0</v>
      </c>
      <c r="T84" s="19"/>
      <c r="U84" s="19"/>
      <c r="V84" s="19"/>
      <c r="W84" s="13">
        <f t="shared" si="14"/>
        <v>2</v>
      </c>
    </row>
    <row r="85" ht="12.75" customHeight="1">
      <c r="A85" s="18"/>
      <c r="B85" s="49"/>
      <c r="C85" s="50" t="s">
        <v>73</v>
      </c>
      <c r="D85" s="51"/>
      <c r="E85" s="19"/>
      <c r="F85" s="19"/>
      <c r="G85" s="19"/>
      <c r="H85" s="66">
        <v>0.0</v>
      </c>
      <c r="I85" s="19"/>
      <c r="J85" s="19"/>
      <c r="K85" s="66">
        <v>0.0</v>
      </c>
      <c r="L85" s="66">
        <v>0.0</v>
      </c>
      <c r="M85" s="19"/>
      <c r="N85" s="19"/>
      <c r="O85" s="19"/>
      <c r="P85" s="19"/>
      <c r="Q85" s="66">
        <v>0.0</v>
      </c>
      <c r="R85" s="66">
        <v>0.0</v>
      </c>
      <c r="S85" s="66">
        <v>0.0</v>
      </c>
      <c r="T85" s="19"/>
      <c r="U85" s="19"/>
      <c r="V85" s="19"/>
      <c r="W85" s="13">
        <f t="shared" si="14"/>
        <v>0</v>
      </c>
    </row>
    <row r="86" ht="12.75" customHeight="1">
      <c r="A86" s="18"/>
      <c r="B86" s="49"/>
      <c r="C86" s="50" t="s">
        <v>74</v>
      </c>
      <c r="D86" s="51"/>
      <c r="E86" s="19"/>
      <c r="F86" s="19"/>
      <c r="G86" s="19"/>
      <c r="H86" s="66">
        <v>0.0</v>
      </c>
      <c r="I86" s="19"/>
      <c r="J86" s="19"/>
      <c r="K86" s="66">
        <v>0.0</v>
      </c>
      <c r="L86" s="66">
        <v>0.0</v>
      </c>
      <c r="M86" s="19"/>
      <c r="N86" s="19"/>
      <c r="O86" s="19"/>
      <c r="P86" s="19"/>
      <c r="Q86" s="66">
        <v>0.0</v>
      </c>
      <c r="R86" s="66">
        <v>0.0</v>
      </c>
      <c r="S86" s="66">
        <v>0.0</v>
      </c>
      <c r="T86" s="19"/>
      <c r="U86" s="19"/>
      <c r="V86" s="19"/>
      <c r="W86" s="13">
        <f t="shared" si="14"/>
        <v>0</v>
      </c>
    </row>
    <row r="87" ht="12.75" customHeight="1">
      <c r="A87" s="18"/>
      <c r="B87" s="49"/>
      <c r="C87" s="50" t="s">
        <v>75</v>
      </c>
      <c r="D87" s="51"/>
      <c r="E87" s="19"/>
      <c r="F87" s="19"/>
      <c r="G87" s="19"/>
      <c r="H87" s="66">
        <v>0.0</v>
      </c>
      <c r="I87" s="19"/>
      <c r="J87" s="19"/>
      <c r="K87" s="66">
        <v>0.0</v>
      </c>
      <c r="L87" s="66">
        <v>0.0</v>
      </c>
      <c r="M87" s="19"/>
      <c r="N87" s="19"/>
      <c r="O87" s="19"/>
      <c r="P87" s="19"/>
      <c r="Q87" s="66">
        <v>0.0</v>
      </c>
      <c r="R87" s="66">
        <v>0.0</v>
      </c>
      <c r="S87" s="66">
        <v>0.0</v>
      </c>
      <c r="T87" s="19"/>
      <c r="U87" s="19"/>
      <c r="V87" s="19"/>
      <c r="W87" s="13">
        <f t="shared" si="14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V88" si="19">SUM(E81:E87)</f>
        <v>67</v>
      </c>
      <c r="F88" s="13">
        <f t="shared" si="19"/>
        <v>21</v>
      </c>
      <c r="G88" s="13">
        <f t="shared" si="19"/>
        <v>2</v>
      </c>
      <c r="H88" s="13">
        <f t="shared" si="19"/>
        <v>2</v>
      </c>
      <c r="I88" s="13">
        <f t="shared" si="19"/>
        <v>3</v>
      </c>
      <c r="J88" s="13">
        <f t="shared" si="19"/>
        <v>21</v>
      </c>
      <c r="K88" s="13">
        <f t="shared" si="19"/>
        <v>16</v>
      </c>
      <c r="L88" s="13">
        <f t="shared" si="19"/>
        <v>1</v>
      </c>
      <c r="M88" s="13">
        <f t="shared" si="19"/>
        <v>0</v>
      </c>
      <c r="N88" s="13">
        <f t="shared" si="19"/>
        <v>2</v>
      </c>
      <c r="O88" s="13">
        <f t="shared" si="19"/>
        <v>43</v>
      </c>
      <c r="P88" s="13">
        <f t="shared" si="19"/>
        <v>33</v>
      </c>
      <c r="Q88" s="13">
        <f t="shared" si="19"/>
        <v>40</v>
      </c>
      <c r="R88" s="13">
        <f t="shared" si="19"/>
        <v>30</v>
      </c>
      <c r="S88" s="13">
        <f t="shared" si="19"/>
        <v>19</v>
      </c>
      <c r="T88" s="13">
        <f t="shared" si="19"/>
        <v>0</v>
      </c>
      <c r="U88" s="13">
        <f t="shared" si="19"/>
        <v>0</v>
      </c>
      <c r="V88" s="13">
        <f t="shared" si="19"/>
        <v>0</v>
      </c>
      <c r="W88" s="13">
        <f t="shared" si="14"/>
        <v>300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13">
        <f t="shared" si="14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19"/>
      <c r="F90" s="19"/>
      <c r="G90" s="19"/>
      <c r="H90" s="66">
        <v>0.0</v>
      </c>
      <c r="I90" s="19"/>
      <c r="J90" s="19"/>
      <c r="K90" s="66">
        <v>1.0</v>
      </c>
      <c r="L90" s="66">
        <v>0.0</v>
      </c>
      <c r="M90" s="19"/>
      <c r="N90" s="66">
        <v>0.0</v>
      </c>
      <c r="O90" s="19"/>
      <c r="P90" s="19"/>
      <c r="Q90" s="66">
        <v>0.0</v>
      </c>
      <c r="R90" s="19"/>
      <c r="S90" s="66">
        <v>0.0</v>
      </c>
      <c r="T90" s="19"/>
      <c r="U90" s="19"/>
      <c r="V90" s="19"/>
      <c r="W90" s="13">
        <f t="shared" si="14"/>
        <v>1</v>
      </c>
    </row>
    <row r="91" ht="12.75" customHeight="1">
      <c r="A91" s="30" t="s">
        <v>39</v>
      </c>
      <c r="B91" s="49"/>
      <c r="C91" s="50" t="s">
        <v>78</v>
      </c>
      <c r="D91" s="16"/>
      <c r="E91" s="19"/>
      <c r="F91" s="19"/>
      <c r="G91" s="19"/>
      <c r="H91" s="66">
        <v>0.0</v>
      </c>
      <c r="I91" s="19"/>
      <c r="J91" s="19"/>
      <c r="K91" s="66">
        <v>1.0</v>
      </c>
      <c r="L91" s="66">
        <v>0.0</v>
      </c>
      <c r="M91" s="19"/>
      <c r="N91" s="66">
        <v>0.0</v>
      </c>
      <c r="O91" s="19"/>
      <c r="P91" s="19"/>
      <c r="Q91" s="66">
        <v>0.0</v>
      </c>
      <c r="R91" s="19"/>
      <c r="S91" s="66">
        <v>0.0</v>
      </c>
      <c r="T91" s="19"/>
      <c r="U91" s="19"/>
      <c r="V91" s="19"/>
      <c r="W91" s="13">
        <f t="shared" si="14"/>
        <v>1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V92" si="20">SUM(E90:E91)</f>
        <v>0</v>
      </c>
      <c r="F92" s="58">
        <f t="shared" si="20"/>
        <v>0</v>
      </c>
      <c r="G92" s="58">
        <f t="shared" si="20"/>
        <v>0</v>
      </c>
      <c r="H92" s="58">
        <f t="shared" si="20"/>
        <v>0</v>
      </c>
      <c r="I92" s="58">
        <f t="shared" si="20"/>
        <v>0</v>
      </c>
      <c r="J92" s="58">
        <f t="shared" si="20"/>
        <v>0</v>
      </c>
      <c r="K92" s="58">
        <f t="shared" si="20"/>
        <v>2</v>
      </c>
      <c r="L92" s="58">
        <f t="shared" si="20"/>
        <v>0</v>
      </c>
      <c r="M92" s="58">
        <f t="shared" si="20"/>
        <v>0</v>
      </c>
      <c r="N92" s="58">
        <f t="shared" si="20"/>
        <v>0</v>
      </c>
      <c r="O92" s="58">
        <f t="shared" si="20"/>
        <v>0</v>
      </c>
      <c r="P92" s="58">
        <f t="shared" si="20"/>
        <v>0</v>
      </c>
      <c r="Q92" s="58">
        <f t="shared" si="20"/>
        <v>0</v>
      </c>
      <c r="R92" s="58">
        <f t="shared" si="20"/>
        <v>0</v>
      </c>
      <c r="S92" s="58">
        <f t="shared" si="20"/>
        <v>0</v>
      </c>
      <c r="T92" s="58">
        <f t="shared" si="20"/>
        <v>0</v>
      </c>
      <c r="U92" s="58">
        <f t="shared" si="20"/>
        <v>0</v>
      </c>
      <c r="V92" s="58">
        <f t="shared" si="20"/>
        <v>0</v>
      </c>
      <c r="W92" s="13">
        <f t="shared" si="14"/>
        <v>2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13">
        <f t="shared" si="14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66">
        <v>1.0</v>
      </c>
      <c r="F94" s="19"/>
      <c r="G94" s="66">
        <v>2.0</v>
      </c>
      <c r="H94" s="66">
        <v>0.0</v>
      </c>
      <c r="I94" s="19"/>
      <c r="J94" s="19"/>
      <c r="K94" s="66">
        <v>0.0</v>
      </c>
      <c r="L94" s="66">
        <v>0.0</v>
      </c>
      <c r="M94" s="19"/>
      <c r="N94" s="19"/>
      <c r="O94" s="19"/>
      <c r="P94" s="19"/>
      <c r="Q94" s="66">
        <v>3.0</v>
      </c>
      <c r="R94" s="19"/>
      <c r="S94" s="66">
        <v>0.0</v>
      </c>
      <c r="T94" s="19"/>
      <c r="U94" s="19"/>
      <c r="V94" s="19"/>
      <c r="W94" s="13">
        <f t="shared" si="14"/>
        <v>6</v>
      </c>
    </row>
    <row r="95" ht="12.75" customHeight="1">
      <c r="A95" s="30" t="s">
        <v>39</v>
      </c>
      <c r="B95" s="49"/>
      <c r="C95" s="50" t="s">
        <v>81</v>
      </c>
      <c r="D95" s="51"/>
      <c r="E95" s="19"/>
      <c r="F95" s="19"/>
      <c r="G95" s="19"/>
      <c r="H95" s="66">
        <v>0.0</v>
      </c>
      <c r="I95" s="19"/>
      <c r="J95" s="19"/>
      <c r="K95" s="66">
        <v>0.0</v>
      </c>
      <c r="L95" s="66">
        <v>0.0</v>
      </c>
      <c r="M95" s="19"/>
      <c r="N95" s="66">
        <v>1.0</v>
      </c>
      <c r="O95" s="19"/>
      <c r="P95" s="19"/>
      <c r="Q95" s="66">
        <v>0.0</v>
      </c>
      <c r="R95" s="19"/>
      <c r="S95" s="66">
        <v>1.0</v>
      </c>
      <c r="T95" s="19"/>
      <c r="U95" s="19"/>
      <c r="V95" s="19"/>
      <c r="W95" s="13">
        <f t="shared" si="14"/>
        <v>2</v>
      </c>
    </row>
    <row r="96" ht="12.75" customHeight="1">
      <c r="A96" s="30"/>
      <c r="B96" s="49"/>
      <c r="C96" s="50" t="s">
        <v>82</v>
      </c>
      <c r="D96" s="51"/>
      <c r="E96" s="66">
        <v>1.0</v>
      </c>
      <c r="F96" s="19"/>
      <c r="G96" s="19"/>
      <c r="H96" s="66">
        <v>0.0</v>
      </c>
      <c r="I96" s="66">
        <v>2.0</v>
      </c>
      <c r="J96" s="66">
        <v>1.0</v>
      </c>
      <c r="K96" s="66">
        <v>0.0</v>
      </c>
      <c r="L96" s="66">
        <v>0.0</v>
      </c>
      <c r="M96" s="19"/>
      <c r="N96" s="19"/>
      <c r="O96" s="19"/>
      <c r="P96" s="19"/>
      <c r="Q96" s="66">
        <v>0.0</v>
      </c>
      <c r="R96" s="19"/>
      <c r="S96" s="66">
        <v>0.0</v>
      </c>
      <c r="T96" s="19"/>
      <c r="U96" s="19"/>
      <c r="V96" s="19"/>
      <c r="W96" s="13">
        <f t="shared" si="14"/>
        <v>4</v>
      </c>
    </row>
    <row r="97" ht="12.75" customHeight="1">
      <c r="A97" s="30"/>
      <c r="B97" s="49"/>
      <c r="C97" s="50" t="s">
        <v>83</v>
      </c>
      <c r="D97" s="51"/>
      <c r="E97" s="19"/>
      <c r="F97" s="19"/>
      <c r="G97" s="19"/>
      <c r="H97" s="66">
        <v>0.0</v>
      </c>
      <c r="I97" s="19"/>
      <c r="J97" s="19"/>
      <c r="K97" s="66">
        <v>0.0</v>
      </c>
      <c r="L97" s="66">
        <v>0.0</v>
      </c>
      <c r="M97" s="19"/>
      <c r="N97" s="19"/>
      <c r="O97" s="19"/>
      <c r="P97" s="19"/>
      <c r="Q97" s="66">
        <v>0.0</v>
      </c>
      <c r="R97" s="19"/>
      <c r="S97" s="66">
        <v>0.0</v>
      </c>
      <c r="T97" s="19"/>
      <c r="U97" s="19"/>
      <c r="V97" s="19"/>
      <c r="W97" s="13">
        <f t="shared" si="14"/>
        <v>0</v>
      </c>
    </row>
    <row r="98" ht="12.75" customHeight="1">
      <c r="A98" s="30"/>
      <c r="B98" s="49"/>
      <c r="C98" s="50" t="s">
        <v>84</v>
      </c>
      <c r="D98" s="51"/>
      <c r="E98" s="19"/>
      <c r="F98" s="19"/>
      <c r="G98" s="19"/>
      <c r="H98" s="66">
        <v>0.0</v>
      </c>
      <c r="I98" s="19"/>
      <c r="J98" s="19"/>
      <c r="K98" s="66">
        <v>0.0</v>
      </c>
      <c r="L98" s="66">
        <v>0.0</v>
      </c>
      <c r="M98" s="19"/>
      <c r="N98" s="19"/>
      <c r="O98" s="19"/>
      <c r="P98" s="19"/>
      <c r="Q98" s="66">
        <v>0.0</v>
      </c>
      <c r="R98" s="19"/>
      <c r="S98" s="66">
        <v>0.0</v>
      </c>
      <c r="T98" s="19"/>
      <c r="U98" s="19"/>
      <c r="V98" s="19"/>
      <c r="W98" s="13">
        <f t="shared" si="14"/>
        <v>0</v>
      </c>
    </row>
    <row r="99" ht="12.75" customHeight="1">
      <c r="A99" s="30"/>
      <c r="B99" s="49"/>
      <c r="C99" s="50" t="s">
        <v>85</v>
      </c>
      <c r="D99" s="51"/>
      <c r="E99" s="19"/>
      <c r="F99" s="19"/>
      <c r="G99" s="19"/>
      <c r="H99" s="66">
        <v>0.0</v>
      </c>
      <c r="I99" s="19"/>
      <c r="J99" s="19"/>
      <c r="K99" s="66">
        <v>0.0</v>
      </c>
      <c r="L99" s="66">
        <v>0.0</v>
      </c>
      <c r="M99" s="19"/>
      <c r="N99" s="19"/>
      <c r="O99" s="19"/>
      <c r="P99" s="19"/>
      <c r="Q99" s="66">
        <v>0.0</v>
      </c>
      <c r="R99" s="19"/>
      <c r="S99" s="66">
        <v>0.0</v>
      </c>
      <c r="T99" s="19"/>
      <c r="U99" s="19"/>
      <c r="V99" s="19"/>
      <c r="W99" s="13">
        <f t="shared" si="14"/>
        <v>0</v>
      </c>
    </row>
    <row r="100" ht="12.75" customHeight="1">
      <c r="A100" s="30"/>
      <c r="B100" s="49"/>
      <c r="C100" s="50" t="s">
        <v>86</v>
      </c>
      <c r="D100" s="51"/>
      <c r="E100" s="66">
        <v>0.0</v>
      </c>
      <c r="F100" s="66">
        <v>1.0</v>
      </c>
      <c r="G100" s="19"/>
      <c r="H100" s="66">
        <v>0.0</v>
      </c>
      <c r="I100" s="19"/>
      <c r="J100" s="19"/>
      <c r="K100" s="66">
        <v>0.0</v>
      </c>
      <c r="L100" s="66">
        <v>0.0</v>
      </c>
      <c r="M100" s="19"/>
      <c r="N100" s="19"/>
      <c r="O100" s="19"/>
      <c r="P100" s="19"/>
      <c r="Q100" s="66">
        <v>0.0</v>
      </c>
      <c r="R100" s="19"/>
      <c r="S100" s="66">
        <v>0.0</v>
      </c>
      <c r="T100" s="19"/>
      <c r="U100" s="19"/>
      <c r="V100" s="19"/>
      <c r="W100" s="13">
        <f t="shared" si="14"/>
        <v>1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V101" si="21">SUM(E94:E100)</f>
        <v>2</v>
      </c>
      <c r="F101" s="13">
        <f t="shared" si="21"/>
        <v>1</v>
      </c>
      <c r="G101" s="13">
        <f t="shared" si="21"/>
        <v>2</v>
      </c>
      <c r="H101" s="13">
        <f t="shared" si="21"/>
        <v>0</v>
      </c>
      <c r="I101" s="13">
        <f t="shared" si="21"/>
        <v>2</v>
      </c>
      <c r="J101" s="13">
        <f t="shared" si="21"/>
        <v>1</v>
      </c>
      <c r="K101" s="13">
        <f t="shared" si="21"/>
        <v>0</v>
      </c>
      <c r="L101" s="13">
        <f t="shared" si="21"/>
        <v>0</v>
      </c>
      <c r="M101" s="13">
        <f t="shared" si="21"/>
        <v>0</v>
      </c>
      <c r="N101" s="13">
        <f t="shared" si="21"/>
        <v>1</v>
      </c>
      <c r="O101" s="13">
        <f t="shared" si="21"/>
        <v>0</v>
      </c>
      <c r="P101" s="13">
        <f t="shared" si="21"/>
        <v>0</v>
      </c>
      <c r="Q101" s="13">
        <f t="shared" si="21"/>
        <v>3</v>
      </c>
      <c r="R101" s="13">
        <f t="shared" si="21"/>
        <v>0</v>
      </c>
      <c r="S101" s="13">
        <f t="shared" si="21"/>
        <v>1</v>
      </c>
      <c r="T101" s="13">
        <f t="shared" si="21"/>
        <v>0</v>
      </c>
      <c r="U101" s="13">
        <f t="shared" si="21"/>
        <v>0</v>
      </c>
      <c r="V101" s="13">
        <f t="shared" si="21"/>
        <v>0</v>
      </c>
      <c r="W101" s="13">
        <f t="shared" si="14"/>
        <v>13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13">
        <f t="shared" si="14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19"/>
      <c r="F103" s="19"/>
      <c r="G103" s="19"/>
      <c r="H103" s="66">
        <v>0.0</v>
      </c>
      <c r="I103" s="19"/>
      <c r="J103" s="19"/>
      <c r="K103" s="66">
        <v>0.0</v>
      </c>
      <c r="L103" s="66">
        <v>0.0</v>
      </c>
      <c r="M103" s="19"/>
      <c r="N103" s="66">
        <v>0.0</v>
      </c>
      <c r="O103" s="66">
        <v>1.0</v>
      </c>
      <c r="P103" s="19"/>
      <c r="Q103" s="66">
        <v>1.0</v>
      </c>
      <c r="R103" s="19"/>
      <c r="S103" s="66">
        <v>0.0</v>
      </c>
      <c r="T103" s="19"/>
      <c r="U103" s="19"/>
      <c r="V103" s="19"/>
      <c r="W103" s="13">
        <f t="shared" si="14"/>
        <v>2</v>
      </c>
    </row>
    <row r="104" ht="12.75" customHeight="1">
      <c r="A104" s="30" t="s">
        <v>39</v>
      </c>
      <c r="B104" s="49"/>
      <c r="C104" s="50" t="s">
        <v>89</v>
      </c>
      <c r="D104" s="51"/>
      <c r="E104" s="66">
        <v>1.0</v>
      </c>
      <c r="F104" s="19"/>
      <c r="G104" s="19"/>
      <c r="H104" s="66">
        <v>0.0</v>
      </c>
      <c r="I104" s="19"/>
      <c r="J104" s="19"/>
      <c r="K104" s="66">
        <v>0.0</v>
      </c>
      <c r="L104" s="66">
        <v>0.0</v>
      </c>
      <c r="M104" s="19"/>
      <c r="N104" s="66">
        <v>0.0</v>
      </c>
      <c r="O104" s="66">
        <v>0.0</v>
      </c>
      <c r="P104" s="19"/>
      <c r="Q104" s="66">
        <v>1.0</v>
      </c>
      <c r="R104" s="19"/>
      <c r="S104" s="66">
        <v>0.0</v>
      </c>
      <c r="T104" s="19"/>
      <c r="U104" s="19"/>
      <c r="V104" s="19"/>
      <c r="W104" s="13">
        <f t="shared" si="14"/>
        <v>2</v>
      </c>
    </row>
    <row r="105" ht="12.75" customHeight="1">
      <c r="A105" s="18"/>
      <c r="B105" s="49"/>
      <c r="C105" s="50" t="s">
        <v>90</v>
      </c>
      <c r="D105" s="51"/>
      <c r="E105" s="19"/>
      <c r="F105" s="19"/>
      <c r="G105" s="19"/>
      <c r="H105" s="66">
        <v>0.0</v>
      </c>
      <c r="I105" s="19"/>
      <c r="J105" s="19"/>
      <c r="K105" s="66">
        <v>0.0</v>
      </c>
      <c r="L105" s="66">
        <v>0.0</v>
      </c>
      <c r="M105" s="19"/>
      <c r="N105" s="66">
        <v>0.0</v>
      </c>
      <c r="O105" s="19"/>
      <c r="P105" s="19"/>
      <c r="Q105" s="66">
        <v>0.0</v>
      </c>
      <c r="R105" s="19"/>
      <c r="S105" s="66">
        <v>0.0</v>
      </c>
      <c r="T105" s="19"/>
      <c r="U105" s="19"/>
      <c r="V105" s="19"/>
      <c r="W105" s="13">
        <f t="shared" si="14"/>
        <v>0</v>
      </c>
    </row>
    <row r="106" ht="12.75" customHeight="1">
      <c r="A106" s="18"/>
      <c r="B106" s="49"/>
      <c r="C106" s="50" t="s">
        <v>91</v>
      </c>
      <c r="D106" s="51"/>
      <c r="E106" s="19"/>
      <c r="F106" s="19"/>
      <c r="G106" s="19"/>
      <c r="H106" s="66">
        <v>0.0</v>
      </c>
      <c r="I106" s="19"/>
      <c r="J106" s="19"/>
      <c r="K106" s="66">
        <v>0.0</v>
      </c>
      <c r="L106" s="66">
        <v>0.0</v>
      </c>
      <c r="M106" s="19"/>
      <c r="N106" s="66">
        <v>0.0</v>
      </c>
      <c r="O106" s="19"/>
      <c r="P106" s="19"/>
      <c r="Q106" s="66">
        <v>0.0</v>
      </c>
      <c r="R106" s="19"/>
      <c r="S106" s="66">
        <v>0.0</v>
      </c>
      <c r="T106" s="19"/>
      <c r="U106" s="19"/>
      <c r="V106" s="19"/>
      <c r="W106" s="13">
        <f t="shared" si="14"/>
        <v>0</v>
      </c>
    </row>
    <row r="107" ht="12.75" customHeight="1">
      <c r="A107" s="18"/>
      <c r="B107" s="49"/>
      <c r="C107" s="50" t="s">
        <v>92</v>
      </c>
      <c r="D107" s="51"/>
      <c r="E107" s="19"/>
      <c r="F107" s="19"/>
      <c r="G107" s="19"/>
      <c r="H107" s="66">
        <v>0.0</v>
      </c>
      <c r="I107" s="19"/>
      <c r="J107" s="19"/>
      <c r="K107" s="66">
        <v>0.0</v>
      </c>
      <c r="L107" s="66">
        <v>0.0</v>
      </c>
      <c r="M107" s="19"/>
      <c r="N107" s="66">
        <v>0.0</v>
      </c>
      <c r="O107" s="19"/>
      <c r="P107" s="19"/>
      <c r="Q107" s="66">
        <v>0.0</v>
      </c>
      <c r="R107" s="66">
        <v>1.0</v>
      </c>
      <c r="S107" s="66">
        <v>0.0</v>
      </c>
      <c r="T107" s="19"/>
      <c r="U107" s="19"/>
      <c r="V107" s="19"/>
      <c r="W107" s="13">
        <f t="shared" si="14"/>
        <v>1</v>
      </c>
    </row>
    <row r="108" ht="12.75" customHeight="1">
      <c r="A108" s="18"/>
      <c r="B108" s="49"/>
      <c r="C108" s="50" t="s">
        <v>93</v>
      </c>
      <c r="D108" s="51"/>
      <c r="E108" s="19"/>
      <c r="F108" s="19"/>
      <c r="G108" s="19"/>
      <c r="H108" s="66">
        <v>0.0</v>
      </c>
      <c r="I108" s="19"/>
      <c r="J108" s="19"/>
      <c r="K108" s="66">
        <v>0.0</v>
      </c>
      <c r="L108" s="66">
        <v>0.0</v>
      </c>
      <c r="M108" s="19"/>
      <c r="N108" s="66">
        <v>0.0</v>
      </c>
      <c r="O108" s="19"/>
      <c r="P108" s="19"/>
      <c r="Q108" s="66">
        <v>0.0</v>
      </c>
      <c r="R108" s="19"/>
      <c r="S108" s="66">
        <v>0.0</v>
      </c>
      <c r="T108" s="19"/>
      <c r="U108" s="19"/>
      <c r="V108" s="19"/>
      <c r="W108" s="13">
        <f t="shared" si="14"/>
        <v>0</v>
      </c>
    </row>
    <row r="109" ht="12.75" customHeight="1">
      <c r="A109" s="18"/>
      <c r="B109" s="49"/>
      <c r="C109" s="50" t="s">
        <v>94</v>
      </c>
      <c r="D109" s="51"/>
      <c r="E109" s="19"/>
      <c r="F109" s="19"/>
      <c r="G109" s="19"/>
      <c r="H109" s="66">
        <v>0.0</v>
      </c>
      <c r="I109" s="19"/>
      <c r="J109" s="19"/>
      <c r="K109" s="66">
        <v>0.0</v>
      </c>
      <c r="L109" s="66">
        <v>0.0</v>
      </c>
      <c r="M109" s="66">
        <v>3.0</v>
      </c>
      <c r="N109" s="66">
        <v>0.0</v>
      </c>
      <c r="O109" s="19"/>
      <c r="P109" s="19"/>
      <c r="Q109" s="66">
        <v>0.0</v>
      </c>
      <c r="R109" s="19"/>
      <c r="S109" s="66">
        <v>0.0</v>
      </c>
      <c r="T109" s="19"/>
      <c r="U109" s="19"/>
      <c r="V109" s="19"/>
      <c r="W109" s="13">
        <f t="shared" si="14"/>
        <v>3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V110" si="22">SUM(E103:E109)</f>
        <v>1</v>
      </c>
      <c r="F110" s="13">
        <f t="shared" si="22"/>
        <v>0</v>
      </c>
      <c r="G110" s="13">
        <f t="shared" si="22"/>
        <v>0</v>
      </c>
      <c r="H110" s="13">
        <f t="shared" si="22"/>
        <v>0</v>
      </c>
      <c r="I110" s="13">
        <f t="shared" si="22"/>
        <v>0</v>
      </c>
      <c r="J110" s="13">
        <f t="shared" si="22"/>
        <v>0</v>
      </c>
      <c r="K110" s="13">
        <f t="shared" si="22"/>
        <v>0</v>
      </c>
      <c r="L110" s="13">
        <f t="shared" si="22"/>
        <v>0</v>
      </c>
      <c r="M110" s="13">
        <f t="shared" si="22"/>
        <v>3</v>
      </c>
      <c r="N110" s="13">
        <f t="shared" si="22"/>
        <v>0</v>
      </c>
      <c r="O110" s="13">
        <f t="shared" si="22"/>
        <v>1</v>
      </c>
      <c r="P110" s="13">
        <f t="shared" si="22"/>
        <v>0</v>
      </c>
      <c r="Q110" s="13">
        <f t="shared" si="22"/>
        <v>2</v>
      </c>
      <c r="R110" s="13">
        <f t="shared" si="22"/>
        <v>1</v>
      </c>
      <c r="S110" s="13">
        <f t="shared" si="22"/>
        <v>0</v>
      </c>
      <c r="T110" s="13">
        <f t="shared" si="22"/>
        <v>0</v>
      </c>
      <c r="U110" s="13">
        <f t="shared" si="22"/>
        <v>0</v>
      </c>
      <c r="V110" s="13">
        <f t="shared" si="22"/>
        <v>0</v>
      </c>
      <c r="W110" s="13">
        <f t="shared" si="14"/>
        <v>8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13">
        <f t="shared" si="14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19"/>
      <c r="F112" s="19"/>
      <c r="G112" s="19"/>
      <c r="H112" s="66">
        <v>0.0</v>
      </c>
      <c r="I112" s="19"/>
      <c r="J112" s="19"/>
      <c r="K112" s="66">
        <v>0.0</v>
      </c>
      <c r="L112" s="66">
        <v>0.0</v>
      </c>
      <c r="M112" s="19"/>
      <c r="N112" s="19"/>
      <c r="O112" s="19"/>
      <c r="P112" s="19"/>
      <c r="Q112" s="66">
        <v>0.0</v>
      </c>
      <c r="R112" s="66">
        <v>1.0</v>
      </c>
      <c r="S112" s="66">
        <v>0.0</v>
      </c>
      <c r="T112" s="19"/>
      <c r="U112" s="19"/>
      <c r="V112" s="19"/>
      <c r="W112" s="13">
        <f t="shared" si="14"/>
        <v>1</v>
      </c>
    </row>
    <row r="113" ht="12.75" customHeight="1">
      <c r="A113" s="30"/>
      <c r="B113" s="47"/>
      <c r="C113" s="50" t="s">
        <v>97</v>
      </c>
      <c r="D113" s="59"/>
      <c r="E113" s="19"/>
      <c r="F113" s="19"/>
      <c r="G113" s="19"/>
      <c r="H113" s="66">
        <v>0.0</v>
      </c>
      <c r="I113" s="19"/>
      <c r="J113" s="19"/>
      <c r="K113" s="66">
        <v>0.0</v>
      </c>
      <c r="L113" s="66">
        <v>0.0</v>
      </c>
      <c r="M113" s="19"/>
      <c r="N113" s="19"/>
      <c r="O113" s="19"/>
      <c r="P113" s="19"/>
      <c r="Q113" s="66">
        <v>0.0</v>
      </c>
      <c r="R113" s="66">
        <v>0.0</v>
      </c>
      <c r="S113" s="66">
        <v>1.0</v>
      </c>
      <c r="T113" s="19"/>
      <c r="U113" s="19"/>
      <c r="V113" s="19"/>
      <c r="W113" s="13">
        <f t="shared" si="14"/>
        <v>1</v>
      </c>
    </row>
    <row r="114" ht="12.75" customHeight="1">
      <c r="A114" s="30"/>
      <c r="B114" s="47"/>
      <c r="C114" s="50" t="s">
        <v>98</v>
      </c>
      <c r="D114" s="59"/>
      <c r="E114" s="19"/>
      <c r="F114" s="19"/>
      <c r="G114" s="19"/>
      <c r="H114" s="66">
        <v>0.0</v>
      </c>
      <c r="I114" s="19"/>
      <c r="J114" s="19"/>
      <c r="K114" s="66">
        <v>0.0</v>
      </c>
      <c r="L114" s="66">
        <v>0.0</v>
      </c>
      <c r="M114" s="19"/>
      <c r="N114" s="19"/>
      <c r="O114" s="19"/>
      <c r="P114" s="19"/>
      <c r="Q114" s="66">
        <v>0.0</v>
      </c>
      <c r="R114" s="66">
        <v>0.0</v>
      </c>
      <c r="S114" s="66">
        <v>0.0</v>
      </c>
      <c r="T114" s="19"/>
      <c r="U114" s="19"/>
      <c r="V114" s="19"/>
      <c r="W114" s="13">
        <f t="shared" si="14"/>
        <v>0</v>
      </c>
    </row>
    <row r="115" ht="12.75" customHeight="1">
      <c r="A115" s="30"/>
      <c r="B115" s="47"/>
      <c r="C115" s="50" t="s">
        <v>99</v>
      </c>
      <c r="D115" s="59"/>
      <c r="E115" s="19"/>
      <c r="F115" s="19"/>
      <c r="G115" s="19"/>
      <c r="H115" s="66">
        <v>0.0</v>
      </c>
      <c r="I115" s="19"/>
      <c r="J115" s="19"/>
      <c r="K115" s="66">
        <v>0.0</v>
      </c>
      <c r="L115" s="66">
        <v>0.0</v>
      </c>
      <c r="M115" s="19"/>
      <c r="N115" s="19"/>
      <c r="O115" s="19"/>
      <c r="P115" s="19"/>
      <c r="Q115" s="66">
        <v>0.0</v>
      </c>
      <c r="R115" s="66">
        <v>0.0</v>
      </c>
      <c r="S115" s="66">
        <v>0.0</v>
      </c>
      <c r="T115" s="19"/>
      <c r="U115" s="19"/>
      <c r="V115" s="19"/>
      <c r="W115" s="13">
        <f t="shared" si="14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66">
        <v>1.0</v>
      </c>
      <c r="F116" s="19"/>
      <c r="G116" s="19"/>
      <c r="H116" s="66">
        <v>0.0</v>
      </c>
      <c r="I116" s="19"/>
      <c r="J116" s="19"/>
      <c r="K116" s="66">
        <v>0.0</v>
      </c>
      <c r="L116" s="66">
        <v>0.0</v>
      </c>
      <c r="M116" s="19"/>
      <c r="N116" s="19"/>
      <c r="O116" s="19"/>
      <c r="P116" s="19"/>
      <c r="Q116" s="66">
        <v>0.0</v>
      </c>
      <c r="R116" s="66">
        <v>0.0</v>
      </c>
      <c r="S116" s="66">
        <v>0.0</v>
      </c>
      <c r="T116" s="19"/>
      <c r="U116" s="19"/>
      <c r="V116" s="19"/>
      <c r="W116" s="13">
        <f t="shared" si="14"/>
        <v>1</v>
      </c>
    </row>
    <row r="117" ht="12.75" customHeight="1">
      <c r="A117" s="18"/>
      <c r="B117" s="49"/>
      <c r="C117" s="50" t="s">
        <v>101</v>
      </c>
      <c r="D117" s="51"/>
      <c r="E117" s="19"/>
      <c r="F117" s="19"/>
      <c r="G117" s="19"/>
      <c r="H117" s="66">
        <v>0.0</v>
      </c>
      <c r="I117" s="19"/>
      <c r="J117" s="19"/>
      <c r="K117" s="66">
        <v>0.0</v>
      </c>
      <c r="L117" s="66">
        <v>0.0</v>
      </c>
      <c r="M117" s="19"/>
      <c r="N117" s="19"/>
      <c r="O117" s="19"/>
      <c r="P117" s="19"/>
      <c r="Q117" s="66">
        <v>0.0</v>
      </c>
      <c r="R117" s="66">
        <v>0.0</v>
      </c>
      <c r="S117" s="66">
        <v>0.0</v>
      </c>
      <c r="T117" s="19"/>
      <c r="U117" s="19"/>
      <c r="V117" s="19"/>
      <c r="W117" s="13">
        <f t="shared" si="14"/>
        <v>0</v>
      </c>
      <c r="X117" s="5"/>
      <c r="Y117" s="5"/>
    </row>
    <row r="118" ht="12.75" customHeight="1">
      <c r="A118" s="18"/>
      <c r="B118" s="49"/>
      <c r="C118" s="50" t="s">
        <v>102</v>
      </c>
      <c r="D118" s="51"/>
      <c r="E118" s="19"/>
      <c r="F118" s="19"/>
      <c r="G118" s="19"/>
      <c r="H118" s="66">
        <v>0.0</v>
      </c>
      <c r="I118" s="19"/>
      <c r="J118" s="19"/>
      <c r="K118" s="66">
        <v>0.0</v>
      </c>
      <c r="L118" s="66">
        <v>0.0</v>
      </c>
      <c r="M118" s="19"/>
      <c r="N118" s="19"/>
      <c r="O118" s="19"/>
      <c r="P118" s="19"/>
      <c r="Q118" s="66">
        <v>0.0</v>
      </c>
      <c r="R118" s="66">
        <v>0.0</v>
      </c>
      <c r="S118" s="66">
        <v>0.0</v>
      </c>
      <c r="T118" s="19"/>
      <c r="U118" s="19"/>
      <c r="V118" s="19"/>
      <c r="W118" s="13">
        <f t="shared" si="14"/>
        <v>0</v>
      </c>
      <c r="X118" s="5"/>
      <c r="Y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V119" si="23">SUM(E112:E118)</f>
        <v>1</v>
      </c>
      <c r="F119" s="13">
        <f t="shared" si="23"/>
        <v>0</v>
      </c>
      <c r="G119" s="13">
        <f t="shared" si="23"/>
        <v>0</v>
      </c>
      <c r="H119" s="13">
        <f t="shared" si="23"/>
        <v>0</v>
      </c>
      <c r="I119" s="13">
        <f t="shared" si="23"/>
        <v>0</v>
      </c>
      <c r="J119" s="13">
        <f t="shared" si="23"/>
        <v>0</v>
      </c>
      <c r="K119" s="13">
        <f t="shared" si="23"/>
        <v>0</v>
      </c>
      <c r="L119" s="13">
        <f t="shared" si="23"/>
        <v>0</v>
      </c>
      <c r="M119" s="13">
        <f t="shared" si="23"/>
        <v>0</v>
      </c>
      <c r="N119" s="13">
        <f t="shared" si="23"/>
        <v>0</v>
      </c>
      <c r="O119" s="13">
        <f t="shared" si="23"/>
        <v>0</v>
      </c>
      <c r="P119" s="13">
        <f t="shared" si="23"/>
        <v>0</v>
      </c>
      <c r="Q119" s="13">
        <f t="shared" si="23"/>
        <v>0</v>
      </c>
      <c r="R119" s="13">
        <f t="shared" si="23"/>
        <v>1</v>
      </c>
      <c r="S119" s="13">
        <f t="shared" si="23"/>
        <v>1</v>
      </c>
      <c r="T119" s="13">
        <f t="shared" si="23"/>
        <v>0</v>
      </c>
      <c r="U119" s="13">
        <f t="shared" si="23"/>
        <v>0</v>
      </c>
      <c r="V119" s="13">
        <f t="shared" si="23"/>
        <v>0</v>
      </c>
      <c r="W119" s="13">
        <f t="shared" si="14"/>
        <v>3</v>
      </c>
      <c r="X119" s="5"/>
      <c r="Y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13">
        <f t="shared" si="14"/>
        <v>0</v>
      </c>
      <c r="X120" s="5"/>
      <c r="Y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19"/>
      <c r="F121" s="19"/>
      <c r="G121" s="19"/>
      <c r="H121" s="66">
        <v>0.0</v>
      </c>
      <c r="I121" s="19"/>
      <c r="J121" s="19"/>
      <c r="K121" s="66">
        <v>0.0</v>
      </c>
      <c r="L121" s="66">
        <v>0.0</v>
      </c>
      <c r="M121" s="66">
        <v>0.0</v>
      </c>
      <c r="N121" s="66">
        <v>0.0</v>
      </c>
      <c r="O121" s="19"/>
      <c r="P121" s="19"/>
      <c r="Q121" s="66">
        <v>0.0</v>
      </c>
      <c r="R121" s="66">
        <v>0.0</v>
      </c>
      <c r="S121" s="66">
        <v>2.0</v>
      </c>
      <c r="T121" s="19"/>
      <c r="U121" s="19"/>
      <c r="V121" s="19"/>
      <c r="W121" s="13">
        <f t="shared" si="14"/>
        <v>2</v>
      </c>
      <c r="X121" s="5"/>
      <c r="Y121" s="5"/>
    </row>
    <row r="122" ht="12.75" customHeight="1">
      <c r="A122" s="30" t="s">
        <v>39</v>
      </c>
      <c r="B122" s="49"/>
      <c r="C122" s="50" t="s">
        <v>105</v>
      </c>
      <c r="D122" s="51"/>
      <c r="E122" s="19"/>
      <c r="F122" s="66">
        <v>4.0</v>
      </c>
      <c r="G122" s="19"/>
      <c r="H122" s="66">
        <v>3.0</v>
      </c>
      <c r="I122" s="19"/>
      <c r="J122" s="66">
        <v>8.0</v>
      </c>
      <c r="K122" s="66">
        <v>3.0</v>
      </c>
      <c r="L122" s="66">
        <v>0.0</v>
      </c>
      <c r="M122" s="66">
        <v>7.0</v>
      </c>
      <c r="N122" s="66">
        <v>0.0</v>
      </c>
      <c r="O122" s="19"/>
      <c r="P122" s="19"/>
      <c r="Q122" s="66">
        <v>2.0</v>
      </c>
      <c r="R122" s="66">
        <v>2.0</v>
      </c>
      <c r="S122" s="66">
        <v>7.0</v>
      </c>
      <c r="T122" s="19"/>
      <c r="U122" s="19"/>
      <c r="V122" s="19"/>
      <c r="W122" s="13">
        <f t="shared" si="14"/>
        <v>36</v>
      </c>
      <c r="X122" s="5"/>
      <c r="Y122" s="5"/>
    </row>
    <row r="123" ht="12.75" customHeight="1">
      <c r="A123" s="18"/>
      <c r="B123" s="49"/>
      <c r="C123" s="50" t="s">
        <v>106</v>
      </c>
      <c r="D123" s="51"/>
      <c r="E123" s="19"/>
      <c r="F123" s="19"/>
      <c r="G123" s="66">
        <v>1.0</v>
      </c>
      <c r="H123" s="66">
        <v>0.0</v>
      </c>
      <c r="I123" s="66">
        <v>2.0</v>
      </c>
      <c r="J123" s="19"/>
      <c r="K123" s="66">
        <v>0.0</v>
      </c>
      <c r="L123" s="66">
        <v>0.0</v>
      </c>
      <c r="M123" s="19"/>
      <c r="N123" s="66">
        <v>0.0</v>
      </c>
      <c r="O123" s="19"/>
      <c r="P123" s="19"/>
      <c r="Q123" s="66">
        <v>0.0</v>
      </c>
      <c r="R123" s="66">
        <v>0.0</v>
      </c>
      <c r="S123" s="66">
        <v>0.0</v>
      </c>
      <c r="T123" s="19"/>
      <c r="U123" s="19"/>
      <c r="V123" s="19"/>
      <c r="W123" s="13">
        <f t="shared" si="14"/>
        <v>3</v>
      </c>
      <c r="X123" s="5"/>
      <c r="Y123" s="5"/>
    </row>
    <row r="124" ht="12.75" customHeight="1">
      <c r="A124" s="18"/>
      <c r="B124" s="49"/>
      <c r="C124" s="50" t="s">
        <v>107</v>
      </c>
      <c r="D124" s="51"/>
      <c r="E124" s="19"/>
      <c r="F124" s="19"/>
      <c r="G124" s="66">
        <v>0.0</v>
      </c>
      <c r="H124" s="66">
        <v>0.0</v>
      </c>
      <c r="I124" s="66">
        <v>1.0</v>
      </c>
      <c r="J124" s="19"/>
      <c r="K124" s="66">
        <v>0.0</v>
      </c>
      <c r="L124" s="66">
        <v>0.0</v>
      </c>
      <c r="M124" s="19"/>
      <c r="N124" s="66">
        <v>0.0</v>
      </c>
      <c r="O124" s="66">
        <v>0.0</v>
      </c>
      <c r="P124" s="19"/>
      <c r="Q124" s="66">
        <v>0.0</v>
      </c>
      <c r="R124" s="66">
        <v>0.0</v>
      </c>
      <c r="S124" s="66">
        <v>2.0</v>
      </c>
      <c r="T124" s="19"/>
      <c r="U124" s="19"/>
      <c r="V124" s="19"/>
      <c r="W124" s="13">
        <f t="shared" si="14"/>
        <v>3</v>
      </c>
      <c r="X124" s="5"/>
      <c r="Y124" s="5"/>
    </row>
    <row r="125" ht="12.75" customHeight="1">
      <c r="A125" s="18"/>
      <c r="B125" s="49"/>
      <c r="C125" s="50" t="s">
        <v>108</v>
      </c>
      <c r="D125" s="51"/>
      <c r="E125" s="66">
        <v>1.0</v>
      </c>
      <c r="F125" s="66">
        <v>3.0</v>
      </c>
      <c r="G125" s="66">
        <v>12.0</v>
      </c>
      <c r="H125" s="66">
        <v>4.0</v>
      </c>
      <c r="I125" s="19"/>
      <c r="J125" s="66">
        <v>3.0</v>
      </c>
      <c r="K125" s="66">
        <v>1.0</v>
      </c>
      <c r="L125" s="66">
        <v>0.0</v>
      </c>
      <c r="M125" s="66">
        <v>2.0</v>
      </c>
      <c r="N125" s="66">
        <v>0.0</v>
      </c>
      <c r="O125" s="66">
        <v>3.0</v>
      </c>
      <c r="P125" s="19"/>
      <c r="Q125" s="66">
        <v>0.0</v>
      </c>
      <c r="R125" s="66">
        <v>3.0</v>
      </c>
      <c r="S125" s="66">
        <v>0.0</v>
      </c>
      <c r="T125" s="19"/>
      <c r="U125" s="19"/>
      <c r="V125" s="19"/>
      <c r="W125" s="13">
        <f t="shared" si="14"/>
        <v>32</v>
      </c>
      <c r="X125" s="5"/>
      <c r="Y125" s="5"/>
    </row>
    <row r="126" ht="12.75" customHeight="1">
      <c r="A126" s="18"/>
      <c r="B126" s="49"/>
      <c r="C126" s="50" t="s">
        <v>109</v>
      </c>
      <c r="D126" s="51"/>
      <c r="E126" s="19"/>
      <c r="F126" s="19"/>
      <c r="G126" s="19"/>
      <c r="H126" s="66">
        <v>0.0</v>
      </c>
      <c r="I126" s="19"/>
      <c r="J126" s="19"/>
      <c r="K126" s="66">
        <v>0.0</v>
      </c>
      <c r="L126" s="66">
        <v>0.0</v>
      </c>
      <c r="M126" s="19"/>
      <c r="N126" s="66">
        <v>0.0</v>
      </c>
      <c r="O126" s="19"/>
      <c r="P126" s="19"/>
      <c r="Q126" s="66">
        <v>0.0</v>
      </c>
      <c r="R126" s="66">
        <v>0.0</v>
      </c>
      <c r="S126" s="66">
        <v>0.0</v>
      </c>
      <c r="T126" s="19"/>
      <c r="U126" s="19"/>
      <c r="V126" s="19"/>
      <c r="W126" s="13">
        <f t="shared" si="14"/>
        <v>0</v>
      </c>
      <c r="X126" s="5"/>
      <c r="Y126" s="5"/>
    </row>
    <row r="127" ht="12.75" customHeight="1">
      <c r="A127" s="18"/>
      <c r="B127" s="49"/>
      <c r="C127" s="50" t="s">
        <v>110</v>
      </c>
      <c r="D127" s="51"/>
      <c r="E127" s="19"/>
      <c r="F127" s="19"/>
      <c r="G127" s="19"/>
      <c r="H127" s="66">
        <v>0.0</v>
      </c>
      <c r="I127" s="19"/>
      <c r="J127" s="19"/>
      <c r="K127" s="66">
        <v>0.0</v>
      </c>
      <c r="L127" s="66">
        <v>0.0</v>
      </c>
      <c r="M127" s="19"/>
      <c r="N127" s="66">
        <v>0.0</v>
      </c>
      <c r="O127" s="19"/>
      <c r="P127" s="19"/>
      <c r="Q127" s="66">
        <v>0.0</v>
      </c>
      <c r="R127" s="66">
        <v>0.0</v>
      </c>
      <c r="S127" s="66">
        <v>0.0</v>
      </c>
      <c r="T127" s="19"/>
      <c r="U127" s="19"/>
      <c r="V127" s="19"/>
      <c r="W127" s="13">
        <f t="shared" si="14"/>
        <v>0</v>
      </c>
      <c r="X127" s="5"/>
      <c r="Y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V128" si="24">SUM(E121:E127)</f>
        <v>1</v>
      </c>
      <c r="F128" s="13">
        <f t="shared" si="24"/>
        <v>7</v>
      </c>
      <c r="G128" s="13">
        <f t="shared" si="24"/>
        <v>13</v>
      </c>
      <c r="H128" s="13">
        <f t="shared" si="24"/>
        <v>7</v>
      </c>
      <c r="I128" s="13">
        <f t="shared" si="24"/>
        <v>3</v>
      </c>
      <c r="J128" s="13">
        <f t="shared" si="24"/>
        <v>11</v>
      </c>
      <c r="K128" s="13">
        <f t="shared" si="24"/>
        <v>4</v>
      </c>
      <c r="L128" s="13">
        <f t="shared" si="24"/>
        <v>0</v>
      </c>
      <c r="M128" s="13">
        <f t="shared" si="24"/>
        <v>9</v>
      </c>
      <c r="N128" s="13">
        <f t="shared" si="24"/>
        <v>0</v>
      </c>
      <c r="O128" s="13">
        <f t="shared" si="24"/>
        <v>3</v>
      </c>
      <c r="P128" s="13">
        <f t="shared" si="24"/>
        <v>0</v>
      </c>
      <c r="Q128" s="13">
        <f t="shared" si="24"/>
        <v>2</v>
      </c>
      <c r="R128" s="13">
        <f t="shared" si="24"/>
        <v>5</v>
      </c>
      <c r="S128" s="13">
        <f t="shared" si="24"/>
        <v>11</v>
      </c>
      <c r="T128" s="13">
        <f t="shared" si="24"/>
        <v>0</v>
      </c>
      <c r="U128" s="13">
        <f t="shared" si="24"/>
        <v>0</v>
      </c>
      <c r="V128" s="13">
        <f t="shared" si="24"/>
        <v>0</v>
      </c>
      <c r="W128" s="13">
        <f t="shared" si="14"/>
        <v>76</v>
      </c>
      <c r="X128" s="5"/>
      <c r="Y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13">
        <f t="shared" si="14"/>
        <v>0</v>
      </c>
      <c r="X129" s="5"/>
      <c r="Y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19"/>
      <c r="F130" s="19"/>
      <c r="G130" s="19"/>
      <c r="H130" s="66">
        <v>0.0</v>
      </c>
      <c r="I130" s="19"/>
      <c r="J130" s="19"/>
      <c r="K130" s="66">
        <v>0.0</v>
      </c>
      <c r="L130" s="66">
        <v>0.0</v>
      </c>
      <c r="M130" s="19"/>
      <c r="N130" s="66">
        <v>0.0</v>
      </c>
      <c r="O130" s="19"/>
      <c r="P130" s="19"/>
      <c r="Q130" s="66">
        <v>0.0</v>
      </c>
      <c r="R130" s="66">
        <v>0.0</v>
      </c>
      <c r="S130" s="66">
        <v>0.0</v>
      </c>
      <c r="T130" s="19"/>
      <c r="U130" s="19"/>
      <c r="V130" s="19"/>
      <c r="W130" s="13">
        <f t="shared" si="14"/>
        <v>0</v>
      </c>
      <c r="X130" s="1"/>
      <c r="Y130" s="1"/>
    </row>
    <row r="131" ht="12.75" customHeight="1">
      <c r="A131" s="30" t="s">
        <v>39</v>
      </c>
      <c r="B131" s="49"/>
      <c r="C131" s="50" t="s">
        <v>113</v>
      </c>
      <c r="D131" s="51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3">
        <f t="shared" si="14"/>
        <v>0</v>
      </c>
      <c r="X131" s="53"/>
      <c r="Y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V132" si="25">SUM(E130:E131)</f>
        <v>0</v>
      </c>
      <c r="F132" s="13">
        <f t="shared" si="25"/>
        <v>0</v>
      </c>
      <c r="G132" s="13">
        <f t="shared" si="25"/>
        <v>0</v>
      </c>
      <c r="H132" s="13">
        <f t="shared" si="25"/>
        <v>0</v>
      </c>
      <c r="I132" s="13">
        <f t="shared" si="25"/>
        <v>0</v>
      </c>
      <c r="J132" s="13">
        <f t="shared" si="25"/>
        <v>0</v>
      </c>
      <c r="K132" s="13">
        <f t="shared" si="25"/>
        <v>0</v>
      </c>
      <c r="L132" s="13">
        <f t="shared" si="25"/>
        <v>0</v>
      </c>
      <c r="M132" s="13">
        <f t="shared" si="25"/>
        <v>0</v>
      </c>
      <c r="N132" s="13">
        <f t="shared" si="25"/>
        <v>0</v>
      </c>
      <c r="O132" s="13">
        <f t="shared" si="25"/>
        <v>0</v>
      </c>
      <c r="P132" s="13">
        <f t="shared" si="25"/>
        <v>0</v>
      </c>
      <c r="Q132" s="13">
        <f t="shared" si="25"/>
        <v>0</v>
      </c>
      <c r="R132" s="13">
        <f t="shared" si="25"/>
        <v>0</v>
      </c>
      <c r="S132" s="13">
        <f t="shared" si="25"/>
        <v>0</v>
      </c>
      <c r="T132" s="13">
        <f t="shared" si="25"/>
        <v>0</v>
      </c>
      <c r="U132" s="13">
        <f t="shared" si="25"/>
        <v>0</v>
      </c>
      <c r="V132" s="13">
        <f t="shared" si="25"/>
        <v>0</v>
      </c>
      <c r="W132" s="13">
        <f t="shared" si="14"/>
        <v>0</v>
      </c>
      <c r="X132" s="5"/>
      <c r="Y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13">
        <f t="shared" si="14"/>
        <v>0</v>
      </c>
      <c r="X133" s="5"/>
      <c r="Y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19"/>
      <c r="F134" s="19"/>
      <c r="G134" s="19"/>
      <c r="H134" s="66">
        <v>0.0</v>
      </c>
      <c r="I134" s="19"/>
      <c r="J134" s="19"/>
      <c r="K134" s="66">
        <v>0.0</v>
      </c>
      <c r="L134" s="66">
        <v>0.0</v>
      </c>
      <c r="M134" s="19"/>
      <c r="N134" s="66">
        <v>0.0</v>
      </c>
      <c r="O134" s="19"/>
      <c r="P134" s="19"/>
      <c r="Q134" s="66">
        <v>0.0</v>
      </c>
      <c r="R134" s="66">
        <v>1.0</v>
      </c>
      <c r="S134" s="66">
        <v>0.0</v>
      </c>
      <c r="T134" s="19"/>
      <c r="U134" s="19"/>
      <c r="V134" s="19"/>
      <c r="W134" s="13">
        <f t="shared" si="14"/>
        <v>1</v>
      </c>
      <c r="X134" s="5"/>
      <c r="Y134" s="5"/>
    </row>
    <row r="135" ht="12.75" customHeight="1">
      <c r="A135" s="30" t="s">
        <v>39</v>
      </c>
      <c r="B135" s="49"/>
      <c r="C135" s="50" t="s">
        <v>116</v>
      </c>
      <c r="D135" s="51"/>
      <c r="E135" s="19"/>
      <c r="F135" s="66">
        <v>1.0</v>
      </c>
      <c r="G135" s="19"/>
      <c r="H135" s="66">
        <v>0.0</v>
      </c>
      <c r="I135" s="19"/>
      <c r="J135" s="19"/>
      <c r="K135" s="66">
        <v>0.0</v>
      </c>
      <c r="L135" s="66">
        <v>0.0</v>
      </c>
      <c r="M135" s="19"/>
      <c r="N135" s="66">
        <v>0.0</v>
      </c>
      <c r="O135" s="19"/>
      <c r="P135" s="19"/>
      <c r="Q135" s="66">
        <v>0.0</v>
      </c>
      <c r="R135" s="66">
        <v>0.0</v>
      </c>
      <c r="S135" s="66">
        <v>0.0</v>
      </c>
      <c r="T135" s="19"/>
      <c r="U135" s="19"/>
      <c r="V135" s="19"/>
      <c r="W135" s="13">
        <f t="shared" si="14"/>
        <v>1</v>
      </c>
      <c r="X135" s="5"/>
      <c r="Y135" s="5"/>
    </row>
    <row r="136" ht="12.75" customHeight="1">
      <c r="A136" s="18"/>
      <c r="B136" s="49"/>
      <c r="C136" s="50" t="s">
        <v>117</v>
      </c>
      <c r="D136" s="51"/>
      <c r="E136" s="19"/>
      <c r="F136" s="19"/>
      <c r="G136" s="19"/>
      <c r="H136" s="66">
        <v>0.0</v>
      </c>
      <c r="I136" s="19"/>
      <c r="J136" s="19"/>
      <c r="K136" s="66">
        <v>0.0</v>
      </c>
      <c r="L136" s="66">
        <v>0.0</v>
      </c>
      <c r="M136" s="19"/>
      <c r="N136" s="66">
        <v>0.0</v>
      </c>
      <c r="O136" s="19"/>
      <c r="P136" s="19"/>
      <c r="Q136" s="66">
        <v>0.0</v>
      </c>
      <c r="R136" s="66">
        <v>0.0</v>
      </c>
      <c r="S136" s="66">
        <v>0.0</v>
      </c>
      <c r="T136" s="19"/>
      <c r="U136" s="19"/>
      <c r="V136" s="19"/>
      <c r="W136" s="13">
        <f t="shared" si="14"/>
        <v>0</v>
      </c>
      <c r="X136" s="5"/>
      <c r="Y136" s="5"/>
    </row>
    <row r="137" ht="12.75" customHeight="1">
      <c r="A137" s="18"/>
      <c r="B137" s="49"/>
      <c r="C137" s="50" t="s">
        <v>118</v>
      </c>
      <c r="D137" s="51"/>
      <c r="E137" s="66">
        <v>1.0</v>
      </c>
      <c r="F137" s="19"/>
      <c r="G137" s="19"/>
      <c r="H137" s="66">
        <v>0.0</v>
      </c>
      <c r="I137" s="19"/>
      <c r="J137" s="19"/>
      <c r="K137" s="66">
        <v>0.0</v>
      </c>
      <c r="L137" s="66">
        <v>0.0</v>
      </c>
      <c r="M137" s="66">
        <v>1.0</v>
      </c>
      <c r="N137" s="66">
        <v>0.0</v>
      </c>
      <c r="O137" s="19"/>
      <c r="P137" s="19"/>
      <c r="Q137" s="66">
        <v>0.0</v>
      </c>
      <c r="R137" s="66">
        <v>0.0</v>
      </c>
      <c r="S137" s="66">
        <v>0.0</v>
      </c>
      <c r="T137" s="19"/>
      <c r="U137" s="19"/>
      <c r="V137" s="19"/>
      <c r="W137" s="13">
        <f t="shared" si="14"/>
        <v>2</v>
      </c>
      <c r="X137" s="5"/>
      <c r="Y137" s="5"/>
    </row>
    <row r="138" ht="12.75" customHeight="1">
      <c r="A138" s="18"/>
      <c r="B138" s="49"/>
      <c r="C138" s="50" t="s">
        <v>119</v>
      </c>
      <c r="D138" s="51"/>
      <c r="E138" s="19"/>
      <c r="F138" s="19"/>
      <c r="G138" s="19"/>
      <c r="H138" s="66">
        <v>0.0</v>
      </c>
      <c r="I138" s="19"/>
      <c r="J138" s="19"/>
      <c r="K138" s="66">
        <v>0.0</v>
      </c>
      <c r="L138" s="66">
        <v>0.0</v>
      </c>
      <c r="M138" s="19"/>
      <c r="N138" s="66">
        <v>0.0</v>
      </c>
      <c r="O138" s="19"/>
      <c r="P138" s="19"/>
      <c r="Q138" s="66">
        <v>0.0</v>
      </c>
      <c r="R138" s="66">
        <v>0.0</v>
      </c>
      <c r="S138" s="66">
        <v>0.0</v>
      </c>
      <c r="T138" s="19"/>
      <c r="U138" s="19"/>
      <c r="V138" s="19"/>
      <c r="W138" s="13">
        <f t="shared" si="14"/>
        <v>0</v>
      </c>
      <c r="X138" s="5"/>
      <c r="Y138" s="5"/>
    </row>
    <row r="139" ht="12.75" customHeight="1">
      <c r="A139" s="18"/>
      <c r="B139" s="49"/>
      <c r="C139" s="50" t="s">
        <v>120</v>
      </c>
      <c r="D139" s="51"/>
      <c r="E139" s="19"/>
      <c r="F139" s="19"/>
      <c r="G139" s="19"/>
      <c r="H139" s="66">
        <v>0.0</v>
      </c>
      <c r="I139" s="19"/>
      <c r="J139" s="19"/>
      <c r="K139" s="66">
        <v>0.0</v>
      </c>
      <c r="L139" s="66">
        <v>0.0</v>
      </c>
      <c r="M139" s="19"/>
      <c r="N139" s="66">
        <v>0.0</v>
      </c>
      <c r="O139" s="19"/>
      <c r="P139" s="19"/>
      <c r="Q139" s="66">
        <v>0.0</v>
      </c>
      <c r="R139" s="66">
        <v>0.0</v>
      </c>
      <c r="S139" s="66">
        <v>0.0</v>
      </c>
      <c r="T139" s="19"/>
      <c r="U139" s="19"/>
      <c r="V139" s="19"/>
      <c r="W139" s="13">
        <f t="shared" si="14"/>
        <v>0</v>
      </c>
      <c r="X139" s="5"/>
      <c r="Y139" s="5"/>
    </row>
    <row r="140" ht="12.75" customHeight="1">
      <c r="A140" s="18"/>
      <c r="B140" s="49"/>
      <c r="C140" s="50" t="s">
        <v>121</v>
      </c>
      <c r="D140" s="51"/>
      <c r="E140" s="19"/>
      <c r="F140" s="19"/>
      <c r="G140" s="19"/>
      <c r="H140" s="66">
        <v>0.0</v>
      </c>
      <c r="I140" s="19"/>
      <c r="J140" s="19"/>
      <c r="K140" s="66">
        <v>0.0</v>
      </c>
      <c r="L140" s="66">
        <v>0.0</v>
      </c>
      <c r="M140" s="66">
        <v>1.0</v>
      </c>
      <c r="N140" s="66">
        <v>0.0</v>
      </c>
      <c r="O140" s="19"/>
      <c r="P140" s="19"/>
      <c r="Q140" s="66">
        <v>0.0</v>
      </c>
      <c r="R140" s="66">
        <v>0.0</v>
      </c>
      <c r="S140" s="66">
        <v>0.0</v>
      </c>
      <c r="T140" s="19"/>
      <c r="U140" s="19"/>
      <c r="V140" s="19"/>
      <c r="W140" s="13">
        <f t="shared" si="14"/>
        <v>1</v>
      </c>
      <c r="X140" s="5"/>
      <c r="Y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V141" si="26">SUM(E134:E140)</f>
        <v>1</v>
      </c>
      <c r="F141" s="13">
        <f t="shared" si="26"/>
        <v>1</v>
      </c>
      <c r="G141" s="13">
        <f t="shared" si="26"/>
        <v>0</v>
      </c>
      <c r="H141" s="13">
        <f t="shared" si="26"/>
        <v>0</v>
      </c>
      <c r="I141" s="13">
        <f t="shared" si="26"/>
        <v>0</v>
      </c>
      <c r="J141" s="13">
        <f t="shared" si="26"/>
        <v>0</v>
      </c>
      <c r="K141" s="13">
        <f t="shared" si="26"/>
        <v>0</v>
      </c>
      <c r="L141" s="13">
        <f t="shared" si="26"/>
        <v>0</v>
      </c>
      <c r="M141" s="13">
        <f t="shared" si="26"/>
        <v>2</v>
      </c>
      <c r="N141" s="13">
        <f t="shared" si="26"/>
        <v>0</v>
      </c>
      <c r="O141" s="13">
        <f t="shared" si="26"/>
        <v>0</v>
      </c>
      <c r="P141" s="13">
        <f t="shared" si="26"/>
        <v>0</v>
      </c>
      <c r="Q141" s="13">
        <f t="shared" si="26"/>
        <v>0</v>
      </c>
      <c r="R141" s="13">
        <f t="shared" si="26"/>
        <v>1</v>
      </c>
      <c r="S141" s="13">
        <f t="shared" si="26"/>
        <v>0</v>
      </c>
      <c r="T141" s="13">
        <f t="shared" si="26"/>
        <v>0</v>
      </c>
      <c r="U141" s="13">
        <f t="shared" si="26"/>
        <v>0</v>
      </c>
      <c r="V141" s="13">
        <f t="shared" si="26"/>
        <v>0</v>
      </c>
      <c r="W141" s="13">
        <f t="shared" si="14"/>
        <v>5</v>
      </c>
      <c r="X141" s="1"/>
      <c r="Y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13">
        <f t="shared" si="14"/>
        <v>0</v>
      </c>
      <c r="X142" s="53"/>
      <c r="Y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19"/>
      <c r="F143" s="19"/>
      <c r="G143" s="19"/>
      <c r="H143" s="66">
        <v>0.0</v>
      </c>
      <c r="I143" s="19"/>
      <c r="J143" s="19"/>
      <c r="K143" s="66">
        <v>0.0</v>
      </c>
      <c r="L143" s="66">
        <v>0.0</v>
      </c>
      <c r="M143" s="19"/>
      <c r="N143" s="66">
        <v>0.0</v>
      </c>
      <c r="O143" s="19"/>
      <c r="P143" s="19"/>
      <c r="Q143" s="66">
        <v>0.0</v>
      </c>
      <c r="R143" s="66">
        <v>0.0</v>
      </c>
      <c r="S143" s="66">
        <v>0.0</v>
      </c>
      <c r="T143" s="19"/>
      <c r="U143" s="19"/>
      <c r="V143" s="19"/>
      <c r="W143" s="13">
        <f t="shared" si="14"/>
        <v>0</v>
      </c>
      <c r="X143" s="5"/>
      <c r="Y143" s="5"/>
    </row>
    <row r="144" ht="12.75" customHeight="1">
      <c r="A144" s="30" t="s">
        <v>39</v>
      </c>
      <c r="B144" s="49"/>
      <c r="C144" s="50" t="s">
        <v>124</v>
      </c>
      <c r="D144" s="51"/>
      <c r="E144" s="19"/>
      <c r="F144" s="19"/>
      <c r="G144" s="19"/>
      <c r="H144" s="66">
        <v>0.0</v>
      </c>
      <c r="I144" s="19"/>
      <c r="J144" s="19"/>
      <c r="K144" s="66">
        <v>0.0</v>
      </c>
      <c r="L144" s="66">
        <v>0.0</v>
      </c>
      <c r="M144" s="19"/>
      <c r="N144" s="66">
        <v>0.0</v>
      </c>
      <c r="O144" s="19"/>
      <c r="P144" s="19"/>
      <c r="Q144" s="66">
        <v>0.0</v>
      </c>
      <c r="R144" s="66">
        <v>0.0</v>
      </c>
      <c r="S144" s="66">
        <v>0.0</v>
      </c>
      <c r="T144" s="19"/>
      <c r="U144" s="19"/>
      <c r="V144" s="19"/>
      <c r="W144" s="13">
        <f t="shared" si="14"/>
        <v>0</v>
      </c>
      <c r="X144" s="5"/>
      <c r="Y144" s="5"/>
    </row>
    <row r="145" ht="12.75" customHeight="1">
      <c r="A145" s="18"/>
      <c r="B145" s="49"/>
      <c r="C145" s="50" t="s">
        <v>125</v>
      </c>
      <c r="D145" s="51"/>
      <c r="E145" s="19"/>
      <c r="F145" s="19"/>
      <c r="G145" s="19"/>
      <c r="H145" s="66">
        <v>0.0</v>
      </c>
      <c r="I145" s="19"/>
      <c r="J145" s="19"/>
      <c r="K145" s="66">
        <v>0.0</v>
      </c>
      <c r="L145" s="66">
        <v>0.0</v>
      </c>
      <c r="M145" s="19"/>
      <c r="N145" s="66">
        <v>0.0</v>
      </c>
      <c r="O145" s="19"/>
      <c r="P145" s="19"/>
      <c r="Q145" s="66">
        <v>0.0</v>
      </c>
      <c r="R145" s="66">
        <v>0.0</v>
      </c>
      <c r="S145" s="66">
        <v>0.0</v>
      </c>
      <c r="T145" s="19"/>
      <c r="U145" s="19"/>
      <c r="V145" s="19"/>
      <c r="W145" s="13">
        <f t="shared" si="14"/>
        <v>0</v>
      </c>
      <c r="X145" s="5"/>
      <c r="Y145" s="5"/>
    </row>
    <row r="146" ht="12.75" customHeight="1">
      <c r="A146" s="18"/>
      <c r="B146" s="49"/>
      <c r="C146" s="50" t="s">
        <v>126</v>
      </c>
      <c r="D146" s="51"/>
      <c r="E146" s="19"/>
      <c r="F146" s="19"/>
      <c r="G146" s="19"/>
      <c r="H146" s="66">
        <v>0.0</v>
      </c>
      <c r="I146" s="19"/>
      <c r="J146" s="19"/>
      <c r="K146" s="66">
        <v>0.0</v>
      </c>
      <c r="L146" s="66">
        <v>0.0</v>
      </c>
      <c r="M146" s="19"/>
      <c r="N146" s="66">
        <v>0.0</v>
      </c>
      <c r="O146" s="19"/>
      <c r="P146" s="19"/>
      <c r="Q146" s="66">
        <v>0.0</v>
      </c>
      <c r="R146" s="66">
        <v>0.0</v>
      </c>
      <c r="S146" s="66">
        <v>0.0</v>
      </c>
      <c r="T146" s="19"/>
      <c r="U146" s="19"/>
      <c r="V146" s="19"/>
      <c r="W146" s="13">
        <f t="shared" si="14"/>
        <v>0</v>
      </c>
      <c r="X146" s="5"/>
      <c r="Y146" s="5"/>
    </row>
    <row r="147" ht="12.75" customHeight="1">
      <c r="A147" s="18"/>
      <c r="B147" s="49"/>
      <c r="C147" s="50" t="s">
        <v>127</v>
      </c>
      <c r="D147" s="51"/>
      <c r="E147" s="19"/>
      <c r="F147" s="19"/>
      <c r="G147" s="19"/>
      <c r="H147" s="66">
        <v>0.0</v>
      </c>
      <c r="I147" s="19"/>
      <c r="J147" s="19"/>
      <c r="K147" s="66">
        <v>0.0</v>
      </c>
      <c r="L147" s="66">
        <v>0.0</v>
      </c>
      <c r="M147" s="19"/>
      <c r="N147" s="66">
        <v>0.0</v>
      </c>
      <c r="O147" s="19"/>
      <c r="P147" s="19"/>
      <c r="Q147" s="66">
        <v>0.0</v>
      </c>
      <c r="R147" s="66">
        <v>0.0</v>
      </c>
      <c r="S147" s="66">
        <v>0.0</v>
      </c>
      <c r="T147" s="19"/>
      <c r="U147" s="19"/>
      <c r="V147" s="19"/>
      <c r="W147" s="13">
        <f t="shared" si="14"/>
        <v>0</v>
      </c>
      <c r="X147" s="5"/>
      <c r="Y147" s="5"/>
    </row>
    <row r="148" ht="12.75" customHeight="1">
      <c r="A148" s="18"/>
      <c r="B148" s="49"/>
      <c r="C148" s="50" t="s">
        <v>128</v>
      </c>
      <c r="D148" s="51"/>
      <c r="E148" s="19"/>
      <c r="F148" s="19"/>
      <c r="G148" s="19"/>
      <c r="H148" s="66">
        <v>0.0</v>
      </c>
      <c r="I148" s="19"/>
      <c r="J148" s="19"/>
      <c r="K148" s="66">
        <v>0.0</v>
      </c>
      <c r="L148" s="66">
        <v>0.0</v>
      </c>
      <c r="M148" s="19"/>
      <c r="N148" s="66">
        <v>0.0</v>
      </c>
      <c r="O148" s="19"/>
      <c r="P148" s="19"/>
      <c r="Q148" s="66">
        <v>0.0</v>
      </c>
      <c r="R148" s="66">
        <v>0.0</v>
      </c>
      <c r="S148" s="66">
        <v>0.0</v>
      </c>
      <c r="T148" s="19"/>
      <c r="U148" s="19"/>
      <c r="V148" s="19"/>
      <c r="W148" s="13">
        <f t="shared" si="14"/>
        <v>0</v>
      </c>
      <c r="X148" s="5"/>
      <c r="Y148" s="5"/>
    </row>
    <row r="149" ht="12.75" customHeight="1">
      <c r="A149" s="18"/>
      <c r="B149" s="49"/>
      <c r="C149" s="50" t="s">
        <v>129</v>
      </c>
      <c r="D149" s="51"/>
      <c r="E149" s="66">
        <v>1.0</v>
      </c>
      <c r="F149" s="19"/>
      <c r="G149" s="19"/>
      <c r="H149" s="66">
        <v>0.0</v>
      </c>
      <c r="I149" s="19"/>
      <c r="J149" s="66">
        <v>1.0</v>
      </c>
      <c r="K149" s="66">
        <v>0.0</v>
      </c>
      <c r="L149" s="66">
        <v>0.0</v>
      </c>
      <c r="M149" s="19"/>
      <c r="N149" s="66">
        <v>0.0</v>
      </c>
      <c r="O149" s="19"/>
      <c r="P149" s="19"/>
      <c r="Q149" s="66">
        <v>0.0</v>
      </c>
      <c r="R149" s="66">
        <v>0.0</v>
      </c>
      <c r="S149" s="66">
        <v>0.0</v>
      </c>
      <c r="T149" s="19"/>
      <c r="U149" s="19"/>
      <c r="V149" s="19"/>
      <c r="W149" s="13">
        <f t="shared" si="14"/>
        <v>2</v>
      </c>
      <c r="X149" s="5"/>
      <c r="Y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V150" si="27">SUM(E143:E149)</f>
        <v>1</v>
      </c>
      <c r="F150" s="13">
        <f t="shared" si="27"/>
        <v>0</v>
      </c>
      <c r="G150" s="13">
        <f t="shared" si="27"/>
        <v>0</v>
      </c>
      <c r="H150" s="13">
        <f t="shared" si="27"/>
        <v>0</v>
      </c>
      <c r="I150" s="13">
        <f t="shared" si="27"/>
        <v>0</v>
      </c>
      <c r="J150" s="13">
        <f t="shared" si="27"/>
        <v>1</v>
      </c>
      <c r="K150" s="13">
        <f t="shared" si="27"/>
        <v>0</v>
      </c>
      <c r="L150" s="13">
        <f t="shared" si="27"/>
        <v>0</v>
      </c>
      <c r="M150" s="13">
        <f t="shared" si="27"/>
        <v>0</v>
      </c>
      <c r="N150" s="13">
        <f t="shared" si="27"/>
        <v>0</v>
      </c>
      <c r="O150" s="13">
        <f t="shared" si="27"/>
        <v>0</v>
      </c>
      <c r="P150" s="13">
        <f t="shared" si="27"/>
        <v>0</v>
      </c>
      <c r="Q150" s="13">
        <f t="shared" si="27"/>
        <v>0</v>
      </c>
      <c r="R150" s="13">
        <f t="shared" si="27"/>
        <v>0</v>
      </c>
      <c r="S150" s="13">
        <f t="shared" si="27"/>
        <v>0</v>
      </c>
      <c r="T150" s="13">
        <f t="shared" si="27"/>
        <v>0</v>
      </c>
      <c r="U150" s="13">
        <f t="shared" si="27"/>
        <v>0</v>
      </c>
      <c r="V150" s="13">
        <f t="shared" si="27"/>
        <v>0</v>
      </c>
      <c r="W150" s="13">
        <f t="shared" si="14"/>
        <v>2</v>
      </c>
      <c r="X150" s="5"/>
      <c r="Y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13">
        <f t="shared" si="14"/>
        <v>0</v>
      </c>
      <c r="X151" s="1"/>
      <c r="Y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2.0</v>
      </c>
      <c r="F152" s="66">
        <v>0.0</v>
      </c>
      <c r="G152" s="66">
        <v>3.0</v>
      </c>
      <c r="H152" s="66">
        <v>2.0</v>
      </c>
      <c r="I152" s="66">
        <v>1.0</v>
      </c>
      <c r="J152" s="66">
        <v>4.0</v>
      </c>
      <c r="K152" s="66">
        <v>1.0</v>
      </c>
      <c r="L152" s="66">
        <v>3.0</v>
      </c>
      <c r="M152" s="66">
        <v>1.0</v>
      </c>
      <c r="N152" s="66">
        <v>3.0</v>
      </c>
      <c r="O152" s="19"/>
      <c r="P152" s="66">
        <v>1.0</v>
      </c>
      <c r="Q152" s="66">
        <v>1.0</v>
      </c>
      <c r="R152" s="66">
        <v>2.0</v>
      </c>
      <c r="S152" s="66">
        <v>6.0</v>
      </c>
      <c r="T152" s="19"/>
      <c r="U152" s="19"/>
      <c r="V152" s="19"/>
      <c r="W152" s="13">
        <f t="shared" si="14"/>
        <v>30</v>
      </c>
      <c r="X152" s="53"/>
      <c r="Y152" s="53"/>
    </row>
    <row r="153" ht="12.75" customHeight="1">
      <c r="A153" s="30" t="s">
        <v>39</v>
      </c>
      <c r="B153" s="49"/>
      <c r="C153" s="50" t="s">
        <v>132</v>
      </c>
      <c r="D153" s="51"/>
      <c r="E153" s="19"/>
      <c r="F153" s="66">
        <v>1.0</v>
      </c>
      <c r="G153" s="66">
        <v>0.0</v>
      </c>
      <c r="H153" s="66">
        <v>0.0</v>
      </c>
      <c r="I153" s="66">
        <v>1.0</v>
      </c>
      <c r="J153" s="66">
        <v>3.0</v>
      </c>
      <c r="K153" s="66">
        <v>0.0</v>
      </c>
      <c r="L153" s="66">
        <v>1.0</v>
      </c>
      <c r="M153" s="66">
        <v>3.0</v>
      </c>
      <c r="N153" s="66">
        <v>1.0</v>
      </c>
      <c r="O153" s="19"/>
      <c r="P153" s="19"/>
      <c r="Q153" s="66">
        <v>3.0</v>
      </c>
      <c r="R153" s="66">
        <v>3.0</v>
      </c>
      <c r="S153" s="66">
        <v>14.0</v>
      </c>
      <c r="T153" s="19"/>
      <c r="U153" s="19"/>
      <c r="V153" s="19"/>
      <c r="W153" s="13">
        <f t="shared" si="14"/>
        <v>30</v>
      </c>
      <c r="X153" s="5"/>
      <c r="Y153" s="5"/>
    </row>
    <row r="154" ht="12.75" customHeight="1">
      <c r="A154" s="18"/>
      <c r="B154" s="49"/>
      <c r="C154" s="50" t="s">
        <v>133</v>
      </c>
      <c r="D154" s="51"/>
      <c r="E154" s="66">
        <v>1.0</v>
      </c>
      <c r="F154" s="66">
        <v>2.0</v>
      </c>
      <c r="G154" s="66">
        <v>5.0</v>
      </c>
      <c r="H154" s="66">
        <v>7.0</v>
      </c>
      <c r="I154" s="66">
        <v>9.0</v>
      </c>
      <c r="J154" s="66">
        <v>9.0</v>
      </c>
      <c r="K154" s="66">
        <v>13.0</v>
      </c>
      <c r="L154" s="66">
        <v>0.0</v>
      </c>
      <c r="M154" s="19"/>
      <c r="N154" s="66">
        <v>2.0</v>
      </c>
      <c r="O154" s="66">
        <v>1.0</v>
      </c>
      <c r="P154" s="19"/>
      <c r="Q154" s="66">
        <v>2.0</v>
      </c>
      <c r="R154" s="66">
        <v>3.0</v>
      </c>
      <c r="S154" s="66">
        <v>3.0</v>
      </c>
      <c r="T154" s="19"/>
      <c r="U154" s="19"/>
      <c r="V154" s="19"/>
      <c r="W154" s="13">
        <f t="shared" si="14"/>
        <v>57</v>
      </c>
      <c r="X154" s="5"/>
      <c r="Y154" s="5"/>
    </row>
    <row r="155" ht="12.75" customHeight="1">
      <c r="A155" s="18"/>
      <c r="B155" s="49"/>
      <c r="C155" s="50" t="s">
        <v>134</v>
      </c>
      <c r="D155" s="51"/>
      <c r="E155" s="66">
        <v>8.0</v>
      </c>
      <c r="F155" s="66">
        <v>13.0</v>
      </c>
      <c r="G155" s="66">
        <v>64.0</v>
      </c>
      <c r="H155" s="66">
        <v>98.0</v>
      </c>
      <c r="I155" s="66">
        <v>9.0</v>
      </c>
      <c r="J155" s="66">
        <v>44.0</v>
      </c>
      <c r="K155" s="66">
        <v>25.0</v>
      </c>
      <c r="L155" s="66">
        <v>33.0</v>
      </c>
      <c r="M155" s="66">
        <v>9.0</v>
      </c>
      <c r="N155" s="66">
        <v>48.0</v>
      </c>
      <c r="O155" s="19"/>
      <c r="P155" s="19"/>
      <c r="Q155" s="66">
        <v>12.0</v>
      </c>
      <c r="R155" s="66">
        <v>14.0</v>
      </c>
      <c r="S155" s="66">
        <v>34.0</v>
      </c>
      <c r="T155" s="19"/>
      <c r="U155" s="19"/>
      <c r="V155" s="19"/>
      <c r="W155" s="13">
        <f t="shared" si="14"/>
        <v>411</v>
      </c>
      <c r="X155" s="5"/>
      <c r="Y155" s="5"/>
    </row>
    <row r="156" ht="12.75" customHeight="1">
      <c r="A156" s="18"/>
      <c r="B156" s="49"/>
      <c r="C156" s="50" t="s">
        <v>135</v>
      </c>
      <c r="D156" s="51"/>
      <c r="E156" s="19"/>
      <c r="F156" s="66">
        <v>0.0</v>
      </c>
      <c r="G156" s="66">
        <v>1.0</v>
      </c>
      <c r="H156" s="66">
        <v>1.0</v>
      </c>
      <c r="I156" s="66">
        <v>2.0</v>
      </c>
      <c r="J156" s="66">
        <v>2.0</v>
      </c>
      <c r="K156" s="66">
        <v>4.0</v>
      </c>
      <c r="L156" s="66">
        <v>1.0</v>
      </c>
      <c r="M156" s="19"/>
      <c r="N156" s="66">
        <v>0.0</v>
      </c>
      <c r="O156" s="19"/>
      <c r="P156" s="19"/>
      <c r="Q156" s="66">
        <v>0.0</v>
      </c>
      <c r="R156" s="66">
        <v>0.0</v>
      </c>
      <c r="S156" s="66">
        <v>0.0</v>
      </c>
      <c r="T156" s="19"/>
      <c r="U156" s="19"/>
      <c r="V156" s="19"/>
      <c r="W156" s="13">
        <f t="shared" si="14"/>
        <v>11</v>
      </c>
      <c r="X156" s="5"/>
      <c r="Y156" s="5"/>
    </row>
    <row r="157" ht="12.75" customHeight="1">
      <c r="A157" s="18"/>
      <c r="B157" s="49"/>
      <c r="C157" s="50" t="s">
        <v>136</v>
      </c>
      <c r="D157" s="51"/>
      <c r="E157" s="19"/>
      <c r="F157" s="19"/>
      <c r="G157" s="19"/>
      <c r="H157" s="66">
        <v>0.0</v>
      </c>
      <c r="I157" s="19"/>
      <c r="J157" s="19"/>
      <c r="K157" s="66">
        <v>0.0</v>
      </c>
      <c r="L157" s="66">
        <v>0.0</v>
      </c>
      <c r="M157" s="19"/>
      <c r="N157" s="66">
        <v>0.0</v>
      </c>
      <c r="O157" s="19"/>
      <c r="P157" s="19"/>
      <c r="Q157" s="66">
        <v>0.0</v>
      </c>
      <c r="R157" s="66">
        <v>0.0</v>
      </c>
      <c r="S157" s="66">
        <v>0.0</v>
      </c>
      <c r="T157" s="19"/>
      <c r="U157" s="19"/>
      <c r="V157" s="19"/>
      <c r="W157" s="13">
        <f t="shared" si="14"/>
        <v>0</v>
      </c>
      <c r="X157" s="5"/>
      <c r="Y157" s="5"/>
    </row>
    <row r="158" ht="12.75" customHeight="1">
      <c r="A158" s="18"/>
      <c r="B158" s="49"/>
      <c r="C158" s="50" t="s">
        <v>137</v>
      </c>
      <c r="D158" s="51"/>
      <c r="E158" s="19"/>
      <c r="F158" s="19"/>
      <c r="G158" s="19"/>
      <c r="H158" s="66">
        <v>0.0</v>
      </c>
      <c r="I158" s="19"/>
      <c r="J158" s="19"/>
      <c r="K158" s="66">
        <v>0.0</v>
      </c>
      <c r="L158" s="66">
        <v>0.0</v>
      </c>
      <c r="M158" s="19"/>
      <c r="N158" s="66">
        <v>0.0</v>
      </c>
      <c r="O158" s="66">
        <v>1.0</v>
      </c>
      <c r="P158" s="19"/>
      <c r="Q158" s="66">
        <v>0.0</v>
      </c>
      <c r="R158" s="66">
        <v>0.0</v>
      </c>
      <c r="S158" s="66">
        <v>0.0</v>
      </c>
      <c r="T158" s="19"/>
      <c r="U158" s="19"/>
      <c r="V158" s="19"/>
      <c r="W158" s="13">
        <f t="shared" si="14"/>
        <v>1</v>
      </c>
      <c r="X158" s="5"/>
      <c r="Y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V159" si="28">SUM(E152:E158)</f>
        <v>11</v>
      </c>
      <c r="F159" s="13">
        <f t="shared" si="28"/>
        <v>16</v>
      </c>
      <c r="G159" s="13">
        <f t="shared" si="28"/>
        <v>73</v>
      </c>
      <c r="H159" s="13">
        <f t="shared" si="28"/>
        <v>108</v>
      </c>
      <c r="I159" s="13">
        <f t="shared" si="28"/>
        <v>22</v>
      </c>
      <c r="J159" s="13">
        <f t="shared" si="28"/>
        <v>62</v>
      </c>
      <c r="K159" s="13">
        <f t="shared" si="28"/>
        <v>43</v>
      </c>
      <c r="L159" s="13">
        <f t="shared" si="28"/>
        <v>38</v>
      </c>
      <c r="M159" s="13">
        <f t="shared" si="28"/>
        <v>13</v>
      </c>
      <c r="N159" s="13">
        <f t="shared" si="28"/>
        <v>54</v>
      </c>
      <c r="O159" s="13">
        <f t="shared" si="28"/>
        <v>2</v>
      </c>
      <c r="P159" s="13">
        <f t="shared" si="28"/>
        <v>1</v>
      </c>
      <c r="Q159" s="13">
        <f t="shared" si="28"/>
        <v>18</v>
      </c>
      <c r="R159" s="13">
        <f t="shared" si="28"/>
        <v>22</v>
      </c>
      <c r="S159" s="13">
        <f t="shared" si="28"/>
        <v>57</v>
      </c>
      <c r="T159" s="13">
        <f t="shared" si="28"/>
        <v>0</v>
      </c>
      <c r="U159" s="13">
        <f t="shared" si="28"/>
        <v>0</v>
      </c>
      <c r="V159" s="13">
        <f t="shared" si="28"/>
        <v>0</v>
      </c>
      <c r="W159" s="13">
        <f t="shared" si="14"/>
        <v>540</v>
      </c>
      <c r="X159" s="5"/>
      <c r="Y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13">
        <f t="shared" si="14"/>
        <v>0</v>
      </c>
      <c r="X160" s="5"/>
      <c r="Y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1.0</v>
      </c>
      <c r="F161" s="87"/>
      <c r="G161" s="87"/>
      <c r="H161" s="73">
        <v>0.0</v>
      </c>
      <c r="I161" s="73">
        <v>0.0</v>
      </c>
      <c r="J161" s="73">
        <v>0.0</v>
      </c>
      <c r="K161" s="73">
        <v>1.0</v>
      </c>
      <c r="L161" s="73">
        <v>0.0</v>
      </c>
      <c r="M161" s="87"/>
      <c r="N161" s="73">
        <v>0.0</v>
      </c>
      <c r="O161" s="73">
        <v>1.0</v>
      </c>
      <c r="P161" s="87"/>
      <c r="Q161" s="73">
        <v>0.0</v>
      </c>
      <c r="R161" s="73">
        <v>0.0</v>
      </c>
      <c r="S161" s="73">
        <v>0.0</v>
      </c>
      <c r="T161" s="87"/>
      <c r="U161" s="87"/>
      <c r="V161" s="87"/>
      <c r="W161" s="13">
        <f t="shared" si="14"/>
        <v>3</v>
      </c>
      <c r="X161" s="5"/>
      <c r="Y161" s="5"/>
    </row>
    <row r="162" ht="12.75" customHeight="1">
      <c r="A162" s="30" t="s">
        <v>39</v>
      </c>
      <c r="B162" s="49"/>
      <c r="C162" s="50" t="s">
        <v>140</v>
      </c>
      <c r="D162" s="51"/>
      <c r="E162" s="87"/>
      <c r="F162" s="87"/>
      <c r="G162" s="73">
        <v>1.0</v>
      </c>
      <c r="H162" s="73">
        <v>0.0</v>
      </c>
      <c r="I162" s="73">
        <v>1.0</v>
      </c>
      <c r="J162" s="73">
        <v>1.0</v>
      </c>
      <c r="K162" s="73">
        <v>1.0</v>
      </c>
      <c r="L162" s="73">
        <v>0.0</v>
      </c>
      <c r="M162" s="87"/>
      <c r="N162" s="73">
        <v>0.0</v>
      </c>
      <c r="O162" s="73">
        <v>0.0</v>
      </c>
      <c r="P162" s="87"/>
      <c r="Q162" s="73">
        <v>0.0</v>
      </c>
      <c r="R162" s="73">
        <v>0.0</v>
      </c>
      <c r="S162" s="73">
        <v>0.0</v>
      </c>
      <c r="T162" s="87"/>
      <c r="U162" s="87"/>
      <c r="V162" s="87"/>
      <c r="W162" s="13">
        <f t="shared" si="14"/>
        <v>4</v>
      </c>
      <c r="X162" s="5"/>
      <c r="Y162" s="5"/>
    </row>
    <row r="163" ht="12.75" customHeight="1">
      <c r="A163" s="30"/>
      <c r="B163" s="49"/>
      <c r="C163" s="50" t="s">
        <v>141</v>
      </c>
      <c r="D163" s="51"/>
      <c r="E163" s="87"/>
      <c r="F163" s="87"/>
      <c r="G163" s="87"/>
      <c r="H163" s="73">
        <v>1.0</v>
      </c>
      <c r="I163" s="87"/>
      <c r="J163" s="87"/>
      <c r="K163" s="73">
        <v>0.0</v>
      </c>
      <c r="L163" s="73">
        <v>0.0</v>
      </c>
      <c r="M163" s="73">
        <v>1.0</v>
      </c>
      <c r="N163" s="73">
        <v>0.0</v>
      </c>
      <c r="O163" s="73">
        <v>2.0</v>
      </c>
      <c r="P163" s="87"/>
      <c r="Q163" s="73">
        <v>0.0</v>
      </c>
      <c r="R163" s="73">
        <v>0.0</v>
      </c>
      <c r="S163" s="73">
        <v>0.0</v>
      </c>
      <c r="T163" s="87"/>
      <c r="U163" s="87"/>
      <c r="V163" s="87"/>
      <c r="W163" s="13">
        <f t="shared" si="14"/>
        <v>4</v>
      </c>
      <c r="X163" s="5"/>
      <c r="Y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V164" si="29">SUM(E161:E163)</f>
        <v>1</v>
      </c>
      <c r="F164" s="13">
        <f t="shared" si="29"/>
        <v>0</v>
      </c>
      <c r="G164" s="13">
        <f t="shared" si="29"/>
        <v>1</v>
      </c>
      <c r="H164" s="13">
        <f t="shared" si="29"/>
        <v>1</v>
      </c>
      <c r="I164" s="13">
        <f t="shared" si="29"/>
        <v>1</v>
      </c>
      <c r="J164" s="13">
        <f t="shared" si="29"/>
        <v>1</v>
      </c>
      <c r="K164" s="13">
        <f t="shared" si="29"/>
        <v>2</v>
      </c>
      <c r="L164" s="13">
        <f t="shared" si="29"/>
        <v>0</v>
      </c>
      <c r="M164" s="13">
        <f t="shared" si="29"/>
        <v>1</v>
      </c>
      <c r="N164" s="13">
        <f t="shared" si="29"/>
        <v>0</v>
      </c>
      <c r="O164" s="13">
        <f t="shared" si="29"/>
        <v>3</v>
      </c>
      <c r="P164" s="13">
        <f t="shared" si="29"/>
        <v>0</v>
      </c>
      <c r="Q164" s="13">
        <f t="shared" si="29"/>
        <v>0</v>
      </c>
      <c r="R164" s="13">
        <f t="shared" si="29"/>
        <v>0</v>
      </c>
      <c r="S164" s="13">
        <f t="shared" si="29"/>
        <v>0</v>
      </c>
      <c r="T164" s="13">
        <f t="shared" si="29"/>
        <v>0</v>
      </c>
      <c r="U164" s="13">
        <f t="shared" si="29"/>
        <v>0</v>
      </c>
      <c r="V164" s="13">
        <f t="shared" si="29"/>
        <v>0</v>
      </c>
      <c r="W164" s="13">
        <f t="shared" si="14"/>
        <v>11</v>
      </c>
      <c r="X164" s="5"/>
      <c r="Y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13">
        <f t="shared" si="14"/>
        <v>0</v>
      </c>
      <c r="X165" s="1"/>
      <c r="Y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19"/>
      <c r="F166" s="19"/>
      <c r="G166" s="66">
        <v>0.0</v>
      </c>
      <c r="H166" s="66">
        <v>0.0</v>
      </c>
      <c r="I166" s="19"/>
      <c r="J166" s="66">
        <v>0.0</v>
      </c>
      <c r="K166" s="66">
        <v>0.0</v>
      </c>
      <c r="L166" s="66">
        <v>0.0</v>
      </c>
      <c r="M166" s="19"/>
      <c r="N166" s="19"/>
      <c r="O166" s="19"/>
      <c r="P166" s="19"/>
      <c r="Q166" s="66">
        <v>0.0</v>
      </c>
      <c r="R166" s="19"/>
      <c r="S166" s="19"/>
      <c r="T166" s="19"/>
      <c r="U166" s="19"/>
      <c r="V166" s="19"/>
      <c r="W166" s="13">
        <f t="shared" si="14"/>
        <v>0</v>
      </c>
      <c r="X166" s="53"/>
      <c r="Y166" s="53"/>
    </row>
    <row r="167" ht="12.75" customHeight="1">
      <c r="A167" s="30"/>
      <c r="B167" s="47"/>
      <c r="C167" s="50" t="s">
        <v>144</v>
      </c>
      <c r="D167" s="59"/>
      <c r="E167" s="19"/>
      <c r="F167" s="19"/>
      <c r="G167" s="19"/>
      <c r="H167" s="66">
        <v>0.0</v>
      </c>
      <c r="I167" s="19"/>
      <c r="J167" s="19"/>
      <c r="K167" s="66">
        <v>0.0</v>
      </c>
      <c r="L167" s="66">
        <v>0.0</v>
      </c>
      <c r="M167" s="19"/>
      <c r="N167" s="66">
        <v>1.0</v>
      </c>
      <c r="O167" s="19"/>
      <c r="P167" s="19"/>
      <c r="Q167" s="66">
        <v>0.0</v>
      </c>
      <c r="R167" s="19"/>
      <c r="S167" s="19"/>
      <c r="T167" s="19"/>
      <c r="U167" s="19"/>
      <c r="V167" s="19"/>
      <c r="W167" s="13">
        <f t="shared" si="14"/>
        <v>1</v>
      </c>
      <c r="X167" s="5"/>
      <c r="Y167" s="5"/>
    </row>
    <row r="168" ht="12.75" customHeight="1">
      <c r="A168" s="30"/>
      <c r="B168" s="47"/>
      <c r="C168" s="50" t="s">
        <v>145</v>
      </c>
      <c r="D168" s="59"/>
      <c r="E168" s="19"/>
      <c r="F168" s="19"/>
      <c r="G168" s="19"/>
      <c r="H168" s="66">
        <v>0.0</v>
      </c>
      <c r="I168" s="19"/>
      <c r="J168" s="19"/>
      <c r="K168" s="66">
        <v>0.0</v>
      </c>
      <c r="L168" s="66">
        <v>0.0</v>
      </c>
      <c r="M168" s="19"/>
      <c r="N168" s="19"/>
      <c r="O168" s="19"/>
      <c r="P168" s="19"/>
      <c r="Q168" s="66">
        <v>0.0</v>
      </c>
      <c r="R168" s="19"/>
      <c r="S168" s="19"/>
      <c r="T168" s="19"/>
      <c r="U168" s="19"/>
      <c r="V168" s="19"/>
      <c r="W168" s="13">
        <f t="shared" si="14"/>
        <v>0</v>
      </c>
      <c r="X168" s="5"/>
      <c r="Y168" s="5"/>
    </row>
    <row r="169" ht="12.75" customHeight="1">
      <c r="A169" s="30"/>
      <c r="B169" s="47"/>
      <c r="C169" s="50" t="s">
        <v>146</v>
      </c>
      <c r="D169" s="59"/>
      <c r="E169" s="19"/>
      <c r="F169" s="19"/>
      <c r="G169" s="19"/>
      <c r="H169" s="66">
        <v>0.0</v>
      </c>
      <c r="I169" s="19"/>
      <c r="J169" s="19"/>
      <c r="K169" s="66">
        <v>2.0</v>
      </c>
      <c r="L169" s="66">
        <v>0.0</v>
      </c>
      <c r="M169" s="19"/>
      <c r="N169" s="19"/>
      <c r="O169" s="19"/>
      <c r="P169" s="19"/>
      <c r="Q169" s="66">
        <v>0.0</v>
      </c>
      <c r="R169" s="19"/>
      <c r="S169" s="19"/>
      <c r="T169" s="19"/>
      <c r="U169" s="19"/>
      <c r="V169" s="19"/>
      <c r="W169" s="13">
        <f t="shared" si="14"/>
        <v>2</v>
      </c>
      <c r="X169" s="5"/>
      <c r="Y169" s="5"/>
    </row>
    <row r="170" ht="12.75" customHeight="1">
      <c r="A170" s="30" t="s">
        <v>39</v>
      </c>
      <c r="B170" s="49"/>
      <c r="C170" s="50" t="s">
        <v>147</v>
      </c>
      <c r="D170" s="51"/>
      <c r="E170" s="19"/>
      <c r="F170" s="19"/>
      <c r="G170" s="19"/>
      <c r="H170" s="66">
        <v>0.0</v>
      </c>
      <c r="I170" s="19"/>
      <c r="J170" s="19"/>
      <c r="K170" s="66">
        <v>0.0</v>
      </c>
      <c r="L170" s="66">
        <v>0.0</v>
      </c>
      <c r="M170" s="19"/>
      <c r="N170" s="19"/>
      <c r="O170" s="19"/>
      <c r="P170" s="19"/>
      <c r="Q170" s="66">
        <v>0.0</v>
      </c>
      <c r="R170" s="19"/>
      <c r="S170" s="19"/>
      <c r="T170" s="19"/>
      <c r="U170" s="19"/>
      <c r="V170" s="19"/>
      <c r="W170" s="13">
        <f t="shared" si="14"/>
        <v>0</v>
      </c>
      <c r="X170" s="5"/>
      <c r="Y170" s="5"/>
    </row>
    <row r="171" ht="12.75" customHeight="1">
      <c r="A171" s="18"/>
      <c r="B171" s="49"/>
      <c r="C171" s="50" t="s">
        <v>148</v>
      </c>
      <c r="D171" s="51"/>
      <c r="E171" s="19"/>
      <c r="F171" s="19"/>
      <c r="G171" s="19"/>
      <c r="H171" s="66">
        <v>0.0</v>
      </c>
      <c r="I171" s="19"/>
      <c r="J171" s="19"/>
      <c r="K171" s="66">
        <v>0.0</v>
      </c>
      <c r="L171" s="66">
        <v>0.0</v>
      </c>
      <c r="M171" s="19"/>
      <c r="N171" s="19"/>
      <c r="O171" s="19"/>
      <c r="P171" s="19"/>
      <c r="Q171" s="66">
        <v>0.0</v>
      </c>
      <c r="R171" s="19"/>
      <c r="S171" s="19"/>
      <c r="T171" s="19"/>
      <c r="U171" s="19"/>
      <c r="V171" s="19"/>
      <c r="W171" s="13">
        <f t="shared" si="14"/>
        <v>0</v>
      </c>
      <c r="X171" s="5"/>
      <c r="Y171" s="5"/>
    </row>
    <row r="172" ht="12.75" customHeight="1">
      <c r="A172" s="18"/>
      <c r="B172" s="49"/>
      <c r="C172" s="50" t="s">
        <v>149</v>
      </c>
      <c r="D172" s="51"/>
      <c r="E172" s="19"/>
      <c r="F172" s="19"/>
      <c r="G172" s="19"/>
      <c r="H172" s="66">
        <v>0.0</v>
      </c>
      <c r="I172" s="19"/>
      <c r="J172" s="19"/>
      <c r="K172" s="66">
        <v>0.0</v>
      </c>
      <c r="L172" s="66">
        <v>0.0</v>
      </c>
      <c r="M172" s="19"/>
      <c r="N172" s="19"/>
      <c r="O172" s="19"/>
      <c r="P172" s="19"/>
      <c r="Q172" s="66">
        <v>0.0</v>
      </c>
      <c r="R172" s="19"/>
      <c r="S172" s="19"/>
      <c r="T172" s="19"/>
      <c r="U172" s="19"/>
      <c r="V172" s="19"/>
      <c r="W172" s="13">
        <f t="shared" si="14"/>
        <v>0</v>
      </c>
      <c r="X172" s="5"/>
      <c r="Y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V173" si="30">SUM(E166:E172)</f>
        <v>0</v>
      </c>
      <c r="F173" s="13">
        <f t="shared" si="30"/>
        <v>0</v>
      </c>
      <c r="G173" s="13">
        <f t="shared" si="30"/>
        <v>0</v>
      </c>
      <c r="H173" s="13">
        <f t="shared" si="30"/>
        <v>0</v>
      </c>
      <c r="I173" s="13">
        <f t="shared" si="30"/>
        <v>0</v>
      </c>
      <c r="J173" s="13">
        <f t="shared" si="30"/>
        <v>0</v>
      </c>
      <c r="K173" s="13">
        <f t="shared" si="30"/>
        <v>2</v>
      </c>
      <c r="L173" s="13">
        <f t="shared" si="30"/>
        <v>0</v>
      </c>
      <c r="M173" s="13">
        <f t="shared" si="30"/>
        <v>0</v>
      </c>
      <c r="N173" s="13">
        <f t="shared" si="30"/>
        <v>1</v>
      </c>
      <c r="O173" s="13">
        <f t="shared" si="30"/>
        <v>0</v>
      </c>
      <c r="P173" s="13">
        <f t="shared" si="30"/>
        <v>0</v>
      </c>
      <c r="Q173" s="13">
        <f t="shared" si="30"/>
        <v>0</v>
      </c>
      <c r="R173" s="13">
        <f t="shared" si="30"/>
        <v>0</v>
      </c>
      <c r="S173" s="13">
        <f t="shared" si="30"/>
        <v>0</v>
      </c>
      <c r="T173" s="13">
        <f t="shared" si="30"/>
        <v>0</v>
      </c>
      <c r="U173" s="13">
        <f t="shared" si="30"/>
        <v>0</v>
      </c>
      <c r="V173" s="13">
        <f t="shared" si="30"/>
        <v>0</v>
      </c>
      <c r="W173" s="13">
        <f t="shared" si="14"/>
        <v>3</v>
      </c>
      <c r="X173" s="5"/>
      <c r="Y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13">
        <f t="shared" si="14"/>
        <v>0</v>
      </c>
      <c r="X174" s="5"/>
      <c r="Y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19"/>
      <c r="F175" s="66">
        <v>2.0</v>
      </c>
      <c r="G175" s="66">
        <v>0.0</v>
      </c>
      <c r="H175" s="66">
        <v>2.0</v>
      </c>
      <c r="I175" s="66">
        <v>1.0</v>
      </c>
      <c r="J175" s="66">
        <v>4.0</v>
      </c>
      <c r="K175" s="66">
        <v>1.0</v>
      </c>
      <c r="L175" s="66">
        <v>0.0</v>
      </c>
      <c r="M175" s="66">
        <v>1.0</v>
      </c>
      <c r="N175" s="66">
        <v>5.0</v>
      </c>
      <c r="O175" s="19"/>
      <c r="P175" s="19"/>
      <c r="Q175" s="66">
        <v>5.0</v>
      </c>
      <c r="R175" s="66">
        <v>0.0</v>
      </c>
      <c r="S175" s="66">
        <v>6.0</v>
      </c>
      <c r="T175" s="19"/>
      <c r="U175" s="19"/>
      <c r="V175" s="19"/>
      <c r="W175" s="13">
        <f t="shared" si="14"/>
        <v>27</v>
      </c>
      <c r="X175" s="5"/>
      <c r="Y175" s="5"/>
    </row>
    <row r="176" ht="12.75" customHeight="1">
      <c r="A176" s="30" t="s">
        <v>39</v>
      </c>
      <c r="B176" s="49"/>
      <c r="C176" s="50" t="s">
        <v>152</v>
      </c>
      <c r="D176" s="51"/>
      <c r="E176" s="19"/>
      <c r="F176" s="66">
        <v>0.0</v>
      </c>
      <c r="G176" s="66">
        <v>1.0</v>
      </c>
      <c r="H176" s="66">
        <v>0.0</v>
      </c>
      <c r="I176" s="19"/>
      <c r="J176" s="66">
        <v>1.0</v>
      </c>
      <c r="K176" s="66">
        <v>1.0</v>
      </c>
      <c r="L176" s="66">
        <v>1.0</v>
      </c>
      <c r="M176" s="19"/>
      <c r="N176" s="66">
        <v>2.0</v>
      </c>
      <c r="O176" s="19"/>
      <c r="P176" s="19"/>
      <c r="Q176" s="66">
        <v>0.0</v>
      </c>
      <c r="R176" s="66">
        <v>1.0</v>
      </c>
      <c r="S176" s="66">
        <v>2.0</v>
      </c>
      <c r="T176" s="19"/>
      <c r="U176" s="19"/>
      <c r="V176" s="19"/>
      <c r="W176" s="13">
        <f t="shared" si="14"/>
        <v>9</v>
      </c>
      <c r="X176" s="1"/>
      <c r="Y176" s="1"/>
    </row>
    <row r="177" ht="12.75" customHeight="1">
      <c r="A177" s="18"/>
      <c r="B177" s="49"/>
      <c r="C177" s="50" t="s">
        <v>153</v>
      </c>
      <c r="D177" s="51"/>
      <c r="E177" s="66">
        <v>9.0</v>
      </c>
      <c r="F177" s="66">
        <v>17.0</v>
      </c>
      <c r="G177" s="66">
        <v>10.0</v>
      </c>
      <c r="H177" s="66">
        <v>22.0</v>
      </c>
      <c r="I177" s="66">
        <v>35.0</v>
      </c>
      <c r="J177" s="66">
        <v>42.0</v>
      </c>
      <c r="K177" s="66">
        <v>16.0</v>
      </c>
      <c r="L177" s="66">
        <v>10.0</v>
      </c>
      <c r="M177" s="66">
        <v>11.0</v>
      </c>
      <c r="N177" s="66">
        <v>22.0</v>
      </c>
      <c r="O177" s="19"/>
      <c r="P177" s="66">
        <v>1.0</v>
      </c>
      <c r="Q177" s="66">
        <v>28.0</v>
      </c>
      <c r="R177" s="66">
        <v>19.0</v>
      </c>
      <c r="S177" s="66">
        <v>20.0</v>
      </c>
      <c r="T177" s="19"/>
      <c r="U177" s="19"/>
      <c r="V177" s="19"/>
      <c r="W177" s="13">
        <f t="shared" si="14"/>
        <v>262</v>
      </c>
    </row>
    <row r="178" ht="12.75" customHeight="1">
      <c r="A178" s="18"/>
      <c r="B178" s="49"/>
      <c r="C178" s="50" t="s">
        <v>154</v>
      </c>
      <c r="D178" s="51"/>
      <c r="E178" s="19"/>
      <c r="F178" s="19"/>
      <c r="G178" s="19"/>
      <c r="H178" s="66">
        <v>0.0</v>
      </c>
      <c r="I178" s="19"/>
      <c r="J178" s="19"/>
      <c r="K178" s="66">
        <v>0.0</v>
      </c>
      <c r="L178" s="66">
        <v>0.0</v>
      </c>
      <c r="M178" s="19"/>
      <c r="N178" s="66">
        <v>0.0</v>
      </c>
      <c r="O178" s="19"/>
      <c r="P178" s="19"/>
      <c r="Q178" s="66">
        <v>0.0</v>
      </c>
      <c r="R178" s="66">
        <v>1.0</v>
      </c>
      <c r="S178" s="66">
        <v>0.0</v>
      </c>
      <c r="T178" s="19"/>
      <c r="U178" s="19"/>
      <c r="V178" s="19"/>
      <c r="W178" s="13">
        <f t="shared" si="14"/>
        <v>1</v>
      </c>
      <c r="X178" s="5"/>
      <c r="Y178" s="5"/>
    </row>
    <row r="179" ht="12.75" customHeight="1">
      <c r="A179" s="18"/>
      <c r="B179" s="49"/>
      <c r="C179" s="50" t="s">
        <v>155</v>
      </c>
      <c r="D179" s="51"/>
      <c r="E179" s="19"/>
      <c r="F179" s="19"/>
      <c r="G179" s="19"/>
      <c r="H179" s="66">
        <v>0.0</v>
      </c>
      <c r="I179" s="19"/>
      <c r="J179" s="66">
        <v>1.0</v>
      </c>
      <c r="K179" s="66">
        <v>0.0</v>
      </c>
      <c r="L179" s="66">
        <v>0.0</v>
      </c>
      <c r="M179" s="19"/>
      <c r="N179" s="66">
        <v>0.0</v>
      </c>
      <c r="O179" s="19"/>
      <c r="P179" s="19"/>
      <c r="Q179" s="66">
        <v>1.0</v>
      </c>
      <c r="R179" s="19"/>
      <c r="S179" s="66">
        <v>0.0</v>
      </c>
      <c r="T179" s="19"/>
      <c r="U179" s="19"/>
      <c r="V179" s="19"/>
      <c r="W179" s="13">
        <f t="shared" si="14"/>
        <v>2</v>
      </c>
      <c r="X179" s="5"/>
      <c r="Y179" s="5"/>
    </row>
    <row r="180" ht="12.75" customHeight="1">
      <c r="A180" s="18"/>
      <c r="B180" s="49"/>
      <c r="C180" s="50" t="s">
        <v>156</v>
      </c>
      <c r="D180" s="51"/>
      <c r="E180" s="19"/>
      <c r="F180" s="66">
        <v>1.0</v>
      </c>
      <c r="G180" s="19"/>
      <c r="H180" s="66">
        <v>0.0</v>
      </c>
      <c r="I180" s="19"/>
      <c r="J180" s="19"/>
      <c r="K180" s="66">
        <v>2.0</v>
      </c>
      <c r="L180" s="66">
        <v>0.0</v>
      </c>
      <c r="M180" s="19"/>
      <c r="N180" s="66">
        <v>0.0</v>
      </c>
      <c r="O180" s="19"/>
      <c r="P180" s="19"/>
      <c r="Q180" s="66">
        <v>1.0</v>
      </c>
      <c r="R180" s="19"/>
      <c r="S180" s="66">
        <v>0.0</v>
      </c>
      <c r="T180" s="19"/>
      <c r="U180" s="19"/>
      <c r="V180" s="19"/>
      <c r="W180" s="13">
        <f t="shared" si="14"/>
        <v>4</v>
      </c>
      <c r="X180" s="5"/>
      <c r="Y180" s="5"/>
    </row>
    <row r="181" ht="12.75" customHeight="1">
      <c r="A181" s="18"/>
      <c r="B181" s="49"/>
      <c r="C181" s="50" t="s">
        <v>157</v>
      </c>
      <c r="D181" s="51"/>
      <c r="E181" s="19"/>
      <c r="F181" s="19"/>
      <c r="G181" s="19"/>
      <c r="H181" s="66">
        <v>0.0</v>
      </c>
      <c r="I181" s="19"/>
      <c r="J181" s="19"/>
      <c r="K181" s="66">
        <v>0.0</v>
      </c>
      <c r="L181" s="66">
        <v>0.0</v>
      </c>
      <c r="M181" s="19"/>
      <c r="N181" s="66">
        <v>0.0</v>
      </c>
      <c r="O181" s="19"/>
      <c r="P181" s="19"/>
      <c r="Q181" s="66">
        <v>0.0</v>
      </c>
      <c r="R181" s="66">
        <v>1.0</v>
      </c>
      <c r="S181" s="66">
        <v>0.0</v>
      </c>
      <c r="T181" s="19"/>
      <c r="U181" s="19"/>
      <c r="V181" s="19"/>
      <c r="W181" s="13">
        <f t="shared" si="14"/>
        <v>1</v>
      </c>
      <c r="X181" s="5"/>
      <c r="Y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V182" si="31">SUM(E175:E181)</f>
        <v>9</v>
      </c>
      <c r="F182" s="13">
        <f t="shared" si="31"/>
        <v>20</v>
      </c>
      <c r="G182" s="13">
        <f t="shared" si="31"/>
        <v>11</v>
      </c>
      <c r="H182" s="13">
        <f t="shared" si="31"/>
        <v>24</v>
      </c>
      <c r="I182" s="13">
        <f t="shared" si="31"/>
        <v>36</v>
      </c>
      <c r="J182" s="13">
        <f t="shared" si="31"/>
        <v>48</v>
      </c>
      <c r="K182" s="13">
        <f t="shared" si="31"/>
        <v>20</v>
      </c>
      <c r="L182" s="13">
        <f t="shared" si="31"/>
        <v>11</v>
      </c>
      <c r="M182" s="13">
        <f t="shared" si="31"/>
        <v>12</v>
      </c>
      <c r="N182" s="13">
        <f t="shared" si="31"/>
        <v>29</v>
      </c>
      <c r="O182" s="13">
        <f t="shared" si="31"/>
        <v>0</v>
      </c>
      <c r="P182" s="13">
        <f t="shared" si="31"/>
        <v>1</v>
      </c>
      <c r="Q182" s="13">
        <f t="shared" si="31"/>
        <v>35</v>
      </c>
      <c r="R182" s="13">
        <f t="shared" si="31"/>
        <v>22</v>
      </c>
      <c r="S182" s="13">
        <f t="shared" si="31"/>
        <v>28</v>
      </c>
      <c r="T182" s="13">
        <f t="shared" si="31"/>
        <v>0</v>
      </c>
      <c r="U182" s="13">
        <f t="shared" si="31"/>
        <v>0</v>
      </c>
      <c r="V182" s="13">
        <f t="shared" si="31"/>
        <v>0</v>
      </c>
      <c r="W182" s="13">
        <f t="shared" si="14"/>
        <v>306</v>
      </c>
      <c r="X182" s="5"/>
      <c r="Y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13">
        <f t="shared" si="14"/>
        <v>0</v>
      </c>
      <c r="X183" s="5"/>
      <c r="Y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19"/>
      <c r="F184" s="19"/>
      <c r="G184" s="19"/>
      <c r="H184" s="66">
        <v>1.0</v>
      </c>
      <c r="I184" s="19"/>
      <c r="J184" s="19"/>
      <c r="K184" s="66">
        <v>0.0</v>
      </c>
      <c r="L184" s="66">
        <v>0.0</v>
      </c>
      <c r="M184" s="19"/>
      <c r="N184" s="66">
        <v>0.0</v>
      </c>
      <c r="O184" s="19"/>
      <c r="P184" s="19"/>
      <c r="Q184" s="66">
        <v>0.0</v>
      </c>
      <c r="R184" s="66">
        <v>0.0</v>
      </c>
      <c r="S184" s="66">
        <v>1.0</v>
      </c>
      <c r="T184" s="19"/>
      <c r="U184" s="19"/>
      <c r="V184" s="19"/>
      <c r="W184" s="13">
        <f t="shared" si="14"/>
        <v>2</v>
      </c>
      <c r="X184" s="5"/>
      <c r="Y184" s="5"/>
    </row>
    <row r="185" ht="12.75" customHeight="1">
      <c r="A185" s="30" t="s">
        <v>39</v>
      </c>
      <c r="B185" s="49"/>
      <c r="C185" s="50" t="s">
        <v>160</v>
      </c>
      <c r="D185" s="51"/>
      <c r="E185" s="19"/>
      <c r="F185" s="66">
        <v>1.0</v>
      </c>
      <c r="G185" s="19"/>
      <c r="H185" s="66">
        <v>0.0</v>
      </c>
      <c r="I185" s="19"/>
      <c r="J185" s="19"/>
      <c r="K185" s="66">
        <v>0.0</v>
      </c>
      <c r="L185" s="66">
        <v>0.0</v>
      </c>
      <c r="M185" s="19"/>
      <c r="N185" s="66">
        <v>0.0</v>
      </c>
      <c r="O185" s="19"/>
      <c r="P185" s="19"/>
      <c r="Q185" s="66">
        <v>0.0</v>
      </c>
      <c r="R185" s="66">
        <v>0.0</v>
      </c>
      <c r="S185" s="66">
        <v>0.0</v>
      </c>
      <c r="T185" s="19"/>
      <c r="U185" s="19"/>
      <c r="V185" s="19"/>
      <c r="W185" s="13">
        <f t="shared" si="14"/>
        <v>1</v>
      </c>
      <c r="X185" s="5"/>
      <c r="Y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3">
        <f t="shared" si="14"/>
        <v>0</v>
      </c>
      <c r="X186" s="5"/>
      <c r="Y186" s="5"/>
    </row>
    <row r="187" ht="12.75" customHeight="1">
      <c r="A187" s="24"/>
      <c r="B187" s="15"/>
      <c r="C187" s="15"/>
      <c r="D187" s="16"/>
      <c r="E187" s="13">
        <f t="shared" ref="E187:V187" si="32">SUM(E177:E184)</f>
        <v>18</v>
      </c>
      <c r="F187" s="13">
        <f t="shared" si="32"/>
        <v>38</v>
      </c>
      <c r="G187" s="13">
        <f t="shared" si="32"/>
        <v>21</v>
      </c>
      <c r="H187" s="13">
        <f t="shared" si="32"/>
        <v>47</v>
      </c>
      <c r="I187" s="13">
        <f t="shared" si="32"/>
        <v>71</v>
      </c>
      <c r="J187" s="13">
        <f t="shared" si="32"/>
        <v>91</v>
      </c>
      <c r="K187" s="13">
        <f t="shared" si="32"/>
        <v>38</v>
      </c>
      <c r="L187" s="13">
        <f t="shared" si="32"/>
        <v>21</v>
      </c>
      <c r="M187" s="13">
        <f t="shared" si="32"/>
        <v>23</v>
      </c>
      <c r="N187" s="13">
        <f t="shared" si="32"/>
        <v>51</v>
      </c>
      <c r="O187" s="13">
        <f t="shared" si="32"/>
        <v>0</v>
      </c>
      <c r="P187" s="13">
        <f t="shared" si="32"/>
        <v>2</v>
      </c>
      <c r="Q187" s="13">
        <f t="shared" si="32"/>
        <v>65</v>
      </c>
      <c r="R187" s="13">
        <f t="shared" si="32"/>
        <v>43</v>
      </c>
      <c r="S187" s="13">
        <f t="shared" si="32"/>
        <v>49</v>
      </c>
      <c r="T187" s="13">
        <f t="shared" si="32"/>
        <v>0</v>
      </c>
      <c r="U187" s="13">
        <f t="shared" si="32"/>
        <v>0</v>
      </c>
      <c r="V187" s="13">
        <f t="shared" si="32"/>
        <v>0</v>
      </c>
      <c r="W187" s="13">
        <f t="shared" si="14"/>
        <v>578</v>
      </c>
      <c r="X187" s="1"/>
      <c r="Y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13">
        <f t="shared" si="14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13">
        <f t="shared" si="14"/>
        <v>0</v>
      </c>
      <c r="X189" s="5"/>
      <c r="Y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V190" si="33">E187+E182+E173+E164+E159+E150+E141+E132+E128+E119+E110+E101+E92+E88+E79+E70+E61+E52</f>
        <v>261</v>
      </c>
      <c r="F190" s="19">
        <f t="shared" si="33"/>
        <v>262</v>
      </c>
      <c r="G190" s="19">
        <f t="shared" si="33"/>
        <v>207</v>
      </c>
      <c r="H190" s="19">
        <f t="shared" si="33"/>
        <v>253</v>
      </c>
      <c r="I190" s="19">
        <f t="shared" si="33"/>
        <v>265</v>
      </c>
      <c r="J190" s="19">
        <f t="shared" si="33"/>
        <v>288</v>
      </c>
      <c r="K190" s="19">
        <f t="shared" si="33"/>
        <v>231</v>
      </c>
      <c r="L190" s="19">
        <f t="shared" si="33"/>
        <v>209</v>
      </c>
      <c r="M190" s="19">
        <f t="shared" si="33"/>
        <v>246</v>
      </c>
      <c r="N190" s="19">
        <f t="shared" si="33"/>
        <v>273</v>
      </c>
      <c r="O190" s="19">
        <f t="shared" si="33"/>
        <v>220</v>
      </c>
      <c r="P190" s="19">
        <f t="shared" si="33"/>
        <v>188</v>
      </c>
      <c r="Q190" s="19">
        <f t="shared" si="33"/>
        <v>283</v>
      </c>
      <c r="R190" s="19">
        <f t="shared" si="33"/>
        <v>255</v>
      </c>
      <c r="S190" s="19">
        <f t="shared" si="33"/>
        <v>249</v>
      </c>
      <c r="T190" s="19">
        <f t="shared" si="33"/>
        <v>0</v>
      </c>
      <c r="U190" s="19">
        <f t="shared" si="33"/>
        <v>0</v>
      </c>
      <c r="V190" s="19">
        <f t="shared" si="33"/>
        <v>0</v>
      </c>
      <c r="W190" s="13">
        <f t="shared" si="14"/>
        <v>3690</v>
      </c>
      <c r="X190" s="5"/>
      <c r="Y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12.0</v>
      </c>
      <c r="F191" s="66">
        <v>12.0</v>
      </c>
      <c r="G191" s="66">
        <v>15.0</v>
      </c>
      <c r="H191" s="66">
        <v>7.0</v>
      </c>
      <c r="I191" s="66">
        <v>10.0</v>
      </c>
      <c r="J191" s="66">
        <v>9.0</v>
      </c>
      <c r="K191" s="66">
        <v>7.0</v>
      </c>
      <c r="L191" s="66">
        <v>11.0</v>
      </c>
      <c r="M191" s="66">
        <v>15.0</v>
      </c>
      <c r="N191" s="66">
        <v>10.0</v>
      </c>
      <c r="O191" s="66">
        <v>5.0</v>
      </c>
      <c r="P191" s="66">
        <v>4.0</v>
      </c>
      <c r="Q191" s="66">
        <v>13.0</v>
      </c>
      <c r="R191" s="66">
        <v>10.0</v>
      </c>
      <c r="S191" s="66">
        <v>15.0</v>
      </c>
      <c r="T191" s="19"/>
      <c r="U191" s="19"/>
      <c r="V191" s="19"/>
      <c r="W191" s="13">
        <f t="shared" si="14"/>
        <v>155</v>
      </c>
      <c r="X191" s="5"/>
      <c r="Y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V192" si="34">E190+E191</f>
        <v>273</v>
      </c>
      <c r="F192" s="19">
        <f t="shared" si="34"/>
        <v>274</v>
      </c>
      <c r="G192" s="19">
        <f t="shared" si="34"/>
        <v>222</v>
      </c>
      <c r="H192" s="19">
        <f t="shared" si="34"/>
        <v>260</v>
      </c>
      <c r="I192" s="19">
        <f t="shared" si="34"/>
        <v>275</v>
      </c>
      <c r="J192" s="19">
        <f t="shared" si="34"/>
        <v>297</v>
      </c>
      <c r="K192" s="19">
        <f t="shared" si="34"/>
        <v>238</v>
      </c>
      <c r="L192" s="19">
        <f t="shared" si="34"/>
        <v>220</v>
      </c>
      <c r="M192" s="19">
        <f t="shared" si="34"/>
        <v>261</v>
      </c>
      <c r="N192" s="19">
        <f t="shared" si="34"/>
        <v>283</v>
      </c>
      <c r="O192" s="19">
        <f t="shared" si="34"/>
        <v>225</v>
      </c>
      <c r="P192" s="19">
        <f t="shared" si="34"/>
        <v>192</v>
      </c>
      <c r="Q192" s="19">
        <f t="shared" si="34"/>
        <v>296</v>
      </c>
      <c r="R192" s="19">
        <f t="shared" si="34"/>
        <v>265</v>
      </c>
      <c r="S192" s="19">
        <f t="shared" si="34"/>
        <v>264</v>
      </c>
      <c r="T192" s="19">
        <f t="shared" si="34"/>
        <v>0</v>
      </c>
      <c r="U192" s="19">
        <f t="shared" si="34"/>
        <v>0</v>
      </c>
      <c r="V192" s="19">
        <f t="shared" si="34"/>
        <v>0</v>
      </c>
      <c r="W192" s="13">
        <f t="shared" si="14"/>
        <v>3845</v>
      </c>
      <c r="X192" s="5"/>
      <c r="Y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V12"/>
    <mergeCell ref="W12:W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34:T34">
    <cfRule type="expression" dxfId="1" priority="1">
      <formula>E34&lt;&gt;E64</formula>
    </cfRule>
  </conditionalFormatting>
  <conditionalFormatting sqref="E14:V15">
    <cfRule type="containsBlanks" dxfId="0" priority="2">
      <formula>LEN(TRIM(E14))=0</formula>
    </cfRule>
  </conditionalFormatting>
  <conditionalFormatting sqref="E19:V20">
    <cfRule type="containsBlanks" dxfId="0" priority="3">
      <formula>LEN(TRIM(E19))=0</formula>
    </cfRule>
  </conditionalFormatting>
  <conditionalFormatting sqref="E22:V23 E25:V26 E33:V33 E35:V35 E39:V40">
    <cfRule type="containsBlanks" dxfId="0" priority="4">
      <formula>LEN(TRIM(E22))=0</formula>
    </cfRule>
  </conditionalFormatting>
  <conditionalFormatting sqref="E30:V30">
    <cfRule type="expression" dxfId="1" priority="5">
      <formula>E30&lt;&gt;E47</formula>
    </cfRule>
  </conditionalFormatting>
  <conditionalFormatting sqref="E30:V30">
    <cfRule type="expression" dxfId="1" priority="6">
      <formula>E30&lt;&gt;E34</formula>
    </cfRule>
  </conditionalFormatting>
  <conditionalFormatting sqref="E34:V34">
    <cfRule type="expression" dxfId="2" priority="7">
      <formula>E30&lt;&gt;E34</formula>
    </cfRule>
  </conditionalFormatting>
  <conditionalFormatting sqref="E34:V34">
    <cfRule type="expression" dxfId="3" priority="8">
      <formula>E30=E34</formula>
    </cfRule>
  </conditionalFormatting>
  <conditionalFormatting sqref="E34:V34">
    <cfRule type="expression" dxfId="1" priority="9">
      <formula>E34&lt;&gt;E30</formula>
    </cfRule>
  </conditionalFormatting>
  <conditionalFormatting sqref="U34:V34">
    <cfRule type="expression" dxfId="1" priority="10">
      <formula>U34&lt;&gt;U47</formula>
    </cfRule>
  </conditionalFormatting>
  <conditionalFormatting sqref="E45:V52 E54:V61">
    <cfRule type="containsBlanks" dxfId="0" priority="11">
      <formula>LEN(TRIM(E45))=0</formula>
    </cfRule>
  </conditionalFormatting>
  <conditionalFormatting sqref="E90:V90">
    <cfRule type="containsBlanks" dxfId="0" priority="12">
      <formula>LEN(TRIM(E90))=0</formula>
    </cfRule>
  </conditionalFormatting>
  <conditionalFormatting sqref="E130:V132">
    <cfRule type="containsBlanks" dxfId="0" priority="13">
      <formula>LEN(TRIM(E130))=0</formula>
    </cfRule>
  </conditionalFormatting>
  <conditionalFormatting sqref="E161:V162">
    <cfRule type="containsBlanks" dxfId="0" priority="14">
      <formula>LEN(TRIM(E161))=0</formula>
    </cfRule>
  </conditionalFormatting>
  <conditionalFormatting sqref="E184:V186">
    <cfRule type="containsBlanks" dxfId="0" priority="15">
      <formula>LEN(TRIM(E184))=0</formula>
    </cfRule>
  </conditionalFormatting>
  <conditionalFormatting sqref="E190:V192">
    <cfRule type="containsBlanks" dxfId="0" priority="16">
      <formula>LEN(TRIM(E190))=0</formula>
    </cfRule>
  </conditionalFormatting>
  <conditionalFormatting sqref="E63:V70">
    <cfRule type="containsBlanks" dxfId="0" priority="17">
      <formula>LEN(TRIM(E63))=0</formula>
    </cfRule>
  </conditionalFormatting>
  <conditionalFormatting sqref="E72:V79">
    <cfRule type="containsBlanks" dxfId="0" priority="18">
      <formula>LEN(TRIM(E72))=0</formula>
    </cfRule>
  </conditionalFormatting>
  <conditionalFormatting sqref="E81:V88">
    <cfRule type="containsBlanks" dxfId="0" priority="19">
      <formula>LEN(TRIM(E81))=0</formula>
    </cfRule>
  </conditionalFormatting>
  <conditionalFormatting sqref="E94:V101">
    <cfRule type="containsBlanks" dxfId="0" priority="20">
      <formula>LEN(TRIM(E94))=0</formula>
    </cfRule>
  </conditionalFormatting>
  <conditionalFormatting sqref="E103:V110">
    <cfRule type="containsBlanks" dxfId="0" priority="21">
      <formula>LEN(TRIM(E103))=0</formula>
    </cfRule>
  </conditionalFormatting>
  <conditionalFormatting sqref="E112:V119">
    <cfRule type="containsBlanks" dxfId="0" priority="22">
      <formula>LEN(TRIM(E112))=0</formula>
    </cfRule>
  </conditionalFormatting>
  <conditionalFormatting sqref="E121:V128">
    <cfRule type="containsBlanks" dxfId="0" priority="23">
      <formula>LEN(TRIM(E121))=0</formula>
    </cfRule>
  </conditionalFormatting>
  <conditionalFormatting sqref="E134:V141">
    <cfRule type="containsBlanks" dxfId="0" priority="24">
      <formula>LEN(TRIM(E134))=0</formula>
    </cfRule>
  </conditionalFormatting>
  <conditionalFormatting sqref="E143:V150">
    <cfRule type="containsBlanks" dxfId="0" priority="25">
      <formula>LEN(TRIM(E143))=0</formula>
    </cfRule>
  </conditionalFormatting>
  <conditionalFormatting sqref="E152:V159">
    <cfRule type="containsBlanks" dxfId="0" priority="26">
      <formula>LEN(TRIM(E152))=0</formula>
    </cfRule>
  </conditionalFormatting>
  <conditionalFormatting sqref="E166:V173">
    <cfRule type="containsBlanks" dxfId="0" priority="27">
      <formula>LEN(TRIM(E166))=0</formula>
    </cfRule>
  </conditionalFormatting>
  <conditionalFormatting sqref="E175:V182">
    <cfRule type="containsBlanks" dxfId="0" priority="28">
      <formula>LEN(TRIM(E175))=0</formula>
    </cfRule>
  </conditionalFormatting>
  <conditionalFormatting sqref="E91:V91">
    <cfRule type="containsBlanks" dxfId="0" priority="29">
      <formula>LEN(TRIM(E91))=0</formula>
    </cfRule>
  </conditionalFormatting>
  <conditionalFormatting sqref="E163:V163">
    <cfRule type="containsBlanks" dxfId="0" priority="30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15" width="8.71"/>
    <col customWidth="1" min="16" max="16" width="13.29"/>
    <col customWidth="1" min="17" max="26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256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36"/>
    </row>
    <row r="14" ht="12.75" customHeight="1">
      <c r="A14" s="18"/>
      <c r="B14" s="22" t="s">
        <v>11</v>
      </c>
      <c r="C14" s="23"/>
      <c r="D14" s="19" t="s">
        <v>12</v>
      </c>
      <c r="E14" s="82">
        <v>144.0</v>
      </c>
      <c r="F14" s="82">
        <v>103.0</v>
      </c>
      <c r="G14" s="82">
        <v>108.0</v>
      </c>
      <c r="H14" s="82">
        <v>112.0</v>
      </c>
      <c r="I14" s="82">
        <v>127.0</v>
      </c>
      <c r="J14" s="82">
        <v>153.0</v>
      </c>
      <c r="K14" s="82">
        <v>123.0</v>
      </c>
      <c r="L14" s="82">
        <v>145.0</v>
      </c>
      <c r="M14" s="82">
        <v>135.0</v>
      </c>
      <c r="N14" s="82">
        <v>118.0</v>
      </c>
      <c r="O14" s="82">
        <v>109.0</v>
      </c>
      <c r="P14" s="13">
        <f t="shared" ref="P14:P16" si="1">SUM(E14:O14)</f>
        <v>1377</v>
      </c>
    </row>
    <row r="15" ht="12.75" customHeight="1">
      <c r="A15" s="18"/>
      <c r="B15" s="26"/>
      <c r="C15" s="27"/>
      <c r="D15" s="19" t="s">
        <v>13</v>
      </c>
      <c r="E15" s="82">
        <v>130.0</v>
      </c>
      <c r="F15" s="82">
        <v>96.0</v>
      </c>
      <c r="G15" s="82">
        <v>103.0</v>
      </c>
      <c r="H15" s="82">
        <v>110.0</v>
      </c>
      <c r="I15" s="82">
        <v>120.0</v>
      </c>
      <c r="J15" s="82">
        <v>143.0</v>
      </c>
      <c r="K15" s="82">
        <v>123.0</v>
      </c>
      <c r="L15" s="82">
        <v>144.0</v>
      </c>
      <c r="M15" s="82">
        <v>137.0</v>
      </c>
      <c r="N15" s="82">
        <v>111.0</v>
      </c>
      <c r="O15" s="82">
        <v>116.0</v>
      </c>
      <c r="P15" s="13">
        <f t="shared" si="1"/>
        <v>1333</v>
      </c>
    </row>
    <row r="16" ht="12.75" customHeight="1">
      <c r="A16" s="25"/>
      <c r="B16" s="21"/>
      <c r="C16" s="28"/>
      <c r="D16" s="13" t="s">
        <v>14</v>
      </c>
      <c r="E16" s="83">
        <f t="shared" ref="E16:O16" si="2">SUM(E14:E15)</f>
        <v>274</v>
      </c>
      <c r="F16" s="83">
        <f t="shared" si="2"/>
        <v>199</v>
      </c>
      <c r="G16" s="83">
        <f t="shared" si="2"/>
        <v>211</v>
      </c>
      <c r="H16" s="83">
        <f t="shared" si="2"/>
        <v>222</v>
      </c>
      <c r="I16" s="83">
        <f t="shared" si="2"/>
        <v>247</v>
      </c>
      <c r="J16" s="83">
        <f t="shared" si="2"/>
        <v>296</v>
      </c>
      <c r="K16" s="83">
        <f t="shared" si="2"/>
        <v>246</v>
      </c>
      <c r="L16" s="83">
        <f t="shared" si="2"/>
        <v>289</v>
      </c>
      <c r="M16" s="83">
        <f t="shared" si="2"/>
        <v>272</v>
      </c>
      <c r="N16" s="83">
        <f t="shared" si="2"/>
        <v>229</v>
      </c>
      <c r="O16" s="83">
        <f t="shared" si="2"/>
        <v>225</v>
      </c>
      <c r="P16" s="13">
        <f t="shared" si="1"/>
        <v>2710</v>
      </c>
    </row>
    <row r="17" ht="12.75" customHeight="1">
      <c r="A17" s="24"/>
      <c r="B17" s="15"/>
      <c r="C17" s="15"/>
      <c r="D17" s="16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68"/>
    </row>
    <row r="18" ht="12.75" customHeight="1">
      <c r="A18" s="30" t="s">
        <v>15</v>
      </c>
      <c r="B18" s="20" t="s">
        <v>16</v>
      </c>
      <c r="C18" s="15"/>
      <c r="D18" s="16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82">
        <v>117.0</v>
      </c>
      <c r="F19" s="82">
        <v>75.0</v>
      </c>
      <c r="G19" s="82">
        <v>75.0</v>
      </c>
      <c r="H19" s="82">
        <v>85.0</v>
      </c>
      <c r="I19" s="82">
        <v>98.0</v>
      </c>
      <c r="J19" s="82">
        <v>115.0</v>
      </c>
      <c r="K19" s="82">
        <v>92.0</v>
      </c>
      <c r="L19" s="82">
        <v>101.0</v>
      </c>
      <c r="M19" s="82">
        <v>89.0</v>
      </c>
      <c r="N19" s="82">
        <v>95.0</v>
      </c>
      <c r="O19" s="82">
        <v>81.0</v>
      </c>
      <c r="P19" s="13">
        <f t="shared" ref="P19:P30" si="3">SUM(E19:O19)</f>
        <v>1023</v>
      </c>
    </row>
    <row r="20" ht="12.75" customHeight="1">
      <c r="A20" s="33"/>
      <c r="B20" s="27"/>
      <c r="C20" s="34"/>
      <c r="D20" s="19" t="s">
        <v>13</v>
      </c>
      <c r="E20" s="82">
        <v>112.0</v>
      </c>
      <c r="F20" s="82">
        <v>79.0</v>
      </c>
      <c r="G20" s="82">
        <v>89.0</v>
      </c>
      <c r="H20" s="82">
        <v>92.0</v>
      </c>
      <c r="I20" s="82">
        <v>99.0</v>
      </c>
      <c r="J20" s="82">
        <v>118.0</v>
      </c>
      <c r="K20" s="82">
        <v>103.0</v>
      </c>
      <c r="L20" s="82">
        <v>120.0</v>
      </c>
      <c r="M20" s="82">
        <v>110.0</v>
      </c>
      <c r="N20" s="82">
        <v>93.0</v>
      </c>
      <c r="O20" s="82">
        <v>104.0</v>
      </c>
      <c r="P20" s="13">
        <f t="shared" si="3"/>
        <v>1119</v>
      </c>
    </row>
    <row r="21" ht="12.75" customHeight="1">
      <c r="A21" s="35"/>
      <c r="B21" s="28"/>
      <c r="C21" s="36"/>
      <c r="D21" s="13" t="s">
        <v>14</v>
      </c>
      <c r="E21" s="83">
        <f t="shared" ref="E21:O21" si="4">SUM(E19:E20)</f>
        <v>229</v>
      </c>
      <c r="F21" s="83">
        <f t="shared" si="4"/>
        <v>154</v>
      </c>
      <c r="G21" s="83">
        <f t="shared" si="4"/>
        <v>164</v>
      </c>
      <c r="H21" s="83">
        <f t="shared" si="4"/>
        <v>177</v>
      </c>
      <c r="I21" s="83">
        <f t="shared" si="4"/>
        <v>197</v>
      </c>
      <c r="J21" s="83">
        <f t="shared" si="4"/>
        <v>233</v>
      </c>
      <c r="K21" s="83">
        <f t="shared" si="4"/>
        <v>195</v>
      </c>
      <c r="L21" s="83">
        <f t="shared" si="4"/>
        <v>221</v>
      </c>
      <c r="M21" s="83">
        <f t="shared" si="4"/>
        <v>199</v>
      </c>
      <c r="N21" s="83">
        <f t="shared" si="4"/>
        <v>188</v>
      </c>
      <c r="O21" s="83">
        <f t="shared" si="4"/>
        <v>185</v>
      </c>
      <c r="P21" s="13">
        <f t="shared" si="3"/>
        <v>2142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85">
        <v>0.0</v>
      </c>
      <c r="F22" s="82">
        <v>1.0</v>
      </c>
      <c r="G22" s="82">
        <v>0.0</v>
      </c>
      <c r="H22" s="82">
        <v>1.0</v>
      </c>
      <c r="I22" s="82">
        <v>0.0</v>
      </c>
      <c r="J22" s="82">
        <v>0.0</v>
      </c>
      <c r="K22" s="82">
        <v>0.0</v>
      </c>
      <c r="L22" s="82">
        <v>0.0</v>
      </c>
      <c r="M22" s="82">
        <v>0.0</v>
      </c>
      <c r="N22" s="82">
        <v>0.0</v>
      </c>
      <c r="O22" s="82">
        <v>0.0</v>
      </c>
      <c r="P22" s="13">
        <f t="shared" si="3"/>
        <v>2</v>
      </c>
    </row>
    <row r="23" ht="12.75" customHeight="1">
      <c r="A23" s="33"/>
      <c r="B23" s="27"/>
      <c r="C23" s="34"/>
      <c r="D23" s="19" t="s">
        <v>13</v>
      </c>
      <c r="E23" s="85">
        <v>1.0</v>
      </c>
      <c r="F23" s="82">
        <v>1.0</v>
      </c>
      <c r="G23" s="82">
        <v>0.0</v>
      </c>
      <c r="H23" s="82">
        <v>0.0</v>
      </c>
      <c r="I23" s="82">
        <v>0.0</v>
      </c>
      <c r="J23" s="82">
        <v>1.0</v>
      </c>
      <c r="K23" s="82">
        <v>0.0</v>
      </c>
      <c r="L23" s="82">
        <v>0.0</v>
      </c>
      <c r="M23" s="82">
        <v>0.0</v>
      </c>
      <c r="N23" s="82">
        <v>0.0</v>
      </c>
      <c r="O23" s="82">
        <v>0.0</v>
      </c>
      <c r="P23" s="13">
        <f t="shared" si="3"/>
        <v>3</v>
      </c>
    </row>
    <row r="24" ht="12.75" customHeight="1">
      <c r="A24" s="35"/>
      <c r="B24" s="28"/>
      <c r="C24" s="36"/>
      <c r="D24" s="13" t="s">
        <v>14</v>
      </c>
      <c r="E24" s="83">
        <f t="shared" ref="E24:O24" si="5">SUM(E22:E23)</f>
        <v>1</v>
      </c>
      <c r="F24" s="83">
        <f t="shared" si="5"/>
        <v>2</v>
      </c>
      <c r="G24" s="83">
        <f t="shared" si="5"/>
        <v>0</v>
      </c>
      <c r="H24" s="83">
        <f t="shared" si="5"/>
        <v>1</v>
      </c>
      <c r="I24" s="83">
        <f t="shared" si="5"/>
        <v>0</v>
      </c>
      <c r="J24" s="83">
        <f t="shared" si="5"/>
        <v>1</v>
      </c>
      <c r="K24" s="83">
        <f t="shared" si="5"/>
        <v>0</v>
      </c>
      <c r="L24" s="83">
        <f t="shared" si="5"/>
        <v>0</v>
      </c>
      <c r="M24" s="83">
        <f t="shared" si="5"/>
        <v>0</v>
      </c>
      <c r="N24" s="83">
        <f t="shared" si="5"/>
        <v>0</v>
      </c>
      <c r="O24" s="83">
        <f t="shared" si="5"/>
        <v>0</v>
      </c>
      <c r="P24" s="13">
        <f t="shared" si="3"/>
        <v>5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82">
        <v>0.0</v>
      </c>
      <c r="F25" s="82">
        <v>0.0</v>
      </c>
      <c r="G25" s="82">
        <v>0.0</v>
      </c>
      <c r="H25" s="82">
        <v>1.0</v>
      </c>
      <c r="I25" s="82">
        <v>0.0</v>
      </c>
      <c r="J25" s="82">
        <v>1.0</v>
      </c>
      <c r="K25" s="82">
        <v>0.0</v>
      </c>
      <c r="L25" s="82">
        <v>0.0</v>
      </c>
      <c r="M25" s="82">
        <v>0.0</v>
      </c>
      <c r="N25" s="82">
        <v>0.0</v>
      </c>
      <c r="O25" s="82">
        <v>0.0</v>
      </c>
      <c r="P25" s="13">
        <f t="shared" si="3"/>
        <v>2</v>
      </c>
    </row>
    <row r="26" ht="12.75" customHeight="1">
      <c r="A26" s="33"/>
      <c r="B26" s="27"/>
      <c r="C26" s="34"/>
      <c r="D26" s="19" t="s">
        <v>13</v>
      </c>
      <c r="E26" s="82">
        <v>0.0</v>
      </c>
      <c r="F26" s="82">
        <v>0.0</v>
      </c>
      <c r="G26" s="82">
        <v>1.0</v>
      </c>
      <c r="H26" s="82">
        <v>0.0</v>
      </c>
      <c r="I26" s="82">
        <v>1.0</v>
      </c>
      <c r="J26" s="82">
        <v>1.0</v>
      </c>
      <c r="K26" s="82">
        <v>0.0</v>
      </c>
      <c r="L26" s="82">
        <v>0.0</v>
      </c>
      <c r="M26" s="82">
        <v>1.0</v>
      </c>
      <c r="N26" s="82">
        <v>2.0</v>
      </c>
      <c r="O26" s="82">
        <v>0.0</v>
      </c>
      <c r="P26" s="13">
        <f t="shared" si="3"/>
        <v>6</v>
      </c>
    </row>
    <row r="27" ht="12.75" customHeight="1">
      <c r="A27" s="35"/>
      <c r="B27" s="28"/>
      <c r="C27" s="36"/>
      <c r="D27" s="13" t="s">
        <v>14</v>
      </c>
      <c r="E27" s="83">
        <f t="shared" ref="E27:O27" si="6">SUM(E25:E26)</f>
        <v>0</v>
      </c>
      <c r="F27" s="83">
        <f t="shared" si="6"/>
        <v>0</v>
      </c>
      <c r="G27" s="83">
        <f t="shared" si="6"/>
        <v>1</v>
      </c>
      <c r="H27" s="83">
        <f t="shared" si="6"/>
        <v>1</v>
      </c>
      <c r="I27" s="83">
        <f t="shared" si="6"/>
        <v>1</v>
      </c>
      <c r="J27" s="83">
        <f t="shared" si="6"/>
        <v>2</v>
      </c>
      <c r="K27" s="83">
        <f t="shared" si="6"/>
        <v>0</v>
      </c>
      <c r="L27" s="83">
        <f t="shared" si="6"/>
        <v>0</v>
      </c>
      <c r="M27" s="83">
        <f t="shared" si="6"/>
        <v>1</v>
      </c>
      <c r="N27" s="83">
        <f t="shared" si="6"/>
        <v>2</v>
      </c>
      <c r="O27" s="83">
        <f t="shared" si="6"/>
        <v>0</v>
      </c>
      <c r="P27" s="13">
        <f t="shared" si="3"/>
        <v>8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88">
        <v>117.0</v>
      </c>
      <c r="F28" s="88">
        <v>76.0</v>
      </c>
      <c r="G28" s="88">
        <v>75.0</v>
      </c>
      <c r="H28" s="88">
        <v>87.0</v>
      </c>
      <c r="I28" s="88">
        <v>98.0</v>
      </c>
      <c r="J28" s="88">
        <v>116.0</v>
      </c>
      <c r="K28" s="88">
        <v>92.0</v>
      </c>
      <c r="L28" s="88">
        <v>101.0</v>
      </c>
      <c r="M28" s="88">
        <v>89.0</v>
      </c>
      <c r="N28" s="88">
        <v>95.0</v>
      </c>
      <c r="O28" s="88">
        <v>81.0</v>
      </c>
      <c r="P28" s="13">
        <f t="shared" si="3"/>
        <v>1027</v>
      </c>
    </row>
    <row r="29" ht="12.75" customHeight="1">
      <c r="A29" s="35"/>
      <c r="B29" s="27"/>
      <c r="C29" s="34"/>
      <c r="D29" s="13" t="s">
        <v>13</v>
      </c>
      <c r="E29" s="88">
        <v>113.0</v>
      </c>
      <c r="F29" s="88">
        <v>80.0</v>
      </c>
      <c r="G29" s="88">
        <v>90.0</v>
      </c>
      <c r="H29" s="88">
        <v>92.0</v>
      </c>
      <c r="I29" s="88">
        <v>100.0</v>
      </c>
      <c r="J29" s="88">
        <v>120.0</v>
      </c>
      <c r="K29" s="88">
        <v>103.0</v>
      </c>
      <c r="L29" s="88">
        <v>120.0</v>
      </c>
      <c r="M29" s="88">
        <v>111.0</v>
      </c>
      <c r="N29" s="88">
        <v>95.0</v>
      </c>
      <c r="O29" s="88">
        <v>104.0</v>
      </c>
      <c r="P29" s="13">
        <f t="shared" si="3"/>
        <v>1128</v>
      </c>
    </row>
    <row r="30" ht="12.75" customHeight="1">
      <c r="A30" s="35"/>
      <c r="B30" s="28"/>
      <c r="C30" s="36"/>
      <c r="D30" s="13" t="s">
        <v>14</v>
      </c>
      <c r="E30" s="89">
        <f t="shared" ref="E30:O30" si="7">SUM(E28:E29)</f>
        <v>230</v>
      </c>
      <c r="F30" s="89">
        <f t="shared" si="7"/>
        <v>156</v>
      </c>
      <c r="G30" s="89">
        <f t="shared" si="7"/>
        <v>165</v>
      </c>
      <c r="H30" s="89">
        <f t="shared" si="7"/>
        <v>179</v>
      </c>
      <c r="I30" s="89">
        <f t="shared" si="7"/>
        <v>198</v>
      </c>
      <c r="J30" s="89">
        <f t="shared" si="7"/>
        <v>236</v>
      </c>
      <c r="K30" s="89">
        <f t="shared" si="7"/>
        <v>195</v>
      </c>
      <c r="L30" s="89">
        <f t="shared" si="7"/>
        <v>221</v>
      </c>
      <c r="M30" s="89">
        <f t="shared" si="7"/>
        <v>200</v>
      </c>
      <c r="N30" s="89">
        <f t="shared" si="7"/>
        <v>190</v>
      </c>
      <c r="O30" s="89">
        <f t="shared" si="7"/>
        <v>185</v>
      </c>
      <c r="P30" s="13">
        <f t="shared" si="3"/>
        <v>2155</v>
      </c>
    </row>
    <row r="31" ht="12.75" customHeight="1">
      <c r="A31" s="24"/>
      <c r="B31" s="15"/>
      <c r="C31" s="15"/>
      <c r="D31" s="16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68"/>
    </row>
    <row r="32" ht="12.75" customHeight="1">
      <c r="A32" s="41" t="s">
        <v>25</v>
      </c>
      <c r="B32" s="14" t="s">
        <v>26</v>
      </c>
      <c r="C32" s="15"/>
      <c r="D32" s="16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68"/>
    </row>
    <row r="33" ht="12.75" customHeight="1">
      <c r="A33" s="19">
        <v>1.0</v>
      </c>
      <c r="B33" s="20" t="s">
        <v>27</v>
      </c>
      <c r="C33" s="15"/>
      <c r="D33" s="16"/>
      <c r="E33" s="82">
        <v>280.0</v>
      </c>
      <c r="F33" s="82">
        <v>203.0</v>
      </c>
      <c r="G33" s="82">
        <v>216.0</v>
      </c>
      <c r="H33" s="82">
        <v>227.0</v>
      </c>
      <c r="I33" s="82">
        <v>252.0</v>
      </c>
      <c r="J33" s="82">
        <v>302.0</v>
      </c>
      <c r="K33" s="82">
        <v>251.0</v>
      </c>
      <c r="L33" s="82">
        <v>295.0</v>
      </c>
      <c r="M33" s="85">
        <v>278.0</v>
      </c>
      <c r="N33" s="82">
        <v>234.0</v>
      </c>
      <c r="O33" s="82">
        <v>230.0</v>
      </c>
      <c r="P33" s="13">
        <f t="shared" ref="P33:P36" si="8">SUM(E33:O33)</f>
        <v>2768</v>
      </c>
    </row>
    <row r="34" ht="12.75" customHeight="1">
      <c r="A34" s="19">
        <v>2.0</v>
      </c>
      <c r="B34" s="20" t="s">
        <v>28</v>
      </c>
      <c r="C34" s="15"/>
      <c r="D34" s="16"/>
      <c r="E34" s="90">
        <v>230.0</v>
      </c>
      <c r="F34" s="90">
        <v>156.0</v>
      </c>
      <c r="G34" s="90">
        <v>165.0</v>
      </c>
      <c r="H34" s="90">
        <v>179.0</v>
      </c>
      <c r="I34" s="90">
        <v>198.0</v>
      </c>
      <c r="J34" s="90">
        <v>236.0</v>
      </c>
      <c r="K34" s="90">
        <v>195.0</v>
      </c>
      <c r="L34" s="90">
        <v>221.0</v>
      </c>
      <c r="M34" s="90">
        <v>200.0</v>
      </c>
      <c r="N34" s="90">
        <v>190.0</v>
      </c>
      <c r="O34" s="90">
        <v>185.0</v>
      </c>
      <c r="P34" s="13">
        <f t="shared" si="8"/>
        <v>2155</v>
      </c>
    </row>
    <row r="35" ht="12.75" customHeight="1">
      <c r="A35" s="19">
        <v>3.0</v>
      </c>
      <c r="B35" s="20" t="s">
        <v>29</v>
      </c>
      <c r="C35" s="15"/>
      <c r="D35" s="16"/>
      <c r="E35" s="85">
        <v>2.0</v>
      </c>
      <c r="F35" s="85">
        <v>0.0</v>
      </c>
      <c r="G35" s="82">
        <v>0.0</v>
      </c>
      <c r="H35" s="82">
        <v>0.0</v>
      </c>
      <c r="I35" s="82">
        <v>0.0</v>
      </c>
      <c r="J35" s="85">
        <v>2.0</v>
      </c>
      <c r="K35" s="82">
        <v>0.0</v>
      </c>
      <c r="L35" s="85">
        <v>1.0</v>
      </c>
      <c r="M35" s="82">
        <v>0.0</v>
      </c>
      <c r="N35" s="82">
        <v>0.0</v>
      </c>
      <c r="O35" s="82">
        <v>0.0</v>
      </c>
      <c r="P35" s="13">
        <f t="shared" si="8"/>
        <v>5</v>
      </c>
    </row>
    <row r="36" ht="12.75" customHeight="1">
      <c r="A36" s="19">
        <v>4.0</v>
      </c>
      <c r="B36" s="20" t="s">
        <v>30</v>
      </c>
      <c r="C36" s="15"/>
      <c r="D36" s="16"/>
      <c r="E36" s="83">
        <f t="shared" ref="E36:O36" si="9">E33-(E34+E35)</f>
        <v>48</v>
      </c>
      <c r="F36" s="83">
        <f t="shared" si="9"/>
        <v>47</v>
      </c>
      <c r="G36" s="83">
        <f t="shared" si="9"/>
        <v>51</v>
      </c>
      <c r="H36" s="83">
        <f t="shared" si="9"/>
        <v>48</v>
      </c>
      <c r="I36" s="83">
        <f t="shared" si="9"/>
        <v>54</v>
      </c>
      <c r="J36" s="83">
        <f t="shared" si="9"/>
        <v>64</v>
      </c>
      <c r="K36" s="83">
        <f t="shared" si="9"/>
        <v>56</v>
      </c>
      <c r="L36" s="83">
        <f t="shared" si="9"/>
        <v>73</v>
      </c>
      <c r="M36" s="83">
        <f t="shared" si="9"/>
        <v>78</v>
      </c>
      <c r="N36" s="83">
        <f t="shared" si="9"/>
        <v>44</v>
      </c>
      <c r="O36" s="83">
        <f t="shared" si="9"/>
        <v>45</v>
      </c>
      <c r="P36" s="13">
        <f t="shared" si="8"/>
        <v>608</v>
      </c>
    </row>
    <row r="37" ht="12.75" customHeight="1">
      <c r="A37" s="24"/>
      <c r="B37" s="15"/>
      <c r="C37" s="15"/>
      <c r="D37" s="15"/>
      <c r="E37" s="92"/>
      <c r="F37" s="15"/>
      <c r="G37" s="15"/>
      <c r="H37" s="15"/>
      <c r="I37" s="16"/>
      <c r="J37" s="84"/>
      <c r="K37" s="84"/>
      <c r="L37" s="84"/>
      <c r="M37" s="84"/>
      <c r="N37" s="84"/>
      <c r="O37" s="84"/>
      <c r="P37" s="68"/>
    </row>
    <row r="38" ht="12.75" customHeight="1">
      <c r="A38" s="42" t="s">
        <v>31</v>
      </c>
      <c r="B38" s="14" t="s">
        <v>32</v>
      </c>
      <c r="C38" s="15"/>
      <c r="D38" s="16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68"/>
    </row>
    <row r="39" ht="12.75" customHeight="1">
      <c r="A39" s="30"/>
      <c r="B39" s="43" t="s">
        <v>33</v>
      </c>
      <c r="C39" s="23"/>
      <c r="D39" s="19" t="s">
        <v>12</v>
      </c>
      <c r="E39" s="82">
        <v>0.0</v>
      </c>
      <c r="F39" s="82">
        <v>0.0</v>
      </c>
      <c r="G39" s="82">
        <v>0.0</v>
      </c>
      <c r="H39" s="82">
        <v>0.0</v>
      </c>
      <c r="I39" s="82">
        <v>1.0</v>
      </c>
      <c r="J39" s="82">
        <v>0.0</v>
      </c>
      <c r="K39" s="82">
        <v>0.0</v>
      </c>
      <c r="L39" s="82">
        <v>0.0</v>
      </c>
      <c r="M39" s="82">
        <v>0.0</v>
      </c>
      <c r="N39" s="82">
        <v>1.0</v>
      </c>
      <c r="O39" s="82">
        <v>1.0</v>
      </c>
      <c r="P39" s="13">
        <f t="shared" ref="P39:P41" si="10">SUM(E39:O39)</f>
        <v>3</v>
      </c>
    </row>
    <row r="40" ht="12.75" customHeight="1">
      <c r="A40" s="33"/>
      <c r="C40" s="27"/>
      <c r="D40" s="19" t="s">
        <v>13</v>
      </c>
      <c r="E40" s="82">
        <v>1.0</v>
      </c>
      <c r="F40" s="82">
        <v>0.0</v>
      </c>
      <c r="G40" s="82">
        <v>0.0</v>
      </c>
      <c r="H40" s="82">
        <v>0.0</v>
      </c>
      <c r="I40" s="82">
        <v>0.0</v>
      </c>
      <c r="J40" s="82">
        <v>0.0</v>
      </c>
      <c r="K40" s="82">
        <v>0.0</v>
      </c>
      <c r="L40" s="82">
        <v>0.0</v>
      </c>
      <c r="M40" s="82">
        <v>0.0</v>
      </c>
      <c r="N40" s="82">
        <v>0.0</v>
      </c>
      <c r="O40" s="82">
        <v>1.0</v>
      </c>
      <c r="P40" s="13">
        <f t="shared" si="10"/>
        <v>2</v>
      </c>
    </row>
    <row r="41" ht="12.75" customHeight="1">
      <c r="A41" s="41"/>
      <c r="B41" s="44"/>
      <c r="C41" s="28"/>
      <c r="D41" s="13" t="s">
        <v>14</v>
      </c>
      <c r="E41" s="13">
        <f t="shared" ref="E41:O41" si="11">SUM(E39:E40)</f>
        <v>1</v>
      </c>
      <c r="F41" s="13">
        <f t="shared" si="11"/>
        <v>0</v>
      </c>
      <c r="G41" s="13">
        <f t="shared" si="11"/>
        <v>0</v>
      </c>
      <c r="H41" s="13">
        <f t="shared" si="11"/>
        <v>0</v>
      </c>
      <c r="I41" s="13">
        <f t="shared" si="11"/>
        <v>1</v>
      </c>
      <c r="J41" s="13">
        <f t="shared" si="11"/>
        <v>0</v>
      </c>
      <c r="K41" s="13">
        <f t="shared" si="11"/>
        <v>0</v>
      </c>
      <c r="L41" s="13">
        <f t="shared" si="11"/>
        <v>0</v>
      </c>
      <c r="M41" s="13">
        <f t="shared" si="11"/>
        <v>0</v>
      </c>
      <c r="N41" s="13">
        <f t="shared" si="11"/>
        <v>1</v>
      </c>
      <c r="O41" s="13">
        <f t="shared" si="11"/>
        <v>2</v>
      </c>
      <c r="P41" s="13">
        <f t="shared" si="10"/>
        <v>5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6"/>
      <c r="J42" s="19"/>
      <c r="K42" s="19"/>
      <c r="L42" s="19"/>
      <c r="M42" s="19"/>
      <c r="N42" s="67"/>
      <c r="O42" s="19"/>
      <c r="P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12.0</v>
      </c>
      <c r="F45" s="66">
        <v>6.0</v>
      </c>
      <c r="G45" s="66">
        <v>9.0</v>
      </c>
      <c r="H45" s="66">
        <v>9.0</v>
      </c>
      <c r="I45" s="66">
        <v>16.0</v>
      </c>
      <c r="J45" s="66">
        <v>9.0</v>
      </c>
      <c r="K45" s="66">
        <v>5.0</v>
      </c>
      <c r="L45" s="66">
        <v>12.0</v>
      </c>
      <c r="M45" s="66">
        <v>9.0</v>
      </c>
      <c r="N45" s="66">
        <v>9.0</v>
      </c>
      <c r="O45" s="66">
        <v>11.0</v>
      </c>
      <c r="P45" s="13">
        <f t="shared" ref="P45:P192" si="12">SUM(E45:O45)</f>
        <v>107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46.0</v>
      </c>
      <c r="F46" s="66">
        <v>12.0</v>
      </c>
      <c r="G46" s="66">
        <v>7.0</v>
      </c>
      <c r="H46" s="66">
        <v>24.0</v>
      </c>
      <c r="I46" s="66">
        <v>46.0</v>
      </c>
      <c r="J46" s="66">
        <v>32.0</v>
      </c>
      <c r="K46" s="66">
        <v>43.0</v>
      </c>
      <c r="L46" s="66">
        <v>70.0</v>
      </c>
      <c r="M46" s="66">
        <v>81.0</v>
      </c>
      <c r="N46" s="66">
        <v>57.0</v>
      </c>
      <c r="O46" s="66">
        <v>37.0</v>
      </c>
      <c r="P46" s="13">
        <f t="shared" si="12"/>
        <v>455</v>
      </c>
    </row>
    <row r="47" ht="12.75" customHeight="1">
      <c r="A47" s="18"/>
      <c r="B47" s="49"/>
      <c r="C47" s="50" t="s">
        <v>41</v>
      </c>
      <c r="D47" s="51"/>
      <c r="E47" s="66">
        <v>1.0</v>
      </c>
      <c r="F47" s="66">
        <v>0.0</v>
      </c>
      <c r="G47" s="66">
        <v>0.0</v>
      </c>
      <c r="H47" s="66">
        <v>2.0</v>
      </c>
      <c r="I47" s="66">
        <v>2.0</v>
      </c>
      <c r="J47" s="66">
        <v>1.0</v>
      </c>
      <c r="K47" s="66">
        <v>3.0</v>
      </c>
      <c r="L47" s="66">
        <v>2.0</v>
      </c>
      <c r="M47" s="66">
        <v>0.0</v>
      </c>
      <c r="N47" s="66">
        <v>2.0</v>
      </c>
      <c r="O47" s="66">
        <v>2.0</v>
      </c>
      <c r="P47" s="13">
        <f t="shared" si="12"/>
        <v>15</v>
      </c>
    </row>
    <row r="48" ht="12.75" customHeight="1">
      <c r="A48" s="18"/>
      <c r="B48" s="49"/>
      <c r="C48" s="50" t="s">
        <v>42</v>
      </c>
      <c r="D48" s="51"/>
      <c r="E48" s="66">
        <v>0.0</v>
      </c>
      <c r="F48" s="66">
        <v>0.0</v>
      </c>
      <c r="G48" s="66">
        <v>0.0</v>
      </c>
      <c r="H48" s="66">
        <v>0.0</v>
      </c>
      <c r="I48" s="66">
        <v>0.0</v>
      </c>
      <c r="J48" s="66">
        <v>0.0</v>
      </c>
      <c r="K48" s="66">
        <v>0.0</v>
      </c>
      <c r="L48" s="66">
        <v>2.0</v>
      </c>
      <c r="M48" s="66">
        <v>0.0</v>
      </c>
      <c r="N48" s="66">
        <v>0.0</v>
      </c>
      <c r="O48" s="66">
        <v>0.0</v>
      </c>
      <c r="P48" s="13">
        <f t="shared" si="12"/>
        <v>2</v>
      </c>
    </row>
    <row r="49" ht="12.75" customHeight="1">
      <c r="A49" s="18"/>
      <c r="B49" s="49"/>
      <c r="C49" s="50" t="s">
        <v>43</v>
      </c>
      <c r="D49" s="51"/>
      <c r="E49" s="66">
        <v>1.0</v>
      </c>
      <c r="F49" s="66">
        <v>0.0</v>
      </c>
      <c r="G49" s="66">
        <v>0.0</v>
      </c>
      <c r="H49" s="66">
        <v>1.0</v>
      </c>
      <c r="I49" s="66">
        <v>0.0</v>
      </c>
      <c r="J49" s="66">
        <v>0.0</v>
      </c>
      <c r="K49" s="66">
        <v>1.0</v>
      </c>
      <c r="L49" s="66">
        <v>0.0</v>
      </c>
      <c r="M49" s="66">
        <v>0.0</v>
      </c>
      <c r="N49" s="19"/>
      <c r="O49" s="66">
        <v>0.0</v>
      </c>
      <c r="P49" s="13">
        <f t="shared" si="12"/>
        <v>3</v>
      </c>
    </row>
    <row r="50" ht="12.75" customHeight="1">
      <c r="A50" s="18"/>
      <c r="B50" s="49"/>
      <c r="C50" s="50" t="s">
        <v>44</v>
      </c>
      <c r="D50" s="51"/>
      <c r="E50" s="66">
        <v>0.0</v>
      </c>
      <c r="F50" s="66">
        <v>0.0</v>
      </c>
      <c r="G50" s="66">
        <v>0.0</v>
      </c>
      <c r="H50" s="66">
        <v>1.0</v>
      </c>
      <c r="I50" s="66">
        <v>0.0</v>
      </c>
      <c r="J50" s="66">
        <v>0.0</v>
      </c>
      <c r="K50" s="66">
        <v>0.0</v>
      </c>
      <c r="L50" s="66">
        <v>2.0</v>
      </c>
      <c r="M50" s="66">
        <v>0.0</v>
      </c>
      <c r="N50" s="19"/>
      <c r="O50" s="66">
        <v>0.0</v>
      </c>
      <c r="P50" s="13">
        <f t="shared" si="12"/>
        <v>3</v>
      </c>
    </row>
    <row r="51" ht="12.75" customHeight="1">
      <c r="A51" s="18"/>
      <c r="B51" s="49"/>
      <c r="C51" s="50" t="s">
        <v>45</v>
      </c>
      <c r="D51" s="51"/>
      <c r="E51" s="66">
        <v>0.0</v>
      </c>
      <c r="F51" s="66">
        <v>0.0</v>
      </c>
      <c r="G51" s="66">
        <v>1.0</v>
      </c>
      <c r="H51" s="66">
        <v>0.0</v>
      </c>
      <c r="I51" s="66">
        <v>0.0</v>
      </c>
      <c r="J51" s="66">
        <v>0.0</v>
      </c>
      <c r="K51" s="66">
        <v>0.0</v>
      </c>
      <c r="L51" s="66">
        <v>0.0</v>
      </c>
      <c r="M51" s="66">
        <v>0.0</v>
      </c>
      <c r="N51" s="19"/>
      <c r="O51" s="66">
        <v>0.0</v>
      </c>
      <c r="P51" s="13">
        <f t="shared" si="12"/>
        <v>1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O52" si="13">SUM(E45:E51)</f>
        <v>60</v>
      </c>
      <c r="F52" s="13">
        <f t="shared" si="13"/>
        <v>18</v>
      </c>
      <c r="G52" s="13">
        <f t="shared" si="13"/>
        <v>17</v>
      </c>
      <c r="H52" s="13">
        <f t="shared" si="13"/>
        <v>37</v>
      </c>
      <c r="I52" s="13">
        <f t="shared" si="13"/>
        <v>64</v>
      </c>
      <c r="J52" s="13">
        <f t="shared" si="13"/>
        <v>42</v>
      </c>
      <c r="K52" s="13">
        <f t="shared" si="13"/>
        <v>52</v>
      </c>
      <c r="L52" s="13">
        <f t="shared" si="13"/>
        <v>88</v>
      </c>
      <c r="M52" s="13">
        <f t="shared" si="13"/>
        <v>90</v>
      </c>
      <c r="N52" s="13">
        <f t="shared" si="13"/>
        <v>68</v>
      </c>
      <c r="O52" s="13">
        <f t="shared" si="13"/>
        <v>50</v>
      </c>
      <c r="P52" s="13">
        <f t="shared" si="12"/>
        <v>586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13">
        <f t="shared" si="12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4.0</v>
      </c>
      <c r="F54" s="66">
        <v>5.0</v>
      </c>
      <c r="G54" s="66">
        <v>5.0</v>
      </c>
      <c r="H54" s="66">
        <v>7.0</v>
      </c>
      <c r="I54" s="66">
        <v>5.0</v>
      </c>
      <c r="J54" s="66">
        <v>9.0</v>
      </c>
      <c r="K54" s="66">
        <v>8.0</v>
      </c>
      <c r="L54" s="66">
        <v>3.0</v>
      </c>
      <c r="M54" s="66">
        <v>6.0</v>
      </c>
      <c r="N54" s="66">
        <v>11.0</v>
      </c>
      <c r="O54" s="66">
        <v>8.0</v>
      </c>
      <c r="P54" s="13">
        <f t="shared" si="12"/>
        <v>71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2.0</v>
      </c>
      <c r="F55" s="66">
        <v>2.0</v>
      </c>
      <c r="G55" s="66">
        <v>1.0</v>
      </c>
      <c r="H55" s="66">
        <v>4.0</v>
      </c>
      <c r="I55" s="66">
        <v>6.0</v>
      </c>
      <c r="J55" s="66">
        <v>2.0</v>
      </c>
      <c r="K55" s="66">
        <v>4.0</v>
      </c>
      <c r="L55" s="66">
        <v>4.0</v>
      </c>
      <c r="M55" s="66">
        <v>5.0</v>
      </c>
      <c r="N55" s="66">
        <v>4.0</v>
      </c>
      <c r="O55" s="66">
        <v>4.0</v>
      </c>
      <c r="P55" s="13">
        <f t="shared" si="12"/>
        <v>38</v>
      </c>
    </row>
    <row r="56" ht="12.75" customHeight="1">
      <c r="A56" s="18"/>
      <c r="B56" s="49"/>
      <c r="C56" s="50" t="s">
        <v>49</v>
      </c>
      <c r="D56" s="51"/>
      <c r="E56" s="66">
        <v>2.0</v>
      </c>
      <c r="F56" s="66">
        <v>0.0</v>
      </c>
      <c r="G56" s="66">
        <v>5.0</v>
      </c>
      <c r="H56" s="66">
        <v>7.0</v>
      </c>
      <c r="I56" s="66">
        <v>0.0</v>
      </c>
      <c r="J56" s="66">
        <v>4.0</v>
      </c>
      <c r="K56" s="66">
        <v>3.0</v>
      </c>
      <c r="L56" s="66">
        <v>1.0</v>
      </c>
      <c r="M56" s="66">
        <v>1.0</v>
      </c>
      <c r="N56" s="66">
        <v>3.0</v>
      </c>
      <c r="O56" s="66">
        <v>2.0</v>
      </c>
      <c r="P56" s="13">
        <f t="shared" si="12"/>
        <v>28</v>
      </c>
    </row>
    <row r="57" ht="12.75" customHeight="1">
      <c r="A57" s="18"/>
      <c r="B57" s="49"/>
      <c r="C57" s="50" t="s">
        <v>50</v>
      </c>
      <c r="D57" s="51"/>
      <c r="E57" s="66">
        <v>0.0</v>
      </c>
      <c r="F57" s="66">
        <v>0.0</v>
      </c>
      <c r="G57" s="66">
        <v>1.0</v>
      </c>
      <c r="H57" s="66">
        <v>0.0</v>
      </c>
      <c r="I57" s="66">
        <v>1.0</v>
      </c>
      <c r="J57" s="66">
        <v>0.0</v>
      </c>
      <c r="K57" s="66">
        <v>2.0</v>
      </c>
      <c r="L57" s="66">
        <v>0.0</v>
      </c>
      <c r="M57" s="66">
        <v>7.0</v>
      </c>
      <c r="N57" s="66">
        <v>1.0</v>
      </c>
      <c r="O57" s="66">
        <v>1.0</v>
      </c>
      <c r="P57" s="13">
        <f t="shared" si="12"/>
        <v>13</v>
      </c>
    </row>
    <row r="58" ht="12.75" customHeight="1">
      <c r="A58" s="18"/>
      <c r="B58" s="49"/>
      <c r="C58" s="50" t="s">
        <v>51</v>
      </c>
      <c r="D58" s="51"/>
      <c r="E58" s="66">
        <v>1.0</v>
      </c>
      <c r="F58" s="66">
        <v>0.0</v>
      </c>
      <c r="G58" s="66">
        <v>1.0</v>
      </c>
      <c r="H58" s="66">
        <v>3.0</v>
      </c>
      <c r="I58" s="66">
        <v>6.0</v>
      </c>
      <c r="J58" s="66">
        <v>0.0</v>
      </c>
      <c r="K58" s="66">
        <v>0.0</v>
      </c>
      <c r="L58" s="66">
        <v>0.0</v>
      </c>
      <c r="M58" s="66">
        <v>0.0</v>
      </c>
      <c r="N58" s="66">
        <v>1.0</v>
      </c>
      <c r="O58" s="66">
        <v>0.0</v>
      </c>
      <c r="P58" s="13">
        <f t="shared" si="12"/>
        <v>12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1.0</v>
      </c>
      <c r="K59" s="66">
        <v>1.0</v>
      </c>
      <c r="L59" s="66">
        <v>5.0</v>
      </c>
      <c r="M59" s="66">
        <v>9.0</v>
      </c>
      <c r="N59" s="66">
        <v>0.0</v>
      </c>
      <c r="O59" s="66">
        <v>4.0</v>
      </c>
      <c r="P59" s="13">
        <f t="shared" si="12"/>
        <v>20</v>
      </c>
    </row>
    <row r="60" ht="12.75" customHeight="1">
      <c r="A60" s="18"/>
      <c r="B60" s="49"/>
      <c r="C60" s="50" t="s">
        <v>53</v>
      </c>
      <c r="D60" s="51"/>
      <c r="E60" s="66">
        <v>0.0</v>
      </c>
      <c r="F60" s="66">
        <v>0.0</v>
      </c>
      <c r="G60" s="66">
        <v>0.0</v>
      </c>
      <c r="H60" s="66">
        <v>6.0</v>
      </c>
      <c r="I60" s="66">
        <v>4.0</v>
      </c>
      <c r="J60" s="66">
        <v>0.0</v>
      </c>
      <c r="K60" s="66">
        <v>0.0</v>
      </c>
      <c r="L60" s="66">
        <v>2.0</v>
      </c>
      <c r="M60" s="66">
        <v>2.0</v>
      </c>
      <c r="N60" s="66">
        <v>0.0</v>
      </c>
      <c r="O60" s="66">
        <v>0.0</v>
      </c>
      <c r="P60" s="13">
        <f t="shared" si="12"/>
        <v>14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O61" si="14">SUM(E54:E60)</f>
        <v>9</v>
      </c>
      <c r="F61" s="13">
        <f t="shared" si="14"/>
        <v>7</v>
      </c>
      <c r="G61" s="13">
        <f t="shared" si="14"/>
        <v>13</v>
      </c>
      <c r="H61" s="13">
        <f t="shared" si="14"/>
        <v>27</v>
      </c>
      <c r="I61" s="13">
        <f t="shared" si="14"/>
        <v>22</v>
      </c>
      <c r="J61" s="13">
        <f t="shared" si="14"/>
        <v>16</v>
      </c>
      <c r="K61" s="13">
        <f t="shared" si="14"/>
        <v>18</v>
      </c>
      <c r="L61" s="13">
        <f t="shared" si="14"/>
        <v>15</v>
      </c>
      <c r="M61" s="13">
        <f t="shared" si="14"/>
        <v>30</v>
      </c>
      <c r="N61" s="13">
        <f t="shared" si="14"/>
        <v>20</v>
      </c>
      <c r="O61" s="13">
        <f t="shared" si="14"/>
        <v>19</v>
      </c>
      <c r="P61" s="13">
        <f t="shared" si="12"/>
        <v>196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13">
        <f t="shared" si="12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4.0</v>
      </c>
      <c r="F63" s="66">
        <v>4.0</v>
      </c>
      <c r="G63" s="66">
        <v>0.0</v>
      </c>
      <c r="H63" s="66">
        <v>1.0</v>
      </c>
      <c r="I63" s="66">
        <v>3.0</v>
      </c>
      <c r="J63" s="66">
        <v>2.0</v>
      </c>
      <c r="K63" s="66">
        <v>3.0</v>
      </c>
      <c r="L63" s="66">
        <v>3.0</v>
      </c>
      <c r="M63" s="66">
        <v>5.0</v>
      </c>
      <c r="N63" s="66">
        <v>4.0</v>
      </c>
      <c r="O63" s="66">
        <v>4.0</v>
      </c>
      <c r="P63" s="13">
        <f t="shared" si="12"/>
        <v>33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2.0</v>
      </c>
      <c r="F64" s="66">
        <v>3.0</v>
      </c>
      <c r="G64" s="66">
        <v>0.0</v>
      </c>
      <c r="H64" s="66">
        <v>5.0</v>
      </c>
      <c r="I64" s="66">
        <v>1.0</v>
      </c>
      <c r="J64" s="66">
        <v>2.0</v>
      </c>
      <c r="K64" s="66">
        <v>4.0</v>
      </c>
      <c r="L64" s="66">
        <v>4.0</v>
      </c>
      <c r="M64" s="66">
        <v>5.0</v>
      </c>
      <c r="N64" s="66">
        <v>9.0</v>
      </c>
      <c r="O64" s="66">
        <v>6.0</v>
      </c>
      <c r="P64" s="13">
        <f t="shared" si="12"/>
        <v>41</v>
      </c>
    </row>
    <row r="65" ht="12.75" customHeight="1">
      <c r="A65" s="18"/>
      <c r="B65" s="49"/>
      <c r="C65" s="50" t="s">
        <v>56</v>
      </c>
      <c r="D65" s="51"/>
      <c r="E65" s="66">
        <v>1.0</v>
      </c>
      <c r="F65" s="66">
        <v>0.0</v>
      </c>
      <c r="G65" s="66">
        <v>1.0</v>
      </c>
      <c r="H65" s="66">
        <v>0.0</v>
      </c>
      <c r="I65" s="66">
        <v>2.0</v>
      </c>
      <c r="J65" s="66">
        <v>1.0</v>
      </c>
      <c r="K65" s="66">
        <v>0.0</v>
      </c>
      <c r="L65" s="66">
        <v>1.0</v>
      </c>
      <c r="M65" s="66">
        <v>1.0</v>
      </c>
      <c r="N65" s="66">
        <v>1.0</v>
      </c>
      <c r="O65" s="66">
        <v>2.0</v>
      </c>
      <c r="P65" s="13">
        <f t="shared" si="12"/>
        <v>10</v>
      </c>
    </row>
    <row r="66" ht="12.75" customHeight="1">
      <c r="A66" s="18"/>
      <c r="B66" s="49"/>
      <c r="C66" s="50" t="s">
        <v>57</v>
      </c>
      <c r="D66" s="51"/>
      <c r="E66" s="66">
        <v>1.0</v>
      </c>
      <c r="F66" s="66">
        <v>0.0</v>
      </c>
      <c r="G66" s="66">
        <v>0.0</v>
      </c>
      <c r="H66" s="66">
        <v>0.0</v>
      </c>
      <c r="I66" s="66">
        <v>0.0</v>
      </c>
      <c r="J66" s="66">
        <v>0.0</v>
      </c>
      <c r="K66" s="66">
        <v>0.0</v>
      </c>
      <c r="L66" s="66">
        <v>0.0</v>
      </c>
      <c r="M66" s="66">
        <v>0.0</v>
      </c>
      <c r="N66" s="66">
        <v>5.0</v>
      </c>
      <c r="O66" s="66">
        <v>6.0</v>
      </c>
      <c r="P66" s="13">
        <f t="shared" si="12"/>
        <v>12</v>
      </c>
    </row>
    <row r="67" ht="12.75" customHeight="1">
      <c r="A67" s="18"/>
      <c r="B67" s="49"/>
      <c r="C67" s="50" t="s">
        <v>58</v>
      </c>
      <c r="D67" s="51"/>
      <c r="E67" s="66">
        <v>0.0</v>
      </c>
      <c r="F67" s="66">
        <v>0.0</v>
      </c>
      <c r="G67" s="66">
        <v>1.0</v>
      </c>
      <c r="H67" s="66">
        <v>0.0</v>
      </c>
      <c r="I67" s="66">
        <v>1.0</v>
      </c>
      <c r="J67" s="66">
        <v>0.0</v>
      </c>
      <c r="K67" s="66">
        <v>2.0</v>
      </c>
      <c r="L67" s="66">
        <v>0.0</v>
      </c>
      <c r="M67" s="66">
        <v>2.0</v>
      </c>
      <c r="N67" s="66">
        <v>2.0</v>
      </c>
      <c r="O67" s="66">
        <v>0.0</v>
      </c>
      <c r="P67" s="13">
        <f t="shared" si="12"/>
        <v>8</v>
      </c>
    </row>
    <row r="68" ht="12.75" customHeight="1">
      <c r="A68" s="18"/>
      <c r="B68" s="49"/>
      <c r="C68" s="50" t="s">
        <v>59</v>
      </c>
      <c r="D68" s="51"/>
      <c r="E68" s="66">
        <v>0.0</v>
      </c>
      <c r="F68" s="66">
        <v>0.0</v>
      </c>
      <c r="G68" s="66">
        <v>0.0</v>
      </c>
      <c r="H68" s="66">
        <v>0.0</v>
      </c>
      <c r="I68" s="66">
        <v>0.0</v>
      </c>
      <c r="J68" s="66">
        <v>1.0</v>
      </c>
      <c r="K68" s="66">
        <v>0.0</v>
      </c>
      <c r="L68" s="66">
        <v>1.0</v>
      </c>
      <c r="M68" s="66">
        <v>1.0</v>
      </c>
      <c r="N68" s="66">
        <v>3.0</v>
      </c>
      <c r="O68" s="66">
        <v>0.0</v>
      </c>
      <c r="P68" s="13">
        <f t="shared" si="12"/>
        <v>6</v>
      </c>
    </row>
    <row r="69" ht="12.75" customHeight="1">
      <c r="A69" s="18"/>
      <c r="B69" s="49"/>
      <c r="C69" s="50" t="s">
        <v>60</v>
      </c>
      <c r="D69" s="51"/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0.0</v>
      </c>
      <c r="K69" s="66">
        <v>0.0</v>
      </c>
      <c r="L69" s="66">
        <v>0.0</v>
      </c>
      <c r="M69" s="66">
        <v>0.0</v>
      </c>
      <c r="N69" s="66">
        <v>0.0</v>
      </c>
      <c r="O69" s="66">
        <v>0.0</v>
      </c>
      <c r="P69" s="13">
        <f t="shared" si="12"/>
        <v>0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O70" si="15">SUM(E63:E69)</f>
        <v>8</v>
      </c>
      <c r="F70" s="13">
        <f t="shared" si="15"/>
        <v>7</v>
      </c>
      <c r="G70" s="13">
        <f t="shared" si="15"/>
        <v>2</v>
      </c>
      <c r="H70" s="13">
        <f t="shared" si="15"/>
        <v>6</v>
      </c>
      <c r="I70" s="13">
        <f t="shared" si="15"/>
        <v>7</v>
      </c>
      <c r="J70" s="13">
        <f t="shared" si="15"/>
        <v>6</v>
      </c>
      <c r="K70" s="13">
        <f t="shared" si="15"/>
        <v>9</v>
      </c>
      <c r="L70" s="13">
        <f t="shared" si="15"/>
        <v>9</v>
      </c>
      <c r="M70" s="13">
        <f t="shared" si="15"/>
        <v>14</v>
      </c>
      <c r="N70" s="13">
        <f t="shared" si="15"/>
        <v>24</v>
      </c>
      <c r="O70" s="13">
        <f t="shared" si="15"/>
        <v>18</v>
      </c>
      <c r="P70" s="13">
        <f t="shared" si="12"/>
        <v>110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13">
        <f t="shared" si="12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66">
        <v>6.0</v>
      </c>
      <c r="F72" s="66">
        <v>6.0</v>
      </c>
      <c r="G72" s="66">
        <v>1.0</v>
      </c>
      <c r="H72" s="66">
        <v>3.0</v>
      </c>
      <c r="I72" s="66">
        <v>0.0</v>
      </c>
      <c r="J72" s="66">
        <v>4.0</v>
      </c>
      <c r="K72" s="66">
        <v>3.0</v>
      </c>
      <c r="L72" s="66">
        <v>2.0</v>
      </c>
      <c r="M72" s="66">
        <v>1.0</v>
      </c>
      <c r="N72" s="66">
        <v>0.0</v>
      </c>
      <c r="O72" s="66">
        <v>0.0</v>
      </c>
      <c r="P72" s="13">
        <f t="shared" si="12"/>
        <v>26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38.0</v>
      </c>
      <c r="F73" s="66">
        <v>31.0</v>
      </c>
      <c r="G73" s="66">
        <v>34.0</v>
      </c>
      <c r="H73" s="66">
        <v>7.0</v>
      </c>
      <c r="I73" s="66">
        <v>20.0</v>
      </c>
      <c r="J73" s="66">
        <v>34.0</v>
      </c>
      <c r="K73" s="66">
        <v>6.0</v>
      </c>
      <c r="L73" s="66">
        <v>3.0</v>
      </c>
      <c r="M73" s="66">
        <v>5.0</v>
      </c>
      <c r="N73" s="66">
        <v>1.0</v>
      </c>
      <c r="O73" s="66">
        <v>3.0</v>
      </c>
      <c r="P73" s="13">
        <f t="shared" si="12"/>
        <v>182</v>
      </c>
    </row>
    <row r="74" ht="12.75" customHeight="1">
      <c r="A74" s="18"/>
      <c r="B74" s="49"/>
      <c r="C74" s="50" t="s">
        <v>63</v>
      </c>
      <c r="D74" s="51"/>
      <c r="E74" s="66">
        <v>1.0</v>
      </c>
      <c r="F74" s="66">
        <v>1.0</v>
      </c>
      <c r="G74" s="66">
        <v>2.0</v>
      </c>
      <c r="H74" s="66">
        <v>0.0</v>
      </c>
      <c r="I74" s="66">
        <v>0.0</v>
      </c>
      <c r="J74" s="66">
        <v>0.0</v>
      </c>
      <c r="K74" s="66">
        <v>0.0</v>
      </c>
      <c r="L74" s="66">
        <v>0.0</v>
      </c>
      <c r="M74" s="66">
        <v>0.0</v>
      </c>
      <c r="N74" s="66">
        <v>0.0</v>
      </c>
      <c r="O74" s="19"/>
      <c r="P74" s="13">
        <f t="shared" si="12"/>
        <v>4</v>
      </c>
    </row>
    <row r="75" ht="12.75" customHeight="1">
      <c r="A75" s="18"/>
      <c r="B75" s="49"/>
      <c r="C75" s="50" t="s">
        <v>64</v>
      </c>
      <c r="D75" s="51"/>
      <c r="E75" s="66">
        <v>0.0</v>
      </c>
      <c r="F75" s="66">
        <v>0.0</v>
      </c>
      <c r="G75" s="66">
        <v>0.0</v>
      </c>
      <c r="H75" s="66">
        <v>0.0</v>
      </c>
      <c r="I75" s="19"/>
      <c r="J75" s="66">
        <v>1.0</v>
      </c>
      <c r="K75" s="66">
        <v>0.0</v>
      </c>
      <c r="L75" s="66">
        <v>0.0</v>
      </c>
      <c r="M75" s="66">
        <v>0.0</v>
      </c>
      <c r="N75" s="19"/>
      <c r="O75" s="19"/>
      <c r="P75" s="13">
        <f t="shared" si="12"/>
        <v>1</v>
      </c>
    </row>
    <row r="76" ht="12.75" customHeight="1">
      <c r="A76" s="18"/>
      <c r="B76" s="49"/>
      <c r="C76" s="50" t="s">
        <v>65</v>
      </c>
      <c r="D76" s="51"/>
      <c r="E76" s="66">
        <v>1.0</v>
      </c>
      <c r="F76" s="66">
        <v>0.0</v>
      </c>
      <c r="G76" s="66">
        <v>0.0</v>
      </c>
      <c r="H76" s="66">
        <v>0.0</v>
      </c>
      <c r="I76" s="19"/>
      <c r="J76" s="66">
        <v>0.0</v>
      </c>
      <c r="K76" s="66">
        <v>0.0</v>
      </c>
      <c r="L76" s="66">
        <v>0.0</v>
      </c>
      <c r="M76" s="66">
        <v>0.0</v>
      </c>
      <c r="N76" s="19"/>
      <c r="O76" s="19"/>
      <c r="P76" s="13">
        <f t="shared" si="12"/>
        <v>1</v>
      </c>
    </row>
    <row r="77" ht="12.75" customHeight="1">
      <c r="A77" s="18"/>
      <c r="B77" s="49"/>
      <c r="C77" s="50" t="s">
        <v>66</v>
      </c>
      <c r="D77" s="51"/>
      <c r="E77" s="66">
        <v>0.0</v>
      </c>
      <c r="F77" s="66">
        <v>1.0</v>
      </c>
      <c r="G77" s="66">
        <v>0.0</v>
      </c>
      <c r="H77" s="66">
        <v>0.0</v>
      </c>
      <c r="I77" s="19"/>
      <c r="J77" s="66">
        <v>0.0</v>
      </c>
      <c r="K77" s="66">
        <v>0.0</v>
      </c>
      <c r="L77" s="66">
        <v>0.0</v>
      </c>
      <c r="M77" s="66">
        <v>0.0</v>
      </c>
      <c r="N77" s="19"/>
      <c r="O77" s="19"/>
      <c r="P77" s="13">
        <f t="shared" si="12"/>
        <v>1</v>
      </c>
    </row>
    <row r="78" ht="12.75" customHeight="1">
      <c r="A78" s="18"/>
      <c r="B78" s="49"/>
      <c r="C78" s="50" t="s">
        <v>67</v>
      </c>
      <c r="D78" s="51"/>
      <c r="E78" s="66">
        <v>0.0</v>
      </c>
      <c r="F78" s="66">
        <v>0.0</v>
      </c>
      <c r="G78" s="66">
        <v>0.0</v>
      </c>
      <c r="H78" s="66">
        <v>2.0</v>
      </c>
      <c r="I78" s="19"/>
      <c r="J78" s="66">
        <v>2.0</v>
      </c>
      <c r="K78" s="66">
        <v>3.0</v>
      </c>
      <c r="L78" s="66">
        <v>13.0</v>
      </c>
      <c r="M78" s="66">
        <v>1.0</v>
      </c>
      <c r="N78" s="19"/>
      <c r="O78" s="19"/>
      <c r="P78" s="13">
        <f t="shared" si="12"/>
        <v>21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O79" si="16">SUM(E72:E78)</f>
        <v>46</v>
      </c>
      <c r="F79" s="13">
        <f t="shared" si="16"/>
        <v>39</v>
      </c>
      <c r="G79" s="13">
        <f t="shared" si="16"/>
        <v>37</v>
      </c>
      <c r="H79" s="13">
        <f t="shared" si="16"/>
        <v>12</v>
      </c>
      <c r="I79" s="13">
        <f t="shared" si="16"/>
        <v>20</v>
      </c>
      <c r="J79" s="13">
        <f t="shared" si="16"/>
        <v>41</v>
      </c>
      <c r="K79" s="13">
        <f t="shared" si="16"/>
        <v>12</v>
      </c>
      <c r="L79" s="13">
        <f t="shared" si="16"/>
        <v>18</v>
      </c>
      <c r="M79" s="13">
        <f t="shared" si="16"/>
        <v>7</v>
      </c>
      <c r="N79" s="13">
        <f t="shared" si="16"/>
        <v>1</v>
      </c>
      <c r="O79" s="13">
        <f t="shared" si="16"/>
        <v>3</v>
      </c>
      <c r="P79" s="13">
        <f t="shared" si="12"/>
        <v>236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13">
        <f t="shared" si="12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1.0</v>
      </c>
      <c r="F81" s="66">
        <v>1.0</v>
      </c>
      <c r="G81" s="66">
        <v>0.0</v>
      </c>
      <c r="H81" s="66">
        <v>0.0</v>
      </c>
      <c r="I81" s="66">
        <v>1.0</v>
      </c>
      <c r="J81" s="66">
        <v>1.0</v>
      </c>
      <c r="K81" s="66">
        <v>0.0</v>
      </c>
      <c r="L81" s="66">
        <v>0.0</v>
      </c>
      <c r="M81" s="66">
        <v>1.0</v>
      </c>
      <c r="N81" s="66">
        <v>0.0</v>
      </c>
      <c r="O81" s="66">
        <v>1.0</v>
      </c>
      <c r="P81" s="13">
        <f t="shared" si="12"/>
        <v>6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0.0</v>
      </c>
      <c r="F82" s="66">
        <v>0.0</v>
      </c>
      <c r="G82" s="66">
        <v>0.0</v>
      </c>
      <c r="H82" s="66">
        <v>1.0</v>
      </c>
      <c r="I82" s="66">
        <v>0.0</v>
      </c>
      <c r="J82" s="66">
        <v>1.0</v>
      </c>
      <c r="K82" s="66">
        <v>0.0</v>
      </c>
      <c r="L82" s="66">
        <v>1.0</v>
      </c>
      <c r="M82" s="66">
        <v>1.0</v>
      </c>
      <c r="N82" s="66">
        <v>0.0</v>
      </c>
      <c r="O82" s="66">
        <v>0.0</v>
      </c>
      <c r="P82" s="13">
        <f t="shared" si="12"/>
        <v>4</v>
      </c>
    </row>
    <row r="83" ht="12.75" customHeight="1">
      <c r="A83" s="18"/>
      <c r="B83" s="49"/>
      <c r="C83" s="50" t="s">
        <v>71</v>
      </c>
      <c r="D83" s="51"/>
      <c r="E83" s="19"/>
      <c r="F83" s="66">
        <v>1.0</v>
      </c>
      <c r="G83" s="66">
        <v>0.0</v>
      </c>
      <c r="H83" s="66">
        <v>1.0</v>
      </c>
      <c r="I83" s="66">
        <v>5.0</v>
      </c>
      <c r="J83" s="66">
        <v>6.0</v>
      </c>
      <c r="K83" s="66">
        <v>4.0</v>
      </c>
      <c r="L83" s="66">
        <v>5.0</v>
      </c>
      <c r="M83" s="66">
        <v>12.0</v>
      </c>
      <c r="N83" s="66">
        <v>6.0</v>
      </c>
      <c r="O83" s="66">
        <v>8.0</v>
      </c>
      <c r="P83" s="13">
        <f t="shared" si="12"/>
        <v>48</v>
      </c>
    </row>
    <row r="84" ht="12.75" customHeight="1">
      <c r="A84" s="18"/>
      <c r="B84" s="49"/>
      <c r="C84" s="50" t="s">
        <v>72</v>
      </c>
      <c r="D84" s="51"/>
      <c r="E84" s="19"/>
      <c r="F84" s="66">
        <v>0.0</v>
      </c>
      <c r="G84" s="66">
        <v>0.0</v>
      </c>
      <c r="H84" s="66">
        <v>0.0</v>
      </c>
      <c r="I84" s="66">
        <v>0.0</v>
      </c>
      <c r="J84" s="66">
        <v>1.0</v>
      </c>
      <c r="K84" s="66">
        <v>0.0</v>
      </c>
      <c r="L84" s="66">
        <v>0.0</v>
      </c>
      <c r="M84" s="66">
        <v>0.0</v>
      </c>
      <c r="N84" s="66">
        <v>0.0</v>
      </c>
      <c r="O84" s="66">
        <v>0.0</v>
      </c>
      <c r="P84" s="13">
        <f t="shared" si="12"/>
        <v>1</v>
      </c>
    </row>
    <row r="85" ht="12.75" customHeight="1">
      <c r="A85" s="18"/>
      <c r="B85" s="49"/>
      <c r="C85" s="50" t="s">
        <v>73</v>
      </c>
      <c r="D85" s="51"/>
      <c r="E85" s="19"/>
      <c r="F85" s="19"/>
      <c r="G85" s="66">
        <v>0.0</v>
      </c>
      <c r="H85" s="66">
        <v>0.0</v>
      </c>
      <c r="I85" s="66">
        <v>0.0</v>
      </c>
      <c r="J85" s="66">
        <v>0.0</v>
      </c>
      <c r="K85" s="66">
        <v>0.0</v>
      </c>
      <c r="L85" s="19"/>
      <c r="M85" s="66">
        <v>0.0</v>
      </c>
      <c r="N85" s="66">
        <v>0.0</v>
      </c>
      <c r="O85" s="66">
        <v>0.0</v>
      </c>
      <c r="P85" s="13">
        <f t="shared" si="12"/>
        <v>0</v>
      </c>
    </row>
    <row r="86" ht="12.75" customHeight="1">
      <c r="A86" s="18"/>
      <c r="B86" s="49"/>
      <c r="C86" s="50" t="s">
        <v>74</v>
      </c>
      <c r="D86" s="51"/>
      <c r="E86" s="19"/>
      <c r="F86" s="19"/>
      <c r="G86" s="66">
        <v>0.0</v>
      </c>
      <c r="H86" s="66">
        <v>0.0</v>
      </c>
      <c r="I86" s="66">
        <v>0.0</v>
      </c>
      <c r="J86" s="66">
        <v>0.0</v>
      </c>
      <c r="K86" s="66">
        <v>0.0</v>
      </c>
      <c r="L86" s="19"/>
      <c r="M86" s="66">
        <v>0.0</v>
      </c>
      <c r="N86" s="66">
        <v>1.0</v>
      </c>
      <c r="O86" s="66">
        <v>0.0</v>
      </c>
      <c r="P86" s="13">
        <f t="shared" si="12"/>
        <v>1</v>
      </c>
    </row>
    <row r="87" ht="12.75" customHeight="1">
      <c r="A87" s="18"/>
      <c r="B87" s="49"/>
      <c r="C87" s="50" t="s">
        <v>75</v>
      </c>
      <c r="D87" s="51"/>
      <c r="E87" s="19"/>
      <c r="F87" s="19"/>
      <c r="G87" s="66">
        <v>0.0</v>
      </c>
      <c r="H87" s="66">
        <v>0.0</v>
      </c>
      <c r="I87" s="66">
        <v>0.0</v>
      </c>
      <c r="J87" s="66">
        <v>0.0</v>
      </c>
      <c r="K87" s="66">
        <v>1.0</v>
      </c>
      <c r="L87" s="19"/>
      <c r="M87" s="66">
        <v>0.0</v>
      </c>
      <c r="N87" s="66">
        <v>0.0</v>
      </c>
      <c r="O87" s="66">
        <v>0.0</v>
      </c>
      <c r="P87" s="13">
        <f t="shared" si="12"/>
        <v>1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O88" si="17">SUM(E81:E87)</f>
        <v>1</v>
      </c>
      <c r="F88" s="13">
        <f t="shared" si="17"/>
        <v>2</v>
      </c>
      <c r="G88" s="13">
        <f t="shared" si="17"/>
        <v>0</v>
      </c>
      <c r="H88" s="13">
        <f t="shared" si="17"/>
        <v>2</v>
      </c>
      <c r="I88" s="13">
        <f t="shared" si="17"/>
        <v>6</v>
      </c>
      <c r="J88" s="13">
        <f t="shared" si="17"/>
        <v>9</v>
      </c>
      <c r="K88" s="13">
        <f t="shared" si="17"/>
        <v>5</v>
      </c>
      <c r="L88" s="13">
        <f t="shared" si="17"/>
        <v>6</v>
      </c>
      <c r="M88" s="13">
        <f t="shared" si="17"/>
        <v>14</v>
      </c>
      <c r="N88" s="13">
        <f t="shared" si="17"/>
        <v>7</v>
      </c>
      <c r="O88" s="13">
        <f t="shared" si="17"/>
        <v>9</v>
      </c>
      <c r="P88" s="13">
        <f t="shared" si="12"/>
        <v>61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13">
        <f t="shared" si="12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19"/>
      <c r="F90" s="19"/>
      <c r="G90" s="66">
        <v>0.0</v>
      </c>
      <c r="H90" s="66">
        <v>0.0</v>
      </c>
      <c r="I90" s="66">
        <v>2.0</v>
      </c>
      <c r="J90" s="66">
        <v>0.0</v>
      </c>
      <c r="K90" s="19"/>
      <c r="L90" s="66">
        <v>1.0</v>
      </c>
      <c r="M90" s="66">
        <v>1.0</v>
      </c>
      <c r="N90" s="19"/>
      <c r="O90" s="19"/>
      <c r="P90" s="13">
        <f t="shared" si="12"/>
        <v>4</v>
      </c>
    </row>
    <row r="91" ht="12.75" customHeight="1">
      <c r="A91" s="30" t="s">
        <v>39</v>
      </c>
      <c r="B91" s="49"/>
      <c r="C91" s="50" t="s">
        <v>78</v>
      </c>
      <c r="D91" s="16"/>
      <c r="E91" s="19"/>
      <c r="F91" s="19"/>
      <c r="G91" s="66">
        <v>1.0</v>
      </c>
      <c r="H91" s="66">
        <v>0.0</v>
      </c>
      <c r="I91" s="66">
        <v>0.0</v>
      </c>
      <c r="J91" s="66">
        <v>0.0</v>
      </c>
      <c r="K91" s="19"/>
      <c r="L91" s="66">
        <v>0.0</v>
      </c>
      <c r="M91" s="66">
        <v>0.0</v>
      </c>
      <c r="N91" s="19"/>
      <c r="O91" s="19"/>
      <c r="P91" s="13">
        <f t="shared" si="12"/>
        <v>1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O92" si="18">SUM(E90:E91)</f>
        <v>0</v>
      </c>
      <c r="F92" s="58">
        <f t="shared" si="18"/>
        <v>0</v>
      </c>
      <c r="G92" s="58">
        <f t="shared" si="18"/>
        <v>1</v>
      </c>
      <c r="H92" s="58">
        <f t="shared" si="18"/>
        <v>0</v>
      </c>
      <c r="I92" s="58">
        <f t="shared" si="18"/>
        <v>2</v>
      </c>
      <c r="J92" s="58">
        <f t="shared" si="18"/>
        <v>0</v>
      </c>
      <c r="K92" s="58">
        <f t="shared" si="18"/>
        <v>0</v>
      </c>
      <c r="L92" s="58">
        <f t="shared" si="18"/>
        <v>1</v>
      </c>
      <c r="M92" s="58">
        <f t="shared" si="18"/>
        <v>1</v>
      </c>
      <c r="N92" s="58">
        <f t="shared" si="18"/>
        <v>0</v>
      </c>
      <c r="O92" s="58">
        <f t="shared" si="18"/>
        <v>0</v>
      </c>
      <c r="P92" s="13">
        <f t="shared" si="12"/>
        <v>5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13">
        <f t="shared" si="12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19"/>
      <c r="F94" s="66">
        <v>0.0</v>
      </c>
      <c r="G94" s="66">
        <v>0.0</v>
      </c>
      <c r="H94" s="66">
        <v>0.0</v>
      </c>
      <c r="I94" s="66">
        <v>0.0</v>
      </c>
      <c r="J94" s="66">
        <v>1.0</v>
      </c>
      <c r="K94" s="66">
        <v>2.0</v>
      </c>
      <c r="L94" s="66">
        <v>0.0</v>
      </c>
      <c r="M94" s="66">
        <v>0.0</v>
      </c>
      <c r="N94" s="19"/>
      <c r="O94" s="66">
        <v>0.0</v>
      </c>
      <c r="P94" s="13">
        <f t="shared" si="12"/>
        <v>3</v>
      </c>
    </row>
    <row r="95" ht="12.75" customHeight="1">
      <c r="A95" s="30" t="s">
        <v>39</v>
      </c>
      <c r="B95" s="49"/>
      <c r="C95" s="50" t="s">
        <v>81</v>
      </c>
      <c r="D95" s="51"/>
      <c r="E95" s="19"/>
      <c r="F95" s="19"/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3.0</v>
      </c>
      <c r="M95" s="66">
        <v>0.0</v>
      </c>
      <c r="N95" s="19"/>
      <c r="O95" s="66">
        <v>1.0</v>
      </c>
      <c r="P95" s="13">
        <f t="shared" si="12"/>
        <v>4</v>
      </c>
    </row>
    <row r="96" ht="12.75" customHeight="1">
      <c r="A96" s="30"/>
      <c r="B96" s="49"/>
      <c r="C96" s="50" t="s">
        <v>82</v>
      </c>
      <c r="D96" s="51"/>
      <c r="E96" s="19"/>
      <c r="F96" s="19"/>
      <c r="G96" s="66">
        <v>0.0</v>
      </c>
      <c r="H96" s="66">
        <v>0.0</v>
      </c>
      <c r="I96" s="66">
        <v>1.0</v>
      </c>
      <c r="J96" s="66">
        <v>1.0</v>
      </c>
      <c r="K96" s="19"/>
      <c r="L96" s="66">
        <v>1.0</v>
      </c>
      <c r="M96" s="66">
        <v>0.0</v>
      </c>
      <c r="N96" s="19"/>
      <c r="O96" s="66">
        <v>0.0</v>
      </c>
      <c r="P96" s="13">
        <f t="shared" si="12"/>
        <v>3</v>
      </c>
    </row>
    <row r="97" ht="12.75" customHeight="1">
      <c r="A97" s="30"/>
      <c r="B97" s="49"/>
      <c r="C97" s="50" t="s">
        <v>83</v>
      </c>
      <c r="D97" s="51"/>
      <c r="E97" s="19"/>
      <c r="F97" s="19"/>
      <c r="G97" s="66">
        <v>0.0</v>
      </c>
      <c r="H97" s="66">
        <v>0.0</v>
      </c>
      <c r="I97" s="66">
        <v>0.0</v>
      </c>
      <c r="J97" s="66">
        <v>0.0</v>
      </c>
      <c r="K97" s="19"/>
      <c r="L97" s="66">
        <v>0.0</v>
      </c>
      <c r="M97" s="66">
        <v>0.0</v>
      </c>
      <c r="N97" s="19"/>
      <c r="O97" s="66">
        <v>0.0</v>
      </c>
      <c r="P97" s="13">
        <f t="shared" si="12"/>
        <v>0</v>
      </c>
    </row>
    <row r="98" ht="12.75" customHeight="1">
      <c r="A98" s="30"/>
      <c r="B98" s="49"/>
      <c r="C98" s="50" t="s">
        <v>84</v>
      </c>
      <c r="D98" s="51"/>
      <c r="E98" s="19"/>
      <c r="F98" s="19"/>
      <c r="G98" s="66">
        <v>0.0</v>
      </c>
      <c r="H98" s="66">
        <v>0.0</v>
      </c>
      <c r="I98" s="19"/>
      <c r="J98" s="66">
        <v>0.0</v>
      </c>
      <c r="K98" s="19"/>
      <c r="L98" s="66">
        <v>0.0</v>
      </c>
      <c r="M98" s="66">
        <v>0.0</v>
      </c>
      <c r="N98" s="19"/>
      <c r="O98" s="66">
        <v>0.0</v>
      </c>
      <c r="P98" s="13">
        <f t="shared" si="12"/>
        <v>0</v>
      </c>
    </row>
    <row r="99" ht="12.75" customHeight="1">
      <c r="A99" s="30"/>
      <c r="B99" s="49"/>
      <c r="C99" s="50" t="s">
        <v>85</v>
      </c>
      <c r="D99" s="51"/>
      <c r="E99" s="19"/>
      <c r="F99" s="19"/>
      <c r="G99" s="66">
        <v>0.0</v>
      </c>
      <c r="H99" s="66">
        <v>0.0</v>
      </c>
      <c r="I99" s="19"/>
      <c r="J99" s="66">
        <v>0.0</v>
      </c>
      <c r="K99" s="19"/>
      <c r="L99" s="66">
        <v>0.0</v>
      </c>
      <c r="M99" s="66">
        <v>0.0</v>
      </c>
      <c r="N99" s="19"/>
      <c r="O99" s="66">
        <v>1.0</v>
      </c>
      <c r="P99" s="13">
        <f t="shared" si="12"/>
        <v>1</v>
      </c>
    </row>
    <row r="100" ht="12.75" customHeight="1">
      <c r="A100" s="30"/>
      <c r="B100" s="49"/>
      <c r="C100" s="50" t="s">
        <v>86</v>
      </c>
      <c r="D100" s="51"/>
      <c r="E100" s="19"/>
      <c r="F100" s="19"/>
      <c r="G100" s="66">
        <v>0.0</v>
      </c>
      <c r="H100" s="66">
        <v>0.0</v>
      </c>
      <c r="I100" s="19"/>
      <c r="J100" s="66">
        <v>0.0</v>
      </c>
      <c r="K100" s="19"/>
      <c r="L100" s="66">
        <v>0.0</v>
      </c>
      <c r="M100" s="66">
        <v>1.0</v>
      </c>
      <c r="N100" s="19"/>
      <c r="O100" s="66">
        <v>0.0</v>
      </c>
      <c r="P100" s="13">
        <f t="shared" si="12"/>
        <v>1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O101" si="19">SUM(E94:E100)</f>
        <v>0</v>
      </c>
      <c r="F101" s="13">
        <f t="shared" si="19"/>
        <v>0</v>
      </c>
      <c r="G101" s="13">
        <f t="shared" si="19"/>
        <v>0</v>
      </c>
      <c r="H101" s="13">
        <f t="shared" si="19"/>
        <v>0</v>
      </c>
      <c r="I101" s="13">
        <f t="shared" si="19"/>
        <v>1</v>
      </c>
      <c r="J101" s="13">
        <f t="shared" si="19"/>
        <v>2</v>
      </c>
      <c r="K101" s="13">
        <f t="shared" si="19"/>
        <v>2</v>
      </c>
      <c r="L101" s="13">
        <f t="shared" si="19"/>
        <v>4</v>
      </c>
      <c r="M101" s="13">
        <f t="shared" si="19"/>
        <v>1</v>
      </c>
      <c r="N101" s="13">
        <f t="shared" si="19"/>
        <v>0</v>
      </c>
      <c r="O101" s="13">
        <f t="shared" si="19"/>
        <v>2</v>
      </c>
      <c r="P101" s="13">
        <f t="shared" si="12"/>
        <v>12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13">
        <f t="shared" si="12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19"/>
      <c r="F103" s="66">
        <v>0.0</v>
      </c>
      <c r="G103" s="66">
        <v>0.0</v>
      </c>
      <c r="H103" s="66">
        <v>0.0</v>
      </c>
      <c r="I103" s="66">
        <v>1.0</v>
      </c>
      <c r="J103" s="66">
        <v>0.0</v>
      </c>
      <c r="K103" s="19"/>
      <c r="L103" s="19"/>
      <c r="M103" s="66">
        <v>0.0</v>
      </c>
      <c r="N103" s="19"/>
      <c r="O103" s="66">
        <v>0.0</v>
      </c>
      <c r="P103" s="13">
        <f t="shared" si="12"/>
        <v>1</v>
      </c>
    </row>
    <row r="104" ht="12.75" customHeight="1">
      <c r="A104" s="30" t="s">
        <v>39</v>
      </c>
      <c r="B104" s="49"/>
      <c r="C104" s="50" t="s">
        <v>89</v>
      </c>
      <c r="D104" s="51"/>
      <c r="E104" s="19"/>
      <c r="F104" s="66">
        <v>1.0</v>
      </c>
      <c r="G104" s="66">
        <v>1.0</v>
      </c>
      <c r="H104" s="66">
        <v>0.0</v>
      </c>
      <c r="I104" s="66">
        <v>0.0</v>
      </c>
      <c r="J104" s="66">
        <v>0.0</v>
      </c>
      <c r="K104" s="19"/>
      <c r="L104" s="19"/>
      <c r="M104" s="66">
        <v>0.0</v>
      </c>
      <c r="N104" s="19"/>
      <c r="O104" s="66">
        <v>0.0</v>
      </c>
      <c r="P104" s="13">
        <f t="shared" si="12"/>
        <v>2</v>
      </c>
    </row>
    <row r="105" ht="12.75" customHeight="1">
      <c r="A105" s="18"/>
      <c r="B105" s="49"/>
      <c r="C105" s="50" t="s">
        <v>90</v>
      </c>
      <c r="D105" s="51"/>
      <c r="E105" s="19"/>
      <c r="F105" s="66">
        <v>0.0</v>
      </c>
      <c r="G105" s="66">
        <v>0.0</v>
      </c>
      <c r="H105" s="66">
        <v>0.0</v>
      </c>
      <c r="I105" s="66">
        <v>0.0</v>
      </c>
      <c r="J105" s="66">
        <v>0.0</v>
      </c>
      <c r="K105" s="19"/>
      <c r="L105" s="19"/>
      <c r="M105" s="66">
        <v>0.0</v>
      </c>
      <c r="N105" s="19"/>
      <c r="O105" s="66">
        <v>1.0</v>
      </c>
      <c r="P105" s="13">
        <f t="shared" si="12"/>
        <v>1</v>
      </c>
    </row>
    <row r="106" ht="12.75" customHeight="1">
      <c r="A106" s="18"/>
      <c r="B106" s="49"/>
      <c r="C106" s="50" t="s">
        <v>91</v>
      </c>
      <c r="D106" s="51"/>
      <c r="E106" s="19"/>
      <c r="F106" s="19"/>
      <c r="G106" s="66">
        <v>0.0</v>
      </c>
      <c r="H106" s="66">
        <v>1.0</v>
      </c>
      <c r="I106" s="66">
        <v>0.0</v>
      </c>
      <c r="J106" s="66">
        <v>0.0</v>
      </c>
      <c r="K106" s="19"/>
      <c r="L106" s="19"/>
      <c r="M106" s="66">
        <v>0.0</v>
      </c>
      <c r="N106" s="19"/>
      <c r="O106" s="66">
        <v>0.0</v>
      </c>
      <c r="P106" s="13">
        <f t="shared" si="12"/>
        <v>1</v>
      </c>
    </row>
    <row r="107" ht="12.75" customHeight="1">
      <c r="A107" s="18"/>
      <c r="B107" s="49"/>
      <c r="C107" s="50" t="s">
        <v>92</v>
      </c>
      <c r="D107" s="51"/>
      <c r="E107" s="19"/>
      <c r="F107" s="19"/>
      <c r="G107" s="66">
        <v>0.0</v>
      </c>
      <c r="H107" s="66">
        <v>0.0</v>
      </c>
      <c r="I107" s="66">
        <v>1.0</v>
      </c>
      <c r="J107" s="66">
        <v>0.0</v>
      </c>
      <c r="K107" s="19"/>
      <c r="L107" s="19"/>
      <c r="M107" s="66">
        <v>0.0</v>
      </c>
      <c r="N107" s="19"/>
      <c r="O107" s="66">
        <v>2.0</v>
      </c>
      <c r="P107" s="13">
        <f t="shared" si="12"/>
        <v>3</v>
      </c>
    </row>
    <row r="108" ht="12.75" customHeight="1">
      <c r="A108" s="18"/>
      <c r="B108" s="49"/>
      <c r="C108" s="50" t="s">
        <v>93</v>
      </c>
      <c r="D108" s="51"/>
      <c r="E108" s="19"/>
      <c r="F108" s="19"/>
      <c r="G108" s="66">
        <v>0.0</v>
      </c>
      <c r="H108" s="66">
        <v>0.0</v>
      </c>
      <c r="I108" s="66">
        <v>1.0</v>
      </c>
      <c r="J108" s="66">
        <v>0.0</v>
      </c>
      <c r="K108" s="19"/>
      <c r="L108" s="19"/>
      <c r="M108" s="66">
        <v>0.0</v>
      </c>
      <c r="N108" s="19"/>
      <c r="O108" s="66">
        <v>0.0</v>
      </c>
      <c r="P108" s="13">
        <f t="shared" si="12"/>
        <v>1</v>
      </c>
    </row>
    <row r="109" ht="12.75" customHeight="1">
      <c r="A109" s="18"/>
      <c r="B109" s="49"/>
      <c r="C109" s="50" t="s">
        <v>94</v>
      </c>
      <c r="D109" s="51"/>
      <c r="E109" s="19"/>
      <c r="F109" s="19"/>
      <c r="G109" s="66">
        <v>0.0</v>
      </c>
      <c r="H109" s="66">
        <v>1.0</v>
      </c>
      <c r="I109" s="66">
        <v>0.0</v>
      </c>
      <c r="J109" s="66">
        <v>0.0</v>
      </c>
      <c r="K109" s="19"/>
      <c r="L109" s="19"/>
      <c r="M109" s="66">
        <v>0.0</v>
      </c>
      <c r="N109" s="19"/>
      <c r="O109" s="66">
        <v>0.0</v>
      </c>
      <c r="P109" s="13">
        <f t="shared" si="12"/>
        <v>1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O110" si="20">SUM(E103:E109)</f>
        <v>0</v>
      </c>
      <c r="F110" s="13">
        <f t="shared" si="20"/>
        <v>1</v>
      </c>
      <c r="G110" s="13">
        <f t="shared" si="20"/>
        <v>1</v>
      </c>
      <c r="H110" s="13">
        <f t="shared" si="20"/>
        <v>2</v>
      </c>
      <c r="I110" s="13">
        <f t="shared" si="20"/>
        <v>3</v>
      </c>
      <c r="J110" s="13">
        <f t="shared" si="20"/>
        <v>0</v>
      </c>
      <c r="K110" s="13">
        <f t="shared" si="20"/>
        <v>0</v>
      </c>
      <c r="L110" s="13">
        <f t="shared" si="20"/>
        <v>0</v>
      </c>
      <c r="M110" s="13">
        <f t="shared" si="20"/>
        <v>0</v>
      </c>
      <c r="N110" s="13">
        <f t="shared" si="20"/>
        <v>0</v>
      </c>
      <c r="O110" s="13">
        <f t="shared" si="20"/>
        <v>3</v>
      </c>
      <c r="P110" s="13">
        <f t="shared" si="12"/>
        <v>10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13">
        <f t="shared" si="12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19"/>
      <c r="F112" s="19"/>
      <c r="G112" s="66">
        <v>0.0</v>
      </c>
      <c r="H112" s="66">
        <v>1.0</v>
      </c>
      <c r="I112" s="19"/>
      <c r="J112" s="66">
        <v>0.0</v>
      </c>
      <c r="K112" s="19"/>
      <c r="L112" s="19"/>
      <c r="M112" s="66">
        <v>0.0</v>
      </c>
      <c r="N112" s="19"/>
      <c r="O112" s="19"/>
      <c r="P112" s="13">
        <f t="shared" si="12"/>
        <v>1</v>
      </c>
    </row>
    <row r="113" ht="12.75" customHeight="1">
      <c r="A113" s="30"/>
      <c r="B113" s="47"/>
      <c r="C113" s="50" t="s">
        <v>97</v>
      </c>
      <c r="D113" s="59"/>
      <c r="E113" s="19"/>
      <c r="F113" s="19"/>
      <c r="G113" s="66">
        <v>0.0</v>
      </c>
      <c r="H113" s="66">
        <v>0.0</v>
      </c>
      <c r="I113" s="19"/>
      <c r="J113" s="66">
        <v>0.0</v>
      </c>
      <c r="K113" s="19"/>
      <c r="L113" s="19"/>
      <c r="M113" s="66">
        <v>0.0</v>
      </c>
      <c r="N113" s="19"/>
      <c r="O113" s="19"/>
      <c r="P113" s="13">
        <f t="shared" si="12"/>
        <v>0</v>
      </c>
    </row>
    <row r="114" ht="12.75" customHeight="1">
      <c r="A114" s="30"/>
      <c r="B114" s="47"/>
      <c r="C114" s="50" t="s">
        <v>98</v>
      </c>
      <c r="D114" s="59"/>
      <c r="E114" s="19"/>
      <c r="F114" s="19"/>
      <c r="G114" s="66">
        <v>0.0</v>
      </c>
      <c r="H114" s="66">
        <v>0.0</v>
      </c>
      <c r="I114" s="19"/>
      <c r="J114" s="66">
        <v>0.0</v>
      </c>
      <c r="K114" s="19"/>
      <c r="L114" s="19"/>
      <c r="M114" s="66">
        <v>0.0</v>
      </c>
      <c r="N114" s="19"/>
      <c r="O114" s="19"/>
      <c r="P114" s="13">
        <f t="shared" si="12"/>
        <v>0</v>
      </c>
    </row>
    <row r="115" ht="12.75" customHeight="1">
      <c r="A115" s="30"/>
      <c r="B115" s="47"/>
      <c r="C115" s="50" t="s">
        <v>99</v>
      </c>
      <c r="D115" s="59"/>
      <c r="E115" s="19"/>
      <c r="F115" s="19"/>
      <c r="G115" s="66">
        <v>0.0</v>
      </c>
      <c r="H115" s="66">
        <v>0.0</v>
      </c>
      <c r="I115" s="19"/>
      <c r="J115" s="66">
        <v>0.0</v>
      </c>
      <c r="K115" s="19"/>
      <c r="L115" s="19"/>
      <c r="M115" s="66">
        <v>0.0</v>
      </c>
      <c r="N115" s="19"/>
      <c r="O115" s="19"/>
      <c r="P115" s="13">
        <f t="shared" si="12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19"/>
      <c r="F116" s="19"/>
      <c r="G116" s="66">
        <v>0.0</v>
      </c>
      <c r="H116" s="66">
        <v>0.0</v>
      </c>
      <c r="I116" s="19"/>
      <c r="J116" s="66">
        <v>0.0</v>
      </c>
      <c r="K116" s="19"/>
      <c r="L116" s="19"/>
      <c r="M116" s="66">
        <v>0.0</v>
      </c>
      <c r="N116" s="19"/>
      <c r="O116" s="19"/>
      <c r="P116" s="13">
        <f t="shared" si="12"/>
        <v>0</v>
      </c>
    </row>
    <row r="117" ht="12.75" customHeight="1">
      <c r="A117" s="18"/>
      <c r="B117" s="49"/>
      <c r="C117" s="50" t="s">
        <v>101</v>
      </c>
      <c r="D117" s="51"/>
      <c r="E117" s="19"/>
      <c r="F117" s="19"/>
      <c r="G117" s="66">
        <v>0.0</v>
      </c>
      <c r="H117" s="66">
        <v>0.0</v>
      </c>
      <c r="I117" s="19"/>
      <c r="J117" s="66">
        <v>0.0</v>
      </c>
      <c r="K117" s="19"/>
      <c r="L117" s="19"/>
      <c r="M117" s="66">
        <v>0.0</v>
      </c>
      <c r="N117" s="19"/>
      <c r="O117" s="19"/>
      <c r="P117" s="13">
        <f t="shared" si="12"/>
        <v>0</v>
      </c>
      <c r="Q117" s="5"/>
      <c r="R117" s="5"/>
    </row>
    <row r="118" ht="12.75" customHeight="1">
      <c r="A118" s="18"/>
      <c r="B118" s="49"/>
      <c r="C118" s="50" t="s">
        <v>102</v>
      </c>
      <c r="D118" s="51"/>
      <c r="E118" s="19"/>
      <c r="F118" s="19"/>
      <c r="G118" s="66">
        <v>0.0</v>
      </c>
      <c r="H118" s="66">
        <v>0.0</v>
      </c>
      <c r="I118" s="19"/>
      <c r="J118" s="66">
        <v>0.0</v>
      </c>
      <c r="K118" s="19"/>
      <c r="L118" s="19"/>
      <c r="M118" s="66">
        <v>0.0</v>
      </c>
      <c r="N118" s="19"/>
      <c r="O118" s="19"/>
      <c r="P118" s="13">
        <f t="shared" si="12"/>
        <v>0</v>
      </c>
      <c r="Q118" s="5"/>
      <c r="R118" s="5"/>
    </row>
    <row r="119" ht="12.75" customHeight="1">
      <c r="A119" s="19" t="s">
        <v>15</v>
      </c>
      <c r="B119" s="47" t="s">
        <v>46</v>
      </c>
      <c r="C119" s="15"/>
      <c r="D119" s="16"/>
      <c r="E119" s="13">
        <f t="shared" ref="E119:O119" si="21">SUM(E112:E118)</f>
        <v>0</v>
      </c>
      <c r="F119" s="13">
        <f t="shared" si="21"/>
        <v>0</v>
      </c>
      <c r="G119" s="13">
        <f t="shared" si="21"/>
        <v>0</v>
      </c>
      <c r="H119" s="13">
        <f t="shared" si="21"/>
        <v>1</v>
      </c>
      <c r="I119" s="13">
        <f t="shared" si="21"/>
        <v>0</v>
      </c>
      <c r="J119" s="13">
        <f t="shared" si="21"/>
        <v>0</v>
      </c>
      <c r="K119" s="13">
        <f t="shared" si="21"/>
        <v>0</v>
      </c>
      <c r="L119" s="13">
        <f t="shared" si="21"/>
        <v>0</v>
      </c>
      <c r="M119" s="13">
        <f t="shared" si="21"/>
        <v>0</v>
      </c>
      <c r="N119" s="13">
        <f t="shared" si="21"/>
        <v>0</v>
      </c>
      <c r="O119" s="13">
        <f t="shared" si="21"/>
        <v>0</v>
      </c>
      <c r="P119" s="13">
        <f t="shared" si="12"/>
        <v>1</v>
      </c>
      <c r="Q119" s="5"/>
      <c r="R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13">
        <f t="shared" si="12"/>
        <v>0</v>
      </c>
      <c r="Q120" s="5"/>
      <c r="R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19"/>
      <c r="F121" s="19"/>
      <c r="G121" s="66">
        <v>0.0</v>
      </c>
      <c r="H121" s="66">
        <v>0.0</v>
      </c>
      <c r="I121" s="19"/>
      <c r="J121" s="66">
        <v>0.0</v>
      </c>
      <c r="K121" s="19"/>
      <c r="L121" s="66">
        <v>0.0</v>
      </c>
      <c r="M121" s="66">
        <v>0.0</v>
      </c>
      <c r="N121" s="19"/>
      <c r="O121" s="66">
        <v>1.0</v>
      </c>
      <c r="P121" s="13">
        <f t="shared" si="12"/>
        <v>1</v>
      </c>
      <c r="Q121" s="5"/>
      <c r="R121" s="5"/>
    </row>
    <row r="122" ht="12.75" customHeight="1">
      <c r="A122" s="30" t="s">
        <v>39</v>
      </c>
      <c r="B122" s="49"/>
      <c r="C122" s="50" t="s">
        <v>105</v>
      </c>
      <c r="D122" s="51"/>
      <c r="E122" s="19"/>
      <c r="F122" s="19"/>
      <c r="G122" s="66">
        <v>0.0</v>
      </c>
      <c r="H122" s="66">
        <v>0.0</v>
      </c>
      <c r="I122" s="19"/>
      <c r="J122" s="66">
        <v>0.0</v>
      </c>
      <c r="K122" s="19"/>
      <c r="L122" s="66">
        <v>1.0</v>
      </c>
      <c r="M122" s="66">
        <v>0.0</v>
      </c>
      <c r="N122" s="19"/>
      <c r="O122" s="66">
        <v>0.0</v>
      </c>
      <c r="P122" s="13">
        <f t="shared" si="12"/>
        <v>1</v>
      </c>
      <c r="Q122" s="5"/>
      <c r="R122" s="5"/>
    </row>
    <row r="123" ht="12.75" customHeight="1">
      <c r="A123" s="18"/>
      <c r="B123" s="49"/>
      <c r="C123" s="50" t="s">
        <v>106</v>
      </c>
      <c r="D123" s="51"/>
      <c r="E123" s="19"/>
      <c r="F123" s="19"/>
      <c r="G123" s="66">
        <v>0.0</v>
      </c>
      <c r="H123" s="66">
        <v>0.0</v>
      </c>
      <c r="I123" s="19"/>
      <c r="J123" s="66">
        <v>0.0</v>
      </c>
      <c r="K123" s="19"/>
      <c r="L123" s="66">
        <v>0.0</v>
      </c>
      <c r="M123" s="66">
        <v>0.0</v>
      </c>
      <c r="N123" s="19"/>
      <c r="O123" s="19"/>
      <c r="P123" s="13">
        <f t="shared" si="12"/>
        <v>0</v>
      </c>
      <c r="Q123" s="5"/>
      <c r="R123" s="5"/>
    </row>
    <row r="124" ht="12.75" customHeight="1">
      <c r="A124" s="18"/>
      <c r="B124" s="49"/>
      <c r="C124" s="50" t="s">
        <v>107</v>
      </c>
      <c r="D124" s="51"/>
      <c r="E124" s="19"/>
      <c r="F124" s="19"/>
      <c r="G124" s="66">
        <v>0.0</v>
      </c>
      <c r="H124" s="66">
        <v>0.0</v>
      </c>
      <c r="I124" s="19"/>
      <c r="J124" s="66">
        <v>0.0</v>
      </c>
      <c r="K124" s="19"/>
      <c r="L124" s="66">
        <v>0.0</v>
      </c>
      <c r="M124" s="66">
        <v>0.0</v>
      </c>
      <c r="N124" s="19"/>
      <c r="O124" s="19"/>
      <c r="P124" s="13">
        <f t="shared" si="12"/>
        <v>0</v>
      </c>
      <c r="Q124" s="5"/>
      <c r="R124" s="5"/>
    </row>
    <row r="125" ht="12.75" customHeight="1">
      <c r="A125" s="18"/>
      <c r="B125" s="49"/>
      <c r="C125" s="50" t="s">
        <v>108</v>
      </c>
      <c r="D125" s="51"/>
      <c r="E125" s="19"/>
      <c r="F125" s="19"/>
      <c r="G125" s="66">
        <v>0.0</v>
      </c>
      <c r="H125" s="66">
        <v>0.0</v>
      </c>
      <c r="I125" s="19"/>
      <c r="J125" s="66">
        <v>0.0</v>
      </c>
      <c r="K125" s="19"/>
      <c r="L125" s="66">
        <v>0.0</v>
      </c>
      <c r="M125" s="66">
        <v>0.0</v>
      </c>
      <c r="N125" s="19"/>
      <c r="O125" s="19"/>
      <c r="P125" s="13">
        <f t="shared" si="12"/>
        <v>0</v>
      </c>
      <c r="Q125" s="5"/>
      <c r="R125" s="5"/>
    </row>
    <row r="126" ht="12.75" customHeight="1">
      <c r="A126" s="18"/>
      <c r="B126" s="49"/>
      <c r="C126" s="50" t="s">
        <v>109</v>
      </c>
      <c r="D126" s="51"/>
      <c r="E126" s="19"/>
      <c r="F126" s="19"/>
      <c r="G126" s="66">
        <v>0.0</v>
      </c>
      <c r="H126" s="66">
        <v>0.0</v>
      </c>
      <c r="I126" s="19"/>
      <c r="J126" s="66">
        <v>0.0</v>
      </c>
      <c r="K126" s="19"/>
      <c r="L126" s="66">
        <v>1.0</v>
      </c>
      <c r="M126" s="66">
        <v>0.0</v>
      </c>
      <c r="N126" s="19"/>
      <c r="O126" s="19"/>
      <c r="P126" s="13">
        <f t="shared" si="12"/>
        <v>1</v>
      </c>
      <c r="Q126" s="5"/>
      <c r="R126" s="5"/>
    </row>
    <row r="127" ht="12.75" customHeight="1">
      <c r="A127" s="18"/>
      <c r="B127" s="49"/>
      <c r="C127" s="50" t="s">
        <v>110</v>
      </c>
      <c r="D127" s="51"/>
      <c r="E127" s="19"/>
      <c r="F127" s="19"/>
      <c r="G127" s="66">
        <v>0.0</v>
      </c>
      <c r="H127" s="66">
        <v>0.0</v>
      </c>
      <c r="I127" s="19"/>
      <c r="J127" s="66">
        <v>0.0</v>
      </c>
      <c r="K127" s="19"/>
      <c r="L127" s="66">
        <v>0.0</v>
      </c>
      <c r="M127" s="66">
        <v>0.0</v>
      </c>
      <c r="N127" s="19"/>
      <c r="O127" s="19"/>
      <c r="P127" s="13">
        <f t="shared" si="12"/>
        <v>0</v>
      </c>
      <c r="Q127" s="5"/>
      <c r="R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O128" si="22">SUM(E121:E127)</f>
        <v>0</v>
      </c>
      <c r="F128" s="13">
        <f t="shared" si="22"/>
        <v>0</v>
      </c>
      <c r="G128" s="13">
        <f t="shared" si="22"/>
        <v>0</v>
      </c>
      <c r="H128" s="13">
        <f t="shared" si="22"/>
        <v>0</v>
      </c>
      <c r="I128" s="13">
        <f t="shared" si="22"/>
        <v>0</v>
      </c>
      <c r="J128" s="13">
        <f t="shared" si="22"/>
        <v>0</v>
      </c>
      <c r="K128" s="13">
        <f t="shared" si="22"/>
        <v>0</v>
      </c>
      <c r="L128" s="13">
        <f t="shared" si="22"/>
        <v>2</v>
      </c>
      <c r="M128" s="13">
        <f t="shared" si="22"/>
        <v>0</v>
      </c>
      <c r="N128" s="13">
        <f t="shared" si="22"/>
        <v>0</v>
      </c>
      <c r="O128" s="13">
        <f t="shared" si="22"/>
        <v>1</v>
      </c>
      <c r="P128" s="13">
        <f t="shared" si="12"/>
        <v>3</v>
      </c>
      <c r="Q128" s="5"/>
      <c r="R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13">
        <f t="shared" si="12"/>
        <v>0</v>
      </c>
      <c r="Q129" s="5"/>
      <c r="R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66">
        <v>0.0</v>
      </c>
      <c r="F130" s="19"/>
      <c r="G130" s="66">
        <v>0.0</v>
      </c>
      <c r="H130" s="66">
        <v>1.0</v>
      </c>
      <c r="I130" s="19"/>
      <c r="J130" s="66">
        <v>0.0</v>
      </c>
      <c r="K130" s="19"/>
      <c r="L130" s="19"/>
      <c r="M130" s="66">
        <v>0.0</v>
      </c>
      <c r="N130" s="19"/>
      <c r="O130" s="66">
        <v>1.0</v>
      </c>
      <c r="P130" s="13">
        <f t="shared" si="12"/>
        <v>2</v>
      </c>
      <c r="Q130" s="1"/>
      <c r="R130" s="1"/>
    </row>
    <row r="131" ht="12.75" customHeight="1">
      <c r="A131" s="30" t="s">
        <v>39</v>
      </c>
      <c r="B131" s="49"/>
      <c r="C131" s="50" t="s">
        <v>113</v>
      </c>
      <c r="D131" s="51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3">
        <f t="shared" si="12"/>
        <v>0</v>
      </c>
      <c r="Q131" s="53"/>
      <c r="R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O132" si="23">SUM(E130:E131)</f>
        <v>0</v>
      </c>
      <c r="F132" s="13">
        <f t="shared" si="23"/>
        <v>0</v>
      </c>
      <c r="G132" s="13">
        <f t="shared" si="23"/>
        <v>0</v>
      </c>
      <c r="H132" s="13">
        <f t="shared" si="23"/>
        <v>1</v>
      </c>
      <c r="I132" s="13">
        <f t="shared" si="23"/>
        <v>0</v>
      </c>
      <c r="J132" s="13">
        <f t="shared" si="23"/>
        <v>0</v>
      </c>
      <c r="K132" s="13">
        <f t="shared" si="23"/>
        <v>0</v>
      </c>
      <c r="L132" s="13">
        <f t="shared" si="23"/>
        <v>0</v>
      </c>
      <c r="M132" s="13">
        <f t="shared" si="23"/>
        <v>0</v>
      </c>
      <c r="N132" s="13">
        <f t="shared" si="23"/>
        <v>0</v>
      </c>
      <c r="O132" s="13">
        <f t="shared" si="23"/>
        <v>1</v>
      </c>
      <c r="P132" s="13">
        <f t="shared" si="12"/>
        <v>2</v>
      </c>
      <c r="Q132" s="5"/>
      <c r="R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13">
        <f t="shared" si="12"/>
        <v>0</v>
      </c>
      <c r="Q133" s="5"/>
      <c r="R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19"/>
      <c r="F134" s="19"/>
      <c r="G134" s="66">
        <v>0.0</v>
      </c>
      <c r="H134" s="66">
        <v>0.0</v>
      </c>
      <c r="I134" s="19"/>
      <c r="J134" s="66">
        <v>0.0</v>
      </c>
      <c r="K134" s="19"/>
      <c r="L134" s="19"/>
      <c r="M134" s="66">
        <v>0.0</v>
      </c>
      <c r="N134" s="19"/>
      <c r="O134" s="19"/>
      <c r="P134" s="13">
        <f t="shared" si="12"/>
        <v>0</v>
      </c>
      <c r="Q134" s="5"/>
      <c r="R134" s="5"/>
    </row>
    <row r="135" ht="12.75" customHeight="1">
      <c r="A135" s="30" t="s">
        <v>39</v>
      </c>
      <c r="B135" s="49"/>
      <c r="C135" s="50" t="s">
        <v>116</v>
      </c>
      <c r="D135" s="51"/>
      <c r="E135" s="19"/>
      <c r="F135" s="19"/>
      <c r="G135" s="66">
        <v>0.0</v>
      </c>
      <c r="H135" s="66">
        <v>0.0</v>
      </c>
      <c r="I135" s="19"/>
      <c r="J135" s="66">
        <v>0.0</v>
      </c>
      <c r="K135" s="19"/>
      <c r="L135" s="19"/>
      <c r="M135" s="66">
        <v>0.0</v>
      </c>
      <c r="N135" s="19"/>
      <c r="O135" s="19"/>
      <c r="P135" s="13">
        <f t="shared" si="12"/>
        <v>0</v>
      </c>
      <c r="Q135" s="5"/>
      <c r="R135" s="5"/>
    </row>
    <row r="136" ht="12.75" customHeight="1">
      <c r="A136" s="18"/>
      <c r="B136" s="49"/>
      <c r="C136" s="50" t="s">
        <v>117</v>
      </c>
      <c r="D136" s="51"/>
      <c r="E136" s="19"/>
      <c r="F136" s="19"/>
      <c r="G136" s="66">
        <v>0.0</v>
      </c>
      <c r="H136" s="66">
        <v>0.0</v>
      </c>
      <c r="I136" s="19"/>
      <c r="J136" s="66">
        <v>0.0</v>
      </c>
      <c r="K136" s="19"/>
      <c r="L136" s="19"/>
      <c r="M136" s="66">
        <v>0.0</v>
      </c>
      <c r="N136" s="19"/>
      <c r="O136" s="19"/>
      <c r="P136" s="13">
        <f t="shared" si="12"/>
        <v>0</v>
      </c>
      <c r="Q136" s="5"/>
      <c r="R136" s="5"/>
    </row>
    <row r="137" ht="12.75" customHeight="1">
      <c r="A137" s="18"/>
      <c r="B137" s="49"/>
      <c r="C137" s="50" t="s">
        <v>118</v>
      </c>
      <c r="D137" s="51"/>
      <c r="E137" s="19"/>
      <c r="F137" s="19"/>
      <c r="G137" s="66">
        <v>0.0</v>
      </c>
      <c r="H137" s="66">
        <v>0.0</v>
      </c>
      <c r="I137" s="19"/>
      <c r="J137" s="66">
        <v>0.0</v>
      </c>
      <c r="K137" s="19"/>
      <c r="L137" s="66">
        <v>1.0</v>
      </c>
      <c r="M137" s="66">
        <v>1.0</v>
      </c>
      <c r="N137" s="19"/>
      <c r="O137" s="19"/>
      <c r="P137" s="13">
        <f t="shared" si="12"/>
        <v>2</v>
      </c>
      <c r="Q137" s="5"/>
      <c r="R137" s="5"/>
    </row>
    <row r="138" ht="12.75" customHeight="1">
      <c r="A138" s="18"/>
      <c r="B138" s="49"/>
      <c r="C138" s="50" t="s">
        <v>119</v>
      </c>
      <c r="D138" s="51"/>
      <c r="E138" s="19"/>
      <c r="F138" s="19"/>
      <c r="G138" s="66">
        <v>0.0</v>
      </c>
      <c r="H138" s="66">
        <v>0.0</v>
      </c>
      <c r="I138" s="19"/>
      <c r="J138" s="66">
        <v>0.0</v>
      </c>
      <c r="K138" s="19"/>
      <c r="L138" s="19"/>
      <c r="M138" s="66">
        <v>0.0</v>
      </c>
      <c r="N138" s="19"/>
      <c r="O138" s="19"/>
      <c r="P138" s="13">
        <f t="shared" si="12"/>
        <v>0</v>
      </c>
      <c r="Q138" s="5"/>
      <c r="R138" s="5"/>
    </row>
    <row r="139" ht="12.75" customHeight="1">
      <c r="A139" s="18"/>
      <c r="B139" s="49"/>
      <c r="C139" s="50" t="s">
        <v>120</v>
      </c>
      <c r="D139" s="51"/>
      <c r="E139" s="19"/>
      <c r="F139" s="19"/>
      <c r="G139" s="66">
        <v>0.0</v>
      </c>
      <c r="H139" s="66">
        <v>0.0</v>
      </c>
      <c r="I139" s="19"/>
      <c r="J139" s="66">
        <v>0.0</v>
      </c>
      <c r="K139" s="19"/>
      <c r="L139" s="19"/>
      <c r="M139" s="66">
        <v>0.0</v>
      </c>
      <c r="N139" s="19"/>
      <c r="O139" s="19"/>
      <c r="P139" s="13">
        <f t="shared" si="12"/>
        <v>0</v>
      </c>
      <c r="Q139" s="5"/>
      <c r="R139" s="5"/>
    </row>
    <row r="140" ht="12.75" customHeight="1">
      <c r="A140" s="18"/>
      <c r="B140" s="49"/>
      <c r="C140" s="50" t="s">
        <v>121</v>
      </c>
      <c r="D140" s="51"/>
      <c r="E140" s="19"/>
      <c r="F140" s="19"/>
      <c r="G140" s="66">
        <v>0.0</v>
      </c>
      <c r="H140" s="66">
        <v>0.0</v>
      </c>
      <c r="I140" s="19"/>
      <c r="J140" s="66">
        <v>0.0</v>
      </c>
      <c r="K140" s="19"/>
      <c r="L140" s="19"/>
      <c r="M140" s="66">
        <v>0.0</v>
      </c>
      <c r="N140" s="19"/>
      <c r="O140" s="19"/>
      <c r="P140" s="13">
        <f t="shared" si="12"/>
        <v>0</v>
      </c>
      <c r="Q140" s="5"/>
      <c r="R140" s="5"/>
    </row>
    <row r="141" ht="12.75" customHeight="1">
      <c r="A141" s="19" t="s">
        <v>15</v>
      </c>
      <c r="B141" s="47" t="s">
        <v>46</v>
      </c>
      <c r="C141" s="15"/>
      <c r="D141" s="16"/>
      <c r="E141" s="13">
        <f t="shared" ref="E141:O141" si="24">SUM(E134:E140)</f>
        <v>0</v>
      </c>
      <c r="F141" s="13">
        <f t="shared" si="24"/>
        <v>0</v>
      </c>
      <c r="G141" s="13">
        <f t="shared" si="24"/>
        <v>0</v>
      </c>
      <c r="H141" s="13">
        <f t="shared" si="24"/>
        <v>0</v>
      </c>
      <c r="I141" s="13">
        <f t="shared" si="24"/>
        <v>0</v>
      </c>
      <c r="J141" s="13">
        <f t="shared" si="24"/>
        <v>0</v>
      </c>
      <c r="K141" s="13">
        <f t="shared" si="24"/>
        <v>0</v>
      </c>
      <c r="L141" s="13">
        <f t="shared" si="24"/>
        <v>1</v>
      </c>
      <c r="M141" s="13">
        <f t="shared" si="24"/>
        <v>1</v>
      </c>
      <c r="N141" s="13">
        <f t="shared" si="24"/>
        <v>0</v>
      </c>
      <c r="O141" s="13">
        <f t="shared" si="24"/>
        <v>0</v>
      </c>
      <c r="P141" s="13">
        <f t="shared" si="12"/>
        <v>2</v>
      </c>
      <c r="Q141" s="1"/>
      <c r="R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13">
        <f t="shared" si="12"/>
        <v>0</v>
      </c>
      <c r="Q142" s="53"/>
      <c r="R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19"/>
      <c r="F143" s="66">
        <v>0.0</v>
      </c>
      <c r="G143" s="66">
        <v>0.0</v>
      </c>
      <c r="H143" s="66">
        <v>0.0</v>
      </c>
      <c r="I143" s="19"/>
      <c r="J143" s="66">
        <v>0.0</v>
      </c>
      <c r="K143" s="66">
        <v>0.0</v>
      </c>
      <c r="L143" s="66">
        <v>0.0</v>
      </c>
      <c r="M143" s="66">
        <v>0.0</v>
      </c>
      <c r="N143" s="19"/>
      <c r="O143" s="66">
        <v>1.0</v>
      </c>
      <c r="P143" s="13">
        <f t="shared" si="12"/>
        <v>1</v>
      </c>
      <c r="Q143" s="5"/>
      <c r="R143" s="5"/>
    </row>
    <row r="144" ht="12.75" customHeight="1">
      <c r="A144" s="30" t="s">
        <v>39</v>
      </c>
      <c r="B144" s="49"/>
      <c r="C144" s="50" t="s">
        <v>124</v>
      </c>
      <c r="D144" s="51"/>
      <c r="E144" s="19"/>
      <c r="F144" s="66">
        <v>3.0</v>
      </c>
      <c r="G144" s="66">
        <v>1.0</v>
      </c>
      <c r="H144" s="66">
        <v>0.0</v>
      </c>
      <c r="I144" s="19"/>
      <c r="J144" s="66">
        <v>0.0</v>
      </c>
      <c r="K144" s="66">
        <v>1.0</v>
      </c>
      <c r="L144" s="19"/>
      <c r="M144" s="66">
        <v>2.0</v>
      </c>
      <c r="N144" s="19"/>
      <c r="O144" s="19"/>
      <c r="P144" s="13">
        <f t="shared" si="12"/>
        <v>7</v>
      </c>
      <c r="Q144" s="5"/>
      <c r="R144" s="5"/>
    </row>
    <row r="145" ht="12.75" customHeight="1">
      <c r="A145" s="18"/>
      <c r="B145" s="49"/>
      <c r="C145" s="50" t="s">
        <v>125</v>
      </c>
      <c r="D145" s="51"/>
      <c r="E145" s="19"/>
      <c r="F145" s="66">
        <v>0.0</v>
      </c>
      <c r="G145" s="66">
        <v>0.0</v>
      </c>
      <c r="H145" s="66">
        <v>0.0</v>
      </c>
      <c r="I145" s="19"/>
      <c r="J145" s="66">
        <v>0.0</v>
      </c>
      <c r="K145" s="66">
        <v>0.0</v>
      </c>
      <c r="L145" s="19"/>
      <c r="M145" s="66">
        <v>0.0</v>
      </c>
      <c r="N145" s="19"/>
      <c r="O145" s="19"/>
      <c r="P145" s="13">
        <f t="shared" si="12"/>
        <v>0</v>
      </c>
      <c r="Q145" s="5"/>
      <c r="R145" s="5"/>
    </row>
    <row r="146" ht="12.75" customHeight="1">
      <c r="A146" s="18"/>
      <c r="B146" s="49"/>
      <c r="C146" s="50" t="s">
        <v>126</v>
      </c>
      <c r="D146" s="51"/>
      <c r="E146" s="19"/>
      <c r="F146" s="19"/>
      <c r="G146" s="66">
        <v>0.0</v>
      </c>
      <c r="H146" s="66">
        <v>0.0</v>
      </c>
      <c r="I146" s="19"/>
      <c r="J146" s="66">
        <v>0.0</v>
      </c>
      <c r="K146" s="19"/>
      <c r="L146" s="19"/>
      <c r="M146" s="66">
        <v>0.0</v>
      </c>
      <c r="N146" s="19"/>
      <c r="O146" s="19"/>
      <c r="P146" s="13">
        <f t="shared" si="12"/>
        <v>0</v>
      </c>
      <c r="Q146" s="5"/>
      <c r="R146" s="5"/>
    </row>
    <row r="147" ht="12.75" customHeight="1">
      <c r="A147" s="18"/>
      <c r="B147" s="49"/>
      <c r="C147" s="50" t="s">
        <v>127</v>
      </c>
      <c r="D147" s="51"/>
      <c r="E147" s="19"/>
      <c r="F147" s="19"/>
      <c r="G147" s="66">
        <v>0.0</v>
      </c>
      <c r="H147" s="66">
        <v>0.0</v>
      </c>
      <c r="I147" s="19"/>
      <c r="J147" s="66">
        <v>0.0</v>
      </c>
      <c r="K147" s="19"/>
      <c r="L147" s="19"/>
      <c r="M147" s="66">
        <v>0.0</v>
      </c>
      <c r="N147" s="19"/>
      <c r="O147" s="19"/>
      <c r="P147" s="13">
        <f t="shared" si="12"/>
        <v>0</v>
      </c>
      <c r="Q147" s="5"/>
      <c r="R147" s="5"/>
    </row>
    <row r="148" ht="12.75" customHeight="1">
      <c r="A148" s="18"/>
      <c r="B148" s="49"/>
      <c r="C148" s="50" t="s">
        <v>128</v>
      </c>
      <c r="D148" s="51"/>
      <c r="E148" s="19"/>
      <c r="F148" s="19"/>
      <c r="G148" s="66">
        <v>0.0</v>
      </c>
      <c r="H148" s="66">
        <v>0.0</v>
      </c>
      <c r="I148" s="19"/>
      <c r="J148" s="66">
        <v>0.0</v>
      </c>
      <c r="K148" s="19"/>
      <c r="L148" s="19"/>
      <c r="M148" s="66">
        <v>0.0</v>
      </c>
      <c r="N148" s="19"/>
      <c r="O148" s="19"/>
      <c r="P148" s="13">
        <f t="shared" si="12"/>
        <v>0</v>
      </c>
      <c r="Q148" s="5"/>
      <c r="R148" s="5"/>
    </row>
    <row r="149" ht="12.75" customHeight="1">
      <c r="A149" s="18"/>
      <c r="B149" s="49"/>
      <c r="C149" s="50" t="s">
        <v>129</v>
      </c>
      <c r="D149" s="51"/>
      <c r="E149" s="19"/>
      <c r="F149" s="19"/>
      <c r="G149" s="66">
        <v>0.0</v>
      </c>
      <c r="H149" s="66">
        <v>0.0</v>
      </c>
      <c r="I149" s="19"/>
      <c r="J149" s="66">
        <v>0.0</v>
      </c>
      <c r="K149" s="19"/>
      <c r="L149" s="19"/>
      <c r="M149" s="66">
        <v>0.0</v>
      </c>
      <c r="N149" s="19"/>
      <c r="O149" s="19"/>
      <c r="P149" s="13">
        <f t="shared" si="12"/>
        <v>0</v>
      </c>
      <c r="Q149" s="5"/>
      <c r="R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O150" si="25">SUM(E143:E149)</f>
        <v>0</v>
      </c>
      <c r="F150" s="13">
        <f t="shared" si="25"/>
        <v>3</v>
      </c>
      <c r="G150" s="13">
        <f t="shared" si="25"/>
        <v>1</v>
      </c>
      <c r="H150" s="13">
        <f t="shared" si="25"/>
        <v>0</v>
      </c>
      <c r="I150" s="13">
        <f t="shared" si="25"/>
        <v>0</v>
      </c>
      <c r="J150" s="13">
        <f t="shared" si="25"/>
        <v>0</v>
      </c>
      <c r="K150" s="13">
        <f t="shared" si="25"/>
        <v>1</v>
      </c>
      <c r="L150" s="13">
        <f t="shared" si="25"/>
        <v>0</v>
      </c>
      <c r="M150" s="13">
        <f t="shared" si="25"/>
        <v>2</v>
      </c>
      <c r="N150" s="13">
        <f t="shared" si="25"/>
        <v>0</v>
      </c>
      <c r="O150" s="13">
        <f t="shared" si="25"/>
        <v>1</v>
      </c>
      <c r="P150" s="13">
        <f t="shared" si="12"/>
        <v>8</v>
      </c>
      <c r="Q150" s="5"/>
      <c r="R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13">
        <f t="shared" si="12"/>
        <v>0</v>
      </c>
      <c r="Q151" s="1"/>
      <c r="R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8.0</v>
      </c>
      <c r="F152" s="66">
        <v>7.0</v>
      </c>
      <c r="G152" s="66">
        <v>19.0</v>
      </c>
      <c r="H152" s="66">
        <v>8.0</v>
      </c>
      <c r="I152" s="66">
        <v>6.0</v>
      </c>
      <c r="J152" s="66">
        <v>17.0</v>
      </c>
      <c r="K152" s="66">
        <v>3.0</v>
      </c>
      <c r="L152" s="66">
        <v>7.0</v>
      </c>
      <c r="M152" s="66">
        <v>1.0</v>
      </c>
      <c r="N152" s="66">
        <v>10.0</v>
      </c>
      <c r="O152" s="66">
        <v>5.0</v>
      </c>
      <c r="P152" s="13">
        <f t="shared" si="12"/>
        <v>91</v>
      </c>
      <c r="Q152" s="53"/>
      <c r="R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4.0</v>
      </c>
      <c r="F153" s="66">
        <v>4.0</v>
      </c>
      <c r="G153" s="66">
        <v>1.0</v>
      </c>
      <c r="H153" s="66">
        <v>5.0</v>
      </c>
      <c r="I153" s="66">
        <v>3.0</v>
      </c>
      <c r="J153" s="66">
        <v>3.0</v>
      </c>
      <c r="K153" s="66">
        <v>1.0</v>
      </c>
      <c r="L153" s="66">
        <v>4.0</v>
      </c>
      <c r="M153" s="66">
        <v>1.0</v>
      </c>
      <c r="N153" s="66">
        <v>0.0</v>
      </c>
      <c r="O153" s="66">
        <v>0.0</v>
      </c>
      <c r="P153" s="13">
        <f t="shared" si="12"/>
        <v>26</v>
      </c>
      <c r="Q153" s="5"/>
      <c r="R153" s="5"/>
    </row>
    <row r="154" ht="12.75" customHeight="1">
      <c r="A154" s="18"/>
      <c r="B154" s="49"/>
      <c r="C154" s="50" t="s">
        <v>133</v>
      </c>
      <c r="D154" s="51"/>
      <c r="E154" s="66">
        <v>66.0</v>
      </c>
      <c r="F154" s="66">
        <v>50.0</v>
      </c>
      <c r="G154" s="66">
        <v>56.0</v>
      </c>
      <c r="H154" s="66">
        <v>47.0</v>
      </c>
      <c r="I154" s="66">
        <v>23.0</v>
      </c>
      <c r="J154" s="66">
        <v>73.0</v>
      </c>
      <c r="K154" s="66">
        <v>69.0</v>
      </c>
      <c r="L154" s="66">
        <v>50.0</v>
      </c>
      <c r="M154" s="66">
        <v>25.0</v>
      </c>
      <c r="N154" s="66">
        <v>37.0</v>
      </c>
      <c r="O154" s="66">
        <v>39.0</v>
      </c>
      <c r="P154" s="13">
        <f t="shared" si="12"/>
        <v>535</v>
      </c>
      <c r="Q154" s="5"/>
      <c r="R154" s="5"/>
    </row>
    <row r="155" ht="12.75" customHeight="1">
      <c r="A155" s="18"/>
      <c r="B155" s="49"/>
      <c r="C155" s="50" t="s">
        <v>134</v>
      </c>
      <c r="D155" s="51"/>
      <c r="E155" s="66">
        <v>0.0</v>
      </c>
      <c r="F155" s="66">
        <v>0.0</v>
      </c>
      <c r="G155" s="66">
        <v>0.0</v>
      </c>
      <c r="H155" s="66">
        <v>1.0</v>
      </c>
      <c r="I155" s="66">
        <v>1.0</v>
      </c>
      <c r="J155" s="66">
        <v>2.0</v>
      </c>
      <c r="K155" s="66">
        <v>0.0</v>
      </c>
      <c r="L155" s="66">
        <v>0.0</v>
      </c>
      <c r="M155" s="66">
        <v>0.0</v>
      </c>
      <c r="N155" s="66">
        <v>0.0</v>
      </c>
      <c r="O155" s="66">
        <v>0.0</v>
      </c>
      <c r="P155" s="13">
        <f t="shared" si="12"/>
        <v>4</v>
      </c>
      <c r="Q155" s="5"/>
      <c r="R155" s="5"/>
    </row>
    <row r="156" ht="12.75" customHeight="1">
      <c r="A156" s="18"/>
      <c r="B156" s="49"/>
      <c r="C156" s="50" t="s">
        <v>135</v>
      </c>
      <c r="D156" s="51"/>
      <c r="E156" s="66">
        <v>0.0</v>
      </c>
      <c r="F156" s="19"/>
      <c r="G156" s="66">
        <v>0.0</v>
      </c>
      <c r="H156" s="66">
        <v>0.0</v>
      </c>
      <c r="I156" s="66">
        <v>0.0</v>
      </c>
      <c r="J156" s="66">
        <v>0.0</v>
      </c>
      <c r="K156" s="66">
        <v>1.0</v>
      </c>
      <c r="L156" s="66">
        <v>1.0</v>
      </c>
      <c r="M156" s="66">
        <v>1.0</v>
      </c>
      <c r="N156" s="66">
        <v>0.0</v>
      </c>
      <c r="O156" s="66">
        <v>0.0</v>
      </c>
      <c r="P156" s="13">
        <f t="shared" si="12"/>
        <v>3</v>
      </c>
      <c r="Q156" s="5"/>
      <c r="R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19"/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13">
        <f t="shared" si="12"/>
        <v>0</v>
      </c>
      <c r="Q157" s="5"/>
      <c r="R157" s="5"/>
    </row>
    <row r="158" ht="12.75" customHeight="1">
      <c r="A158" s="18"/>
      <c r="B158" s="49"/>
      <c r="C158" s="50" t="s">
        <v>137</v>
      </c>
      <c r="D158" s="51"/>
      <c r="E158" s="66">
        <v>1.0</v>
      </c>
      <c r="F158" s="19"/>
      <c r="G158" s="66">
        <v>0.0</v>
      </c>
      <c r="H158" s="66">
        <v>0.0</v>
      </c>
      <c r="I158" s="66">
        <v>0.0</v>
      </c>
      <c r="J158" s="66">
        <v>1.0</v>
      </c>
      <c r="K158" s="66">
        <v>0.0</v>
      </c>
      <c r="L158" s="66">
        <v>0.0</v>
      </c>
      <c r="M158" s="66">
        <v>3.0</v>
      </c>
      <c r="N158" s="66">
        <v>0.0</v>
      </c>
      <c r="O158" s="66">
        <v>2.0</v>
      </c>
      <c r="P158" s="13">
        <f t="shared" si="12"/>
        <v>7</v>
      </c>
      <c r="Q158" s="5"/>
      <c r="R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O159" si="26">SUM(E152:E158)</f>
        <v>79</v>
      </c>
      <c r="F159" s="13">
        <f t="shared" si="26"/>
        <v>61</v>
      </c>
      <c r="G159" s="13">
        <f t="shared" si="26"/>
        <v>76</v>
      </c>
      <c r="H159" s="13">
        <f t="shared" si="26"/>
        <v>61</v>
      </c>
      <c r="I159" s="13">
        <f t="shared" si="26"/>
        <v>33</v>
      </c>
      <c r="J159" s="13">
        <f t="shared" si="26"/>
        <v>96</v>
      </c>
      <c r="K159" s="13">
        <f t="shared" si="26"/>
        <v>74</v>
      </c>
      <c r="L159" s="13">
        <f t="shared" si="26"/>
        <v>62</v>
      </c>
      <c r="M159" s="13">
        <f t="shared" si="26"/>
        <v>31</v>
      </c>
      <c r="N159" s="13">
        <f t="shared" si="26"/>
        <v>47</v>
      </c>
      <c r="O159" s="13">
        <f t="shared" si="26"/>
        <v>46</v>
      </c>
      <c r="P159" s="13">
        <f t="shared" si="12"/>
        <v>666</v>
      </c>
      <c r="Q159" s="5"/>
      <c r="R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13">
        <f t="shared" si="12"/>
        <v>0</v>
      </c>
      <c r="Q160" s="5"/>
      <c r="R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87"/>
      <c r="F161" s="73">
        <v>0.0</v>
      </c>
      <c r="G161" s="73">
        <v>0.0</v>
      </c>
      <c r="H161" s="73">
        <v>3.0</v>
      </c>
      <c r="I161" s="73">
        <v>1.0</v>
      </c>
      <c r="J161" s="73">
        <v>0.0</v>
      </c>
      <c r="K161" s="73">
        <v>1.0</v>
      </c>
      <c r="L161" s="73">
        <v>1.0</v>
      </c>
      <c r="M161" s="73">
        <v>0.0</v>
      </c>
      <c r="N161" s="87"/>
      <c r="O161" s="73">
        <v>1.0</v>
      </c>
      <c r="P161" s="13">
        <f t="shared" si="12"/>
        <v>7</v>
      </c>
      <c r="Q161" s="5"/>
      <c r="R161" s="5"/>
    </row>
    <row r="162" ht="12.75" customHeight="1">
      <c r="A162" s="30" t="s">
        <v>39</v>
      </c>
      <c r="B162" s="49"/>
      <c r="C162" s="50" t="s">
        <v>140</v>
      </c>
      <c r="D162" s="51"/>
      <c r="E162" s="87"/>
      <c r="F162" s="73">
        <v>2.0</v>
      </c>
      <c r="G162" s="73">
        <v>0.0</v>
      </c>
      <c r="H162" s="73">
        <v>0.0</v>
      </c>
      <c r="I162" s="73">
        <v>0.0</v>
      </c>
      <c r="J162" s="73">
        <v>0.0</v>
      </c>
      <c r="K162" s="73">
        <v>1.0</v>
      </c>
      <c r="L162" s="73">
        <v>0.0</v>
      </c>
      <c r="M162" s="73">
        <v>0.0</v>
      </c>
      <c r="N162" s="87"/>
      <c r="O162" s="73">
        <v>1.0</v>
      </c>
      <c r="P162" s="13">
        <f t="shared" si="12"/>
        <v>4</v>
      </c>
      <c r="Q162" s="5"/>
      <c r="R162" s="5"/>
    </row>
    <row r="163" ht="12.75" customHeight="1">
      <c r="A163" s="30"/>
      <c r="B163" s="49"/>
      <c r="C163" s="50" t="s">
        <v>141</v>
      </c>
      <c r="D163" s="51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13">
        <f t="shared" si="12"/>
        <v>0</v>
      </c>
      <c r="Q163" s="5"/>
      <c r="R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O164" si="27">SUM(E161:E163)</f>
        <v>0</v>
      </c>
      <c r="F164" s="13">
        <f t="shared" si="27"/>
        <v>2</v>
      </c>
      <c r="G164" s="13">
        <f t="shared" si="27"/>
        <v>0</v>
      </c>
      <c r="H164" s="13">
        <f t="shared" si="27"/>
        <v>3</v>
      </c>
      <c r="I164" s="13">
        <f t="shared" si="27"/>
        <v>1</v>
      </c>
      <c r="J164" s="13">
        <f t="shared" si="27"/>
        <v>0</v>
      </c>
      <c r="K164" s="13">
        <f t="shared" si="27"/>
        <v>2</v>
      </c>
      <c r="L164" s="13">
        <f t="shared" si="27"/>
        <v>1</v>
      </c>
      <c r="M164" s="13">
        <f t="shared" si="27"/>
        <v>0</v>
      </c>
      <c r="N164" s="13">
        <f t="shared" si="27"/>
        <v>0</v>
      </c>
      <c r="O164" s="13">
        <f t="shared" si="27"/>
        <v>2</v>
      </c>
      <c r="P164" s="13">
        <f t="shared" si="12"/>
        <v>11</v>
      </c>
      <c r="Q164" s="5"/>
      <c r="R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13">
        <f t="shared" si="12"/>
        <v>0</v>
      </c>
      <c r="Q165" s="1"/>
      <c r="R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19"/>
      <c r="J166" s="66">
        <v>0.0</v>
      </c>
      <c r="K166" s="19"/>
      <c r="L166" s="66">
        <v>1.0</v>
      </c>
      <c r="M166" s="66">
        <v>0.0</v>
      </c>
      <c r="N166" s="19"/>
      <c r="O166" s="19"/>
      <c r="P166" s="13">
        <f t="shared" si="12"/>
        <v>1</v>
      </c>
      <c r="Q166" s="53"/>
      <c r="R166" s="53"/>
    </row>
    <row r="167" ht="12.75" customHeight="1">
      <c r="A167" s="30"/>
      <c r="B167" s="47"/>
      <c r="C167" s="50" t="s">
        <v>144</v>
      </c>
      <c r="D167" s="59"/>
      <c r="E167" s="66">
        <v>1.0</v>
      </c>
      <c r="F167" s="66">
        <v>1.0</v>
      </c>
      <c r="G167" s="66">
        <v>1.0</v>
      </c>
      <c r="H167" s="66">
        <v>0.0</v>
      </c>
      <c r="I167" s="19"/>
      <c r="J167" s="66">
        <v>0.0</v>
      </c>
      <c r="K167" s="19"/>
      <c r="L167" s="66">
        <v>0.0</v>
      </c>
      <c r="M167" s="66">
        <v>1.0</v>
      </c>
      <c r="N167" s="19"/>
      <c r="O167" s="19"/>
      <c r="P167" s="13">
        <f t="shared" si="12"/>
        <v>4</v>
      </c>
      <c r="Q167" s="5"/>
      <c r="R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1.0</v>
      </c>
      <c r="G168" s="66">
        <v>0.0</v>
      </c>
      <c r="H168" s="66">
        <v>0.0</v>
      </c>
      <c r="I168" s="19"/>
      <c r="J168" s="66">
        <v>0.0</v>
      </c>
      <c r="K168" s="19"/>
      <c r="L168" s="66">
        <v>0.0</v>
      </c>
      <c r="M168" s="66">
        <v>0.0</v>
      </c>
      <c r="N168" s="19"/>
      <c r="O168" s="19"/>
      <c r="P168" s="13">
        <f t="shared" si="12"/>
        <v>1</v>
      </c>
      <c r="Q168" s="5"/>
      <c r="R168" s="5"/>
    </row>
    <row r="169" ht="12.75" customHeight="1">
      <c r="A169" s="30"/>
      <c r="B169" s="47"/>
      <c r="C169" s="50" t="s">
        <v>146</v>
      </c>
      <c r="D169" s="59"/>
      <c r="E169" s="19"/>
      <c r="F169" s="66">
        <v>0.0</v>
      </c>
      <c r="G169" s="66">
        <v>0.0</v>
      </c>
      <c r="H169" s="66">
        <v>0.0</v>
      </c>
      <c r="I169" s="19"/>
      <c r="J169" s="66">
        <v>0.0</v>
      </c>
      <c r="K169" s="19"/>
      <c r="L169" s="66">
        <v>0.0</v>
      </c>
      <c r="M169" s="66">
        <v>0.0</v>
      </c>
      <c r="N169" s="19"/>
      <c r="O169" s="19"/>
      <c r="P169" s="13">
        <f t="shared" si="12"/>
        <v>0</v>
      </c>
      <c r="Q169" s="5"/>
      <c r="R169" s="5"/>
    </row>
    <row r="170" ht="12.75" customHeight="1">
      <c r="A170" s="30" t="s">
        <v>39</v>
      </c>
      <c r="B170" s="49"/>
      <c r="C170" s="50" t="s">
        <v>147</v>
      </c>
      <c r="D170" s="51"/>
      <c r="E170" s="19"/>
      <c r="F170" s="66">
        <v>0.0</v>
      </c>
      <c r="G170" s="66">
        <v>0.0</v>
      </c>
      <c r="H170" s="66">
        <v>0.0</v>
      </c>
      <c r="I170" s="19"/>
      <c r="J170" s="66">
        <v>0.0</v>
      </c>
      <c r="K170" s="19"/>
      <c r="L170" s="66">
        <v>0.0</v>
      </c>
      <c r="M170" s="66">
        <v>0.0</v>
      </c>
      <c r="N170" s="19"/>
      <c r="O170" s="19"/>
      <c r="P170" s="13">
        <f t="shared" si="12"/>
        <v>0</v>
      </c>
      <c r="Q170" s="5"/>
      <c r="R170" s="5"/>
    </row>
    <row r="171" ht="12.75" customHeight="1">
      <c r="A171" s="18"/>
      <c r="B171" s="49"/>
      <c r="C171" s="50" t="s">
        <v>148</v>
      </c>
      <c r="D171" s="51"/>
      <c r="E171" s="19"/>
      <c r="F171" s="66">
        <v>0.0</v>
      </c>
      <c r="G171" s="66">
        <v>0.0</v>
      </c>
      <c r="H171" s="66">
        <v>0.0</v>
      </c>
      <c r="I171" s="19"/>
      <c r="J171" s="66">
        <v>0.0</v>
      </c>
      <c r="K171" s="19"/>
      <c r="L171" s="66">
        <v>0.0</v>
      </c>
      <c r="M171" s="66">
        <v>0.0</v>
      </c>
      <c r="N171" s="19"/>
      <c r="O171" s="19"/>
      <c r="P171" s="13">
        <f t="shared" si="12"/>
        <v>0</v>
      </c>
      <c r="Q171" s="5"/>
      <c r="R171" s="5"/>
    </row>
    <row r="172" ht="12.75" customHeight="1">
      <c r="A172" s="18"/>
      <c r="B172" s="49"/>
      <c r="C172" s="50" t="s">
        <v>149</v>
      </c>
      <c r="D172" s="51"/>
      <c r="E172" s="19"/>
      <c r="F172" s="66">
        <v>0.0</v>
      </c>
      <c r="G172" s="66">
        <v>0.0</v>
      </c>
      <c r="H172" s="66">
        <v>0.0</v>
      </c>
      <c r="I172" s="19"/>
      <c r="J172" s="66">
        <v>0.0</v>
      </c>
      <c r="K172" s="19"/>
      <c r="L172" s="66">
        <v>0.0</v>
      </c>
      <c r="M172" s="66">
        <v>0.0</v>
      </c>
      <c r="N172" s="19"/>
      <c r="O172" s="19"/>
      <c r="P172" s="13">
        <f t="shared" si="12"/>
        <v>0</v>
      </c>
      <c r="Q172" s="5"/>
      <c r="R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O173" si="28">SUM(E166:E172)</f>
        <v>1</v>
      </c>
      <c r="F173" s="13">
        <f t="shared" si="28"/>
        <v>2</v>
      </c>
      <c r="G173" s="13">
        <f t="shared" si="28"/>
        <v>1</v>
      </c>
      <c r="H173" s="13">
        <f t="shared" si="28"/>
        <v>0</v>
      </c>
      <c r="I173" s="13">
        <f t="shared" si="28"/>
        <v>0</v>
      </c>
      <c r="J173" s="13">
        <f t="shared" si="28"/>
        <v>0</v>
      </c>
      <c r="K173" s="13">
        <f t="shared" si="28"/>
        <v>0</v>
      </c>
      <c r="L173" s="13">
        <f t="shared" si="28"/>
        <v>1</v>
      </c>
      <c r="M173" s="13">
        <f t="shared" si="28"/>
        <v>1</v>
      </c>
      <c r="N173" s="13">
        <f t="shared" si="28"/>
        <v>0</v>
      </c>
      <c r="O173" s="13">
        <f t="shared" si="28"/>
        <v>0</v>
      </c>
      <c r="P173" s="13">
        <f t="shared" si="12"/>
        <v>6</v>
      </c>
      <c r="Q173" s="5"/>
      <c r="R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13">
        <f t="shared" si="12"/>
        <v>0</v>
      </c>
      <c r="Q174" s="5"/>
      <c r="R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1.0</v>
      </c>
      <c r="F175" s="19"/>
      <c r="G175" s="66">
        <v>1.0</v>
      </c>
      <c r="H175" s="66">
        <v>0.0</v>
      </c>
      <c r="I175" s="66">
        <v>2.0</v>
      </c>
      <c r="J175" s="66">
        <v>2.0</v>
      </c>
      <c r="K175" s="19"/>
      <c r="L175" s="66">
        <v>1.0</v>
      </c>
      <c r="M175" s="66">
        <v>0.0</v>
      </c>
      <c r="N175" s="66">
        <v>0.0</v>
      </c>
      <c r="O175" s="66">
        <v>4.0</v>
      </c>
      <c r="P175" s="13">
        <f t="shared" si="12"/>
        <v>11</v>
      </c>
      <c r="Q175" s="5"/>
      <c r="R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1.0</v>
      </c>
      <c r="F176" s="19"/>
      <c r="G176" s="66">
        <v>0.0</v>
      </c>
      <c r="H176" s="66">
        <v>0.0</v>
      </c>
      <c r="I176" s="66">
        <v>0.0</v>
      </c>
      <c r="J176" s="66">
        <v>2.0</v>
      </c>
      <c r="K176" s="19"/>
      <c r="L176" s="66">
        <v>0.0</v>
      </c>
      <c r="M176" s="66">
        <v>0.0</v>
      </c>
      <c r="N176" s="66">
        <v>1.0</v>
      </c>
      <c r="O176" s="66">
        <v>1.0</v>
      </c>
      <c r="P176" s="13">
        <f t="shared" si="12"/>
        <v>5</v>
      </c>
      <c r="Q176" s="1"/>
      <c r="R176" s="1"/>
    </row>
    <row r="177" ht="12.75" customHeight="1">
      <c r="A177" s="18"/>
      <c r="B177" s="49"/>
      <c r="C177" s="50" t="s">
        <v>153</v>
      </c>
      <c r="D177" s="51"/>
      <c r="E177" s="66">
        <v>8.0</v>
      </c>
      <c r="F177" s="19"/>
      <c r="G177" s="66">
        <v>6.0</v>
      </c>
      <c r="H177" s="66">
        <v>12.0</v>
      </c>
      <c r="I177" s="66">
        <v>18.0</v>
      </c>
      <c r="J177" s="66">
        <v>3.0</v>
      </c>
      <c r="K177" s="19"/>
      <c r="L177" s="66">
        <v>2.0</v>
      </c>
      <c r="M177" s="66">
        <v>2.0</v>
      </c>
      <c r="N177" s="66">
        <v>8.0</v>
      </c>
      <c r="O177" s="66">
        <v>13.0</v>
      </c>
      <c r="P177" s="13">
        <f t="shared" si="12"/>
        <v>72</v>
      </c>
    </row>
    <row r="178" ht="12.75" customHeight="1">
      <c r="A178" s="18"/>
      <c r="B178" s="49"/>
      <c r="C178" s="50" t="s">
        <v>154</v>
      </c>
      <c r="D178" s="51"/>
      <c r="E178" s="66">
        <v>0.0</v>
      </c>
      <c r="F178" s="19"/>
      <c r="G178" s="66">
        <v>0.0</v>
      </c>
      <c r="H178" s="66">
        <v>0.0</v>
      </c>
      <c r="I178" s="66">
        <v>1.0</v>
      </c>
      <c r="J178" s="66">
        <v>0.0</v>
      </c>
      <c r="K178" s="19"/>
      <c r="L178" s="66">
        <v>0.0</v>
      </c>
      <c r="M178" s="66">
        <v>0.0</v>
      </c>
      <c r="N178" s="66">
        <v>0.0</v>
      </c>
      <c r="O178" s="66">
        <v>0.0</v>
      </c>
      <c r="P178" s="13">
        <f t="shared" si="12"/>
        <v>1</v>
      </c>
      <c r="Q178" s="5"/>
      <c r="R178" s="5"/>
    </row>
    <row r="179" ht="12.75" customHeight="1">
      <c r="A179" s="18"/>
      <c r="B179" s="49"/>
      <c r="C179" s="50" t="s">
        <v>155</v>
      </c>
      <c r="D179" s="51"/>
      <c r="E179" s="19"/>
      <c r="F179" s="19"/>
      <c r="G179" s="66">
        <v>0.0</v>
      </c>
      <c r="H179" s="66">
        <v>0.0</v>
      </c>
      <c r="I179" s="66">
        <v>0.0</v>
      </c>
      <c r="J179" s="66">
        <v>0.0</v>
      </c>
      <c r="K179" s="19"/>
      <c r="L179" s="66">
        <v>0.0</v>
      </c>
      <c r="M179" s="66">
        <v>0.0</v>
      </c>
      <c r="N179" s="66">
        <v>0.0</v>
      </c>
      <c r="O179" s="66">
        <v>0.0</v>
      </c>
      <c r="P179" s="13">
        <f t="shared" si="12"/>
        <v>0</v>
      </c>
      <c r="Q179" s="5"/>
      <c r="R179" s="5"/>
    </row>
    <row r="180" ht="12.75" customHeight="1">
      <c r="A180" s="18"/>
      <c r="B180" s="49"/>
      <c r="C180" s="50" t="s">
        <v>156</v>
      </c>
      <c r="D180" s="51"/>
      <c r="E180" s="19"/>
      <c r="F180" s="19"/>
      <c r="G180" s="66">
        <v>0.0</v>
      </c>
      <c r="H180" s="66">
        <v>0.0</v>
      </c>
      <c r="I180" s="19"/>
      <c r="J180" s="66">
        <v>0.0</v>
      </c>
      <c r="K180" s="19"/>
      <c r="L180" s="66">
        <v>2.0</v>
      </c>
      <c r="M180" s="66">
        <v>0.0</v>
      </c>
      <c r="N180" s="66">
        <v>0.0</v>
      </c>
      <c r="O180" s="66">
        <v>0.0</v>
      </c>
      <c r="P180" s="13">
        <f t="shared" si="12"/>
        <v>2</v>
      </c>
      <c r="Q180" s="5"/>
      <c r="R180" s="5"/>
    </row>
    <row r="181" ht="12.75" customHeight="1">
      <c r="A181" s="18"/>
      <c r="B181" s="49"/>
      <c r="C181" s="50" t="s">
        <v>157</v>
      </c>
      <c r="D181" s="51"/>
      <c r="E181" s="19"/>
      <c r="F181" s="19"/>
      <c r="G181" s="66">
        <v>0.0</v>
      </c>
      <c r="H181" s="66">
        <v>0.0</v>
      </c>
      <c r="I181" s="19"/>
      <c r="J181" s="66">
        <v>0.0</v>
      </c>
      <c r="K181" s="19"/>
      <c r="L181" s="66">
        <v>0.0</v>
      </c>
      <c r="M181" s="66">
        <v>0.0</v>
      </c>
      <c r="N181" s="66">
        <v>0.0</v>
      </c>
      <c r="O181" s="66">
        <v>0.0</v>
      </c>
      <c r="P181" s="13">
        <f t="shared" si="12"/>
        <v>0</v>
      </c>
      <c r="Q181" s="5"/>
      <c r="R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O182" si="29">SUM(E175:E181)</f>
        <v>10</v>
      </c>
      <c r="F182" s="13">
        <f t="shared" si="29"/>
        <v>0</v>
      </c>
      <c r="G182" s="13">
        <f t="shared" si="29"/>
        <v>7</v>
      </c>
      <c r="H182" s="13">
        <f t="shared" si="29"/>
        <v>12</v>
      </c>
      <c r="I182" s="13">
        <f t="shared" si="29"/>
        <v>21</v>
      </c>
      <c r="J182" s="13">
        <f t="shared" si="29"/>
        <v>7</v>
      </c>
      <c r="K182" s="13">
        <f t="shared" si="29"/>
        <v>0</v>
      </c>
      <c r="L182" s="13">
        <f t="shared" si="29"/>
        <v>5</v>
      </c>
      <c r="M182" s="13">
        <f t="shared" si="29"/>
        <v>2</v>
      </c>
      <c r="N182" s="13">
        <f t="shared" si="29"/>
        <v>9</v>
      </c>
      <c r="O182" s="13">
        <f t="shared" si="29"/>
        <v>18</v>
      </c>
      <c r="P182" s="13">
        <f t="shared" si="12"/>
        <v>91</v>
      </c>
      <c r="Q182" s="5"/>
      <c r="R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13">
        <f t="shared" si="12"/>
        <v>0</v>
      </c>
      <c r="Q183" s="5"/>
      <c r="R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19" t="s">
        <v>216</v>
      </c>
      <c r="F184" s="19"/>
      <c r="G184" s="19" t="s">
        <v>206</v>
      </c>
      <c r="H184" s="19" t="s">
        <v>206</v>
      </c>
      <c r="I184" s="19"/>
      <c r="J184" s="19" t="s">
        <v>206</v>
      </c>
      <c r="K184" s="19"/>
      <c r="L184" s="19"/>
      <c r="M184" s="19" t="s">
        <v>206</v>
      </c>
      <c r="N184" s="19" t="s">
        <v>216</v>
      </c>
      <c r="O184" s="19" t="s">
        <v>216</v>
      </c>
      <c r="P184" s="13">
        <f t="shared" si="12"/>
        <v>0</v>
      </c>
      <c r="Q184" s="5"/>
      <c r="R184" s="5"/>
    </row>
    <row r="185" ht="12.75" customHeight="1">
      <c r="A185" s="30" t="s">
        <v>39</v>
      </c>
      <c r="B185" s="49"/>
      <c r="C185" s="50" t="s">
        <v>160</v>
      </c>
      <c r="D185" s="51"/>
      <c r="E185" s="19" t="s">
        <v>206</v>
      </c>
      <c r="F185" s="19"/>
      <c r="G185" s="19" t="s">
        <v>206</v>
      </c>
      <c r="H185" s="19" t="s">
        <v>206</v>
      </c>
      <c r="I185" s="19"/>
      <c r="J185" s="19" t="s">
        <v>206</v>
      </c>
      <c r="K185" s="19"/>
      <c r="L185" s="19"/>
      <c r="M185" s="19" t="s">
        <v>206</v>
      </c>
      <c r="N185" s="19" t="s">
        <v>206</v>
      </c>
      <c r="O185" s="19" t="s">
        <v>206</v>
      </c>
      <c r="P185" s="13">
        <f t="shared" si="12"/>
        <v>0</v>
      </c>
      <c r="Q185" s="5"/>
      <c r="R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3">
        <f t="shared" si="12"/>
        <v>0</v>
      </c>
      <c r="Q186" s="5"/>
      <c r="R186" s="5"/>
    </row>
    <row r="187" ht="12.75" customHeight="1">
      <c r="A187" s="24"/>
      <c r="B187" s="15"/>
      <c r="C187" s="15"/>
      <c r="D187" s="16"/>
      <c r="E187" s="13">
        <f t="shared" ref="E187:O187" si="30">SUM(E177:E184)</f>
        <v>18</v>
      </c>
      <c r="F187" s="13">
        <f t="shared" si="30"/>
        <v>0</v>
      </c>
      <c r="G187" s="13">
        <f t="shared" si="30"/>
        <v>13</v>
      </c>
      <c r="H187" s="13">
        <f t="shared" si="30"/>
        <v>24</v>
      </c>
      <c r="I187" s="13">
        <f t="shared" si="30"/>
        <v>40</v>
      </c>
      <c r="J187" s="13">
        <f t="shared" si="30"/>
        <v>10</v>
      </c>
      <c r="K187" s="13">
        <f t="shared" si="30"/>
        <v>0</v>
      </c>
      <c r="L187" s="13">
        <f t="shared" si="30"/>
        <v>9</v>
      </c>
      <c r="M187" s="13">
        <f t="shared" si="30"/>
        <v>4</v>
      </c>
      <c r="N187" s="13">
        <f t="shared" si="30"/>
        <v>17</v>
      </c>
      <c r="O187" s="13">
        <f t="shared" si="30"/>
        <v>31</v>
      </c>
      <c r="P187" s="13">
        <f t="shared" si="12"/>
        <v>166</v>
      </c>
      <c r="Q187" s="1"/>
      <c r="R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13">
        <f t="shared" si="12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13">
        <f t="shared" si="12"/>
        <v>0</v>
      </c>
      <c r="Q189" s="5"/>
      <c r="R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O190" si="31">E187+E182+E173+E164+E159+E150+E141+E132+E128+E119+E110+E101+E92+E88+E79+E70+E61+E52</f>
        <v>232</v>
      </c>
      <c r="F190" s="19">
        <f t="shared" si="31"/>
        <v>142</v>
      </c>
      <c r="G190" s="19">
        <f t="shared" si="31"/>
        <v>169</v>
      </c>
      <c r="H190" s="19">
        <f t="shared" si="31"/>
        <v>188</v>
      </c>
      <c r="I190" s="19">
        <f t="shared" si="31"/>
        <v>220</v>
      </c>
      <c r="J190" s="19">
        <f t="shared" si="31"/>
        <v>229</v>
      </c>
      <c r="K190" s="19">
        <f t="shared" si="31"/>
        <v>175</v>
      </c>
      <c r="L190" s="19">
        <f t="shared" si="31"/>
        <v>222</v>
      </c>
      <c r="M190" s="19">
        <f t="shared" si="31"/>
        <v>198</v>
      </c>
      <c r="N190" s="19">
        <f t="shared" si="31"/>
        <v>193</v>
      </c>
      <c r="O190" s="19">
        <f t="shared" si="31"/>
        <v>204</v>
      </c>
      <c r="P190" s="13">
        <f t="shared" si="12"/>
        <v>2172</v>
      </c>
      <c r="Q190" s="5"/>
      <c r="R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15.0</v>
      </c>
      <c r="F191" s="66">
        <v>14.0</v>
      </c>
      <c r="G191" s="66">
        <v>9.0</v>
      </c>
      <c r="H191" s="66">
        <v>15.0</v>
      </c>
      <c r="I191" s="66">
        <v>17.0</v>
      </c>
      <c r="J191" s="66">
        <v>17.0</v>
      </c>
      <c r="K191" s="66">
        <v>20.0</v>
      </c>
      <c r="L191" s="66">
        <v>8.0</v>
      </c>
      <c r="M191" s="66">
        <v>6.0</v>
      </c>
      <c r="N191" s="66">
        <v>13.0</v>
      </c>
      <c r="O191" s="66">
        <v>10.0</v>
      </c>
      <c r="P191" s="13">
        <f t="shared" si="12"/>
        <v>144</v>
      </c>
      <c r="Q191" s="5"/>
      <c r="R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O192" si="32">E190+E191</f>
        <v>247</v>
      </c>
      <c r="F192" s="19">
        <f t="shared" si="32"/>
        <v>156</v>
      </c>
      <c r="G192" s="19">
        <f t="shared" si="32"/>
        <v>178</v>
      </c>
      <c r="H192" s="19">
        <f t="shared" si="32"/>
        <v>203</v>
      </c>
      <c r="I192" s="19">
        <f t="shared" si="32"/>
        <v>237</v>
      </c>
      <c r="J192" s="19">
        <f t="shared" si="32"/>
        <v>246</v>
      </c>
      <c r="K192" s="19">
        <f t="shared" si="32"/>
        <v>195</v>
      </c>
      <c r="L192" s="19">
        <f t="shared" si="32"/>
        <v>230</v>
      </c>
      <c r="M192" s="19">
        <f t="shared" si="32"/>
        <v>204</v>
      </c>
      <c r="N192" s="19">
        <f t="shared" si="32"/>
        <v>206</v>
      </c>
      <c r="O192" s="19">
        <f t="shared" si="32"/>
        <v>214</v>
      </c>
      <c r="P192" s="13">
        <f t="shared" si="12"/>
        <v>2316</v>
      </c>
      <c r="Q192" s="5"/>
      <c r="R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O12"/>
    <mergeCell ref="P12:P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A44:D44"/>
    <mergeCell ref="C45:D45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14:O15">
    <cfRule type="containsBlanks" dxfId="0" priority="1">
      <formula>LEN(TRIM(E14))=0</formula>
    </cfRule>
  </conditionalFormatting>
  <conditionalFormatting sqref="E19:O20">
    <cfRule type="containsBlanks" dxfId="0" priority="2">
      <formula>LEN(TRIM(E19))=0</formula>
    </cfRule>
  </conditionalFormatting>
  <conditionalFormatting sqref="E22:O23 E25:O26 E33:O33 E35:O35 E39:O40">
    <cfRule type="containsBlanks" dxfId="0" priority="3">
      <formula>LEN(TRIM(E22))=0</formula>
    </cfRule>
  </conditionalFormatting>
  <conditionalFormatting sqref="E30:O30">
    <cfRule type="expression" dxfId="1" priority="4">
      <formula>E30&lt;&gt;E47</formula>
    </cfRule>
  </conditionalFormatting>
  <conditionalFormatting sqref="E30:O30">
    <cfRule type="expression" dxfId="1" priority="5">
      <formula>E30&lt;&gt;E34</formula>
    </cfRule>
  </conditionalFormatting>
  <conditionalFormatting sqref="E34:O34">
    <cfRule type="expression" dxfId="2" priority="6">
      <formula>E30&lt;&gt;E34</formula>
    </cfRule>
  </conditionalFormatting>
  <conditionalFormatting sqref="E34:O34">
    <cfRule type="expression" dxfId="3" priority="7">
      <formula>E30=E34</formula>
    </cfRule>
  </conditionalFormatting>
  <conditionalFormatting sqref="E34:O34">
    <cfRule type="expression" dxfId="1" priority="8">
      <formula>E34&lt;&gt;E30</formula>
    </cfRule>
  </conditionalFormatting>
  <conditionalFormatting sqref="E34:O34">
    <cfRule type="expression" dxfId="1" priority="9">
      <formula>E34&lt;&gt;E64</formula>
    </cfRule>
  </conditionalFormatting>
  <conditionalFormatting sqref="E45:O52 E54:O61">
    <cfRule type="containsBlanks" dxfId="0" priority="10">
      <formula>LEN(TRIM(E45))=0</formula>
    </cfRule>
  </conditionalFormatting>
  <conditionalFormatting sqref="E90:O90">
    <cfRule type="containsBlanks" dxfId="0" priority="11">
      <formula>LEN(TRIM(E90))=0</formula>
    </cfRule>
  </conditionalFormatting>
  <conditionalFormatting sqref="E130:O132">
    <cfRule type="containsBlanks" dxfId="0" priority="12">
      <formula>LEN(TRIM(E130))=0</formula>
    </cfRule>
  </conditionalFormatting>
  <conditionalFormatting sqref="E161:O162">
    <cfRule type="containsBlanks" dxfId="0" priority="13">
      <formula>LEN(TRIM(E161))=0</formula>
    </cfRule>
  </conditionalFormatting>
  <conditionalFormatting sqref="E184:O186">
    <cfRule type="containsBlanks" dxfId="0" priority="14">
      <formula>LEN(TRIM(E184))=0</formula>
    </cfRule>
  </conditionalFormatting>
  <conditionalFormatting sqref="E190:O192">
    <cfRule type="containsBlanks" dxfId="0" priority="15">
      <formula>LEN(TRIM(E190))=0</formula>
    </cfRule>
  </conditionalFormatting>
  <conditionalFormatting sqref="E63:O70">
    <cfRule type="containsBlanks" dxfId="0" priority="16">
      <formula>LEN(TRIM(E63))=0</formula>
    </cfRule>
  </conditionalFormatting>
  <conditionalFormatting sqref="E72:O79">
    <cfRule type="containsBlanks" dxfId="0" priority="17">
      <formula>LEN(TRIM(E72))=0</formula>
    </cfRule>
  </conditionalFormatting>
  <conditionalFormatting sqref="E81:O88">
    <cfRule type="containsBlanks" dxfId="0" priority="18">
      <formula>LEN(TRIM(E81))=0</formula>
    </cfRule>
  </conditionalFormatting>
  <conditionalFormatting sqref="E94:O101">
    <cfRule type="containsBlanks" dxfId="0" priority="19">
      <formula>LEN(TRIM(E94))=0</formula>
    </cfRule>
  </conditionalFormatting>
  <conditionalFormatting sqref="E103:O110">
    <cfRule type="containsBlanks" dxfId="0" priority="20">
      <formula>LEN(TRIM(E103))=0</formula>
    </cfRule>
  </conditionalFormatting>
  <conditionalFormatting sqref="E112:O119">
    <cfRule type="containsBlanks" dxfId="0" priority="21">
      <formula>LEN(TRIM(E112))=0</formula>
    </cfRule>
  </conditionalFormatting>
  <conditionalFormatting sqref="E121:O128">
    <cfRule type="containsBlanks" dxfId="0" priority="22">
      <formula>LEN(TRIM(E121))=0</formula>
    </cfRule>
  </conditionalFormatting>
  <conditionalFormatting sqref="E134:O141">
    <cfRule type="containsBlanks" dxfId="0" priority="23">
      <formula>LEN(TRIM(E134))=0</formula>
    </cfRule>
  </conditionalFormatting>
  <conditionalFormatting sqref="E143:O150">
    <cfRule type="containsBlanks" dxfId="0" priority="24">
      <formula>LEN(TRIM(E143))=0</formula>
    </cfRule>
  </conditionalFormatting>
  <conditionalFormatting sqref="E152:O159">
    <cfRule type="containsBlanks" dxfId="0" priority="25">
      <formula>LEN(TRIM(E152))=0</formula>
    </cfRule>
  </conditionalFormatting>
  <conditionalFormatting sqref="E166:O173">
    <cfRule type="containsBlanks" dxfId="0" priority="26">
      <formula>LEN(TRIM(E166))=0</formula>
    </cfRule>
  </conditionalFormatting>
  <conditionalFormatting sqref="E175:O182">
    <cfRule type="containsBlanks" dxfId="0" priority="27">
      <formula>LEN(TRIM(E175))=0</formula>
    </cfRule>
  </conditionalFormatting>
  <conditionalFormatting sqref="E91:O91">
    <cfRule type="containsBlanks" dxfId="0" priority="28">
      <formula>LEN(TRIM(E91))=0</formula>
    </cfRule>
  </conditionalFormatting>
  <conditionalFormatting sqref="E163:O163">
    <cfRule type="containsBlanks" dxfId="0" priority="29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67.14"/>
    <col customWidth="1" min="4" max="4" width="5.86"/>
    <col customWidth="1" min="5" max="36" width="8.71"/>
    <col customWidth="1" min="37" max="37" width="13.29"/>
    <col customWidth="1" min="38" max="39" width="8.71"/>
  </cols>
  <sheetData>
    <row r="1" ht="12.75" customHeight="1"/>
    <row r="2" ht="12.75" customHeight="1">
      <c r="C2" s="8" t="s">
        <v>0</v>
      </c>
      <c r="D2" s="8" t="s">
        <v>1</v>
      </c>
    </row>
    <row r="3" ht="12.75" customHeight="1">
      <c r="C3" s="8" t="s">
        <v>2</v>
      </c>
      <c r="D3" s="8" t="s">
        <v>3</v>
      </c>
    </row>
    <row r="4" ht="12.75" customHeight="1">
      <c r="C4" s="8" t="s">
        <v>4</v>
      </c>
      <c r="D4" s="8" t="s">
        <v>5</v>
      </c>
    </row>
    <row r="5" ht="12.75" customHeight="1">
      <c r="C5" s="8"/>
      <c r="D5" s="8"/>
    </row>
    <row r="6" ht="12.75" customHeight="1">
      <c r="C6" s="8"/>
      <c r="D6" s="8"/>
    </row>
    <row r="7" ht="12.75" customHeight="1">
      <c r="C7" s="8"/>
      <c r="D7" s="8"/>
    </row>
    <row r="8" ht="12.75" customHeight="1">
      <c r="C8" s="8"/>
      <c r="D8" s="8"/>
    </row>
    <row r="9" ht="12.75" customHeight="1">
      <c r="C9" s="8" t="s">
        <v>169</v>
      </c>
      <c r="D9" s="8" t="s">
        <v>257</v>
      </c>
    </row>
    <row r="10" ht="12.75" customHeight="1"/>
    <row r="11" ht="12.75" customHeight="1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  <c r="W11" s="1"/>
      <c r="X11" s="1"/>
      <c r="Y11" s="1"/>
      <c r="Z11" s="1"/>
      <c r="AA11" s="1"/>
      <c r="AB11" s="2"/>
    </row>
    <row r="12" ht="12.75" customHeight="1">
      <c r="A12" s="13" t="s">
        <v>6</v>
      </c>
      <c r="B12" s="14" t="s">
        <v>7</v>
      </c>
      <c r="C12" s="15"/>
      <c r="D12" s="16"/>
      <c r="E12" s="29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65" t="s">
        <v>8</v>
      </c>
    </row>
    <row r="13" ht="12.75" customHeight="1">
      <c r="A13" s="19" t="s">
        <v>9</v>
      </c>
      <c r="B13" s="20" t="s">
        <v>10</v>
      </c>
      <c r="C13" s="15"/>
      <c r="D13" s="16"/>
      <c r="E13" s="13" t="s">
        <v>171</v>
      </c>
      <c r="F13" s="13" t="s">
        <v>172</v>
      </c>
      <c r="G13" s="13" t="s">
        <v>173</v>
      </c>
      <c r="H13" s="13" t="s">
        <v>174</v>
      </c>
      <c r="I13" s="13" t="s">
        <v>175</v>
      </c>
      <c r="J13" s="13" t="s">
        <v>176</v>
      </c>
      <c r="K13" s="13" t="s">
        <v>177</v>
      </c>
      <c r="L13" s="13" t="s">
        <v>178</v>
      </c>
      <c r="M13" s="13" t="s">
        <v>179</v>
      </c>
      <c r="N13" s="13" t="s">
        <v>180</v>
      </c>
      <c r="O13" s="13" t="s">
        <v>181</v>
      </c>
      <c r="P13" s="13" t="s">
        <v>182</v>
      </c>
      <c r="Q13" s="13" t="s">
        <v>183</v>
      </c>
      <c r="R13" s="13" t="s">
        <v>184</v>
      </c>
      <c r="S13" s="13" t="s">
        <v>185</v>
      </c>
      <c r="T13" s="13" t="s">
        <v>186</v>
      </c>
      <c r="U13" s="13" t="s">
        <v>187</v>
      </c>
      <c r="V13" s="13" t="s">
        <v>188</v>
      </c>
      <c r="W13" s="13" t="s">
        <v>189</v>
      </c>
      <c r="X13" s="13" t="s">
        <v>190</v>
      </c>
      <c r="Y13" s="13" t="s">
        <v>191</v>
      </c>
      <c r="Z13" s="13" t="s">
        <v>192</v>
      </c>
      <c r="AA13" s="13" t="s">
        <v>193</v>
      </c>
      <c r="AB13" s="13" t="s">
        <v>258</v>
      </c>
      <c r="AC13" s="13" t="s">
        <v>259</v>
      </c>
      <c r="AD13" s="13" t="s">
        <v>260</v>
      </c>
      <c r="AE13" s="13" t="s">
        <v>261</v>
      </c>
      <c r="AF13" s="13" t="s">
        <v>262</v>
      </c>
      <c r="AG13" s="13" t="s">
        <v>263</v>
      </c>
      <c r="AH13" s="13" t="s">
        <v>264</v>
      </c>
      <c r="AI13" s="13" t="s">
        <v>265</v>
      </c>
      <c r="AJ13" s="13" t="s">
        <v>266</v>
      </c>
      <c r="AK13" s="36"/>
    </row>
    <row r="14" ht="12.75" customHeight="1">
      <c r="A14" s="18"/>
      <c r="B14" s="22" t="s">
        <v>11</v>
      </c>
      <c r="C14" s="23"/>
      <c r="D14" s="19" t="s">
        <v>12</v>
      </c>
      <c r="E14" s="82">
        <v>138.0</v>
      </c>
      <c r="F14" s="82">
        <v>123.0</v>
      </c>
      <c r="G14" s="82">
        <v>119.0</v>
      </c>
      <c r="H14" s="82">
        <v>144.0</v>
      </c>
      <c r="I14" s="82">
        <v>128.0</v>
      </c>
      <c r="J14" s="82">
        <v>138.0</v>
      </c>
      <c r="K14" s="82">
        <v>117.0</v>
      </c>
      <c r="L14" s="82">
        <v>143.0</v>
      </c>
      <c r="M14" s="82">
        <v>141.0</v>
      </c>
      <c r="N14" s="82">
        <v>141.0</v>
      </c>
      <c r="O14" s="82">
        <v>116.0</v>
      </c>
      <c r="P14" s="82">
        <v>135.0</v>
      </c>
      <c r="Q14" s="82">
        <v>122.0</v>
      </c>
      <c r="R14" s="82">
        <v>117.0</v>
      </c>
      <c r="S14" s="82">
        <v>136.0</v>
      </c>
      <c r="T14" s="82">
        <v>147.0</v>
      </c>
      <c r="U14" s="82">
        <v>112.0</v>
      </c>
      <c r="V14" s="82">
        <v>95.0</v>
      </c>
      <c r="W14" s="82">
        <v>116.0</v>
      </c>
      <c r="X14" s="82">
        <v>146.0</v>
      </c>
      <c r="Y14" s="82">
        <v>132.0</v>
      </c>
      <c r="Z14" s="82">
        <v>129.0</v>
      </c>
      <c r="AA14" s="82">
        <v>144.0</v>
      </c>
      <c r="AB14" s="82">
        <v>151.0</v>
      </c>
      <c r="AC14" s="82">
        <v>117.0</v>
      </c>
      <c r="AD14" s="82">
        <v>109.0</v>
      </c>
      <c r="AE14" s="82">
        <v>149.0</v>
      </c>
      <c r="AF14" s="82">
        <v>131.0</v>
      </c>
      <c r="AG14" s="82">
        <v>147.0</v>
      </c>
      <c r="AH14" s="82">
        <v>118.0</v>
      </c>
      <c r="AI14" s="82">
        <v>127.0</v>
      </c>
      <c r="AJ14" s="82">
        <v>108.0</v>
      </c>
      <c r="AK14" s="13">
        <f t="shared" ref="AK14:AK16" si="1">SUM(E14:AJ14)</f>
        <v>4136</v>
      </c>
    </row>
    <row r="15" ht="12.75" customHeight="1">
      <c r="A15" s="18"/>
      <c r="B15" s="26"/>
      <c r="C15" s="27"/>
      <c r="D15" s="19" t="s">
        <v>13</v>
      </c>
      <c r="E15" s="82">
        <v>139.0</v>
      </c>
      <c r="F15" s="82">
        <v>128.0</v>
      </c>
      <c r="G15" s="82">
        <v>134.0</v>
      </c>
      <c r="H15" s="82">
        <v>150.0</v>
      </c>
      <c r="I15" s="82">
        <v>132.0</v>
      </c>
      <c r="J15" s="82">
        <v>141.0</v>
      </c>
      <c r="K15" s="82">
        <v>132.0</v>
      </c>
      <c r="L15" s="82">
        <v>150.0</v>
      </c>
      <c r="M15" s="82">
        <v>151.0</v>
      </c>
      <c r="N15" s="82">
        <v>153.0</v>
      </c>
      <c r="O15" s="82">
        <v>117.0</v>
      </c>
      <c r="P15" s="82">
        <v>138.0</v>
      </c>
      <c r="Q15" s="82">
        <v>146.0</v>
      </c>
      <c r="R15" s="82">
        <v>148.0</v>
      </c>
      <c r="S15" s="82">
        <v>137.0</v>
      </c>
      <c r="T15" s="82">
        <v>143.0</v>
      </c>
      <c r="U15" s="82">
        <v>103.0</v>
      </c>
      <c r="V15" s="82">
        <v>90.0</v>
      </c>
      <c r="W15" s="82">
        <v>116.0</v>
      </c>
      <c r="X15" s="82">
        <v>141.0</v>
      </c>
      <c r="Y15" s="82">
        <v>134.0</v>
      </c>
      <c r="Z15" s="82">
        <v>138.0</v>
      </c>
      <c r="AA15" s="82">
        <v>144.0</v>
      </c>
      <c r="AB15" s="82">
        <v>137.0</v>
      </c>
      <c r="AC15" s="82">
        <v>112.0</v>
      </c>
      <c r="AD15" s="82">
        <v>136.0</v>
      </c>
      <c r="AE15" s="82">
        <v>140.0</v>
      </c>
      <c r="AF15" s="82">
        <v>130.0</v>
      </c>
      <c r="AG15" s="82">
        <v>149.0</v>
      </c>
      <c r="AH15" s="82">
        <v>128.0</v>
      </c>
      <c r="AI15" s="82">
        <v>124.0</v>
      </c>
      <c r="AJ15" s="82">
        <v>115.0</v>
      </c>
      <c r="AK15" s="13">
        <f t="shared" si="1"/>
        <v>4276</v>
      </c>
    </row>
    <row r="16" ht="12.75" customHeight="1">
      <c r="A16" s="25"/>
      <c r="B16" s="21"/>
      <c r="C16" s="28"/>
      <c r="D16" s="13" t="s">
        <v>14</v>
      </c>
      <c r="E16" s="83">
        <f t="shared" ref="E16:AJ16" si="2">SUM(E14:E15)</f>
        <v>277</v>
      </c>
      <c r="F16" s="83">
        <f t="shared" si="2"/>
        <v>251</v>
      </c>
      <c r="G16" s="83">
        <f t="shared" si="2"/>
        <v>253</v>
      </c>
      <c r="H16" s="83">
        <f t="shared" si="2"/>
        <v>294</v>
      </c>
      <c r="I16" s="83">
        <f t="shared" si="2"/>
        <v>260</v>
      </c>
      <c r="J16" s="83">
        <f t="shared" si="2"/>
        <v>279</v>
      </c>
      <c r="K16" s="83">
        <f t="shared" si="2"/>
        <v>249</v>
      </c>
      <c r="L16" s="83">
        <f t="shared" si="2"/>
        <v>293</v>
      </c>
      <c r="M16" s="83">
        <f t="shared" si="2"/>
        <v>292</v>
      </c>
      <c r="N16" s="83">
        <f t="shared" si="2"/>
        <v>294</v>
      </c>
      <c r="O16" s="83">
        <f t="shared" si="2"/>
        <v>233</v>
      </c>
      <c r="P16" s="83">
        <f t="shared" si="2"/>
        <v>273</v>
      </c>
      <c r="Q16" s="83">
        <f t="shared" si="2"/>
        <v>268</v>
      </c>
      <c r="R16" s="83">
        <f t="shared" si="2"/>
        <v>265</v>
      </c>
      <c r="S16" s="83">
        <f t="shared" si="2"/>
        <v>273</v>
      </c>
      <c r="T16" s="83">
        <f t="shared" si="2"/>
        <v>290</v>
      </c>
      <c r="U16" s="83">
        <f t="shared" si="2"/>
        <v>215</v>
      </c>
      <c r="V16" s="83">
        <f t="shared" si="2"/>
        <v>185</v>
      </c>
      <c r="W16" s="83">
        <f t="shared" si="2"/>
        <v>232</v>
      </c>
      <c r="X16" s="83">
        <f t="shared" si="2"/>
        <v>287</v>
      </c>
      <c r="Y16" s="83">
        <f t="shared" si="2"/>
        <v>266</v>
      </c>
      <c r="Z16" s="83">
        <f t="shared" si="2"/>
        <v>267</v>
      </c>
      <c r="AA16" s="83">
        <f t="shared" si="2"/>
        <v>288</v>
      </c>
      <c r="AB16" s="83">
        <f t="shared" si="2"/>
        <v>288</v>
      </c>
      <c r="AC16" s="83">
        <f t="shared" si="2"/>
        <v>229</v>
      </c>
      <c r="AD16" s="83">
        <f t="shared" si="2"/>
        <v>245</v>
      </c>
      <c r="AE16" s="83">
        <f t="shared" si="2"/>
        <v>289</v>
      </c>
      <c r="AF16" s="83">
        <f t="shared" si="2"/>
        <v>261</v>
      </c>
      <c r="AG16" s="83">
        <f t="shared" si="2"/>
        <v>296</v>
      </c>
      <c r="AH16" s="83">
        <f t="shared" si="2"/>
        <v>246</v>
      </c>
      <c r="AI16" s="83">
        <f t="shared" si="2"/>
        <v>251</v>
      </c>
      <c r="AJ16" s="83">
        <f t="shared" si="2"/>
        <v>223</v>
      </c>
      <c r="AK16" s="13">
        <f t="shared" si="1"/>
        <v>8412</v>
      </c>
    </row>
    <row r="17" ht="12.75" customHeight="1">
      <c r="A17" s="24"/>
      <c r="B17" s="15"/>
      <c r="C17" s="15"/>
      <c r="D17" s="16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68"/>
    </row>
    <row r="18" ht="12.75" customHeight="1">
      <c r="A18" s="30" t="s">
        <v>15</v>
      </c>
      <c r="B18" s="20" t="s">
        <v>16</v>
      </c>
      <c r="C18" s="15"/>
      <c r="D18" s="16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68"/>
    </row>
    <row r="19" ht="12.75" customHeight="1">
      <c r="A19" s="30"/>
      <c r="B19" s="31" t="s">
        <v>17</v>
      </c>
      <c r="C19" s="32" t="s">
        <v>18</v>
      </c>
      <c r="D19" s="19" t="s">
        <v>12</v>
      </c>
      <c r="E19" s="85">
        <v>117.0</v>
      </c>
      <c r="F19" s="85">
        <v>103.0</v>
      </c>
      <c r="G19" s="85">
        <v>100.0</v>
      </c>
      <c r="H19" s="85">
        <v>113.0</v>
      </c>
      <c r="I19" s="85">
        <v>109.0</v>
      </c>
      <c r="J19" s="85">
        <v>112.0</v>
      </c>
      <c r="K19" s="85">
        <v>90.0</v>
      </c>
      <c r="L19" s="85">
        <v>101.0</v>
      </c>
      <c r="M19" s="85">
        <v>114.0</v>
      </c>
      <c r="N19" s="85">
        <v>110.0</v>
      </c>
      <c r="O19" s="85">
        <v>82.0</v>
      </c>
      <c r="P19" s="85">
        <v>100.0</v>
      </c>
      <c r="Q19" s="85">
        <v>84.0</v>
      </c>
      <c r="R19" s="85">
        <v>85.0</v>
      </c>
      <c r="S19" s="85">
        <v>101.0</v>
      </c>
      <c r="T19" s="85">
        <v>106.0</v>
      </c>
      <c r="U19" s="85">
        <v>81.0</v>
      </c>
      <c r="V19" s="85">
        <v>76.0</v>
      </c>
      <c r="W19" s="85">
        <v>85.0</v>
      </c>
      <c r="X19" s="85">
        <v>115.0</v>
      </c>
      <c r="Y19" s="85">
        <v>90.0</v>
      </c>
      <c r="Z19" s="85">
        <v>101.0</v>
      </c>
      <c r="AA19" s="85">
        <v>115.0</v>
      </c>
      <c r="AB19" s="85">
        <v>125.0</v>
      </c>
      <c r="AC19" s="85">
        <v>86.0</v>
      </c>
      <c r="AD19" s="85">
        <v>93.0</v>
      </c>
      <c r="AE19" s="85">
        <v>108.0</v>
      </c>
      <c r="AF19" s="85">
        <v>93.0</v>
      </c>
      <c r="AG19" s="85">
        <v>120.0</v>
      </c>
      <c r="AH19" s="85">
        <v>118.0</v>
      </c>
      <c r="AI19" s="85">
        <v>96.0</v>
      </c>
      <c r="AJ19" s="85">
        <v>90.0</v>
      </c>
      <c r="AK19" s="13">
        <f t="shared" ref="AK19:AK30" si="3">SUM(E19:AJ19)</f>
        <v>3219</v>
      </c>
    </row>
    <row r="20" ht="12.75" customHeight="1">
      <c r="A20" s="33"/>
      <c r="B20" s="27"/>
      <c r="C20" s="34"/>
      <c r="D20" s="19" t="s">
        <v>13</v>
      </c>
      <c r="E20" s="85">
        <v>111.0</v>
      </c>
      <c r="F20" s="85">
        <v>106.0</v>
      </c>
      <c r="G20" s="85">
        <v>110.0</v>
      </c>
      <c r="H20" s="85">
        <v>126.0</v>
      </c>
      <c r="I20" s="85">
        <v>115.0</v>
      </c>
      <c r="J20" s="85">
        <v>116.0</v>
      </c>
      <c r="K20" s="85">
        <v>107.0</v>
      </c>
      <c r="L20" s="85">
        <v>120.0</v>
      </c>
      <c r="M20" s="85">
        <v>129.0</v>
      </c>
      <c r="N20" s="85">
        <v>132.0</v>
      </c>
      <c r="O20" s="85">
        <v>95.0</v>
      </c>
      <c r="P20" s="85">
        <v>117.0</v>
      </c>
      <c r="Q20" s="85">
        <v>109.0</v>
      </c>
      <c r="R20" s="85">
        <v>129.0</v>
      </c>
      <c r="S20" s="85">
        <v>124.0</v>
      </c>
      <c r="T20" s="85">
        <v>115.0</v>
      </c>
      <c r="U20" s="85">
        <v>74.0</v>
      </c>
      <c r="V20" s="85">
        <v>65.0</v>
      </c>
      <c r="W20" s="85">
        <v>85.0</v>
      </c>
      <c r="X20" s="85">
        <v>108.0</v>
      </c>
      <c r="Y20" s="85">
        <v>99.0</v>
      </c>
      <c r="Z20" s="85">
        <v>111.0</v>
      </c>
      <c r="AA20" s="85">
        <v>104.0</v>
      </c>
      <c r="AB20" s="85">
        <v>115.0</v>
      </c>
      <c r="AC20" s="85">
        <v>89.0</v>
      </c>
      <c r="AD20" s="85">
        <v>118.0</v>
      </c>
      <c r="AE20" s="85">
        <v>118.0</v>
      </c>
      <c r="AF20" s="85">
        <v>113.0</v>
      </c>
      <c r="AG20" s="85">
        <v>128.0</v>
      </c>
      <c r="AH20" s="85">
        <v>128.0</v>
      </c>
      <c r="AI20" s="85">
        <v>110.0</v>
      </c>
      <c r="AJ20" s="85">
        <v>95.0</v>
      </c>
      <c r="AK20" s="13">
        <f t="shared" si="3"/>
        <v>3521</v>
      </c>
    </row>
    <row r="21" ht="12.75" customHeight="1">
      <c r="A21" s="35"/>
      <c r="B21" s="28"/>
      <c r="C21" s="36"/>
      <c r="D21" s="13" t="s">
        <v>14</v>
      </c>
      <c r="E21" s="88">
        <v>228.0</v>
      </c>
      <c r="F21" s="88">
        <v>209.0</v>
      </c>
      <c r="G21" s="88">
        <v>210.0</v>
      </c>
      <c r="H21" s="88">
        <v>239.0</v>
      </c>
      <c r="I21" s="88">
        <v>224.0</v>
      </c>
      <c r="J21" s="88">
        <v>228.0</v>
      </c>
      <c r="K21" s="88">
        <v>197.0</v>
      </c>
      <c r="L21" s="88">
        <v>221.0</v>
      </c>
      <c r="M21" s="88">
        <v>243.0</v>
      </c>
      <c r="N21" s="88">
        <v>242.0</v>
      </c>
      <c r="O21" s="88">
        <v>177.0</v>
      </c>
      <c r="P21" s="88">
        <v>217.0</v>
      </c>
      <c r="Q21" s="88">
        <v>193.0</v>
      </c>
      <c r="R21" s="88">
        <v>214.0</v>
      </c>
      <c r="S21" s="88">
        <v>225.0</v>
      </c>
      <c r="T21" s="88">
        <v>221.0</v>
      </c>
      <c r="U21" s="88">
        <v>155.0</v>
      </c>
      <c r="V21" s="88">
        <v>141.0</v>
      </c>
      <c r="W21" s="88">
        <v>170.0</v>
      </c>
      <c r="X21" s="88">
        <v>223.0</v>
      </c>
      <c r="Y21" s="88">
        <v>189.0</v>
      </c>
      <c r="Z21" s="88">
        <v>212.0</v>
      </c>
      <c r="AA21" s="88">
        <v>219.0</v>
      </c>
      <c r="AB21" s="88">
        <v>240.0</v>
      </c>
      <c r="AC21" s="88">
        <v>175.0</v>
      </c>
      <c r="AD21" s="88">
        <v>211.0</v>
      </c>
      <c r="AE21" s="88">
        <v>226.0</v>
      </c>
      <c r="AF21" s="88">
        <v>206.0</v>
      </c>
      <c r="AG21" s="88">
        <v>248.0</v>
      </c>
      <c r="AH21" s="88">
        <v>246.0</v>
      </c>
      <c r="AI21" s="88">
        <v>206.0</v>
      </c>
      <c r="AJ21" s="88">
        <v>185.0</v>
      </c>
      <c r="AK21" s="13">
        <f t="shared" si="3"/>
        <v>6740</v>
      </c>
    </row>
    <row r="22" ht="12.75" customHeight="1">
      <c r="A22" s="33"/>
      <c r="B22" s="31" t="s">
        <v>19</v>
      </c>
      <c r="C22" s="32" t="s">
        <v>20</v>
      </c>
      <c r="D22" s="19" t="s">
        <v>12</v>
      </c>
      <c r="E22" s="85">
        <v>0.0</v>
      </c>
      <c r="F22" s="85">
        <v>0.0</v>
      </c>
      <c r="G22" s="85">
        <v>0.0</v>
      </c>
      <c r="H22" s="85">
        <v>0.0</v>
      </c>
      <c r="I22" s="85">
        <v>0.0</v>
      </c>
      <c r="J22" s="85">
        <v>0.0</v>
      </c>
      <c r="K22" s="85">
        <v>0.0</v>
      </c>
      <c r="L22" s="85">
        <v>0.0</v>
      </c>
      <c r="M22" s="85">
        <v>0.0</v>
      </c>
      <c r="N22" s="85">
        <v>0.0</v>
      </c>
      <c r="O22" s="85">
        <v>0.0</v>
      </c>
      <c r="P22" s="85">
        <v>0.0</v>
      </c>
      <c r="Q22" s="85">
        <v>0.0</v>
      </c>
      <c r="R22" s="85">
        <v>0.0</v>
      </c>
      <c r="S22" s="85">
        <v>0.0</v>
      </c>
      <c r="T22" s="85">
        <v>0.0</v>
      </c>
      <c r="U22" s="85">
        <v>0.0</v>
      </c>
      <c r="V22" s="85">
        <v>0.0</v>
      </c>
      <c r="W22" s="85">
        <v>0.0</v>
      </c>
      <c r="X22" s="85">
        <v>0.0</v>
      </c>
      <c r="Y22" s="85">
        <v>0.0</v>
      </c>
      <c r="Z22" s="85">
        <v>0.0</v>
      </c>
      <c r="AA22" s="85">
        <v>0.0</v>
      </c>
      <c r="AB22" s="85">
        <v>0.0</v>
      </c>
      <c r="AC22" s="85">
        <v>0.0</v>
      </c>
      <c r="AD22" s="85">
        <v>0.0</v>
      </c>
      <c r="AE22" s="85">
        <v>0.0</v>
      </c>
      <c r="AF22" s="85">
        <v>0.0</v>
      </c>
      <c r="AG22" s="85">
        <v>0.0</v>
      </c>
      <c r="AH22" s="85">
        <v>0.0</v>
      </c>
      <c r="AI22" s="85">
        <v>0.0</v>
      </c>
      <c r="AJ22" s="85">
        <v>0.0</v>
      </c>
      <c r="AK22" s="13">
        <f t="shared" si="3"/>
        <v>0</v>
      </c>
    </row>
    <row r="23" ht="12.75" customHeight="1">
      <c r="A23" s="33"/>
      <c r="B23" s="27"/>
      <c r="C23" s="34"/>
      <c r="D23" s="19" t="s">
        <v>13</v>
      </c>
      <c r="E23" s="85">
        <v>0.0</v>
      </c>
      <c r="F23" s="85">
        <v>0.0</v>
      </c>
      <c r="G23" s="85">
        <v>0.0</v>
      </c>
      <c r="H23" s="85">
        <v>0.0</v>
      </c>
      <c r="I23" s="85">
        <v>1.0</v>
      </c>
      <c r="J23" s="85">
        <v>0.0</v>
      </c>
      <c r="K23" s="85">
        <v>0.0</v>
      </c>
      <c r="L23" s="85">
        <v>0.0</v>
      </c>
      <c r="M23" s="85">
        <v>0.0</v>
      </c>
      <c r="N23" s="85">
        <v>0.0</v>
      </c>
      <c r="O23" s="85">
        <v>0.0</v>
      </c>
      <c r="P23" s="85">
        <v>0.0</v>
      </c>
      <c r="Q23" s="85">
        <v>0.0</v>
      </c>
      <c r="R23" s="85">
        <v>0.0</v>
      </c>
      <c r="S23" s="85">
        <v>0.0</v>
      </c>
      <c r="T23" s="85">
        <v>0.0</v>
      </c>
      <c r="U23" s="85">
        <v>0.0</v>
      </c>
      <c r="V23" s="85">
        <v>0.0</v>
      </c>
      <c r="W23" s="85">
        <v>0.0</v>
      </c>
      <c r="X23" s="85">
        <v>0.0</v>
      </c>
      <c r="Y23" s="85">
        <v>0.0</v>
      </c>
      <c r="Z23" s="85">
        <v>0.0</v>
      </c>
      <c r="AA23" s="85">
        <v>0.0</v>
      </c>
      <c r="AB23" s="85">
        <v>0.0</v>
      </c>
      <c r="AC23" s="85">
        <v>0.0</v>
      </c>
      <c r="AD23" s="85">
        <v>0.0</v>
      </c>
      <c r="AE23" s="85">
        <v>0.0</v>
      </c>
      <c r="AF23" s="85">
        <v>0.0</v>
      </c>
      <c r="AG23" s="85">
        <v>0.0</v>
      </c>
      <c r="AH23" s="85">
        <v>0.0</v>
      </c>
      <c r="AI23" s="85">
        <v>0.0</v>
      </c>
      <c r="AJ23" s="85">
        <v>0.0</v>
      </c>
      <c r="AK23" s="13">
        <f t="shared" si="3"/>
        <v>1</v>
      </c>
    </row>
    <row r="24" ht="12.75" customHeight="1">
      <c r="A24" s="35"/>
      <c r="B24" s="28"/>
      <c r="C24" s="36"/>
      <c r="D24" s="13" t="s">
        <v>14</v>
      </c>
      <c r="E24" s="88">
        <v>0.0</v>
      </c>
      <c r="F24" s="88">
        <v>0.0</v>
      </c>
      <c r="G24" s="88">
        <v>0.0</v>
      </c>
      <c r="H24" s="88">
        <v>0.0</v>
      </c>
      <c r="I24" s="88">
        <v>1.0</v>
      </c>
      <c r="J24" s="88">
        <v>0.0</v>
      </c>
      <c r="K24" s="88">
        <v>0.0</v>
      </c>
      <c r="L24" s="88">
        <v>0.0</v>
      </c>
      <c r="M24" s="88">
        <v>0.0</v>
      </c>
      <c r="N24" s="88">
        <v>0.0</v>
      </c>
      <c r="O24" s="88">
        <v>0.0</v>
      </c>
      <c r="P24" s="88">
        <v>0.0</v>
      </c>
      <c r="Q24" s="88">
        <v>0.0</v>
      </c>
      <c r="R24" s="88">
        <v>0.0</v>
      </c>
      <c r="S24" s="88">
        <v>0.0</v>
      </c>
      <c r="T24" s="88">
        <v>0.0</v>
      </c>
      <c r="U24" s="88">
        <v>0.0</v>
      </c>
      <c r="V24" s="88">
        <v>0.0</v>
      </c>
      <c r="W24" s="88">
        <v>0.0</v>
      </c>
      <c r="X24" s="88">
        <v>0.0</v>
      </c>
      <c r="Y24" s="88">
        <v>0.0</v>
      </c>
      <c r="Z24" s="88">
        <v>0.0</v>
      </c>
      <c r="AA24" s="88">
        <v>0.0</v>
      </c>
      <c r="AB24" s="88">
        <v>0.0</v>
      </c>
      <c r="AC24" s="88">
        <v>0.0</v>
      </c>
      <c r="AD24" s="88">
        <v>0.0</v>
      </c>
      <c r="AE24" s="88">
        <v>0.0</v>
      </c>
      <c r="AF24" s="88">
        <v>0.0</v>
      </c>
      <c r="AG24" s="88">
        <v>0.0</v>
      </c>
      <c r="AH24" s="88">
        <v>0.0</v>
      </c>
      <c r="AI24" s="88">
        <v>0.0</v>
      </c>
      <c r="AJ24" s="88">
        <v>0.0</v>
      </c>
      <c r="AK24" s="13">
        <f t="shared" si="3"/>
        <v>1</v>
      </c>
    </row>
    <row r="25" ht="12.75" customHeight="1">
      <c r="A25" s="33"/>
      <c r="B25" s="31" t="s">
        <v>21</v>
      </c>
      <c r="C25" s="32" t="s">
        <v>22</v>
      </c>
      <c r="D25" s="19" t="s">
        <v>12</v>
      </c>
      <c r="E25" s="85">
        <v>0.0</v>
      </c>
      <c r="F25" s="85">
        <v>0.0</v>
      </c>
      <c r="G25" s="85">
        <v>0.0</v>
      </c>
      <c r="H25" s="85">
        <v>0.0</v>
      </c>
      <c r="I25" s="85">
        <v>0.0</v>
      </c>
      <c r="J25" s="85">
        <v>0.0</v>
      </c>
      <c r="K25" s="85">
        <v>3.0</v>
      </c>
      <c r="L25" s="85">
        <v>0.0</v>
      </c>
      <c r="M25" s="85">
        <v>0.0</v>
      </c>
      <c r="N25" s="85">
        <v>0.0</v>
      </c>
      <c r="O25" s="85">
        <v>0.0</v>
      </c>
      <c r="P25" s="85">
        <v>0.0</v>
      </c>
      <c r="Q25" s="85">
        <v>0.0</v>
      </c>
      <c r="R25" s="85">
        <v>0.0</v>
      </c>
      <c r="S25" s="85">
        <v>0.0</v>
      </c>
      <c r="T25" s="85">
        <v>0.0</v>
      </c>
      <c r="U25" s="85">
        <v>1.0</v>
      </c>
      <c r="V25" s="85">
        <v>0.0</v>
      </c>
      <c r="W25" s="85">
        <v>1.0</v>
      </c>
      <c r="X25" s="85">
        <v>2.0</v>
      </c>
      <c r="Y25" s="85">
        <v>1.0</v>
      </c>
      <c r="Z25" s="85">
        <v>2.0</v>
      </c>
      <c r="AA25" s="85">
        <v>0.0</v>
      </c>
      <c r="AB25" s="85">
        <v>0.0</v>
      </c>
      <c r="AC25" s="85">
        <v>1.0</v>
      </c>
      <c r="AD25" s="85">
        <v>0.0</v>
      </c>
      <c r="AE25" s="85">
        <v>1.0</v>
      </c>
      <c r="AF25" s="85">
        <v>1.0</v>
      </c>
      <c r="AG25" s="85">
        <v>1.0</v>
      </c>
      <c r="AH25" s="85">
        <v>1.0</v>
      </c>
      <c r="AI25" s="85">
        <v>0.0</v>
      </c>
      <c r="AJ25" s="85">
        <v>0.0</v>
      </c>
      <c r="AK25" s="13">
        <f t="shared" si="3"/>
        <v>15</v>
      </c>
    </row>
    <row r="26" ht="12.75" customHeight="1">
      <c r="A26" s="33"/>
      <c r="B26" s="27"/>
      <c r="C26" s="34"/>
      <c r="D26" s="19" t="s">
        <v>13</v>
      </c>
      <c r="E26" s="85">
        <v>0.0</v>
      </c>
      <c r="F26" s="85">
        <v>1.0</v>
      </c>
      <c r="G26" s="85">
        <v>0.0</v>
      </c>
      <c r="H26" s="85">
        <v>1.0</v>
      </c>
      <c r="I26" s="85">
        <v>0.0</v>
      </c>
      <c r="J26" s="85">
        <v>0.0</v>
      </c>
      <c r="K26" s="85">
        <v>0.0</v>
      </c>
      <c r="L26" s="85">
        <v>0.0</v>
      </c>
      <c r="M26" s="85">
        <v>0.0</v>
      </c>
      <c r="N26" s="85">
        <v>0.0</v>
      </c>
      <c r="O26" s="85">
        <v>0.0</v>
      </c>
      <c r="P26" s="85">
        <v>1.0</v>
      </c>
      <c r="Q26" s="85">
        <v>1.0</v>
      </c>
      <c r="R26" s="85">
        <v>0.0</v>
      </c>
      <c r="S26" s="85">
        <v>0.0</v>
      </c>
      <c r="T26" s="85">
        <v>1.0</v>
      </c>
      <c r="U26" s="85">
        <v>0.0</v>
      </c>
      <c r="V26" s="85">
        <v>0.0</v>
      </c>
      <c r="W26" s="85">
        <v>1.0</v>
      </c>
      <c r="X26" s="85">
        <v>7.0</v>
      </c>
      <c r="Y26" s="85">
        <v>2.0</v>
      </c>
      <c r="Z26" s="85">
        <v>4.0</v>
      </c>
      <c r="AA26" s="85">
        <v>0.0</v>
      </c>
      <c r="AB26" s="85">
        <v>0.0</v>
      </c>
      <c r="AC26" s="85">
        <v>2.0</v>
      </c>
      <c r="AD26" s="85">
        <v>0.0</v>
      </c>
      <c r="AE26" s="85">
        <v>2.0</v>
      </c>
      <c r="AF26" s="85">
        <v>0.0</v>
      </c>
      <c r="AG26" s="85">
        <v>1.0</v>
      </c>
      <c r="AH26" s="85">
        <v>0.0</v>
      </c>
      <c r="AI26" s="85">
        <v>0.0</v>
      </c>
      <c r="AJ26" s="85">
        <v>0.0</v>
      </c>
      <c r="AK26" s="13">
        <f t="shared" si="3"/>
        <v>24</v>
      </c>
    </row>
    <row r="27" ht="12.75" customHeight="1">
      <c r="A27" s="35"/>
      <c r="B27" s="28"/>
      <c r="C27" s="36"/>
      <c r="D27" s="13" t="s">
        <v>14</v>
      </c>
      <c r="E27" s="88">
        <v>0.0</v>
      </c>
      <c r="F27" s="88">
        <v>1.0</v>
      </c>
      <c r="G27" s="88">
        <v>0.0</v>
      </c>
      <c r="H27" s="88">
        <v>1.0</v>
      </c>
      <c r="I27" s="88">
        <v>0.0</v>
      </c>
      <c r="J27" s="88">
        <v>0.0</v>
      </c>
      <c r="K27" s="88">
        <v>3.0</v>
      </c>
      <c r="L27" s="88">
        <v>0.0</v>
      </c>
      <c r="M27" s="88">
        <v>0.0</v>
      </c>
      <c r="N27" s="88">
        <v>0.0</v>
      </c>
      <c r="O27" s="88">
        <v>0.0</v>
      </c>
      <c r="P27" s="88">
        <v>1.0</v>
      </c>
      <c r="Q27" s="88">
        <v>1.0</v>
      </c>
      <c r="R27" s="88">
        <v>0.0</v>
      </c>
      <c r="S27" s="88">
        <v>0.0</v>
      </c>
      <c r="T27" s="88">
        <v>1.0</v>
      </c>
      <c r="U27" s="88">
        <v>0.0</v>
      </c>
      <c r="V27" s="88">
        <v>0.0</v>
      </c>
      <c r="W27" s="88">
        <v>2.0</v>
      </c>
      <c r="X27" s="88">
        <v>9.0</v>
      </c>
      <c r="Y27" s="88">
        <v>3.0</v>
      </c>
      <c r="Z27" s="88">
        <v>6.0</v>
      </c>
      <c r="AA27" s="88">
        <v>0.0</v>
      </c>
      <c r="AB27" s="88">
        <v>0.0</v>
      </c>
      <c r="AC27" s="88">
        <v>3.0</v>
      </c>
      <c r="AD27" s="88">
        <v>0.0</v>
      </c>
      <c r="AE27" s="88">
        <v>3.0</v>
      </c>
      <c r="AF27" s="88">
        <v>1.0</v>
      </c>
      <c r="AG27" s="88">
        <v>2.0</v>
      </c>
      <c r="AH27" s="88">
        <v>1.0</v>
      </c>
      <c r="AI27" s="88">
        <v>0.0</v>
      </c>
      <c r="AJ27" s="88">
        <v>0.0</v>
      </c>
      <c r="AK27" s="13">
        <f t="shared" si="3"/>
        <v>38</v>
      </c>
    </row>
    <row r="28" ht="12.75" customHeight="1">
      <c r="A28" s="35"/>
      <c r="B28" s="37" t="s">
        <v>23</v>
      </c>
      <c r="C28" s="38" t="s">
        <v>24</v>
      </c>
      <c r="D28" s="13" t="s">
        <v>12</v>
      </c>
      <c r="E28" s="88">
        <v>117.0</v>
      </c>
      <c r="F28" s="88">
        <v>103.0</v>
      </c>
      <c r="G28" s="88">
        <v>100.0</v>
      </c>
      <c r="H28" s="88">
        <v>113.0</v>
      </c>
      <c r="I28" s="88">
        <v>109.0</v>
      </c>
      <c r="J28" s="88">
        <v>112.0</v>
      </c>
      <c r="K28" s="88">
        <v>93.0</v>
      </c>
      <c r="L28" s="88">
        <v>101.0</v>
      </c>
      <c r="M28" s="88">
        <v>114.0</v>
      </c>
      <c r="N28" s="88">
        <v>110.0</v>
      </c>
      <c r="O28" s="88">
        <v>82.0</v>
      </c>
      <c r="P28" s="88">
        <v>100.0</v>
      </c>
      <c r="Q28" s="88">
        <v>84.0</v>
      </c>
      <c r="R28" s="88">
        <v>85.0</v>
      </c>
      <c r="S28" s="88">
        <v>101.0</v>
      </c>
      <c r="T28" s="88">
        <v>106.0</v>
      </c>
      <c r="U28" s="88">
        <v>82.0</v>
      </c>
      <c r="V28" s="88">
        <v>76.0</v>
      </c>
      <c r="W28" s="88">
        <v>86.0</v>
      </c>
      <c r="X28" s="88">
        <v>117.0</v>
      </c>
      <c r="Y28" s="88">
        <v>91.0</v>
      </c>
      <c r="Z28" s="88">
        <v>103.0</v>
      </c>
      <c r="AA28" s="88">
        <v>115.0</v>
      </c>
      <c r="AB28" s="88">
        <v>125.0</v>
      </c>
      <c r="AC28" s="88">
        <v>87.0</v>
      </c>
      <c r="AD28" s="88">
        <v>93.0</v>
      </c>
      <c r="AE28" s="88">
        <v>109.0</v>
      </c>
      <c r="AF28" s="88">
        <v>94.0</v>
      </c>
      <c r="AG28" s="88">
        <v>121.0</v>
      </c>
      <c r="AH28" s="88">
        <v>119.0</v>
      </c>
      <c r="AI28" s="88">
        <v>96.0</v>
      </c>
      <c r="AJ28" s="88">
        <v>90.0</v>
      </c>
      <c r="AK28" s="13">
        <f t="shared" si="3"/>
        <v>3234</v>
      </c>
    </row>
    <row r="29" ht="12.75" customHeight="1">
      <c r="A29" s="35"/>
      <c r="B29" s="27"/>
      <c r="C29" s="34"/>
      <c r="D29" s="13" t="s">
        <v>13</v>
      </c>
      <c r="E29" s="88">
        <v>111.0</v>
      </c>
      <c r="F29" s="88">
        <v>107.0</v>
      </c>
      <c r="G29" s="88">
        <v>110.0</v>
      </c>
      <c r="H29" s="88">
        <v>127.0</v>
      </c>
      <c r="I29" s="88">
        <v>116.0</v>
      </c>
      <c r="J29" s="88">
        <v>116.0</v>
      </c>
      <c r="K29" s="88">
        <v>107.0</v>
      </c>
      <c r="L29" s="88">
        <v>120.0</v>
      </c>
      <c r="M29" s="88">
        <v>129.0</v>
      </c>
      <c r="N29" s="88">
        <v>132.0</v>
      </c>
      <c r="O29" s="88">
        <v>96.0</v>
      </c>
      <c r="P29" s="88">
        <v>118.0</v>
      </c>
      <c r="Q29" s="88">
        <v>109.0</v>
      </c>
      <c r="R29" s="88">
        <v>129.0</v>
      </c>
      <c r="S29" s="88">
        <v>126.0</v>
      </c>
      <c r="T29" s="88">
        <v>116.0</v>
      </c>
      <c r="U29" s="88">
        <v>74.0</v>
      </c>
      <c r="V29" s="88">
        <v>65.0</v>
      </c>
      <c r="W29" s="88">
        <v>86.0</v>
      </c>
      <c r="X29" s="88">
        <v>115.0</v>
      </c>
      <c r="Y29" s="88">
        <v>101.0</v>
      </c>
      <c r="Z29" s="88">
        <v>115.0</v>
      </c>
      <c r="AA29" s="88">
        <v>104.0</v>
      </c>
      <c r="AB29" s="88">
        <v>115.0</v>
      </c>
      <c r="AC29" s="88">
        <v>91.0</v>
      </c>
      <c r="AD29" s="88">
        <v>118.0</v>
      </c>
      <c r="AE29" s="88">
        <v>120.0</v>
      </c>
      <c r="AF29" s="88">
        <v>113.0</v>
      </c>
      <c r="AG29" s="88">
        <v>129.0</v>
      </c>
      <c r="AH29" s="88">
        <v>128.0</v>
      </c>
      <c r="AI29" s="88">
        <v>110.0</v>
      </c>
      <c r="AJ29" s="88">
        <v>95.0</v>
      </c>
      <c r="AK29" s="13">
        <f t="shared" si="3"/>
        <v>3548</v>
      </c>
    </row>
    <row r="30" ht="12.75" customHeight="1">
      <c r="A30" s="35"/>
      <c r="B30" s="28"/>
      <c r="C30" s="36"/>
      <c r="D30" s="13" t="s">
        <v>14</v>
      </c>
      <c r="E30" s="93">
        <v>228.0</v>
      </c>
      <c r="F30" s="93">
        <v>210.0</v>
      </c>
      <c r="G30" s="93">
        <v>210.0</v>
      </c>
      <c r="H30" s="93">
        <v>240.0</v>
      </c>
      <c r="I30" s="93">
        <v>225.0</v>
      </c>
      <c r="J30" s="93">
        <v>228.0</v>
      </c>
      <c r="K30" s="93">
        <v>200.0</v>
      </c>
      <c r="L30" s="93">
        <v>221.0</v>
      </c>
      <c r="M30" s="93">
        <v>243.0</v>
      </c>
      <c r="N30" s="93">
        <v>242.0</v>
      </c>
      <c r="O30" s="93">
        <v>178.0</v>
      </c>
      <c r="P30" s="93">
        <v>218.0</v>
      </c>
      <c r="Q30" s="93">
        <v>193.0</v>
      </c>
      <c r="R30" s="93">
        <v>214.0</v>
      </c>
      <c r="S30" s="93">
        <v>227.0</v>
      </c>
      <c r="T30" s="93">
        <v>222.0</v>
      </c>
      <c r="U30" s="93">
        <v>156.0</v>
      </c>
      <c r="V30" s="93">
        <v>141.0</v>
      </c>
      <c r="W30" s="93">
        <v>172.0</v>
      </c>
      <c r="X30" s="93">
        <v>232.0</v>
      </c>
      <c r="Y30" s="93">
        <v>192.0</v>
      </c>
      <c r="Z30" s="93">
        <v>218.0</v>
      </c>
      <c r="AA30" s="93">
        <v>219.0</v>
      </c>
      <c r="AB30" s="93">
        <v>240.0</v>
      </c>
      <c r="AC30" s="93">
        <v>178.0</v>
      </c>
      <c r="AD30" s="93">
        <v>211.0</v>
      </c>
      <c r="AE30" s="93">
        <v>229.0</v>
      </c>
      <c r="AF30" s="93">
        <v>207.0</v>
      </c>
      <c r="AG30" s="93">
        <v>250.0</v>
      </c>
      <c r="AH30" s="93">
        <v>247.0</v>
      </c>
      <c r="AI30" s="93">
        <v>206.0</v>
      </c>
      <c r="AJ30" s="93">
        <v>185.0</v>
      </c>
      <c r="AK30" s="13">
        <f t="shared" si="3"/>
        <v>6782</v>
      </c>
    </row>
    <row r="31" ht="12.75" customHeight="1">
      <c r="A31" s="24"/>
      <c r="B31" s="15"/>
      <c r="C31" s="15"/>
      <c r="D31" s="16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68"/>
    </row>
    <row r="32" ht="12.75" customHeight="1">
      <c r="A32" s="41" t="s">
        <v>25</v>
      </c>
      <c r="B32" s="14" t="s">
        <v>26</v>
      </c>
      <c r="C32" s="15"/>
      <c r="D32" s="16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68"/>
    </row>
    <row r="33" ht="12.75" customHeight="1">
      <c r="A33" s="19">
        <v>1.0</v>
      </c>
      <c r="B33" s="20" t="s">
        <v>27</v>
      </c>
      <c r="C33" s="15"/>
      <c r="D33" s="16"/>
      <c r="E33" s="82">
        <v>283.0</v>
      </c>
      <c r="F33" s="82">
        <v>257.0</v>
      </c>
      <c r="G33" s="82">
        <v>259.0</v>
      </c>
      <c r="H33" s="82">
        <v>300.0</v>
      </c>
      <c r="I33" s="82">
        <v>266.0</v>
      </c>
      <c r="J33" s="82">
        <v>285.0</v>
      </c>
      <c r="K33" s="82">
        <v>254.0</v>
      </c>
      <c r="L33" s="82">
        <v>299.0</v>
      </c>
      <c r="M33" s="82">
        <v>298.0</v>
      </c>
      <c r="N33" s="82">
        <v>300.0</v>
      </c>
      <c r="O33" s="82">
        <v>238.0</v>
      </c>
      <c r="P33" s="82">
        <v>279.0</v>
      </c>
      <c r="Q33" s="82">
        <v>275.0</v>
      </c>
      <c r="R33" s="82">
        <v>271.0</v>
      </c>
      <c r="S33" s="82">
        <v>279.0</v>
      </c>
      <c r="T33" s="82">
        <v>296.0</v>
      </c>
      <c r="U33" s="82">
        <v>220.0</v>
      </c>
      <c r="V33" s="82">
        <v>189.0</v>
      </c>
      <c r="W33" s="82">
        <v>237.0</v>
      </c>
      <c r="X33" s="82">
        <v>293.0</v>
      </c>
      <c r="Y33" s="82">
        <v>272.0</v>
      </c>
      <c r="Z33" s="82">
        <v>273.0</v>
      </c>
      <c r="AA33" s="82">
        <v>294.0</v>
      </c>
      <c r="AB33" s="82">
        <v>294.0</v>
      </c>
      <c r="AC33" s="82">
        <v>234.0</v>
      </c>
      <c r="AD33" s="82">
        <v>250.0</v>
      </c>
      <c r="AE33" s="82">
        <v>295.0</v>
      </c>
      <c r="AF33" s="82">
        <v>267.0</v>
      </c>
      <c r="AG33" s="82">
        <v>302.0</v>
      </c>
      <c r="AH33" s="82">
        <v>251.0</v>
      </c>
      <c r="AI33" s="82">
        <v>257.0</v>
      </c>
      <c r="AJ33" s="82">
        <v>228.0</v>
      </c>
      <c r="AK33" s="13">
        <f t="shared" ref="AK33:AK36" si="4">SUM(E33:AJ33)</f>
        <v>8595</v>
      </c>
    </row>
    <row r="34" ht="12.75" customHeight="1">
      <c r="A34" s="19">
        <v>2.0</v>
      </c>
      <c r="B34" s="20" t="s">
        <v>28</v>
      </c>
      <c r="C34" s="15"/>
      <c r="D34" s="16"/>
      <c r="E34" s="90">
        <v>228.0</v>
      </c>
      <c r="F34" s="90">
        <v>210.0</v>
      </c>
      <c r="G34" s="90">
        <v>210.0</v>
      </c>
      <c r="H34" s="90">
        <v>240.0</v>
      </c>
      <c r="I34" s="90">
        <v>225.0</v>
      </c>
      <c r="J34" s="90">
        <v>228.0</v>
      </c>
      <c r="K34" s="90">
        <v>200.0</v>
      </c>
      <c r="L34" s="90">
        <v>221.0</v>
      </c>
      <c r="M34" s="90">
        <v>243.0</v>
      </c>
      <c r="N34" s="90">
        <v>242.0</v>
      </c>
      <c r="O34" s="90">
        <v>178.0</v>
      </c>
      <c r="P34" s="90">
        <v>218.0</v>
      </c>
      <c r="Q34" s="90">
        <v>193.0</v>
      </c>
      <c r="R34" s="90">
        <v>214.0</v>
      </c>
      <c r="S34" s="90">
        <v>227.0</v>
      </c>
      <c r="T34" s="90">
        <v>222.0</v>
      </c>
      <c r="U34" s="90">
        <v>156.0</v>
      </c>
      <c r="V34" s="90">
        <v>141.0</v>
      </c>
      <c r="W34" s="90">
        <v>172.0</v>
      </c>
      <c r="X34" s="90">
        <v>232.0</v>
      </c>
      <c r="Y34" s="90">
        <v>192.0</v>
      </c>
      <c r="Z34" s="90">
        <v>218.0</v>
      </c>
      <c r="AA34" s="90">
        <v>219.0</v>
      </c>
      <c r="AB34" s="90">
        <v>240.0</v>
      </c>
      <c r="AC34" s="90">
        <v>178.0</v>
      </c>
      <c r="AD34" s="90">
        <v>211.0</v>
      </c>
      <c r="AE34" s="90">
        <v>229.0</v>
      </c>
      <c r="AF34" s="90">
        <v>207.0</v>
      </c>
      <c r="AG34" s="90">
        <v>250.0</v>
      </c>
      <c r="AH34" s="90">
        <v>207.0</v>
      </c>
      <c r="AI34" s="90">
        <v>206.0</v>
      </c>
      <c r="AJ34" s="90">
        <v>185.0</v>
      </c>
      <c r="AK34" s="13">
        <f t="shared" si="4"/>
        <v>6742</v>
      </c>
    </row>
    <row r="35" ht="12.75" customHeight="1">
      <c r="A35" s="19">
        <v>3.0</v>
      </c>
      <c r="B35" s="20" t="s">
        <v>29</v>
      </c>
      <c r="C35" s="15"/>
      <c r="D35" s="16"/>
      <c r="E35" s="82">
        <v>0.0</v>
      </c>
      <c r="F35" s="82">
        <v>0.0</v>
      </c>
      <c r="G35" s="82">
        <v>0.0</v>
      </c>
      <c r="H35" s="82">
        <v>0.0</v>
      </c>
      <c r="I35" s="82">
        <v>0.0</v>
      </c>
      <c r="J35" s="82">
        <v>0.0</v>
      </c>
      <c r="K35" s="82">
        <v>1.0</v>
      </c>
      <c r="L35" s="82">
        <v>0.0</v>
      </c>
      <c r="M35" s="82">
        <v>0.0</v>
      </c>
      <c r="N35" s="82">
        <v>0.0</v>
      </c>
      <c r="O35" s="82">
        <v>0.0</v>
      </c>
      <c r="P35" s="82">
        <v>0.0</v>
      </c>
      <c r="Q35" s="82">
        <v>0.0</v>
      </c>
      <c r="R35" s="82">
        <v>0.0</v>
      </c>
      <c r="S35" s="82">
        <v>0.0</v>
      </c>
      <c r="T35" s="82">
        <v>0.0</v>
      </c>
      <c r="U35" s="82">
        <v>0.0</v>
      </c>
      <c r="V35" s="82">
        <v>0.0</v>
      </c>
      <c r="W35" s="82">
        <v>0.0</v>
      </c>
      <c r="X35" s="82">
        <v>0.0</v>
      </c>
      <c r="Y35" s="82">
        <v>0.0</v>
      </c>
      <c r="Z35" s="82">
        <v>1.0</v>
      </c>
      <c r="AA35" s="82">
        <v>0.0</v>
      </c>
      <c r="AB35" s="82">
        <v>0.0</v>
      </c>
      <c r="AC35" s="82">
        <v>0.0</v>
      </c>
      <c r="AD35" s="82">
        <v>1.0</v>
      </c>
      <c r="AE35" s="82">
        <v>1.0</v>
      </c>
      <c r="AF35" s="82">
        <v>0.0</v>
      </c>
      <c r="AG35" s="82">
        <v>0.0</v>
      </c>
      <c r="AH35" s="82">
        <v>4.0</v>
      </c>
      <c r="AI35" s="82">
        <v>0.0</v>
      </c>
      <c r="AJ35" s="82">
        <v>0.0</v>
      </c>
      <c r="AK35" s="13">
        <f t="shared" si="4"/>
        <v>8</v>
      </c>
    </row>
    <row r="36" ht="12.75" customHeight="1">
      <c r="A36" s="19">
        <v>4.0</v>
      </c>
      <c r="B36" s="20" t="s">
        <v>30</v>
      </c>
      <c r="C36" s="15"/>
      <c r="D36" s="16"/>
      <c r="E36" s="83">
        <f t="shared" ref="E36:AJ36" si="5">E33-(E34+E35)</f>
        <v>55</v>
      </c>
      <c r="F36" s="83">
        <f t="shared" si="5"/>
        <v>47</v>
      </c>
      <c r="G36" s="83">
        <f t="shared" si="5"/>
        <v>49</v>
      </c>
      <c r="H36" s="83">
        <f t="shared" si="5"/>
        <v>60</v>
      </c>
      <c r="I36" s="83">
        <f t="shared" si="5"/>
        <v>41</v>
      </c>
      <c r="J36" s="83">
        <f t="shared" si="5"/>
        <v>57</v>
      </c>
      <c r="K36" s="83">
        <f t="shared" si="5"/>
        <v>53</v>
      </c>
      <c r="L36" s="83">
        <f t="shared" si="5"/>
        <v>78</v>
      </c>
      <c r="M36" s="83">
        <f t="shared" si="5"/>
        <v>55</v>
      </c>
      <c r="N36" s="83">
        <f t="shared" si="5"/>
        <v>58</v>
      </c>
      <c r="O36" s="83">
        <f t="shared" si="5"/>
        <v>60</v>
      </c>
      <c r="P36" s="83">
        <f t="shared" si="5"/>
        <v>61</v>
      </c>
      <c r="Q36" s="83">
        <f t="shared" si="5"/>
        <v>82</v>
      </c>
      <c r="R36" s="83">
        <f t="shared" si="5"/>
        <v>57</v>
      </c>
      <c r="S36" s="83">
        <f t="shared" si="5"/>
        <v>52</v>
      </c>
      <c r="T36" s="83">
        <f t="shared" si="5"/>
        <v>74</v>
      </c>
      <c r="U36" s="83">
        <f t="shared" si="5"/>
        <v>64</v>
      </c>
      <c r="V36" s="83">
        <f t="shared" si="5"/>
        <v>48</v>
      </c>
      <c r="W36" s="83">
        <f t="shared" si="5"/>
        <v>65</v>
      </c>
      <c r="X36" s="83">
        <f t="shared" si="5"/>
        <v>61</v>
      </c>
      <c r="Y36" s="83">
        <f t="shared" si="5"/>
        <v>80</v>
      </c>
      <c r="Z36" s="83">
        <f t="shared" si="5"/>
        <v>54</v>
      </c>
      <c r="AA36" s="83">
        <f t="shared" si="5"/>
        <v>75</v>
      </c>
      <c r="AB36" s="83">
        <f t="shared" si="5"/>
        <v>54</v>
      </c>
      <c r="AC36" s="83">
        <f t="shared" si="5"/>
        <v>56</v>
      </c>
      <c r="AD36" s="83">
        <f t="shared" si="5"/>
        <v>38</v>
      </c>
      <c r="AE36" s="83">
        <f t="shared" si="5"/>
        <v>65</v>
      </c>
      <c r="AF36" s="83">
        <f t="shared" si="5"/>
        <v>60</v>
      </c>
      <c r="AG36" s="83">
        <f t="shared" si="5"/>
        <v>52</v>
      </c>
      <c r="AH36" s="83">
        <f t="shared" si="5"/>
        <v>40</v>
      </c>
      <c r="AI36" s="83">
        <f t="shared" si="5"/>
        <v>51</v>
      </c>
      <c r="AJ36" s="83">
        <f t="shared" si="5"/>
        <v>43</v>
      </c>
      <c r="AK36" s="13">
        <f t="shared" si="4"/>
        <v>1845</v>
      </c>
    </row>
    <row r="37" ht="12.75" customHeight="1">
      <c r="A37" s="24"/>
      <c r="B37" s="15"/>
      <c r="C37" s="15"/>
      <c r="D37" s="15"/>
      <c r="E37" s="92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6"/>
      <c r="AE37" s="84"/>
      <c r="AF37" s="84"/>
      <c r="AG37" s="84"/>
      <c r="AH37" s="84"/>
      <c r="AI37" s="84"/>
      <c r="AJ37" s="84"/>
      <c r="AK37" s="68"/>
    </row>
    <row r="38" ht="12.75" customHeight="1">
      <c r="A38" s="42" t="s">
        <v>31</v>
      </c>
      <c r="B38" s="14" t="s">
        <v>32</v>
      </c>
      <c r="C38" s="15"/>
      <c r="D38" s="16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68"/>
    </row>
    <row r="39" ht="12.75" customHeight="1">
      <c r="A39" s="30"/>
      <c r="B39" s="43" t="s">
        <v>33</v>
      </c>
      <c r="C39" s="23"/>
      <c r="D39" s="19" t="s">
        <v>12</v>
      </c>
      <c r="E39" s="82">
        <v>1.0</v>
      </c>
      <c r="F39" s="82">
        <v>0.0</v>
      </c>
      <c r="G39" s="82">
        <v>0.0</v>
      </c>
      <c r="H39" s="82">
        <v>0.0</v>
      </c>
      <c r="I39" s="82">
        <v>0.0</v>
      </c>
      <c r="J39" s="82">
        <v>0.0</v>
      </c>
      <c r="K39" s="82">
        <v>0.0</v>
      </c>
      <c r="L39" s="82">
        <v>0.0</v>
      </c>
      <c r="M39" s="82">
        <v>0.0</v>
      </c>
      <c r="N39" s="82">
        <v>0.0</v>
      </c>
      <c r="O39" s="82">
        <v>0.0</v>
      </c>
      <c r="P39" s="82">
        <v>0.0</v>
      </c>
      <c r="Q39" s="82">
        <v>0.0</v>
      </c>
      <c r="R39" s="82">
        <v>0.0</v>
      </c>
      <c r="S39" s="82">
        <v>1.0</v>
      </c>
      <c r="T39" s="82">
        <v>0.0</v>
      </c>
      <c r="U39" s="82">
        <v>2.0</v>
      </c>
      <c r="V39" s="82">
        <v>0.0</v>
      </c>
      <c r="W39" s="82">
        <v>0.0</v>
      </c>
      <c r="X39" s="82">
        <v>1.0</v>
      </c>
      <c r="Y39" s="82">
        <v>0.0</v>
      </c>
      <c r="Z39" s="82">
        <v>0.0</v>
      </c>
      <c r="AA39" s="82">
        <v>0.0</v>
      </c>
      <c r="AB39" s="82">
        <v>0.0</v>
      </c>
      <c r="AC39" s="82">
        <v>0.0</v>
      </c>
      <c r="AD39" s="82">
        <v>0.0</v>
      </c>
      <c r="AE39" s="82">
        <v>0.0</v>
      </c>
      <c r="AF39" s="82">
        <v>2.0</v>
      </c>
      <c r="AG39" s="82">
        <v>1.0</v>
      </c>
      <c r="AH39" s="82">
        <v>5.0</v>
      </c>
      <c r="AI39" s="82">
        <v>1.0</v>
      </c>
      <c r="AJ39" s="82">
        <v>0.0</v>
      </c>
      <c r="AK39" s="13">
        <f t="shared" ref="AK39:AK41" si="6">SUM(E39:AJ39)</f>
        <v>14</v>
      </c>
    </row>
    <row r="40" ht="12.75" customHeight="1">
      <c r="A40" s="33"/>
      <c r="C40" s="27"/>
      <c r="D40" s="19" t="s">
        <v>13</v>
      </c>
      <c r="E40" s="82">
        <v>0.0</v>
      </c>
      <c r="F40" s="82">
        <v>0.0</v>
      </c>
      <c r="G40" s="82">
        <v>0.0</v>
      </c>
      <c r="H40" s="82">
        <v>0.0</v>
      </c>
      <c r="I40" s="82">
        <v>1.0</v>
      </c>
      <c r="J40" s="82">
        <v>0.0</v>
      </c>
      <c r="K40" s="82">
        <v>0.0</v>
      </c>
      <c r="L40" s="82">
        <v>0.0</v>
      </c>
      <c r="M40" s="82">
        <v>0.0</v>
      </c>
      <c r="N40" s="82">
        <v>0.0</v>
      </c>
      <c r="O40" s="82">
        <v>0.0</v>
      </c>
      <c r="P40" s="82">
        <v>0.0</v>
      </c>
      <c r="Q40" s="82">
        <v>0.0</v>
      </c>
      <c r="R40" s="82">
        <v>4.0</v>
      </c>
      <c r="S40" s="82">
        <v>0.0</v>
      </c>
      <c r="T40" s="82">
        <v>0.0</v>
      </c>
      <c r="U40" s="82">
        <v>0.0</v>
      </c>
      <c r="V40" s="82">
        <v>0.0</v>
      </c>
      <c r="W40" s="82">
        <v>0.0</v>
      </c>
      <c r="X40" s="82">
        <v>0.0</v>
      </c>
      <c r="Y40" s="82">
        <v>0.0</v>
      </c>
      <c r="Z40" s="82">
        <v>0.0</v>
      </c>
      <c r="AA40" s="82">
        <v>1.0</v>
      </c>
      <c r="AB40" s="82">
        <v>0.0</v>
      </c>
      <c r="AC40" s="82">
        <v>0.0</v>
      </c>
      <c r="AD40" s="82">
        <v>0.0</v>
      </c>
      <c r="AE40" s="82">
        <v>0.0</v>
      </c>
      <c r="AF40" s="82">
        <v>0.0</v>
      </c>
      <c r="AG40" s="82">
        <v>1.0</v>
      </c>
      <c r="AH40" s="82">
        <v>3.0</v>
      </c>
      <c r="AI40" s="82">
        <v>0.0</v>
      </c>
      <c r="AJ40" s="82">
        <v>0.0</v>
      </c>
      <c r="AK40" s="13">
        <f t="shared" si="6"/>
        <v>10</v>
      </c>
    </row>
    <row r="41" ht="12.75" customHeight="1">
      <c r="A41" s="41"/>
      <c r="B41" s="44"/>
      <c r="C41" s="28"/>
      <c r="D41" s="13" t="s">
        <v>14</v>
      </c>
      <c r="E41" s="13">
        <f t="shared" ref="E41:AJ41" si="7">SUM(E39:E40)</f>
        <v>1</v>
      </c>
      <c r="F41" s="13">
        <f t="shared" si="7"/>
        <v>0</v>
      </c>
      <c r="G41" s="13">
        <f t="shared" si="7"/>
        <v>0</v>
      </c>
      <c r="H41" s="13">
        <f t="shared" si="7"/>
        <v>0</v>
      </c>
      <c r="I41" s="13">
        <f t="shared" si="7"/>
        <v>1</v>
      </c>
      <c r="J41" s="13">
        <f t="shared" si="7"/>
        <v>0</v>
      </c>
      <c r="K41" s="13">
        <f t="shared" si="7"/>
        <v>0</v>
      </c>
      <c r="L41" s="13">
        <f t="shared" si="7"/>
        <v>0</v>
      </c>
      <c r="M41" s="13">
        <f t="shared" si="7"/>
        <v>0</v>
      </c>
      <c r="N41" s="13">
        <f t="shared" si="7"/>
        <v>0</v>
      </c>
      <c r="O41" s="13">
        <f t="shared" si="7"/>
        <v>0</v>
      </c>
      <c r="P41" s="13">
        <f t="shared" si="7"/>
        <v>0</v>
      </c>
      <c r="Q41" s="13">
        <f t="shared" si="7"/>
        <v>0</v>
      </c>
      <c r="R41" s="13">
        <f t="shared" si="7"/>
        <v>4</v>
      </c>
      <c r="S41" s="13">
        <f t="shared" si="7"/>
        <v>1</v>
      </c>
      <c r="T41" s="13">
        <f t="shared" si="7"/>
        <v>0</v>
      </c>
      <c r="U41" s="13">
        <f t="shared" si="7"/>
        <v>2</v>
      </c>
      <c r="V41" s="13">
        <f t="shared" si="7"/>
        <v>0</v>
      </c>
      <c r="W41" s="13">
        <f t="shared" si="7"/>
        <v>0</v>
      </c>
      <c r="X41" s="13">
        <f t="shared" si="7"/>
        <v>1</v>
      </c>
      <c r="Y41" s="13">
        <f t="shared" si="7"/>
        <v>0</v>
      </c>
      <c r="Z41" s="13">
        <f t="shared" si="7"/>
        <v>0</v>
      </c>
      <c r="AA41" s="13">
        <f t="shared" si="7"/>
        <v>1</v>
      </c>
      <c r="AB41" s="13">
        <f t="shared" si="7"/>
        <v>0</v>
      </c>
      <c r="AC41" s="13">
        <f t="shared" si="7"/>
        <v>0</v>
      </c>
      <c r="AD41" s="13">
        <f t="shared" si="7"/>
        <v>0</v>
      </c>
      <c r="AE41" s="13">
        <f t="shared" si="7"/>
        <v>0</v>
      </c>
      <c r="AF41" s="13">
        <f t="shared" si="7"/>
        <v>2</v>
      </c>
      <c r="AG41" s="13">
        <f t="shared" si="7"/>
        <v>2</v>
      </c>
      <c r="AH41" s="13">
        <f t="shared" si="7"/>
        <v>8</v>
      </c>
      <c r="AI41" s="13">
        <f t="shared" si="7"/>
        <v>1</v>
      </c>
      <c r="AJ41" s="13">
        <f t="shared" si="7"/>
        <v>0</v>
      </c>
      <c r="AK41" s="13">
        <f t="shared" si="6"/>
        <v>24</v>
      </c>
    </row>
    <row r="42" ht="12.75" customHeight="1">
      <c r="A42" s="45"/>
      <c r="B42" s="44"/>
      <c r="C42" s="44"/>
      <c r="D42" s="28"/>
      <c r="E42" s="24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6"/>
      <c r="X42" s="19"/>
      <c r="Y42" s="19"/>
      <c r="Z42" s="19"/>
      <c r="AA42" s="19"/>
      <c r="AB42" s="67"/>
      <c r="AC42" s="19"/>
      <c r="AD42" s="67"/>
      <c r="AE42" s="19"/>
      <c r="AF42" s="67"/>
      <c r="AG42" s="19"/>
      <c r="AH42" s="67"/>
      <c r="AI42" s="19"/>
      <c r="AJ42" s="67"/>
      <c r="AK42" s="13"/>
    </row>
    <row r="43" ht="12.75" customHeight="1">
      <c r="A43" s="42" t="s">
        <v>34</v>
      </c>
      <c r="B43" s="14" t="s">
        <v>35</v>
      </c>
      <c r="C43" s="15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13"/>
    </row>
    <row r="44" ht="12.75" customHeight="1">
      <c r="A44" s="43" t="s">
        <v>36</v>
      </c>
      <c r="B44" s="46"/>
      <c r="C44" s="46"/>
      <c r="D44" s="23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13"/>
    </row>
    <row r="45" ht="12.75" customHeight="1">
      <c r="A45" s="30" t="s">
        <v>37</v>
      </c>
      <c r="B45" s="47" t="s">
        <v>17</v>
      </c>
      <c r="C45" s="48" t="s">
        <v>38</v>
      </c>
      <c r="D45" s="16"/>
      <c r="E45" s="66">
        <v>34.0</v>
      </c>
      <c r="F45" s="66">
        <v>12.0</v>
      </c>
      <c r="G45" s="66">
        <v>30.0</v>
      </c>
      <c r="H45" s="66">
        <v>17.0</v>
      </c>
      <c r="I45" s="66">
        <v>15.0</v>
      </c>
      <c r="J45" s="66">
        <v>17.0</v>
      </c>
      <c r="K45" s="66">
        <v>12.0</v>
      </c>
      <c r="L45" s="66">
        <v>28.0</v>
      </c>
      <c r="M45" s="66">
        <v>33.0</v>
      </c>
      <c r="N45" s="66">
        <v>29.0</v>
      </c>
      <c r="O45" s="66">
        <v>14.0</v>
      </c>
      <c r="P45" s="66">
        <v>12.0</v>
      </c>
      <c r="Q45" s="66">
        <v>10.0</v>
      </c>
      <c r="R45" s="66">
        <v>12.0</v>
      </c>
      <c r="S45" s="66">
        <v>15.0</v>
      </c>
      <c r="T45" s="66">
        <v>12.0</v>
      </c>
      <c r="U45" s="66">
        <v>9.0</v>
      </c>
      <c r="V45" s="66">
        <v>0.0</v>
      </c>
      <c r="W45" s="66">
        <v>0.0</v>
      </c>
      <c r="X45" s="66">
        <v>3.0</v>
      </c>
      <c r="Y45" s="66">
        <v>9.0</v>
      </c>
      <c r="Z45" s="66">
        <v>14.0</v>
      </c>
      <c r="AA45" s="66">
        <v>12.0</v>
      </c>
      <c r="AB45" s="66">
        <v>7.0</v>
      </c>
      <c r="AC45" s="66">
        <v>7.0</v>
      </c>
      <c r="AD45" s="66">
        <v>14.0</v>
      </c>
      <c r="AE45" s="66">
        <v>8.0</v>
      </c>
      <c r="AF45" s="66">
        <v>7.0</v>
      </c>
      <c r="AG45" s="66">
        <v>6.0</v>
      </c>
      <c r="AH45" s="66">
        <v>14.0</v>
      </c>
      <c r="AI45" s="66">
        <v>20.0</v>
      </c>
      <c r="AJ45" s="66">
        <v>9.0</v>
      </c>
      <c r="AK45" s="13">
        <f t="shared" ref="AK45:AK192" si="8">SUM(E45:AJ45)</f>
        <v>441</v>
      </c>
    </row>
    <row r="46" ht="12.75" customHeight="1">
      <c r="A46" s="30" t="s">
        <v>39</v>
      </c>
      <c r="B46" s="49"/>
      <c r="C46" s="50" t="s">
        <v>40</v>
      </c>
      <c r="D46" s="51"/>
      <c r="E46" s="66">
        <v>136.0</v>
      </c>
      <c r="F46" s="66">
        <v>163.0</v>
      </c>
      <c r="G46" s="66">
        <v>158.0</v>
      </c>
      <c r="H46" s="66">
        <v>189.0</v>
      </c>
      <c r="I46" s="66">
        <v>183.0</v>
      </c>
      <c r="J46" s="66">
        <v>96.0</v>
      </c>
      <c r="K46" s="66">
        <v>127.0</v>
      </c>
      <c r="L46" s="66">
        <v>126.0</v>
      </c>
      <c r="M46" s="66">
        <v>123.0</v>
      </c>
      <c r="N46" s="66">
        <v>126.0</v>
      </c>
      <c r="O46" s="66">
        <v>91.0</v>
      </c>
      <c r="P46" s="66">
        <v>76.0</v>
      </c>
      <c r="Q46" s="66">
        <v>72.0</v>
      </c>
      <c r="R46" s="66">
        <v>85.0</v>
      </c>
      <c r="S46" s="66">
        <v>141.0</v>
      </c>
      <c r="T46" s="66">
        <v>120.0</v>
      </c>
      <c r="U46" s="66">
        <v>111.0</v>
      </c>
      <c r="V46" s="66">
        <v>9.0</v>
      </c>
      <c r="W46" s="66">
        <v>4.0</v>
      </c>
      <c r="X46" s="66">
        <v>42.0</v>
      </c>
      <c r="Y46" s="66">
        <v>33.0</v>
      </c>
      <c r="Z46" s="66">
        <v>73.0</v>
      </c>
      <c r="AA46" s="66">
        <v>48.0</v>
      </c>
      <c r="AB46" s="66">
        <v>55.0</v>
      </c>
      <c r="AC46" s="66">
        <v>105.0</v>
      </c>
      <c r="AD46" s="66">
        <v>143.0</v>
      </c>
      <c r="AE46" s="66">
        <v>53.0</v>
      </c>
      <c r="AF46" s="66">
        <v>56.0</v>
      </c>
      <c r="AG46" s="66">
        <v>69.0</v>
      </c>
      <c r="AH46" s="66">
        <v>83.0</v>
      </c>
      <c r="AI46" s="66">
        <v>26.0</v>
      </c>
      <c r="AJ46" s="66">
        <v>71.0</v>
      </c>
      <c r="AK46" s="13">
        <f t="shared" si="8"/>
        <v>2993</v>
      </c>
    </row>
    <row r="47" ht="12.75" customHeight="1">
      <c r="A47" s="18"/>
      <c r="B47" s="49"/>
      <c r="C47" s="50" t="s">
        <v>41</v>
      </c>
      <c r="D47" s="51"/>
      <c r="E47" s="66">
        <v>3.0</v>
      </c>
      <c r="F47" s="66">
        <v>1.0</v>
      </c>
      <c r="G47" s="66">
        <v>3.0</v>
      </c>
      <c r="H47" s="66">
        <v>1.0</v>
      </c>
      <c r="I47" s="66">
        <v>1.0</v>
      </c>
      <c r="J47" s="66">
        <v>0.0</v>
      </c>
      <c r="K47" s="66">
        <v>0.0</v>
      </c>
      <c r="L47" s="66">
        <v>0.0</v>
      </c>
      <c r="M47" s="66">
        <v>1.0</v>
      </c>
      <c r="N47" s="66">
        <v>1.0</v>
      </c>
      <c r="O47" s="66">
        <v>0.0</v>
      </c>
      <c r="P47" s="66">
        <v>1.0</v>
      </c>
      <c r="Q47" s="66">
        <v>2.0</v>
      </c>
      <c r="R47" s="66">
        <v>6.0</v>
      </c>
      <c r="S47" s="66">
        <v>0.0</v>
      </c>
      <c r="T47" s="66">
        <v>4.0</v>
      </c>
      <c r="U47" s="66">
        <v>0.0</v>
      </c>
      <c r="V47" s="66">
        <v>0.0</v>
      </c>
      <c r="W47" s="66">
        <v>0.0</v>
      </c>
      <c r="X47" s="66">
        <v>0.0</v>
      </c>
      <c r="Y47" s="66">
        <v>1.0</v>
      </c>
      <c r="Z47" s="66">
        <v>0.0</v>
      </c>
      <c r="AA47" s="66">
        <v>0.0</v>
      </c>
      <c r="AB47" s="66">
        <v>0.0</v>
      </c>
      <c r="AC47" s="66">
        <v>0.0</v>
      </c>
      <c r="AD47" s="66">
        <v>0.0</v>
      </c>
      <c r="AE47" s="66">
        <v>0.0</v>
      </c>
      <c r="AF47" s="66">
        <v>0.0</v>
      </c>
      <c r="AG47" s="66">
        <v>1.0</v>
      </c>
      <c r="AH47" s="66">
        <v>0.0</v>
      </c>
      <c r="AI47" s="66">
        <v>0.0</v>
      </c>
      <c r="AJ47" s="66">
        <v>0.0</v>
      </c>
      <c r="AK47" s="13">
        <f t="shared" si="8"/>
        <v>26</v>
      </c>
    </row>
    <row r="48" ht="12.75" customHeight="1">
      <c r="A48" s="18"/>
      <c r="B48" s="49"/>
      <c r="C48" s="50" t="s">
        <v>42</v>
      </c>
      <c r="D48" s="51"/>
      <c r="E48" s="66">
        <v>0.0</v>
      </c>
      <c r="F48" s="66">
        <v>0.0</v>
      </c>
      <c r="G48" s="66">
        <v>2.0</v>
      </c>
      <c r="H48" s="66">
        <v>1.0</v>
      </c>
      <c r="I48" s="66">
        <v>0.0</v>
      </c>
      <c r="J48" s="66">
        <v>0.0</v>
      </c>
      <c r="K48" s="66">
        <v>0.0</v>
      </c>
      <c r="L48" s="66">
        <v>1.0</v>
      </c>
      <c r="M48" s="66">
        <v>0.0</v>
      </c>
      <c r="N48" s="66">
        <v>1.0</v>
      </c>
      <c r="O48" s="66">
        <v>0.0</v>
      </c>
      <c r="P48" s="66">
        <v>0.0</v>
      </c>
      <c r="Q48" s="66">
        <v>1.0</v>
      </c>
      <c r="R48" s="66">
        <v>1.0</v>
      </c>
      <c r="S48" s="66">
        <v>0.0</v>
      </c>
      <c r="T48" s="66">
        <v>1.0</v>
      </c>
      <c r="U48" s="66">
        <v>0.0</v>
      </c>
      <c r="V48" s="66">
        <v>0.0</v>
      </c>
      <c r="W48" s="66">
        <v>0.0</v>
      </c>
      <c r="X48" s="66">
        <v>0.0</v>
      </c>
      <c r="Y48" s="66">
        <v>0.0</v>
      </c>
      <c r="Z48" s="66">
        <v>1.0</v>
      </c>
      <c r="AA48" s="66">
        <v>2.0</v>
      </c>
      <c r="AB48" s="66">
        <v>0.0</v>
      </c>
      <c r="AC48" s="66">
        <v>0.0</v>
      </c>
      <c r="AD48" s="66">
        <v>1.0</v>
      </c>
      <c r="AE48" s="66">
        <v>0.0</v>
      </c>
      <c r="AF48" s="66">
        <v>0.0</v>
      </c>
      <c r="AG48" s="66">
        <v>0.0</v>
      </c>
      <c r="AH48" s="66">
        <v>0.0</v>
      </c>
      <c r="AI48" s="66">
        <v>0.0</v>
      </c>
      <c r="AJ48" s="66">
        <v>0.0</v>
      </c>
      <c r="AK48" s="13">
        <f t="shared" si="8"/>
        <v>12</v>
      </c>
    </row>
    <row r="49" ht="12.75" customHeight="1">
      <c r="A49" s="18"/>
      <c r="B49" s="49"/>
      <c r="C49" s="50" t="s">
        <v>43</v>
      </c>
      <c r="D49" s="51"/>
      <c r="E49" s="66">
        <v>0.0</v>
      </c>
      <c r="F49" s="66">
        <v>0.0</v>
      </c>
      <c r="G49" s="66">
        <v>0.0</v>
      </c>
      <c r="H49" s="66">
        <v>0.0</v>
      </c>
      <c r="I49" s="66">
        <v>0.0</v>
      </c>
      <c r="J49" s="66">
        <v>0.0</v>
      </c>
      <c r="K49" s="66">
        <v>0.0</v>
      </c>
      <c r="L49" s="66">
        <v>0.0</v>
      </c>
      <c r="M49" s="66">
        <v>0.0</v>
      </c>
      <c r="N49" s="66">
        <v>0.0</v>
      </c>
      <c r="O49" s="66">
        <v>0.0</v>
      </c>
      <c r="P49" s="66">
        <v>1.0</v>
      </c>
      <c r="Q49" s="66">
        <v>0.0</v>
      </c>
      <c r="R49" s="66">
        <v>0.0</v>
      </c>
      <c r="S49" s="66">
        <v>0.0</v>
      </c>
      <c r="T49" s="66">
        <v>0.0</v>
      </c>
      <c r="U49" s="66">
        <v>1.0</v>
      </c>
      <c r="V49" s="66">
        <v>0.0</v>
      </c>
      <c r="W49" s="66">
        <v>0.0</v>
      </c>
      <c r="X49" s="66">
        <v>0.0</v>
      </c>
      <c r="Y49" s="66">
        <v>0.0</v>
      </c>
      <c r="Z49" s="66">
        <v>0.0</v>
      </c>
      <c r="AA49" s="66">
        <v>0.0</v>
      </c>
      <c r="AB49" s="66">
        <v>0.0</v>
      </c>
      <c r="AC49" s="66">
        <v>0.0</v>
      </c>
      <c r="AD49" s="66">
        <v>0.0</v>
      </c>
      <c r="AE49" s="66">
        <v>0.0</v>
      </c>
      <c r="AF49" s="66">
        <v>0.0</v>
      </c>
      <c r="AG49" s="66">
        <v>0.0</v>
      </c>
      <c r="AH49" s="19"/>
      <c r="AI49" s="66">
        <v>0.0</v>
      </c>
      <c r="AJ49" s="66">
        <v>0.0</v>
      </c>
      <c r="AK49" s="13">
        <f t="shared" si="8"/>
        <v>2</v>
      </c>
    </row>
    <row r="50" ht="12.75" customHeight="1">
      <c r="A50" s="18"/>
      <c r="B50" s="49"/>
      <c r="C50" s="50" t="s">
        <v>44</v>
      </c>
      <c r="D50" s="51"/>
      <c r="E50" s="66">
        <v>0.0</v>
      </c>
      <c r="F50" s="66">
        <v>0.0</v>
      </c>
      <c r="G50" s="66">
        <v>0.0</v>
      </c>
      <c r="H50" s="66">
        <v>0.0</v>
      </c>
      <c r="I50" s="66">
        <v>0.0</v>
      </c>
      <c r="J50" s="66">
        <v>0.0</v>
      </c>
      <c r="K50" s="66">
        <v>0.0</v>
      </c>
      <c r="L50" s="66">
        <v>0.0</v>
      </c>
      <c r="M50" s="66">
        <v>0.0</v>
      </c>
      <c r="N50" s="66">
        <v>0.0</v>
      </c>
      <c r="O50" s="66">
        <v>1.0</v>
      </c>
      <c r="P50" s="66">
        <v>0.0</v>
      </c>
      <c r="Q50" s="66">
        <v>0.0</v>
      </c>
      <c r="R50" s="66">
        <v>0.0</v>
      </c>
      <c r="S50" s="66">
        <v>0.0</v>
      </c>
      <c r="T50" s="66">
        <v>0.0</v>
      </c>
      <c r="U50" s="66">
        <v>0.0</v>
      </c>
      <c r="V50" s="66">
        <v>0.0</v>
      </c>
      <c r="W50" s="66">
        <v>0.0</v>
      </c>
      <c r="X50" s="66">
        <v>0.0</v>
      </c>
      <c r="Y50" s="66">
        <v>0.0</v>
      </c>
      <c r="Z50" s="66">
        <v>0.0</v>
      </c>
      <c r="AA50" s="66">
        <v>0.0</v>
      </c>
      <c r="AB50" s="66">
        <v>0.0</v>
      </c>
      <c r="AC50" s="66">
        <v>0.0</v>
      </c>
      <c r="AD50" s="66">
        <v>2.0</v>
      </c>
      <c r="AE50" s="66">
        <v>0.0</v>
      </c>
      <c r="AF50" s="66">
        <v>0.0</v>
      </c>
      <c r="AG50" s="66">
        <v>0.0</v>
      </c>
      <c r="AH50" s="19"/>
      <c r="AI50" s="66">
        <v>0.0</v>
      </c>
      <c r="AJ50" s="66">
        <v>0.0</v>
      </c>
      <c r="AK50" s="13">
        <f t="shared" si="8"/>
        <v>3</v>
      </c>
    </row>
    <row r="51" ht="12.75" customHeight="1">
      <c r="A51" s="18"/>
      <c r="B51" s="49"/>
      <c r="C51" s="50" t="s">
        <v>45</v>
      </c>
      <c r="D51" s="51"/>
      <c r="E51" s="66">
        <v>0.0</v>
      </c>
      <c r="F51" s="66">
        <v>0.0</v>
      </c>
      <c r="G51" s="66">
        <v>0.0</v>
      </c>
      <c r="H51" s="66">
        <v>0.0</v>
      </c>
      <c r="I51" s="66">
        <v>0.0</v>
      </c>
      <c r="J51" s="66">
        <v>0.0</v>
      </c>
      <c r="K51" s="66">
        <v>0.0</v>
      </c>
      <c r="L51" s="66">
        <v>0.0</v>
      </c>
      <c r="M51" s="66">
        <v>0.0</v>
      </c>
      <c r="N51" s="66">
        <v>0.0</v>
      </c>
      <c r="O51" s="66">
        <v>0.0</v>
      </c>
      <c r="P51" s="66">
        <v>1.0</v>
      </c>
      <c r="Q51" s="66">
        <v>0.0</v>
      </c>
      <c r="R51" s="66">
        <v>1.0</v>
      </c>
      <c r="S51" s="66">
        <v>0.0</v>
      </c>
      <c r="T51" s="66">
        <v>0.0</v>
      </c>
      <c r="U51" s="66">
        <v>0.0</v>
      </c>
      <c r="V51" s="66">
        <v>1.0</v>
      </c>
      <c r="W51" s="66">
        <v>0.0</v>
      </c>
      <c r="X51" s="66">
        <v>0.0</v>
      </c>
      <c r="Y51" s="66">
        <v>0.0</v>
      </c>
      <c r="Z51" s="66">
        <v>0.0</v>
      </c>
      <c r="AA51" s="66">
        <v>1.0</v>
      </c>
      <c r="AB51" s="66">
        <v>0.0</v>
      </c>
      <c r="AC51" s="66">
        <v>0.0</v>
      </c>
      <c r="AD51" s="66">
        <v>0.0</v>
      </c>
      <c r="AE51" s="66">
        <v>0.0</v>
      </c>
      <c r="AF51" s="66">
        <v>0.0</v>
      </c>
      <c r="AG51" s="66">
        <v>0.0</v>
      </c>
      <c r="AH51" s="19"/>
      <c r="AI51" s="66">
        <v>0.0</v>
      </c>
      <c r="AJ51" s="66">
        <v>0.0</v>
      </c>
      <c r="AK51" s="13">
        <f t="shared" si="8"/>
        <v>4</v>
      </c>
    </row>
    <row r="52" ht="12.75" customHeight="1">
      <c r="A52" s="19" t="s">
        <v>15</v>
      </c>
      <c r="B52" s="47" t="s">
        <v>46</v>
      </c>
      <c r="C52" s="15"/>
      <c r="D52" s="16"/>
      <c r="E52" s="13">
        <f t="shared" ref="E52:AJ52" si="9">SUM(E45:E51)</f>
        <v>173</v>
      </c>
      <c r="F52" s="13">
        <f t="shared" si="9"/>
        <v>176</v>
      </c>
      <c r="G52" s="13">
        <f t="shared" si="9"/>
        <v>193</v>
      </c>
      <c r="H52" s="13">
        <f t="shared" si="9"/>
        <v>208</v>
      </c>
      <c r="I52" s="13">
        <f t="shared" si="9"/>
        <v>199</v>
      </c>
      <c r="J52" s="13">
        <f t="shared" si="9"/>
        <v>113</v>
      </c>
      <c r="K52" s="13">
        <f t="shared" si="9"/>
        <v>139</v>
      </c>
      <c r="L52" s="13">
        <f t="shared" si="9"/>
        <v>155</v>
      </c>
      <c r="M52" s="13">
        <f t="shared" si="9"/>
        <v>157</v>
      </c>
      <c r="N52" s="13">
        <f t="shared" si="9"/>
        <v>157</v>
      </c>
      <c r="O52" s="13">
        <f t="shared" si="9"/>
        <v>106</v>
      </c>
      <c r="P52" s="13">
        <f t="shared" si="9"/>
        <v>91</v>
      </c>
      <c r="Q52" s="13">
        <f t="shared" si="9"/>
        <v>85</v>
      </c>
      <c r="R52" s="13">
        <f t="shared" si="9"/>
        <v>105</v>
      </c>
      <c r="S52" s="13">
        <f t="shared" si="9"/>
        <v>156</v>
      </c>
      <c r="T52" s="13">
        <f t="shared" si="9"/>
        <v>137</v>
      </c>
      <c r="U52" s="13">
        <f t="shared" si="9"/>
        <v>121</v>
      </c>
      <c r="V52" s="13">
        <f t="shared" si="9"/>
        <v>10</v>
      </c>
      <c r="W52" s="13">
        <f t="shared" si="9"/>
        <v>4</v>
      </c>
      <c r="X52" s="13">
        <f t="shared" si="9"/>
        <v>45</v>
      </c>
      <c r="Y52" s="13">
        <f t="shared" si="9"/>
        <v>43</v>
      </c>
      <c r="Z52" s="13">
        <f t="shared" si="9"/>
        <v>88</v>
      </c>
      <c r="AA52" s="13">
        <f t="shared" si="9"/>
        <v>63</v>
      </c>
      <c r="AB52" s="13">
        <f t="shared" si="9"/>
        <v>62</v>
      </c>
      <c r="AC52" s="13">
        <f t="shared" si="9"/>
        <v>112</v>
      </c>
      <c r="AD52" s="13">
        <f t="shared" si="9"/>
        <v>160</v>
      </c>
      <c r="AE52" s="13">
        <f t="shared" si="9"/>
        <v>61</v>
      </c>
      <c r="AF52" s="13">
        <f t="shared" si="9"/>
        <v>63</v>
      </c>
      <c r="AG52" s="13">
        <f t="shared" si="9"/>
        <v>76</v>
      </c>
      <c r="AH52" s="13">
        <f t="shared" si="9"/>
        <v>97</v>
      </c>
      <c r="AI52" s="13">
        <f t="shared" si="9"/>
        <v>46</v>
      </c>
      <c r="AJ52" s="13">
        <f t="shared" si="9"/>
        <v>80</v>
      </c>
      <c r="AK52" s="13">
        <f t="shared" si="8"/>
        <v>3481</v>
      </c>
    </row>
    <row r="53" ht="12.75" customHeight="1">
      <c r="A53" s="56"/>
      <c r="B53" s="57"/>
      <c r="C53" s="57"/>
      <c r="D53" s="57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13">
        <f t="shared" si="8"/>
        <v>0</v>
      </c>
    </row>
    <row r="54" ht="12.75" customHeight="1">
      <c r="A54" s="30" t="s">
        <v>37</v>
      </c>
      <c r="B54" s="47" t="s">
        <v>19</v>
      </c>
      <c r="C54" s="48" t="s">
        <v>47</v>
      </c>
      <c r="D54" s="16"/>
      <c r="E54" s="66">
        <v>7.0</v>
      </c>
      <c r="F54" s="66">
        <v>0.0</v>
      </c>
      <c r="G54" s="66">
        <v>2.0</v>
      </c>
      <c r="H54" s="66">
        <v>0.0</v>
      </c>
      <c r="I54" s="66">
        <v>3.0</v>
      </c>
      <c r="J54" s="66">
        <v>2.0</v>
      </c>
      <c r="K54" s="66">
        <v>2.0</v>
      </c>
      <c r="L54" s="66">
        <v>8.0</v>
      </c>
      <c r="M54" s="66">
        <v>3.0</v>
      </c>
      <c r="N54" s="66">
        <v>1.0</v>
      </c>
      <c r="O54" s="66">
        <v>3.0</v>
      </c>
      <c r="P54" s="66">
        <v>5.0</v>
      </c>
      <c r="Q54" s="66">
        <v>8.0</v>
      </c>
      <c r="R54" s="66">
        <v>4.0</v>
      </c>
      <c r="S54" s="66">
        <v>2.0</v>
      </c>
      <c r="T54" s="66">
        <v>3.0</v>
      </c>
      <c r="U54" s="66">
        <v>3.0</v>
      </c>
      <c r="V54" s="66">
        <v>0.0</v>
      </c>
      <c r="W54" s="66">
        <v>1.0</v>
      </c>
      <c r="X54" s="66">
        <v>0.0</v>
      </c>
      <c r="Y54" s="66">
        <v>8.0</v>
      </c>
      <c r="Z54" s="66">
        <v>2.0</v>
      </c>
      <c r="AA54" s="66">
        <v>6.0</v>
      </c>
      <c r="AB54" s="66">
        <v>0.0</v>
      </c>
      <c r="AC54" s="66">
        <v>0.0</v>
      </c>
      <c r="AD54" s="66">
        <v>3.0</v>
      </c>
      <c r="AE54" s="66">
        <v>2.0</v>
      </c>
      <c r="AF54" s="66">
        <v>1.0</v>
      </c>
      <c r="AG54" s="66">
        <v>2.0</v>
      </c>
      <c r="AH54" s="66">
        <v>7.0</v>
      </c>
      <c r="AI54" s="66">
        <v>7.0</v>
      </c>
      <c r="AJ54" s="66">
        <v>3.0</v>
      </c>
      <c r="AK54" s="13">
        <f t="shared" si="8"/>
        <v>98</v>
      </c>
    </row>
    <row r="55" ht="12.75" customHeight="1">
      <c r="A55" s="30" t="s">
        <v>39</v>
      </c>
      <c r="B55" s="49"/>
      <c r="C55" s="50" t="s">
        <v>48</v>
      </c>
      <c r="D55" s="51"/>
      <c r="E55" s="66">
        <v>0.0</v>
      </c>
      <c r="F55" s="66">
        <v>0.0</v>
      </c>
      <c r="G55" s="66">
        <v>0.0</v>
      </c>
      <c r="H55" s="66">
        <v>0.0</v>
      </c>
      <c r="I55" s="66">
        <v>0.0</v>
      </c>
      <c r="J55" s="66">
        <v>0.0</v>
      </c>
      <c r="K55" s="66">
        <v>1.0</v>
      </c>
      <c r="L55" s="66">
        <v>0.0</v>
      </c>
      <c r="M55" s="66">
        <v>0.0</v>
      </c>
      <c r="N55" s="66">
        <v>3.0</v>
      </c>
      <c r="O55" s="66">
        <v>1.0</v>
      </c>
      <c r="P55" s="66">
        <v>3.0</v>
      </c>
      <c r="Q55" s="66">
        <v>0.0</v>
      </c>
      <c r="R55" s="66">
        <v>2.0</v>
      </c>
      <c r="S55" s="66">
        <v>3.0</v>
      </c>
      <c r="T55" s="66">
        <v>2.0</v>
      </c>
      <c r="U55" s="66">
        <v>2.0</v>
      </c>
      <c r="V55" s="66">
        <v>0.0</v>
      </c>
      <c r="W55" s="66">
        <v>0.0</v>
      </c>
      <c r="X55" s="66">
        <v>0.0</v>
      </c>
      <c r="Y55" s="66">
        <v>0.0</v>
      </c>
      <c r="Z55" s="66">
        <v>1.0</v>
      </c>
      <c r="AA55" s="66">
        <v>0.0</v>
      </c>
      <c r="AB55" s="66">
        <v>0.0</v>
      </c>
      <c r="AC55" s="66">
        <v>0.0</v>
      </c>
      <c r="AD55" s="66">
        <v>0.0</v>
      </c>
      <c r="AE55" s="66">
        <v>3.0</v>
      </c>
      <c r="AF55" s="66">
        <v>0.0</v>
      </c>
      <c r="AG55" s="66">
        <v>4.0</v>
      </c>
      <c r="AH55" s="66">
        <v>1.0</v>
      </c>
      <c r="AI55" s="66">
        <v>1.0</v>
      </c>
      <c r="AJ55" s="66">
        <v>1.0</v>
      </c>
      <c r="AK55" s="13">
        <f t="shared" si="8"/>
        <v>28</v>
      </c>
    </row>
    <row r="56" ht="12.75" customHeight="1">
      <c r="A56" s="18"/>
      <c r="B56" s="49"/>
      <c r="C56" s="50" t="s">
        <v>49</v>
      </c>
      <c r="D56" s="51"/>
      <c r="E56" s="66">
        <v>0.0</v>
      </c>
      <c r="F56" s="66">
        <v>0.0</v>
      </c>
      <c r="G56" s="66">
        <v>0.0</v>
      </c>
      <c r="H56" s="66">
        <v>0.0</v>
      </c>
      <c r="I56" s="66">
        <v>0.0</v>
      </c>
      <c r="J56" s="66">
        <v>1.0</v>
      </c>
      <c r="K56" s="66">
        <v>0.0</v>
      </c>
      <c r="L56" s="66">
        <v>0.0</v>
      </c>
      <c r="M56" s="66">
        <v>0.0</v>
      </c>
      <c r="N56" s="66">
        <v>1.0</v>
      </c>
      <c r="O56" s="66">
        <v>0.0</v>
      </c>
      <c r="P56" s="66">
        <v>0.0</v>
      </c>
      <c r="Q56" s="66">
        <v>0.0</v>
      </c>
      <c r="R56" s="66">
        <v>0.0</v>
      </c>
      <c r="S56" s="66">
        <v>1.0</v>
      </c>
      <c r="T56" s="66">
        <v>2.0</v>
      </c>
      <c r="U56" s="66">
        <v>0.0</v>
      </c>
      <c r="V56" s="66">
        <v>1.0</v>
      </c>
      <c r="W56" s="66">
        <v>0.0</v>
      </c>
      <c r="X56" s="66">
        <v>0.0</v>
      </c>
      <c r="Y56" s="66">
        <v>1.0</v>
      </c>
      <c r="Z56" s="66">
        <v>0.0</v>
      </c>
      <c r="AA56" s="66">
        <v>1.0</v>
      </c>
      <c r="AB56" s="66">
        <v>0.0</v>
      </c>
      <c r="AC56" s="66">
        <v>1.0</v>
      </c>
      <c r="AD56" s="66">
        <v>0.0</v>
      </c>
      <c r="AE56" s="66">
        <v>0.0</v>
      </c>
      <c r="AF56" s="66">
        <v>0.0</v>
      </c>
      <c r="AG56" s="66">
        <v>0.0</v>
      </c>
      <c r="AH56" s="66">
        <v>1.0</v>
      </c>
      <c r="AI56" s="66">
        <v>1.0</v>
      </c>
      <c r="AJ56" s="66">
        <v>0.0</v>
      </c>
      <c r="AK56" s="13">
        <f t="shared" si="8"/>
        <v>11</v>
      </c>
    </row>
    <row r="57" ht="12.75" customHeight="1">
      <c r="A57" s="18"/>
      <c r="B57" s="49"/>
      <c r="C57" s="50" t="s">
        <v>50</v>
      </c>
      <c r="D57" s="51"/>
      <c r="E57" s="66">
        <v>1.0</v>
      </c>
      <c r="F57" s="66">
        <v>1.0</v>
      </c>
      <c r="G57" s="66">
        <v>0.0</v>
      </c>
      <c r="H57" s="66">
        <v>1.0</v>
      </c>
      <c r="I57" s="66">
        <v>0.0</v>
      </c>
      <c r="J57" s="66">
        <v>1.0</v>
      </c>
      <c r="K57" s="66">
        <v>0.0</v>
      </c>
      <c r="L57" s="66">
        <v>0.0</v>
      </c>
      <c r="M57" s="66">
        <v>2.0</v>
      </c>
      <c r="N57" s="66">
        <v>0.0</v>
      </c>
      <c r="O57" s="66">
        <v>0.0</v>
      </c>
      <c r="P57" s="66">
        <v>0.0</v>
      </c>
      <c r="Q57" s="66">
        <v>0.0</v>
      </c>
      <c r="R57" s="66">
        <v>1.0</v>
      </c>
      <c r="S57" s="66">
        <v>0.0</v>
      </c>
      <c r="T57" s="66">
        <v>0.0</v>
      </c>
      <c r="U57" s="66">
        <v>2.0</v>
      </c>
      <c r="V57" s="66">
        <v>0.0</v>
      </c>
      <c r="W57" s="66">
        <v>0.0</v>
      </c>
      <c r="X57" s="66">
        <v>0.0</v>
      </c>
      <c r="Y57" s="66">
        <v>0.0</v>
      </c>
      <c r="Z57" s="66">
        <v>0.0</v>
      </c>
      <c r="AA57" s="66">
        <v>0.0</v>
      </c>
      <c r="AB57" s="66">
        <v>0.0</v>
      </c>
      <c r="AC57" s="66">
        <v>0.0</v>
      </c>
      <c r="AD57" s="66">
        <v>0.0</v>
      </c>
      <c r="AE57" s="66">
        <v>0.0</v>
      </c>
      <c r="AF57" s="66">
        <v>0.0</v>
      </c>
      <c r="AG57" s="66">
        <v>0.0</v>
      </c>
      <c r="AH57" s="66">
        <v>0.0</v>
      </c>
      <c r="AI57" s="66">
        <v>0.0</v>
      </c>
      <c r="AJ57" s="66">
        <v>1.0</v>
      </c>
      <c r="AK57" s="13">
        <f t="shared" si="8"/>
        <v>10</v>
      </c>
    </row>
    <row r="58" ht="12.75" customHeight="1">
      <c r="A58" s="18"/>
      <c r="B58" s="49"/>
      <c r="C58" s="50" t="s">
        <v>51</v>
      </c>
      <c r="D58" s="51"/>
      <c r="E58" s="66">
        <v>0.0</v>
      </c>
      <c r="F58" s="66">
        <v>1.0</v>
      </c>
      <c r="G58" s="66">
        <v>0.0</v>
      </c>
      <c r="H58" s="66">
        <v>1.0</v>
      </c>
      <c r="I58" s="66">
        <v>0.0</v>
      </c>
      <c r="J58" s="66">
        <v>1.0</v>
      </c>
      <c r="K58" s="66">
        <v>0.0</v>
      </c>
      <c r="L58" s="66">
        <v>0.0</v>
      </c>
      <c r="M58" s="66">
        <v>0.0</v>
      </c>
      <c r="N58" s="66">
        <v>0.0</v>
      </c>
      <c r="O58" s="66">
        <v>0.0</v>
      </c>
      <c r="P58" s="66">
        <v>3.0</v>
      </c>
      <c r="Q58" s="66">
        <v>0.0</v>
      </c>
      <c r="R58" s="66">
        <v>3.0</v>
      </c>
      <c r="S58" s="66">
        <v>1.0</v>
      </c>
      <c r="T58" s="66">
        <v>2.0</v>
      </c>
      <c r="U58" s="66">
        <v>0.0</v>
      </c>
      <c r="V58" s="66">
        <v>0.0</v>
      </c>
      <c r="W58" s="66">
        <v>0.0</v>
      </c>
      <c r="X58" s="66">
        <v>2.0</v>
      </c>
      <c r="Y58" s="66">
        <v>1.0</v>
      </c>
      <c r="Z58" s="66">
        <v>0.0</v>
      </c>
      <c r="AA58" s="66">
        <v>0.0</v>
      </c>
      <c r="AB58" s="66">
        <v>0.0</v>
      </c>
      <c r="AC58" s="66">
        <v>2.0</v>
      </c>
      <c r="AD58" s="66">
        <v>0.0</v>
      </c>
      <c r="AE58" s="66">
        <v>0.0</v>
      </c>
      <c r="AF58" s="66">
        <v>4.0</v>
      </c>
      <c r="AG58" s="66">
        <v>3.0</v>
      </c>
      <c r="AH58" s="66">
        <v>1.0</v>
      </c>
      <c r="AI58" s="66">
        <v>2.0</v>
      </c>
      <c r="AJ58" s="66">
        <v>0.0</v>
      </c>
      <c r="AK58" s="13">
        <f t="shared" si="8"/>
        <v>27</v>
      </c>
    </row>
    <row r="59" ht="12.75" customHeight="1">
      <c r="A59" s="18"/>
      <c r="B59" s="49"/>
      <c r="C59" s="50" t="s">
        <v>52</v>
      </c>
      <c r="D59" s="51"/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0.0</v>
      </c>
      <c r="O59" s="66">
        <v>0.0</v>
      </c>
      <c r="P59" s="66">
        <v>0.0</v>
      </c>
      <c r="Q59" s="66">
        <v>0.0</v>
      </c>
      <c r="R59" s="66">
        <v>0.0</v>
      </c>
      <c r="S59" s="66">
        <v>0.0</v>
      </c>
      <c r="T59" s="66">
        <v>0.0</v>
      </c>
      <c r="U59" s="66">
        <v>0.0</v>
      </c>
      <c r="V59" s="66">
        <v>0.0</v>
      </c>
      <c r="W59" s="66">
        <v>0.0</v>
      </c>
      <c r="X59" s="66">
        <v>0.0</v>
      </c>
      <c r="Y59" s="66">
        <v>0.0</v>
      </c>
      <c r="Z59" s="66">
        <v>0.0</v>
      </c>
      <c r="AA59" s="66">
        <v>1.0</v>
      </c>
      <c r="AB59" s="66">
        <v>0.0</v>
      </c>
      <c r="AC59" s="66">
        <v>0.0</v>
      </c>
      <c r="AD59" s="66">
        <v>0.0</v>
      </c>
      <c r="AE59" s="66">
        <v>0.0</v>
      </c>
      <c r="AF59" s="66">
        <v>0.0</v>
      </c>
      <c r="AG59" s="66">
        <v>3.0</v>
      </c>
      <c r="AH59" s="66">
        <v>1.0</v>
      </c>
      <c r="AI59" s="66">
        <v>0.0</v>
      </c>
      <c r="AJ59" s="66">
        <v>0.0</v>
      </c>
      <c r="AK59" s="13">
        <f t="shared" si="8"/>
        <v>5</v>
      </c>
    </row>
    <row r="60" ht="12.75" customHeight="1">
      <c r="A60" s="18"/>
      <c r="B60" s="49"/>
      <c r="C60" s="50" t="s">
        <v>53</v>
      </c>
      <c r="D60" s="51"/>
      <c r="E60" s="66">
        <v>0.0</v>
      </c>
      <c r="F60" s="66">
        <v>5.0</v>
      </c>
      <c r="G60" s="66">
        <v>0.0</v>
      </c>
      <c r="H60" s="66">
        <v>2.0</v>
      </c>
      <c r="I60" s="66">
        <v>0.0</v>
      </c>
      <c r="J60" s="66">
        <v>1.0</v>
      </c>
      <c r="K60" s="66">
        <v>0.0</v>
      </c>
      <c r="L60" s="66">
        <v>0.0</v>
      </c>
      <c r="M60" s="66">
        <v>0.0</v>
      </c>
      <c r="N60" s="66">
        <v>1.0</v>
      </c>
      <c r="O60" s="66">
        <v>0.0</v>
      </c>
      <c r="P60" s="66">
        <v>1.0</v>
      </c>
      <c r="Q60" s="66">
        <v>0.0</v>
      </c>
      <c r="R60" s="66">
        <v>1.0</v>
      </c>
      <c r="S60" s="66">
        <v>0.0</v>
      </c>
      <c r="T60" s="66">
        <v>4.0</v>
      </c>
      <c r="U60" s="66">
        <v>0.0</v>
      </c>
      <c r="V60" s="66">
        <v>0.0</v>
      </c>
      <c r="W60" s="66">
        <v>0.0</v>
      </c>
      <c r="X60" s="66">
        <v>6.0</v>
      </c>
      <c r="Y60" s="66">
        <v>1.0</v>
      </c>
      <c r="Z60" s="66">
        <v>0.0</v>
      </c>
      <c r="AA60" s="66">
        <v>0.0</v>
      </c>
      <c r="AB60" s="66">
        <v>0.0</v>
      </c>
      <c r="AC60" s="66">
        <v>0.0</v>
      </c>
      <c r="AD60" s="66">
        <v>0.0</v>
      </c>
      <c r="AE60" s="66">
        <v>0.0</v>
      </c>
      <c r="AF60" s="66">
        <v>0.0</v>
      </c>
      <c r="AG60" s="66">
        <v>0.0</v>
      </c>
      <c r="AH60" s="66">
        <v>0.0</v>
      </c>
      <c r="AI60" s="66">
        <v>0.0</v>
      </c>
      <c r="AJ60" s="66">
        <v>0.0</v>
      </c>
      <c r="AK60" s="13">
        <f t="shared" si="8"/>
        <v>22</v>
      </c>
    </row>
    <row r="61" ht="12.75" customHeight="1">
      <c r="A61" s="19" t="s">
        <v>15</v>
      </c>
      <c r="B61" s="47" t="s">
        <v>46</v>
      </c>
      <c r="C61" s="15"/>
      <c r="D61" s="16"/>
      <c r="E61" s="13">
        <f t="shared" ref="E61:AJ61" si="10">SUM(E54:E60)</f>
        <v>8</v>
      </c>
      <c r="F61" s="13">
        <f t="shared" si="10"/>
        <v>7</v>
      </c>
      <c r="G61" s="13">
        <f t="shared" si="10"/>
        <v>2</v>
      </c>
      <c r="H61" s="13">
        <f t="shared" si="10"/>
        <v>4</v>
      </c>
      <c r="I61" s="13">
        <f t="shared" si="10"/>
        <v>3</v>
      </c>
      <c r="J61" s="13">
        <f t="shared" si="10"/>
        <v>6</v>
      </c>
      <c r="K61" s="13">
        <f t="shared" si="10"/>
        <v>3</v>
      </c>
      <c r="L61" s="13">
        <f t="shared" si="10"/>
        <v>8</v>
      </c>
      <c r="M61" s="13">
        <f t="shared" si="10"/>
        <v>5</v>
      </c>
      <c r="N61" s="13">
        <f t="shared" si="10"/>
        <v>6</v>
      </c>
      <c r="O61" s="13">
        <f t="shared" si="10"/>
        <v>4</v>
      </c>
      <c r="P61" s="13">
        <f t="shared" si="10"/>
        <v>12</v>
      </c>
      <c r="Q61" s="13">
        <f t="shared" si="10"/>
        <v>8</v>
      </c>
      <c r="R61" s="13">
        <f t="shared" si="10"/>
        <v>11</v>
      </c>
      <c r="S61" s="13">
        <f t="shared" si="10"/>
        <v>7</v>
      </c>
      <c r="T61" s="13">
        <f t="shared" si="10"/>
        <v>13</v>
      </c>
      <c r="U61" s="13">
        <f t="shared" si="10"/>
        <v>7</v>
      </c>
      <c r="V61" s="13">
        <f t="shared" si="10"/>
        <v>1</v>
      </c>
      <c r="W61" s="13">
        <f t="shared" si="10"/>
        <v>1</v>
      </c>
      <c r="X61" s="13">
        <f t="shared" si="10"/>
        <v>8</v>
      </c>
      <c r="Y61" s="13">
        <f t="shared" si="10"/>
        <v>11</v>
      </c>
      <c r="Z61" s="13">
        <f t="shared" si="10"/>
        <v>3</v>
      </c>
      <c r="AA61" s="13">
        <f t="shared" si="10"/>
        <v>8</v>
      </c>
      <c r="AB61" s="13">
        <f t="shared" si="10"/>
        <v>0</v>
      </c>
      <c r="AC61" s="13">
        <f t="shared" si="10"/>
        <v>3</v>
      </c>
      <c r="AD61" s="13">
        <f t="shared" si="10"/>
        <v>3</v>
      </c>
      <c r="AE61" s="13">
        <f t="shared" si="10"/>
        <v>5</v>
      </c>
      <c r="AF61" s="13">
        <f t="shared" si="10"/>
        <v>5</v>
      </c>
      <c r="AG61" s="13">
        <f t="shared" si="10"/>
        <v>12</v>
      </c>
      <c r="AH61" s="13">
        <f t="shared" si="10"/>
        <v>11</v>
      </c>
      <c r="AI61" s="13">
        <f t="shared" si="10"/>
        <v>11</v>
      </c>
      <c r="AJ61" s="13">
        <f t="shared" si="10"/>
        <v>5</v>
      </c>
      <c r="AK61" s="13">
        <f t="shared" si="8"/>
        <v>201</v>
      </c>
    </row>
    <row r="62" ht="12.75" customHeight="1">
      <c r="A62" s="56"/>
      <c r="B62" s="57"/>
      <c r="C62" s="57"/>
      <c r="D62" s="57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13">
        <f t="shared" si="8"/>
        <v>0</v>
      </c>
    </row>
    <row r="63" ht="12.75" customHeight="1">
      <c r="A63" s="30" t="s">
        <v>37</v>
      </c>
      <c r="B63" s="47" t="s">
        <v>21</v>
      </c>
      <c r="C63" s="48" t="s">
        <v>54</v>
      </c>
      <c r="D63" s="16"/>
      <c r="E63" s="66">
        <v>2.0</v>
      </c>
      <c r="F63" s="66">
        <v>2.0</v>
      </c>
      <c r="G63" s="66">
        <v>2.0</v>
      </c>
      <c r="H63" s="66">
        <v>0.0</v>
      </c>
      <c r="I63" s="66">
        <v>0.0</v>
      </c>
      <c r="J63" s="66">
        <v>1.0</v>
      </c>
      <c r="K63" s="66">
        <v>1.0</v>
      </c>
      <c r="L63" s="66">
        <v>4.0</v>
      </c>
      <c r="M63" s="66">
        <v>10.0</v>
      </c>
      <c r="N63" s="66">
        <v>2.0</v>
      </c>
      <c r="O63" s="66">
        <v>7.0</v>
      </c>
      <c r="P63" s="66">
        <v>6.0</v>
      </c>
      <c r="Q63" s="66">
        <v>5.0</v>
      </c>
      <c r="R63" s="66">
        <v>0.0</v>
      </c>
      <c r="S63" s="66">
        <v>1.0</v>
      </c>
      <c r="T63" s="66">
        <v>4.0</v>
      </c>
      <c r="U63" s="66">
        <v>1.0</v>
      </c>
      <c r="V63" s="66">
        <v>5.0</v>
      </c>
      <c r="W63" s="66">
        <v>1.0</v>
      </c>
      <c r="X63" s="66">
        <v>4.0</v>
      </c>
      <c r="Y63" s="66">
        <v>3.0</v>
      </c>
      <c r="Z63" s="66">
        <v>4.0</v>
      </c>
      <c r="AA63" s="66">
        <v>4.0</v>
      </c>
      <c r="AB63" s="66">
        <v>5.0</v>
      </c>
      <c r="AC63" s="66">
        <v>1.0</v>
      </c>
      <c r="AD63" s="66">
        <v>1.0</v>
      </c>
      <c r="AE63" s="66">
        <v>7.0</v>
      </c>
      <c r="AF63" s="66">
        <v>4.0</v>
      </c>
      <c r="AG63" s="66">
        <v>3.0</v>
      </c>
      <c r="AH63" s="66">
        <v>6.0</v>
      </c>
      <c r="AI63" s="66">
        <v>5.0</v>
      </c>
      <c r="AJ63" s="66">
        <v>4.0</v>
      </c>
      <c r="AK63" s="13">
        <f t="shared" si="8"/>
        <v>105</v>
      </c>
    </row>
    <row r="64" ht="12.75" customHeight="1">
      <c r="A64" s="30" t="s">
        <v>39</v>
      </c>
      <c r="B64" s="49"/>
      <c r="C64" s="50" t="s">
        <v>55</v>
      </c>
      <c r="D64" s="51"/>
      <c r="E64" s="66">
        <v>0.0</v>
      </c>
      <c r="F64" s="66">
        <v>2.0</v>
      </c>
      <c r="G64" s="66">
        <v>0.0</v>
      </c>
      <c r="H64" s="66">
        <v>1.0</v>
      </c>
      <c r="I64" s="66">
        <v>0.0</v>
      </c>
      <c r="J64" s="66">
        <v>0.0</v>
      </c>
      <c r="K64" s="66">
        <v>1.0</v>
      </c>
      <c r="L64" s="66">
        <v>7.0</v>
      </c>
      <c r="M64" s="66">
        <v>7.0</v>
      </c>
      <c r="N64" s="66">
        <v>5.0</v>
      </c>
      <c r="O64" s="66">
        <v>9.0</v>
      </c>
      <c r="P64" s="66">
        <v>2.0</v>
      </c>
      <c r="Q64" s="66">
        <v>2.0</v>
      </c>
      <c r="R64" s="66">
        <v>4.0</v>
      </c>
      <c r="S64" s="66">
        <v>3.0</v>
      </c>
      <c r="T64" s="66">
        <v>1.0</v>
      </c>
      <c r="U64" s="66">
        <v>1.0</v>
      </c>
      <c r="V64" s="66">
        <v>2.0</v>
      </c>
      <c r="W64" s="66">
        <v>3.0</v>
      </c>
      <c r="X64" s="66">
        <v>3.0</v>
      </c>
      <c r="Y64" s="66">
        <v>3.0</v>
      </c>
      <c r="Z64" s="66">
        <v>6.0</v>
      </c>
      <c r="AA64" s="66">
        <v>1.0</v>
      </c>
      <c r="AB64" s="66">
        <v>2.0</v>
      </c>
      <c r="AC64" s="66">
        <v>1.0</v>
      </c>
      <c r="AD64" s="66">
        <v>1.0</v>
      </c>
      <c r="AE64" s="66">
        <v>0.0</v>
      </c>
      <c r="AF64" s="66">
        <v>7.0</v>
      </c>
      <c r="AG64" s="66">
        <v>3.0</v>
      </c>
      <c r="AH64" s="66">
        <v>16.0</v>
      </c>
      <c r="AI64" s="66">
        <v>12.0</v>
      </c>
      <c r="AJ64" s="66">
        <v>21.0</v>
      </c>
      <c r="AK64" s="13">
        <f t="shared" si="8"/>
        <v>126</v>
      </c>
    </row>
    <row r="65" ht="12.75" customHeight="1">
      <c r="A65" s="18"/>
      <c r="B65" s="49"/>
      <c r="C65" s="50" t="s">
        <v>56</v>
      </c>
      <c r="D65" s="51"/>
      <c r="E65" s="66">
        <v>0.0</v>
      </c>
      <c r="F65" s="66">
        <v>0.0</v>
      </c>
      <c r="G65" s="66">
        <v>0.0</v>
      </c>
      <c r="H65" s="66">
        <v>1.0</v>
      </c>
      <c r="I65" s="66">
        <v>0.0</v>
      </c>
      <c r="J65" s="66">
        <v>1.0</v>
      </c>
      <c r="K65" s="66">
        <v>1.0</v>
      </c>
      <c r="L65" s="66">
        <v>0.0</v>
      </c>
      <c r="M65" s="66">
        <v>0.0</v>
      </c>
      <c r="N65" s="66">
        <v>0.0</v>
      </c>
      <c r="O65" s="66">
        <v>0.0</v>
      </c>
      <c r="P65" s="66">
        <v>0.0</v>
      </c>
      <c r="Q65" s="66">
        <v>0.0</v>
      </c>
      <c r="R65" s="66">
        <v>0.0</v>
      </c>
      <c r="S65" s="66">
        <v>0.0</v>
      </c>
      <c r="T65" s="66">
        <v>2.0</v>
      </c>
      <c r="U65" s="66">
        <v>0.0</v>
      </c>
      <c r="V65" s="66">
        <v>0.0</v>
      </c>
      <c r="W65" s="66">
        <v>0.0</v>
      </c>
      <c r="X65" s="66">
        <v>0.0</v>
      </c>
      <c r="Y65" s="66">
        <v>0.0</v>
      </c>
      <c r="Z65" s="66">
        <v>0.0</v>
      </c>
      <c r="AA65" s="66">
        <v>0.0</v>
      </c>
      <c r="AB65" s="66">
        <v>0.0</v>
      </c>
      <c r="AC65" s="66">
        <v>0.0</v>
      </c>
      <c r="AD65" s="66">
        <v>1.0</v>
      </c>
      <c r="AE65" s="66">
        <v>0.0</v>
      </c>
      <c r="AF65" s="66">
        <v>0.0</v>
      </c>
      <c r="AG65" s="66">
        <v>1.0</v>
      </c>
      <c r="AH65" s="66">
        <v>1.0</v>
      </c>
      <c r="AI65" s="66">
        <v>0.0</v>
      </c>
      <c r="AJ65" s="66">
        <v>0.0</v>
      </c>
      <c r="AK65" s="13">
        <f t="shared" si="8"/>
        <v>8</v>
      </c>
    </row>
    <row r="66" ht="12.75" customHeight="1">
      <c r="A66" s="18"/>
      <c r="B66" s="49"/>
      <c r="C66" s="50" t="s">
        <v>57</v>
      </c>
      <c r="D66" s="51"/>
      <c r="E66" s="66">
        <v>8.0</v>
      </c>
      <c r="F66" s="66">
        <v>5.0</v>
      </c>
      <c r="G66" s="66">
        <v>0.0</v>
      </c>
      <c r="H66" s="66">
        <v>2.0</v>
      </c>
      <c r="I66" s="66">
        <v>2.0</v>
      </c>
      <c r="J66" s="66">
        <v>2.0</v>
      </c>
      <c r="K66" s="66">
        <v>1.0</v>
      </c>
      <c r="L66" s="66">
        <v>6.0</v>
      </c>
      <c r="M66" s="66">
        <v>13.0</v>
      </c>
      <c r="N66" s="66">
        <v>11.0</v>
      </c>
      <c r="O66" s="66">
        <v>4.0</v>
      </c>
      <c r="P66" s="66">
        <v>4.0</v>
      </c>
      <c r="Q66" s="66">
        <v>7.0</v>
      </c>
      <c r="R66" s="66">
        <v>4.0</v>
      </c>
      <c r="S66" s="66">
        <v>0.0</v>
      </c>
      <c r="T66" s="66">
        <v>3.0</v>
      </c>
      <c r="U66" s="66">
        <v>1.0</v>
      </c>
      <c r="V66" s="66">
        <v>47.0</v>
      </c>
      <c r="W66" s="66">
        <v>13.0</v>
      </c>
      <c r="X66" s="66">
        <v>11.0</v>
      </c>
      <c r="Y66" s="66">
        <v>2.0</v>
      </c>
      <c r="Z66" s="66">
        <v>9.0</v>
      </c>
      <c r="AA66" s="66">
        <v>8.0</v>
      </c>
      <c r="AB66" s="66">
        <v>60.0</v>
      </c>
      <c r="AC66" s="66">
        <v>1.0</v>
      </c>
      <c r="AD66" s="66">
        <v>3.0</v>
      </c>
      <c r="AE66" s="66">
        <v>1.0</v>
      </c>
      <c r="AF66" s="66">
        <v>1.0</v>
      </c>
      <c r="AG66" s="66">
        <v>2.0</v>
      </c>
      <c r="AH66" s="66">
        <v>2.0</v>
      </c>
      <c r="AI66" s="66">
        <v>5.0</v>
      </c>
      <c r="AJ66" s="66">
        <v>0.0</v>
      </c>
      <c r="AK66" s="13">
        <f t="shared" si="8"/>
        <v>238</v>
      </c>
    </row>
    <row r="67" ht="12.75" customHeight="1">
      <c r="A67" s="18"/>
      <c r="B67" s="49"/>
      <c r="C67" s="50" t="s">
        <v>58</v>
      </c>
      <c r="D67" s="51"/>
      <c r="E67" s="66">
        <v>0.0</v>
      </c>
      <c r="F67" s="66">
        <v>0.0</v>
      </c>
      <c r="G67" s="66">
        <v>1.0</v>
      </c>
      <c r="H67" s="66">
        <v>0.0</v>
      </c>
      <c r="I67" s="66">
        <v>0.0</v>
      </c>
      <c r="J67" s="66">
        <v>0.0</v>
      </c>
      <c r="K67" s="66">
        <v>1.0</v>
      </c>
      <c r="L67" s="66">
        <v>1.0</v>
      </c>
      <c r="M67" s="66">
        <v>0.0</v>
      </c>
      <c r="N67" s="66">
        <v>0.0</v>
      </c>
      <c r="O67" s="66">
        <v>4.0</v>
      </c>
      <c r="P67" s="66">
        <v>1.0</v>
      </c>
      <c r="Q67" s="66">
        <v>0.0</v>
      </c>
      <c r="R67" s="66">
        <v>0.0</v>
      </c>
      <c r="S67" s="66">
        <v>1.0</v>
      </c>
      <c r="T67" s="66">
        <v>0.0</v>
      </c>
      <c r="U67" s="66">
        <v>0.0</v>
      </c>
      <c r="V67" s="66">
        <v>0.0</v>
      </c>
      <c r="W67" s="66">
        <v>0.0</v>
      </c>
      <c r="X67" s="66">
        <v>0.0</v>
      </c>
      <c r="Y67" s="66">
        <v>0.0</v>
      </c>
      <c r="Z67" s="66">
        <v>0.0</v>
      </c>
      <c r="AA67" s="66">
        <v>1.0</v>
      </c>
      <c r="AB67" s="66">
        <v>0.0</v>
      </c>
      <c r="AC67" s="66">
        <v>0.0</v>
      </c>
      <c r="AD67" s="66">
        <v>0.0</v>
      </c>
      <c r="AE67" s="66">
        <v>0.0</v>
      </c>
      <c r="AF67" s="66">
        <v>0.0</v>
      </c>
      <c r="AG67" s="66">
        <v>0.0</v>
      </c>
      <c r="AH67" s="66">
        <v>2.0</v>
      </c>
      <c r="AI67" s="66">
        <v>0.0</v>
      </c>
      <c r="AJ67" s="66">
        <v>0.0</v>
      </c>
      <c r="AK67" s="13">
        <f t="shared" si="8"/>
        <v>12</v>
      </c>
    </row>
    <row r="68" ht="12.75" customHeight="1">
      <c r="A68" s="18"/>
      <c r="B68" s="49"/>
      <c r="C68" s="50" t="s">
        <v>59</v>
      </c>
      <c r="D68" s="51"/>
      <c r="E68" s="66">
        <v>0.0</v>
      </c>
      <c r="F68" s="66">
        <v>0.0</v>
      </c>
      <c r="G68" s="66">
        <v>0.0</v>
      </c>
      <c r="H68" s="66">
        <v>0.0</v>
      </c>
      <c r="I68" s="66">
        <v>0.0</v>
      </c>
      <c r="J68" s="66">
        <v>0.0</v>
      </c>
      <c r="K68" s="66">
        <v>0.0</v>
      </c>
      <c r="L68" s="66">
        <v>0.0</v>
      </c>
      <c r="M68" s="66">
        <v>1.0</v>
      </c>
      <c r="N68" s="66">
        <v>3.0</v>
      </c>
      <c r="O68" s="66">
        <v>2.0</v>
      </c>
      <c r="P68" s="66">
        <v>0.0</v>
      </c>
      <c r="Q68" s="66">
        <v>0.0</v>
      </c>
      <c r="R68" s="66">
        <v>0.0</v>
      </c>
      <c r="S68" s="66">
        <v>0.0</v>
      </c>
      <c r="T68" s="66">
        <v>0.0</v>
      </c>
      <c r="U68" s="66">
        <v>0.0</v>
      </c>
      <c r="V68" s="66">
        <v>0.0</v>
      </c>
      <c r="W68" s="66">
        <v>0.0</v>
      </c>
      <c r="X68" s="66">
        <v>0.0</v>
      </c>
      <c r="Y68" s="66">
        <v>0.0</v>
      </c>
      <c r="Z68" s="66">
        <v>0.0</v>
      </c>
      <c r="AA68" s="66">
        <v>1.0</v>
      </c>
      <c r="AB68" s="66">
        <v>1.0</v>
      </c>
      <c r="AC68" s="66">
        <v>0.0</v>
      </c>
      <c r="AD68" s="66">
        <v>0.0</v>
      </c>
      <c r="AE68" s="66">
        <v>0.0</v>
      </c>
      <c r="AF68" s="66">
        <v>0.0</v>
      </c>
      <c r="AG68" s="66">
        <v>0.0</v>
      </c>
      <c r="AH68" s="19"/>
      <c r="AI68" s="66">
        <v>0.0</v>
      </c>
      <c r="AJ68" s="66">
        <v>0.0</v>
      </c>
      <c r="AK68" s="13">
        <f t="shared" si="8"/>
        <v>8</v>
      </c>
    </row>
    <row r="69" ht="12.75" customHeight="1">
      <c r="A69" s="18"/>
      <c r="B69" s="49"/>
      <c r="C69" s="50" t="s">
        <v>60</v>
      </c>
      <c r="D69" s="51"/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0.0</v>
      </c>
      <c r="K69" s="66">
        <v>0.0</v>
      </c>
      <c r="L69" s="66">
        <v>1.0</v>
      </c>
      <c r="M69" s="66">
        <v>0.0</v>
      </c>
      <c r="N69" s="66">
        <v>0.0</v>
      </c>
      <c r="O69" s="66">
        <v>0.0</v>
      </c>
      <c r="P69" s="66">
        <v>0.0</v>
      </c>
      <c r="Q69" s="66">
        <v>0.0</v>
      </c>
      <c r="R69" s="66">
        <v>0.0</v>
      </c>
      <c r="S69" s="66">
        <v>0.0</v>
      </c>
      <c r="T69" s="66">
        <v>0.0</v>
      </c>
      <c r="U69" s="66">
        <v>0.0</v>
      </c>
      <c r="V69" s="66">
        <v>1.0</v>
      </c>
      <c r="W69" s="66">
        <v>0.0</v>
      </c>
      <c r="X69" s="66">
        <v>0.0</v>
      </c>
      <c r="Y69" s="66">
        <v>0.0</v>
      </c>
      <c r="Z69" s="66">
        <v>1.0</v>
      </c>
      <c r="AA69" s="66">
        <v>0.0</v>
      </c>
      <c r="AB69" s="66">
        <v>0.0</v>
      </c>
      <c r="AC69" s="66">
        <v>2.0</v>
      </c>
      <c r="AD69" s="66">
        <v>0.0</v>
      </c>
      <c r="AE69" s="66">
        <v>0.0</v>
      </c>
      <c r="AF69" s="66">
        <v>0.0</v>
      </c>
      <c r="AG69" s="66">
        <v>0.0</v>
      </c>
      <c r="AH69" s="19"/>
      <c r="AI69" s="66">
        <v>0.0</v>
      </c>
      <c r="AJ69" s="66">
        <v>0.0</v>
      </c>
      <c r="AK69" s="13">
        <f t="shared" si="8"/>
        <v>5</v>
      </c>
    </row>
    <row r="70" ht="12.75" customHeight="1">
      <c r="A70" s="19" t="s">
        <v>15</v>
      </c>
      <c r="B70" s="47" t="s">
        <v>46</v>
      </c>
      <c r="C70" s="15"/>
      <c r="D70" s="16"/>
      <c r="E70" s="13">
        <f t="shared" ref="E70:AJ70" si="11">SUM(E63:E69)</f>
        <v>10</v>
      </c>
      <c r="F70" s="13">
        <f t="shared" si="11"/>
        <v>9</v>
      </c>
      <c r="G70" s="13">
        <f t="shared" si="11"/>
        <v>3</v>
      </c>
      <c r="H70" s="13">
        <f t="shared" si="11"/>
        <v>4</v>
      </c>
      <c r="I70" s="13">
        <f t="shared" si="11"/>
        <v>2</v>
      </c>
      <c r="J70" s="13">
        <f t="shared" si="11"/>
        <v>4</v>
      </c>
      <c r="K70" s="13">
        <f t="shared" si="11"/>
        <v>5</v>
      </c>
      <c r="L70" s="13">
        <f t="shared" si="11"/>
        <v>19</v>
      </c>
      <c r="M70" s="13">
        <f t="shared" si="11"/>
        <v>31</v>
      </c>
      <c r="N70" s="13">
        <f t="shared" si="11"/>
        <v>21</v>
      </c>
      <c r="O70" s="13">
        <f t="shared" si="11"/>
        <v>26</v>
      </c>
      <c r="P70" s="13">
        <f t="shared" si="11"/>
        <v>13</v>
      </c>
      <c r="Q70" s="13">
        <f t="shared" si="11"/>
        <v>14</v>
      </c>
      <c r="R70" s="13">
        <f t="shared" si="11"/>
        <v>8</v>
      </c>
      <c r="S70" s="13">
        <f t="shared" si="11"/>
        <v>5</v>
      </c>
      <c r="T70" s="13">
        <f t="shared" si="11"/>
        <v>10</v>
      </c>
      <c r="U70" s="13">
        <f t="shared" si="11"/>
        <v>3</v>
      </c>
      <c r="V70" s="13">
        <f t="shared" si="11"/>
        <v>55</v>
      </c>
      <c r="W70" s="13">
        <f t="shared" si="11"/>
        <v>17</v>
      </c>
      <c r="X70" s="13">
        <f t="shared" si="11"/>
        <v>18</v>
      </c>
      <c r="Y70" s="13">
        <f t="shared" si="11"/>
        <v>8</v>
      </c>
      <c r="Z70" s="13">
        <f t="shared" si="11"/>
        <v>20</v>
      </c>
      <c r="AA70" s="13">
        <f t="shared" si="11"/>
        <v>15</v>
      </c>
      <c r="AB70" s="13">
        <f t="shared" si="11"/>
        <v>68</v>
      </c>
      <c r="AC70" s="13">
        <f t="shared" si="11"/>
        <v>5</v>
      </c>
      <c r="AD70" s="13">
        <f t="shared" si="11"/>
        <v>6</v>
      </c>
      <c r="AE70" s="13">
        <f t="shared" si="11"/>
        <v>8</v>
      </c>
      <c r="AF70" s="13">
        <f t="shared" si="11"/>
        <v>12</v>
      </c>
      <c r="AG70" s="13">
        <f t="shared" si="11"/>
        <v>9</v>
      </c>
      <c r="AH70" s="13">
        <f t="shared" si="11"/>
        <v>27</v>
      </c>
      <c r="AI70" s="13">
        <f t="shared" si="11"/>
        <v>22</v>
      </c>
      <c r="AJ70" s="13">
        <f t="shared" si="11"/>
        <v>25</v>
      </c>
      <c r="AK70" s="13">
        <f t="shared" si="8"/>
        <v>502</v>
      </c>
    </row>
    <row r="71" ht="12.75" customHeight="1">
      <c r="A71" s="56"/>
      <c r="B71" s="57"/>
      <c r="C71" s="57"/>
      <c r="D71" s="57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13">
        <f t="shared" si="8"/>
        <v>0</v>
      </c>
    </row>
    <row r="72" ht="12.75" customHeight="1">
      <c r="A72" s="30" t="s">
        <v>37</v>
      </c>
      <c r="B72" s="47" t="s">
        <v>23</v>
      </c>
      <c r="C72" s="48" t="s">
        <v>61</v>
      </c>
      <c r="D72" s="16"/>
      <c r="E72" s="66">
        <v>0.0</v>
      </c>
      <c r="F72" s="66">
        <v>0.0</v>
      </c>
      <c r="G72" s="66">
        <v>0.0</v>
      </c>
      <c r="H72" s="66">
        <v>1.0</v>
      </c>
      <c r="I72" s="66">
        <v>1.0</v>
      </c>
      <c r="J72" s="66">
        <v>1.0</v>
      </c>
      <c r="K72" s="66">
        <v>5.0</v>
      </c>
      <c r="L72" s="66">
        <v>0.0</v>
      </c>
      <c r="M72" s="66">
        <v>0.0</v>
      </c>
      <c r="N72" s="66">
        <v>1.0</v>
      </c>
      <c r="O72" s="66">
        <v>4.0</v>
      </c>
      <c r="P72" s="66">
        <v>8.0</v>
      </c>
      <c r="Q72" s="66">
        <v>2.0</v>
      </c>
      <c r="R72" s="66">
        <v>1.0</v>
      </c>
      <c r="S72" s="66">
        <v>1.0</v>
      </c>
      <c r="T72" s="66">
        <v>1.0</v>
      </c>
      <c r="U72" s="66">
        <v>0.0</v>
      </c>
      <c r="V72" s="66">
        <v>1.0</v>
      </c>
      <c r="W72" s="66">
        <v>2.0</v>
      </c>
      <c r="X72" s="66">
        <v>2.0</v>
      </c>
      <c r="Y72" s="66">
        <v>10.0</v>
      </c>
      <c r="Z72" s="66">
        <v>7.0</v>
      </c>
      <c r="AA72" s="66">
        <v>6.0</v>
      </c>
      <c r="AB72" s="66">
        <v>1.0</v>
      </c>
      <c r="AC72" s="66">
        <v>3.0</v>
      </c>
      <c r="AD72" s="66">
        <v>1.0</v>
      </c>
      <c r="AE72" s="66">
        <v>0.0</v>
      </c>
      <c r="AF72" s="66">
        <v>2.0</v>
      </c>
      <c r="AG72" s="66">
        <v>1.0</v>
      </c>
      <c r="AH72" s="66">
        <v>1.0</v>
      </c>
      <c r="AI72" s="66">
        <v>0.0</v>
      </c>
      <c r="AJ72" s="66">
        <v>0.0</v>
      </c>
      <c r="AK72" s="13">
        <f t="shared" si="8"/>
        <v>63</v>
      </c>
    </row>
    <row r="73" ht="12.75" customHeight="1">
      <c r="A73" s="30" t="s">
        <v>39</v>
      </c>
      <c r="B73" s="49"/>
      <c r="C73" s="50" t="s">
        <v>62</v>
      </c>
      <c r="D73" s="51"/>
      <c r="E73" s="66">
        <v>5.0</v>
      </c>
      <c r="F73" s="66">
        <v>1.0</v>
      </c>
      <c r="G73" s="66">
        <v>3.0</v>
      </c>
      <c r="H73" s="66">
        <v>7.0</v>
      </c>
      <c r="I73" s="66">
        <v>8.0</v>
      </c>
      <c r="J73" s="66">
        <v>2.0</v>
      </c>
      <c r="K73" s="66">
        <v>16.0</v>
      </c>
      <c r="L73" s="66">
        <v>0.0</v>
      </c>
      <c r="M73" s="66">
        <v>0.0</v>
      </c>
      <c r="N73" s="66">
        <v>0.0</v>
      </c>
      <c r="O73" s="66">
        <v>4.0</v>
      </c>
      <c r="P73" s="66">
        <v>10.0</v>
      </c>
      <c r="Q73" s="66">
        <v>7.0</v>
      </c>
      <c r="R73" s="66">
        <v>7.0</v>
      </c>
      <c r="S73" s="66">
        <v>0.0</v>
      </c>
      <c r="T73" s="66">
        <v>5.0</v>
      </c>
      <c r="U73" s="66">
        <v>3.0</v>
      </c>
      <c r="V73" s="66">
        <v>11.0</v>
      </c>
      <c r="W73" s="66">
        <v>3.0</v>
      </c>
      <c r="X73" s="66">
        <v>32.0</v>
      </c>
      <c r="Y73" s="66">
        <v>44.0</v>
      </c>
      <c r="Z73" s="66">
        <v>38.0</v>
      </c>
      <c r="AA73" s="66">
        <v>23.0</v>
      </c>
      <c r="AB73" s="66">
        <v>12.0</v>
      </c>
      <c r="AC73" s="66">
        <v>2.0</v>
      </c>
      <c r="AD73" s="66">
        <v>1.0</v>
      </c>
      <c r="AE73" s="66">
        <v>3.0</v>
      </c>
      <c r="AF73" s="66">
        <v>7.0</v>
      </c>
      <c r="AG73" s="66">
        <v>75.0</v>
      </c>
      <c r="AH73" s="66">
        <v>13.0</v>
      </c>
      <c r="AI73" s="66">
        <v>1.0</v>
      </c>
      <c r="AJ73" s="66">
        <v>1.0</v>
      </c>
      <c r="AK73" s="13">
        <f t="shared" si="8"/>
        <v>344</v>
      </c>
    </row>
    <row r="74" ht="12.75" customHeight="1">
      <c r="A74" s="18"/>
      <c r="B74" s="49"/>
      <c r="C74" s="50" t="s">
        <v>63</v>
      </c>
      <c r="D74" s="51"/>
      <c r="E74" s="66">
        <v>0.0</v>
      </c>
      <c r="F74" s="66">
        <v>0.0</v>
      </c>
      <c r="G74" s="66">
        <v>0.0</v>
      </c>
      <c r="H74" s="66">
        <v>0.0</v>
      </c>
      <c r="I74" s="66">
        <v>0.0</v>
      </c>
      <c r="J74" s="66">
        <v>0.0</v>
      </c>
      <c r="K74" s="66">
        <v>2.0</v>
      </c>
      <c r="L74" s="66">
        <v>0.0</v>
      </c>
      <c r="M74" s="66">
        <v>0.0</v>
      </c>
      <c r="N74" s="66">
        <v>0.0</v>
      </c>
      <c r="O74" s="66">
        <v>0.0</v>
      </c>
      <c r="P74" s="66">
        <v>0.0</v>
      </c>
      <c r="Q74" s="66">
        <v>2.0</v>
      </c>
      <c r="R74" s="66">
        <v>0.0</v>
      </c>
      <c r="S74" s="66">
        <v>1.0</v>
      </c>
      <c r="T74" s="66">
        <v>0.0</v>
      </c>
      <c r="U74" s="66">
        <v>0.0</v>
      </c>
      <c r="V74" s="66">
        <v>0.0</v>
      </c>
      <c r="W74" s="66">
        <v>0.0</v>
      </c>
      <c r="X74" s="66">
        <v>0.0</v>
      </c>
      <c r="Y74" s="66">
        <v>1.0</v>
      </c>
      <c r="Z74" s="66">
        <v>0.0</v>
      </c>
      <c r="AA74" s="66">
        <v>0.0</v>
      </c>
      <c r="AB74" s="66">
        <v>0.0</v>
      </c>
      <c r="AC74" s="66">
        <v>0.0</v>
      </c>
      <c r="AD74" s="66">
        <v>0.0</v>
      </c>
      <c r="AE74" s="66">
        <v>0.0</v>
      </c>
      <c r="AF74" s="66">
        <v>0.0</v>
      </c>
      <c r="AG74" s="66">
        <v>0.0</v>
      </c>
      <c r="AH74" s="66">
        <v>1.0</v>
      </c>
      <c r="AI74" s="66">
        <v>1.0</v>
      </c>
      <c r="AJ74" s="66">
        <v>0.0</v>
      </c>
      <c r="AK74" s="13">
        <f t="shared" si="8"/>
        <v>8</v>
      </c>
    </row>
    <row r="75" ht="12.75" customHeight="1">
      <c r="A75" s="18"/>
      <c r="B75" s="49"/>
      <c r="C75" s="50" t="s">
        <v>64</v>
      </c>
      <c r="D75" s="51"/>
      <c r="E75" s="66">
        <v>0.0</v>
      </c>
      <c r="F75" s="66">
        <v>0.0</v>
      </c>
      <c r="G75" s="66">
        <v>1.0</v>
      </c>
      <c r="H75" s="66">
        <v>0.0</v>
      </c>
      <c r="I75" s="66">
        <v>0.0</v>
      </c>
      <c r="J75" s="66">
        <v>0.0</v>
      </c>
      <c r="K75" s="66">
        <v>0.0</v>
      </c>
      <c r="L75" s="66">
        <v>0.0</v>
      </c>
      <c r="M75" s="66">
        <v>0.0</v>
      </c>
      <c r="N75" s="66">
        <v>1.0</v>
      </c>
      <c r="O75" s="66">
        <v>0.0</v>
      </c>
      <c r="P75" s="66">
        <v>0.0</v>
      </c>
      <c r="Q75" s="66">
        <v>1.0</v>
      </c>
      <c r="R75" s="66">
        <v>0.0</v>
      </c>
      <c r="S75" s="66">
        <v>0.0</v>
      </c>
      <c r="T75" s="66">
        <v>0.0</v>
      </c>
      <c r="U75" s="66">
        <v>0.0</v>
      </c>
      <c r="V75" s="66">
        <v>0.0</v>
      </c>
      <c r="W75" s="66">
        <v>0.0</v>
      </c>
      <c r="X75" s="66">
        <v>0.0</v>
      </c>
      <c r="Y75" s="66">
        <v>1.0</v>
      </c>
      <c r="Z75" s="66">
        <v>0.0</v>
      </c>
      <c r="AA75" s="66">
        <v>0.0</v>
      </c>
      <c r="AB75" s="66">
        <v>0.0</v>
      </c>
      <c r="AC75" s="66">
        <v>0.0</v>
      </c>
      <c r="AD75" s="66">
        <v>0.0</v>
      </c>
      <c r="AE75" s="66">
        <v>0.0</v>
      </c>
      <c r="AF75" s="66">
        <v>0.0</v>
      </c>
      <c r="AG75" s="66">
        <v>0.0</v>
      </c>
      <c r="AH75" s="66">
        <v>0.0</v>
      </c>
      <c r="AI75" s="66">
        <v>0.0</v>
      </c>
      <c r="AJ75" s="66">
        <v>0.0</v>
      </c>
      <c r="AK75" s="13">
        <f t="shared" si="8"/>
        <v>4</v>
      </c>
    </row>
    <row r="76" ht="12.75" customHeight="1">
      <c r="A76" s="18"/>
      <c r="B76" s="49"/>
      <c r="C76" s="50" t="s">
        <v>65</v>
      </c>
      <c r="D76" s="51"/>
      <c r="E76" s="66">
        <v>1.0</v>
      </c>
      <c r="F76" s="66">
        <v>0.0</v>
      </c>
      <c r="G76" s="66">
        <v>0.0</v>
      </c>
      <c r="H76" s="66">
        <v>0.0</v>
      </c>
      <c r="I76" s="66">
        <v>0.0</v>
      </c>
      <c r="J76" s="66">
        <v>0.0</v>
      </c>
      <c r="K76" s="66">
        <v>0.0</v>
      </c>
      <c r="L76" s="66">
        <v>0.0</v>
      </c>
      <c r="M76" s="66">
        <v>0.0</v>
      </c>
      <c r="N76" s="66">
        <v>0.0</v>
      </c>
      <c r="O76" s="66">
        <v>0.0</v>
      </c>
      <c r="P76" s="66">
        <v>0.0</v>
      </c>
      <c r="Q76" s="66">
        <v>0.0</v>
      </c>
      <c r="R76" s="66">
        <v>0.0</v>
      </c>
      <c r="S76" s="66">
        <v>0.0</v>
      </c>
      <c r="T76" s="66">
        <v>0.0</v>
      </c>
      <c r="U76" s="66">
        <v>0.0</v>
      </c>
      <c r="V76" s="66">
        <v>0.0</v>
      </c>
      <c r="W76" s="66">
        <v>0.0</v>
      </c>
      <c r="X76" s="66">
        <v>0.0</v>
      </c>
      <c r="Y76" s="66">
        <v>0.0</v>
      </c>
      <c r="Z76" s="66">
        <v>1.0</v>
      </c>
      <c r="AA76" s="66">
        <v>1.0</v>
      </c>
      <c r="AB76" s="66">
        <v>0.0</v>
      </c>
      <c r="AC76" s="66">
        <v>0.0</v>
      </c>
      <c r="AD76" s="66">
        <v>0.0</v>
      </c>
      <c r="AE76" s="66">
        <v>0.0</v>
      </c>
      <c r="AF76" s="66">
        <v>0.0</v>
      </c>
      <c r="AG76" s="66">
        <v>0.0</v>
      </c>
      <c r="AH76" s="66">
        <v>0.0</v>
      </c>
      <c r="AI76" s="66">
        <v>0.0</v>
      </c>
      <c r="AJ76" s="66">
        <v>0.0</v>
      </c>
      <c r="AK76" s="13">
        <f t="shared" si="8"/>
        <v>3</v>
      </c>
    </row>
    <row r="77" ht="12.75" customHeight="1">
      <c r="A77" s="18"/>
      <c r="B77" s="49"/>
      <c r="C77" s="50" t="s">
        <v>66</v>
      </c>
      <c r="D77" s="51"/>
      <c r="E77" s="66">
        <v>0.0</v>
      </c>
      <c r="F77" s="66">
        <v>0.0</v>
      </c>
      <c r="G77" s="66">
        <v>0.0</v>
      </c>
      <c r="H77" s="66">
        <v>1.0</v>
      </c>
      <c r="I77" s="66">
        <v>1.0</v>
      </c>
      <c r="J77" s="66">
        <v>0.0</v>
      </c>
      <c r="K77" s="66">
        <v>0.0</v>
      </c>
      <c r="L77" s="66">
        <v>0.0</v>
      </c>
      <c r="M77" s="66">
        <v>0.0</v>
      </c>
      <c r="N77" s="66">
        <v>0.0</v>
      </c>
      <c r="O77" s="66">
        <v>0.0</v>
      </c>
      <c r="P77" s="66">
        <v>0.0</v>
      </c>
      <c r="Q77" s="66">
        <v>0.0</v>
      </c>
      <c r="R77" s="66">
        <v>0.0</v>
      </c>
      <c r="S77" s="66">
        <v>0.0</v>
      </c>
      <c r="T77" s="66">
        <v>0.0</v>
      </c>
      <c r="U77" s="66">
        <v>0.0</v>
      </c>
      <c r="V77" s="66">
        <v>0.0</v>
      </c>
      <c r="W77" s="66">
        <v>0.0</v>
      </c>
      <c r="X77" s="66">
        <v>0.0</v>
      </c>
      <c r="Y77" s="66">
        <v>0.0</v>
      </c>
      <c r="Z77" s="66">
        <v>0.0</v>
      </c>
      <c r="AA77" s="66">
        <v>0.0</v>
      </c>
      <c r="AB77" s="66">
        <v>0.0</v>
      </c>
      <c r="AC77" s="66">
        <v>0.0</v>
      </c>
      <c r="AD77" s="66">
        <v>0.0</v>
      </c>
      <c r="AE77" s="66">
        <v>0.0</v>
      </c>
      <c r="AF77" s="66">
        <v>0.0</v>
      </c>
      <c r="AG77" s="66">
        <v>0.0</v>
      </c>
      <c r="AH77" s="66">
        <v>0.0</v>
      </c>
      <c r="AI77" s="66">
        <v>0.0</v>
      </c>
      <c r="AJ77" s="66">
        <v>0.0</v>
      </c>
      <c r="AK77" s="13">
        <f t="shared" si="8"/>
        <v>2</v>
      </c>
    </row>
    <row r="78" ht="12.75" customHeight="1">
      <c r="A78" s="18"/>
      <c r="B78" s="49"/>
      <c r="C78" s="50" t="s">
        <v>67</v>
      </c>
      <c r="D78" s="51"/>
      <c r="E78" s="66">
        <v>0.0</v>
      </c>
      <c r="F78" s="66">
        <v>2.0</v>
      </c>
      <c r="G78" s="66">
        <v>1.0</v>
      </c>
      <c r="H78" s="66">
        <v>2.0</v>
      </c>
      <c r="I78" s="66">
        <v>0.0</v>
      </c>
      <c r="J78" s="66">
        <v>2.0</v>
      </c>
      <c r="K78" s="66">
        <v>0.0</v>
      </c>
      <c r="L78" s="66">
        <v>0.0</v>
      </c>
      <c r="M78" s="66">
        <v>0.0</v>
      </c>
      <c r="N78" s="66">
        <v>0.0</v>
      </c>
      <c r="O78" s="66">
        <v>0.0</v>
      </c>
      <c r="P78" s="66">
        <v>3.0</v>
      </c>
      <c r="Q78" s="66">
        <v>4.0</v>
      </c>
      <c r="R78" s="66">
        <v>0.0</v>
      </c>
      <c r="S78" s="66">
        <v>0.0</v>
      </c>
      <c r="T78" s="66">
        <v>1.0</v>
      </c>
      <c r="U78" s="66">
        <v>0.0</v>
      </c>
      <c r="V78" s="66">
        <v>0.0</v>
      </c>
      <c r="W78" s="66">
        <v>0.0</v>
      </c>
      <c r="X78" s="66">
        <v>0.0</v>
      </c>
      <c r="Y78" s="66">
        <v>0.0</v>
      </c>
      <c r="Z78" s="66">
        <v>0.0</v>
      </c>
      <c r="AA78" s="66">
        <v>0.0</v>
      </c>
      <c r="AB78" s="66">
        <v>0.0</v>
      </c>
      <c r="AC78" s="66">
        <v>0.0</v>
      </c>
      <c r="AD78" s="66">
        <v>0.0</v>
      </c>
      <c r="AE78" s="66">
        <v>0.0</v>
      </c>
      <c r="AF78" s="66">
        <v>2.0</v>
      </c>
      <c r="AG78" s="66">
        <v>15.0</v>
      </c>
      <c r="AH78" s="66">
        <v>0.0</v>
      </c>
      <c r="AI78" s="66">
        <v>3.0</v>
      </c>
      <c r="AJ78" s="66">
        <v>1.0</v>
      </c>
      <c r="AK78" s="13">
        <f t="shared" si="8"/>
        <v>36</v>
      </c>
    </row>
    <row r="79" ht="12.75" customHeight="1">
      <c r="A79" s="19" t="s">
        <v>15</v>
      </c>
      <c r="B79" s="47" t="s">
        <v>46</v>
      </c>
      <c r="C79" s="15"/>
      <c r="D79" s="16"/>
      <c r="E79" s="13">
        <f t="shared" ref="E79:AJ79" si="12">SUM(E72:E78)</f>
        <v>6</v>
      </c>
      <c r="F79" s="13">
        <f t="shared" si="12"/>
        <v>3</v>
      </c>
      <c r="G79" s="13">
        <f t="shared" si="12"/>
        <v>5</v>
      </c>
      <c r="H79" s="13">
        <f t="shared" si="12"/>
        <v>11</v>
      </c>
      <c r="I79" s="13">
        <f t="shared" si="12"/>
        <v>10</v>
      </c>
      <c r="J79" s="13">
        <f t="shared" si="12"/>
        <v>5</v>
      </c>
      <c r="K79" s="13">
        <f t="shared" si="12"/>
        <v>23</v>
      </c>
      <c r="L79" s="13">
        <f t="shared" si="12"/>
        <v>0</v>
      </c>
      <c r="M79" s="13">
        <f t="shared" si="12"/>
        <v>0</v>
      </c>
      <c r="N79" s="13">
        <f t="shared" si="12"/>
        <v>2</v>
      </c>
      <c r="O79" s="13">
        <f t="shared" si="12"/>
        <v>8</v>
      </c>
      <c r="P79" s="13">
        <f t="shared" si="12"/>
        <v>21</v>
      </c>
      <c r="Q79" s="13">
        <f t="shared" si="12"/>
        <v>16</v>
      </c>
      <c r="R79" s="13">
        <f t="shared" si="12"/>
        <v>8</v>
      </c>
      <c r="S79" s="13">
        <f t="shared" si="12"/>
        <v>2</v>
      </c>
      <c r="T79" s="13">
        <f t="shared" si="12"/>
        <v>7</v>
      </c>
      <c r="U79" s="13">
        <f t="shared" si="12"/>
        <v>3</v>
      </c>
      <c r="V79" s="13">
        <f t="shared" si="12"/>
        <v>12</v>
      </c>
      <c r="W79" s="13">
        <f t="shared" si="12"/>
        <v>5</v>
      </c>
      <c r="X79" s="13">
        <f t="shared" si="12"/>
        <v>34</v>
      </c>
      <c r="Y79" s="13">
        <f t="shared" si="12"/>
        <v>56</v>
      </c>
      <c r="Z79" s="13">
        <f t="shared" si="12"/>
        <v>46</v>
      </c>
      <c r="AA79" s="13">
        <f t="shared" si="12"/>
        <v>30</v>
      </c>
      <c r="AB79" s="13">
        <f t="shared" si="12"/>
        <v>13</v>
      </c>
      <c r="AC79" s="13">
        <f t="shared" si="12"/>
        <v>5</v>
      </c>
      <c r="AD79" s="13">
        <f t="shared" si="12"/>
        <v>2</v>
      </c>
      <c r="AE79" s="13">
        <f t="shared" si="12"/>
        <v>3</v>
      </c>
      <c r="AF79" s="13">
        <f t="shared" si="12"/>
        <v>11</v>
      </c>
      <c r="AG79" s="13">
        <f t="shared" si="12"/>
        <v>91</v>
      </c>
      <c r="AH79" s="13">
        <f t="shared" si="12"/>
        <v>15</v>
      </c>
      <c r="AI79" s="13">
        <f t="shared" si="12"/>
        <v>5</v>
      </c>
      <c r="AJ79" s="13">
        <f t="shared" si="12"/>
        <v>2</v>
      </c>
      <c r="AK79" s="13">
        <f t="shared" si="8"/>
        <v>460</v>
      </c>
    </row>
    <row r="80" ht="12.75" customHeight="1">
      <c r="A80" s="56"/>
      <c r="B80" s="57"/>
      <c r="C80" s="57"/>
      <c r="D80" s="57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13">
        <f t="shared" si="8"/>
        <v>0</v>
      </c>
    </row>
    <row r="81" ht="12.75" customHeight="1">
      <c r="A81" s="30" t="s">
        <v>37</v>
      </c>
      <c r="B81" s="47" t="s">
        <v>68</v>
      </c>
      <c r="C81" s="48" t="s">
        <v>69</v>
      </c>
      <c r="D81" s="16"/>
      <c r="E81" s="66">
        <v>1.0</v>
      </c>
      <c r="F81" s="66">
        <v>0.0</v>
      </c>
      <c r="G81" s="66">
        <v>0.0</v>
      </c>
      <c r="H81" s="66">
        <v>0.0</v>
      </c>
      <c r="I81" s="66">
        <v>0.0</v>
      </c>
      <c r="J81" s="66">
        <v>0.0</v>
      </c>
      <c r="K81" s="66">
        <v>1.0</v>
      </c>
      <c r="L81" s="66">
        <v>0.0</v>
      </c>
      <c r="M81" s="66">
        <v>0.0</v>
      </c>
      <c r="N81" s="66">
        <v>0.0</v>
      </c>
      <c r="O81" s="66">
        <v>2.0</v>
      </c>
      <c r="P81" s="66">
        <v>8.0</v>
      </c>
      <c r="Q81" s="66">
        <v>4.0</v>
      </c>
      <c r="R81" s="66">
        <v>6.0</v>
      </c>
      <c r="S81" s="66">
        <v>1.0</v>
      </c>
      <c r="T81" s="66">
        <v>1.0</v>
      </c>
      <c r="U81" s="66">
        <v>0.0</v>
      </c>
      <c r="V81" s="66">
        <v>0.0</v>
      </c>
      <c r="W81" s="66">
        <v>1.0</v>
      </c>
      <c r="X81" s="66">
        <v>4.0</v>
      </c>
      <c r="Y81" s="66">
        <v>2.0</v>
      </c>
      <c r="Z81" s="66">
        <v>0.0</v>
      </c>
      <c r="AA81" s="66">
        <v>0.0</v>
      </c>
      <c r="AB81" s="66">
        <v>0.0</v>
      </c>
      <c r="AC81" s="66">
        <v>2.0</v>
      </c>
      <c r="AD81" s="66">
        <v>1.0</v>
      </c>
      <c r="AE81" s="66">
        <v>8.0</v>
      </c>
      <c r="AF81" s="66">
        <v>4.0</v>
      </c>
      <c r="AG81" s="66">
        <v>2.0</v>
      </c>
      <c r="AH81" s="66">
        <v>2.0</v>
      </c>
      <c r="AI81" s="66">
        <v>0.0</v>
      </c>
      <c r="AJ81" s="66">
        <v>1.0</v>
      </c>
      <c r="AK81" s="13">
        <f t="shared" si="8"/>
        <v>51</v>
      </c>
    </row>
    <row r="82" ht="12.75" customHeight="1">
      <c r="A82" s="30" t="s">
        <v>39</v>
      </c>
      <c r="B82" s="49"/>
      <c r="C82" s="50" t="s">
        <v>70</v>
      </c>
      <c r="D82" s="51"/>
      <c r="E82" s="66">
        <v>1.0</v>
      </c>
      <c r="F82" s="66">
        <v>0.0</v>
      </c>
      <c r="G82" s="66">
        <v>0.0</v>
      </c>
      <c r="H82" s="66">
        <v>0.0</v>
      </c>
      <c r="I82" s="66">
        <v>0.0</v>
      </c>
      <c r="J82" s="66">
        <v>0.0</v>
      </c>
      <c r="K82" s="66">
        <v>0.0</v>
      </c>
      <c r="L82" s="66">
        <v>0.0</v>
      </c>
      <c r="M82" s="66">
        <v>0.0</v>
      </c>
      <c r="N82" s="66">
        <v>0.0</v>
      </c>
      <c r="O82" s="66">
        <v>1.0</v>
      </c>
      <c r="P82" s="66">
        <v>3.0</v>
      </c>
      <c r="Q82" s="66">
        <v>3.0</v>
      </c>
      <c r="R82" s="66">
        <v>1.0</v>
      </c>
      <c r="S82" s="66">
        <v>0.0</v>
      </c>
      <c r="T82" s="66">
        <v>0.0</v>
      </c>
      <c r="U82" s="66">
        <v>0.0</v>
      </c>
      <c r="V82" s="66">
        <v>0.0</v>
      </c>
      <c r="W82" s="66">
        <v>0.0</v>
      </c>
      <c r="X82" s="66">
        <v>1.0</v>
      </c>
      <c r="Y82" s="66">
        <v>1.0</v>
      </c>
      <c r="Z82" s="66">
        <v>1.0</v>
      </c>
      <c r="AA82" s="66">
        <v>0.0</v>
      </c>
      <c r="AB82" s="66">
        <v>0.0</v>
      </c>
      <c r="AC82" s="66">
        <v>0.0</v>
      </c>
      <c r="AD82" s="66">
        <v>3.0</v>
      </c>
      <c r="AE82" s="66">
        <v>2.0</v>
      </c>
      <c r="AF82" s="66">
        <v>1.0</v>
      </c>
      <c r="AG82" s="66">
        <v>0.0</v>
      </c>
      <c r="AH82" s="66">
        <v>0.0</v>
      </c>
      <c r="AI82" s="66">
        <v>0.0</v>
      </c>
      <c r="AJ82" s="66">
        <v>1.0</v>
      </c>
      <c r="AK82" s="13">
        <f t="shared" si="8"/>
        <v>19</v>
      </c>
    </row>
    <row r="83" ht="12.75" customHeight="1">
      <c r="A83" s="18"/>
      <c r="B83" s="49"/>
      <c r="C83" s="50" t="s">
        <v>71</v>
      </c>
      <c r="D83" s="51"/>
      <c r="E83" s="66">
        <v>0.0</v>
      </c>
      <c r="F83" s="66">
        <v>1.0</v>
      </c>
      <c r="G83" s="66">
        <v>0.0</v>
      </c>
      <c r="H83" s="66">
        <v>1.0</v>
      </c>
      <c r="I83" s="66">
        <v>0.0</v>
      </c>
      <c r="J83" s="66">
        <v>0.0</v>
      </c>
      <c r="K83" s="66">
        <v>2.0</v>
      </c>
      <c r="L83" s="66">
        <v>1.0</v>
      </c>
      <c r="M83" s="66">
        <v>0.0</v>
      </c>
      <c r="N83" s="66">
        <v>0.0</v>
      </c>
      <c r="O83" s="66">
        <v>10.0</v>
      </c>
      <c r="P83" s="66">
        <v>47.0</v>
      </c>
      <c r="Q83" s="66">
        <v>46.0</v>
      </c>
      <c r="R83" s="66">
        <v>54.0</v>
      </c>
      <c r="S83" s="66">
        <v>34.0</v>
      </c>
      <c r="T83" s="66">
        <v>29.0</v>
      </c>
      <c r="U83" s="66">
        <v>5.0</v>
      </c>
      <c r="V83" s="66">
        <v>47.0</v>
      </c>
      <c r="W83" s="66">
        <v>135.0</v>
      </c>
      <c r="X83" s="66">
        <v>101.0</v>
      </c>
      <c r="Y83" s="66">
        <v>8.0</v>
      </c>
      <c r="Z83" s="66">
        <v>13.0</v>
      </c>
      <c r="AA83" s="66">
        <v>10.0</v>
      </c>
      <c r="AB83" s="66">
        <v>11.0</v>
      </c>
      <c r="AC83" s="66">
        <v>39.0</v>
      </c>
      <c r="AD83" s="66">
        <v>29.0</v>
      </c>
      <c r="AE83" s="66">
        <v>127.0</v>
      </c>
      <c r="AF83" s="66">
        <v>89.0</v>
      </c>
      <c r="AG83" s="66">
        <v>46.0</v>
      </c>
      <c r="AH83" s="66">
        <v>27.0</v>
      </c>
      <c r="AI83" s="66">
        <v>70.0</v>
      </c>
      <c r="AJ83" s="66">
        <v>31.0</v>
      </c>
      <c r="AK83" s="13">
        <f t="shared" si="8"/>
        <v>1013</v>
      </c>
    </row>
    <row r="84" ht="12.75" customHeight="1">
      <c r="A84" s="18"/>
      <c r="B84" s="49"/>
      <c r="C84" s="50" t="s">
        <v>72</v>
      </c>
      <c r="D84" s="51"/>
      <c r="E84" s="66">
        <v>0.0</v>
      </c>
      <c r="F84" s="66">
        <v>0.0</v>
      </c>
      <c r="G84" s="66">
        <v>0.0</v>
      </c>
      <c r="H84" s="66">
        <v>0.0</v>
      </c>
      <c r="I84" s="66">
        <v>0.0</v>
      </c>
      <c r="J84" s="66">
        <v>0.0</v>
      </c>
      <c r="K84" s="66">
        <v>0.0</v>
      </c>
      <c r="L84" s="66">
        <v>0.0</v>
      </c>
      <c r="M84" s="66">
        <v>0.0</v>
      </c>
      <c r="N84" s="66">
        <v>0.0</v>
      </c>
      <c r="O84" s="66">
        <v>0.0</v>
      </c>
      <c r="P84" s="66">
        <v>0.0</v>
      </c>
      <c r="Q84" s="66">
        <v>1.0</v>
      </c>
      <c r="R84" s="66">
        <v>2.0</v>
      </c>
      <c r="S84" s="66">
        <v>1.0</v>
      </c>
      <c r="T84" s="66">
        <v>0.0</v>
      </c>
      <c r="U84" s="66">
        <v>0.0</v>
      </c>
      <c r="V84" s="66">
        <v>0.0</v>
      </c>
      <c r="W84" s="66">
        <v>0.0</v>
      </c>
      <c r="X84" s="66">
        <v>0.0</v>
      </c>
      <c r="Y84" s="66">
        <v>0.0</v>
      </c>
      <c r="Z84" s="66">
        <v>0.0</v>
      </c>
      <c r="AA84" s="66">
        <v>0.0</v>
      </c>
      <c r="AB84" s="66">
        <v>0.0</v>
      </c>
      <c r="AC84" s="66">
        <v>1.0</v>
      </c>
      <c r="AD84" s="66">
        <v>0.0</v>
      </c>
      <c r="AE84" s="66">
        <v>0.0</v>
      </c>
      <c r="AF84" s="66">
        <v>1.0</v>
      </c>
      <c r="AG84" s="66">
        <v>1.0</v>
      </c>
      <c r="AH84" s="66">
        <v>0.0</v>
      </c>
      <c r="AI84" s="66">
        <v>0.0</v>
      </c>
      <c r="AJ84" s="66">
        <v>0.0</v>
      </c>
      <c r="AK84" s="13">
        <f t="shared" si="8"/>
        <v>7</v>
      </c>
    </row>
    <row r="85" ht="12.75" customHeight="1">
      <c r="A85" s="18"/>
      <c r="B85" s="49"/>
      <c r="C85" s="50" t="s">
        <v>73</v>
      </c>
      <c r="D85" s="51"/>
      <c r="E85" s="66">
        <v>0.0</v>
      </c>
      <c r="F85" s="66">
        <v>0.0</v>
      </c>
      <c r="G85" s="66">
        <v>0.0</v>
      </c>
      <c r="H85" s="66">
        <v>0.0</v>
      </c>
      <c r="I85" s="66">
        <v>0.0</v>
      </c>
      <c r="J85" s="66">
        <v>0.0</v>
      </c>
      <c r="K85" s="66">
        <v>0.0</v>
      </c>
      <c r="L85" s="66">
        <v>0.0</v>
      </c>
      <c r="M85" s="66">
        <v>0.0</v>
      </c>
      <c r="N85" s="66">
        <v>0.0</v>
      </c>
      <c r="O85" s="66">
        <v>0.0</v>
      </c>
      <c r="P85" s="66">
        <v>0.0</v>
      </c>
      <c r="Q85" s="66">
        <v>0.0</v>
      </c>
      <c r="R85" s="66">
        <v>0.0</v>
      </c>
      <c r="S85" s="66">
        <v>0.0</v>
      </c>
      <c r="T85" s="66">
        <v>0.0</v>
      </c>
      <c r="U85" s="66">
        <v>0.0</v>
      </c>
      <c r="V85" s="66">
        <v>0.0</v>
      </c>
      <c r="W85" s="66">
        <v>0.0</v>
      </c>
      <c r="X85" s="66">
        <v>0.0</v>
      </c>
      <c r="Y85" s="66">
        <v>0.0</v>
      </c>
      <c r="Z85" s="66">
        <v>0.0</v>
      </c>
      <c r="AA85" s="66">
        <v>0.0</v>
      </c>
      <c r="AB85" s="66">
        <v>0.0</v>
      </c>
      <c r="AC85" s="66">
        <v>0.0</v>
      </c>
      <c r="AD85" s="66">
        <v>0.0</v>
      </c>
      <c r="AE85" s="66">
        <v>0.0</v>
      </c>
      <c r="AF85" s="66">
        <v>0.0</v>
      </c>
      <c r="AG85" s="66">
        <v>0.0</v>
      </c>
      <c r="AH85" s="66">
        <v>0.0</v>
      </c>
      <c r="AI85" s="66">
        <v>0.0</v>
      </c>
      <c r="AJ85" s="66">
        <v>0.0</v>
      </c>
      <c r="AK85" s="13">
        <f t="shared" si="8"/>
        <v>0</v>
      </c>
    </row>
    <row r="86" ht="12.75" customHeight="1">
      <c r="A86" s="18"/>
      <c r="B86" s="49"/>
      <c r="C86" s="50" t="s">
        <v>74</v>
      </c>
      <c r="D86" s="51"/>
      <c r="E86" s="66">
        <v>0.0</v>
      </c>
      <c r="F86" s="66">
        <v>0.0</v>
      </c>
      <c r="G86" s="66">
        <v>0.0</v>
      </c>
      <c r="H86" s="66">
        <v>0.0</v>
      </c>
      <c r="I86" s="66">
        <v>1.0</v>
      </c>
      <c r="J86" s="66">
        <v>1.0</v>
      </c>
      <c r="K86" s="66">
        <v>0.0</v>
      </c>
      <c r="L86" s="66">
        <v>0.0</v>
      </c>
      <c r="M86" s="66">
        <v>0.0</v>
      </c>
      <c r="N86" s="66">
        <v>0.0</v>
      </c>
      <c r="O86" s="66">
        <v>0.0</v>
      </c>
      <c r="P86" s="66">
        <v>1.0</v>
      </c>
      <c r="Q86" s="66">
        <v>0.0</v>
      </c>
      <c r="R86" s="66">
        <v>0.0</v>
      </c>
      <c r="S86" s="66">
        <v>0.0</v>
      </c>
      <c r="T86" s="66">
        <v>0.0</v>
      </c>
      <c r="U86" s="66">
        <v>0.0</v>
      </c>
      <c r="V86" s="66">
        <v>0.0</v>
      </c>
      <c r="W86" s="66">
        <v>0.0</v>
      </c>
      <c r="X86" s="66">
        <v>0.0</v>
      </c>
      <c r="Y86" s="66">
        <v>0.0</v>
      </c>
      <c r="Z86" s="66">
        <v>0.0</v>
      </c>
      <c r="AA86" s="66">
        <v>0.0</v>
      </c>
      <c r="AB86" s="66">
        <v>0.0</v>
      </c>
      <c r="AC86" s="66">
        <v>0.0</v>
      </c>
      <c r="AD86" s="66">
        <v>0.0</v>
      </c>
      <c r="AE86" s="66">
        <v>0.0</v>
      </c>
      <c r="AF86" s="66">
        <v>1.0</v>
      </c>
      <c r="AG86" s="66">
        <v>0.0</v>
      </c>
      <c r="AH86" s="66">
        <v>0.0</v>
      </c>
      <c r="AI86" s="66">
        <v>1.0</v>
      </c>
      <c r="AJ86" s="66">
        <v>0.0</v>
      </c>
      <c r="AK86" s="13">
        <f t="shared" si="8"/>
        <v>5</v>
      </c>
    </row>
    <row r="87" ht="12.75" customHeight="1">
      <c r="A87" s="18"/>
      <c r="B87" s="49"/>
      <c r="C87" s="50" t="s">
        <v>75</v>
      </c>
      <c r="D87" s="51"/>
      <c r="E87" s="66">
        <v>0.0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0.0</v>
      </c>
      <c r="O87" s="66">
        <v>0.0</v>
      </c>
      <c r="P87" s="66">
        <v>0.0</v>
      </c>
      <c r="Q87" s="66">
        <v>0.0</v>
      </c>
      <c r="R87" s="66">
        <v>0.0</v>
      </c>
      <c r="S87" s="66">
        <v>0.0</v>
      </c>
      <c r="T87" s="66">
        <v>0.0</v>
      </c>
      <c r="U87" s="66">
        <v>0.0</v>
      </c>
      <c r="V87" s="66">
        <v>0.0</v>
      </c>
      <c r="W87" s="66">
        <v>0.0</v>
      </c>
      <c r="X87" s="66">
        <v>0.0</v>
      </c>
      <c r="Y87" s="66">
        <v>0.0</v>
      </c>
      <c r="Z87" s="66">
        <v>0.0</v>
      </c>
      <c r="AA87" s="66">
        <v>0.0</v>
      </c>
      <c r="AB87" s="66">
        <v>0.0</v>
      </c>
      <c r="AC87" s="66">
        <v>0.0</v>
      </c>
      <c r="AD87" s="66">
        <v>0.0</v>
      </c>
      <c r="AE87" s="66">
        <v>0.0</v>
      </c>
      <c r="AF87" s="66">
        <v>0.0</v>
      </c>
      <c r="AG87" s="66">
        <v>0.0</v>
      </c>
      <c r="AH87" s="66">
        <v>0.0</v>
      </c>
      <c r="AI87" s="66">
        <v>0.0</v>
      </c>
      <c r="AJ87" s="66">
        <v>0.0</v>
      </c>
      <c r="AK87" s="13">
        <f t="shared" si="8"/>
        <v>0</v>
      </c>
    </row>
    <row r="88" ht="12.75" customHeight="1">
      <c r="A88" s="19" t="s">
        <v>15</v>
      </c>
      <c r="B88" s="47" t="s">
        <v>46</v>
      </c>
      <c r="C88" s="15"/>
      <c r="D88" s="16"/>
      <c r="E88" s="13">
        <f t="shared" ref="E88:AJ88" si="13">SUM(E81:E87)</f>
        <v>2</v>
      </c>
      <c r="F88" s="13">
        <f t="shared" si="13"/>
        <v>1</v>
      </c>
      <c r="G88" s="13">
        <f t="shared" si="13"/>
        <v>0</v>
      </c>
      <c r="H88" s="13">
        <f t="shared" si="13"/>
        <v>1</v>
      </c>
      <c r="I88" s="13">
        <f t="shared" si="13"/>
        <v>1</v>
      </c>
      <c r="J88" s="13">
        <f t="shared" si="13"/>
        <v>1</v>
      </c>
      <c r="K88" s="13">
        <f t="shared" si="13"/>
        <v>3</v>
      </c>
      <c r="L88" s="13">
        <f t="shared" si="13"/>
        <v>1</v>
      </c>
      <c r="M88" s="13">
        <f t="shared" si="13"/>
        <v>0</v>
      </c>
      <c r="N88" s="13">
        <f t="shared" si="13"/>
        <v>0</v>
      </c>
      <c r="O88" s="13">
        <f t="shared" si="13"/>
        <v>13</v>
      </c>
      <c r="P88" s="13">
        <f t="shared" si="13"/>
        <v>59</v>
      </c>
      <c r="Q88" s="13">
        <f t="shared" si="13"/>
        <v>54</v>
      </c>
      <c r="R88" s="13">
        <f t="shared" si="13"/>
        <v>63</v>
      </c>
      <c r="S88" s="13">
        <f t="shared" si="13"/>
        <v>36</v>
      </c>
      <c r="T88" s="13">
        <f t="shared" si="13"/>
        <v>30</v>
      </c>
      <c r="U88" s="13">
        <f t="shared" si="13"/>
        <v>5</v>
      </c>
      <c r="V88" s="13">
        <f t="shared" si="13"/>
        <v>47</v>
      </c>
      <c r="W88" s="13">
        <f t="shared" si="13"/>
        <v>136</v>
      </c>
      <c r="X88" s="13">
        <f t="shared" si="13"/>
        <v>106</v>
      </c>
      <c r="Y88" s="13">
        <f t="shared" si="13"/>
        <v>11</v>
      </c>
      <c r="Z88" s="13">
        <f t="shared" si="13"/>
        <v>14</v>
      </c>
      <c r="AA88" s="13">
        <f t="shared" si="13"/>
        <v>10</v>
      </c>
      <c r="AB88" s="13">
        <f t="shared" si="13"/>
        <v>11</v>
      </c>
      <c r="AC88" s="13">
        <f t="shared" si="13"/>
        <v>42</v>
      </c>
      <c r="AD88" s="13">
        <f t="shared" si="13"/>
        <v>33</v>
      </c>
      <c r="AE88" s="13">
        <f t="shared" si="13"/>
        <v>137</v>
      </c>
      <c r="AF88" s="13">
        <f t="shared" si="13"/>
        <v>96</v>
      </c>
      <c r="AG88" s="13">
        <f t="shared" si="13"/>
        <v>49</v>
      </c>
      <c r="AH88" s="13">
        <f t="shared" si="13"/>
        <v>29</v>
      </c>
      <c r="AI88" s="13">
        <f t="shared" si="13"/>
        <v>71</v>
      </c>
      <c r="AJ88" s="13">
        <f t="shared" si="13"/>
        <v>33</v>
      </c>
      <c r="AK88" s="13">
        <f t="shared" si="8"/>
        <v>1095</v>
      </c>
    </row>
    <row r="89" ht="12.75" customHeight="1">
      <c r="A89" s="56"/>
      <c r="B89" s="57"/>
      <c r="C89" s="57"/>
      <c r="D89" s="57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13">
        <f t="shared" si="8"/>
        <v>0</v>
      </c>
    </row>
    <row r="90" ht="12.75" customHeight="1">
      <c r="A90" s="30" t="s">
        <v>37</v>
      </c>
      <c r="B90" s="47" t="s">
        <v>76</v>
      </c>
      <c r="C90" s="48" t="s">
        <v>77</v>
      </c>
      <c r="D90" s="16"/>
      <c r="E90" s="66">
        <v>0.0</v>
      </c>
      <c r="F90" s="66">
        <v>0.0</v>
      </c>
      <c r="G90" s="66">
        <v>0.0</v>
      </c>
      <c r="H90" s="66">
        <v>1.0</v>
      </c>
      <c r="I90" s="66">
        <v>0.0</v>
      </c>
      <c r="J90" s="66">
        <v>0.0</v>
      </c>
      <c r="K90" s="66">
        <v>0.0</v>
      </c>
      <c r="L90" s="66">
        <v>0.0</v>
      </c>
      <c r="M90" s="66">
        <v>1.0</v>
      </c>
      <c r="N90" s="66">
        <v>0.0</v>
      </c>
      <c r="O90" s="66">
        <v>0.0</v>
      </c>
      <c r="P90" s="66">
        <v>0.0</v>
      </c>
      <c r="Q90" s="66">
        <v>0.0</v>
      </c>
      <c r="R90" s="66">
        <v>0.0</v>
      </c>
      <c r="S90" s="66">
        <v>0.0</v>
      </c>
      <c r="T90" s="66">
        <v>0.0</v>
      </c>
      <c r="U90" s="66">
        <v>0.0</v>
      </c>
      <c r="V90" s="66">
        <v>0.0</v>
      </c>
      <c r="W90" s="66">
        <v>0.0</v>
      </c>
      <c r="X90" s="66">
        <v>1.0</v>
      </c>
      <c r="Y90" s="66">
        <v>0.0</v>
      </c>
      <c r="Z90" s="66">
        <v>0.0</v>
      </c>
      <c r="AA90" s="66">
        <v>1.0</v>
      </c>
      <c r="AB90" s="66">
        <v>0.0</v>
      </c>
      <c r="AC90" s="66">
        <v>0.0</v>
      </c>
      <c r="AD90" s="66">
        <v>0.0</v>
      </c>
      <c r="AE90" s="66">
        <v>0.0</v>
      </c>
      <c r="AF90" s="66">
        <v>0.0</v>
      </c>
      <c r="AG90" s="66">
        <v>0.0</v>
      </c>
      <c r="AH90" s="66">
        <v>0.0</v>
      </c>
      <c r="AI90" s="66">
        <v>0.0</v>
      </c>
      <c r="AJ90" s="66">
        <v>0.0</v>
      </c>
      <c r="AK90" s="13">
        <f t="shared" si="8"/>
        <v>4</v>
      </c>
    </row>
    <row r="91" ht="12.75" customHeight="1">
      <c r="A91" s="30" t="s">
        <v>39</v>
      </c>
      <c r="B91" s="49"/>
      <c r="C91" s="50" t="s">
        <v>78</v>
      </c>
      <c r="D91" s="16"/>
      <c r="E91" s="66">
        <v>0.0</v>
      </c>
      <c r="F91" s="66">
        <v>0.0</v>
      </c>
      <c r="G91" s="66">
        <v>1.0</v>
      </c>
      <c r="H91" s="66">
        <v>0.0</v>
      </c>
      <c r="I91" s="66">
        <v>0.0</v>
      </c>
      <c r="J91" s="66">
        <v>0.0</v>
      </c>
      <c r="K91" s="66">
        <v>0.0</v>
      </c>
      <c r="L91" s="66">
        <v>0.0</v>
      </c>
      <c r="M91" s="66">
        <v>0.0</v>
      </c>
      <c r="N91" s="66">
        <v>0.0</v>
      </c>
      <c r="O91" s="66">
        <v>0.0</v>
      </c>
      <c r="P91" s="66">
        <v>0.0</v>
      </c>
      <c r="Q91" s="66">
        <v>0.0</v>
      </c>
      <c r="R91" s="66">
        <v>0.0</v>
      </c>
      <c r="S91" s="66">
        <v>0.0</v>
      </c>
      <c r="T91" s="66">
        <v>0.0</v>
      </c>
      <c r="U91" s="66">
        <v>0.0</v>
      </c>
      <c r="V91" s="66">
        <v>0.0</v>
      </c>
      <c r="W91" s="66">
        <v>0.0</v>
      </c>
      <c r="X91" s="66">
        <v>0.0</v>
      </c>
      <c r="Y91" s="66">
        <v>0.0</v>
      </c>
      <c r="Z91" s="66">
        <v>0.0</v>
      </c>
      <c r="AA91" s="66">
        <v>0.0</v>
      </c>
      <c r="AB91" s="66">
        <v>0.0</v>
      </c>
      <c r="AC91" s="66">
        <v>0.0</v>
      </c>
      <c r="AD91" s="66">
        <v>0.0</v>
      </c>
      <c r="AE91" s="66">
        <v>0.0</v>
      </c>
      <c r="AF91" s="66">
        <v>0.0</v>
      </c>
      <c r="AG91" s="66">
        <v>0.0</v>
      </c>
      <c r="AH91" s="66">
        <v>0.0</v>
      </c>
      <c r="AI91" s="66">
        <v>0.0</v>
      </c>
      <c r="AJ91" s="66">
        <v>0.0</v>
      </c>
      <c r="AK91" s="13">
        <f t="shared" si="8"/>
        <v>1</v>
      </c>
    </row>
    <row r="92" ht="12.75" customHeight="1">
      <c r="A92" s="19" t="s">
        <v>15</v>
      </c>
      <c r="B92" s="47" t="s">
        <v>46</v>
      </c>
      <c r="C92" s="15"/>
      <c r="D92" s="16"/>
      <c r="E92" s="58">
        <f t="shared" ref="E92:AJ92" si="14">SUM(E90:E91)</f>
        <v>0</v>
      </c>
      <c r="F92" s="58">
        <f t="shared" si="14"/>
        <v>0</v>
      </c>
      <c r="G92" s="58">
        <f t="shared" si="14"/>
        <v>1</v>
      </c>
      <c r="H92" s="58">
        <f t="shared" si="14"/>
        <v>1</v>
      </c>
      <c r="I92" s="58">
        <f t="shared" si="14"/>
        <v>0</v>
      </c>
      <c r="J92" s="58">
        <f t="shared" si="14"/>
        <v>0</v>
      </c>
      <c r="K92" s="58">
        <f t="shared" si="14"/>
        <v>0</v>
      </c>
      <c r="L92" s="58">
        <f t="shared" si="14"/>
        <v>0</v>
      </c>
      <c r="M92" s="58">
        <f t="shared" si="14"/>
        <v>1</v>
      </c>
      <c r="N92" s="58">
        <f t="shared" si="14"/>
        <v>0</v>
      </c>
      <c r="O92" s="58">
        <f t="shared" si="14"/>
        <v>0</v>
      </c>
      <c r="P92" s="58">
        <f t="shared" si="14"/>
        <v>0</v>
      </c>
      <c r="Q92" s="58">
        <f t="shared" si="14"/>
        <v>0</v>
      </c>
      <c r="R92" s="58">
        <f t="shared" si="14"/>
        <v>0</v>
      </c>
      <c r="S92" s="58">
        <f t="shared" si="14"/>
        <v>0</v>
      </c>
      <c r="T92" s="58">
        <f t="shared" si="14"/>
        <v>0</v>
      </c>
      <c r="U92" s="58">
        <f t="shared" si="14"/>
        <v>0</v>
      </c>
      <c r="V92" s="58">
        <f t="shared" si="14"/>
        <v>0</v>
      </c>
      <c r="W92" s="58">
        <f t="shared" si="14"/>
        <v>0</v>
      </c>
      <c r="X92" s="58">
        <f t="shared" si="14"/>
        <v>1</v>
      </c>
      <c r="Y92" s="58">
        <f t="shared" si="14"/>
        <v>0</v>
      </c>
      <c r="Z92" s="58">
        <f t="shared" si="14"/>
        <v>0</v>
      </c>
      <c r="AA92" s="58">
        <f t="shared" si="14"/>
        <v>1</v>
      </c>
      <c r="AB92" s="58">
        <f t="shared" si="14"/>
        <v>0</v>
      </c>
      <c r="AC92" s="58">
        <f t="shared" si="14"/>
        <v>0</v>
      </c>
      <c r="AD92" s="58">
        <f t="shared" si="14"/>
        <v>0</v>
      </c>
      <c r="AE92" s="58">
        <f t="shared" si="14"/>
        <v>0</v>
      </c>
      <c r="AF92" s="58">
        <f t="shared" si="14"/>
        <v>0</v>
      </c>
      <c r="AG92" s="58">
        <f t="shared" si="14"/>
        <v>0</v>
      </c>
      <c r="AH92" s="58">
        <f t="shared" si="14"/>
        <v>0</v>
      </c>
      <c r="AI92" s="58">
        <f t="shared" si="14"/>
        <v>0</v>
      </c>
      <c r="AJ92" s="58">
        <f t="shared" si="14"/>
        <v>0</v>
      </c>
      <c r="AK92" s="13">
        <f t="shared" si="8"/>
        <v>5</v>
      </c>
    </row>
    <row r="93" ht="12.75" customHeight="1">
      <c r="A93" s="56"/>
      <c r="B93" s="57"/>
      <c r="C93" s="57"/>
      <c r="D93" s="57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13">
        <f t="shared" si="8"/>
        <v>0</v>
      </c>
    </row>
    <row r="94" ht="12.75" customHeight="1">
      <c r="A94" s="30" t="s">
        <v>37</v>
      </c>
      <c r="B94" s="47" t="s">
        <v>79</v>
      </c>
      <c r="C94" s="48" t="s">
        <v>80</v>
      </c>
      <c r="D94" s="16"/>
      <c r="E94" s="66">
        <v>0.0</v>
      </c>
      <c r="F94" s="66">
        <v>0.0</v>
      </c>
      <c r="G94" s="66">
        <v>0.0</v>
      </c>
      <c r="H94" s="66">
        <v>0.0</v>
      </c>
      <c r="I94" s="66">
        <v>0.0</v>
      </c>
      <c r="J94" s="66">
        <v>0.0</v>
      </c>
      <c r="K94" s="66">
        <v>0.0</v>
      </c>
      <c r="L94" s="66">
        <v>0.0</v>
      </c>
      <c r="M94" s="66">
        <v>0.0</v>
      </c>
      <c r="N94" s="66">
        <v>0.0</v>
      </c>
      <c r="O94" s="66">
        <v>0.0</v>
      </c>
      <c r="P94" s="66">
        <v>0.0</v>
      </c>
      <c r="Q94" s="66">
        <v>0.0</v>
      </c>
      <c r="R94" s="66">
        <v>0.0</v>
      </c>
      <c r="S94" s="66">
        <v>0.0</v>
      </c>
      <c r="T94" s="66">
        <v>0.0</v>
      </c>
      <c r="U94" s="66">
        <v>1.0</v>
      </c>
      <c r="V94" s="66">
        <v>0.0</v>
      </c>
      <c r="W94" s="66">
        <v>0.0</v>
      </c>
      <c r="X94" s="66">
        <v>0.0</v>
      </c>
      <c r="Y94" s="66">
        <v>2.0</v>
      </c>
      <c r="Z94" s="66">
        <v>1.0</v>
      </c>
      <c r="AA94" s="66">
        <v>1.0</v>
      </c>
      <c r="AB94" s="66">
        <v>0.0</v>
      </c>
      <c r="AC94" s="66">
        <v>0.0</v>
      </c>
      <c r="AD94" s="66">
        <v>0.0</v>
      </c>
      <c r="AE94" s="66">
        <v>0.0</v>
      </c>
      <c r="AF94" s="66">
        <v>0.0</v>
      </c>
      <c r="AG94" s="66">
        <v>0.0</v>
      </c>
      <c r="AH94" s="66">
        <v>2.0</v>
      </c>
      <c r="AI94" s="66">
        <v>0.0</v>
      </c>
      <c r="AJ94" s="66">
        <v>1.0</v>
      </c>
      <c r="AK94" s="13">
        <f t="shared" si="8"/>
        <v>8</v>
      </c>
    </row>
    <row r="95" ht="12.75" customHeight="1">
      <c r="A95" s="30" t="s">
        <v>39</v>
      </c>
      <c r="B95" s="49"/>
      <c r="C95" s="50" t="s">
        <v>81</v>
      </c>
      <c r="D95" s="51"/>
      <c r="E95" s="66">
        <v>0.0</v>
      </c>
      <c r="F95" s="66">
        <v>0.0</v>
      </c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0.0</v>
      </c>
      <c r="M95" s="66">
        <v>0.0</v>
      </c>
      <c r="N95" s="66">
        <v>0.0</v>
      </c>
      <c r="O95" s="66">
        <v>0.0</v>
      </c>
      <c r="P95" s="66">
        <v>1.0</v>
      </c>
      <c r="Q95" s="66">
        <v>0.0</v>
      </c>
      <c r="R95" s="66">
        <v>0.0</v>
      </c>
      <c r="S95" s="66">
        <v>0.0</v>
      </c>
      <c r="T95" s="66">
        <v>0.0</v>
      </c>
      <c r="U95" s="66">
        <v>0.0</v>
      </c>
      <c r="V95" s="66">
        <v>0.0</v>
      </c>
      <c r="W95" s="66">
        <v>0.0</v>
      </c>
      <c r="X95" s="66">
        <v>0.0</v>
      </c>
      <c r="Y95" s="66">
        <v>1.0</v>
      </c>
      <c r="Z95" s="66">
        <v>0.0</v>
      </c>
      <c r="AA95" s="66">
        <v>0.0</v>
      </c>
      <c r="AB95" s="66">
        <v>0.0</v>
      </c>
      <c r="AC95" s="66">
        <v>0.0</v>
      </c>
      <c r="AD95" s="66">
        <v>0.0</v>
      </c>
      <c r="AE95" s="66">
        <v>0.0</v>
      </c>
      <c r="AF95" s="66">
        <v>0.0</v>
      </c>
      <c r="AG95" s="66">
        <v>0.0</v>
      </c>
      <c r="AH95" s="66">
        <v>0.0</v>
      </c>
      <c r="AI95" s="66">
        <v>0.0</v>
      </c>
      <c r="AJ95" s="66">
        <v>0.0</v>
      </c>
      <c r="AK95" s="13">
        <f t="shared" si="8"/>
        <v>2</v>
      </c>
    </row>
    <row r="96" ht="12.75" customHeight="1">
      <c r="A96" s="30"/>
      <c r="B96" s="49"/>
      <c r="C96" s="50" t="s">
        <v>82</v>
      </c>
      <c r="D96" s="51"/>
      <c r="E96" s="66">
        <v>0.0</v>
      </c>
      <c r="F96" s="66">
        <v>0.0</v>
      </c>
      <c r="G96" s="66">
        <v>0.0</v>
      </c>
      <c r="H96" s="66">
        <v>0.0</v>
      </c>
      <c r="I96" s="66">
        <v>0.0</v>
      </c>
      <c r="J96" s="66">
        <v>0.0</v>
      </c>
      <c r="K96" s="66">
        <v>0.0</v>
      </c>
      <c r="L96" s="66">
        <v>0.0</v>
      </c>
      <c r="M96" s="66">
        <v>0.0</v>
      </c>
      <c r="N96" s="66">
        <v>0.0</v>
      </c>
      <c r="O96" s="66">
        <v>0.0</v>
      </c>
      <c r="P96" s="66">
        <v>0.0</v>
      </c>
      <c r="Q96" s="66">
        <v>0.0</v>
      </c>
      <c r="R96" s="66">
        <v>0.0</v>
      </c>
      <c r="S96" s="66">
        <v>0.0</v>
      </c>
      <c r="T96" s="66">
        <v>0.0</v>
      </c>
      <c r="U96" s="66">
        <v>0.0</v>
      </c>
      <c r="V96" s="66">
        <v>0.0</v>
      </c>
      <c r="W96" s="66">
        <v>0.0</v>
      </c>
      <c r="X96" s="66">
        <v>0.0</v>
      </c>
      <c r="Y96" s="66">
        <v>1.0</v>
      </c>
      <c r="Z96" s="66">
        <v>0.0</v>
      </c>
      <c r="AA96" s="66">
        <v>0.0</v>
      </c>
      <c r="AB96" s="66">
        <v>1.0</v>
      </c>
      <c r="AC96" s="66">
        <v>0.0</v>
      </c>
      <c r="AD96" s="66">
        <v>0.0</v>
      </c>
      <c r="AE96" s="66">
        <v>0.0</v>
      </c>
      <c r="AF96" s="66">
        <v>0.0</v>
      </c>
      <c r="AG96" s="66">
        <v>0.0</v>
      </c>
      <c r="AH96" s="66">
        <v>0.0</v>
      </c>
      <c r="AI96" s="66">
        <v>0.0</v>
      </c>
      <c r="AJ96" s="66">
        <v>0.0</v>
      </c>
      <c r="AK96" s="13">
        <f t="shared" si="8"/>
        <v>2</v>
      </c>
    </row>
    <row r="97" ht="12.75" customHeight="1">
      <c r="A97" s="30"/>
      <c r="B97" s="49"/>
      <c r="C97" s="50" t="s">
        <v>83</v>
      </c>
      <c r="D97" s="51"/>
      <c r="E97" s="66">
        <v>0.0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0.0</v>
      </c>
      <c r="N97" s="66">
        <v>0.0</v>
      </c>
      <c r="O97" s="66">
        <v>0.0</v>
      </c>
      <c r="P97" s="66">
        <v>0.0</v>
      </c>
      <c r="Q97" s="66">
        <v>0.0</v>
      </c>
      <c r="R97" s="66">
        <v>0.0</v>
      </c>
      <c r="S97" s="66">
        <v>0.0</v>
      </c>
      <c r="T97" s="66">
        <v>0.0</v>
      </c>
      <c r="U97" s="66">
        <v>0.0</v>
      </c>
      <c r="V97" s="66">
        <v>1.0</v>
      </c>
      <c r="W97" s="66">
        <v>0.0</v>
      </c>
      <c r="X97" s="66">
        <v>0.0</v>
      </c>
      <c r="Y97" s="66">
        <v>0.0</v>
      </c>
      <c r="Z97" s="66">
        <v>0.0</v>
      </c>
      <c r="AA97" s="66">
        <v>0.0</v>
      </c>
      <c r="AB97" s="66">
        <v>1.0</v>
      </c>
      <c r="AC97" s="66">
        <v>0.0</v>
      </c>
      <c r="AD97" s="66">
        <v>0.0</v>
      </c>
      <c r="AE97" s="66">
        <v>0.0</v>
      </c>
      <c r="AF97" s="66">
        <v>0.0</v>
      </c>
      <c r="AG97" s="66">
        <v>0.0</v>
      </c>
      <c r="AH97" s="66">
        <v>0.0</v>
      </c>
      <c r="AI97" s="66">
        <v>1.0</v>
      </c>
      <c r="AJ97" s="66">
        <v>0.0</v>
      </c>
      <c r="AK97" s="13">
        <f t="shared" si="8"/>
        <v>3</v>
      </c>
    </row>
    <row r="98" ht="12.75" customHeight="1">
      <c r="A98" s="30"/>
      <c r="B98" s="49"/>
      <c r="C98" s="50" t="s">
        <v>84</v>
      </c>
      <c r="D98" s="51"/>
      <c r="E98" s="66">
        <v>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0.0</v>
      </c>
      <c r="P98" s="66">
        <v>0.0</v>
      </c>
      <c r="Q98" s="66">
        <v>0.0</v>
      </c>
      <c r="R98" s="66">
        <v>0.0</v>
      </c>
      <c r="S98" s="66">
        <v>0.0</v>
      </c>
      <c r="T98" s="66">
        <v>0.0</v>
      </c>
      <c r="U98" s="66">
        <v>0.0</v>
      </c>
      <c r="V98" s="66">
        <v>0.0</v>
      </c>
      <c r="W98" s="66">
        <v>0.0</v>
      </c>
      <c r="X98" s="66">
        <v>0.0</v>
      </c>
      <c r="Y98" s="66">
        <v>0.0</v>
      </c>
      <c r="Z98" s="66">
        <v>0.0</v>
      </c>
      <c r="AA98" s="66">
        <v>0.0</v>
      </c>
      <c r="AB98" s="66">
        <v>0.0</v>
      </c>
      <c r="AC98" s="66">
        <v>0.0</v>
      </c>
      <c r="AD98" s="66">
        <v>0.0</v>
      </c>
      <c r="AE98" s="66">
        <v>0.0</v>
      </c>
      <c r="AF98" s="66">
        <v>0.0</v>
      </c>
      <c r="AG98" s="66">
        <v>0.0</v>
      </c>
      <c r="AH98" s="66">
        <v>0.0</v>
      </c>
      <c r="AI98" s="66">
        <v>0.0</v>
      </c>
      <c r="AJ98" s="66">
        <v>0.0</v>
      </c>
      <c r="AK98" s="13">
        <f t="shared" si="8"/>
        <v>0</v>
      </c>
    </row>
    <row r="99" ht="12.75" customHeight="1">
      <c r="A99" s="30"/>
      <c r="B99" s="49"/>
      <c r="C99" s="50" t="s">
        <v>85</v>
      </c>
      <c r="D99" s="51"/>
      <c r="E99" s="66">
        <v>0.0</v>
      </c>
      <c r="F99" s="66">
        <v>0.0</v>
      </c>
      <c r="G99" s="66">
        <v>0.0</v>
      </c>
      <c r="H99" s="66">
        <v>0.0</v>
      </c>
      <c r="I99" s="66">
        <v>0.0</v>
      </c>
      <c r="J99" s="66">
        <v>0.0</v>
      </c>
      <c r="K99" s="66">
        <v>0.0</v>
      </c>
      <c r="L99" s="66">
        <v>0.0</v>
      </c>
      <c r="M99" s="66">
        <v>0.0</v>
      </c>
      <c r="N99" s="66">
        <v>0.0</v>
      </c>
      <c r="O99" s="66">
        <v>0.0</v>
      </c>
      <c r="P99" s="66">
        <v>0.0</v>
      </c>
      <c r="Q99" s="66">
        <v>0.0</v>
      </c>
      <c r="R99" s="66">
        <v>0.0</v>
      </c>
      <c r="S99" s="66">
        <v>0.0</v>
      </c>
      <c r="T99" s="66">
        <v>0.0</v>
      </c>
      <c r="U99" s="66">
        <v>0.0</v>
      </c>
      <c r="V99" s="66">
        <v>0.0</v>
      </c>
      <c r="W99" s="66">
        <v>0.0</v>
      </c>
      <c r="X99" s="66">
        <v>0.0</v>
      </c>
      <c r="Y99" s="66">
        <v>0.0</v>
      </c>
      <c r="Z99" s="66">
        <v>0.0</v>
      </c>
      <c r="AA99" s="66">
        <v>0.0</v>
      </c>
      <c r="AB99" s="66">
        <v>0.0</v>
      </c>
      <c r="AC99" s="66">
        <v>0.0</v>
      </c>
      <c r="AD99" s="66">
        <v>0.0</v>
      </c>
      <c r="AE99" s="66">
        <v>0.0</v>
      </c>
      <c r="AF99" s="66">
        <v>0.0</v>
      </c>
      <c r="AG99" s="66">
        <v>0.0</v>
      </c>
      <c r="AH99" s="66">
        <v>0.0</v>
      </c>
      <c r="AI99" s="66">
        <v>0.0</v>
      </c>
      <c r="AJ99" s="66">
        <v>0.0</v>
      </c>
      <c r="AK99" s="13">
        <f t="shared" si="8"/>
        <v>0</v>
      </c>
    </row>
    <row r="100" ht="12.75" customHeight="1">
      <c r="A100" s="30"/>
      <c r="B100" s="49"/>
      <c r="C100" s="50" t="s">
        <v>86</v>
      </c>
      <c r="D100" s="51"/>
      <c r="E100" s="66">
        <v>0.0</v>
      </c>
      <c r="F100" s="66">
        <v>0.0</v>
      </c>
      <c r="G100" s="66">
        <v>0.0</v>
      </c>
      <c r="H100" s="66">
        <v>0.0</v>
      </c>
      <c r="I100" s="66">
        <v>0.0</v>
      </c>
      <c r="J100" s="66">
        <v>0.0</v>
      </c>
      <c r="K100" s="66">
        <v>0.0</v>
      </c>
      <c r="L100" s="66">
        <v>0.0</v>
      </c>
      <c r="M100" s="66">
        <v>0.0</v>
      </c>
      <c r="N100" s="66">
        <v>0.0</v>
      </c>
      <c r="O100" s="66">
        <v>0.0</v>
      </c>
      <c r="P100" s="66">
        <v>0.0</v>
      </c>
      <c r="Q100" s="66">
        <v>0.0</v>
      </c>
      <c r="R100" s="66">
        <v>0.0</v>
      </c>
      <c r="S100" s="66">
        <v>0.0</v>
      </c>
      <c r="T100" s="66">
        <v>0.0</v>
      </c>
      <c r="U100" s="66">
        <v>0.0</v>
      </c>
      <c r="V100" s="66">
        <v>0.0</v>
      </c>
      <c r="W100" s="66">
        <v>0.0</v>
      </c>
      <c r="X100" s="66">
        <v>0.0</v>
      </c>
      <c r="Y100" s="66">
        <v>0.0</v>
      </c>
      <c r="Z100" s="66">
        <v>0.0</v>
      </c>
      <c r="AA100" s="66">
        <v>0.0</v>
      </c>
      <c r="AB100" s="66">
        <v>0.0</v>
      </c>
      <c r="AC100" s="66">
        <v>0.0</v>
      </c>
      <c r="AD100" s="66">
        <v>0.0</v>
      </c>
      <c r="AE100" s="66">
        <v>0.0</v>
      </c>
      <c r="AF100" s="66">
        <v>0.0</v>
      </c>
      <c r="AG100" s="66">
        <v>0.0</v>
      </c>
      <c r="AH100" s="66">
        <v>0.0</v>
      </c>
      <c r="AI100" s="66">
        <v>0.0</v>
      </c>
      <c r="AJ100" s="66">
        <v>0.0</v>
      </c>
      <c r="AK100" s="13">
        <f t="shared" si="8"/>
        <v>0</v>
      </c>
    </row>
    <row r="101" ht="12.75" customHeight="1">
      <c r="A101" s="19" t="s">
        <v>15</v>
      </c>
      <c r="B101" s="47" t="s">
        <v>46</v>
      </c>
      <c r="C101" s="15"/>
      <c r="D101" s="16"/>
      <c r="E101" s="13">
        <f t="shared" ref="E101:AJ101" si="15">SUM(E94:E100)</f>
        <v>0</v>
      </c>
      <c r="F101" s="13">
        <f t="shared" si="15"/>
        <v>0</v>
      </c>
      <c r="G101" s="13">
        <f t="shared" si="15"/>
        <v>0</v>
      </c>
      <c r="H101" s="13">
        <f t="shared" si="15"/>
        <v>0</v>
      </c>
      <c r="I101" s="13">
        <f t="shared" si="15"/>
        <v>0</v>
      </c>
      <c r="J101" s="13">
        <f t="shared" si="15"/>
        <v>0</v>
      </c>
      <c r="K101" s="13">
        <f t="shared" si="15"/>
        <v>0</v>
      </c>
      <c r="L101" s="13">
        <f t="shared" si="15"/>
        <v>0</v>
      </c>
      <c r="M101" s="13">
        <f t="shared" si="15"/>
        <v>0</v>
      </c>
      <c r="N101" s="13">
        <f t="shared" si="15"/>
        <v>0</v>
      </c>
      <c r="O101" s="13">
        <f t="shared" si="15"/>
        <v>0</v>
      </c>
      <c r="P101" s="13">
        <f t="shared" si="15"/>
        <v>1</v>
      </c>
      <c r="Q101" s="13">
        <f t="shared" si="15"/>
        <v>0</v>
      </c>
      <c r="R101" s="13">
        <f t="shared" si="15"/>
        <v>0</v>
      </c>
      <c r="S101" s="13">
        <f t="shared" si="15"/>
        <v>0</v>
      </c>
      <c r="T101" s="13">
        <f t="shared" si="15"/>
        <v>0</v>
      </c>
      <c r="U101" s="13">
        <f t="shared" si="15"/>
        <v>1</v>
      </c>
      <c r="V101" s="13">
        <f t="shared" si="15"/>
        <v>1</v>
      </c>
      <c r="W101" s="13">
        <f t="shared" si="15"/>
        <v>0</v>
      </c>
      <c r="X101" s="13">
        <f t="shared" si="15"/>
        <v>0</v>
      </c>
      <c r="Y101" s="13">
        <f t="shared" si="15"/>
        <v>4</v>
      </c>
      <c r="Z101" s="13">
        <f t="shared" si="15"/>
        <v>1</v>
      </c>
      <c r="AA101" s="13">
        <f t="shared" si="15"/>
        <v>1</v>
      </c>
      <c r="AB101" s="13">
        <f t="shared" si="15"/>
        <v>2</v>
      </c>
      <c r="AC101" s="13">
        <f t="shared" si="15"/>
        <v>0</v>
      </c>
      <c r="AD101" s="13">
        <f t="shared" si="15"/>
        <v>0</v>
      </c>
      <c r="AE101" s="13">
        <f t="shared" si="15"/>
        <v>0</v>
      </c>
      <c r="AF101" s="13">
        <f t="shared" si="15"/>
        <v>0</v>
      </c>
      <c r="AG101" s="13">
        <f t="shared" si="15"/>
        <v>0</v>
      </c>
      <c r="AH101" s="13">
        <f t="shared" si="15"/>
        <v>2</v>
      </c>
      <c r="AI101" s="13">
        <f t="shared" si="15"/>
        <v>1</v>
      </c>
      <c r="AJ101" s="13">
        <f t="shared" si="15"/>
        <v>1</v>
      </c>
      <c r="AK101" s="13">
        <f t="shared" si="8"/>
        <v>15</v>
      </c>
    </row>
    <row r="102" ht="12.75" customHeight="1">
      <c r="A102" s="56"/>
      <c r="B102" s="57"/>
      <c r="C102" s="57"/>
      <c r="D102" s="57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13">
        <f t="shared" si="8"/>
        <v>0</v>
      </c>
    </row>
    <row r="103" ht="12.75" customHeight="1">
      <c r="A103" s="30" t="s">
        <v>37</v>
      </c>
      <c r="B103" s="47" t="s">
        <v>87</v>
      </c>
      <c r="C103" s="48" t="s">
        <v>88</v>
      </c>
      <c r="D103" s="16"/>
      <c r="E103" s="66">
        <v>1.0</v>
      </c>
      <c r="F103" s="66">
        <v>0.0</v>
      </c>
      <c r="G103" s="66">
        <v>1.0</v>
      </c>
      <c r="H103" s="66">
        <v>0.0</v>
      </c>
      <c r="I103" s="66">
        <v>0.0</v>
      </c>
      <c r="J103" s="66">
        <v>0.0</v>
      </c>
      <c r="K103" s="66">
        <v>0.0</v>
      </c>
      <c r="L103" s="66">
        <v>0.0</v>
      </c>
      <c r="M103" s="66">
        <v>0.0</v>
      </c>
      <c r="N103" s="66">
        <v>0.0</v>
      </c>
      <c r="O103" s="66">
        <v>0.0</v>
      </c>
      <c r="P103" s="66">
        <v>0.0</v>
      </c>
      <c r="Q103" s="66">
        <v>0.0</v>
      </c>
      <c r="R103" s="66">
        <v>0.0</v>
      </c>
      <c r="S103" s="66">
        <v>0.0</v>
      </c>
      <c r="T103" s="66">
        <v>0.0</v>
      </c>
      <c r="U103" s="66">
        <v>0.0</v>
      </c>
      <c r="V103" s="66">
        <v>0.0</v>
      </c>
      <c r="W103" s="66">
        <v>0.0</v>
      </c>
      <c r="X103" s="66">
        <v>0.0</v>
      </c>
      <c r="Y103" s="66">
        <v>0.0</v>
      </c>
      <c r="Z103" s="66">
        <v>0.0</v>
      </c>
      <c r="AA103" s="66">
        <v>0.0</v>
      </c>
      <c r="AB103" s="66">
        <v>0.0</v>
      </c>
      <c r="AC103" s="66">
        <v>1.0</v>
      </c>
      <c r="AD103" s="66">
        <v>0.0</v>
      </c>
      <c r="AE103" s="66">
        <v>0.0</v>
      </c>
      <c r="AF103" s="66">
        <v>0.0</v>
      </c>
      <c r="AG103" s="66">
        <v>0.0</v>
      </c>
      <c r="AH103" s="66">
        <v>0.0</v>
      </c>
      <c r="AI103" s="66">
        <v>0.0</v>
      </c>
      <c r="AJ103" s="66">
        <v>0.0</v>
      </c>
      <c r="AK103" s="13">
        <f t="shared" si="8"/>
        <v>3</v>
      </c>
    </row>
    <row r="104" ht="12.75" customHeight="1">
      <c r="A104" s="30" t="s">
        <v>39</v>
      </c>
      <c r="B104" s="49"/>
      <c r="C104" s="50" t="s">
        <v>89</v>
      </c>
      <c r="D104" s="51"/>
      <c r="E104" s="66">
        <v>0.0</v>
      </c>
      <c r="F104" s="66">
        <v>0.0</v>
      </c>
      <c r="G104" s="66">
        <v>0.0</v>
      </c>
      <c r="H104" s="66">
        <v>0.0</v>
      </c>
      <c r="I104" s="66">
        <v>0.0</v>
      </c>
      <c r="J104" s="66">
        <v>0.0</v>
      </c>
      <c r="K104" s="66">
        <v>0.0</v>
      </c>
      <c r="L104" s="66">
        <v>0.0</v>
      </c>
      <c r="M104" s="66">
        <v>0.0</v>
      </c>
      <c r="N104" s="66">
        <v>0.0</v>
      </c>
      <c r="O104" s="66">
        <v>0.0</v>
      </c>
      <c r="P104" s="66">
        <v>0.0</v>
      </c>
      <c r="Q104" s="66">
        <v>0.0</v>
      </c>
      <c r="R104" s="66">
        <v>0.0</v>
      </c>
      <c r="S104" s="66">
        <v>0.0</v>
      </c>
      <c r="T104" s="66">
        <v>1.0</v>
      </c>
      <c r="U104" s="66">
        <v>0.0</v>
      </c>
      <c r="V104" s="66">
        <v>0.0</v>
      </c>
      <c r="W104" s="66">
        <v>0.0</v>
      </c>
      <c r="X104" s="66">
        <v>0.0</v>
      </c>
      <c r="Y104" s="66">
        <v>0.0</v>
      </c>
      <c r="Z104" s="66">
        <v>0.0</v>
      </c>
      <c r="AA104" s="66">
        <v>0.0</v>
      </c>
      <c r="AB104" s="66">
        <v>0.0</v>
      </c>
      <c r="AC104" s="66">
        <v>0.0</v>
      </c>
      <c r="AD104" s="66">
        <v>0.0</v>
      </c>
      <c r="AE104" s="66">
        <v>0.0</v>
      </c>
      <c r="AF104" s="66">
        <v>0.0</v>
      </c>
      <c r="AG104" s="66">
        <v>0.0</v>
      </c>
      <c r="AH104" s="66">
        <v>0.0</v>
      </c>
      <c r="AI104" s="66">
        <v>0.0</v>
      </c>
      <c r="AJ104" s="66">
        <v>0.0</v>
      </c>
      <c r="AK104" s="13">
        <f t="shared" si="8"/>
        <v>1</v>
      </c>
    </row>
    <row r="105" ht="12.75" customHeight="1">
      <c r="A105" s="18"/>
      <c r="B105" s="49"/>
      <c r="C105" s="50" t="s">
        <v>90</v>
      </c>
      <c r="D105" s="51"/>
      <c r="E105" s="66">
        <v>0.0</v>
      </c>
      <c r="F105" s="66">
        <v>0.0</v>
      </c>
      <c r="G105" s="66">
        <v>0.0</v>
      </c>
      <c r="H105" s="66">
        <v>0.0</v>
      </c>
      <c r="I105" s="66">
        <v>0.0</v>
      </c>
      <c r="J105" s="66">
        <v>1.0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66">
        <v>0.0</v>
      </c>
      <c r="Q105" s="66">
        <v>0.0</v>
      </c>
      <c r="R105" s="66">
        <v>0.0</v>
      </c>
      <c r="S105" s="66">
        <v>0.0</v>
      </c>
      <c r="T105" s="66">
        <v>0.0</v>
      </c>
      <c r="U105" s="66">
        <v>0.0</v>
      </c>
      <c r="V105" s="66">
        <v>0.0</v>
      </c>
      <c r="W105" s="66">
        <v>0.0</v>
      </c>
      <c r="X105" s="66">
        <v>0.0</v>
      </c>
      <c r="Y105" s="66">
        <v>0.0</v>
      </c>
      <c r="Z105" s="66">
        <v>0.0</v>
      </c>
      <c r="AA105" s="66">
        <v>0.0</v>
      </c>
      <c r="AB105" s="66">
        <v>0.0</v>
      </c>
      <c r="AC105" s="66">
        <v>0.0</v>
      </c>
      <c r="AD105" s="66">
        <v>0.0</v>
      </c>
      <c r="AE105" s="66">
        <v>0.0</v>
      </c>
      <c r="AF105" s="66">
        <v>0.0</v>
      </c>
      <c r="AG105" s="66">
        <v>0.0</v>
      </c>
      <c r="AH105" s="66">
        <v>0.0</v>
      </c>
      <c r="AI105" s="66">
        <v>0.0</v>
      </c>
      <c r="AJ105" s="66">
        <v>0.0</v>
      </c>
      <c r="AK105" s="13">
        <f t="shared" si="8"/>
        <v>1</v>
      </c>
    </row>
    <row r="106" ht="12.75" customHeight="1">
      <c r="A106" s="18"/>
      <c r="B106" s="49"/>
      <c r="C106" s="50" t="s">
        <v>91</v>
      </c>
      <c r="D106" s="51"/>
      <c r="E106" s="66">
        <v>0.0</v>
      </c>
      <c r="F106" s="66">
        <v>0.0</v>
      </c>
      <c r="G106" s="66">
        <v>0.0</v>
      </c>
      <c r="H106" s="66">
        <v>0.0</v>
      </c>
      <c r="I106" s="66">
        <v>0.0</v>
      </c>
      <c r="J106" s="66">
        <v>0.0</v>
      </c>
      <c r="K106" s="66">
        <v>0.0</v>
      </c>
      <c r="L106" s="66">
        <v>0.0</v>
      </c>
      <c r="M106" s="66">
        <v>0.0</v>
      </c>
      <c r="N106" s="66">
        <v>0.0</v>
      </c>
      <c r="O106" s="66">
        <v>0.0</v>
      </c>
      <c r="P106" s="66">
        <v>0.0</v>
      </c>
      <c r="Q106" s="66">
        <v>0.0</v>
      </c>
      <c r="R106" s="66">
        <v>1.0</v>
      </c>
      <c r="S106" s="66">
        <v>0.0</v>
      </c>
      <c r="T106" s="66">
        <v>0.0</v>
      </c>
      <c r="U106" s="66">
        <v>0.0</v>
      </c>
      <c r="V106" s="66">
        <v>0.0</v>
      </c>
      <c r="W106" s="66">
        <v>0.0</v>
      </c>
      <c r="X106" s="66">
        <v>0.0</v>
      </c>
      <c r="Y106" s="66">
        <v>0.0</v>
      </c>
      <c r="Z106" s="66">
        <v>0.0</v>
      </c>
      <c r="AA106" s="66">
        <v>0.0</v>
      </c>
      <c r="AB106" s="66">
        <v>0.0</v>
      </c>
      <c r="AC106" s="66">
        <v>0.0</v>
      </c>
      <c r="AD106" s="66">
        <v>0.0</v>
      </c>
      <c r="AE106" s="66">
        <v>0.0</v>
      </c>
      <c r="AF106" s="66">
        <v>0.0</v>
      </c>
      <c r="AG106" s="66">
        <v>0.0</v>
      </c>
      <c r="AH106" s="66">
        <v>0.0</v>
      </c>
      <c r="AI106" s="66">
        <v>0.0</v>
      </c>
      <c r="AJ106" s="66">
        <v>0.0</v>
      </c>
      <c r="AK106" s="13">
        <f t="shared" si="8"/>
        <v>1</v>
      </c>
    </row>
    <row r="107" ht="12.75" customHeight="1">
      <c r="A107" s="18"/>
      <c r="B107" s="49"/>
      <c r="C107" s="50" t="s">
        <v>92</v>
      </c>
      <c r="D107" s="51"/>
      <c r="E107" s="66">
        <v>4.0</v>
      </c>
      <c r="F107" s="66">
        <v>0.0</v>
      </c>
      <c r="G107" s="66">
        <v>0.0</v>
      </c>
      <c r="H107" s="66">
        <v>0.0</v>
      </c>
      <c r="I107" s="66">
        <v>0.0</v>
      </c>
      <c r="J107" s="66">
        <v>0.0</v>
      </c>
      <c r="K107" s="66">
        <v>0.0</v>
      </c>
      <c r="L107" s="66">
        <v>0.0</v>
      </c>
      <c r="M107" s="66">
        <v>0.0</v>
      </c>
      <c r="N107" s="66">
        <v>0.0</v>
      </c>
      <c r="O107" s="66">
        <v>0.0</v>
      </c>
      <c r="P107" s="66">
        <v>0.0</v>
      </c>
      <c r="Q107" s="66">
        <v>0.0</v>
      </c>
      <c r="R107" s="66">
        <v>0.0</v>
      </c>
      <c r="S107" s="66">
        <v>0.0</v>
      </c>
      <c r="T107" s="66">
        <v>0.0</v>
      </c>
      <c r="U107" s="66">
        <v>0.0</v>
      </c>
      <c r="V107" s="66">
        <v>0.0</v>
      </c>
      <c r="W107" s="66">
        <v>0.0</v>
      </c>
      <c r="X107" s="66">
        <v>0.0</v>
      </c>
      <c r="Y107" s="66">
        <v>0.0</v>
      </c>
      <c r="Z107" s="66">
        <v>0.0</v>
      </c>
      <c r="AA107" s="66">
        <v>0.0</v>
      </c>
      <c r="AB107" s="66">
        <v>0.0</v>
      </c>
      <c r="AC107" s="66">
        <v>0.0</v>
      </c>
      <c r="AD107" s="66">
        <v>0.0</v>
      </c>
      <c r="AE107" s="66">
        <v>0.0</v>
      </c>
      <c r="AF107" s="66">
        <v>0.0</v>
      </c>
      <c r="AG107" s="66">
        <v>0.0</v>
      </c>
      <c r="AH107" s="66">
        <v>0.0</v>
      </c>
      <c r="AI107" s="66">
        <v>0.0</v>
      </c>
      <c r="AJ107" s="66">
        <v>0.0</v>
      </c>
      <c r="AK107" s="13">
        <f t="shared" si="8"/>
        <v>4</v>
      </c>
    </row>
    <row r="108" ht="12.75" customHeight="1">
      <c r="A108" s="18"/>
      <c r="B108" s="49"/>
      <c r="C108" s="50" t="s">
        <v>93</v>
      </c>
      <c r="D108" s="51"/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0.0</v>
      </c>
      <c r="N108" s="66">
        <v>0.0</v>
      </c>
      <c r="O108" s="66">
        <v>0.0</v>
      </c>
      <c r="P108" s="66">
        <v>0.0</v>
      </c>
      <c r="Q108" s="66">
        <v>0.0</v>
      </c>
      <c r="R108" s="66">
        <v>0.0</v>
      </c>
      <c r="S108" s="66">
        <v>0.0</v>
      </c>
      <c r="T108" s="66">
        <v>0.0</v>
      </c>
      <c r="U108" s="66">
        <v>0.0</v>
      </c>
      <c r="V108" s="66">
        <v>0.0</v>
      </c>
      <c r="W108" s="66">
        <v>0.0</v>
      </c>
      <c r="X108" s="66">
        <v>0.0</v>
      </c>
      <c r="Y108" s="66">
        <v>0.0</v>
      </c>
      <c r="Z108" s="66">
        <v>0.0</v>
      </c>
      <c r="AA108" s="66">
        <v>0.0</v>
      </c>
      <c r="AB108" s="66">
        <v>0.0</v>
      </c>
      <c r="AC108" s="66">
        <v>0.0</v>
      </c>
      <c r="AD108" s="66">
        <v>0.0</v>
      </c>
      <c r="AE108" s="66">
        <v>0.0</v>
      </c>
      <c r="AF108" s="66">
        <v>0.0</v>
      </c>
      <c r="AG108" s="66">
        <v>0.0</v>
      </c>
      <c r="AH108" s="66">
        <v>0.0</v>
      </c>
      <c r="AI108" s="66">
        <v>0.0</v>
      </c>
      <c r="AJ108" s="66">
        <v>0.0</v>
      </c>
      <c r="AK108" s="13">
        <f t="shared" si="8"/>
        <v>0</v>
      </c>
    </row>
    <row r="109" ht="12.75" customHeight="1">
      <c r="A109" s="18"/>
      <c r="B109" s="49"/>
      <c r="C109" s="50" t="s">
        <v>94</v>
      </c>
      <c r="D109" s="51"/>
      <c r="E109" s="66">
        <v>0.0</v>
      </c>
      <c r="F109" s="66">
        <v>0.0</v>
      </c>
      <c r="G109" s="66">
        <v>0.0</v>
      </c>
      <c r="H109" s="66">
        <v>1.0</v>
      </c>
      <c r="I109" s="66">
        <v>0.0</v>
      </c>
      <c r="J109" s="66">
        <v>0.0</v>
      </c>
      <c r="K109" s="66">
        <v>0.0</v>
      </c>
      <c r="L109" s="66">
        <v>0.0</v>
      </c>
      <c r="M109" s="66">
        <v>0.0</v>
      </c>
      <c r="N109" s="66">
        <v>0.0</v>
      </c>
      <c r="O109" s="66">
        <v>0.0</v>
      </c>
      <c r="P109" s="66">
        <v>0.0</v>
      </c>
      <c r="Q109" s="66">
        <v>0.0</v>
      </c>
      <c r="R109" s="66">
        <v>0.0</v>
      </c>
      <c r="S109" s="66">
        <v>0.0</v>
      </c>
      <c r="T109" s="66">
        <v>0.0</v>
      </c>
      <c r="U109" s="66">
        <v>0.0</v>
      </c>
      <c r="V109" s="66">
        <v>0.0</v>
      </c>
      <c r="W109" s="66">
        <v>0.0</v>
      </c>
      <c r="X109" s="66">
        <v>0.0</v>
      </c>
      <c r="Y109" s="66">
        <v>0.0</v>
      </c>
      <c r="Z109" s="66">
        <v>0.0</v>
      </c>
      <c r="AA109" s="66">
        <v>0.0</v>
      </c>
      <c r="AB109" s="66">
        <v>0.0</v>
      </c>
      <c r="AC109" s="66">
        <v>0.0</v>
      </c>
      <c r="AD109" s="66">
        <v>0.0</v>
      </c>
      <c r="AE109" s="66">
        <v>0.0</v>
      </c>
      <c r="AF109" s="66">
        <v>0.0</v>
      </c>
      <c r="AG109" s="66">
        <v>0.0</v>
      </c>
      <c r="AH109" s="66">
        <v>0.0</v>
      </c>
      <c r="AI109" s="66">
        <v>0.0</v>
      </c>
      <c r="AJ109" s="66">
        <v>0.0</v>
      </c>
      <c r="AK109" s="13">
        <f t="shared" si="8"/>
        <v>1</v>
      </c>
    </row>
    <row r="110" ht="12.75" customHeight="1">
      <c r="A110" s="19" t="s">
        <v>15</v>
      </c>
      <c r="B110" s="47" t="s">
        <v>46</v>
      </c>
      <c r="C110" s="15"/>
      <c r="D110" s="16"/>
      <c r="E110" s="13">
        <f t="shared" ref="E110:AJ110" si="16">SUM(E103:E109)</f>
        <v>5</v>
      </c>
      <c r="F110" s="13">
        <f t="shared" si="16"/>
        <v>0</v>
      </c>
      <c r="G110" s="13">
        <f t="shared" si="16"/>
        <v>1</v>
      </c>
      <c r="H110" s="13">
        <f t="shared" si="16"/>
        <v>1</v>
      </c>
      <c r="I110" s="13">
        <f t="shared" si="16"/>
        <v>0</v>
      </c>
      <c r="J110" s="13">
        <f t="shared" si="16"/>
        <v>1</v>
      </c>
      <c r="K110" s="13">
        <f t="shared" si="16"/>
        <v>0</v>
      </c>
      <c r="L110" s="13">
        <f t="shared" si="16"/>
        <v>0</v>
      </c>
      <c r="M110" s="13">
        <f t="shared" si="16"/>
        <v>0</v>
      </c>
      <c r="N110" s="13">
        <f t="shared" si="16"/>
        <v>0</v>
      </c>
      <c r="O110" s="13">
        <f t="shared" si="16"/>
        <v>0</v>
      </c>
      <c r="P110" s="13">
        <f t="shared" si="16"/>
        <v>0</v>
      </c>
      <c r="Q110" s="13">
        <f t="shared" si="16"/>
        <v>0</v>
      </c>
      <c r="R110" s="13">
        <f t="shared" si="16"/>
        <v>1</v>
      </c>
      <c r="S110" s="13">
        <f t="shared" si="16"/>
        <v>0</v>
      </c>
      <c r="T110" s="13">
        <f t="shared" si="16"/>
        <v>1</v>
      </c>
      <c r="U110" s="13">
        <f t="shared" si="16"/>
        <v>0</v>
      </c>
      <c r="V110" s="13">
        <f t="shared" si="16"/>
        <v>0</v>
      </c>
      <c r="W110" s="13">
        <f t="shared" si="16"/>
        <v>0</v>
      </c>
      <c r="X110" s="13">
        <f t="shared" si="16"/>
        <v>0</v>
      </c>
      <c r="Y110" s="13">
        <f t="shared" si="16"/>
        <v>0</v>
      </c>
      <c r="Z110" s="13">
        <f t="shared" si="16"/>
        <v>0</v>
      </c>
      <c r="AA110" s="13">
        <f t="shared" si="16"/>
        <v>0</v>
      </c>
      <c r="AB110" s="13">
        <f t="shared" si="16"/>
        <v>0</v>
      </c>
      <c r="AC110" s="13">
        <f t="shared" si="16"/>
        <v>1</v>
      </c>
      <c r="AD110" s="13">
        <f t="shared" si="16"/>
        <v>0</v>
      </c>
      <c r="AE110" s="13">
        <f t="shared" si="16"/>
        <v>0</v>
      </c>
      <c r="AF110" s="13">
        <f t="shared" si="16"/>
        <v>0</v>
      </c>
      <c r="AG110" s="13">
        <f t="shared" si="16"/>
        <v>0</v>
      </c>
      <c r="AH110" s="13">
        <f t="shared" si="16"/>
        <v>0</v>
      </c>
      <c r="AI110" s="13">
        <f t="shared" si="16"/>
        <v>0</v>
      </c>
      <c r="AJ110" s="13">
        <f t="shared" si="16"/>
        <v>0</v>
      </c>
      <c r="AK110" s="13">
        <f t="shared" si="8"/>
        <v>11</v>
      </c>
    </row>
    <row r="111" ht="12.75" customHeight="1">
      <c r="A111" s="56"/>
      <c r="B111" s="57"/>
      <c r="C111" s="57"/>
      <c r="D111" s="57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13">
        <f t="shared" si="8"/>
        <v>0</v>
      </c>
    </row>
    <row r="112" ht="12.75" customHeight="1">
      <c r="A112" s="30" t="s">
        <v>37</v>
      </c>
      <c r="B112" s="47" t="s">
        <v>95</v>
      </c>
      <c r="C112" s="48" t="s">
        <v>96</v>
      </c>
      <c r="D112" s="16"/>
      <c r="E112" s="66">
        <v>0.0</v>
      </c>
      <c r="F112" s="66">
        <v>0.0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66">
        <v>0.0</v>
      </c>
      <c r="Q112" s="66">
        <v>0.0</v>
      </c>
      <c r="R112" s="66">
        <v>0.0</v>
      </c>
      <c r="S112" s="66">
        <v>0.0</v>
      </c>
      <c r="T112" s="66">
        <v>0.0</v>
      </c>
      <c r="U112" s="66">
        <v>0.0</v>
      </c>
      <c r="V112" s="66">
        <v>0.0</v>
      </c>
      <c r="W112" s="66">
        <v>0.0</v>
      </c>
      <c r="X112" s="66">
        <v>0.0</v>
      </c>
      <c r="Y112" s="66">
        <v>0.0</v>
      </c>
      <c r="Z112" s="66">
        <v>0.0</v>
      </c>
      <c r="AA112" s="66">
        <v>0.0</v>
      </c>
      <c r="AB112" s="66">
        <v>0.0</v>
      </c>
      <c r="AC112" s="66">
        <v>0.0</v>
      </c>
      <c r="AD112" s="66">
        <v>0.0</v>
      </c>
      <c r="AE112" s="66">
        <v>0.0</v>
      </c>
      <c r="AF112" s="66">
        <v>0.0</v>
      </c>
      <c r="AG112" s="66">
        <v>0.0</v>
      </c>
      <c r="AH112" s="66">
        <v>0.0</v>
      </c>
      <c r="AI112" s="66">
        <v>0.0</v>
      </c>
      <c r="AJ112" s="66">
        <v>0.0</v>
      </c>
      <c r="AK112" s="13">
        <f t="shared" si="8"/>
        <v>0</v>
      </c>
    </row>
    <row r="113" ht="12.75" customHeight="1">
      <c r="A113" s="30"/>
      <c r="B113" s="47"/>
      <c r="C113" s="50" t="s">
        <v>97</v>
      </c>
      <c r="D113" s="59"/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66">
        <v>0.0</v>
      </c>
      <c r="Q113" s="66">
        <v>1.0</v>
      </c>
      <c r="R113" s="66">
        <v>0.0</v>
      </c>
      <c r="S113" s="66">
        <v>0.0</v>
      </c>
      <c r="T113" s="66">
        <v>0.0</v>
      </c>
      <c r="U113" s="66">
        <v>0.0</v>
      </c>
      <c r="V113" s="66">
        <v>0.0</v>
      </c>
      <c r="W113" s="66">
        <v>0.0</v>
      </c>
      <c r="X113" s="66">
        <v>0.0</v>
      </c>
      <c r="Y113" s="66">
        <v>0.0</v>
      </c>
      <c r="Z113" s="66">
        <v>0.0</v>
      </c>
      <c r="AA113" s="66">
        <v>0.0</v>
      </c>
      <c r="AB113" s="66">
        <v>0.0</v>
      </c>
      <c r="AC113" s="66">
        <v>0.0</v>
      </c>
      <c r="AD113" s="66">
        <v>0.0</v>
      </c>
      <c r="AE113" s="66">
        <v>0.0</v>
      </c>
      <c r="AF113" s="66">
        <v>0.0</v>
      </c>
      <c r="AG113" s="66">
        <v>0.0</v>
      </c>
      <c r="AH113" s="66">
        <v>0.0</v>
      </c>
      <c r="AI113" s="66">
        <v>0.0</v>
      </c>
      <c r="AJ113" s="66">
        <v>0.0</v>
      </c>
      <c r="AK113" s="13">
        <f t="shared" si="8"/>
        <v>1</v>
      </c>
    </row>
    <row r="114" ht="12.75" customHeight="1">
      <c r="A114" s="30"/>
      <c r="B114" s="47"/>
      <c r="C114" s="50" t="s">
        <v>98</v>
      </c>
      <c r="D114" s="59"/>
      <c r="E114" s="66">
        <v>0.0</v>
      </c>
      <c r="F114" s="66">
        <v>0.0</v>
      </c>
      <c r="G114" s="66">
        <v>0.0</v>
      </c>
      <c r="H114" s="66">
        <v>0.0</v>
      </c>
      <c r="I114" s="66">
        <v>0.0</v>
      </c>
      <c r="J114" s="66">
        <v>0.0</v>
      </c>
      <c r="K114" s="66">
        <v>0.0</v>
      </c>
      <c r="L114" s="66">
        <v>0.0</v>
      </c>
      <c r="M114" s="66">
        <v>0.0</v>
      </c>
      <c r="N114" s="66">
        <v>0.0</v>
      </c>
      <c r="O114" s="66">
        <v>0.0</v>
      </c>
      <c r="P114" s="66">
        <v>0.0</v>
      </c>
      <c r="Q114" s="66">
        <v>0.0</v>
      </c>
      <c r="R114" s="66">
        <v>1.0</v>
      </c>
      <c r="S114" s="66">
        <v>0.0</v>
      </c>
      <c r="T114" s="66">
        <v>0.0</v>
      </c>
      <c r="U114" s="66">
        <v>0.0</v>
      </c>
      <c r="V114" s="66">
        <v>0.0</v>
      </c>
      <c r="W114" s="66">
        <v>0.0</v>
      </c>
      <c r="X114" s="66">
        <v>0.0</v>
      </c>
      <c r="Y114" s="66">
        <v>0.0</v>
      </c>
      <c r="Z114" s="66">
        <v>0.0</v>
      </c>
      <c r="AA114" s="66">
        <v>0.0</v>
      </c>
      <c r="AB114" s="66">
        <v>0.0</v>
      </c>
      <c r="AC114" s="66">
        <v>0.0</v>
      </c>
      <c r="AD114" s="66">
        <v>0.0</v>
      </c>
      <c r="AE114" s="66">
        <v>1.0</v>
      </c>
      <c r="AF114" s="66">
        <v>0.0</v>
      </c>
      <c r="AG114" s="66">
        <v>0.0</v>
      </c>
      <c r="AH114" s="66">
        <v>0.0</v>
      </c>
      <c r="AI114" s="66">
        <v>0.0</v>
      </c>
      <c r="AJ114" s="66">
        <v>0.0</v>
      </c>
      <c r="AK114" s="13">
        <f t="shared" si="8"/>
        <v>2</v>
      </c>
    </row>
    <row r="115" ht="12.75" customHeight="1">
      <c r="A115" s="30"/>
      <c r="B115" s="47"/>
      <c r="C115" s="50" t="s">
        <v>99</v>
      </c>
      <c r="D115" s="59"/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0.0</v>
      </c>
      <c r="K115" s="66">
        <v>0.0</v>
      </c>
      <c r="L115" s="66">
        <v>0.0</v>
      </c>
      <c r="M115" s="66">
        <v>0.0</v>
      </c>
      <c r="N115" s="66">
        <v>0.0</v>
      </c>
      <c r="O115" s="66">
        <v>0.0</v>
      </c>
      <c r="P115" s="66">
        <v>0.0</v>
      </c>
      <c r="Q115" s="66">
        <v>0.0</v>
      </c>
      <c r="R115" s="66">
        <v>0.0</v>
      </c>
      <c r="S115" s="66">
        <v>0.0</v>
      </c>
      <c r="T115" s="66">
        <v>0.0</v>
      </c>
      <c r="U115" s="66">
        <v>0.0</v>
      </c>
      <c r="V115" s="66">
        <v>0.0</v>
      </c>
      <c r="W115" s="66">
        <v>0.0</v>
      </c>
      <c r="X115" s="66">
        <v>0.0</v>
      </c>
      <c r="Y115" s="66">
        <v>0.0</v>
      </c>
      <c r="Z115" s="66">
        <v>0.0</v>
      </c>
      <c r="AA115" s="66">
        <v>0.0</v>
      </c>
      <c r="AB115" s="66">
        <v>0.0</v>
      </c>
      <c r="AC115" s="66">
        <v>0.0</v>
      </c>
      <c r="AD115" s="66">
        <v>0.0</v>
      </c>
      <c r="AE115" s="66">
        <v>0.0</v>
      </c>
      <c r="AF115" s="66">
        <v>0.0</v>
      </c>
      <c r="AG115" s="66">
        <v>0.0</v>
      </c>
      <c r="AH115" s="66">
        <v>0.0</v>
      </c>
      <c r="AI115" s="66">
        <v>0.0</v>
      </c>
      <c r="AJ115" s="66">
        <v>0.0</v>
      </c>
      <c r="AK115" s="13">
        <f t="shared" si="8"/>
        <v>0</v>
      </c>
    </row>
    <row r="116" ht="12.75" customHeight="1">
      <c r="A116" s="30" t="s">
        <v>39</v>
      </c>
      <c r="B116" s="49"/>
      <c r="C116" s="50" t="s">
        <v>100</v>
      </c>
      <c r="D116" s="51"/>
      <c r="E116" s="66">
        <v>0.0</v>
      </c>
      <c r="F116" s="66">
        <v>0.0</v>
      </c>
      <c r="G116" s="66">
        <v>0.0</v>
      </c>
      <c r="H116" s="66">
        <v>0.0</v>
      </c>
      <c r="I116" s="66">
        <v>0.0</v>
      </c>
      <c r="J116" s="66">
        <v>0.0</v>
      </c>
      <c r="K116" s="66">
        <v>0.0</v>
      </c>
      <c r="L116" s="66">
        <v>0.0</v>
      </c>
      <c r="M116" s="66">
        <v>0.0</v>
      </c>
      <c r="N116" s="66">
        <v>0.0</v>
      </c>
      <c r="O116" s="66">
        <v>0.0</v>
      </c>
      <c r="P116" s="66">
        <v>0.0</v>
      </c>
      <c r="Q116" s="66">
        <v>0.0</v>
      </c>
      <c r="R116" s="66">
        <v>0.0</v>
      </c>
      <c r="S116" s="66">
        <v>0.0</v>
      </c>
      <c r="T116" s="66">
        <v>0.0</v>
      </c>
      <c r="U116" s="66">
        <v>0.0</v>
      </c>
      <c r="V116" s="66">
        <v>0.0</v>
      </c>
      <c r="W116" s="66">
        <v>0.0</v>
      </c>
      <c r="X116" s="66">
        <v>0.0</v>
      </c>
      <c r="Y116" s="66">
        <v>0.0</v>
      </c>
      <c r="Z116" s="66">
        <v>0.0</v>
      </c>
      <c r="AA116" s="66">
        <v>0.0</v>
      </c>
      <c r="AB116" s="66">
        <v>0.0</v>
      </c>
      <c r="AC116" s="66">
        <v>0.0</v>
      </c>
      <c r="AD116" s="66">
        <v>0.0</v>
      </c>
      <c r="AE116" s="66">
        <v>0.0</v>
      </c>
      <c r="AF116" s="66">
        <v>0.0</v>
      </c>
      <c r="AG116" s="66">
        <v>1.0</v>
      </c>
      <c r="AH116" s="66">
        <v>0.0</v>
      </c>
      <c r="AI116" s="66">
        <v>0.0</v>
      </c>
      <c r="AJ116" s="66">
        <v>0.0</v>
      </c>
      <c r="AK116" s="13">
        <f t="shared" si="8"/>
        <v>1</v>
      </c>
    </row>
    <row r="117" ht="12.75" customHeight="1">
      <c r="A117" s="18"/>
      <c r="B117" s="49"/>
      <c r="C117" s="50" t="s">
        <v>101</v>
      </c>
      <c r="D117" s="51"/>
      <c r="E117" s="66">
        <v>0.0</v>
      </c>
      <c r="F117" s="66">
        <v>0.0</v>
      </c>
      <c r="G117" s="66">
        <v>0.0</v>
      </c>
      <c r="H117" s="66">
        <v>0.0</v>
      </c>
      <c r="I117" s="66">
        <v>0.0</v>
      </c>
      <c r="J117" s="66">
        <v>0.0</v>
      </c>
      <c r="K117" s="66">
        <v>0.0</v>
      </c>
      <c r="L117" s="66">
        <v>0.0</v>
      </c>
      <c r="M117" s="66">
        <v>0.0</v>
      </c>
      <c r="N117" s="66">
        <v>0.0</v>
      </c>
      <c r="O117" s="66">
        <v>0.0</v>
      </c>
      <c r="P117" s="66">
        <v>0.0</v>
      </c>
      <c r="Q117" s="66">
        <v>0.0</v>
      </c>
      <c r="R117" s="66">
        <v>0.0</v>
      </c>
      <c r="S117" s="66">
        <v>0.0</v>
      </c>
      <c r="T117" s="66">
        <v>0.0</v>
      </c>
      <c r="U117" s="66">
        <v>0.0</v>
      </c>
      <c r="V117" s="66">
        <v>0.0</v>
      </c>
      <c r="W117" s="66">
        <v>0.0</v>
      </c>
      <c r="X117" s="66">
        <v>0.0</v>
      </c>
      <c r="Y117" s="66">
        <v>0.0</v>
      </c>
      <c r="Z117" s="66">
        <v>0.0</v>
      </c>
      <c r="AA117" s="66">
        <v>0.0</v>
      </c>
      <c r="AB117" s="66">
        <v>0.0</v>
      </c>
      <c r="AC117" s="66">
        <v>0.0</v>
      </c>
      <c r="AD117" s="66">
        <v>0.0</v>
      </c>
      <c r="AE117" s="66">
        <v>0.0</v>
      </c>
      <c r="AF117" s="66">
        <v>0.0</v>
      </c>
      <c r="AG117" s="66">
        <v>0.0</v>
      </c>
      <c r="AH117" s="66">
        <v>0.0</v>
      </c>
      <c r="AI117" s="66">
        <v>0.0</v>
      </c>
      <c r="AJ117" s="66">
        <v>0.0</v>
      </c>
      <c r="AK117" s="13">
        <f t="shared" si="8"/>
        <v>0</v>
      </c>
      <c r="AL117" s="5"/>
      <c r="AM117" s="5"/>
    </row>
    <row r="118" ht="12.75" customHeight="1">
      <c r="A118" s="18"/>
      <c r="B118" s="49"/>
      <c r="C118" s="50" t="s">
        <v>102</v>
      </c>
      <c r="D118" s="51"/>
      <c r="E118" s="66">
        <v>0.0</v>
      </c>
      <c r="F118" s="66">
        <v>0.0</v>
      </c>
      <c r="G118" s="66">
        <v>0.0</v>
      </c>
      <c r="H118" s="66">
        <v>0.0</v>
      </c>
      <c r="I118" s="66">
        <v>0.0</v>
      </c>
      <c r="J118" s="66">
        <v>0.0</v>
      </c>
      <c r="K118" s="66">
        <v>0.0</v>
      </c>
      <c r="L118" s="66">
        <v>0.0</v>
      </c>
      <c r="M118" s="66">
        <v>0.0</v>
      </c>
      <c r="N118" s="66">
        <v>0.0</v>
      </c>
      <c r="O118" s="66">
        <v>0.0</v>
      </c>
      <c r="P118" s="66">
        <v>0.0</v>
      </c>
      <c r="Q118" s="66">
        <v>0.0</v>
      </c>
      <c r="R118" s="66">
        <v>0.0</v>
      </c>
      <c r="S118" s="66">
        <v>0.0</v>
      </c>
      <c r="T118" s="66">
        <v>0.0</v>
      </c>
      <c r="U118" s="66">
        <v>0.0</v>
      </c>
      <c r="V118" s="66">
        <v>0.0</v>
      </c>
      <c r="W118" s="66">
        <v>0.0</v>
      </c>
      <c r="X118" s="66">
        <v>0.0</v>
      </c>
      <c r="Y118" s="66">
        <v>0.0</v>
      </c>
      <c r="Z118" s="66">
        <v>0.0</v>
      </c>
      <c r="AA118" s="66">
        <v>0.0</v>
      </c>
      <c r="AB118" s="66">
        <v>0.0</v>
      </c>
      <c r="AC118" s="66">
        <v>0.0</v>
      </c>
      <c r="AD118" s="66">
        <v>0.0</v>
      </c>
      <c r="AE118" s="66">
        <v>0.0</v>
      </c>
      <c r="AF118" s="66">
        <v>0.0</v>
      </c>
      <c r="AG118" s="66">
        <v>0.0</v>
      </c>
      <c r="AH118" s="66">
        <v>0.0</v>
      </c>
      <c r="AI118" s="66">
        <v>0.0</v>
      </c>
      <c r="AJ118" s="66">
        <v>0.0</v>
      </c>
      <c r="AK118" s="13">
        <f t="shared" si="8"/>
        <v>0</v>
      </c>
      <c r="AL118" s="5"/>
      <c r="AM118" s="5"/>
    </row>
    <row r="119" ht="12.75" customHeight="1">
      <c r="A119" s="19" t="s">
        <v>15</v>
      </c>
      <c r="B119" s="47" t="s">
        <v>46</v>
      </c>
      <c r="C119" s="15"/>
      <c r="D119" s="16"/>
      <c r="E119" s="69">
        <v>0.0</v>
      </c>
      <c r="F119" s="69">
        <v>0.0</v>
      </c>
      <c r="G119" s="69">
        <v>0.0</v>
      </c>
      <c r="H119" s="69">
        <v>0.0</v>
      </c>
      <c r="I119" s="69">
        <v>0.0</v>
      </c>
      <c r="J119" s="69">
        <v>0.0</v>
      </c>
      <c r="K119" s="69">
        <v>0.0</v>
      </c>
      <c r="L119" s="69">
        <v>0.0</v>
      </c>
      <c r="M119" s="69">
        <v>0.0</v>
      </c>
      <c r="N119" s="69">
        <v>0.0</v>
      </c>
      <c r="O119" s="69">
        <v>0.0</v>
      </c>
      <c r="P119" s="69">
        <v>0.0</v>
      </c>
      <c r="Q119" s="69">
        <v>1.0</v>
      </c>
      <c r="R119" s="69">
        <v>1.0</v>
      </c>
      <c r="S119" s="69">
        <v>0.0</v>
      </c>
      <c r="T119" s="13">
        <f t="shared" ref="T119:AJ119" si="17">SUM(T112:T118)</f>
        <v>0</v>
      </c>
      <c r="U119" s="13">
        <f t="shared" si="17"/>
        <v>0</v>
      </c>
      <c r="V119" s="13">
        <f t="shared" si="17"/>
        <v>0</v>
      </c>
      <c r="W119" s="13">
        <f t="shared" si="17"/>
        <v>0</v>
      </c>
      <c r="X119" s="13">
        <f t="shared" si="17"/>
        <v>0</v>
      </c>
      <c r="Y119" s="13">
        <f t="shared" si="17"/>
        <v>0</v>
      </c>
      <c r="Z119" s="13">
        <f t="shared" si="17"/>
        <v>0</v>
      </c>
      <c r="AA119" s="13">
        <f t="shared" si="17"/>
        <v>0</v>
      </c>
      <c r="AB119" s="13">
        <f t="shared" si="17"/>
        <v>0</v>
      </c>
      <c r="AC119" s="13">
        <f t="shared" si="17"/>
        <v>0</v>
      </c>
      <c r="AD119" s="13">
        <f t="shared" si="17"/>
        <v>0</v>
      </c>
      <c r="AE119" s="13">
        <f t="shared" si="17"/>
        <v>1</v>
      </c>
      <c r="AF119" s="13">
        <f t="shared" si="17"/>
        <v>0</v>
      </c>
      <c r="AG119" s="13">
        <f t="shared" si="17"/>
        <v>1</v>
      </c>
      <c r="AH119" s="13">
        <f t="shared" si="17"/>
        <v>0</v>
      </c>
      <c r="AI119" s="13">
        <f t="shared" si="17"/>
        <v>0</v>
      </c>
      <c r="AJ119" s="13">
        <f t="shared" si="17"/>
        <v>0</v>
      </c>
      <c r="AK119" s="13">
        <f t="shared" si="8"/>
        <v>4</v>
      </c>
      <c r="AL119" s="5"/>
      <c r="AM119" s="5"/>
    </row>
    <row r="120" ht="12.75" customHeight="1">
      <c r="A120" s="56"/>
      <c r="B120" s="57"/>
      <c r="C120" s="57"/>
      <c r="D120" s="5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13">
        <f t="shared" si="8"/>
        <v>0</v>
      </c>
      <c r="AL120" s="5"/>
      <c r="AM120" s="5"/>
    </row>
    <row r="121" ht="12.75" customHeight="1">
      <c r="A121" s="30" t="s">
        <v>37</v>
      </c>
      <c r="B121" s="47" t="s">
        <v>103</v>
      </c>
      <c r="C121" s="48" t="s">
        <v>104</v>
      </c>
      <c r="D121" s="16"/>
      <c r="E121" s="66">
        <v>0.0</v>
      </c>
      <c r="F121" s="66">
        <v>0.0</v>
      </c>
      <c r="G121" s="66">
        <v>0.0</v>
      </c>
      <c r="H121" s="66">
        <v>0.0</v>
      </c>
      <c r="I121" s="66">
        <v>0.0</v>
      </c>
      <c r="J121" s="66">
        <v>0.0</v>
      </c>
      <c r="K121" s="66">
        <v>1.0</v>
      </c>
      <c r="L121" s="66">
        <v>0.0</v>
      </c>
      <c r="M121" s="66">
        <v>0.0</v>
      </c>
      <c r="N121" s="66">
        <v>1.0</v>
      </c>
      <c r="O121" s="66">
        <v>0.0</v>
      </c>
      <c r="P121" s="66">
        <v>0.0</v>
      </c>
      <c r="Q121" s="66">
        <v>0.0</v>
      </c>
      <c r="R121" s="66">
        <v>1.0</v>
      </c>
      <c r="S121" s="66">
        <v>0.0</v>
      </c>
      <c r="T121" s="66">
        <v>0.0</v>
      </c>
      <c r="U121" s="66">
        <v>0.0</v>
      </c>
      <c r="V121" s="66">
        <v>0.0</v>
      </c>
      <c r="W121" s="66">
        <v>0.0</v>
      </c>
      <c r="X121" s="66">
        <v>0.0</v>
      </c>
      <c r="Y121" s="66">
        <v>1.0</v>
      </c>
      <c r="Z121" s="66">
        <v>1.0</v>
      </c>
      <c r="AA121" s="66">
        <v>0.0</v>
      </c>
      <c r="AB121" s="66">
        <v>0.0</v>
      </c>
      <c r="AC121" s="66">
        <v>0.0</v>
      </c>
      <c r="AD121" s="66">
        <v>0.0</v>
      </c>
      <c r="AE121" s="66">
        <v>0.0</v>
      </c>
      <c r="AF121" s="66">
        <v>0.0</v>
      </c>
      <c r="AG121" s="66">
        <v>0.0</v>
      </c>
      <c r="AH121" s="66">
        <v>0.0</v>
      </c>
      <c r="AI121" s="66">
        <v>0.0</v>
      </c>
      <c r="AJ121" s="66">
        <v>0.0</v>
      </c>
      <c r="AK121" s="13">
        <f t="shared" si="8"/>
        <v>5</v>
      </c>
      <c r="AL121" s="5"/>
      <c r="AM121" s="5"/>
    </row>
    <row r="122" ht="12.75" customHeight="1">
      <c r="A122" s="30" t="s">
        <v>39</v>
      </c>
      <c r="B122" s="49"/>
      <c r="C122" s="50" t="s">
        <v>105</v>
      </c>
      <c r="D122" s="51"/>
      <c r="E122" s="66">
        <v>0.0</v>
      </c>
      <c r="F122" s="66">
        <v>0.0</v>
      </c>
      <c r="G122" s="66">
        <v>0.0</v>
      </c>
      <c r="H122" s="66">
        <v>0.0</v>
      </c>
      <c r="I122" s="66">
        <v>0.0</v>
      </c>
      <c r="J122" s="66">
        <v>0.0</v>
      </c>
      <c r="K122" s="66">
        <v>0.0</v>
      </c>
      <c r="L122" s="66">
        <v>0.0</v>
      </c>
      <c r="M122" s="66">
        <v>0.0</v>
      </c>
      <c r="N122" s="66">
        <v>0.0</v>
      </c>
      <c r="O122" s="66">
        <v>0.0</v>
      </c>
      <c r="P122" s="66">
        <v>0.0</v>
      </c>
      <c r="Q122" s="66">
        <v>0.0</v>
      </c>
      <c r="R122" s="66">
        <v>0.0</v>
      </c>
      <c r="S122" s="66">
        <v>0.0</v>
      </c>
      <c r="T122" s="66">
        <v>0.0</v>
      </c>
      <c r="U122" s="66">
        <v>0.0</v>
      </c>
      <c r="V122" s="66">
        <v>2.0</v>
      </c>
      <c r="W122" s="66">
        <v>0.0</v>
      </c>
      <c r="X122" s="66">
        <v>0.0</v>
      </c>
      <c r="Y122" s="66">
        <v>0.0</v>
      </c>
      <c r="Z122" s="66">
        <v>0.0</v>
      </c>
      <c r="AA122" s="66">
        <v>0.0</v>
      </c>
      <c r="AB122" s="66">
        <v>0.0</v>
      </c>
      <c r="AC122" s="66">
        <v>0.0</v>
      </c>
      <c r="AD122" s="66">
        <v>0.0</v>
      </c>
      <c r="AE122" s="66">
        <v>0.0</v>
      </c>
      <c r="AF122" s="66">
        <v>0.0</v>
      </c>
      <c r="AG122" s="66">
        <v>0.0</v>
      </c>
      <c r="AH122" s="66">
        <v>0.0</v>
      </c>
      <c r="AI122" s="66">
        <v>0.0</v>
      </c>
      <c r="AJ122" s="66">
        <v>0.0</v>
      </c>
      <c r="AK122" s="13">
        <f t="shared" si="8"/>
        <v>2</v>
      </c>
      <c r="AL122" s="5"/>
      <c r="AM122" s="5"/>
    </row>
    <row r="123" ht="12.75" customHeight="1">
      <c r="A123" s="18"/>
      <c r="B123" s="49"/>
      <c r="C123" s="50" t="s">
        <v>106</v>
      </c>
      <c r="D123" s="51"/>
      <c r="E123" s="66">
        <v>0.0</v>
      </c>
      <c r="F123" s="66">
        <v>0.0</v>
      </c>
      <c r="G123" s="66">
        <v>0.0</v>
      </c>
      <c r="H123" s="66">
        <v>0.0</v>
      </c>
      <c r="I123" s="66">
        <v>0.0</v>
      </c>
      <c r="J123" s="66">
        <v>0.0</v>
      </c>
      <c r="K123" s="66">
        <v>0.0</v>
      </c>
      <c r="L123" s="66">
        <v>0.0</v>
      </c>
      <c r="M123" s="66">
        <v>0.0</v>
      </c>
      <c r="N123" s="66">
        <v>0.0</v>
      </c>
      <c r="O123" s="66">
        <v>0.0</v>
      </c>
      <c r="P123" s="66">
        <v>0.0</v>
      </c>
      <c r="Q123" s="66">
        <v>0.0</v>
      </c>
      <c r="R123" s="66">
        <v>0.0</v>
      </c>
      <c r="S123" s="66">
        <v>0.0</v>
      </c>
      <c r="T123" s="66">
        <v>0.0</v>
      </c>
      <c r="U123" s="66">
        <v>0.0</v>
      </c>
      <c r="V123" s="66">
        <v>0.0</v>
      </c>
      <c r="W123" s="66">
        <v>0.0</v>
      </c>
      <c r="X123" s="66">
        <v>0.0</v>
      </c>
      <c r="Y123" s="66">
        <v>0.0</v>
      </c>
      <c r="Z123" s="66">
        <v>0.0</v>
      </c>
      <c r="AA123" s="66">
        <v>0.0</v>
      </c>
      <c r="AB123" s="66">
        <v>0.0</v>
      </c>
      <c r="AC123" s="66">
        <v>0.0</v>
      </c>
      <c r="AD123" s="66">
        <v>0.0</v>
      </c>
      <c r="AE123" s="66">
        <v>0.0</v>
      </c>
      <c r="AF123" s="66">
        <v>0.0</v>
      </c>
      <c r="AG123" s="66">
        <v>0.0</v>
      </c>
      <c r="AH123" s="66">
        <v>0.0</v>
      </c>
      <c r="AI123" s="66">
        <v>0.0</v>
      </c>
      <c r="AJ123" s="66">
        <v>0.0</v>
      </c>
      <c r="AK123" s="13">
        <f t="shared" si="8"/>
        <v>0</v>
      </c>
      <c r="AL123" s="5"/>
      <c r="AM123" s="5"/>
    </row>
    <row r="124" ht="12.75" customHeight="1">
      <c r="A124" s="18"/>
      <c r="B124" s="49"/>
      <c r="C124" s="50" t="s">
        <v>107</v>
      </c>
      <c r="D124" s="51"/>
      <c r="E124" s="66">
        <v>0.0</v>
      </c>
      <c r="F124" s="66">
        <v>0.0</v>
      </c>
      <c r="G124" s="66">
        <v>0.0</v>
      </c>
      <c r="H124" s="66">
        <v>0.0</v>
      </c>
      <c r="I124" s="66">
        <v>0.0</v>
      </c>
      <c r="J124" s="66">
        <v>0.0</v>
      </c>
      <c r="K124" s="66">
        <v>0.0</v>
      </c>
      <c r="L124" s="66">
        <v>0.0</v>
      </c>
      <c r="M124" s="66">
        <v>0.0</v>
      </c>
      <c r="N124" s="66">
        <v>0.0</v>
      </c>
      <c r="O124" s="66">
        <v>0.0</v>
      </c>
      <c r="P124" s="66">
        <v>0.0</v>
      </c>
      <c r="Q124" s="66">
        <v>0.0</v>
      </c>
      <c r="R124" s="66">
        <v>0.0</v>
      </c>
      <c r="S124" s="66">
        <v>0.0</v>
      </c>
      <c r="T124" s="66">
        <v>0.0</v>
      </c>
      <c r="U124" s="66">
        <v>0.0</v>
      </c>
      <c r="V124" s="66">
        <v>0.0</v>
      </c>
      <c r="W124" s="66">
        <v>0.0</v>
      </c>
      <c r="X124" s="66">
        <v>0.0</v>
      </c>
      <c r="Y124" s="66">
        <v>0.0</v>
      </c>
      <c r="Z124" s="66">
        <v>0.0</v>
      </c>
      <c r="AA124" s="66">
        <v>0.0</v>
      </c>
      <c r="AB124" s="66">
        <v>0.0</v>
      </c>
      <c r="AC124" s="66">
        <v>0.0</v>
      </c>
      <c r="AD124" s="66">
        <v>0.0</v>
      </c>
      <c r="AE124" s="66">
        <v>0.0</v>
      </c>
      <c r="AF124" s="66">
        <v>0.0</v>
      </c>
      <c r="AG124" s="66">
        <v>0.0</v>
      </c>
      <c r="AH124" s="66">
        <v>0.0</v>
      </c>
      <c r="AI124" s="66">
        <v>0.0</v>
      </c>
      <c r="AJ124" s="66">
        <v>0.0</v>
      </c>
      <c r="AK124" s="13">
        <f t="shared" si="8"/>
        <v>0</v>
      </c>
      <c r="AL124" s="5"/>
      <c r="AM124" s="5"/>
    </row>
    <row r="125" ht="12.75" customHeight="1">
      <c r="A125" s="18"/>
      <c r="B125" s="49"/>
      <c r="C125" s="50" t="s">
        <v>108</v>
      </c>
      <c r="D125" s="51"/>
      <c r="E125" s="66">
        <v>0.0</v>
      </c>
      <c r="F125" s="66">
        <v>0.0</v>
      </c>
      <c r="G125" s="66">
        <v>0.0</v>
      </c>
      <c r="H125" s="66">
        <v>0.0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0.0</v>
      </c>
      <c r="S125" s="66">
        <v>0.0</v>
      </c>
      <c r="T125" s="66">
        <v>0.0</v>
      </c>
      <c r="U125" s="66">
        <v>0.0</v>
      </c>
      <c r="V125" s="66">
        <v>0.0</v>
      </c>
      <c r="W125" s="66">
        <v>0.0</v>
      </c>
      <c r="X125" s="66">
        <v>0.0</v>
      </c>
      <c r="Y125" s="66">
        <v>0.0</v>
      </c>
      <c r="Z125" s="66">
        <v>0.0</v>
      </c>
      <c r="AA125" s="66">
        <v>0.0</v>
      </c>
      <c r="AB125" s="66">
        <v>0.0</v>
      </c>
      <c r="AC125" s="66">
        <v>0.0</v>
      </c>
      <c r="AD125" s="66">
        <v>0.0</v>
      </c>
      <c r="AE125" s="66">
        <v>0.0</v>
      </c>
      <c r="AF125" s="66">
        <v>0.0</v>
      </c>
      <c r="AG125" s="66">
        <v>0.0</v>
      </c>
      <c r="AH125" s="66">
        <v>0.0</v>
      </c>
      <c r="AI125" s="66">
        <v>0.0</v>
      </c>
      <c r="AJ125" s="66">
        <v>0.0</v>
      </c>
      <c r="AK125" s="13">
        <f t="shared" si="8"/>
        <v>0</v>
      </c>
      <c r="AL125" s="5"/>
      <c r="AM125" s="5"/>
    </row>
    <row r="126" ht="12.75" customHeight="1">
      <c r="A126" s="18"/>
      <c r="B126" s="49"/>
      <c r="C126" s="50" t="s">
        <v>109</v>
      </c>
      <c r="D126" s="51"/>
      <c r="E126" s="66">
        <v>0.0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0.0</v>
      </c>
      <c r="O126" s="66">
        <v>0.0</v>
      </c>
      <c r="P126" s="66">
        <v>0.0</v>
      </c>
      <c r="Q126" s="66">
        <v>0.0</v>
      </c>
      <c r="R126" s="66">
        <v>0.0</v>
      </c>
      <c r="S126" s="66">
        <v>0.0</v>
      </c>
      <c r="T126" s="66">
        <v>0.0</v>
      </c>
      <c r="U126" s="66">
        <v>0.0</v>
      </c>
      <c r="V126" s="66">
        <v>0.0</v>
      </c>
      <c r="W126" s="66">
        <v>0.0</v>
      </c>
      <c r="X126" s="66">
        <v>0.0</v>
      </c>
      <c r="Y126" s="66">
        <v>0.0</v>
      </c>
      <c r="Z126" s="66">
        <v>0.0</v>
      </c>
      <c r="AA126" s="66">
        <v>0.0</v>
      </c>
      <c r="AB126" s="66">
        <v>0.0</v>
      </c>
      <c r="AC126" s="66">
        <v>0.0</v>
      </c>
      <c r="AD126" s="66">
        <v>0.0</v>
      </c>
      <c r="AE126" s="66">
        <v>0.0</v>
      </c>
      <c r="AF126" s="66">
        <v>0.0</v>
      </c>
      <c r="AG126" s="66">
        <v>0.0</v>
      </c>
      <c r="AH126" s="66">
        <v>0.0</v>
      </c>
      <c r="AI126" s="66">
        <v>0.0</v>
      </c>
      <c r="AJ126" s="66">
        <v>0.0</v>
      </c>
      <c r="AK126" s="13">
        <f t="shared" si="8"/>
        <v>0</v>
      </c>
      <c r="AL126" s="5"/>
      <c r="AM126" s="5"/>
    </row>
    <row r="127" ht="12.75" customHeight="1">
      <c r="A127" s="18"/>
      <c r="B127" s="49"/>
      <c r="C127" s="50" t="s">
        <v>110</v>
      </c>
      <c r="D127" s="51"/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66">
        <v>0.0</v>
      </c>
      <c r="Q127" s="66">
        <v>0.0</v>
      </c>
      <c r="R127" s="66">
        <v>0.0</v>
      </c>
      <c r="S127" s="66">
        <v>0.0</v>
      </c>
      <c r="T127" s="66">
        <v>0.0</v>
      </c>
      <c r="U127" s="66">
        <v>0.0</v>
      </c>
      <c r="V127" s="66">
        <v>0.0</v>
      </c>
      <c r="W127" s="66">
        <v>0.0</v>
      </c>
      <c r="X127" s="66">
        <v>0.0</v>
      </c>
      <c r="Y127" s="66">
        <v>0.0</v>
      </c>
      <c r="Z127" s="66">
        <v>0.0</v>
      </c>
      <c r="AA127" s="66">
        <v>0.0</v>
      </c>
      <c r="AB127" s="66">
        <v>0.0</v>
      </c>
      <c r="AC127" s="66">
        <v>0.0</v>
      </c>
      <c r="AD127" s="66">
        <v>0.0</v>
      </c>
      <c r="AE127" s="66">
        <v>0.0</v>
      </c>
      <c r="AF127" s="66">
        <v>0.0</v>
      </c>
      <c r="AG127" s="66">
        <v>0.0</v>
      </c>
      <c r="AH127" s="66">
        <v>0.0</v>
      </c>
      <c r="AI127" s="66">
        <v>0.0</v>
      </c>
      <c r="AJ127" s="66">
        <v>0.0</v>
      </c>
      <c r="AK127" s="13">
        <f t="shared" si="8"/>
        <v>0</v>
      </c>
      <c r="AL127" s="5"/>
      <c r="AM127" s="5"/>
    </row>
    <row r="128" ht="12.75" customHeight="1">
      <c r="A128" s="19" t="s">
        <v>15</v>
      </c>
      <c r="B128" s="47" t="s">
        <v>46</v>
      </c>
      <c r="C128" s="15"/>
      <c r="D128" s="16"/>
      <c r="E128" s="13">
        <f t="shared" ref="E128:AJ128" si="18">SUM(E121:E127)</f>
        <v>0</v>
      </c>
      <c r="F128" s="13">
        <f t="shared" si="18"/>
        <v>0</v>
      </c>
      <c r="G128" s="13">
        <f t="shared" si="18"/>
        <v>0</v>
      </c>
      <c r="H128" s="13">
        <f t="shared" si="18"/>
        <v>0</v>
      </c>
      <c r="I128" s="13">
        <f t="shared" si="18"/>
        <v>0</v>
      </c>
      <c r="J128" s="13">
        <f t="shared" si="18"/>
        <v>0</v>
      </c>
      <c r="K128" s="13">
        <f t="shared" si="18"/>
        <v>1</v>
      </c>
      <c r="L128" s="13">
        <f t="shared" si="18"/>
        <v>0</v>
      </c>
      <c r="M128" s="13">
        <f t="shared" si="18"/>
        <v>0</v>
      </c>
      <c r="N128" s="13">
        <f t="shared" si="18"/>
        <v>1</v>
      </c>
      <c r="O128" s="13">
        <f t="shared" si="18"/>
        <v>0</v>
      </c>
      <c r="P128" s="13">
        <f t="shared" si="18"/>
        <v>0</v>
      </c>
      <c r="Q128" s="13">
        <f t="shared" si="18"/>
        <v>0</v>
      </c>
      <c r="R128" s="13">
        <f t="shared" si="18"/>
        <v>1</v>
      </c>
      <c r="S128" s="13">
        <f t="shared" si="18"/>
        <v>0</v>
      </c>
      <c r="T128" s="13">
        <f t="shared" si="18"/>
        <v>0</v>
      </c>
      <c r="U128" s="13">
        <f t="shared" si="18"/>
        <v>0</v>
      </c>
      <c r="V128" s="13">
        <f t="shared" si="18"/>
        <v>2</v>
      </c>
      <c r="W128" s="13">
        <f t="shared" si="18"/>
        <v>0</v>
      </c>
      <c r="X128" s="13">
        <f t="shared" si="18"/>
        <v>0</v>
      </c>
      <c r="Y128" s="13">
        <f t="shared" si="18"/>
        <v>1</v>
      </c>
      <c r="Z128" s="13">
        <f t="shared" si="18"/>
        <v>1</v>
      </c>
      <c r="AA128" s="13">
        <f t="shared" si="18"/>
        <v>0</v>
      </c>
      <c r="AB128" s="13">
        <f t="shared" si="18"/>
        <v>0</v>
      </c>
      <c r="AC128" s="13">
        <f t="shared" si="18"/>
        <v>0</v>
      </c>
      <c r="AD128" s="13">
        <f t="shared" si="18"/>
        <v>0</v>
      </c>
      <c r="AE128" s="13">
        <f t="shared" si="18"/>
        <v>0</v>
      </c>
      <c r="AF128" s="13">
        <f t="shared" si="18"/>
        <v>0</v>
      </c>
      <c r="AG128" s="13">
        <f t="shared" si="18"/>
        <v>0</v>
      </c>
      <c r="AH128" s="13">
        <f t="shared" si="18"/>
        <v>0</v>
      </c>
      <c r="AI128" s="13">
        <f t="shared" si="18"/>
        <v>0</v>
      </c>
      <c r="AJ128" s="13">
        <f t="shared" si="18"/>
        <v>0</v>
      </c>
      <c r="AK128" s="13">
        <f t="shared" si="8"/>
        <v>7</v>
      </c>
      <c r="AL128" s="5"/>
      <c r="AM128" s="5"/>
    </row>
    <row r="129" ht="12.75" customHeight="1">
      <c r="A129" s="56"/>
      <c r="B129" s="57"/>
      <c r="C129" s="57"/>
      <c r="D129" s="5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13">
        <f t="shared" si="8"/>
        <v>0</v>
      </c>
      <c r="AL129" s="5"/>
      <c r="AM129" s="5"/>
    </row>
    <row r="130" ht="12.75" customHeight="1">
      <c r="A130" s="30" t="s">
        <v>37</v>
      </c>
      <c r="B130" s="47" t="s">
        <v>111</v>
      </c>
      <c r="C130" s="48" t="s">
        <v>112</v>
      </c>
      <c r="D130" s="16"/>
      <c r="E130" s="66">
        <v>0.0</v>
      </c>
      <c r="F130" s="66">
        <v>0.0</v>
      </c>
      <c r="G130" s="66">
        <v>0.0</v>
      </c>
      <c r="H130" s="66">
        <v>0.0</v>
      </c>
      <c r="I130" s="66">
        <v>0.0</v>
      </c>
      <c r="J130" s="66">
        <v>0.0</v>
      </c>
      <c r="K130" s="66">
        <v>0.0</v>
      </c>
      <c r="L130" s="66">
        <v>0.0</v>
      </c>
      <c r="M130" s="66">
        <v>0.0</v>
      </c>
      <c r="N130" s="66">
        <v>0.0</v>
      </c>
      <c r="O130" s="66">
        <v>0.0</v>
      </c>
      <c r="P130" s="66">
        <v>0.0</v>
      </c>
      <c r="Q130" s="66">
        <v>0.0</v>
      </c>
      <c r="R130" s="66">
        <v>0.0</v>
      </c>
      <c r="S130" s="66">
        <v>0.0</v>
      </c>
      <c r="T130" s="66">
        <v>0.0</v>
      </c>
      <c r="U130" s="66">
        <v>0.0</v>
      </c>
      <c r="V130" s="66">
        <v>0.0</v>
      </c>
      <c r="W130" s="66">
        <v>0.0</v>
      </c>
      <c r="X130" s="66">
        <v>0.0</v>
      </c>
      <c r="Y130" s="66">
        <v>0.0</v>
      </c>
      <c r="Z130" s="66">
        <v>0.0</v>
      </c>
      <c r="AA130" s="66">
        <v>0.0</v>
      </c>
      <c r="AB130" s="66">
        <v>0.0</v>
      </c>
      <c r="AC130" s="66">
        <v>0.0</v>
      </c>
      <c r="AD130" s="66">
        <v>0.0</v>
      </c>
      <c r="AE130" s="66">
        <v>0.0</v>
      </c>
      <c r="AF130" s="66">
        <v>0.0</v>
      </c>
      <c r="AG130" s="66">
        <v>0.0</v>
      </c>
      <c r="AH130" s="66">
        <v>0.0</v>
      </c>
      <c r="AI130" s="66">
        <v>0.0</v>
      </c>
      <c r="AJ130" s="66">
        <v>0.0</v>
      </c>
      <c r="AK130" s="13">
        <f t="shared" si="8"/>
        <v>0</v>
      </c>
      <c r="AL130" s="1"/>
      <c r="AM130" s="1"/>
    </row>
    <row r="131" ht="12.75" customHeight="1">
      <c r="A131" s="30" t="s">
        <v>39</v>
      </c>
      <c r="B131" s="49"/>
      <c r="C131" s="50" t="s">
        <v>113</v>
      </c>
      <c r="D131" s="51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3">
        <f t="shared" si="8"/>
        <v>0</v>
      </c>
      <c r="AL131" s="53"/>
      <c r="AM131" s="53"/>
    </row>
    <row r="132" ht="12.75" customHeight="1">
      <c r="A132" s="19" t="s">
        <v>15</v>
      </c>
      <c r="B132" s="47" t="s">
        <v>46</v>
      </c>
      <c r="C132" s="15"/>
      <c r="D132" s="16"/>
      <c r="E132" s="13">
        <f t="shared" ref="E132:AJ132" si="19">SUM(E130:E131)</f>
        <v>0</v>
      </c>
      <c r="F132" s="13">
        <f t="shared" si="19"/>
        <v>0</v>
      </c>
      <c r="G132" s="13">
        <f t="shared" si="19"/>
        <v>0</v>
      </c>
      <c r="H132" s="13">
        <f t="shared" si="19"/>
        <v>0</v>
      </c>
      <c r="I132" s="13">
        <f t="shared" si="19"/>
        <v>0</v>
      </c>
      <c r="J132" s="13">
        <f t="shared" si="19"/>
        <v>0</v>
      </c>
      <c r="K132" s="13">
        <f t="shared" si="19"/>
        <v>0</v>
      </c>
      <c r="L132" s="13">
        <f t="shared" si="19"/>
        <v>0</v>
      </c>
      <c r="M132" s="13">
        <f t="shared" si="19"/>
        <v>0</v>
      </c>
      <c r="N132" s="13">
        <f t="shared" si="19"/>
        <v>0</v>
      </c>
      <c r="O132" s="13">
        <f t="shared" si="19"/>
        <v>0</v>
      </c>
      <c r="P132" s="13">
        <f t="shared" si="19"/>
        <v>0</v>
      </c>
      <c r="Q132" s="13">
        <f t="shared" si="19"/>
        <v>0</v>
      </c>
      <c r="R132" s="13">
        <f t="shared" si="19"/>
        <v>0</v>
      </c>
      <c r="S132" s="13">
        <f t="shared" si="19"/>
        <v>0</v>
      </c>
      <c r="T132" s="13">
        <f t="shared" si="19"/>
        <v>0</v>
      </c>
      <c r="U132" s="13">
        <f t="shared" si="19"/>
        <v>0</v>
      </c>
      <c r="V132" s="13">
        <f t="shared" si="19"/>
        <v>0</v>
      </c>
      <c r="W132" s="13">
        <f t="shared" si="19"/>
        <v>0</v>
      </c>
      <c r="X132" s="13">
        <f t="shared" si="19"/>
        <v>0</v>
      </c>
      <c r="Y132" s="13">
        <f t="shared" si="19"/>
        <v>0</v>
      </c>
      <c r="Z132" s="13">
        <f t="shared" si="19"/>
        <v>0</v>
      </c>
      <c r="AA132" s="13">
        <f t="shared" si="19"/>
        <v>0</v>
      </c>
      <c r="AB132" s="13">
        <f t="shared" si="19"/>
        <v>0</v>
      </c>
      <c r="AC132" s="13">
        <f t="shared" si="19"/>
        <v>0</v>
      </c>
      <c r="AD132" s="13">
        <f t="shared" si="19"/>
        <v>0</v>
      </c>
      <c r="AE132" s="13">
        <f t="shared" si="19"/>
        <v>0</v>
      </c>
      <c r="AF132" s="13">
        <f t="shared" si="19"/>
        <v>0</v>
      </c>
      <c r="AG132" s="13">
        <f t="shared" si="19"/>
        <v>0</v>
      </c>
      <c r="AH132" s="13">
        <f t="shared" si="19"/>
        <v>0</v>
      </c>
      <c r="AI132" s="13">
        <f t="shared" si="19"/>
        <v>0</v>
      </c>
      <c r="AJ132" s="13">
        <f t="shared" si="19"/>
        <v>0</v>
      </c>
      <c r="AK132" s="13">
        <f t="shared" si="8"/>
        <v>0</v>
      </c>
      <c r="AL132" s="5"/>
      <c r="AM132" s="5"/>
    </row>
    <row r="133" ht="12.75" customHeight="1">
      <c r="A133" s="56"/>
      <c r="B133" s="57"/>
      <c r="C133" s="57"/>
      <c r="D133" s="5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13">
        <f t="shared" si="8"/>
        <v>0</v>
      </c>
      <c r="AL133" s="5"/>
      <c r="AM133" s="5"/>
    </row>
    <row r="134" ht="12.75" customHeight="1">
      <c r="A134" s="30" t="s">
        <v>37</v>
      </c>
      <c r="B134" s="47" t="s">
        <v>114</v>
      </c>
      <c r="C134" s="48" t="s">
        <v>115</v>
      </c>
      <c r="D134" s="16"/>
      <c r="E134" s="66">
        <v>0.0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0.0</v>
      </c>
      <c r="O134" s="66">
        <v>1.0</v>
      </c>
      <c r="P134" s="66">
        <v>0.0</v>
      </c>
      <c r="Q134" s="66">
        <v>0.0</v>
      </c>
      <c r="R134" s="66">
        <v>0.0</v>
      </c>
      <c r="S134" s="66">
        <v>1.0</v>
      </c>
      <c r="T134" s="66">
        <v>0.0</v>
      </c>
      <c r="U134" s="66">
        <v>0.0</v>
      </c>
      <c r="V134" s="66">
        <v>0.0</v>
      </c>
      <c r="W134" s="66">
        <v>0.0</v>
      </c>
      <c r="X134" s="66">
        <v>0.0</v>
      </c>
      <c r="Y134" s="66">
        <v>0.0</v>
      </c>
      <c r="Z134" s="66">
        <v>0.0</v>
      </c>
      <c r="AA134" s="66">
        <v>0.0</v>
      </c>
      <c r="AB134" s="66">
        <v>0.0</v>
      </c>
      <c r="AC134" s="66">
        <v>0.0</v>
      </c>
      <c r="AD134" s="66">
        <v>0.0</v>
      </c>
      <c r="AE134" s="66">
        <v>0.0</v>
      </c>
      <c r="AF134" s="66">
        <v>0.0</v>
      </c>
      <c r="AG134" s="66">
        <v>0.0</v>
      </c>
      <c r="AH134" s="66">
        <v>0.0</v>
      </c>
      <c r="AI134" s="66">
        <v>0.0</v>
      </c>
      <c r="AJ134" s="66">
        <v>0.0</v>
      </c>
      <c r="AK134" s="13">
        <f t="shared" si="8"/>
        <v>2</v>
      </c>
      <c r="AL134" s="5"/>
      <c r="AM134" s="5"/>
    </row>
    <row r="135" ht="12.75" customHeight="1">
      <c r="A135" s="30" t="s">
        <v>39</v>
      </c>
      <c r="B135" s="49"/>
      <c r="C135" s="50" t="s">
        <v>116</v>
      </c>
      <c r="D135" s="51"/>
      <c r="E135" s="66">
        <v>0.0</v>
      </c>
      <c r="F135" s="66">
        <v>0.0</v>
      </c>
      <c r="G135" s="66">
        <v>0.0</v>
      </c>
      <c r="H135" s="66">
        <v>1.0</v>
      </c>
      <c r="I135" s="66">
        <v>0.0</v>
      </c>
      <c r="J135" s="66">
        <v>0.0</v>
      </c>
      <c r="K135" s="66">
        <v>0.0</v>
      </c>
      <c r="L135" s="66">
        <v>0.0</v>
      </c>
      <c r="M135" s="66">
        <v>0.0</v>
      </c>
      <c r="N135" s="66">
        <v>0.0</v>
      </c>
      <c r="O135" s="66">
        <v>0.0</v>
      </c>
      <c r="P135" s="66">
        <v>0.0</v>
      </c>
      <c r="Q135" s="66">
        <v>1.0</v>
      </c>
      <c r="R135" s="66">
        <v>0.0</v>
      </c>
      <c r="S135" s="66">
        <v>0.0</v>
      </c>
      <c r="T135" s="66">
        <v>0.0</v>
      </c>
      <c r="U135" s="66">
        <v>0.0</v>
      </c>
      <c r="V135" s="66">
        <v>0.0</v>
      </c>
      <c r="W135" s="66">
        <v>0.0</v>
      </c>
      <c r="X135" s="66">
        <v>0.0</v>
      </c>
      <c r="Y135" s="66">
        <v>0.0</v>
      </c>
      <c r="Z135" s="66">
        <v>0.0</v>
      </c>
      <c r="AA135" s="66">
        <v>0.0</v>
      </c>
      <c r="AB135" s="66">
        <v>0.0</v>
      </c>
      <c r="AC135" s="66">
        <v>0.0</v>
      </c>
      <c r="AD135" s="66">
        <v>0.0</v>
      </c>
      <c r="AE135" s="66">
        <v>0.0</v>
      </c>
      <c r="AF135" s="66">
        <v>0.0</v>
      </c>
      <c r="AG135" s="66">
        <v>0.0</v>
      </c>
      <c r="AH135" s="66">
        <v>0.0</v>
      </c>
      <c r="AI135" s="66">
        <v>1.0</v>
      </c>
      <c r="AJ135" s="66">
        <v>0.0</v>
      </c>
      <c r="AK135" s="13">
        <f t="shared" si="8"/>
        <v>3</v>
      </c>
      <c r="AL135" s="5"/>
      <c r="AM135" s="5"/>
    </row>
    <row r="136" ht="12.75" customHeight="1">
      <c r="A136" s="18"/>
      <c r="B136" s="49"/>
      <c r="C136" s="50" t="s">
        <v>117</v>
      </c>
      <c r="D136" s="51"/>
      <c r="E136" s="66">
        <v>0.0</v>
      </c>
      <c r="F136" s="66">
        <v>0.0</v>
      </c>
      <c r="G136" s="66">
        <v>0.0</v>
      </c>
      <c r="H136" s="66">
        <v>1.0</v>
      </c>
      <c r="I136" s="66">
        <v>0.0</v>
      </c>
      <c r="J136" s="66">
        <v>0.0</v>
      </c>
      <c r="K136" s="66">
        <v>0.0</v>
      </c>
      <c r="L136" s="66">
        <v>0.0</v>
      </c>
      <c r="M136" s="66">
        <v>0.0</v>
      </c>
      <c r="N136" s="66">
        <v>0.0</v>
      </c>
      <c r="O136" s="66">
        <v>0.0</v>
      </c>
      <c r="P136" s="66">
        <v>0.0</v>
      </c>
      <c r="Q136" s="66">
        <v>0.0</v>
      </c>
      <c r="R136" s="66">
        <v>0.0</v>
      </c>
      <c r="S136" s="66">
        <v>0.0</v>
      </c>
      <c r="T136" s="66">
        <v>0.0</v>
      </c>
      <c r="U136" s="66">
        <v>0.0</v>
      </c>
      <c r="V136" s="66">
        <v>0.0</v>
      </c>
      <c r="W136" s="66">
        <v>0.0</v>
      </c>
      <c r="X136" s="66">
        <v>0.0</v>
      </c>
      <c r="Y136" s="66">
        <v>0.0</v>
      </c>
      <c r="Z136" s="66">
        <v>0.0</v>
      </c>
      <c r="AA136" s="66">
        <v>0.0</v>
      </c>
      <c r="AB136" s="66">
        <v>0.0</v>
      </c>
      <c r="AC136" s="66">
        <v>0.0</v>
      </c>
      <c r="AD136" s="66">
        <v>0.0</v>
      </c>
      <c r="AE136" s="66">
        <v>0.0</v>
      </c>
      <c r="AF136" s="66">
        <v>0.0</v>
      </c>
      <c r="AG136" s="66">
        <v>0.0</v>
      </c>
      <c r="AH136" s="66">
        <v>0.0</v>
      </c>
      <c r="AI136" s="66">
        <v>1.0</v>
      </c>
      <c r="AJ136" s="66">
        <v>0.0</v>
      </c>
      <c r="AK136" s="13">
        <f t="shared" si="8"/>
        <v>2</v>
      </c>
      <c r="AL136" s="5"/>
      <c r="AM136" s="5"/>
    </row>
    <row r="137" ht="12.75" customHeight="1">
      <c r="A137" s="18"/>
      <c r="B137" s="49"/>
      <c r="C137" s="50" t="s">
        <v>118</v>
      </c>
      <c r="D137" s="51"/>
      <c r="E137" s="66">
        <v>0.0</v>
      </c>
      <c r="F137" s="66">
        <v>0.0</v>
      </c>
      <c r="G137" s="66">
        <v>0.0</v>
      </c>
      <c r="H137" s="66">
        <v>0.0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0.0</v>
      </c>
      <c r="O137" s="66">
        <v>0.0</v>
      </c>
      <c r="P137" s="66">
        <v>0.0</v>
      </c>
      <c r="Q137" s="66">
        <v>0.0</v>
      </c>
      <c r="R137" s="66">
        <v>0.0</v>
      </c>
      <c r="S137" s="66">
        <v>0.0</v>
      </c>
      <c r="T137" s="66">
        <v>0.0</v>
      </c>
      <c r="U137" s="66">
        <v>0.0</v>
      </c>
      <c r="V137" s="66">
        <v>0.0</v>
      </c>
      <c r="W137" s="66">
        <v>0.0</v>
      </c>
      <c r="X137" s="66">
        <v>0.0</v>
      </c>
      <c r="Y137" s="66">
        <v>0.0</v>
      </c>
      <c r="Z137" s="66">
        <v>0.0</v>
      </c>
      <c r="AA137" s="66">
        <v>0.0</v>
      </c>
      <c r="AB137" s="66">
        <v>0.0</v>
      </c>
      <c r="AC137" s="66">
        <v>0.0</v>
      </c>
      <c r="AD137" s="66">
        <v>0.0</v>
      </c>
      <c r="AE137" s="66">
        <v>1.0</v>
      </c>
      <c r="AF137" s="66">
        <v>0.0</v>
      </c>
      <c r="AG137" s="66">
        <v>0.0</v>
      </c>
      <c r="AH137" s="66">
        <v>0.0</v>
      </c>
      <c r="AI137" s="66">
        <v>0.0</v>
      </c>
      <c r="AJ137" s="66">
        <v>0.0</v>
      </c>
      <c r="AK137" s="13">
        <f t="shared" si="8"/>
        <v>1</v>
      </c>
      <c r="AL137" s="5"/>
      <c r="AM137" s="5"/>
    </row>
    <row r="138" ht="12.75" customHeight="1">
      <c r="A138" s="18"/>
      <c r="B138" s="49"/>
      <c r="C138" s="50" t="s">
        <v>119</v>
      </c>
      <c r="D138" s="51"/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0.0</v>
      </c>
      <c r="K138" s="66">
        <v>0.0</v>
      </c>
      <c r="L138" s="66">
        <v>0.0</v>
      </c>
      <c r="M138" s="66">
        <v>0.0</v>
      </c>
      <c r="N138" s="66">
        <v>0.0</v>
      </c>
      <c r="O138" s="66">
        <v>0.0</v>
      </c>
      <c r="P138" s="66">
        <v>0.0</v>
      </c>
      <c r="Q138" s="66">
        <v>0.0</v>
      </c>
      <c r="R138" s="66">
        <v>0.0</v>
      </c>
      <c r="S138" s="66">
        <v>0.0</v>
      </c>
      <c r="T138" s="66">
        <v>0.0</v>
      </c>
      <c r="U138" s="66">
        <v>0.0</v>
      </c>
      <c r="V138" s="66">
        <v>0.0</v>
      </c>
      <c r="W138" s="66">
        <v>0.0</v>
      </c>
      <c r="X138" s="66">
        <v>0.0</v>
      </c>
      <c r="Y138" s="66">
        <v>0.0</v>
      </c>
      <c r="Z138" s="66">
        <v>0.0</v>
      </c>
      <c r="AA138" s="66">
        <v>0.0</v>
      </c>
      <c r="AB138" s="66">
        <v>0.0</v>
      </c>
      <c r="AC138" s="66">
        <v>0.0</v>
      </c>
      <c r="AD138" s="66">
        <v>0.0</v>
      </c>
      <c r="AE138" s="66">
        <v>0.0</v>
      </c>
      <c r="AF138" s="66">
        <v>0.0</v>
      </c>
      <c r="AG138" s="66">
        <v>0.0</v>
      </c>
      <c r="AH138" s="66">
        <v>0.0</v>
      </c>
      <c r="AI138" s="66">
        <v>0.0</v>
      </c>
      <c r="AJ138" s="66">
        <v>0.0</v>
      </c>
      <c r="AK138" s="13">
        <f t="shared" si="8"/>
        <v>0</v>
      </c>
      <c r="AL138" s="5"/>
      <c r="AM138" s="5"/>
    </row>
    <row r="139" ht="12.75" customHeight="1">
      <c r="A139" s="18"/>
      <c r="B139" s="49"/>
      <c r="C139" s="50" t="s">
        <v>120</v>
      </c>
      <c r="D139" s="51"/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0.0</v>
      </c>
      <c r="N139" s="66">
        <v>0.0</v>
      </c>
      <c r="O139" s="66">
        <v>0.0</v>
      </c>
      <c r="P139" s="66">
        <v>0.0</v>
      </c>
      <c r="Q139" s="66">
        <v>0.0</v>
      </c>
      <c r="R139" s="66">
        <v>0.0</v>
      </c>
      <c r="S139" s="66">
        <v>0.0</v>
      </c>
      <c r="T139" s="66">
        <v>0.0</v>
      </c>
      <c r="U139" s="66">
        <v>0.0</v>
      </c>
      <c r="V139" s="66">
        <v>0.0</v>
      </c>
      <c r="W139" s="66">
        <v>0.0</v>
      </c>
      <c r="X139" s="66">
        <v>0.0</v>
      </c>
      <c r="Y139" s="66">
        <v>0.0</v>
      </c>
      <c r="Z139" s="66">
        <v>0.0</v>
      </c>
      <c r="AA139" s="66">
        <v>0.0</v>
      </c>
      <c r="AB139" s="66">
        <v>0.0</v>
      </c>
      <c r="AC139" s="66">
        <v>0.0</v>
      </c>
      <c r="AD139" s="66">
        <v>0.0</v>
      </c>
      <c r="AE139" s="66">
        <v>0.0</v>
      </c>
      <c r="AF139" s="66">
        <v>0.0</v>
      </c>
      <c r="AG139" s="66">
        <v>0.0</v>
      </c>
      <c r="AH139" s="66">
        <v>0.0</v>
      </c>
      <c r="AI139" s="66">
        <v>0.0</v>
      </c>
      <c r="AJ139" s="66">
        <v>0.0</v>
      </c>
      <c r="AK139" s="13">
        <f t="shared" si="8"/>
        <v>0</v>
      </c>
      <c r="AL139" s="5"/>
      <c r="AM139" s="5"/>
    </row>
    <row r="140" ht="12.75" customHeight="1">
      <c r="A140" s="18"/>
      <c r="B140" s="49"/>
      <c r="C140" s="50" t="s">
        <v>121</v>
      </c>
      <c r="D140" s="51"/>
      <c r="E140" s="66">
        <v>0.0</v>
      </c>
      <c r="F140" s="66">
        <v>0.0</v>
      </c>
      <c r="G140" s="66">
        <v>0.0</v>
      </c>
      <c r="H140" s="66">
        <v>0.0</v>
      </c>
      <c r="I140" s="66">
        <v>0.0</v>
      </c>
      <c r="J140" s="66">
        <v>0.0</v>
      </c>
      <c r="K140" s="66">
        <v>0.0</v>
      </c>
      <c r="L140" s="66">
        <v>0.0</v>
      </c>
      <c r="M140" s="66">
        <v>0.0</v>
      </c>
      <c r="N140" s="66">
        <v>0.0</v>
      </c>
      <c r="O140" s="66">
        <v>0.0</v>
      </c>
      <c r="P140" s="66">
        <v>0.0</v>
      </c>
      <c r="Q140" s="66">
        <v>0.0</v>
      </c>
      <c r="R140" s="66">
        <v>0.0</v>
      </c>
      <c r="S140" s="66">
        <v>0.0</v>
      </c>
      <c r="T140" s="66">
        <v>0.0</v>
      </c>
      <c r="U140" s="66">
        <v>0.0</v>
      </c>
      <c r="V140" s="66">
        <v>0.0</v>
      </c>
      <c r="W140" s="66">
        <v>0.0</v>
      </c>
      <c r="X140" s="66">
        <v>0.0</v>
      </c>
      <c r="Y140" s="66">
        <v>0.0</v>
      </c>
      <c r="Z140" s="66">
        <v>0.0</v>
      </c>
      <c r="AA140" s="66">
        <v>0.0</v>
      </c>
      <c r="AB140" s="66">
        <v>0.0</v>
      </c>
      <c r="AC140" s="66">
        <v>0.0</v>
      </c>
      <c r="AD140" s="66">
        <v>0.0</v>
      </c>
      <c r="AE140" s="66">
        <v>0.0</v>
      </c>
      <c r="AF140" s="66">
        <v>0.0</v>
      </c>
      <c r="AG140" s="66">
        <v>0.0</v>
      </c>
      <c r="AH140" s="66">
        <v>0.0</v>
      </c>
      <c r="AI140" s="66">
        <v>0.0</v>
      </c>
      <c r="AJ140" s="66">
        <v>1.0</v>
      </c>
      <c r="AK140" s="13">
        <f t="shared" si="8"/>
        <v>1</v>
      </c>
      <c r="AL140" s="5"/>
      <c r="AM140" s="5"/>
    </row>
    <row r="141" ht="12.75" customHeight="1">
      <c r="A141" s="19" t="s">
        <v>15</v>
      </c>
      <c r="B141" s="47" t="s">
        <v>46</v>
      </c>
      <c r="C141" s="15"/>
      <c r="D141" s="16"/>
      <c r="E141" s="69">
        <v>0.0</v>
      </c>
      <c r="F141" s="69">
        <v>0.0</v>
      </c>
      <c r="G141" s="69">
        <v>0.0</v>
      </c>
      <c r="H141" s="69">
        <v>2.0</v>
      </c>
      <c r="I141" s="69">
        <v>0.0</v>
      </c>
      <c r="J141" s="69">
        <v>0.0</v>
      </c>
      <c r="K141" s="69">
        <v>0.0</v>
      </c>
      <c r="L141" s="69">
        <v>0.0</v>
      </c>
      <c r="M141" s="69">
        <v>0.0</v>
      </c>
      <c r="N141" s="69">
        <v>0.0</v>
      </c>
      <c r="O141" s="69">
        <v>1.0</v>
      </c>
      <c r="P141" s="69">
        <v>0.0</v>
      </c>
      <c r="Q141" s="69">
        <v>1.0</v>
      </c>
      <c r="R141" s="69">
        <v>0.0</v>
      </c>
      <c r="S141" s="69">
        <v>1.0</v>
      </c>
      <c r="T141" s="13">
        <f t="shared" ref="T141:AJ141" si="20">SUM(T134:T140)</f>
        <v>0</v>
      </c>
      <c r="U141" s="13">
        <f t="shared" si="20"/>
        <v>0</v>
      </c>
      <c r="V141" s="13">
        <f t="shared" si="20"/>
        <v>0</v>
      </c>
      <c r="W141" s="13">
        <f t="shared" si="20"/>
        <v>0</v>
      </c>
      <c r="X141" s="13">
        <f t="shared" si="20"/>
        <v>0</v>
      </c>
      <c r="Y141" s="13">
        <f t="shared" si="20"/>
        <v>0</v>
      </c>
      <c r="Z141" s="13">
        <f t="shared" si="20"/>
        <v>0</v>
      </c>
      <c r="AA141" s="13">
        <f t="shared" si="20"/>
        <v>0</v>
      </c>
      <c r="AB141" s="13">
        <f t="shared" si="20"/>
        <v>0</v>
      </c>
      <c r="AC141" s="13">
        <f t="shared" si="20"/>
        <v>0</v>
      </c>
      <c r="AD141" s="13">
        <f t="shared" si="20"/>
        <v>0</v>
      </c>
      <c r="AE141" s="13">
        <f t="shared" si="20"/>
        <v>1</v>
      </c>
      <c r="AF141" s="13">
        <f t="shared" si="20"/>
        <v>0</v>
      </c>
      <c r="AG141" s="13">
        <f t="shared" si="20"/>
        <v>0</v>
      </c>
      <c r="AH141" s="13">
        <f t="shared" si="20"/>
        <v>0</v>
      </c>
      <c r="AI141" s="13">
        <f t="shared" si="20"/>
        <v>2</v>
      </c>
      <c r="AJ141" s="13">
        <f t="shared" si="20"/>
        <v>1</v>
      </c>
      <c r="AK141" s="13">
        <f t="shared" si="8"/>
        <v>9</v>
      </c>
      <c r="AL141" s="1"/>
      <c r="AM141" s="1"/>
    </row>
    <row r="142" ht="12.75" customHeight="1">
      <c r="A142" s="56"/>
      <c r="B142" s="57"/>
      <c r="C142" s="57"/>
      <c r="D142" s="5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13">
        <f t="shared" si="8"/>
        <v>0</v>
      </c>
      <c r="AL142" s="53"/>
      <c r="AM142" s="53"/>
    </row>
    <row r="143" ht="12.75" customHeight="1">
      <c r="A143" s="30" t="s">
        <v>37</v>
      </c>
      <c r="B143" s="47" t="s">
        <v>122</v>
      </c>
      <c r="C143" s="48" t="s">
        <v>123</v>
      </c>
      <c r="D143" s="16"/>
      <c r="E143" s="66">
        <v>0.0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0.0</v>
      </c>
      <c r="O143" s="66">
        <v>0.0</v>
      </c>
      <c r="P143" s="66">
        <v>1.0</v>
      </c>
      <c r="Q143" s="66">
        <v>0.0</v>
      </c>
      <c r="R143" s="66">
        <v>0.0</v>
      </c>
      <c r="S143" s="66">
        <v>0.0</v>
      </c>
      <c r="T143" s="66">
        <v>0.0</v>
      </c>
      <c r="U143" s="66">
        <v>0.0</v>
      </c>
      <c r="V143" s="66">
        <v>0.0</v>
      </c>
      <c r="W143" s="66">
        <v>0.0</v>
      </c>
      <c r="X143" s="66">
        <v>0.0</v>
      </c>
      <c r="Y143" s="66">
        <v>0.0</v>
      </c>
      <c r="Z143" s="66">
        <v>0.0</v>
      </c>
      <c r="AA143" s="66">
        <v>0.0</v>
      </c>
      <c r="AB143" s="66">
        <v>0.0</v>
      </c>
      <c r="AC143" s="66">
        <v>0.0</v>
      </c>
      <c r="AD143" s="66">
        <v>0.0</v>
      </c>
      <c r="AE143" s="66">
        <v>0.0</v>
      </c>
      <c r="AF143" s="66">
        <v>0.0</v>
      </c>
      <c r="AG143" s="66">
        <v>0.0</v>
      </c>
      <c r="AH143" s="66">
        <v>0.0</v>
      </c>
      <c r="AI143" s="66">
        <v>0.0</v>
      </c>
      <c r="AJ143" s="66">
        <v>0.0</v>
      </c>
      <c r="AK143" s="13">
        <f t="shared" si="8"/>
        <v>1</v>
      </c>
      <c r="AL143" s="5"/>
      <c r="AM143" s="5"/>
    </row>
    <row r="144" ht="12.75" customHeight="1">
      <c r="A144" s="30" t="s">
        <v>39</v>
      </c>
      <c r="B144" s="49"/>
      <c r="C144" s="50" t="s">
        <v>124</v>
      </c>
      <c r="D144" s="51"/>
      <c r="E144" s="66">
        <v>0.0</v>
      </c>
      <c r="F144" s="66">
        <v>0.0</v>
      </c>
      <c r="G144" s="66">
        <v>0.0</v>
      </c>
      <c r="H144" s="66">
        <v>0.0</v>
      </c>
      <c r="I144" s="66">
        <v>0.0</v>
      </c>
      <c r="J144" s="66">
        <v>0.0</v>
      </c>
      <c r="K144" s="66">
        <v>0.0</v>
      </c>
      <c r="L144" s="66">
        <v>0.0</v>
      </c>
      <c r="M144" s="66">
        <v>0.0</v>
      </c>
      <c r="N144" s="66">
        <v>0.0</v>
      </c>
      <c r="O144" s="66">
        <v>0.0</v>
      </c>
      <c r="P144" s="66">
        <v>0.0</v>
      </c>
      <c r="Q144" s="66">
        <v>0.0</v>
      </c>
      <c r="R144" s="66">
        <v>0.0</v>
      </c>
      <c r="S144" s="66">
        <v>0.0</v>
      </c>
      <c r="T144" s="66">
        <v>1.0</v>
      </c>
      <c r="U144" s="66">
        <v>0.0</v>
      </c>
      <c r="V144" s="66">
        <v>0.0</v>
      </c>
      <c r="W144" s="66">
        <v>0.0</v>
      </c>
      <c r="X144" s="66">
        <v>0.0</v>
      </c>
      <c r="Y144" s="66">
        <v>0.0</v>
      </c>
      <c r="Z144" s="66">
        <v>0.0</v>
      </c>
      <c r="AA144" s="66">
        <v>0.0</v>
      </c>
      <c r="AB144" s="66">
        <v>0.0</v>
      </c>
      <c r="AC144" s="66">
        <v>0.0</v>
      </c>
      <c r="AD144" s="66">
        <v>0.0</v>
      </c>
      <c r="AE144" s="66">
        <v>0.0</v>
      </c>
      <c r="AF144" s="66">
        <v>0.0</v>
      </c>
      <c r="AG144" s="66">
        <v>0.0</v>
      </c>
      <c r="AH144" s="66">
        <v>0.0</v>
      </c>
      <c r="AI144" s="66">
        <v>0.0</v>
      </c>
      <c r="AJ144" s="66">
        <v>0.0</v>
      </c>
      <c r="AK144" s="13">
        <f t="shared" si="8"/>
        <v>1</v>
      </c>
      <c r="AL144" s="5"/>
      <c r="AM144" s="5"/>
    </row>
    <row r="145" ht="12.75" customHeight="1">
      <c r="A145" s="18"/>
      <c r="B145" s="49"/>
      <c r="C145" s="50" t="s">
        <v>125</v>
      </c>
      <c r="D145" s="51"/>
      <c r="E145" s="66">
        <v>0.0</v>
      </c>
      <c r="F145" s="66">
        <v>0.0</v>
      </c>
      <c r="G145" s="66">
        <v>0.0</v>
      </c>
      <c r="H145" s="66">
        <v>0.0</v>
      </c>
      <c r="I145" s="66">
        <v>0.0</v>
      </c>
      <c r="J145" s="66">
        <v>0.0</v>
      </c>
      <c r="K145" s="66">
        <v>0.0</v>
      </c>
      <c r="L145" s="66">
        <v>0.0</v>
      </c>
      <c r="M145" s="66">
        <v>0.0</v>
      </c>
      <c r="N145" s="66">
        <v>0.0</v>
      </c>
      <c r="O145" s="66">
        <v>0.0</v>
      </c>
      <c r="P145" s="66">
        <v>0.0</v>
      </c>
      <c r="Q145" s="66">
        <v>0.0</v>
      </c>
      <c r="R145" s="66">
        <v>0.0</v>
      </c>
      <c r="S145" s="66">
        <v>0.0</v>
      </c>
      <c r="T145" s="66">
        <v>0.0</v>
      </c>
      <c r="U145" s="66">
        <v>0.0</v>
      </c>
      <c r="V145" s="66">
        <v>0.0</v>
      </c>
      <c r="W145" s="66">
        <v>0.0</v>
      </c>
      <c r="X145" s="66">
        <v>0.0</v>
      </c>
      <c r="Y145" s="66">
        <v>0.0</v>
      </c>
      <c r="Z145" s="66">
        <v>0.0</v>
      </c>
      <c r="AA145" s="66">
        <v>0.0</v>
      </c>
      <c r="AB145" s="66">
        <v>0.0</v>
      </c>
      <c r="AC145" s="66">
        <v>0.0</v>
      </c>
      <c r="AD145" s="66">
        <v>0.0</v>
      </c>
      <c r="AE145" s="66">
        <v>0.0</v>
      </c>
      <c r="AF145" s="66">
        <v>0.0</v>
      </c>
      <c r="AG145" s="66">
        <v>0.0</v>
      </c>
      <c r="AH145" s="66">
        <v>0.0</v>
      </c>
      <c r="AI145" s="66">
        <v>0.0</v>
      </c>
      <c r="AJ145" s="66">
        <v>0.0</v>
      </c>
      <c r="AK145" s="13">
        <f t="shared" si="8"/>
        <v>0</v>
      </c>
      <c r="AL145" s="5"/>
      <c r="AM145" s="5"/>
    </row>
    <row r="146" ht="12.75" customHeight="1">
      <c r="A146" s="18"/>
      <c r="B146" s="49"/>
      <c r="C146" s="50" t="s">
        <v>126</v>
      </c>
      <c r="D146" s="51"/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66">
        <v>0.0</v>
      </c>
      <c r="Q146" s="66">
        <v>0.0</v>
      </c>
      <c r="R146" s="66">
        <v>0.0</v>
      </c>
      <c r="S146" s="66">
        <v>0.0</v>
      </c>
      <c r="T146" s="66">
        <v>0.0</v>
      </c>
      <c r="U146" s="66">
        <v>0.0</v>
      </c>
      <c r="V146" s="66">
        <v>0.0</v>
      </c>
      <c r="W146" s="66">
        <v>0.0</v>
      </c>
      <c r="X146" s="66">
        <v>0.0</v>
      </c>
      <c r="Y146" s="66">
        <v>0.0</v>
      </c>
      <c r="Z146" s="66">
        <v>0.0</v>
      </c>
      <c r="AA146" s="66">
        <v>0.0</v>
      </c>
      <c r="AB146" s="66">
        <v>0.0</v>
      </c>
      <c r="AC146" s="66">
        <v>0.0</v>
      </c>
      <c r="AD146" s="66">
        <v>0.0</v>
      </c>
      <c r="AE146" s="66">
        <v>0.0</v>
      </c>
      <c r="AF146" s="66">
        <v>0.0</v>
      </c>
      <c r="AG146" s="66">
        <v>0.0</v>
      </c>
      <c r="AH146" s="66">
        <v>0.0</v>
      </c>
      <c r="AI146" s="66">
        <v>0.0</v>
      </c>
      <c r="AJ146" s="66">
        <v>0.0</v>
      </c>
      <c r="AK146" s="13">
        <f t="shared" si="8"/>
        <v>0</v>
      </c>
      <c r="AL146" s="5"/>
      <c r="AM146" s="5"/>
    </row>
    <row r="147" ht="12.75" customHeight="1">
      <c r="A147" s="18"/>
      <c r="B147" s="49"/>
      <c r="C147" s="50" t="s">
        <v>127</v>
      </c>
      <c r="D147" s="51"/>
      <c r="E147" s="66">
        <v>0.0</v>
      </c>
      <c r="F147" s="66">
        <v>0.0</v>
      </c>
      <c r="G147" s="66">
        <v>0.0</v>
      </c>
      <c r="H147" s="66">
        <v>0.0</v>
      </c>
      <c r="I147" s="66">
        <v>0.0</v>
      </c>
      <c r="J147" s="66">
        <v>0.0</v>
      </c>
      <c r="K147" s="66">
        <v>0.0</v>
      </c>
      <c r="L147" s="66">
        <v>0.0</v>
      </c>
      <c r="M147" s="66">
        <v>0.0</v>
      </c>
      <c r="N147" s="66">
        <v>0.0</v>
      </c>
      <c r="O147" s="66">
        <v>0.0</v>
      </c>
      <c r="P147" s="66">
        <v>0.0</v>
      </c>
      <c r="Q147" s="66">
        <v>0.0</v>
      </c>
      <c r="R147" s="66">
        <v>0.0</v>
      </c>
      <c r="S147" s="66">
        <v>0.0</v>
      </c>
      <c r="T147" s="66">
        <v>0.0</v>
      </c>
      <c r="U147" s="66">
        <v>0.0</v>
      </c>
      <c r="V147" s="66">
        <v>0.0</v>
      </c>
      <c r="W147" s="66">
        <v>0.0</v>
      </c>
      <c r="X147" s="66">
        <v>0.0</v>
      </c>
      <c r="Y147" s="66">
        <v>0.0</v>
      </c>
      <c r="Z147" s="66">
        <v>0.0</v>
      </c>
      <c r="AA147" s="66">
        <v>0.0</v>
      </c>
      <c r="AB147" s="66">
        <v>0.0</v>
      </c>
      <c r="AC147" s="66">
        <v>0.0</v>
      </c>
      <c r="AD147" s="66">
        <v>0.0</v>
      </c>
      <c r="AE147" s="66">
        <v>0.0</v>
      </c>
      <c r="AF147" s="66">
        <v>0.0</v>
      </c>
      <c r="AG147" s="66">
        <v>0.0</v>
      </c>
      <c r="AH147" s="66">
        <v>0.0</v>
      </c>
      <c r="AI147" s="66">
        <v>0.0</v>
      </c>
      <c r="AJ147" s="66">
        <v>0.0</v>
      </c>
      <c r="AK147" s="13">
        <f t="shared" si="8"/>
        <v>0</v>
      </c>
      <c r="AL147" s="5"/>
      <c r="AM147" s="5"/>
    </row>
    <row r="148" ht="12.75" customHeight="1">
      <c r="A148" s="18"/>
      <c r="B148" s="49"/>
      <c r="C148" s="50" t="s">
        <v>128</v>
      </c>
      <c r="D148" s="51"/>
      <c r="E148" s="66">
        <v>0.0</v>
      </c>
      <c r="F148" s="66">
        <v>0.0</v>
      </c>
      <c r="G148" s="66">
        <v>0.0</v>
      </c>
      <c r="H148" s="66">
        <v>0.0</v>
      </c>
      <c r="I148" s="66">
        <v>0.0</v>
      </c>
      <c r="J148" s="66">
        <v>0.0</v>
      </c>
      <c r="K148" s="66">
        <v>0.0</v>
      </c>
      <c r="L148" s="66">
        <v>0.0</v>
      </c>
      <c r="M148" s="66">
        <v>0.0</v>
      </c>
      <c r="N148" s="66">
        <v>0.0</v>
      </c>
      <c r="O148" s="66">
        <v>0.0</v>
      </c>
      <c r="P148" s="66">
        <v>0.0</v>
      </c>
      <c r="Q148" s="66">
        <v>0.0</v>
      </c>
      <c r="R148" s="66">
        <v>0.0</v>
      </c>
      <c r="S148" s="66">
        <v>0.0</v>
      </c>
      <c r="T148" s="66">
        <v>0.0</v>
      </c>
      <c r="U148" s="66">
        <v>0.0</v>
      </c>
      <c r="V148" s="66">
        <v>0.0</v>
      </c>
      <c r="W148" s="66">
        <v>0.0</v>
      </c>
      <c r="X148" s="66">
        <v>0.0</v>
      </c>
      <c r="Y148" s="66">
        <v>0.0</v>
      </c>
      <c r="Z148" s="66">
        <v>0.0</v>
      </c>
      <c r="AA148" s="66">
        <v>0.0</v>
      </c>
      <c r="AB148" s="66">
        <v>0.0</v>
      </c>
      <c r="AC148" s="66">
        <v>0.0</v>
      </c>
      <c r="AD148" s="66">
        <v>0.0</v>
      </c>
      <c r="AE148" s="66">
        <v>0.0</v>
      </c>
      <c r="AF148" s="66">
        <v>0.0</v>
      </c>
      <c r="AG148" s="66">
        <v>0.0</v>
      </c>
      <c r="AH148" s="66">
        <v>0.0</v>
      </c>
      <c r="AI148" s="66">
        <v>0.0</v>
      </c>
      <c r="AJ148" s="66">
        <v>0.0</v>
      </c>
      <c r="AK148" s="13">
        <f t="shared" si="8"/>
        <v>0</v>
      </c>
      <c r="AL148" s="5"/>
      <c r="AM148" s="5"/>
    </row>
    <row r="149" ht="12.75" customHeight="1">
      <c r="A149" s="18"/>
      <c r="B149" s="49"/>
      <c r="C149" s="50" t="s">
        <v>129</v>
      </c>
      <c r="D149" s="51"/>
      <c r="E149" s="66">
        <v>0.0</v>
      </c>
      <c r="F149" s="66">
        <v>0.0</v>
      </c>
      <c r="G149" s="66">
        <v>0.0</v>
      </c>
      <c r="H149" s="66">
        <v>0.0</v>
      </c>
      <c r="I149" s="66">
        <v>0.0</v>
      </c>
      <c r="J149" s="66">
        <v>0.0</v>
      </c>
      <c r="K149" s="66">
        <v>0.0</v>
      </c>
      <c r="L149" s="66">
        <v>0.0</v>
      </c>
      <c r="M149" s="66">
        <v>0.0</v>
      </c>
      <c r="N149" s="66">
        <v>0.0</v>
      </c>
      <c r="O149" s="66">
        <v>0.0</v>
      </c>
      <c r="P149" s="66">
        <v>0.0</v>
      </c>
      <c r="Q149" s="66">
        <v>0.0</v>
      </c>
      <c r="R149" s="66">
        <v>0.0</v>
      </c>
      <c r="S149" s="66">
        <v>0.0</v>
      </c>
      <c r="T149" s="66">
        <v>0.0</v>
      </c>
      <c r="U149" s="66">
        <v>0.0</v>
      </c>
      <c r="V149" s="66">
        <v>0.0</v>
      </c>
      <c r="W149" s="66">
        <v>0.0</v>
      </c>
      <c r="X149" s="66">
        <v>0.0</v>
      </c>
      <c r="Y149" s="66">
        <v>0.0</v>
      </c>
      <c r="Z149" s="66">
        <v>0.0</v>
      </c>
      <c r="AA149" s="66">
        <v>0.0</v>
      </c>
      <c r="AB149" s="66">
        <v>0.0</v>
      </c>
      <c r="AC149" s="66">
        <v>0.0</v>
      </c>
      <c r="AD149" s="66">
        <v>0.0</v>
      </c>
      <c r="AE149" s="66">
        <v>0.0</v>
      </c>
      <c r="AF149" s="66">
        <v>0.0</v>
      </c>
      <c r="AG149" s="66">
        <v>0.0</v>
      </c>
      <c r="AH149" s="66">
        <v>0.0</v>
      </c>
      <c r="AI149" s="66">
        <v>0.0</v>
      </c>
      <c r="AJ149" s="66">
        <v>0.0</v>
      </c>
      <c r="AK149" s="13">
        <f t="shared" si="8"/>
        <v>0</v>
      </c>
      <c r="AL149" s="5"/>
      <c r="AM149" s="5"/>
    </row>
    <row r="150" ht="12.75" customHeight="1">
      <c r="A150" s="19" t="s">
        <v>15</v>
      </c>
      <c r="B150" s="47" t="s">
        <v>46</v>
      </c>
      <c r="C150" s="15"/>
      <c r="D150" s="16"/>
      <c r="E150" s="13">
        <f t="shared" ref="E150:AJ150" si="21">SUM(E143:E149)</f>
        <v>0</v>
      </c>
      <c r="F150" s="13">
        <f t="shared" si="21"/>
        <v>0</v>
      </c>
      <c r="G150" s="13">
        <f t="shared" si="21"/>
        <v>0</v>
      </c>
      <c r="H150" s="13">
        <f t="shared" si="21"/>
        <v>0</v>
      </c>
      <c r="I150" s="13">
        <f t="shared" si="21"/>
        <v>0</v>
      </c>
      <c r="J150" s="13">
        <f t="shared" si="21"/>
        <v>0</v>
      </c>
      <c r="K150" s="13">
        <f t="shared" si="21"/>
        <v>0</v>
      </c>
      <c r="L150" s="13">
        <f t="shared" si="21"/>
        <v>0</v>
      </c>
      <c r="M150" s="13">
        <f t="shared" si="21"/>
        <v>0</v>
      </c>
      <c r="N150" s="13">
        <f t="shared" si="21"/>
        <v>0</v>
      </c>
      <c r="O150" s="13">
        <f t="shared" si="21"/>
        <v>0</v>
      </c>
      <c r="P150" s="13">
        <f t="shared" si="21"/>
        <v>1</v>
      </c>
      <c r="Q150" s="13">
        <f t="shared" si="21"/>
        <v>0</v>
      </c>
      <c r="R150" s="13">
        <f t="shared" si="21"/>
        <v>0</v>
      </c>
      <c r="S150" s="13">
        <f t="shared" si="21"/>
        <v>0</v>
      </c>
      <c r="T150" s="13">
        <f t="shared" si="21"/>
        <v>1</v>
      </c>
      <c r="U150" s="13">
        <f t="shared" si="21"/>
        <v>0</v>
      </c>
      <c r="V150" s="13">
        <f t="shared" si="21"/>
        <v>0</v>
      </c>
      <c r="W150" s="13">
        <f t="shared" si="21"/>
        <v>0</v>
      </c>
      <c r="X150" s="13">
        <f t="shared" si="21"/>
        <v>0</v>
      </c>
      <c r="Y150" s="13">
        <f t="shared" si="21"/>
        <v>0</v>
      </c>
      <c r="Z150" s="13">
        <f t="shared" si="21"/>
        <v>0</v>
      </c>
      <c r="AA150" s="13">
        <f t="shared" si="21"/>
        <v>0</v>
      </c>
      <c r="AB150" s="13">
        <f t="shared" si="21"/>
        <v>0</v>
      </c>
      <c r="AC150" s="13">
        <f t="shared" si="21"/>
        <v>0</v>
      </c>
      <c r="AD150" s="13">
        <f t="shared" si="21"/>
        <v>0</v>
      </c>
      <c r="AE150" s="13">
        <f t="shared" si="21"/>
        <v>0</v>
      </c>
      <c r="AF150" s="13">
        <f t="shared" si="21"/>
        <v>0</v>
      </c>
      <c r="AG150" s="13">
        <f t="shared" si="21"/>
        <v>0</v>
      </c>
      <c r="AH150" s="13">
        <f t="shared" si="21"/>
        <v>0</v>
      </c>
      <c r="AI150" s="13">
        <f t="shared" si="21"/>
        <v>0</v>
      </c>
      <c r="AJ150" s="13">
        <f t="shared" si="21"/>
        <v>0</v>
      </c>
      <c r="AK150" s="13">
        <f t="shared" si="8"/>
        <v>2</v>
      </c>
      <c r="AL150" s="5"/>
      <c r="AM150" s="5"/>
    </row>
    <row r="151" ht="12.75" customHeight="1">
      <c r="A151" s="56"/>
      <c r="B151" s="57"/>
      <c r="C151" s="57"/>
      <c r="D151" s="5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13">
        <f t="shared" si="8"/>
        <v>0</v>
      </c>
      <c r="AL151" s="1"/>
      <c r="AM151" s="1"/>
    </row>
    <row r="152" ht="12.75" customHeight="1">
      <c r="A152" s="30" t="s">
        <v>37</v>
      </c>
      <c r="B152" s="47" t="s">
        <v>130</v>
      </c>
      <c r="C152" s="48" t="s">
        <v>131</v>
      </c>
      <c r="D152" s="16"/>
      <c r="E152" s="66">
        <v>1.0</v>
      </c>
      <c r="F152" s="66">
        <v>0.0</v>
      </c>
      <c r="G152" s="66">
        <v>0.0</v>
      </c>
      <c r="H152" s="66">
        <v>2.0</v>
      </c>
      <c r="I152" s="66">
        <v>1.0</v>
      </c>
      <c r="J152" s="66">
        <v>12.0</v>
      </c>
      <c r="K152" s="66">
        <v>4.0</v>
      </c>
      <c r="L152" s="66">
        <v>3.0</v>
      </c>
      <c r="M152" s="66">
        <v>9.0</v>
      </c>
      <c r="N152" s="66">
        <v>9.0</v>
      </c>
      <c r="O152" s="66">
        <v>0.0</v>
      </c>
      <c r="P152" s="66">
        <v>0.0</v>
      </c>
      <c r="Q152" s="66">
        <v>0.0</v>
      </c>
      <c r="R152" s="66">
        <v>2.0</v>
      </c>
      <c r="S152" s="66">
        <v>1.0</v>
      </c>
      <c r="T152" s="66">
        <v>1.0</v>
      </c>
      <c r="U152" s="66">
        <v>1.0</v>
      </c>
      <c r="V152" s="66">
        <v>1.0</v>
      </c>
      <c r="W152" s="66">
        <v>1.0</v>
      </c>
      <c r="X152" s="66">
        <v>0.0</v>
      </c>
      <c r="Y152" s="66">
        <v>12.0</v>
      </c>
      <c r="Z152" s="66">
        <v>2.0</v>
      </c>
      <c r="AA152" s="66">
        <v>4.0</v>
      </c>
      <c r="AB152" s="66">
        <v>2.0</v>
      </c>
      <c r="AC152" s="66">
        <v>0.0</v>
      </c>
      <c r="AD152" s="66">
        <v>0.0</v>
      </c>
      <c r="AE152" s="66">
        <v>1.0</v>
      </c>
      <c r="AF152" s="66">
        <v>0.0</v>
      </c>
      <c r="AG152" s="66">
        <v>1.0</v>
      </c>
      <c r="AH152" s="66">
        <v>3.0</v>
      </c>
      <c r="AI152" s="66">
        <v>2.0</v>
      </c>
      <c r="AJ152" s="66">
        <v>2.0</v>
      </c>
      <c r="AK152" s="13">
        <f t="shared" si="8"/>
        <v>77</v>
      </c>
      <c r="AL152" s="53"/>
      <c r="AM152" s="53"/>
    </row>
    <row r="153" ht="12.75" customHeight="1">
      <c r="A153" s="30" t="s">
        <v>39</v>
      </c>
      <c r="B153" s="49"/>
      <c r="C153" s="50" t="s">
        <v>132</v>
      </c>
      <c r="D153" s="51"/>
      <c r="E153" s="66">
        <v>1.0</v>
      </c>
      <c r="F153" s="66">
        <v>0.0</v>
      </c>
      <c r="G153" s="66">
        <v>0.0</v>
      </c>
      <c r="H153" s="66">
        <v>0.0</v>
      </c>
      <c r="I153" s="66">
        <v>1.0</v>
      </c>
      <c r="J153" s="66">
        <v>6.0</v>
      </c>
      <c r="K153" s="66">
        <v>1.0</v>
      </c>
      <c r="L153" s="66">
        <v>1.0</v>
      </c>
      <c r="M153" s="66">
        <v>1.0</v>
      </c>
      <c r="N153" s="66">
        <v>0.0</v>
      </c>
      <c r="O153" s="66">
        <v>0.0</v>
      </c>
      <c r="P153" s="66">
        <v>1.0</v>
      </c>
      <c r="Q153" s="66">
        <v>1.0</v>
      </c>
      <c r="R153" s="66">
        <v>0.0</v>
      </c>
      <c r="S153" s="66">
        <v>0.0</v>
      </c>
      <c r="T153" s="66">
        <v>1.0</v>
      </c>
      <c r="U153" s="66">
        <v>0.0</v>
      </c>
      <c r="V153" s="66">
        <v>0.0</v>
      </c>
      <c r="W153" s="66">
        <v>4.0</v>
      </c>
      <c r="X153" s="66">
        <v>0.0</v>
      </c>
      <c r="Y153" s="66">
        <v>1.0</v>
      </c>
      <c r="Z153" s="66">
        <v>0.0</v>
      </c>
      <c r="AA153" s="66">
        <v>15.0</v>
      </c>
      <c r="AB153" s="66">
        <v>12.0</v>
      </c>
      <c r="AC153" s="66">
        <v>0.0</v>
      </c>
      <c r="AD153" s="66">
        <v>0.0</v>
      </c>
      <c r="AE153" s="66">
        <v>0.0</v>
      </c>
      <c r="AF153" s="66">
        <v>0.0</v>
      </c>
      <c r="AG153" s="66">
        <v>2.0</v>
      </c>
      <c r="AH153" s="66">
        <v>1.0</v>
      </c>
      <c r="AI153" s="66">
        <v>1.0</v>
      </c>
      <c r="AJ153" s="66">
        <v>0.0</v>
      </c>
      <c r="AK153" s="13">
        <f t="shared" si="8"/>
        <v>50</v>
      </c>
      <c r="AL153" s="5"/>
      <c r="AM153" s="5"/>
    </row>
    <row r="154" ht="12.75" customHeight="1">
      <c r="A154" s="18"/>
      <c r="B154" s="49"/>
      <c r="C154" s="50" t="s">
        <v>133</v>
      </c>
      <c r="D154" s="51"/>
      <c r="E154" s="66">
        <v>6.0</v>
      </c>
      <c r="F154" s="66">
        <v>4.0</v>
      </c>
      <c r="G154" s="66">
        <v>0.0</v>
      </c>
      <c r="H154" s="66">
        <v>1.0</v>
      </c>
      <c r="I154" s="66">
        <v>0.0</v>
      </c>
      <c r="J154" s="66">
        <v>65.0</v>
      </c>
      <c r="K154" s="66">
        <v>10.0</v>
      </c>
      <c r="L154" s="66">
        <v>7.0</v>
      </c>
      <c r="M154" s="66">
        <v>25.0</v>
      </c>
      <c r="N154" s="66">
        <v>33.0</v>
      </c>
      <c r="O154" s="66">
        <v>1.0</v>
      </c>
      <c r="P154" s="66">
        <v>1.0</v>
      </c>
      <c r="Q154" s="66">
        <v>3.0</v>
      </c>
      <c r="R154" s="66">
        <v>4.0</v>
      </c>
      <c r="S154" s="66">
        <v>9.0</v>
      </c>
      <c r="T154" s="66">
        <v>0.0</v>
      </c>
      <c r="U154" s="66">
        <v>2.0</v>
      </c>
      <c r="V154" s="66">
        <v>8.0</v>
      </c>
      <c r="W154" s="66">
        <v>0.0</v>
      </c>
      <c r="X154" s="66">
        <v>8.0</v>
      </c>
      <c r="Y154" s="66">
        <v>34.0</v>
      </c>
      <c r="Z154" s="66">
        <v>29.0</v>
      </c>
      <c r="AA154" s="66">
        <v>56.0</v>
      </c>
      <c r="AB154" s="66">
        <v>58.0</v>
      </c>
      <c r="AC154" s="66">
        <v>3.0</v>
      </c>
      <c r="AD154" s="66">
        <v>3.0</v>
      </c>
      <c r="AE154" s="66">
        <v>3.0</v>
      </c>
      <c r="AF154" s="66">
        <v>4.0</v>
      </c>
      <c r="AG154" s="66">
        <v>4.0</v>
      </c>
      <c r="AH154" s="66">
        <v>13.0</v>
      </c>
      <c r="AI154" s="66">
        <v>29.0</v>
      </c>
      <c r="AJ154" s="66">
        <v>24.0</v>
      </c>
      <c r="AK154" s="13">
        <f t="shared" si="8"/>
        <v>447</v>
      </c>
      <c r="AL154" s="5"/>
      <c r="AM154" s="5"/>
    </row>
    <row r="155" ht="12.75" customHeight="1">
      <c r="A155" s="18"/>
      <c r="B155" s="49"/>
      <c r="C155" s="50" t="s">
        <v>134</v>
      </c>
      <c r="D155" s="51"/>
      <c r="E155" s="66">
        <v>0.0</v>
      </c>
      <c r="F155" s="66">
        <v>2.0</v>
      </c>
      <c r="G155" s="66">
        <v>0.0</v>
      </c>
      <c r="H155" s="66">
        <v>0.0</v>
      </c>
      <c r="I155" s="66">
        <v>0.0</v>
      </c>
      <c r="J155" s="66">
        <v>1.0</v>
      </c>
      <c r="K155" s="66">
        <v>0.0</v>
      </c>
      <c r="L155" s="66">
        <v>1.0</v>
      </c>
      <c r="M155" s="66">
        <v>0.0</v>
      </c>
      <c r="N155" s="66">
        <v>0.0</v>
      </c>
      <c r="O155" s="66">
        <v>0.0</v>
      </c>
      <c r="P155" s="66">
        <v>0.0</v>
      </c>
      <c r="Q155" s="66">
        <v>0.0</v>
      </c>
      <c r="R155" s="66">
        <v>0.0</v>
      </c>
      <c r="S155" s="66">
        <v>0.0</v>
      </c>
      <c r="T155" s="66">
        <v>0.0</v>
      </c>
      <c r="U155" s="66">
        <v>1.0</v>
      </c>
      <c r="V155" s="66">
        <v>1.0</v>
      </c>
      <c r="W155" s="66">
        <v>0.0</v>
      </c>
      <c r="X155" s="66">
        <v>0.0</v>
      </c>
      <c r="Y155" s="66">
        <v>0.0</v>
      </c>
      <c r="Z155" s="66">
        <v>0.0</v>
      </c>
      <c r="AA155" s="66">
        <v>1.0</v>
      </c>
      <c r="AB155" s="66">
        <v>0.0</v>
      </c>
      <c r="AC155" s="66">
        <v>0.0</v>
      </c>
      <c r="AD155" s="66">
        <v>0.0</v>
      </c>
      <c r="AE155" s="66">
        <v>0.0</v>
      </c>
      <c r="AF155" s="66">
        <v>0.0</v>
      </c>
      <c r="AG155" s="66">
        <v>1.0</v>
      </c>
      <c r="AH155" s="66">
        <v>1.0</v>
      </c>
      <c r="AI155" s="66">
        <v>0.0</v>
      </c>
      <c r="AJ155" s="66">
        <v>0.0</v>
      </c>
      <c r="AK155" s="13">
        <f t="shared" si="8"/>
        <v>9</v>
      </c>
      <c r="AL155" s="5"/>
      <c r="AM155" s="5"/>
    </row>
    <row r="156" ht="12.75" customHeight="1">
      <c r="A156" s="18"/>
      <c r="B156" s="49"/>
      <c r="C156" s="50" t="s">
        <v>135</v>
      </c>
      <c r="D156" s="51"/>
      <c r="E156" s="66">
        <v>0.0</v>
      </c>
      <c r="F156" s="66">
        <v>0.0</v>
      </c>
      <c r="G156" s="66">
        <v>0.0</v>
      </c>
      <c r="H156" s="66">
        <v>0.0</v>
      </c>
      <c r="I156" s="66">
        <v>0.0</v>
      </c>
      <c r="J156" s="66">
        <v>0.0</v>
      </c>
      <c r="K156" s="66">
        <v>0.0</v>
      </c>
      <c r="L156" s="66">
        <v>0.0</v>
      </c>
      <c r="M156" s="66">
        <v>0.0</v>
      </c>
      <c r="N156" s="66">
        <v>0.0</v>
      </c>
      <c r="O156" s="66">
        <v>0.0</v>
      </c>
      <c r="P156" s="66">
        <v>0.0</v>
      </c>
      <c r="Q156" s="66">
        <v>0.0</v>
      </c>
      <c r="R156" s="66">
        <v>1.0</v>
      </c>
      <c r="S156" s="66">
        <v>0.0</v>
      </c>
      <c r="T156" s="66">
        <v>0.0</v>
      </c>
      <c r="U156" s="66">
        <v>0.0</v>
      </c>
      <c r="V156" s="66">
        <v>0.0</v>
      </c>
      <c r="W156" s="66">
        <v>0.0</v>
      </c>
      <c r="X156" s="66">
        <v>0.0</v>
      </c>
      <c r="Y156" s="66">
        <v>0.0</v>
      </c>
      <c r="Z156" s="66">
        <v>0.0</v>
      </c>
      <c r="AA156" s="66">
        <v>0.0</v>
      </c>
      <c r="AB156" s="66">
        <v>0.0</v>
      </c>
      <c r="AC156" s="66">
        <v>0.0</v>
      </c>
      <c r="AD156" s="66">
        <v>0.0</v>
      </c>
      <c r="AE156" s="66">
        <v>0.0</v>
      </c>
      <c r="AF156" s="66">
        <v>0.0</v>
      </c>
      <c r="AG156" s="66">
        <v>0.0</v>
      </c>
      <c r="AH156" s="66">
        <v>0.0</v>
      </c>
      <c r="AI156" s="66">
        <v>0.0</v>
      </c>
      <c r="AJ156" s="66">
        <v>0.0</v>
      </c>
      <c r="AK156" s="13">
        <f t="shared" si="8"/>
        <v>1</v>
      </c>
      <c r="AL156" s="5"/>
      <c r="AM156" s="5"/>
    </row>
    <row r="157" ht="12.75" customHeight="1">
      <c r="A157" s="18"/>
      <c r="B157" s="49"/>
      <c r="C157" s="50" t="s">
        <v>136</v>
      </c>
      <c r="D157" s="51"/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66">
        <v>0.0</v>
      </c>
      <c r="Q157" s="66">
        <v>0.0</v>
      </c>
      <c r="R157" s="66">
        <v>0.0</v>
      </c>
      <c r="S157" s="66">
        <v>0.0</v>
      </c>
      <c r="T157" s="66">
        <v>0.0</v>
      </c>
      <c r="U157" s="66">
        <v>0.0</v>
      </c>
      <c r="V157" s="66">
        <v>0.0</v>
      </c>
      <c r="W157" s="66">
        <v>0.0</v>
      </c>
      <c r="X157" s="66">
        <v>0.0</v>
      </c>
      <c r="Y157" s="66">
        <v>0.0</v>
      </c>
      <c r="Z157" s="66">
        <v>0.0</v>
      </c>
      <c r="AA157" s="66">
        <v>0.0</v>
      </c>
      <c r="AB157" s="66">
        <v>0.0</v>
      </c>
      <c r="AC157" s="66">
        <v>0.0</v>
      </c>
      <c r="AD157" s="66">
        <v>0.0</v>
      </c>
      <c r="AE157" s="66">
        <v>0.0</v>
      </c>
      <c r="AF157" s="66">
        <v>0.0</v>
      </c>
      <c r="AG157" s="66">
        <v>0.0</v>
      </c>
      <c r="AH157" s="66">
        <v>0.0</v>
      </c>
      <c r="AI157" s="66">
        <v>0.0</v>
      </c>
      <c r="AJ157" s="66">
        <v>0.0</v>
      </c>
      <c r="AK157" s="13">
        <f t="shared" si="8"/>
        <v>0</v>
      </c>
      <c r="AL157" s="5"/>
      <c r="AM157" s="5"/>
    </row>
    <row r="158" ht="12.75" customHeight="1">
      <c r="A158" s="18"/>
      <c r="B158" s="49"/>
      <c r="C158" s="50" t="s">
        <v>137</v>
      </c>
      <c r="D158" s="51"/>
      <c r="E158" s="66">
        <v>0.0</v>
      </c>
      <c r="F158" s="66">
        <v>0.0</v>
      </c>
      <c r="G158" s="66">
        <v>0.0</v>
      </c>
      <c r="H158" s="66">
        <v>0.0</v>
      </c>
      <c r="I158" s="66">
        <v>0.0</v>
      </c>
      <c r="J158" s="66">
        <v>1.0</v>
      </c>
      <c r="K158" s="66">
        <v>0.0</v>
      </c>
      <c r="L158" s="66">
        <v>0.0</v>
      </c>
      <c r="M158" s="66">
        <v>0.0</v>
      </c>
      <c r="N158" s="66">
        <v>0.0</v>
      </c>
      <c r="O158" s="66">
        <v>1.0</v>
      </c>
      <c r="P158" s="66">
        <v>0.0</v>
      </c>
      <c r="Q158" s="66">
        <v>0.0</v>
      </c>
      <c r="R158" s="66">
        <v>0.0</v>
      </c>
      <c r="S158" s="66">
        <v>1.0</v>
      </c>
      <c r="T158" s="66">
        <v>0.0</v>
      </c>
      <c r="U158" s="66">
        <v>0.0</v>
      </c>
      <c r="V158" s="66">
        <v>0.0</v>
      </c>
      <c r="W158" s="66">
        <v>0.0</v>
      </c>
      <c r="X158" s="66">
        <v>0.0</v>
      </c>
      <c r="Y158" s="66">
        <v>0.0</v>
      </c>
      <c r="Z158" s="66">
        <v>0.0</v>
      </c>
      <c r="AA158" s="66">
        <v>0.0</v>
      </c>
      <c r="AB158" s="66">
        <v>0.0</v>
      </c>
      <c r="AC158" s="66">
        <v>0.0</v>
      </c>
      <c r="AD158" s="66">
        <v>0.0</v>
      </c>
      <c r="AE158" s="66">
        <v>0.0</v>
      </c>
      <c r="AF158" s="66">
        <v>0.0</v>
      </c>
      <c r="AG158" s="66">
        <v>0.0</v>
      </c>
      <c r="AH158" s="66">
        <v>0.0</v>
      </c>
      <c r="AI158" s="66">
        <v>0.0</v>
      </c>
      <c r="AJ158" s="66">
        <v>0.0</v>
      </c>
      <c r="AK158" s="13">
        <f t="shared" si="8"/>
        <v>3</v>
      </c>
      <c r="AL158" s="5"/>
      <c r="AM158" s="5"/>
    </row>
    <row r="159" ht="12.75" customHeight="1">
      <c r="A159" s="19" t="s">
        <v>15</v>
      </c>
      <c r="B159" s="47" t="s">
        <v>46</v>
      </c>
      <c r="C159" s="15"/>
      <c r="D159" s="16"/>
      <c r="E159" s="13">
        <f t="shared" ref="E159:AJ159" si="22">SUM(E152:E158)</f>
        <v>8</v>
      </c>
      <c r="F159" s="13">
        <f t="shared" si="22"/>
        <v>6</v>
      </c>
      <c r="G159" s="13">
        <f t="shared" si="22"/>
        <v>0</v>
      </c>
      <c r="H159" s="13">
        <f t="shared" si="22"/>
        <v>3</v>
      </c>
      <c r="I159" s="13">
        <f t="shared" si="22"/>
        <v>2</v>
      </c>
      <c r="J159" s="13">
        <f t="shared" si="22"/>
        <v>85</v>
      </c>
      <c r="K159" s="13">
        <f t="shared" si="22"/>
        <v>15</v>
      </c>
      <c r="L159" s="13">
        <f t="shared" si="22"/>
        <v>12</v>
      </c>
      <c r="M159" s="13">
        <f t="shared" si="22"/>
        <v>35</v>
      </c>
      <c r="N159" s="13">
        <f t="shared" si="22"/>
        <v>42</v>
      </c>
      <c r="O159" s="13">
        <f t="shared" si="22"/>
        <v>2</v>
      </c>
      <c r="P159" s="13">
        <f t="shared" si="22"/>
        <v>2</v>
      </c>
      <c r="Q159" s="13">
        <f t="shared" si="22"/>
        <v>4</v>
      </c>
      <c r="R159" s="13">
        <f t="shared" si="22"/>
        <v>7</v>
      </c>
      <c r="S159" s="13">
        <f t="shared" si="22"/>
        <v>11</v>
      </c>
      <c r="T159" s="13">
        <f t="shared" si="22"/>
        <v>2</v>
      </c>
      <c r="U159" s="13">
        <f t="shared" si="22"/>
        <v>4</v>
      </c>
      <c r="V159" s="13">
        <f t="shared" si="22"/>
        <v>10</v>
      </c>
      <c r="W159" s="13">
        <f t="shared" si="22"/>
        <v>5</v>
      </c>
      <c r="X159" s="13">
        <f t="shared" si="22"/>
        <v>8</v>
      </c>
      <c r="Y159" s="13">
        <f t="shared" si="22"/>
        <v>47</v>
      </c>
      <c r="Z159" s="13">
        <f t="shared" si="22"/>
        <v>31</v>
      </c>
      <c r="AA159" s="13">
        <f t="shared" si="22"/>
        <v>76</v>
      </c>
      <c r="AB159" s="13">
        <f t="shared" si="22"/>
        <v>72</v>
      </c>
      <c r="AC159" s="13">
        <f t="shared" si="22"/>
        <v>3</v>
      </c>
      <c r="AD159" s="13">
        <f t="shared" si="22"/>
        <v>3</v>
      </c>
      <c r="AE159" s="13">
        <f t="shared" si="22"/>
        <v>4</v>
      </c>
      <c r="AF159" s="13">
        <f t="shared" si="22"/>
        <v>4</v>
      </c>
      <c r="AG159" s="13">
        <f t="shared" si="22"/>
        <v>8</v>
      </c>
      <c r="AH159" s="13">
        <f t="shared" si="22"/>
        <v>18</v>
      </c>
      <c r="AI159" s="13">
        <f t="shared" si="22"/>
        <v>32</v>
      </c>
      <c r="AJ159" s="13">
        <f t="shared" si="22"/>
        <v>26</v>
      </c>
      <c r="AK159" s="13">
        <f t="shared" si="8"/>
        <v>587</v>
      </c>
      <c r="AL159" s="5"/>
      <c r="AM159" s="5"/>
    </row>
    <row r="160" ht="12.75" customHeight="1">
      <c r="A160" s="56"/>
      <c r="B160" s="57"/>
      <c r="C160" s="57"/>
      <c r="D160" s="5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13">
        <f t="shared" si="8"/>
        <v>0</v>
      </c>
      <c r="AL160" s="5"/>
      <c r="AM160" s="5"/>
    </row>
    <row r="161" ht="12.75" customHeight="1">
      <c r="A161" s="30" t="s">
        <v>37</v>
      </c>
      <c r="B161" s="47" t="s">
        <v>138</v>
      </c>
      <c r="C161" s="48" t="s">
        <v>139</v>
      </c>
      <c r="D161" s="16"/>
      <c r="E161" s="73">
        <v>0.0</v>
      </c>
      <c r="F161" s="73">
        <v>1.0</v>
      </c>
      <c r="G161" s="73">
        <v>1.0</v>
      </c>
      <c r="H161" s="73">
        <v>0.0</v>
      </c>
      <c r="I161" s="73">
        <v>0.0</v>
      </c>
      <c r="J161" s="73">
        <v>0.0</v>
      </c>
      <c r="K161" s="73">
        <v>0.0</v>
      </c>
      <c r="L161" s="73">
        <v>0.0</v>
      </c>
      <c r="M161" s="73">
        <v>1.0</v>
      </c>
      <c r="N161" s="73">
        <v>1.0</v>
      </c>
      <c r="O161" s="73">
        <v>1.0</v>
      </c>
      <c r="P161" s="73">
        <v>1.0</v>
      </c>
      <c r="Q161" s="73">
        <v>0.0</v>
      </c>
      <c r="R161" s="73">
        <v>1.0</v>
      </c>
      <c r="S161" s="73">
        <v>0.0</v>
      </c>
      <c r="T161" s="73">
        <v>0.0</v>
      </c>
      <c r="U161" s="73">
        <v>0.0</v>
      </c>
      <c r="V161" s="73">
        <v>0.0</v>
      </c>
      <c r="W161" s="73">
        <v>0.0</v>
      </c>
      <c r="X161" s="73">
        <v>0.0</v>
      </c>
      <c r="Y161" s="73">
        <v>1.0</v>
      </c>
      <c r="Z161" s="73">
        <v>0.0</v>
      </c>
      <c r="AA161" s="73">
        <v>1.0</v>
      </c>
      <c r="AB161" s="73">
        <v>0.0</v>
      </c>
      <c r="AC161" s="73">
        <v>1.0</v>
      </c>
      <c r="AD161" s="73">
        <v>0.0</v>
      </c>
      <c r="AE161" s="73">
        <v>1.0</v>
      </c>
      <c r="AF161" s="73">
        <v>0.0</v>
      </c>
      <c r="AG161" s="73">
        <v>0.0</v>
      </c>
      <c r="AH161" s="73">
        <v>0.0</v>
      </c>
      <c r="AI161" s="73">
        <v>0.0</v>
      </c>
      <c r="AJ161" s="73">
        <v>0.0</v>
      </c>
      <c r="AK161" s="13">
        <f t="shared" si="8"/>
        <v>11</v>
      </c>
      <c r="AL161" s="5"/>
      <c r="AM161" s="5"/>
    </row>
    <row r="162" ht="12.75" customHeight="1">
      <c r="A162" s="30" t="s">
        <v>39</v>
      </c>
      <c r="B162" s="49"/>
      <c r="C162" s="50" t="s">
        <v>140</v>
      </c>
      <c r="D162" s="51"/>
      <c r="E162" s="73">
        <v>0.0</v>
      </c>
      <c r="F162" s="73">
        <v>0.0</v>
      </c>
      <c r="G162" s="73">
        <v>0.0</v>
      </c>
      <c r="H162" s="73">
        <v>0.0</v>
      </c>
      <c r="I162" s="73">
        <v>0.0</v>
      </c>
      <c r="J162" s="73">
        <v>2.0</v>
      </c>
      <c r="K162" s="73">
        <v>0.0</v>
      </c>
      <c r="L162" s="73">
        <v>0.0</v>
      </c>
      <c r="M162" s="73">
        <v>0.0</v>
      </c>
      <c r="N162" s="73">
        <v>0.0</v>
      </c>
      <c r="O162" s="73">
        <v>1.0</v>
      </c>
      <c r="P162" s="73">
        <v>1.0</v>
      </c>
      <c r="Q162" s="73">
        <v>0.0</v>
      </c>
      <c r="R162" s="73">
        <v>0.0</v>
      </c>
      <c r="S162" s="73">
        <v>0.0</v>
      </c>
      <c r="T162" s="73">
        <v>1.0</v>
      </c>
      <c r="U162" s="73">
        <v>0.0</v>
      </c>
      <c r="V162" s="73">
        <v>0.0</v>
      </c>
      <c r="W162" s="73">
        <v>0.0</v>
      </c>
      <c r="X162" s="73">
        <v>1.0</v>
      </c>
      <c r="Y162" s="73">
        <v>0.0</v>
      </c>
      <c r="Z162" s="73">
        <v>0.0</v>
      </c>
      <c r="AA162" s="73">
        <v>0.0</v>
      </c>
      <c r="AB162" s="73">
        <v>0.0</v>
      </c>
      <c r="AC162" s="73">
        <v>0.0</v>
      </c>
      <c r="AD162" s="73">
        <v>0.0</v>
      </c>
      <c r="AE162" s="73">
        <v>0.0</v>
      </c>
      <c r="AF162" s="73">
        <v>0.0</v>
      </c>
      <c r="AG162" s="73">
        <v>0.0</v>
      </c>
      <c r="AH162" s="73">
        <v>0.0</v>
      </c>
      <c r="AI162" s="73">
        <v>0.0</v>
      </c>
      <c r="AJ162" s="73">
        <v>0.0</v>
      </c>
      <c r="AK162" s="13">
        <f t="shared" si="8"/>
        <v>6</v>
      </c>
      <c r="AL162" s="5"/>
      <c r="AM162" s="5"/>
    </row>
    <row r="163" ht="12.75" customHeight="1">
      <c r="A163" s="30"/>
      <c r="B163" s="49"/>
      <c r="C163" s="50" t="s">
        <v>141</v>
      </c>
      <c r="D163" s="51"/>
      <c r="E163" s="73">
        <v>0.0</v>
      </c>
      <c r="F163" s="73">
        <v>1.0</v>
      </c>
      <c r="G163" s="73">
        <v>0.0</v>
      </c>
      <c r="H163" s="73">
        <v>0.0</v>
      </c>
      <c r="I163" s="73">
        <v>0.0</v>
      </c>
      <c r="J163" s="73">
        <v>0.0</v>
      </c>
      <c r="K163" s="73">
        <v>0.0</v>
      </c>
      <c r="L163" s="73">
        <v>0.0</v>
      </c>
      <c r="M163" s="73">
        <v>0.0</v>
      </c>
      <c r="N163" s="73">
        <v>0.0</v>
      </c>
      <c r="O163" s="73">
        <v>0.0</v>
      </c>
      <c r="P163" s="73">
        <v>0.0</v>
      </c>
      <c r="Q163" s="73">
        <v>0.0</v>
      </c>
      <c r="R163" s="73">
        <v>0.0</v>
      </c>
      <c r="S163" s="73">
        <v>1.0</v>
      </c>
      <c r="T163" s="73">
        <v>0.0</v>
      </c>
      <c r="U163" s="73">
        <v>0.0</v>
      </c>
      <c r="V163" s="73">
        <v>0.0</v>
      </c>
      <c r="W163" s="73">
        <v>0.0</v>
      </c>
      <c r="X163" s="73">
        <v>0.0</v>
      </c>
      <c r="Y163" s="73">
        <v>0.0</v>
      </c>
      <c r="Z163" s="73">
        <v>0.0</v>
      </c>
      <c r="AA163" s="73">
        <v>0.0</v>
      </c>
      <c r="AB163" s="73">
        <v>0.0</v>
      </c>
      <c r="AC163" s="73">
        <v>0.0</v>
      </c>
      <c r="AD163" s="73">
        <v>0.0</v>
      </c>
      <c r="AE163" s="73">
        <v>0.0</v>
      </c>
      <c r="AF163" s="73">
        <v>1.0</v>
      </c>
      <c r="AG163" s="73">
        <v>0.0</v>
      </c>
      <c r="AH163" s="73">
        <v>0.0</v>
      </c>
      <c r="AI163" s="73">
        <v>0.0</v>
      </c>
      <c r="AJ163" s="73">
        <v>0.0</v>
      </c>
      <c r="AK163" s="13">
        <f t="shared" si="8"/>
        <v>3</v>
      </c>
      <c r="AL163" s="5"/>
      <c r="AM163" s="5"/>
    </row>
    <row r="164" ht="12.75" customHeight="1">
      <c r="A164" s="19" t="s">
        <v>15</v>
      </c>
      <c r="B164" s="47" t="s">
        <v>46</v>
      </c>
      <c r="C164" s="15"/>
      <c r="D164" s="16"/>
      <c r="E164" s="13">
        <f t="shared" ref="E164:AJ164" si="23">SUM(E161:E163)</f>
        <v>0</v>
      </c>
      <c r="F164" s="13">
        <f t="shared" si="23"/>
        <v>2</v>
      </c>
      <c r="G164" s="13">
        <f t="shared" si="23"/>
        <v>1</v>
      </c>
      <c r="H164" s="13">
        <f t="shared" si="23"/>
        <v>0</v>
      </c>
      <c r="I164" s="13">
        <f t="shared" si="23"/>
        <v>0</v>
      </c>
      <c r="J164" s="13">
        <f t="shared" si="23"/>
        <v>2</v>
      </c>
      <c r="K164" s="13">
        <f t="shared" si="23"/>
        <v>0</v>
      </c>
      <c r="L164" s="13">
        <f t="shared" si="23"/>
        <v>0</v>
      </c>
      <c r="M164" s="13">
        <f t="shared" si="23"/>
        <v>1</v>
      </c>
      <c r="N164" s="13">
        <f t="shared" si="23"/>
        <v>1</v>
      </c>
      <c r="O164" s="13">
        <f t="shared" si="23"/>
        <v>2</v>
      </c>
      <c r="P164" s="13">
        <f t="shared" si="23"/>
        <v>2</v>
      </c>
      <c r="Q164" s="13">
        <f t="shared" si="23"/>
        <v>0</v>
      </c>
      <c r="R164" s="13">
        <f t="shared" si="23"/>
        <v>1</v>
      </c>
      <c r="S164" s="13">
        <f t="shared" si="23"/>
        <v>1</v>
      </c>
      <c r="T164" s="13">
        <f t="shared" si="23"/>
        <v>1</v>
      </c>
      <c r="U164" s="13">
        <f t="shared" si="23"/>
        <v>0</v>
      </c>
      <c r="V164" s="13">
        <f t="shared" si="23"/>
        <v>0</v>
      </c>
      <c r="W164" s="13">
        <f t="shared" si="23"/>
        <v>0</v>
      </c>
      <c r="X164" s="13">
        <f t="shared" si="23"/>
        <v>1</v>
      </c>
      <c r="Y164" s="13">
        <f t="shared" si="23"/>
        <v>1</v>
      </c>
      <c r="Z164" s="13">
        <f t="shared" si="23"/>
        <v>0</v>
      </c>
      <c r="AA164" s="13">
        <f t="shared" si="23"/>
        <v>1</v>
      </c>
      <c r="AB164" s="13">
        <f t="shared" si="23"/>
        <v>0</v>
      </c>
      <c r="AC164" s="13">
        <f t="shared" si="23"/>
        <v>1</v>
      </c>
      <c r="AD164" s="13">
        <f t="shared" si="23"/>
        <v>0</v>
      </c>
      <c r="AE164" s="13">
        <f t="shared" si="23"/>
        <v>1</v>
      </c>
      <c r="AF164" s="13">
        <f t="shared" si="23"/>
        <v>1</v>
      </c>
      <c r="AG164" s="13">
        <f t="shared" si="23"/>
        <v>0</v>
      </c>
      <c r="AH164" s="13">
        <f t="shared" si="23"/>
        <v>0</v>
      </c>
      <c r="AI164" s="13">
        <f t="shared" si="23"/>
        <v>0</v>
      </c>
      <c r="AJ164" s="13">
        <f t="shared" si="23"/>
        <v>0</v>
      </c>
      <c r="AK164" s="13">
        <f t="shared" si="8"/>
        <v>20</v>
      </c>
      <c r="AL164" s="5"/>
      <c r="AM164" s="5"/>
    </row>
    <row r="165" ht="12.75" customHeight="1">
      <c r="A165" s="56"/>
      <c r="B165" s="57"/>
      <c r="C165" s="57"/>
      <c r="D165" s="5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13">
        <f t="shared" si="8"/>
        <v>0</v>
      </c>
      <c r="AL165" s="1"/>
      <c r="AM165" s="1"/>
    </row>
    <row r="166" ht="12.75" customHeight="1">
      <c r="A166" s="30" t="s">
        <v>37</v>
      </c>
      <c r="B166" s="47" t="s">
        <v>142</v>
      </c>
      <c r="C166" s="48" t="s">
        <v>143</v>
      </c>
      <c r="D166" s="16"/>
      <c r="E166" s="66">
        <v>0.0</v>
      </c>
      <c r="F166" s="66">
        <v>0.0</v>
      </c>
      <c r="G166" s="66">
        <v>0.0</v>
      </c>
      <c r="H166" s="66">
        <v>0.0</v>
      </c>
      <c r="I166" s="66">
        <v>0.0</v>
      </c>
      <c r="J166" s="66">
        <v>0.0</v>
      </c>
      <c r="K166" s="66">
        <v>0.0</v>
      </c>
      <c r="L166" s="66">
        <v>0.0</v>
      </c>
      <c r="M166" s="66">
        <v>0.0</v>
      </c>
      <c r="N166" s="66">
        <v>0.0</v>
      </c>
      <c r="O166" s="66">
        <v>0.0</v>
      </c>
      <c r="P166" s="66">
        <v>0.0</v>
      </c>
      <c r="Q166" s="66">
        <v>0.0</v>
      </c>
      <c r="R166" s="66">
        <v>0.0</v>
      </c>
      <c r="S166" s="66">
        <v>0.0</v>
      </c>
      <c r="T166" s="66">
        <v>0.0</v>
      </c>
      <c r="U166" s="66">
        <v>0.0</v>
      </c>
      <c r="V166" s="66">
        <v>0.0</v>
      </c>
      <c r="W166" s="66">
        <v>0.0</v>
      </c>
      <c r="X166" s="66">
        <v>0.0</v>
      </c>
      <c r="Y166" s="66">
        <v>0.0</v>
      </c>
      <c r="Z166" s="66">
        <v>0.0</v>
      </c>
      <c r="AA166" s="66">
        <v>0.0</v>
      </c>
      <c r="AB166" s="66">
        <v>0.0</v>
      </c>
      <c r="AC166" s="66">
        <v>0.0</v>
      </c>
      <c r="AD166" s="66">
        <v>0.0</v>
      </c>
      <c r="AE166" s="66">
        <v>0.0</v>
      </c>
      <c r="AF166" s="66">
        <v>0.0</v>
      </c>
      <c r="AG166" s="66">
        <v>0.0</v>
      </c>
      <c r="AH166" s="66">
        <v>0.0</v>
      </c>
      <c r="AI166" s="66">
        <v>0.0</v>
      </c>
      <c r="AJ166" s="66">
        <v>0.0</v>
      </c>
      <c r="AK166" s="13">
        <f t="shared" si="8"/>
        <v>0</v>
      </c>
      <c r="AL166" s="53"/>
      <c r="AM166" s="53"/>
    </row>
    <row r="167" ht="12.75" customHeight="1">
      <c r="A167" s="30"/>
      <c r="B167" s="47"/>
      <c r="C167" s="50" t="s">
        <v>144</v>
      </c>
      <c r="D167" s="59"/>
      <c r="E167" s="66">
        <v>0.0</v>
      </c>
      <c r="F167" s="66">
        <v>0.0</v>
      </c>
      <c r="G167" s="66">
        <v>0.0</v>
      </c>
      <c r="H167" s="66">
        <v>0.0</v>
      </c>
      <c r="I167" s="66">
        <v>0.0</v>
      </c>
      <c r="J167" s="66">
        <v>0.0</v>
      </c>
      <c r="K167" s="66">
        <v>1.0</v>
      </c>
      <c r="L167" s="66">
        <v>2.0</v>
      </c>
      <c r="M167" s="66">
        <v>1.0</v>
      </c>
      <c r="N167" s="66">
        <v>1.0</v>
      </c>
      <c r="O167" s="66">
        <v>0.0</v>
      </c>
      <c r="P167" s="66">
        <v>0.0</v>
      </c>
      <c r="Q167" s="66">
        <v>0.0</v>
      </c>
      <c r="R167" s="66">
        <v>0.0</v>
      </c>
      <c r="S167" s="66">
        <v>0.0</v>
      </c>
      <c r="T167" s="66">
        <v>0.0</v>
      </c>
      <c r="U167" s="66">
        <v>0.0</v>
      </c>
      <c r="V167" s="66">
        <v>0.0</v>
      </c>
      <c r="W167" s="66">
        <v>0.0</v>
      </c>
      <c r="X167" s="66">
        <v>2.0</v>
      </c>
      <c r="Y167" s="66">
        <v>0.0</v>
      </c>
      <c r="Z167" s="66">
        <v>0.0</v>
      </c>
      <c r="AA167" s="66">
        <v>0.0</v>
      </c>
      <c r="AB167" s="66">
        <v>0.0</v>
      </c>
      <c r="AC167" s="66">
        <v>1.0</v>
      </c>
      <c r="AD167" s="66">
        <v>1.0</v>
      </c>
      <c r="AE167" s="66">
        <v>0.0</v>
      </c>
      <c r="AF167" s="66">
        <v>0.0</v>
      </c>
      <c r="AG167" s="66">
        <v>0.0</v>
      </c>
      <c r="AH167" s="66">
        <v>0.0</v>
      </c>
      <c r="AI167" s="66">
        <v>1.0</v>
      </c>
      <c r="AJ167" s="66">
        <v>1.0</v>
      </c>
      <c r="AK167" s="13">
        <f t="shared" si="8"/>
        <v>11</v>
      </c>
      <c r="AL167" s="5"/>
      <c r="AM167" s="5"/>
    </row>
    <row r="168" ht="12.75" customHeight="1">
      <c r="A168" s="30"/>
      <c r="B168" s="47"/>
      <c r="C168" s="50" t="s">
        <v>145</v>
      </c>
      <c r="D168" s="59"/>
      <c r="E168" s="66">
        <v>0.0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66">
        <v>0.0</v>
      </c>
      <c r="L168" s="66">
        <v>0.0</v>
      </c>
      <c r="M168" s="66">
        <v>0.0</v>
      </c>
      <c r="N168" s="66">
        <v>0.0</v>
      </c>
      <c r="O168" s="66">
        <v>0.0</v>
      </c>
      <c r="P168" s="66">
        <v>0.0</v>
      </c>
      <c r="Q168" s="66">
        <v>0.0</v>
      </c>
      <c r="R168" s="66">
        <v>0.0</v>
      </c>
      <c r="S168" s="66">
        <v>0.0</v>
      </c>
      <c r="T168" s="66">
        <v>0.0</v>
      </c>
      <c r="U168" s="66">
        <v>1.0</v>
      </c>
      <c r="V168" s="66">
        <v>0.0</v>
      </c>
      <c r="W168" s="66">
        <v>0.0</v>
      </c>
      <c r="X168" s="66">
        <v>1.0</v>
      </c>
      <c r="Y168" s="66">
        <v>0.0</v>
      </c>
      <c r="Z168" s="66">
        <v>0.0</v>
      </c>
      <c r="AA168" s="66">
        <v>0.0</v>
      </c>
      <c r="AB168" s="66">
        <v>0.0</v>
      </c>
      <c r="AC168" s="66">
        <v>0.0</v>
      </c>
      <c r="AD168" s="66">
        <v>0.0</v>
      </c>
      <c r="AE168" s="66">
        <v>0.0</v>
      </c>
      <c r="AF168" s="66">
        <v>0.0</v>
      </c>
      <c r="AG168" s="66">
        <v>0.0</v>
      </c>
      <c r="AH168" s="66">
        <v>0.0</v>
      </c>
      <c r="AI168" s="66">
        <v>0.0</v>
      </c>
      <c r="AJ168" s="66">
        <v>0.0</v>
      </c>
      <c r="AK168" s="13">
        <f t="shared" si="8"/>
        <v>2</v>
      </c>
      <c r="AL168" s="5"/>
      <c r="AM168" s="5"/>
    </row>
    <row r="169" ht="12.75" customHeight="1">
      <c r="A169" s="30"/>
      <c r="B169" s="47"/>
      <c r="C169" s="50" t="s">
        <v>146</v>
      </c>
      <c r="D169" s="59"/>
      <c r="E169" s="66">
        <v>0.0</v>
      </c>
      <c r="F169" s="66">
        <v>0.0</v>
      </c>
      <c r="G169" s="66">
        <v>0.0</v>
      </c>
      <c r="H169" s="66">
        <v>0.0</v>
      </c>
      <c r="I169" s="66">
        <v>0.0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66">
        <v>0.0</v>
      </c>
      <c r="Q169" s="66">
        <v>0.0</v>
      </c>
      <c r="R169" s="66">
        <v>0.0</v>
      </c>
      <c r="S169" s="66">
        <v>0.0</v>
      </c>
      <c r="T169" s="66">
        <v>1.0</v>
      </c>
      <c r="U169" s="66">
        <v>0.0</v>
      </c>
      <c r="V169" s="66">
        <v>0.0</v>
      </c>
      <c r="W169" s="66">
        <v>0.0</v>
      </c>
      <c r="X169" s="66">
        <v>0.0</v>
      </c>
      <c r="Y169" s="66">
        <v>0.0</v>
      </c>
      <c r="Z169" s="66">
        <v>0.0</v>
      </c>
      <c r="AA169" s="66">
        <v>0.0</v>
      </c>
      <c r="AB169" s="66">
        <v>0.0</v>
      </c>
      <c r="AC169" s="66">
        <v>0.0</v>
      </c>
      <c r="AD169" s="66">
        <v>0.0</v>
      </c>
      <c r="AE169" s="66">
        <v>0.0</v>
      </c>
      <c r="AF169" s="66">
        <v>0.0</v>
      </c>
      <c r="AG169" s="66">
        <v>0.0</v>
      </c>
      <c r="AH169" s="66">
        <v>0.0</v>
      </c>
      <c r="AI169" s="66">
        <v>0.0</v>
      </c>
      <c r="AJ169" s="66">
        <v>0.0</v>
      </c>
      <c r="AK169" s="13">
        <f t="shared" si="8"/>
        <v>1</v>
      </c>
      <c r="AL169" s="5"/>
      <c r="AM169" s="5"/>
    </row>
    <row r="170" ht="12.75" customHeight="1">
      <c r="A170" s="30" t="s">
        <v>39</v>
      </c>
      <c r="B170" s="49"/>
      <c r="C170" s="50" t="s">
        <v>147</v>
      </c>
      <c r="D170" s="51"/>
      <c r="E170" s="66">
        <v>0.0</v>
      </c>
      <c r="F170" s="66">
        <v>0.0</v>
      </c>
      <c r="G170" s="66">
        <v>0.0</v>
      </c>
      <c r="H170" s="66">
        <v>1.0</v>
      </c>
      <c r="I170" s="66">
        <v>0.0</v>
      </c>
      <c r="J170" s="66">
        <v>0.0</v>
      </c>
      <c r="K170" s="66">
        <v>0.0</v>
      </c>
      <c r="L170" s="66">
        <v>0.0</v>
      </c>
      <c r="M170" s="66">
        <v>0.0</v>
      </c>
      <c r="N170" s="66">
        <v>0.0</v>
      </c>
      <c r="O170" s="66">
        <v>0.0</v>
      </c>
      <c r="P170" s="66">
        <v>0.0</v>
      </c>
      <c r="Q170" s="66">
        <v>0.0</v>
      </c>
      <c r="R170" s="66">
        <v>0.0</v>
      </c>
      <c r="S170" s="66">
        <v>0.0</v>
      </c>
      <c r="T170" s="66">
        <v>0.0</v>
      </c>
      <c r="U170" s="66">
        <v>0.0</v>
      </c>
      <c r="V170" s="66">
        <v>0.0</v>
      </c>
      <c r="W170" s="66">
        <v>0.0</v>
      </c>
      <c r="X170" s="66">
        <v>0.0</v>
      </c>
      <c r="Y170" s="66">
        <v>0.0</v>
      </c>
      <c r="Z170" s="66">
        <v>0.0</v>
      </c>
      <c r="AA170" s="66">
        <v>0.0</v>
      </c>
      <c r="AB170" s="66">
        <v>0.0</v>
      </c>
      <c r="AC170" s="66">
        <v>0.0</v>
      </c>
      <c r="AD170" s="66">
        <v>0.0</v>
      </c>
      <c r="AE170" s="66">
        <v>0.0</v>
      </c>
      <c r="AF170" s="66">
        <v>0.0</v>
      </c>
      <c r="AG170" s="66">
        <v>0.0</v>
      </c>
      <c r="AH170" s="66">
        <v>0.0</v>
      </c>
      <c r="AI170" s="66">
        <v>0.0</v>
      </c>
      <c r="AJ170" s="66">
        <v>0.0</v>
      </c>
      <c r="AK170" s="13">
        <f t="shared" si="8"/>
        <v>1</v>
      </c>
      <c r="AL170" s="5"/>
      <c r="AM170" s="5"/>
    </row>
    <row r="171" ht="12.75" customHeight="1">
      <c r="A171" s="18"/>
      <c r="B171" s="49"/>
      <c r="C171" s="50" t="s">
        <v>148</v>
      </c>
      <c r="D171" s="51"/>
      <c r="E171" s="66">
        <v>0.0</v>
      </c>
      <c r="F171" s="66">
        <v>0.0</v>
      </c>
      <c r="G171" s="66">
        <v>0.0</v>
      </c>
      <c r="H171" s="66">
        <v>0.0</v>
      </c>
      <c r="I171" s="66">
        <v>0.0</v>
      </c>
      <c r="J171" s="66">
        <v>0.0</v>
      </c>
      <c r="K171" s="66">
        <v>0.0</v>
      </c>
      <c r="L171" s="66">
        <v>0.0</v>
      </c>
      <c r="M171" s="66">
        <v>0.0</v>
      </c>
      <c r="N171" s="66">
        <v>0.0</v>
      </c>
      <c r="O171" s="66">
        <v>0.0</v>
      </c>
      <c r="P171" s="66">
        <v>0.0</v>
      </c>
      <c r="Q171" s="66">
        <v>0.0</v>
      </c>
      <c r="R171" s="66">
        <v>0.0</v>
      </c>
      <c r="S171" s="66">
        <v>0.0</v>
      </c>
      <c r="T171" s="66">
        <v>1.0</v>
      </c>
      <c r="U171" s="66">
        <v>0.0</v>
      </c>
      <c r="V171" s="66">
        <v>0.0</v>
      </c>
      <c r="W171" s="66">
        <v>0.0</v>
      </c>
      <c r="X171" s="66">
        <v>1.0</v>
      </c>
      <c r="Y171" s="66">
        <v>0.0</v>
      </c>
      <c r="Z171" s="66">
        <v>1.0</v>
      </c>
      <c r="AA171" s="66">
        <v>0.0</v>
      </c>
      <c r="AB171" s="66">
        <v>0.0</v>
      </c>
      <c r="AC171" s="66">
        <v>0.0</v>
      </c>
      <c r="AD171" s="66">
        <v>0.0</v>
      </c>
      <c r="AE171" s="66">
        <v>0.0</v>
      </c>
      <c r="AF171" s="66">
        <v>0.0</v>
      </c>
      <c r="AG171" s="66">
        <v>0.0</v>
      </c>
      <c r="AH171" s="66">
        <v>0.0</v>
      </c>
      <c r="AI171" s="66">
        <v>0.0</v>
      </c>
      <c r="AJ171" s="66">
        <v>0.0</v>
      </c>
      <c r="AK171" s="13">
        <f t="shared" si="8"/>
        <v>3</v>
      </c>
      <c r="AL171" s="5"/>
      <c r="AM171" s="5"/>
    </row>
    <row r="172" ht="12.75" customHeight="1">
      <c r="A172" s="18"/>
      <c r="B172" s="49"/>
      <c r="C172" s="50" t="s">
        <v>149</v>
      </c>
      <c r="D172" s="51"/>
      <c r="E172" s="66">
        <v>0.0</v>
      </c>
      <c r="F172" s="66">
        <v>0.0</v>
      </c>
      <c r="G172" s="66">
        <v>0.0</v>
      </c>
      <c r="H172" s="66">
        <v>0.0</v>
      </c>
      <c r="I172" s="66">
        <v>0.0</v>
      </c>
      <c r="J172" s="66">
        <v>0.0</v>
      </c>
      <c r="K172" s="66">
        <v>0.0</v>
      </c>
      <c r="L172" s="66">
        <v>0.0</v>
      </c>
      <c r="M172" s="66">
        <v>0.0</v>
      </c>
      <c r="N172" s="66">
        <v>0.0</v>
      </c>
      <c r="O172" s="66">
        <v>0.0</v>
      </c>
      <c r="P172" s="66">
        <v>0.0</v>
      </c>
      <c r="Q172" s="66">
        <v>0.0</v>
      </c>
      <c r="R172" s="66">
        <v>0.0</v>
      </c>
      <c r="S172" s="66">
        <v>0.0</v>
      </c>
      <c r="T172" s="66">
        <v>0.0</v>
      </c>
      <c r="U172" s="66">
        <v>0.0</v>
      </c>
      <c r="V172" s="66">
        <v>0.0</v>
      </c>
      <c r="W172" s="66">
        <v>0.0</v>
      </c>
      <c r="X172" s="66">
        <v>0.0</v>
      </c>
      <c r="Y172" s="66">
        <v>0.0</v>
      </c>
      <c r="Z172" s="66">
        <v>0.0</v>
      </c>
      <c r="AA172" s="66">
        <v>0.0</v>
      </c>
      <c r="AB172" s="66">
        <v>0.0</v>
      </c>
      <c r="AC172" s="66">
        <v>1.0</v>
      </c>
      <c r="AD172" s="66">
        <v>0.0</v>
      </c>
      <c r="AE172" s="66">
        <v>0.0</v>
      </c>
      <c r="AF172" s="66">
        <v>0.0</v>
      </c>
      <c r="AG172" s="66">
        <v>0.0</v>
      </c>
      <c r="AH172" s="66">
        <v>0.0</v>
      </c>
      <c r="AI172" s="66">
        <v>0.0</v>
      </c>
      <c r="AJ172" s="66">
        <v>0.0</v>
      </c>
      <c r="AK172" s="13">
        <f t="shared" si="8"/>
        <v>1</v>
      </c>
      <c r="AL172" s="5"/>
      <c r="AM172" s="5"/>
    </row>
    <row r="173" ht="12.75" customHeight="1">
      <c r="A173" s="19" t="s">
        <v>15</v>
      </c>
      <c r="B173" s="47" t="s">
        <v>46</v>
      </c>
      <c r="C173" s="15"/>
      <c r="D173" s="16"/>
      <c r="E173" s="13">
        <f t="shared" ref="E173:AJ173" si="24">SUM(E166:E172)</f>
        <v>0</v>
      </c>
      <c r="F173" s="13">
        <f t="shared" si="24"/>
        <v>0</v>
      </c>
      <c r="G173" s="13">
        <f t="shared" si="24"/>
        <v>0</v>
      </c>
      <c r="H173" s="13">
        <f t="shared" si="24"/>
        <v>1</v>
      </c>
      <c r="I173" s="13">
        <f t="shared" si="24"/>
        <v>0</v>
      </c>
      <c r="J173" s="13">
        <f t="shared" si="24"/>
        <v>0</v>
      </c>
      <c r="K173" s="13">
        <f t="shared" si="24"/>
        <v>1</v>
      </c>
      <c r="L173" s="13">
        <f t="shared" si="24"/>
        <v>2</v>
      </c>
      <c r="M173" s="13">
        <f t="shared" si="24"/>
        <v>1</v>
      </c>
      <c r="N173" s="13">
        <f t="shared" si="24"/>
        <v>1</v>
      </c>
      <c r="O173" s="13">
        <f t="shared" si="24"/>
        <v>0</v>
      </c>
      <c r="P173" s="13">
        <f t="shared" si="24"/>
        <v>0</v>
      </c>
      <c r="Q173" s="13">
        <f t="shared" si="24"/>
        <v>0</v>
      </c>
      <c r="R173" s="13">
        <f t="shared" si="24"/>
        <v>0</v>
      </c>
      <c r="S173" s="13">
        <f t="shared" si="24"/>
        <v>0</v>
      </c>
      <c r="T173" s="13">
        <f t="shared" si="24"/>
        <v>2</v>
      </c>
      <c r="U173" s="13">
        <f t="shared" si="24"/>
        <v>1</v>
      </c>
      <c r="V173" s="13">
        <f t="shared" si="24"/>
        <v>0</v>
      </c>
      <c r="W173" s="13">
        <f t="shared" si="24"/>
        <v>0</v>
      </c>
      <c r="X173" s="13">
        <f t="shared" si="24"/>
        <v>4</v>
      </c>
      <c r="Y173" s="13">
        <f t="shared" si="24"/>
        <v>0</v>
      </c>
      <c r="Z173" s="13">
        <f t="shared" si="24"/>
        <v>1</v>
      </c>
      <c r="AA173" s="13">
        <f t="shared" si="24"/>
        <v>0</v>
      </c>
      <c r="AB173" s="13">
        <f t="shared" si="24"/>
        <v>0</v>
      </c>
      <c r="AC173" s="13">
        <f t="shared" si="24"/>
        <v>2</v>
      </c>
      <c r="AD173" s="13">
        <f t="shared" si="24"/>
        <v>1</v>
      </c>
      <c r="AE173" s="13">
        <f t="shared" si="24"/>
        <v>0</v>
      </c>
      <c r="AF173" s="13">
        <f t="shared" si="24"/>
        <v>0</v>
      </c>
      <c r="AG173" s="13">
        <f t="shared" si="24"/>
        <v>0</v>
      </c>
      <c r="AH173" s="13">
        <f t="shared" si="24"/>
        <v>0</v>
      </c>
      <c r="AI173" s="13">
        <f t="shared" si="24"/>
        <v>1</v>
      </c>
      <c r="AJ173" s="13">
        <f t="shared" si="24"/>
        <v>1</v>
      </c>
      <c r="AK173" s="13">
        <f t="shared" si="8"/>
        <v>19</v>
      </c>
      <c r="AL173" s="5"/>
      <c r="AM173" s="5"/>
    </row>
    <row r="174" ht="12.75" customHeight="1">
      <c r="A174" s="56"/>
      <c r="B174" s="57"/>
      <c r="C174" s="57"/>
      <c r="D174" s="5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13">
        <f t="shared" si="8"/>
        <v>0</v>
      </c>
      <c r="AL174" s="5"/>
      <c r="AM174" s="5"/>
    </row>
    <row r="175" ht="12.75" customHeight="1">
      <c r="A175" s="30" t="s">
        <v>37</v>
      </c>
      <c r="B175" s="47" t="s">
        <v>150</v>
      </c>
      <c r="C175" s="48" t="s">
        <v>151</v>
      </c>
      <c r="D175" s="16"/>
      <c r="E175" s="66">
        <v>0.0</v>
      </c>
      <c r="F175" s="66">
        <v>0.0</v>
      </c>
      <c r="G175" s="66">
        <v>0.0</v>
      </c>
      <c r="H175" s="66">
        <v>0.0</v>
      </c>
      <c r="I175" s="66">
        <v>0.0</v>
      </c>
      <c r="J175" s="66">
        <v>0.0</v>
      </c>
      <c r="K175" s="66">
        <v>0.0</v>
      </c>
      <c r="L175" s="66">
        <v>0.0</v>
      </c>
      <c r="M175" s="66">
        <v>0.0</v>
      </c>
      <c r="N175" s="66">
        <v>0.0</v>
      </c>
      <c r="O175" s="66">
        <v>0.0</v>
      </c>
      <c r="P175" s="66">
        <v>0.0</v>
      </c>
      <c r="Q175" s="66">
        <v>0.0</v>
      </c>
      <c r="R175" s="66">
        <v>0.0</v>
      </c>
      <c r="S175" s="66">
        <v>1.0</v>
      </c>
      <c r="T175" s="66">
        <v>1.0</v>
      </c>
      <c r="U175" s="66">
        <v>0.0</v>
      </c>
      <c r="V175" s="66">
        <v>0.0</v>
      </c>
      <c r="W175" s="66">
        <v>0.0</v>
      </c>
      <c r="X175" s="66">
        <v>0.0</v>
      </c>
      <c r="Y175" s="66">
        <v>0.0</v>
      </c>
      <c r="Z175" s="66">
        <v>0.0</v>
      </c>
      <c r="AA175" s="66">
        <v>0.0</v>
      </c>
      <c r="AB175" s="66">
        <v>0.0</v>
      </c>
      <c r="AC175" s="66">
        <v>0.0</v>
      </c>
      <c r="AD175" s="66">
        <v>1.0</v>
      </c>
      <c r="AE175" s="66">
        <v>0.0</v>
      </c>
      <c r="AF175" s="66">
        <v>0.0</v>
      </c>
      <c r="AG175" s="66">
        <v>0.0</v>
      </c>
      <c r="AH175" s="66">
        <v>0.0</v>
      </c>
      <c r="AI175" s="66">
        <v>1.0</v>
      </c>
      <c r="AJ175" s="66">
        <v>0.0</v>
      </c>
      <c r="AK175" s="13">
        <f t="shared" si="8"/>
        <v>4</v>
      </c>
      <c r="AL175" s="5"/>
      <c r="AM175" s="5"/>
    </row>
    <row r="176" ht="12.75" customHeight="1">
      <c r="A176" s="30" t="s">
        <v>39</v>
      </c>
      <c r="B176" s="49"/>
      <c r="C176" s="50" t="s">
        <v>152</v>
      </c>
      <c r="D176" s="51"/>
      <c r="E176" s="66">
        <v>0.0</v>
      </c>
      <c r="F176" s="66">
        <v>0.0</v>
      </c>
      <c r="G176" s="66">
        <v>0.0</v>
      </c>
      <c r="H176" s="66">
        <v>0.0</v>
      </c>
      <c r="I176" s="66">
        <v>0.0</v>
      </c>
      <c r="J176" s="66">
        <v>0.0</v>
      </c>
      <c r="K176" s="66">
        <v>0.0</v>
      </c>
      <c r="L176" s="66">
        <v>1.0</v>
      </c>
      <c r="M176" s="66">
        <v>0.0</v>
      </c>
      <c r="N176" s="66">
        <v>0.0</v>
      </c>
      <c r="O176" s="66">
        <v>0.0</v>
      </c>
      <c r="P176" s="66">
        <v>0.0</v>
      </c>
      <c r="Q176" s="66">
        <v>0.0</v>
      </c>
      <c r="R176" s="66">
        <v>0.0</v>
      </c>
      <c r="S176" s="66">
        <v>0.0</v>
      </c>
      <c r="T176" s="66">
        <v>0.0</v>
      </c>
      <c r="U176" s="66">
        <v>0.0</v>
      </c>
      <c r="V176" s="66">
        <v>0.0</v>
      </c>
      <c r="W176" s="66">
        <v>0.0</v>
      </c>
      <c r="X176" s="66">
        <v>0.0</v>
      </c>
      <c r="Y176" s="66">
        <v>0.0</v>
      </c>
      <c r="Z176" s="66">
        <v>0.0</v>
      </c>
      <c r="AA176" s="66">
        <v>1.0</v>
      </c>
      <c r="AB176" s="66">
        <v>0.0</v>
      </c>
      <c r="AC176" s="66">
        <v>0.0</v>
      </c>
      <c r="AD176" s="66">
        <v>0.0</v>
      </c>
      <c r="AE176" s="66">
        <v>0.0</v>
      </c>
      <c r="AF176" s="66">
        <v>0.0</v>
      </c>
      <c r="AG176" s="66">
        <v>0.0</v>
      </c>
      <c r="AH176" s="66">
        <v>1.0</v>
      </c>
      <c r="AI176" s="66">
        <v>0.0</v>
      </c>
      <c r="AJ176" s="66">
        <v>0.0</v>
      </c>
      <c r="AK176" s="13">
        <f t="shared" si="8"/>
        <v>3</v>
      </c>
      <c r="AL176" s="1"/>
      <c r="AM176" s="1"/>
    </row>
    <row r="177" ht="12.75" customHeight="1">
      <c r="A177" s="18"/>
      <c r="B177" s="49"/>
      <c r="C177" s="50" t="s">
        <v>153</v>
      </c>
      <c r="D177" s="51"/>
      <c r="E177" s="66">
        <v>0.0</v>
      </c>
      <c r="F177" s="66">
        <v>0.0</v>
      </c>
      <c r="G177" s="66">
        <v>0.0</v>
      </c>
      <c r="H177" s="66">
        <v>0.0</v>
      </c>
      <c r="I177" s="66">
        <v>0.0</v>
      </c>
      <c r="J177" s="66">
        <v>1.0</v>
      </c>
      <c r="K177" s="66">
        <v>0.0</v>
      </c>
      <c r="L177" s="66">
        <v>0.0</v>
      </c>
      <c r="M177" s="66">
        <v>0.0</v>
      </c>
      <c r="N177" s="66">
        <v>0.0</v>
      </c>
      <c r="O177" s="66">
        <v>0.0</v>
      </c>
      <c r="P177" s="66">
        <v>2.0</v>
      </c>
      <c r="Q177" s="66">
        <v>0.0</v>
      </c>
      <c r="R177" s="66">
        <v>0.0</v>
      </c>
      <c r="S177" s="66">
        <v>0.0</v>
      </c>
      <c r="T177" s="66">
        <v>0.0</v>
      </c>
      <c r="U177" s="66">
        <v>2.0</v>
      </c>
      <c r="V177" s="66">
        <v>0.0</v>
      </c>
      <c r="W177" s="66">
        <v>0.0</v>
      </c>
      <c r="X177" s="66">
        <v>0.0</v>
      </c>
      <c r="Y177" s="66">
        <v>0.0</v>
      </c>
      <c r="Z177" s="66">
        <v>0.0</v>
      </c>
      <c r="AA177" s="66">
        <v>0.0</v>
      </c>
      <c r="AB177" s="66">
        <v>0.0</v>
      </c>
      <c r="AC177" s="66">
        <v>1.0</v>
      </c>
      <c r="AD177" s="66">
        <v>0.0</v>
      </c>
      <c r="AE177" s="66">
        <v>0.0</v>
      </c>
      <c r="AF177" s="66">
        <v>1.0</v>
      </c>
      <c r="AG177" s="66">
        <v>1.0</v>
      </c>
      <c r="AH177" s="66">
        <v>0.0</v>
      </c>
      <c r="AI177" s="66">
        <v>2.0</v>
      </c>
      <c r="AJ177" s="66">
        <v>2.0</v>
      </c>
      <c r="AK177" s="13">
        <f t="shared" si="8"/>
        <v>12</v>
      </c>
    </row>
    <row r="178" ht="12.75" customHeight="1">
      <c r="A178" s="18"/>
      <c r="B178" s="49"/>
      <c r="C178" s="50" t="s">
        <v>154</v>
      </c>
      <c r="D178" s="51"/>
      <c r="E178" s="66">
        <v>0.0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0.0</v>
      </c>
      <c r="N178" s="66">
        <v>0.0</v>
      </c>
      <c r="O178" s="66">
        <v>0.0</v>
      </c>
      <c r="P178" s="66">
        <v>0.0</v>
      </c>
      <c r="Q178" s="66">
        <v>0.0</v>
      </c>
      <c r="R178" s="66">
        <v>0.0</v>
      </c>
      <c r="S178" s="66">
        <v>0.0</v>
      </c>
      <c r="T178" s="66">
        <v>0.0</v>
      </c>
      <c r="U178" s="66">
        <v>0.0</v>
      </c>
      <c r="V178" s="66">
        <v>0.0</v>
      </c>
      <c r="W178" s="66">
        <v>0.0</v>
      </c>
      <c r="X178" s="66">
        <v>0.0</v>
      </c>
      <c r="Y178" s="66">
        <v>0.0</v>
      </c>
      <c r="Z178" s="66">
        <v>0.0</v>
      </c>
      <c r="AA178" s="66">
        <v>0.0</v>
      </c>
      <c r="AB178" s="66">
        <v>0.0</v>
      </c>
      <c r="AC178" s="66">
        <v>0.0</v>
      </c>
      <c r="AD178" s="66">
        <v>0.0</v>
      </c>
      <c r="AE178" s="66">
        <v>0.0</v>
      </c>
      <c r="AF178" s="66">
        <v>0.0</v>
      </c>
      <c r="AG178" s="66">
        <v>0.0</v>
      </c>
      <c r="AH178" s="66">
        <v>0.0</v>
      </c>
      <c r="AI178" s="66">
        <v>0.0</v>
      </c>
      <c r="AJ178" s="66">
        <v>0.0</v>
      </c>
      <c r="AK178" s="13">
        <f t="shared" si="8"/>
        <v>0</v>
      </c>
      <c r="AL178" s="5"/>
      <c r="AM178" s="5"/>
    </row>
    <row r="179" ht="12.75" customHeight="1">
      <c r="A179" s="18"/>
      <c r="B179" s="49"/>
      <c r="C179" s="50" t="s">
        <v>155</v>
      </c>
      <c r="D179" s="51"/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0.0</v>
      </c>
      <c r="S179" s="66">
        <v>0.0</v>
      </c>
      <c r="T179" s="66">
        <v>0.0</v>
      </c>
      <c r="U179" s="66">
        <v>0.0</v>
      </c>
      <c r="V179" s="66">
        <v>0.0</v>
      </c>
      <c r="W179" s="66">
        <v>0.0</v>
      </c>
      <c r="X179" s="66">
        <v>0.0</v>
      </c>
      <c r="Y179" s="66">
        <v>0.0</v>
      </c>
      <c r="Z179" s="66">
        <v>0.0</v>
      </c>
      <c r="AA179" s="66">
        <v>0.0</v>
      </c>
      <c r="AB179" s="66">
        <v>0.0</v>
      </c>
      <c r="AC179" s="66">
        <v>0.0</v>
      </c>
      <c r="AD179" s="66">
        <v>0.0</v>
      </c>
      <c r="AE179" s="66">
        <v>0.0</v>
      </c>
      <c r="AF179" s="66">
        <v>0.0</v>
      </c>
      <c r="AG179" s="66">
        <v>0.0</v>
      </c>
      <c r="AH179" s="66">
        <v>0.0</v>
      </c>
      <c r="AI179" s="66">
        <v>0.0</v>
      </c>
      <c r="AJ179" s="66">
        <v>0.0</v>
      </c>
      <c r="AK179" s="13">
        <f t="shared" si="8"/>
        <v>0</v>
      </c>
      <c r="AL179" s="5"/>
      <c r="AM179" s="5"/>
    </row>
    <row r="180" ht="12.75" customHeight="1">
      <c r="A180" s="18"/>
      <c r="B180" s="49"/>
      <c r="C180" s="50" t="s">
        <v>156</v>
      </c>
      <c r="D180" s="51"/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0.0</v>
      </c>
      <c r="L180" s="66">
        <v>0.0</v>
      </c>
      <c r="M180" s="66">
        <v>0.0</v>
      </c>
      <c r="N180" s="66">
        <v>0.0</v>
      </c>
      <c r="O180" s="66">
        <v>0.0</v>
      </c>
      <c r="P180" s="66">
        <v>0.0</v>
      </c>
      <c r="Q180" s="66">
        <v>0.0</v>
      </c>
      <c r="R180" s="66">
        <v>0.0</v>
      </c>
      <c r="S180" s="66">
        <v>0.0</v>
      </c>
      <c r="T180" s="66">
        <v>0.0</v>
      </c>
      <c r="U180" s="66">
        <v>0.0</v>
      </c>
      <c r="V180" s="66">
        <v>0.0</v>
      </c>
      <c r="W180" s="66">
        <v>0.0</v>
      </c>
      <c r="X180" s="66">
        <v>0.0</v>
      </c>
      <c r="Y180" s="66">
        <v>0.0</v>
      </c>
      <c r="Z180" s="66">
        <v>0.0</v>
      </c>
      <c r="AA180" s="66">
        <v>0.0</v>
      </c>
      <c r="AB180" s="66">
        <v>0.0</v>
      </c>
      <c r="AC180" s="66">
        <v>0.0</v>
      </c>
      <c r="AD180" s="66">
        <v>0.0</v>
      </c>
      <c r="AE180" s="66">
        <v>0.0</v>
      </c>
      <c r="AF180" s="66">
        <v>0.0</v>
      </c>
      <c r="AG180" s="66">
        <v>0.0</v>
      </c>
      <c r="AH180" s="66">
        <v>0.0</v>
      </c>
      <c r="AI180" s="66">
        <v>0.0</v>
      </c>
      <c r="AJ180" s="66">
        <v>0.0</v>
      </c>
      <c r="AK180" s="13">
        <f t="shared" si="8"/>
        <v>0</v>
      </c>
      <c r="AL180" s="5"/>
      <c r="AM180" s="5"/>
    </row>
    <row r="181" ht="12.75" customHeight="1">
      <c r="A181" s="18"/>
      <c r="B181" s="49"/>
      <c r="C181" s="50" t="s">
        <v>157</v>
      </c>
      <c r="D181" s="51"/>
      <c r="E181" s="66">
        <v>0.0</v>
      </c>
      <c r="F181" s="66">
        <v>0.0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1.0</v>
      </c>
      <c r="M181" s="66">
        <v>0.0</v>
      </c>
      <c r="N181" s="66">
        <v>0.0</v>
      </c>
      <c r="O181" s="66">
        <v>1.0</v>
      </c>
      <c r="P181" s="66">
        <v>0.0</v>
      </c>
      <c r="Q181" s="66">
        <v>0.0</v>
      </c>
      <c r="R181" s="66">
        <v>0.0</v>
      </c>
      <c r="S181" s="66">
        <v>0.0</v>
      </c>
      <c r="T181" s="66">
        <v>0.0</v>
      </c>
      <c r="U181" s="66">
        <v>0.0</v>
      </c>
      <c r="V181" s="66">
        <v>0.0</v>
      </c>
      <c r="W181" s="66">
        <v>0.0</v>
      </c>
      <c r="X181" s="66">
        <v>0.0</v>
      </c>
      <c r="Y181" s="66">
        <v>0.0</v>
      </c>
      <c r="Z181" s="66">
        <v>0.0</v>
      </c>
      <c r="AA181" s="66">
        <v>0.0</v>
      </c>
      <c r="AB181" s="66">
        <v>0.0</v>
      </c>
      <c r="AC181" s="66">
        <v>0.0</v>
      </c>
      <c r="AD181" s="66">
        <v>0.0</v>
      </c>
      <c r="AE181" s="66">
        <v>0.0</v>
      </c>
      <c r="AF181" s="66">
        <v>1.0</v>
      </c>
      <c r="AG181" s="66">
        <v>0.0</v>
      </c>
      <c r="AH181" s="66">
        <v>0.0</v>
      </c>
      <c r="AI181" s="66">
        <v>0.0</v>
      </c>
      <c r="AJ181" s="66">
        <v>0.0</v>
      </c>
      <c r="AK181" s="13">
        <f t="shared" si="8"/>
        <v>3</v>
      </c>
      <c r="AL181" s="5"/>
      <c r="AM181" s="5"/>
    </row>
    <row r="182" ht="12.75" customHeight="1">
      <c r="A182" s="19" t="s">
        <v>15</v>
      </c>
      <c r="B182" s="47" t="s">
        <v>46</v>
      </c>
      <c r="C182" s="15"/>
      <c r="D182" s="16"/>
      <c r="E182" s="13">
        <f t="shared" ref="E182:AJ182" si="25">SUM(E175:E181)</f>
        <v>0</v>
      </c>
      <c r="F182" s="13">
        <f t="shared" si="25"/>
        <v>0</v>
      </c>
      <c r="G182" s="13">
        <f t="shared" si="25"/>
        <v>0</v>
      </c>
      <c r="H182" s="13">
        <f t="shared" si="25"/>
        <v>0</v>
      </c>
      <c r="I182" s="13">
        <f t="shared" si="25"/>
        <v>0</v>
      </c>
      <c r="J182" s="13">
        <f t="shared" si="25"/>
        <v>1</v>
      </c>
      <c r="K182" s="13">
        <f t="shared" si="25"/>
        <v>0</v>
      </c>
      <c r="L182" s="13">
        <f t="shared" si="25"/>
        <v>2</v>
      </c>
      <c r="M182" s="13">
        <f t="shared" si="25"/>
        <v>0</v>
      </c>
      <c r="N182" s="13">
        <f t="shared" si="25"/>
        <v>0</v>
      </c>
      <c r="O182" s="13">
        <f t="shared" si="25"/>
        <v>1</v>
      </c>
      <c r="P182" s="13">
        <f t="shared" si="25"/>
        <v>2</v>
      </c>
      <c r="Q182" s="13">
        <f t="shared" si="25"/>
        <v>0</v>
      </c>
      <c r="R182" s="13">
        <f t="shared" si="25"/>
        <v>0</v>
      </c>
      <c r="S182" s="13">
        <f t="shared" si="25"/>
        <v>1</v>
      </c>
      <c r="T182" s="13">
        <f t="shared" si="25"/>
        <v>1</v>
      </c>
      <c r="U182" s="13">
        <f t="shared" si="25"/>
        <v>2</v>
      </c>
      <c r="V182" s="13">
        <f t="shared" si="25"/>
        <v>0</v>
      </c>
      <c r="W182" s="13">
        <f t="shared" si="25"/>
        <v>0</v>
      </c>
      <c r="X182" s="13">
        <f t="shared" si="25"/>
        <v>0</v>
      </c>
      <c r="Y182" s="13">
        <f t="shared" si="25"/>
        <v>0</v>
      </c>
      <c r="Z182" s="13">
        <f t="shared" si="25"/>
        <v>0</v>
      </c>
      <c r="AA182" s="13">
        <f t="shared" si="25"/>
        <v>1</v>
      </c>
      <c r="AB182" s="13">
        <f t="shared" si="25"/>
        <v>0</v>
      </c>
      <c r="AC182" s="13">
        <f t="shared" si="25"/>
        <v>1</v>
      </c>
      <c r="AD182" s="13">
        <f t="shared" si="25"/>
        <v>1</v>
      </c>
      <c r="AE182" s="13">
        <f t="shared" si="25"/>
        <v>0</v>
      </c>
      <c r="AF182" s="13">
        <f t="shared" si="25"/>
        <v>2</v>
      </c>
      <c r="AG182" s="13">
        <f t="shared" si="25"/>
        <v>1</v>
      </c>
      <c r="AH182" s="13">
        <f t="shared" si="25"/>
        <v>1</v>
      </c>
      <c r="AI182" s="13">
        <f t="shared" si="25"/>
        <v>3</v>
      </c>
      <c r="AJ182" s="13">
        <f t="shared" si="25"/>
        <v>2</v>
      </c>
      <c r="AK182" s="13">
        <f t="shared" si="8"/>
        <v>22</v>
      </c>
      <c r="AL182" s="5"/>
      <c r="AM182" s="5"/>
    </row>
    <row r="183" ht="12.75" customHeight="1">
      <c r="A183" s="56"/>
      <c r="B183" s="57"/>
      <c r="C183" s="57"/>
      <c r="D183" s="5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13">
        <f t="shared" si="8"/>
        <v>0</v>
      </c>
      <c r="AL183" s="5"/>
      <c r="AM183" s="5"/>
    </row>
    <row r="184" ht="12.75" customHeight="1">
      <c r="A184" s="30" t="s">
        <v>37</v>
      </c>
      <c r="B184" s="47" t="s">
        <v>158</v>
      </c>
      <c r="C184" s="48" t="s">
        <v>159</v>
      </c>
      <c r="D184" s="16"/>
      <c r="E184" s="66">
        <v>0.0</v>
      </c>
      <c r="F184" s="66">
        <v>0.0</v>
      </c>
      <c r="G184" s="66">
        <v>0.0</v>
      </c>
      <c r="H184" s="66">
        <v>0.0</v>
      </c>
      <c r="I184" s="66">
        <v>0.0</v>
      </c>
      <c r="J184" s="66">
        <v>0.0</v>
      </c>
      <c r="K184" s="66">
        <v>0.0</v>
      </c>
      <c r="L184" s="66">
        <v>0.0</v>
      </c>
      <c r="M184" s="66">
        <v>1.0</v>
      </c>
      <c r="N184" s="66">
        <v>0.0</v>
      </c>
      <c r="O184" s="66">
        <v>1.0</v>
      </c>
      <c r="P184" s="66">
        <v>0.0</v>
      </c>
      <c r="Q184" s="66">
        <v>1.0</v>
      </c>
      <c r="R184" s="66">
        <v>0.0</v>
      </c>
      <c r="S184" s="66">
        <v>0.0</v>
      </c>
      <c r="T184" s="66">
        <v>0.0</v>
      </c>
      <c r="U184" s="66">
        <v>0.0</v>
      </c>
      <c r="V184" s="66">
        <v>0.0</v>
      </c>
      <c r="W184" s="66">
        <v>0.0</v>
      </c>
      <c r="X184" s="66">
        <v>2.0</v>
      </c>
      <c r="Y184" s="66">
        <v>0.0</v>
      </c>
      <c r="Z184" s="66">
        <v>0.0</v>
      </c>
      <c r="AA184" s="66">
        <v>0.0</v>
      </c>
      <c r="AB184" s="66">
        <v>1.0</v>
      </c>
      <c r="AC184" s="66">
        <v>0.0</v>
      </c>
      <c r="AD184" s="66">
        <v>0.0</v>
      </c>
      <c r="AE184" s="66">
        <v>0.0</v>
      </c>
      <c r="AF184" s="66">
        <v>2.0</v>
      </c>
      <c r="AG184" s="66">
        <v>0.0</v>
      </c>
      <c r="AH184" s="66">
        <v>0.0</v>
      </c>
      <c r="AI184" s="66">
        <v>0.0</v>
      </c>
      <c r="AJ184" s="66">
        <v>0.0</v>
      </c>
      <c r="AK184" s="13">
        <f t="shared" si="8"/>
        <v>8</v>
      </c>
      <c r="AL184" s="5"/>
      <c r="AM184" s="5"/>
    </row>
    <row r="185" ht="12.75" customHeight="1">
      <c r="A185" s="30" t="s">
        <v>39</v>
      </c>
      <c r="B185" s="49"/>
      <c r="C185" s="50" t="s">
        <v>160</v>
      </c>
      <c r="D185" s="51"/>
      <c r="E185" s="66">
        <v>0.0</v>
      </c>
      <c r="F185" s="66">
        <v>0.0</v>
      </c>
      <c r="G185" s="66">
        <v>0.0</v>
      </c>
      <c r="H185" s="66">
        <v>0.0</v>
      </c>
      <c r="I185" s="66">
        <v>0.0</v>
      </c>
      <c r="J185" s="66">
        <v>0.0</v>
      </c>
      <c r="K185" s="66">
        <v>0.0</v>
      </c>
      <c r="L185" s="66">
        <v>0.0</v>
      </c>
      <c r="M185" s="66">
        <v>0.0</v>
      </c>
      <c r="N185" s="66">
        <v>0.0</v>
      </c>
      <c r="O185" s="66">
        <v>0.0</v>
      </c>
      <c r="P185" s="66">
        <v>2.0</v>
      </c>
      <c r="Q185" s="66">
        <v>2.0</v>
      </c>
      <c r="R185" s="66">
        <v>0.0</v>
      </c>
      <c r="S185" s="66">
        <v>0.0</v>
      </c>
      <c r="T185" s="66">
        <v>0.0</v>
      </c>
      <c r="U185" s="66">
        <v>0.0</v>
      </c>
      <c r="V185" s="66">
        <v>0.0</v>
      </c>
      <c r="W185" s="66">
        <v>0.0</v>
      </c>
      <c r="X185" s="66">
        <v>0.0</v>
      </c>
      <c r="Y185" s="66">
        <v>1.0</v>
      </c>
      <c r="Z185" s="66">
        <v>0.0</v>
      </c>
      <c r="AA185" s="66">
        <v>1.0</v>
      </c>
      <c r="AB185" s="66">
        <v>0.0</v>
      </c>
      <c r="AC185" s="66">
        <v>0.0</v>
      </c>
      <c r="AD185" s="66">
        <v>0.0</v>
      </c>
      <c r="AE185" s="66">
        <v>1.0</v>
      </c>
      <c r="AF185" s="66">
        <v>0.0</v>
      </c>
      <c r="AG185" s="66">
        <v>0.0</v>
      </c>
      <c r="AH185" s="66">
        <v>0.0</v>
      </c>
      <c r="AI185" s="66">
        <v>0.0</v>
      </c>
      <c r="AJ185" s="66">
        <v>0.0</v>
      </c>
      <c r="AK185" s="13">
        <f t="shared" si="8"/>
        <v>7</v>
      </c>
      <c r="AL185" s="5"/>
      <c r="AM185" s="5"/>
    </row>
    <row r="186" ht="12.75" customHeight="1">
      <c r="A186" s="19" t="s">
        <v>15</v>
      </c>
      <c r="B186" s="47" t="s">
        <v>46</v>
      </c>
      <c r="C186" s="15"/>
      <c r="D186" s="16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3">
        <f t="shared" si="8"/>
        <v>0</v>
      </c>
      <c r="AL186" s="5"/>
      <c r="AM186" s="5"/>
    </row>
    <row r="187" ht="12.75" customHeight="1">
      <c r="A187" s="24"/>
      <c r="B187" s="15"/>
      <c r="C187" s="15"/>
      <c r="D187" s="16"/>
      <c r="E187" s="13">
        <f t="shared" ref="E187:AJ187" si="26">SUM(E177:E184)</f>
        <v>0</v>
      </c>
      <c r="F187" s="13">
        <f t="shared" si="26"/>
        <v>0</v>
      </c>
      <c r="G187" s="13">
        <f t="shared" si="26"/>
        <v>0</v>
      </c>
      <c r="H187" s="13">
        <f t="shared" si="26"/>
        <v>0</v>
      </c>
      <c r="I187" s="13">
        <f t="shared" si="26"/>
        <v>0</v>
      </c>
      <c r="J187" s="13">
        <f t="shared" si="26"/>
        <v>2</v>
      </c>
      <c r="K187" s="13">
        <f t="shared" si="26"/>
        <v>0</v>
      </c>
      <c r="L187" s="13">
        <f t="shared" si="26"/>
        <v>3</v>
      </c>
      <c r="M187" s="13">
        <f t="shared" si="26"/>
        <v>1</v>
      </c>
      <c r="N187" s="13">
        <f t="shared" si="26"/>
        <v>0</v>
      </c>
      <c r="O187" s="13">
        <f t="shared" si="26"/>
        <v>3</v>
      </c>
      <c r="P187" s="13">
        <f t="shared" si="26"/>
        <v>4</v>
      </c>
      <c r="Q187" s="13">
        <f t="shared" si="26"/>
        <v>1</v>
      </c>
      <c r="R187" s="13">
        <f t="shared" si="26"/>
        <v>0</v>
      </c>
      <c r="S187" s="13">
        <f t="shared" si="26"/>
        <v>1</v>
      </c>
      <c r="T187" s="13">
        <f t="shared" si="26"/>
        <v>1</v>
      </c>
      <c r="U187" s="13">
        <f t="shared" si="26"/>
        <v>4</v>
      </c>
      <c r="V187" s="13">
        <f t="shared" si="26"/>
        <v>0</v>
      </c>
      <c r="W187" s="13">
        <f t="shared" si="26"/>
        <v>0</v>
      </c>
      <c r="X187" s="13">
        <f t="shared" si="26"/>
        <v>2</v>
      </c>
      <c r="Y187" s="13">
        <f t="shared" si="26"/>
        <v>0</v>
      </c>
      <c r="Z187" s="13">
        <f t="shared" si="26"/>
        <v>0</v>
      </c>
      <c r="AA187" s="13">
        <f t="shared" si="26"/>
        <v>1</v>
      </c>
      <c r="AB187" s="13">
        <f t="shared" si="26"/>
        <v>1</v>
      </c>
      <c r="AC187" s="13">
        <f t="shared" si="26"/>
        <v>2</v>
      </c>
      <c r="AD187" s="13">
        <f t="shared" si="26"/>
        <v>1</v>
      </c>
      <c r="AE187" s="13">
        <f t="shared" si="26"/>
        <v>0</v>
      </c>
      <c r="AF187" s="13">
        <f t="shared" si="26"/>
        <v>6</v>
      </c>
      <c r="AG187" s="13">
        <f t="shared" si="26"/>
        <v>2</v>
      </c>
      <c r="AH187" s="13">
        <f t="shared" si="26"/>
        <v>1</v>
      </c>
      <c r="AI187" s="13">
        <f t="shared" si="26"/>
        <v>5</v>
      </c>
      <c r="AJ187" s="13">
        <f t="shared" si="26"/>
        <v>4</v>
      </c>
      <c r="AK187" s="13">
        <f t="shared" si="8"/>
        <v>45</v>
      </c>
      <c r="AL187" s="1"/>
      <c r="AM187" s="1"/>
    </row>
    <row r="188" ht="12.75" customHeight="1">
      <c r="A188" s="45"/>
      <c r="B188" s="44"/>
      <c r="C188" s="44"/>
      <c r="D188" s="28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13">
        <f t="shared" si="8"/>
        <v>0</v>
      </c>
    </row>
    <row r="189" ht="12.75" customHeight="1">
      <c r="A189" s="42" t="s">
        <v>161</v>
      </c>
      <c r="B189" s="14" t="s">
        <v>162</v>
      </c>
      <c r="C189" s="15"/>
      <c r="D189" s="16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13">
        <f t="shared" si="8"/>
        <v>0</v>
      </c>
      <c r="AL189" s="5"/>
      <c r="AM189" s="5"/>
    </row>
    <row r="190" ht="12.75" customHeight="1">
      <c r="A190" s="42"/>
      <c r="B190" s="61" t="s">
        <v>163</v>
      </c>
      <c r="C190" s="62" t="s">
        <v>164</v>
      </c>
      <c r="D190" s="16"/>
      <c r="E190" s="19">
        <f t="shared" ref="E190:AJ190" si="27">E187+E182+E173+E164+E159+E150+E141+E132+E128+E119+E110+E101+E92+E88+E79+E70+E61+E52</f>
        <v>212</v>
      </c>
      <c r="F190" s="19">
        <f t="shared" si="27"/>
        <v>204</v>
      </c>
      <c r="G190" s="19">
        <f t="shared" si="27"/>
        <v>206</v>
      </c>
      <c r="H190" s="19">
        <f t="shared" si="27"/>
        <v>236</v>
      </c>
      <c r="I190" s="19">
        <f t="shared" si="27"/>
        <v>217</v>
      </c>
      <c r="J190" s="19">
        <f t="shared" si="27"/>
        <v>220</v>
      </c>
      <c r="K190" s="19">
        <f t="shared" si="27"/>
        <v>190</v>
      </c>
      <c r="L190" s="19">
        <f t="shared" si="27"/>
        <v>202</v>
      </c>
      <c r="M190" s="19">
        <f t="shared" si="27"/>
        <v>232</v>
      </c>
      <c r="N190" s="19">
        <f t="shared" si="27"/>
        <v>231</v>
      </c>
      <c r="O190" s="19">
        <f t="shared" si="27"/>
        <v>166</v>
      </c>
      <c r="P190" s="19">
        <f t="shared" si="27"/>
        <v>208</v>
      </c>
      <c r="Q190" s="19">
        <f t="shared" si="27"/>
        <v>184</v>
      </c>
      <c r="R190" s="19">
        <f t="shared" si="27"/>
        <v>206</v>
      </c>
      <c r="S190" s="19">
        <f t="shared" si="27"/>
        <v>221</v>
      </c>
      <c r="T190" s="19">
        <f t="shared" si="27"/>
        <v>206</v>
      </c>
      <c r="U190" s="19">
        <f t="shared" si="27"/>
        <v>151</v>
      </c>
      <c r="V190" s="19">
        <f t="shared" si="27"/>
        <v>138</v>
      </c>
      <c r="W190" s="19">
        <f t="shared" si="27"/>
        <v>168</v>
      </c>
      <c r="X190" s="19">
        <f t="shared" si="27"/>
        <v>227</v>
      </c>
      <c r="Y190" s="19">
        <f t="shared" si="27"/>
        <v>182</v>
      </c>
      <c r="Z190" s="19">
        <f t="shared" si="27"/>
        <v>205</v>
      </c>
      <c r="AA190" s="19">
        <f t="shared" si="27"/>
        <v>207</v>
      </c>
      <c r="AB190" s="19">
        <f t="shared" si="27"/>
        <v>229</v>
      </c>
      <c r="AC190" s="19">
        <f t="shared" si="27"/>
        <v>177</v>
      </c>
      <c r="AD190" s="19">
        <f t="shared" si="27"/>
        <v>210</v>
      </c>
      <c r="AE190" s="19">
        <f t="shared" si="27"/>
        <v>221</v>
      </c>
      <c r="AF190" s="19">
        <f t="shared" si="27"/>
        <v>200</v>
      </c>
      <c r="AG190" s="19">
        <f t="shared" si="27"/>
        <v>249</v>
      </c>
      <c r="AH190" s="19">
        <f t="shared" si="27"/>
        <v>201</v>
      </c>
      <c r="AI190" s="19">
        <f t="shared" si="27"/>
        <v>199</v>
      </c>
      <c r="AJ190" s="19">
        <f t="shared" si="27"/>
        <v>180</v>
      </c>
      <c r="AK190" s="13">
        <f t="shared" si="8"/>
        <v>6485</v>
      </c>
      <c r="AL190" s="5"/>
      <c r="AM190" s="5"/>
    </row>
    <row r="191" ht="12.75" customHeight="1">
      <c r="A191" s="35"/>
      <c r="B191" s="61" t="s">
        <v>165</v>
      </c>
      <c r="C191" s="62" t="s">
        <v>166</v>
      </c>
      <c r="D191" s="16"/>
      <c r="E191" s="66">
        <v>16.0</v>
      </c>
      <c r="F191" s="66">
        <v>6.0</v>
      </c>
      <c r="G191" s="66">
        <v>4.0</v>
      </c>
      <c r="H191" s="66">
        <v>4.0</v>
      </c>
      <c r="I191" s="66">
        <v>8.0</v>
      </c>
      <c r="J191" s="66">
        <v>10.0</v>
      </c>
      <c r="K191" s="66">
        <v>10.0</v>
      </c>
      <c r="L191" s="66">
        <v>21.0</v>
      </c>
      <c r="M191" s="66">
        <v>11.0</v>
      </c>
      <c r="N191" s="66">
        <v>11.0</v>
      </c>
      <c r="O191" s="66">
        <v>14.0</v>
      </c>
      <c r="P191" s="66">
        <v>12.0</v>
      </c>
      <c r="Q191" s="66">
        <v>7.0</v>
      </c>
      <c r="R191" s="66">
        <v>8.0</v>
      </c>
      <c r="S191" s="66">
        <v>7.0</v>
      </c>
      <c r="T191" s="66">
        <v>17.0</v>
      </c>
      <c r="U191" s="66">
        <v>9.0</v>
      </c>
      <c r="V191" s="66">
        <v>3.0</v>
      </c>
      <c r="W191" s="66">
        <v>4.0</v>
      </c>
      <c r="X191" s="66">
        <v>5.0</v>
      </c>
      <c r="Y191" s="66">
        <v>9.0</v>
      </c>
      <c r="Z191" s="66">
        <v>13.0</v>
      </c>
      <c r="AA191" s="66">
        <v>12.0</v>
      </c>
      <c r="AB191" s="66">
        <v>11.0</v>
      </c>
      <c r="AC191" s="66">
        <v>3.0</v>
      </c>
      <c r="AD191" s="66">
        <v>2.0</v>
      </c>
      <c r="AE191" s="66">
        <v>7.0</v>
      </c>
      <c r="AF191" s="66">
        <v>11.0</v>
      </c>
      <c r="AG191" s="66">
        <v>3.0</v>
      </c>
      <c r="AH191" s="66">
        <v>47.0</v>
      </c>
      <c r="AI191" s="66">
        <v>12.0</v>
      </c>
      <c r="AJ191" s="66">
        <v>9.0</v>
      </c>
      <c r="AK191" s="13">
        <f t="shared" si="8"/>
        <v>326</v>
      </c>
      <c r="AL191" s="5"/>
      <c r="AM191" s="5"/>
    </row>
    <row r="192" ht="12.75" customHeight="1">
      <c r="A192" s="41"/>
      <c r="B192" s="61" t="s">
        <v>167</v>
      </c>
      <c r="C192" s="62" t="s">
        <v>168</v>
      </c>
      <c r="D192" s="16"/>
      <c r="E192" s="19">
        <f t="shared" ref="E192:AJ192" si="28">E190+E191</f>
        <v>228</v>
      </c>
      <c r="F192" s="19">
        <f t="shared" si="28"/>
        <v>210</v>
      </c>
      <c r="G192" s="19">
        <f t="shared" si="28"/>
        <v>210</v>
      </c>
      <c r="H192" s="19">
        <f t="shared" si="28"/>
        <v>240</v>
      </c>
      <c r="I192" s="19">
        <f t="shared" si="28"/>
        <v>225</v>
      </c>
      <c r="J192" s="19">
        <f t="shared" si="28"/>
        <v>230</v>
      </c>
      <c r="K192" s="19">
        <f t="shared" si="28"/>
        <v>200</v>
      </c>
      <c r="L192" s="19">
        <f t="shared" si="28"/>
        <v>223</v>
      </c>
      <c r="M192" s="19">
        <f t="shared" si="28"/>
        <v>243</v>
      </c>
      <c r="N192" s="19">
        <f t="shared" si="28"/>
        <v>242</v>
      </c>
      <c r="O192" s="19">
        <f t="shared" si="28"/>
        <v>180</v>
      </c>
      <c r="P192" s="19">
        <f t="shared" si="28"/>
        <v>220</v>
      </c>
      <c r="Q192" s="19">
        <f t="shared" si="28"/>
        <v>191</v>
      </c>
      <c r="R192" s="19">
        <f t="shared" si="28"/>
        <v>214</v>
      </c>
      <c r="S192" s="19">
        <f t="shared" si="28"/>
        <v>228</v>
      </c>
      <c r="T192" s="19">
        <f t="shared" si="28"/>
        <v>223</v>
      </c>
      <c r="U192" s="19">
        <f t="shared" si="28"/>
        <v>160</v>
      </c>
      <c r="V192" s="19">
        <f t="shared" si="28"/>
        <v>141</v>
      </c>
      <c r="W192" s="19">
        <f t="shared" si="28"/>
        <v>172</v>
      </c>
      <c r="X192" s="19">
        <f t="shared" si="28"/>
        <v>232</v>
      </c>
      <c r="Y192" s="19">
        <f t="shared" si="28"/>
        <v>191</v>
      </c>
      <c r="Z192" s="19">
        <f t="shared" si="28"/>
        <v>218</v>
      </c>
      <c r="AA192" s="19">
        <f t="shared" si="28"/>
        <v>219</v>
      </c>
      <c r="AB192" s="19">
        <f t="shared" si="28"/>
        <v>240</v>
      </c>
      <c r="AC192" s="19">
        <f t="shared" si="28"/>
        <v>180</v>
      </c>
      <c r="AD192" s="19">
        <f t="shared" si="28"/>
        <v>212</v>
      </c>
      <c r="AE192" s="19">
        <f t="shared" si="28"/>
        <v>228</v>
      </c>
      <c r="AF192" s="19">
        <f t="shared" si="28"/>
        <v>211</v>
      </c>
      <c r="AG192" s="19">
        <f t="shared" si="28"/>
        <v>252</v>
      </c>
      <c r="AH192" s="19">
        <f t="shared" si="28"/>
        <v>248</v>
      </c>
      <c r="AI192" s="19">
        <f t="shared" si="28"/>
        <v>211</v>
      </c>
      <c r="AJ192" s="19">
        <f t="shared" si="28"/>
        <v>189</v>
      </c>
      <c r="AK192" s="13">
        <f t="shared" si="8"/>
        <v>6811</v>
      </c>
      <c r="AL192" s="5"/>
      <c r="AM192" s="5"/>
    </row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2">
    <mergeCell ref="C103:D103"/>
    <mergeCell ref="B110:D110"/>
    <mergeCell ref="C112:D112"/>
    <mergeCell ref="B119:D119"/>
    <mergeCell ref="C121:D121"/>
    <mergeCell ref="B128:D128"/>
    <mergeCell ref="C130:D130"/>
    <mergeCell ref="B132:D132"/>
    <mergeCell ref="C134:D134"/>
    <mergeCell ref="B141:D141"/>
    <mergeCell ref="C143:D143"/>
    <mergeCell ref="B150:D150"/>
    <mergeCell ref="C152:D152"/>
    <mergeCell ref="B159:D159"/>
    <mergeCell ref="B186:D186"/>
    <mergeCell ref="A187:D187"/>
    <mergeCell ref="A188:D188"/>
    <mergeCell ref="B189:D189"/>
    <mergeCell ref="C190:D190"/>
    <mergeCell ref="C191:D191"/>
    <mergeCell ref="C192:D192"/>
    <mergeCell ref="C161:D161"/>
    <mergeCell ref="B164:D164"/>
    <mergeCell ref="C166:D166"/>
    <mergeCell ref="B173:D173"/>
    <mergeCell ref="C175:D175"/>
    <mergeCell ref="B182:D182"/>
    <mergeCell ref="C184:D184"/>
    <mergeCell ref="B12:D12"/>
    <mergeCell ref="E12:AJ12"/>
    <mergeCell ref="AK12:AK13"/>
    <mergeCell ref="B13:D13"/>
    <mergeCell ref="B14:C16"/>
    <mergeCell ref="A17:D17"/>
    <mergeCell ref="B18:D18"/>
    <mergeCell ref="B19:B21"/>
    <mergeCell ref="C19:C21"/>
    <mergeCell ref="B22:B24"/>
    <mergeCell ref="C22:C24"/>
    <mergeCell ref="B25:B27"/>
    <mergeCell ref="C25:C27"/>
    <mergeCell ref="B28:B30"/>
    <mergeCell ref="A37:D37"/>
    <mergeCell ref="E37:AD37"/>
    <mergeCell ref="B38:D38"/>
    <mergeCell ref="B39:C41"/>
    <mergeCell ref="A42:D42"/>
    <mergeCell ref="E42:W42"/>
    <mergeCell ref="B43:D4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52:D52"/>
    <mergeCell ref="C54:D54"/>
    <mergeCell ref="B61:D61"/>
    <mergeCell ref="C63:D63"/>
    <mergeCell ref="B70:D70"/>
    <mergeCell ref="C72:D72"/>
    <mergeCell ref="B79:D79"/>
    <mergeCell ref="C81:D81"/>
    <mergeCell ref="B88:D88"/>
    <mergeCell ref="C90:D90"/>
    <mergeCell ref="C91:D91"/>
    <mergeCell ref="B92:D92"/>
    <mergeCell ref="C94:D94"/>
    <mergeCell ref="B101:D101"/>
  </mergeCells>
  <conditionalFormatting sqref="E34:T34 W34:AH34">
    <cfRule type="expression" dxfId="1" priority="1">
      <formula>E34&lt;&gt;E64</formula>
    </cfRule>
  </conditionalFormatting>
  <conditionalFormatting sqref="E14:AJ15">
    <cfRule type="containsBlanks" dxfId="0" priority="2">
      <formula>LEN(TRIM(E14))=0</formula>
    </cfRule>
  </conditionalFormatting>
  <conditionalFormatting sqref="E19:AJ20">
    <cfRule type="containsBlanks" dxfId="0" priority="3">
      <formula>LEN(TRIM(E19))=0</formula>
    </cfRule>
  </conditionalFormatting>
  <conditionalFormatting sqref="E22:AJ23 E25:AJ26 E33:AJ33 E35:AJ35 E39:AJ40">
    <cfRule type="containsBlanks" dxfId="0" priority="4">
      <formula>LEN(TRIM(E22))=0</formula>
    </cfRule>
  </conditionalFormatting>
  <conditionalFormatting sqref="E30:AJ30">
    <cfRule type="expression" dxfId="1" priority="5">
      <formula>E30&lt;&gt;E47</formula>
    </cfRule>
  </conditionalFormatting>
  <conditionalFormatting sqref="E30:AJ30">
    <cfRule type="expression" dxfId="1" priority="6">
      <formula>E30&lt;&gt;E34</formula>
    </cfRule>
  </conditionalFormatting>
  <conditionalFormatting sqref="E34:AJ34">
    <cfRule type="expression" dxfId="2" priority="7">
      <formula>E30&lt;&gt;E34</formula>
    </cfRule>
  </conditionalFormatting>
  <conditionalFormatting sqref="E34:AJ34">
    <cfRule type="expression" dxfId="3" priority="8">
      <formula>E30=E34</formula>
    </cfRule>
  </conditionalFormatting>
  <conditionalFormatting sqref="E34:AJ34">
    <cfRule type="expression" dxfId="1" priority="9">
      <formula>E34&lt;&gt;E30</formula>
    </cfRule>
  </conditionalFormatting>
  <conditionalFormatting sqref="U34:V34">
    <cfRule type="expression" dxfId="1" priority="10">
      <formula>U34&lt;&gt;U47</formula>
    </cfRule>
  </conditionalFormatting>
  <conditionalFormatting sqref="AI34:AJ34">
    <cfRule type="expression" dxfId="1" priority="11">
      <formula>AI34&lt;&gt;AI47</formula>
    </cfRule>
  </conditionalFormatting>
  <conditionalFormatting sqref="E45:AJ52 E54:AJ61">
    <cfRule type="containsBlanks" dxfId="0" priority="12">
      <formula>LEN(TRIM(E45))=0</formula>
    </cfRule>
  </conditionalFormatting>
  <conditionalFormatting sqref="E90:AJ90">
    <cfRule type="containsBlanks" dxfId="0" priority="13">
      <formula>LEN(TRIM(E90))=0</formula>
    </cfRule>
  </conditionalFormatting>
  <conditionalFormatting sqref="E130:AJ132">
    <cfRule type="containsBlanks" dxfId="0" priority="14">
      <formula>LEN(TRIM(E130))=0</formula>
    </cfRule>
  </conditionalFormatting>
  <conditionalFormatting sqref="E161:AJ162">
    <cfRule type="containsBlanks" dxfId="0" priority="15">
      <formula>LEN(TRIM(E161))=0</formula>
    </cfRule>
  </conditionalFormatting>
  <conditionalFormatting sqref="E184:AJ186">
    <cfRule type="containsBlanks" dxfId="0" priority="16">
      <formula>LEN(TRIM(E184))=0</formula>
    </cfRule>
  </conditionalFormatting>
  <conditionalFormatting sqref="E190:AJ192">
    <cfRule type="containsBlanks" dxfId="0" priority="17">
      <formula>LEN(TRIM(E190))=0</formula>
    </cfRule>
  </conditionalFormatting>
  <conditionalFormatting sqref="E63:AJ70">
    <cfRule type="containsBlanks" dxfId="0" priority="18">
      <formula>LEN(TRIM(E63))=0</formula>
    </cfRule>
  </conditionalFormatting>
  <conditionalFormatting sqref="E72:AJ79">
    <cfRule type="containsBlanks" dxfId="0" priority="19">
      <formula>LEN(TRIM(E72))=0</formula>
    </cfRule>
  </conditionalFormatting>
  <conditionalFormatting sqref="E81:AJ88">
    <cfRule type="containsBlanks" dxfId="0" priority="20">
      <formula>LEN(TRIM(E81))=0</formula>
    </cfRule>
  </conditionalFormatting>
  <conditionalFormatting sqref="E94:AJ101">
    <cfRule type="containsBlanks" dxfId="0" priority="21">
      <formula>LEN(TRIM(E94))=0</formula>
    </cfRule>
  </conditionalFormatting>
  <conditionalFormatting sqref="E103:AJ110">
    <cfRule type="containsBlanks" dxfId="0" priority="22">
      <formula>LEN(TRIM(E103))=0</formula>
    </cfRule>
  </conditionalFormatting>
  <conditionalFormatting sqref="E112:AJ119">
    <cfRule type="containsBlanks" dxfId="0" priority="23">
      <formula>LEN(TRIM(E112))=0</formula>
    </cfRule>
  </conditionalFormatting>
  <conditionalFormatting sqref="AI112:AJ118 E121:AJ128">
    <cfRule type="containsBlanks" dxfId="0" priority="24">
      <formula>LEN(TRIM(AI112))=0</formula>
    </cfRule>
  </conditionalFormatting>
  <conditionalFormatting sqref="E134:AJ141">
    <cfRule type="containsBlanks" dxfId="0" priority="25">
      <formula>LEN(TRIM(E134))=0</formula>
    </cfRule>
  </conditionalFormatting>
  <conditionalFormatting sqref="E143:AJ150">
    <cfRule type="containsBlanks" dxfId="0" priority="26">
      <formula>LEN(TRIM(E143))=0</formula>
    </cfRule>
  </conditionalFormatting>
  <conditionalFormatting sqref="E152:AJ159">
    <cfRule type="containsBlanks" dxfId="0" priority="27">
      <formula>LEN(TRIM(E152))=0</formula>
    </cfRule>
  </conditionalFormatting>
  <conditionalFormatting sqref="E166:AJ173">
    <cfRule type="containsBlanks" dxfId="0" priority="28">
      <formula>LEN(TRIM(E166))=0</formula>
    </cfRule>
  </conditionalFormatting>
  <conditionalFormatting sqref="E175:AJ182">
    <cfRule type="containsBlanks" dxfId="0" priority="29">
      <formula>LEN(TRIM(E175))=0</formula>
    </cfRule>
  </conditionalFormatting>
  <conditionalFormatting sqref="E91:AJ91">
    <cfRule type="containsBlanks" dxfId="0" priority="30">
      <formula>LEN(TRIM(E91))=0</formula>
    </cfRule>
  </conditionalFormatting>
  <conditionalFormatting sqref="E163:AJ163">
    <cfRule type="containsBlanks" dxfId="0" priority="31">
      <formula>LEN(TRIM(E163))=0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2026-01-14T02:26:01Z</dcterms:created>
  <dc:creator>TEKHUM KPU BWI</dc:creator>
</cp:coreProperties>
</file>