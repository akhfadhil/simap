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simap\storage\import\DPRD KAB\"/>
    </mc:Choice>
  </mc:AlternateContent>
  <xr:revisionPtr revIDLastSave="0" documentId="13_ncr:1_{936FC94C-0D24-4B50-B273-276CCB329B8E}" xr6:coauthVersionLast="47" xr6:coauthVersionMax="47" xr10:uidLastSave="{00000000-0000-0000-0000-000000000000}"/>
  <bookViews>
    <workbookView xWindow="10718" yWindow="0" windowWidth="10965" windowHeight="12863" firstSheet="8" activeTab="10" xr2:uid="{00000000-000D-0000-FFFF-FFFF00000000}"/>
  </bookViews>
  <sheets>
    <sheet name="DPRD KAB" sheetId="1" r:id="rId1"/>
    <sheet name="BADEAN" sheetId="2" r:id="rId2"/>
    <sheet name="BLIMBINGSARI" sheetId="3" r:id="rId3"/>
    <sheet name="BOMO" sheetId="4" r:id="rId4"/>
    <sheet name="GINTANGAN" sheetId="5" r:id="rId5"/>
    <sheet name="KALIGUNG" sheetId="6" r:id="rId6"/>
    <sheet name="KAOTAN" sheetId="7" r:id="rId7"/>
    <sheet name="KARANGREJO" sheetId="8" r:id="rId8"/>
    <sheet name="PATOMAN" sheetId="9" r:id="rId9"/>
    <sheet name="SUKOJATI" sheetId="10" r:id="rId10"/>
    <sheet name="WATUKEB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9Pt6iUgY5haCgQ1pEigWktwLKAi6K0Pc91k3AekGTZU="/>
    </ext>
  </extLst>
</workbook>
</file>

<file path=xl/calcChain.xml><?xml version="1.0" encoding="utf-8"?>
<calcChain xmlns="http://schemas.openxmlformats.org/spreadsheetml/2006/main">
  <c r="AK30" i="11" l="1"/>
  <c r="F30" i="11"/>
  <c r="G30" i="11"/>
  <c r="H30" i="11"/>
  <c r="I30" i="11"/>
  <c r="J30" i="11"/>
  <c r="K30" i="11"/>
  <c r="L30" i="11"/>
  <c r="M30" i="11"/>
  <c r="N30" i="11"/>
  <c r="P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H30" i="11"/>
  <c r="AI30" i="11"/>
  <c r="AJ30" i="11"/>
  <c r="E30" i="11"/>
  <c r="F29" i="11"/>
  <c r="G29" i="11"/>
  <c r="H29" i="11"/>
  <c r="I29" i="11"/>
  <c r="J29" i="11"/>
  <c r="K29" i="11"/>
  <c r="L29" i="11"/>
  <c r="M29" i="11"/>
  <c r="N29" i="11"/>
  <c r="O29" i="11"/>
  <c r="O30" i="11" s="1"/>
  <c r="P29" i="11"/>
  <c r="Q29" i="11"/>
  <c r="Q30" i="11" s="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G30" i="11" s="1"/>
  <c r="AH29" i="11"/>
  <c r="AI29" i="11"/>
  <c r="AJ29" i="11"/>
  <c r="E29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AK28" i="11" s="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E28" i="11"/>
  <c r="F29" i="6"/>
  <c r="G29" i="6"/>
  <c r="H29" i="6"/>
  <c r="I29" i="6"/>
  <c r="J29" i="6"/>
  <c r="K29" i="6"/>
  <c r="L29" i="6"/>
  <c r="M29" i="6"/>
  <c r="N29" i="6"/>
  <c r="O29" i="6"/>
  <c r="P29" i="6"/>
  <c r="R29" i="6" s="1"/>
  <c r="Q29" i="6"/>
  <c r="Q30" i="6" s="1"/>
  <c r="F28" i="6"/>
  <c r="F30" i="6" s="1"/>
  <c r="G28" i="6"/>
  <c r="H28" i="6"/>
  <c r="I28" i="6"/>
  <c r="J28" i="6"/>
  <c r="J30" i="6" s="1"/>
  <c r="K28" i="6"/>
  <c r="K30" i="6" s="1"/>
  <c r="L28" i="6"/>
  <c r="L30" i="6" s="1"/>
  <c r="M28" i="6"/>
  <c r="M30" i="6" s="1"/>
  <c r="N28" i="6"/>
  <c r="N30" i="6" s="1"/>
  <c r="O28" i="6"/>
  <c r="O30" i="6" s="1"/>
  <c r="P28" i="6"/>
  <c r="Q28" i="6"/>
  <c r="E29" i="6"/>
  <c r="E28" i="6"/>
  <c r="E3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F36" i="5"/>
  <c r="G36" i="5"/>
  <c r="H36" i="5"/>
  <c r="I36" i="5"/>
  <c r="J36" i="5"/>
  <c r="Z36" i="5" s="1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E36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F190" i="4"/>
  <c r="G190" i="4"/>
  <c r="H190" i="4"/>
  <c r="I190" i="4"/>
  <c r="J190" i="4"/>
  <c r="K190" i="4"/>
  <c r="L190" i="4"/>
  <c r="N190" i="4"/>
  <c r="O190" i="4"/>
  <c r="P190" i="4"/>
  <c r="Q190" i="4"/>
  <c r="R190" i="4"/>
  <c r="S190" i="4"/>
  <c r="T190" i="4"/>
  <c r="U190" i="4"/>
  <c r="V190" i="4"/>
  <c r="AK191" i="11"/>
  <c r="AK189" i="11"/>
  <c r="AK188" i="11"/>
  <c r="AK187" i="11"/>
  <c r="AJ186" i="11"/>
  <c r="AJ190" i="11" s="1"/>
  <c r="AJ192" i="11" s="1"/>
  <c r="AI186" i="11"/>
  <c r="AH186" i="11"/>
  <c r="AG186" i="11"/>
  <c r="AF186" i="11"/>
  <c r="AE186" i="11"/>
  <c r="AD186" i="11"/>
  <c r="AC186" i="11"/>
  <c r="AB186" i="11"/>
  <c r="AA186" i="11"/>
  <c r="Z186" i="11"/>
  <c r="Z190" i="11" s="1"/>
  <c r="Z192" i="11" s="1"/>
  <c r="Y186" i="11"/>
  <c r="X186" i="11"/>
  <c r="W186" i="11"/>
  <c r="W190" i="11" s="1"/>
  <c r="W192" i="11" s="1"/>
  <c r="V186" i="11"/>
  <c r="U186" i="11"/>
  <c r="T186" i="11"/>
  <c r="S186" i="11"/>
  <c r="R186" i="11"/>
  <c r="Q186" i="11"/>
  <c r="P186" i="11"/>
  <c r="O186" i="11"/>
  <c r="N186" i="11"/>
  <c r="N190" i="11" s="1"/>
  <c r="N192" i="11" s="1"/>
  <c r="M186" i="11"/>
  <c r="L186" i="11"/>
  <c r="K186" i="11"/>
  <c r="J186" i="11"/>
  <c r="I186" i="11"/>
  <c r="H186" i="11"/>
  <c r="G186" i="11"/>
  <c r="F186" i="11"/>
  <c r="E186" i="11"/>
  <c r="AK185" i="11"/>
  <c r="AK184" i="11"/>
  <c r="AK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AK181" i="11"/>
  <c r="AK180" i="11"/>
  <c r="AK179" i="11"/>
  <c r="AK178" i="11"/>
  <c r="AK177" i="11"/>
  <c r="AK176" i="11"/>
  <c r="AK175" i="11"/>
  <c r="AK174" i="11"/>
  <c r="AJ173" i="11"/>
  <c r="AI173" i="11"/>
  <c r="AH173" i="11"/>
  <c r="AG173" i="11"/>
  <c r="AF173" i="11"/>
  <c r="AE173" i="11"/>
  <c r="AD173" i="11"/>
  <c r="AC173" i="11"/>
  <c r="AB173" i="11"/>
  <c r="AA173" i="11"/>
  <c r="AA190" i="11" s="1"/>
  <c r="AA192" i="11" s="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E190" i="11" s="1"/>
  <c r="AK172" i="11"/>
  <c r="AK171" i="11"/>
  <c r="AK170" i="11"/>
  <c r="AK169" i="11"/>
  <c r="AK168" i="11"/>
  <c r="AK167" i="11"/>
  <c r="AK166" i="11"/>
  <c r="AK165" i="11"/>
  <c r="AJ164" i="11"/>
  <c r="AI164" i="11"/>
  <c r="AH164" i="11"/>
  <c r="AG164" i="11"/>
  <c r="AF164" i="11"/>
  <c r="AE164" i="11"/>
  <c r="AD164" i="11"/>
  <c r="AC164" i="11"/>
  <c r="AC190" i="11" s="1"/>
  <c r="AC192" i="11" s="1"/>
  <c r="AB164" i="11"/>
  <c r="AA164" i="11"/>
  <c r="Z164" i="11"/>
  <c r="Y164" i="11"/>
  <c r="X164" i="11"/>
  <c r="W164" i="11"/>
  <c r="V164" i="11"/>
  <c r="U164" i="11"/>
  <c r="T164" i="11"/>
  <c r="S164" i="11"/>
  <c r="R164" i="11"/>
  <c r="R190" i="11" s="1"/>
  <c r="R192" i="11" s="1"/>
  <c r="Q164" i="11"/>
  <c r="P164" i="11"/>
  <c r="P190" i="11" s="1"/>
  <c r="P192" i="11" s="1"/>
  <c r="O164" i="11"/>
  <c r="N164" i="11"/>
  <c r="M164" i="11"/>
  <c r="L164" i="11"/>
  <c r="K164" i="11"/>
  <c r="J164" i="11"/>
  <c r="I164" i="11"/>
  <c r="H164" i="11"/>
  <c r="G164" i="11"/>
  <c r="F164" i="11"/>
  <c r="E164" i="11"/>
  <c r="AK163" i="11"/>
  <c r="AK162" i="11"/>
  <c r="AK161" i="11"/>
  <c r="AK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AK159" i="11" s="1"/>
  <c r="F159" i="11"/>
  <c r="E159" i="11"/>
  <c r="AK158" i="11"/>
  <c r="AK157" i="11"/>
  <c r="AK156" i="11"/>
  <c r="AK155" i="11"/>
  <c r="AK154" i="11"/>
  <c r="AK153" i="11"/>
  <c r="AK152" i="11"/>
  <c r="AK151" i="11"/>
  <c r="AJ150" i="11"/>
  <c r="AI150" i="11"/>
  <c r="AH150" i="11"/>
  <c r="AG150" i="11"/>
  <c r="AF150" i="11"/>
  <c r="AE150" i="11"/>
  <c r="AD150" i="11"/>
  <c r="AC150" i="11"/>
  <c r="AB150" i="11"/>
  <c r="AB190" i="11" s="1"/>
  <c r="AB192" i="11" s="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F190" i="11" s="1"/>
  <c r="F192" i="11" s="1"/>
  <c r="E150" i="11"/>
  <c r="AK149" i="11"/>
  <c r="AK148" i="11"/>
  <c r="AK147" i="11"/>
  <c r="AK146" i="11"/>
  <c r="AK145" i="11"/>
  <c r="AK144" i="11"/>
  <c r="AK143" i="11"/>
  <c r="AK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AK141" i="11" s="1"/>
  <c r="X141" i="11"/>
  <c r="W141" i="11"/>
  <c r="V141" i="11"/>
  <c r="U141" i="11"/>
  <c r="T141" i="11"/>
  <c r="AK140" i="11"/>
  <c r="AK139" i="11"/>
  <c r="AK138" i="11"/>
  <c r="AK137" i="11"/>
  <c r="E137" i="1" s="1"/>
  <c r="AK136" i="11"/>
  <c r="AK135" i="11"/>
  <c r="AK134" i="11"/>
  <c r="AK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G190" i="11" s="1"/>
  <c r="G192" i="11" s="1"/>
  <c r="F132" i="11"/>
  <c r="E132" i="11"/>
  <c r="AK131" i="11"/>
  <c r="AK130" i="11"/>
  <c r="AK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AK127" i="11"/>
  <c r="AK126" i="11"/>
  <c r="AK125" i="11"/>
  <c r="AK124" i="11"/>
  <c r="AK123" i="11"/>
  <c r="AK122" i="11"/>
  <c r="AK121" i="11"/>
  <c r="AK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AK118" i="11"/>
  <c r="AK117" i="11"/>
  <c r="AK116" i="11"/>
  <c r="AK115" i="11"/>
  <c r="AK114" i="11"/>
  <c r="AK113" i="11"/>
  <c r="AK112" i="11"/>
  <c r="AK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AK110" i="11" s="1"/>
  <c r="H110" i="11"/>
  <c r="G110" i="11"/>
  <c r="F110" i="11"/>
  <c r="E110" i="11"/>
  <c r="AK109" i="11"/>
  <c r="AK108" i="11"/>
  <c r="AK107" i="11"/>
  <c r="AK106" i="11"/>
  <c r="AK105" i="11"/>
  <c r="AK104" i="11"/>
  <c r="AK103" i="11"/>
  <c r="AK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AK101" i="11" s="1"/>
  <c r="AK100" i="11"/>
  <c r="AK99" i="11"/>
  <c r="AK98" i="11"/>
  <c r="AK97" i="11"/>
  <c r="AK96" i="11"/>
  <c r="AK95" i="11"/>
  <c r="AK94" i="11"/>
  <c r="E94" i="1" s="1"/>
  <c r="AK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AK92" i="11" s="1"/>
  <c r="AK91" i="11"/>
  <c r="AK90" i="11"/>
  <c r="AK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AK87" i="11"/>
  <c r="AK86" i="11"/>
  <c r="AK85" i="11"/>
  <c r="AK84" i="11"/>
  <c r="AK83" i="11"/>
  <c r="AK82" i="11"/>
  <c r="AK81" i="11"/>
  <c r="AK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K78" i="11"/>
  <c r="AK77" i="11"/>
  <c r="AK76" i="11"/>
  <c r="AK75" i="11"/>
  <c r="AK74" i="11"/>
  <c r="AK73" i="11"/>
  <c r="AK72" i="11"/>
  <c r="AK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AK70" i="11" s="1"/>
  <c r="M70" i="11"/>
  <c r="L70" i="11"/>
  <c r="K70" i="11"/>
  <c r="J70" i="11"/>
  <c r="I70" i="11"/>
  <c r="H70" i="11"/>
  <c r="G70" i="11"/>
  <c r="F70" i="11"/>
  <c r="E70" i="11"/>
  <c r="AK69" i="11"/>
  <c r="AK68" i="11"/>
  <c r="AK67" i="11"/>
  <c r="AK66" i="11"/>
  <c r="AK65" i="11"/>
  <c r="AK64" i="11"/>
  <c r="AK63" i="11"/>
  <c r="AK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AK61" i="11" s="1"/>
  <c r="G61" i="11"/>
  <c r="F61" i="11"/>
  <c r="E61" i="11"/>
  <c r="AK60" i="11"/>
  <c r="AK59" i="11"/>
  <c r="AK58" i="11"/>
  <c r="AK57" i="11"/>
  <c r="AK56" i="11"/>
  <c r="AK55" i="11"/>
  <c r="AK54" i="11"/>
  <c r="AK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AK52" i="11" s="1"/>
  <c r="AK51" i="11"/>
  <c r="AK50" i="11"/>
  <c r="AK49" i="11"/>
  <c r="AK48" i="11"/>
  <c r="AK47" i="11"/>
  <c r="AK46" i="11"/>
  <c r="AK45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AK40" i="11"/>
  <c r="AK39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AK35" i="11"/>
  <c r="AK34" i="11"/>
  <c r="AK33" i="11"/>
  <c r="AK27" i="11"/>
  <c r="AK26" i="11"/>
  <c r="AK25" i="11"/>
  <c r="AK24" i="11"/>
  <c r="AK23" i="11"/>
  <c r="AK22" i="11"/>
  <c r="AK21" i="11"/>
  <c r="AK20" i="11"/>
  <c r="AK19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AK15" i="11"/>
  <c r="AK14" i="11"/>
  <c r="P191" i="10"/>
  <c r="E190" i="10"/>
  <c r="P189" i="10"/>
  <c r="P188" i="10"/>
  <c r="P187" i="10"/>
  <c r="O186" i="10"/>
  <c r="N186" i="10"/>
  <c r="M186" i="10"/>
  <c r="L186" i="10"/>
  <c r="K186" i="10"/>
  <c r="J186" i="10"/>
  <c r="J190" i="10" s="1"/>
  <c r="J192" i="10" s="1"/>
  <c r="I186" i="10"/>
  <c r="I190" i="10" s="1"/>
  <c r="I192" i="10" s="1"/>
  <c r="H186" i="10"/>
  <c r="G186" i="10"/>
  <c r="F186" i="10"/>
  <c r="E186" i="10"/>
  <c r="P185" i="10"/>
  <c r="P184" i="10"/>
  <c r="P183" i="10"/>
  <c r="O182" i="10"/>
  <c r="N182" i="10"/>
  <c r="M182" i="10"/>
  <c r="L182" i="10"/>
  <c r="K182" i="10"/>
  <c r="J182" i="10"/>
  <c r="I182" i="10"/>
  <c r="H182" i="10"/>
  <c r="G182" i="10"/>
  <c r="F182" i="10"/>
  <c r="E182" i="10"/>
  <c r="P181" i="10"/>
  <c r="P180" i="10"/>
  <c r="P179" i="10"/>
  <c r="P178" i="10"/>
  <c r="P177" i="10"/>
  <c r="P176" i="10"/>
  <c r="P175" i="10"/>
  <c r="P174" i="10"/>
  <c r="O173" i="10"/>
  <c r="N173" i="10"/>
  <c r="M173" i="10"/>
  <c r="L173" i="10"/>
  <c r="K173" i="10"/>
  <c r="J173" i="10"/>
  <c r="I173" i="10"/>
  <c r="H173" i="10"/>
  <c r="G173" i="10"/>
  <c r="F173" i="10"/>
  <c r="E173" i="10"/>
  <c r="P172" i="10"/>
  <c r="P171" i="10"/>
  <c r="P170" i="10"/>
  <c r="P169" i="10"/>
  <c r="P168" i="10"/>
  <c r="P167" i="10"/>
  <c r="E167" i="1" s="1"/>
  <c r="P166" i="10"/>
  <c r="E166" i="1" s="1"/>
  <c r="P165" i="10"/>
  <c r="O164" i="10"/>
  <c r="N164" i="10"/>
  <c r="M164" i="10"/>
  <c r="L164" i="10"/>
  <c r="K164" i="10"/>
  <c r="J164" i="10"/>
  <c r="I164" i="10"/>
  <c r="H164" i="10"/>
  <c r="G164" i="10"/>
  <c r="F164" i="10"/>
  <c r="E164" i="10"/>
  <c r="P164" i="10" s="1"/>
  <c r="P163" i="10"/>
  <c r="P162" i="10"/>
  <c r="P161" i="10"/>
  <c r="P160" i="10"/>
  <c r="O159" i="10"/>
  <c r="N159" i="10"/>
  <c r="M159" i="10"/>
  <c r="L159" i="10"/>
  <c r="K159" i="10"/>
  <c r="J159" i="10"/>
  <c r="I159" i="10"/>
  <c r="H159" i="10"/>
  <c r="G159" i="10"/>
  <c r="F159" i="10"/>
  <c r="E159" i="10"/>
  <c r="P158" i="10"/>
  <c r="P157" i="10"/>
  <c r="P156" i="10"/>
  <c r="P155" i="10"/>
  <c r="P154" i="10"/>
  <c r="P153" i="10"/>
  <c r="P152" i="10"/>
  <c r="P151" i="10"/>
  <c r="O150" i="10"/>
  <c r="N150" i="10"/>
  <c r="M150" i="10"/>
  <c r="L150" i="10"/>
  <c r="K150" i="10"/>
  <c r="J150" i="10"/>
  <c r="I150" i="10"/>
  <c r="H150" i="10"/>
  <c r="P150" i="10" s="1"/>
  <c r="G150" i="10"/>
  <c r="F150" i="10"/>
  <c r="E150" i="10"/>
  <c r="P149" i="10"/>
  <c r="P148" i="10"/>
  <c r="P147" i="10"/>
  <c r="P146" i="10"/>
  <c r="P145" i="10"/>
  <c r="P144" i="10"/>
  <c r="P143" i="10"/>
  <c r="P142" i="10"/>
  <c r="O141" i="10"/>
  <c r="N141" i="10"/>
  <c r="M141" i="10"/>
  <c r="L141" i="10"/>
  <c r="K141" i="10"/>
  <c r="J141" i="10"/>
  <c r="I141" i="10"/>
  <c r="H141" i="10"/>
  <c r="G141" i="10"/>
  <c r="F141" i="10"/>
  <c r="P141" i="10" s="1"/>
  <c r="E141" i="10"/>
  <c r="P140" i="10"/>
  <c r="P139" i="10"/>
  <c r="P138" i="10"/>
  <c r="P137" i="10"/>
  <c r="P136" i="10"/>
  <c r="P135" i="10"/>
  <c r="P134" i="10"/>
  <c r="P133" i="10"/>
  <c r="O132" i="10"/>
  <c r="N132" i="10"/>
  <c r="M132" i="10"/>
  <c r="L132" i="10"/>
  <c r="K132" i="10"/>
  <c r="J132" i="10"/>
  <c r="I132" i="10"/>
  <c r="H132" i="10"/>
  <c r="G132" i="10"/>
  <c r="F132" i="10"/>
  <c r="E132" i="10"/>
  <c r="P131" i="10"/>
  <c r="P130" i="10"/>
  <c r="P129" i="10"/>
  <c r="O128" i="10"/>
  <c r="N128" i="10"/>
  <c r="M128" i="10"/>
  <c r="L128" i="10"/>
  <c r="K128" i="10"/>
  <c r="J128" i="10"/>
  <c r="I128" i="10"/>
  <c r="H128" i="10"/>
  <c r="G128" i="10"/>
  <c r="F128" i="10"/>
  <c r="E128" i="10"/>
  <c r="P128" i="10" s="1"/>
  <c r="P127" i="10"/>
  <c r="P126" i="10"/>
  <c r="P125" i="10"/>
  <c r="P124" i="10"/>
  <c r="P123" i="10"/>
  <c r="P122" i="10"/>
  <c r="P121" i="10"/>
  <c r="P120" i="10"/>
  <c r="O119" i="10"/>
  <c r="N119" i="10"/>
  <c r="M119" i="10"/>
  <c r="L119" i="10"/>
  <c r="K119" i="10"/>
  <c r="J119" i="10"/>
  <c r="I119" i="10"/>
  <c r="H119" i="10"/>
  <c r="G119" i="10"/>
  <c r="F119" i="10"/>
  <c r="E119" i="10"/>
  <c r="P119" i="10" s="1"/>
  <c r="P118" i="10"/>
  <c r="P117" i="10"/>
  <c r="P116" i="10"/>
  <c r="P115" i="10"/>
  <c r="P114" i="10"/>
  <c r="P113" i="10"/>
  <c r="P112" i="10"/>
  <c r="P111" i="10"/>
  <c r="O110" i="10"/>
  <c r="N110" i="10"/>
  <c r="M110" i="10"/>
  <c r="L110" i="10"/>
  <c r="K110" i="10"/>
  <c r="J110" i="10"/>
  <c r="I110" i="10"/>
  <c r="H110" i="10"/>
  <c r="G110" i="10"/>
  <c r="F110" i="10"/>
  <c r="E110" i="10"/>
  <c r="P109" i="10"/>
  <c r="P108" i="10"/>
  <c r="P107" i="10"/>
  <c r="P106" i="10"/>
  <c r="P105" i="10"/>
  <c r="P104" i="10"/>
  <c r="P103" i="10"/>
  <c r="P102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P100" i="10"/>
  <c r="P99" i="10"/>
  <c r="P98" i="10"/>
  <c r="P97" i="10"/>
  <c r="P96" i="10"/>
  <c r="P95" i="10"/>
  <c r="P94" i="10"/>
  <c r="P93" i="10"/>
  <c r="O92" i="10"/>
  <c r="N92" i="10"/>
  <c r="N190" i="10" s="1"/>
  <c r="N192" i="10" s="1"/>
  <c r="M92" i="10"/>
  <c r="L92" i="10"/>
  <c r="K92" i="10"/>
  <c r="J92" i="10"/>
  <c r="I92" i="10"/>
  <c r="H92" i="10"/>
  <c r="G92" i="10"/>
  <c r="F92" i="10"/>
  <c r="E92" i="10"/>
  <c r="P92" i="10" s="1"/>
  <c r="P91" i="10"/>
  <c r="E91" i="1" s="1"/>
  <c r="P90" i="10"/>
  <c r="P89" i="10"/>
  <c r="O88" i="10"/>
  <c r="N88" i="10"/>
  <c r="M88" i="10"/>
  <c r="L88" i="10"/>
  <c r="K88" i="10"/>
  <c r="J88" i="10"/>
  <c r="I88" i="10"/>
  <c r="H88" i="10"/>
  <c r="G88" i="10"/>
  <c r="F88" i="10"/>
  <c r="P88" i="10" s="1"/>
  <c r="E88" i="10"/>
  <c r="P87" i="10"/>
  <c r="P86" i="10"/>
  <c r="P85" i="10"/>
  <c r="P84" i="10"/>
  <c r="P83" i="10"/>
  <c r="P82" i="10"/>
  <c r="P81" i="10"/>
  <c r="P80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P78" i="10"/>
  <c r="P77" i="10"/>
  <c r="P76" i="10"/>
  <c r="P75" i="10"/>
  <c r="P74" i="10"/>
  <c r="P73" i="10"/>
  <c r="P72" i="10"/>
  <c r="P71" i="10"/>
  <c r="O70" i="10"/>
  <c r="O190" i="10" s="1"/>
  <c r="O192" i="10" s="1"/>
  <c r="N70" i="10"/>
  <c r="P70" i="10" s="1"/>
  <c r="M70" i="10"/>
  <c r="L70" i="10"/>
  <c r="K70" i="10"/>
  <c r="J70" i="10"/>
  <c r="I70" i="10"/>
  <c r="H70" i="10"/>
  <c r="G70" i="10"/>
  <c r="F70" i="10"/>
  <c r="E70" i="10"/>
  <c r="P69" i="10"/>
  <c r="P68" i="10"/>
  <c r="P67" i="10"/>
  <c r="P66" i="10"/>
  <c r="P65" i="10"/>
  <c r="P64" i="10"/>
  <c r="P63" i="10"/>
  <c r="P62" i="10"/>
  <c r="O61" i="10"/>
  <c r="N61" i="10"/>
  <c r="M61" i="10"/>
  <c r="L61" i="10"/>
  <c r="K61" i="10"/>
  <c r="J61" i="10"/>
  <c r="I61" i="10"/>
  <c r="H61" i="10"/>
  <c r="G61" i="10"/>
  <c r="F61" i="10"/>
  <c r="E61" i="10"/>
  <c r="P60" i="10"/>
  <c r="P59" i="10"/>
  <c r="P58" i="10"/>
  <c r="P57" i="10"/>
  <c r="P56" i="10"/>
  <c r="P55" i="10"/>
  <c r="P54" i="10"/>
  <c r="P53" i="10"/>
  <c r="O52" i="10"/>
  <c r="N52" i="10"/>
  <c r="M52" i="10"/>
  <c r="L52" i="10"/>
  <c r="K52" i="10"/>
  <c r="J52" i="10"/>
  <c r="I52" i="10"/>
  <c r="H52" i="10"/>
  <c r="G52" i="10"/>
  <c r="F52" i="10"/>
  <c r="E52" i="10"/>
  <c r="P51" i="10"/>
  <c r="P50" i="10"/>
  <c r="P49" i="10"/>
  <c r="P48" i="10"/>
  <c r="P47" i="10"/>
  <c r="P46" i="10"/>
  <c r="P45" i="10"/>
  <c r="O41" i="10"/>
  <c r="N41" i="10"/>
  <c r="M41" i="10"/>
  <c r="L41" i="10"/>
  <c r="K41" i="10"/>
  <c r="J41" i="10"/>
  <c r="I41" i="10"/>
  <c r="H41" i="10"/>
  <c r="G41" i="10"/>
  <c r="F41" i="10"/>
  <c r="E41" i="10"/>
  <c r="P41" i="10" s="1"/>
  <c r="P40" i="10"/>
  <c r="P39" i="10"/>
  <c r="O36" i="10"/>
  <c r="N36" i="10"/>
  <c r="M36" i="10"/>
  <c r="L36" i="10"/>
  <c r="K36" i="10"/>
  <c r="J36" i="10"/>
  <c r="I36" i="10"/>
  <c r="P36" i="10" s="1"/>
  <c r="H36" i="10"/>
  <c r="G36" i="10"/>
  <c r="F36" i="10"/>
  <c r="E36" i="10"/>
  <c r="P35" i="10"/>
  <c r="P34" i="10"/>
  <c r="P33" i="10"/>
  <c r="O30" i="10"/>
  <c r="N30" i="10"/>
  <c r="P30" i="10" s="1"/>
  <c r="M30" i="10"/>
  <c r="L30" i="10"/>
  <c r="K30" i="10"/>
  <c r="J30" i="10"/>
  <c r="I30" i="10"/>
  <c r="H30" i="10"/>
  <c r="G30" i="10"/>
  <c r="F30" i="10"/>
  <c r="E30" i="10"/>
  <c r="P29" i="10"/>
  <c r="P28" i="10"/>
  <c r="O27" i="10"/>
  <c r="N27" i="10"/>
  <c r="M27" i="10"/>
  <c r="L27" i="10"/>
  <c r="K27" i="10"/>
  <c r="J27" i="10"/>
  <c r="I27" i="10"/>
  <c r="H27" i="10"/>
  <c r="G27" i="10"/>
  <c r="F27" i="10"/>
  <c r="P27" i="10" s="1"/>
  <c r="E27" i="10"/>
  <c r="P26" i="10"/>
  <c r="P25" i="10"/>
  <c r="O24" i="10"/>
  <c r="N24" i="10"/>
  <c r="M24" i="10"/>
  <c r="L24" i="10"/>
  <c r="K24" i="10"/>
  <c r="J24" i="10"/>
  <c r="I24" i="10"/>
  <c r="H24" i="10"/>
  <c r="G24" i="10"/>
  <c r="F24" i="10"/>
  <c r="P24" i="10" s="1"/>
  <c r="E24" i="10"/>
  <c r="P23" i="10"/>
  <c r="P22" i="10"/>
  <c r="O21" i="10"/>
  <c r="N21" i="10"/>
  <c r="M21" i="10"/>
  <c r="L21" i="10"/>
  <c r="K21" i="10"/>
  <c r="J21" i="10"/>
  <c r="I21" i="10"/>
  <c r="P21" i="10" s="1"/>
  <c r="H21" i="10"/>
  <c r="G21" i="10"/>
  <c r="F21" i="10"/>
  <c r="E21" i="10"/>
  <c r="P20" i="10"/>
  <c r="P19" i="10"/>
  <c r="O16" i="10"/>
  <c r="N16" i="10"/>
  <c r="M16" i="10"/>
  <c r="L16" i="10"/>
  <c r="K16" i="10"/>
  <c r="J16" i="10"/>
  <c r="I16" i="10"/>
  <c r="H16" i="10"/>
  <c r="G16" i="10"/>
  <c r="F16" i="10"/>
  <c r="E16" i="10"/>
  <c r="P16" i="10" s="1"/>
  <c r="P15" i="10"/>
  <c r="P14" i="10"/>
  <c r="T191" i="9"/>
  <c r="F190" i="9"/>
  <c r="F192" i="9" s="1"/>
  <c r="E190" i="9"/>
  <c r="T189" i="9"/>
  <c r="T188" i="9"/>
  <c r="T187" i="9"/>
  <c r="S186" i="9"/>
  <c r="R186" i="9"/>
  <c r="Q186" i="9"/>
  <c r="P186" i="9"/>
  <c r="P190" i="9" s="1"/>
  <c r="P192" i="9" s="1"/>
  <c r="O186" i="9"/>
  <c r="O190" i="9" s="1"/>
  <c r="O192" i="9" s="1"/>
  <c r="N186" i="9"/>
  <c r="M186" i="9"/>
  <c r="L186" i="9"/>
  <c r="K186" i="9"/>
  <c r="J186" i="9"/>
  <c r="I186" i="9"/>
  <c r="H186" i="9"/>
  <c r="G186" i="9"/>
  <c r="F186" i="9"/>
  <c r="E186" i="9"/>
  <c r="T186" i="9" s="1"/>
  <c r="T185" i="9"/>
  <c r="T184" i="9"/>
  <c r="T183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T182" i="9" s="1"/>
  <c r="T181" i="9"/>
  <c r="T180" i="9"/>
  <c r="T179" i="9"/>
  <c r="T178" i="9"/>
  <c r="T177" i="9"/>
  <c r="T176" i="9"/>
  <c r="T175" i="9"/>
  <c r="T174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T173" i="9" s="1"/>
  <c r="T172" i="9"/>
  <c r="T171" i="9"/>
  <c r="T170" i="9"/>
  <c r="T169" i="9"/>
  <c r="T168" i="9"/>
  <c r="T167" i="9"/>
  <c r="T166" i="9"/>
  <c r="T165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T164" i="9" s="1"/>
  <c r="T163" i="9"/>
  <c r="T162" i="9"/>
  <c r="T161" i="9"/>
  <c r="T160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T159" i="9" s="1"/>
  <c r="T158" i="9"/>
  <c r="T157" i="9"/>
  <c r="T156" i="9"/>
  <c r="T155" i="9"/>
  <c r="T154" i="9"/>
  <c r="T153" i="9"/>
  <c r="T152" i="9"/>
  <c r="T151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T150" i="9" s="1"/>
  <c r="T149" i="9"/>
  <c r="T148" i="9"/>
  <c r="T147" i="9"/>
  <c r="T146" i="9"/>
  <c r="T145" i="9"/>
  <c r="T144" i="9"/>
  <c r="T143" i="9"/>
  <c r="T142" i="9"/>
  <c r="S141" i="9"/>
  <c r="S190" i="9" s="1"/>
  <c r="S192" i="9" s="1"/>
  <c r="R141" i="9"/>
  <c r="Q141" i="9"/>
  <c r="P141" i="9"/>
  <c r="O141" i="9"/>
  <c r="N141" i="9"/>
  <c r="M141" i="9"/>
  <c r="L141" i="9"/>
  <c r="K141" i="9"/>
  <c r="J141" i="9"/>
  <c r="I141" i="9"/>
  <c r="H141" i="9"/>
  <c r="G141" i="9"/>
  <c r="G190" i="9" s="1"/>
  <c r="G192" i="9" s="1"/>
  <c r="F141" i="9"/>
  <c r="E141" i="9"/>
  <c r="T140" i="9"/>
  <c r="T139" i="9"/>
  <c r="T138" i="9"/>
  <c r="T137" i="9"/>
  <c r="T136" i="9"/>
  <c r="T135" i="9"/>
  <c r="T134" i="9"/>
  <c r="T133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T132" i="9" s="1"/>
  <c r="F132" i="9"/>
  <c r="E132" i="9"/>
  <c r="T131" i="9"/>
  <c r="T130" i="9"/>
  <c r="T129" i="9"/>
  <c r="S128" i="9"/>
  <c r="R128" i="9"/>
  <c r="Q128" i="9"/>
  <c r="Q190" i="9" s="1"/>
  <c r="Q192" i="9" s="1"/>
  <c r="P128" i="9"/>
  <c r="O128" i="9"/>
  <c r="N128" i="9"/>
  <c r="M128" i="9"/>
  <c r="L128" i="9"/>
  <c r="K128" i="9"/>
  <c r="J128" i="9"/>
  <c r="I128" i="9"/>
  <c r="H128" i="9"/>
  <c r="G128" i="9"/>
  <c r="F128" i="9"/>
  <c r="E128" i="9"/>
  <c r="T127" i="9"/>
  <c r="T126" i="9"/>
  <c r="T125" i="9"/>
  <c r="T124" i="9"/>
  <c r="T123" i="9"/>
  <c r="T122" i="9"/>
  <c r="T121" i="9"/>
  <c r="T120" i="9"/>
  <c r="S119" i="9"/>
  <c r="R119" i="9"/>
  <c r="R190" i="9" s="1"/>
  <c r="R192" i="9" s="1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T118" i="9"/>
  <c r="T117" i="9"/>
  <c r="T116" i="9"/>
  <c r="T115" i="9"/>
  <c r="T114" i="9"/>
  <c r="T113" i="9"/>
  <c r="T112" i="9"/>
  <c r="T111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T109" i="9"/>
  <c r="T108" i="9"/>
  <c r="T107" i="9"/>
  <c r="T106" i="9"/>
  <c r="T105" i="9"/>
  <c r="T104" i="9"/>
  <c r="T103" i="9"/>
  <c r="E103" i="1" s="1"/>
  <c r="T102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T101" i="9" s="1"/>
  <c r="G101" i="9"/>
  <c r="F101" i="9"/>
  <c r="E101" i="9"/>
  <c r="T100" i="9"/>
  <c r="T99" i="9"/>
  <c r="T98" i="9"/>
  <c r="T97" i="9"/>
  <c r="T96" i="9"/>
  <c r="T95" i="9"/>
  <c r="T94" i="9"/>
  <c r="T93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T92" i="9" s="1"/>
  <c r="T91" i="9"/>
  <c r="T90" i="9"/>
  <c r="E90" i="1" s="1"/>
  <c r="E92" i="1" s="1"/>
  <c r="T89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T88" i="9" s="1"/>
  <c r="E88" i="9"/>
  <c r="T87" i="9"/>
  <c r="T86" i="9"/>
  <c r="T85" i="9"/>
  <c r="T84" i="9"/>
  <c r="T83" i="9"/>
  <c r="T82" i="9"/>
  <c r="T81" i="9"/>
  <c r="T80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T78" i="9"/>
  <c r="T77" i="9"/>
  <c r="T76" i="9"/>
  <c r="T75" i="9"/>
  <c r="T74" i="9"/>
  <c r="T73" i="9"/>
  <c r="T72" i="9"/>
  <c r="T71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T70" i="9" s="1"/>
  <c r="T69" i="9"/>
  <c r="T68" i="9"/>
  <c r="T67" i="9"/>
  <c r="T66" i="9"/>
  <c r="T65" i="9"/>
  <c r="T64" i="9"/>
  <c r="T63" i="9"/>
  <c r="T62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T61" i="9" s="1"/>
  <c r="T60" i="9"/>
  <c r="T59" i="9"/>
  <c r="T58" i="9"/>
  <c r="T57" i="9"/>
  <c r="T56" i="9"/>
  <c r="T55" i="9"/>
  <c r="T54" i="9"/>
  <c r="T53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T52" i="9" s="1"/>
  <c r="T51" i="9"/>
  <c r="T50" i="9"/>
  <c r="T49" i="9"/>
  <c r="T48" i="9"/>
  <c r="T47" i="9"/>
  <c r="T46" i="9"/>
  <c r="T45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T41" i="9" s="1"/>
  <c r="T40" i="9"/>
  <c r="T39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T35" i="9"/>
  <c r="T34" i="9"/>
  <c r="T33" i="9"/>
  <c r="S30" i="9"/>
  <c r="R30" i="9"/>
  <c r="Q30" i="9"/>
  <c r="P30" i="9"/>
  <c r="O30" i="9"/>
  <c r="N30" i="9"/>
  <c r="M30" i="9"/>
  <c r="L30" i="9"/>
  <c r="K30" i="9"/>
  <c r="T30" i="9" s="1"/>
  <c r="J30" i="9"/>
  <c r="I30" i="9"/>
  <c r="H30" i="9"/>
  <c r="G30" i="9"/>
  <c r="F30" i="9"/>
  <c r="E30" i="9"/>
  <c r="T29" i="9"/>
  <c r="T28" i="9"/>
  <c r="S27" i="9"/>
  <c r="T27" i="9" s="1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T26" i="9"/>
  <c r="T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T24" i="9" s="1"/>
  <c r="T23" i="9"/>
  <c r="T22" i="9"/>
  <c r="S21" i="9"/>
  <c r="R21" i="9"/>
  <c r="Q21" i="9"/>
  <c r="P21" i="9"/>
  <c r="O21" i="9"/>
  <c r="N21" i="9"/>
  <c r="M21" i="9"/>
  <c r="L21" i="9"/>
  <c r="K21" i="9"/>
  <c r="J21" i="9"/>
  <c r="T21" i="9" s="1"/>
  <c r="I21" i="9"/>
  <c r="H21" i="9"/>
  <c r="G21" i="9"/>
  <c r="F21" i="9"/>
  <c r="E21" i="9"/>
  <c r="T20" i="9"/>
  <c r="T19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T15" i="9"/>
  <c r="T14" i="9"/>
  <c r="P191" i="8"/>
  <c r="K190" i="8"/>
  <c r="K192" i="8" s="1"/>
  <c r="P189" i="8"/>
  <c r="P188" i="8"/>
  <c r="P187" i="8"/>
  <c r="O186" i="8"/>
  <c r="N186" i="8"/>
  <c r="M186" i="8"/>
  <c r="L186" i="8"/>
  <c r="K186" i="8"/>
  <c r="J186" i="8"/>
  <c r="I186" i="8"/>
  <c r="H186" i="8"/>
  <c r="G186" i="8"/>
  <c r="F186" i="8"/>
  <c r="P185" i="8"/>
  <c r="P184" i="8"/>
  <c r="P183" i="8"/>
  <c r="O182" i="8"/>
  <c r="N182" i="8"/>
  <c r="M182" i="8"/>
  <c r="L182" i="8"/>
  <c r="K182" i="8"/>
  <c r="J182" i="8"/>
  <c r="I182" i="8"/>
  <c r="H182" i="8"/>
  <c r="G182" i="8"/>
  <c r="F182" i="8"/>
  <c r="E182" i="8"/>
  <c r="P181" i="8"/>
  <c r="P180" i="8"/>
  <c r="P179" i="8"/>
  <c r="P178" i="8"/>
  <c r="P177" i="8"/>
  <c r="P176" i="8"/>
  <c r="P175" i="8"/>
  <c r="P174" i="8"/>
  <c r="O173" i="8"/>
  <c r="N173" i="8"/>
  <c r="M173" i="8"/>
  <c r="L173" i="8"/>
  <c r="K173" i="8"/>
  <c r="J173" i="8"/>
  <c r="I173" i="8"/>
  <c r="H173" i="8"/>
  <c r="G173" i="8"/>
  <c r="F173" i="8"/>
  <c r="E173" i="8"/>
  <c r="E190" i="8" s="1"/>
  <c r="P172" i="8"/>
  <c r="P171" i="8"/>
  <c r="P170" i="8"/>
  <c r="P169" i="8"/>
  <c r="P168" i="8"/>
  <c r="P167" i="8"/>
  <c r="P166" i="8"/>
  <c r="P165" i="8"/>
  <c r="O164" i="8"/>
  <c r="N164" i="8"/>
  <c r="P164" i="8" s="1"/>
  <c r="M164" i="8"/>
  <c r="L164" i="8"/>
  <c r="K164" i="8"/>
  <c r="J164" i="8"/>
  <c r="I164" i="8"/>
  <c r="I190" i="8" s="1"/>
  <c r="I192" i="8" s="1"/>
  <c r="H164" i="8"/>
  <c r="G164" i="8"/>
  <c r="F164" i="8"/>
  <c r="E164" i="8"/>
  <c r="P163" i="8"/>
  <c r="P162" i="8"/>
  <c r="E162" i="1" s="1"/>
  <c r="P161" i="8"/>
  <c r="P160" i="8"/>
  <c r="O159" i="8"/>
  <c r="N159" i="8"/>
  <c r="M159" i="8"/>
  <c r="L159" i="8"/>
  <c r="K159" i="8"/>
  <c r="J159" i="8"/>
  <c r="I159" i="8"/>
  <c r="H159" i="8"/>
  <c r="G159" i="8"/>
  <c r="F159" i="8"/>
  <c r="E159" i="8"/>
  <c r="P159" i="8" s="1"/>
  <c r="P158" i="8"/>
  <c r="P157" i="8"/>
  <c r="P156" i="8"/>
  <c r="P155" i="8"/>
  <c r="P154" i="8"/>
  <c r="P153" i="8"/>
  <c r="P152" i="8"/>
  <c r="P151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P149" i="8"/>
  <c r="P148" i="8"/>
  <c r="P147" i="8"/>
  <c r="P146" i="8"/>
  <c r="P145" i="8"/>
  <c r="P144" i="8"/>
  <c r="P143" i="8"/>
  <c r="P142" i="8"/>
  <c r="O141" i="8"/>
  <c r="N141" i="8"/>
  <c r="M141" i="8"/>
  <c r="L141" i="8"/>
  <c r="K141" i="8"/>
  <c r="J141" i="8"/>
  <c r="I141" i="8"/>
  <c r="H141" i="8"/>
  <c r="G141" i="8"/>
  <c r="F141" i="8"/>
  <c r="E141" i="8"/>
  <c r="P140" i="8"/>
  <c r="P139" i="8"/>
  <c r="P138" i="8"/>
  <c r="P137" i="8"/>
  <c r="P136" i="8"/>
  <c r="P135" i="8"/>
  <c r="P134" i="8"/>
  <c r="P133" i="8"/>
  <c r="O132" i="8"/>
  <c r="N132" i="8"/>
  <c r="M132" i="8"/>
  <c r="M190" i="8" s="1"/>
  <c r="M192" i="8" s="1"/>
  <c r="L132" i="8"/>
  <c r="L190" i="8" s="1"/>
  <c r="L192" i="8" s="1"/>
  <c r="K132" i="8"/>
  <c r="J132" i="8"/>
  <c r="I132" i="8"/>
  <c r="H132" i="8"/>
  <c r="G132" i="8"/>
  <c r="F132" i="8"/>
  <c r="E132" i="8"/>
  <c r="P131" i="8"/>
  <c r="P130" i="8"/>
  <c r="P129" i="8"/>
  <c r="O128" i="8"/>
  <c r="N128" i="8"/>
  <c r="M128" i="8"/>
  <c r="L128" i="8"/>
  <c r="K128" i="8"/>
  <c r="J128" i="8"/>
  <c r="I128" i="8"/>
  <c r="H128" i="8"/>
  <c r="G128" i="8"/>
  <c r="F128" i="8"/>
  <c r="E128" i="8"/>
  <c r="P128" i="8" s="1"/>
  <c r="P127" i="8"/>
  <c r="P126" i="8"/>
  <c r="P125" i="8"/>
  <c r="P124" i="8"/>
  <c r="P123" i="8"/>
  <c r="P122" i="8"/>
  <c r="P121" i="8"/>
  <c r="P120" i="8"/>
  <c r="O119" i="8"/>
  <c r="P119" i="8" s="1"/>
  <c r="N119" i="8"/>
  <c r="M119" i="8"/>
  <c r="L119" i="8"/>
  <c r="K119" i="8"/>
  <c r="J119" i="8"/>
  <c r="I119" i="8"/>
  <c r="H119" i="8"/>
  <c r="G119" i="8"/>
  <c r="F119" i="8"/>
  <c r="E119" i="8"/>
  <c r="P118" i="8"/>
  <c r="P117" i="8"/>
  <c r="P116" i="8"/>
  <c r="P115" i="8"/>
  <c r="P114" i="8"/>
  <c r="P113" i="8"/>
  <c r="P112" i="8"/>
  <c r="P111" i="8"/>
  <c r="O110" i="8"/>
  <c r="N110" i="8"/>
  <c r="M110" i="8"/>
  <c r="L110" i="8"/>
  <c r="K110" i="8"/>
  <c r="J110" i="8"/>
  <c r="P110" i="8" s="1"/>
  <c r="I110" i="8"/>
  <c r="H110" i="8"/>
  <c r="G110" i="8"/>
  <c r="F110" i="8"/>
  <c r="E110" i="8"/>
  <c r="P109" i="8"/>
  <c r="P108" i="8"/>
  <c r="E108" i="1" s="1"/>
  <c r="P107" i="8"/>
  <c r="P106" i="8"/>
  <c r="P105" i="8"/>
  <c r="P104" i="8"/>
  <c r="P103" i="8"/>
  <c r="P102" i="8"/>
  <c r="O101" i="8"/>
  <c r="N101" i="8"/>
  <c r="M101" i="8"/>
  <c r="L101" i="8"/>
  <c r="K101" i="8"/>
  <c r="J101" i="8"/>
  <c r="I101" i="8"/>
  <c r="H101" i="8"/>
  <c r="G101" i="8"/>
  <c r="F101" i="8"/>
  <c r="E101" i="8"/>
  <c r="P101" i="8" s="1"/>
  <c r="P100" i="8"/>
  <c r="P99" i="8"/>
  <c r="P98" i="8"/>
  <c r="P97" i="8"/>
  <c r="P96" i="8"/>
  <c r="P95" i="8"/>
  <c r="P94" i="8"/>
  <c r="P93" i="8"/>
  <c r="O92" i="8"/>
  <c r="N92" i="8"/>
  <c r="M92" i="8"/>
  <c r="L92" i="8"/>
  <c r="K92" i="8"/>
  <c r="J92" i="8"/>
  <c r="I92" i="8"/>
  <c r="H92" i="8"/>
  <c r="G92" i="8"/>
  <c r="F92" i="8"/>
  <c r="E92" i="8"/>
  <c r="P91" i="8"/>
  <c r="P90" i="8"/>
  <c r="P89" i="8"/>
  <c r="O88" i="8"/>
  <c r="N88" i="8"/>
  <c r="M88" i="8"/>
  <c r="L88" i="8"/>
  <c r="K88" i="8"/>
  <c r="J88" i="8"/>
  <c r="I88" i="8"/>
  <c r="H88" i="8"/>
  <c r="G88" i="8"/>
  <c r="F88" i="8"/>
  <c r="E88" i="8"/>
  <c r="P88" i="8" s="1"/>
  <c r="P87" i="8"/>
  <c r="P86" i="8"/>
  <c r="P85" i="8"/>
  <c r="P84" i="8"/>
  <c r="P83" i="8"/>
  <c r="P82" i="8"/>
  <c r="P81" i="8"/>
  <c r="P80" i="8"/>
  <c r="O79" i="8"/>
  <c r="N79" i="8"/>
  <c r="M79" i="8"/>
  <c r="L79" i="8"/>
  <c r="K79" i="8"/>
  <c r="J79" i="8"/>
  <c r="I79" i="8"/>
  <c r="H79" i="8"/>
  <c r="P79" i="8" s="1"/>
  <c r="G79" i="8"/>
  <c r="F79" i="8"/>
  <c r="E79" i="8"/>
  <c r="P78" i="8"/>
  <c r="P77" i="8"/>
  <c r="P76" i="8"/>
  <c r="E76" i="1" s="1"/>
  <c r="P75" i="8"/>
  <c r="P74" i="8"/>
  <c r="P73" i="8"/>
  <c r="P72" i="8"/>
  <c r="P71" i="8"/>
  <c r="O70" i="8"/>
  <c r="N70" i="8"/>
  <c r="M70" i="8"/>
  <c r="L70" i="8"/>
  <c r="K70" i="8"/>
  <c r="J70" i="8"/>
  <c r="I70" i="8"/>
  <c r="H70" i="8"/>
  <c r="G70" i="8"/>
  <c r="F70" i="8"/>
  <c r="E70" i="8"/>
  <c r="P69" i="8"/>
  <c r="P68" i="8"/>
  <c r="P67" i="8"/>
  <c r="P66" i="8"/>
  <c r="P65" i="8"/>
  <c r="E65" i="1" s="1"/>
  <c r="P64" i="8"/>
  <c r="P63" i="8"/>
  <c r="P62" i="8"/>
  <c r="O61" i="8"/>
  <c r="N61" i="8"/>
  <c r="M61" i="8"/>
  <c r="L61" i="8"/>
  <c r="K61" i="8"/>
  <c r="J61" i="8"/>
  <c r="I61" i="8"/>
  <c r="H61" i="8"/>
  <c r="G61" i="8"/>
  <c r="F61" i="8"/>
  <c r="P61" i="8" s="1"/>
  <c r="E61" i="8"/>
  <c r="P60" i="8"/>
  <c r="P59" i="8"/>
  <c r="P58" i="8"/>
  <c r="P57" i="8"/>
  <c r="P56" i="8"/>
  <c r="P55" i="8"/>
  <c r="E55" i="1" s="1"/>
  <c r="P54" i="8"/>
  <c r="E54" i="1" s="1"/>
  <c r="P53" i="8"/>
  <c r="P52" i="8"/>
  <c r="O52" i="8"/>
  <c r="N52" i="8"/>
  <c r="M52" i="8"/>
  <c r="L52" i="8"/>
  <c r="K52" i="8"/>
  <c r="J52" i="8"/>
  <c r="I52" i="8"/>
  <c r="H52" i="8"/>
  <c r="G52" i="8"/>
  <c r="F52" i="8"/>
  <c r="E52" i="8"/>
  <c r="P51" i="8"/>
  <c r="P50" i="8"/>
  <c r="P49" i="8"/>
  <c r="P48" i="8"/>
  <c r="P47" i="8"/>
  <c r="P46" i="8"/>
  <c r="P45" i="8"/>
  <c r="O41" i="8"/>
  <c r="N41" i="8"/>
  <c r="M41" i="8"/>
  <c r="L41" i="8"/>
  <c r="K41" i="8"/>
  <c r="J41" i="8"/>
  <c r="I41" i="8"/>
  <c r="H41" i="8"/>
  <c r="G41" i="8"/>
  <c r="F41" i="8"/>
  <c r="E41" i="8"/>
  <c r="P40" i="8"/>
  <c r="P39" i="8"/>
  <c r="O36" i="8"/>
  <c r="N36" i="8"/>
  <c r="M36" i="8"/>
  <c r="L36" i="8"/>
  <c r="K36" i="8"/>
  <c r="J36" i="8"/>
  <c r="I36" i="8"/>
  <c r="H36" i="8"/>
  <c r="G36" i="8"/>
  <c r="F36" i="8"/>
  <c r="E36" i="8"/>
  <c r="P36" i="8" s="1"/>
  <c r="P35" i="8"/>
  <c r="P34" i="8"/>
  <c r="P33" i="8"/>
  <c r="O30" i="8"/>
  <c r="N30" i="8"/>
  <c r="M30" i="8"/>
  <c r="L30" i="8"/>
  <c r="K30" i="8"/>
  <c r="J30" i="8"/>
  <c r="I30" i="8"/>
  <c r="H30" i="8"/>
  <c r="G30" i="8"/>
  <c r="F30" i="8"/>
  <c r="P30" i="8" s="1"/>
  <c r="E30" i="8"/>
  <c r="P29" i="8"/>
  <c r="P28" i="8"/>
  <c r="O27" i="8"/>
  <c r="N27" i="8"/>
  <c r="M27" i="8"/>
  <c r="L27" i="8"/>
  <c r="K27" i="8"/>
  <c r="J27" i="8"/>
  <c r="I27" i="8"/>
  <c r="H27" i="8"/>
  <c r="G27" i="8"/>
  <c r="F27" i="8"/>
  <c r="E27" i="8"/>
  <c r="P26" i="8"/>
  <c r="P25" i="8"/>
  <c r="O24" i="8"/>
  <c r="N24" i="8"/>
  <c r="M24" i="8"/>
  <c r="L24" i="8"/>
  <c r="K24" i="8"/>
  <c r="J24" i="8"/>
  <c r="I24" i="8"/>
  <c r="H24" i="8"/>
  <c r="G24" i="8"/>
  <c r="F24" i="8"/>
  <c r="E24" i="8"/>
  <c r="P24" i="8" s="1"/>
  <c r="P23" i="8"/>
  <c r="P22" i="8"/>
  <c r="O21" i="8"/>
  <c r="N21" i="8"/>
  <c r="M21" i="8"/>
  <c r="L21" i="8"/>
  <c r="K21" i="8"/>
  <c r="J21" i="8"/>
  <c r="I21" i="8"/>
  <c r="H21" i="8"/>
  <c r="G21" i="8"/>
  <c r="F21" i="8"/>
  <c r="P21" i="8" s="1"/>
  <c r="E21" i="8"/>
  <c r="P20" i="8"/>
  <c r="P19" i="8"/>
  <c r="O16" i="8"/>
  <c r="N16" i="8"/>
  <c r="M16" i="8"/>
  <c r="L16" i="8"/>
  <c r="K16" i="8"/>
  <c r="J16" i="8"/>
  <c r="I16" i="8"/>
  <c r="H16" i="8"/>
  <c r="G16" i="8"/>
  <c r="F16" i="8"/>
  <c r="E16" i="8"/>
  <c r="P16" i="8" s="1"/>
  <c r="P15" i="8"/>
  <c r="P14" i="8"/>
  <c r="M191" i="7"/>
  <c r="L186" i="7"/>
  <c r="K186" i="7"/>
  <c r="J186" i="7"/>
  <c r="I186" i="7"/>
  <c r="H186" i="7"/>
  <c r="G186" i="7"/>
  <c r="F186" i="7"/>
  <c r="E186" i="7"/>
  <c r="M185" i="7"/>
  <c r="M184" i="7"/>
  <c r="L182" i="7"/>
  <c r="K182" i="7"/>
  <c r="J182" i="7"/>
  <c r="I182" i="7"/>
  <c r="I190" i="7" s="1"/>
  <c r="I192" i="7" s="1"/>
  <c r="H182" i="7"/>
  <c r="G182" i="7"/>
  <c r="F182" i="7"/>
  <c r="E182" i="7"/>
  <c r="M181" i="7"/>
  <c r="M180" i="7"/>
  <c r="M179" i="7"/>
  <c r="M178" i="7"/>
  <c r="M177" i="7"/>
  <c r="M176" i="7"/>
  <c r="M175" i="7"/>
  <c r="L173" i="7"/>
  <c r="K173" i="7"/>
  <c r="M173" i="7" s="1"/>
  <c r="J173" i="7"/>
  <c r="I173" i="7"/>
  <c r="H173" i="7"/>
  <c r="G173" i="7"/>
  <c r="F173" i="7"/>
  <c r="E173" i="7"/>
  <c r="M172" i="7"/>
  <c r="M171" i="7"/>
  <c r="M170" i="7"/>
  <c r="M169" i="7"/>
  <c r="M168" i="7"/>
  <c r="M167" i="7"/>
  <c r="M166" i="7"/>
  <c r="L164" i="7"/>
  <c r="K164" i="7"/>
  <c r="J164" i="7"/>
  <c r="I164" i="7"/>
  <c r="H164" i="7"/>
  <c r="G164" i="7"/>
  <c r="F164" i="7"/>
  <c r="E164" i="7"/>
  <c r="M163" i="7"/>
  <c r="M162" i="7"/>
  <c r="M161" i="7"/>
  <c r="L159" i="7"/>
  <c r="K159" i="7"/>
  <c r="J159" i="7"/>
  <c r="I159" i="7"/>
  <c r="H159" i="7"/>
  <c r="G159" i="7"/>
  <c r="F159" i="7"/>
  <c r="E159" i="7"/>
  <c r="M159" i="7" s="1"/>
  <c r="M158" i="7"/>
  <c r="M157" i="7"/>
  <c r="M156" i="7"/>
  <c r="M155" i="7"/>
  <c r="M154" i="7"/>
  <c r="M153" i="7"/>
  <c r="M152" i="7"/>
  <c r="L150" i="7"/>
  <c r="K150" i="7"/>
  <c r="M150" i="7" s="1"/>
  <c r="J150" i="7"/>
  <c r="I150" i="7"/>
  <c r="H150" i="7"/>
  <c r="G150" i="7"/>
  <c r="F150" i="7"/>
  <c r="E150" i="7"/>
  <c r="M149" i="7"/>
  <c r="M148" i="7"/>
  <c r="M147" i="7"/>
  <c r="M146" i="7"/>
  <c r="M145" i="7"/>
  <c r="M144" i="7"/>
  <c r="M143" i="7"/>
  <c r="L141" i="7"/>
  <c r="K141" i="7"/>
  <c r="J141" i="7"/>
  <c r="I141" i="7"/>
  <c r="H141" i="7"/>
  <c r="G141" i="7"/>
  <c r="F141" i="7"/>
  <c r="E141" i="7"/>
  <c r="M140" i="7"/>
  <c r="M139" i="7"/>
  <c r="M138" i="7"/>
  <c r="M137" i="7"/>
  <c r="M136" i="7"/>
  <c r="M135" i="7"/>
  <c r="M134" i="7"/>
  <c r="L132" i="7"/>
  <c r="K132" i="7"/>
  <c r="M132" i="7" s="1"/>
  <c r="J132" i="7"/>
  <c r="I132" i="7"/>
  <c r="H132" i="7"/>
  <c r="G132" i="7"/>
  <c r="F132" i="7"/>
  <c r="E132" i="7"/>
  <c r="M131" i="7"/>
  <c r="M130" i="7"/>
  <c r="L128" i="7"/>
  <c r="K128" i="7"/>
  <c r="J128" i="7"/>
  <c r="J190" i="7" s="1"/>
  <c r="J192" i="7" s="1"/>
  <c r="I128" i="7"/>
  <c r="H128" i="7"/>
  <c r="M128" i="7" s="1"/>
  <c r="G128" i="7"/>
  <c r="F128" i="7"/>
  <c r="E128" i="7"/>
  <c r="M127" i="7"/>
  <c r="M126" i="7"/>
  <c r="M125" i="7"/>
  <c r="M124" i="7"/>
  <c r="M123" i="7"/>
  <c r="M122" i="7"/>
  <c r="M121" i="7"/>
  <c r="L119" i="7"/>
  <c r="K119" i="7"/>
  <c r="J119" i="7"/>
  <c r="I119" i="7"/>
  <c r="H119" i="7"/>
  <c r="G119" i="7"/>
  <c r="F119" i="7"/>
  <c r="E119" i="7"/>
  <c r="M119" i="7" s="1"/>
  <c r="M118" i="7"/>
  <c r="M117" i="7"/>
  <c r="M116" i="7"/>
  <c r="M115" i="7"/>
  <c r="M114" i="7"/>
  <c r="M113" i="7"/>
  <c r="M112" i="7"/>
  <c r="L110" i="7"/>
  <c r="K110" i="7"/>
  <c r="J110" i="7"/>
  <c r="I110" i="7"/>
  <c r="H110" i="7"/>
  <c r="G110" i="7"/>
  <c r="M110" i="7" s="1"/>
  <c r="F110" i="7"/>
  <c r="E110" i="7"/>
  <c r="M109" i="7"/>
  <c r="M108" i="7"/>
  <c r="M107" i="7"/>
  <c r="M106" i="7"/>
  <c r="M105" i="7"/>
  <c r="M104" i="7"/>
  <c r="M103" i="7"/>
  <c r="L101" i="7"/>
  <c r="K101" i="7"/>
  <c r="J101" i="7"/>
  <c r="I101" i="7"/>
  <c r="H101" i="7"/>
  <c r="G101" i="7"/>
  <c r="F101" i="7"/>
  <c r="E101" i="7"/>
  <c r="M101" i="7" s="1"/>
  <c r="M100" i="7"/>
  <c r="M99" i="7"/>
  <c r="M98" i="7"/>
  <c r="M97" i="7"/>
  <c r="M96" i="7"/>
  <c r="M95" i="7"/>
  <c r="M94" i="7"/>
  <c r="M93" i="7"/>
  <c r="L92" i="7"/>
  <c r="K92" i="7"/>
  <c r="J92" i="7"/>
  <c r="I92" i="7"/>
  <c r="H92" i="7"/>
  <c r="G92" i="7"/>
  <c r="F92" i="7"/>
  <c r="E92" i="7"/>
  <c r="M92" i="7" s="1"/>
  <c r="M91" i="7"/>
  <c r="M90" i="7"/>
  <c r="L88" i="7"/>
  <c r="K88" i="7"/>
  <c r="J88" i="7"/>
  <c r="I88" i="7"/>
  <c r="H88" i="7"/>
  <c r="G88" i="7"/>
  <c r="F88" i="7"/>
  <c r="E88" i="7"/>
  <c r="M87" i="7"/>
  <c r="M86" i="7"/>
  <c r="M85" i="7"/>
  <c r="M84" i="7"/>
  <c r="M83" i="7"/>
  <c r="M82" i="7"/>
  <c r="M81" i="7"/>
  <c r="L79" i="7"/>
  <c r="K79" i="7"/>
  <c r="J79" i="7"/>
  <c r="I79" i="7"/>
  <c r="H79" i="7"/>
  <c r="G79" i="7"/>
  <c r="F79" i="7"/>
  <c r="E79" i="7"/>
  <c r="M79" i="7" s="1"/>
  <c r="M78" i="7"/>
  <c r="M77" i="7"/>
  <c r="M76" i="7"/>
  <c r="M75" i="7"/>
  <c r="M74" i="7"/>
  <c r="M73" i="7"/>
  <c r="M72" i="7"/>
  <c r="M71" i="7"/>
  <c r="L70" i="7"/>
  <c r="K70" i="7"/>
  <c r="J70" i="7"/>
  <c r="I70" i="7"/>
  <c r="H70" i="7"/>
  <c r="G70" i="7"/>
  <c r="F70" i="7"/>
  <c r="E70" i="7"/>
  <c r="M69" i="7"/>
  <c r="M68" i="7"/>
  <c r="M67" i="7"/>
  <c r="M66" i="7"/>
  <c r="M65" i="7"/>
  <c r="M64" i="7"/>
  <c r="M63" i="7"/>
  <c r="M62" i="7"/>
  <c r="L61" i="7"/>
  <c r="K61" i="7"/>
  <c r="J61" i="7"/>
  <c r="I61" i="7"/>
  <c r="H61" i="7"/>
  <c r="G61" i="7"/>
  <c r="F61" i="7"/>
  <c r="E61" i="7"/>
  <c r="M61" i="7" s="1"/>
  <c r="M60" i="7"/>
  <c r="M59" i="7"/>
  <c r="M58" i="7"/>
  <c r="M57" i="7"/>
  <c r="M56" i="7"/>
  <c r="M55" i="7"/>
  <c r="M54" i="7"/>
  <c r="M53" i="7"/>
  <c r="L52" i="7"/>
  <c r="K52" i="7"/>
  <c r="M52" i="7" s="1"/>
  <c r="J52" i="7"/>
  <c r="I52" i="7"/>
  <c r="H52" i="7"/>
  <c r="G52" i="7"/>
  <c r="F52" i="7"/>
  <c r="E52" i="7"/>
  <c r="M51" i="7"/>
  <c r="M50" i="7"/>
  <c r="M49" i="7"/>
  <c r="M48" i="7"/>
  <c r="M47" i="7"/>
  <c r="M46" i="7"/>
  <c r="M45" i="7"/>
  <c r="L41" i="7"/>
  <c r="K41" i="7"/>
  <c r="J41" i="7"/>
  <c r="I41" i="7"/>
  <c r="H41" i="7"/>
  <c r="G41" i="7"/>
  <c r="F41" i="7"/>
  <c r="E41" i="7"/>
  <c r="M40" i="7"/>
  <c r="M39" i="7"/>
  <c r="L36" i="7"/>
  <c r="K36" i="7"/>
  <c r="J36" i="7"/>
  <c r="I36" i="7"/>
  <c r="H36" i="7"/>
  <c r="G36" i="7"/>
  <c r="F36" i="7"/>
  <c r="E36" i="7"/>
  <c r="M36" i="7" s="1"/>
  <c r="M35" i="7"/>
  <c r="M34" i="7"/>
  <c r="M33" i="7"/>
  <c r="L30" i="7"/>
  <c r="K30" i="7"/>
  <c r="J30" i="7"/>
  <c r="I30" i="7"/>
  <c r="H30" i="7"/>
  <c r="G30" i="7"/>
  <c r="F30" i="7"/>
  <c r="E30" i="7"/>
  <c r="M30" i="7" s="1"/>
  <c r="M29" i="7"/>
  <c r="M28" i="7"/>
  <c r="L27" i="7"/>
  <c r="K27" i="7"/>
  <c r="J27" i="7"/>
  <c r="I27" i="7"/>
  <c r="H27" i="7"/>
  <c r="G27" i="7"/>
  <c r="F27" i="7"/>
  <c r="E27" i="7"/>
  <c r="M27" i="7" s="1"/>
  <c r="M26" i="7"/>
  <c r="M25" i="7"/>
  <c r="L24" i="7"/>
  <c r="K24" i="7"/>
  <c r="J24" i="7"/>
  <c r="I24" i="7"/>
  <c r="H24" i="7"/>
  <c r="G24" i="7"/>
  <c r="F24" i="7"/>
  <c r="E24" i="7"/>
  <c r="M23" i="7"/>
  <c r="M22" i="7"/>
  <c r="L21" i="7"/>
  <c r="K21" i="7"/>
  <c r="J21" i="7"/>
  <c r="I21" i="7"/>
  <c r="H21" i="7"/>
  <c r="G21" i="7"/>
  <c r="F21" i="7"/>
  <c r="E21" i="7"/>
  <c r="M21" i="7" s="1"/>
  <c r="M20" i="7"/>
  <c r="M19" i="7"/>
  <c r="L16" i="7"/>
  <c r="K16" i="7"/>
  <c r="J16" i="7"/>
  <c r="I16" i="7"/>
  <c r="H16" i="7"/>
  <c r="G16" i="7"/>
  <c r="F16" i="7"/>
  <c r="E16" i="7"/>
  <c r="M15" i="7"/>
  <c r="M14" i="7"/>
  <c r="R191" i="6"/>
  <c r="R189" i="6"/>
  <c r="R188" i="6"/>
  <c r="Q186" i="6"/>
  <c r="P186" i="6"/>
  <c r="O186" i="6"/>
  <c r="N186" i="6"/>
  <c r="M186" i="6"/>
  <c r="L186" i="6"/>
  <c r="K186" i="6"/>
  <c r="K192" i="6" s="1"/>
  <c r="J186" i="6"/>
  <c r="J192" i="6" s="1"/>
  <c r="I186" i="6"/>
  <c r="I192" i="6" s="1"/>
  <c r="H186" i="6"/>
  <c r="G186" i="6"/>
  <c r="G192" i="6" s="1"/>
  <c r="F186" i="6"/>
  <c r="E186" i="6"/>
  <c r="R185" i="6"/>
  <c r="R184" i="6"/>
  <c r="R183" i="6"/>
  <c r="Q182" i="6"/>
  <c r="P182" i="6"/>
  <c r="O182" i="6"/>
  <c r="O192" i="6" s="1"/>
  <c r="N182" i="6"/>
  <c r="M182" i="6"/>
  <c r="L182" i="6"/>
  <c r="K182" i="6"/>
  <c r="J182" i="6"/>
  <c r="I182" i="6"/>
  <c r="H182" i="6"/>
  <c r="H192" i="6" s="1"/>
  <c r="G182" i="6"/>
  <c r="F182" i="6"/>
  <c r="E182" i="6"/>
  <c r="R181" i="6"/>
  <c r="R180" i="6"/>
  <c r="R179" i="6"/>
  <c r="R178" i="6"/>
  <c r="R177" i="6"/>
  <c r="R176" i="6"/>
  <c r="R175" i="6"/>
  <c r="R174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R173" i="6" s="1"/>
  <c r="R172" i="6"/>
  <c r="R171" i="6"/>
  <c r="R170" i="6"/>
  <c r="R169" i="6"/>
  <c r="R168" i="6"/>
  <c r="R167" i="6"/>
  <c r="R166" i="6"/>
  <c r="R165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R164" i="6" s="1"/>
  <c r="R163" i="6"/>
  <c r="E163" i="1" s="1"/>
  <c r="R162" i="6"/>
  <c r="R161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R158" i="6"/>
  <c r="R157" i="6"/>
  <c r="R156" i="6"/>
  <c r="R155" i="6"/>
  <c r="R154" i="6"/>
  <c r="E154" i="1" s="1"/>
  <c r="R153" i="6"/>
  <c r="E153" i="1" s="1"/>
  <c r="R152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R150" i="6" s="1"/>
  <c r="E150" i="6"/>
  <c r="R149" i="6"/>
  <c r="R148" i="6"/>
  <c r="R147" i="6"/>
  <c r="R146" i="6"/>
  <c r="R145" i="6"/>
  <c r="R144" i="6"/>
  <c r="R143" i="6"/>
  <c r="E143" i="1" s="1"/>
  <c r="R142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R140" i="6"/>
  <c r="R139" i="6"/>
  <c r="R138" i="6"/>
  <c r="R137" i="6"/>
  <c r="R136" i="6"/>
  <c r="R135" i="6"/>
  <c r="R134" i="6"/>
  <c r="R133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R131" i="6"/>
  <c r="R130" i="6"/>
  <c r="Q128" i="6"/>
  <c r="P128" i="6"/>
  <c r="P192" i="6" s="1"/>
  <c r="O128" i="6"/>
  <c r="N128" i="6"/>
  <c r="M128" i="6"/>
  <c r="L128" i="6"/>
  <c r="K128" i="6"/>
  <c r="J128" i="6"/>
  <c r="I128" i="6"/>
  <c r="R128" i="6" s="1"/>
  <c r="H128" i="6"/>
  <c r="G128" i="6"/>
  <c r="F128" i="6"/>
  <c r="E128" i="6"/>
  <c r="R127" i="6"/>
  <c r="R126" i="6"/>
  <c r="R125" i="6"/>
  <c r="R124" i="6"/>
  <c r="R123" i="6"/>
  <c r="R122" i="6"/>
  <c r="R121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R119" i="6" s="1"/>
  <c r="E119" i="6"/>
  <c r="R118" i="6"/>
  <c r="R117" i="6"/>
  <c r="R116" i="6"/>
  <c r="R115" i="6"/>
  <c r="R114" i="6"/>
  <c r="R113" i="6"/>
  <c r="R112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R110" i="6" s="1"/>
  <c r="R109" i="6"/>
  <c r="R108" i="6"/>
  <c r="R107" i="6"/>
  <c r="R106" i="6"/>
  <c r="R105" i="6"/>
  <c r="R104" i="6"/>
  <c r="R103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R101" i="6" s="1"/>
  <c r="R100" i="6"/>
  <c r="R99" i="6"/>
  <c r="R98" i="6"/>
  <c r="R97" i="6"/>
  <c r="R96" i="6"/>
  <c r="R95" i="6"/>
  <c r="R94" i="6"/>
  <c r="R93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R92" i="6" s="1"/>
  <c r="R91" i="6"/>
  <c r="R90" i="6"/>
  <c r="R89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R87" i="6"/>
  <c r="R86" i="6"/>
  <c r="R85" i="6"/>
  <c r="R84" i="6"/>
  <c r="R83" i="6"/>
  <c r="R82" i="6"/>
  <c r="R81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8" i="6"/>
  <c r="R77" i="6"/>
  <c r="R76" i="6"/>
  <c r="R75" i="6"/>
  <c r="R74" i="6"/>
  <c r="R73" i="6"/>
  <c r="R72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R69" i="6"/>
  <c r="R68" i="6"/>
  <c r="R67" i="6"/>
  <c r="R66" i="6"/>
  <c r="R65" i="6"/>
  <c r="R64" i="6"/>
  <c r="R63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R60" i="6"/>
  <c r="R59" i="6"/>
  <c r="R58" i="6"/>
  <c r="R57" i="6"/>
  <c r="R56" i="6"/>
  <c r="R55" i="6"/>
  <c r="R54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R51" i="6"/>
  <c r="R50" i="6"/>
  <c r="R49" i="6"/>
  <c r="R48" i="6"/>
  <c r="R47" i="6"/>
  <c r="R46" i="6"/>
  <c r="R45" i="6"/>
  <c r="Q41" i="6"/>
  <c r="P41" i="6"/>
  <c r="O41" i="6"/>
  <c r="N41" i="6"/>
  <c r="M41" i="6"/>
  <c r="L41" i="6"/>
  <c r="K41" i="6"/>
  <c r="R41" i="6" s="1"/>
  <c r="J41" i="6"/>
  <c r="I41" i="6"/>
  <c r="H41" i="6"/>
  <c r="G41" i="6"/>
  <c r="F41" i="6"/>
  <c r="E41" i="6"/>
  <c r="R40" i="6"/>
  <c r="R39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R36" i="6" s="1"/>
  <c r="R35" i="6"/>
  <c r="R34" i="6"/>
  <c r="R33" i="6"/>
  <c r="I30" i="6"/>
  <c r="H30" i="6"/>
  <c r="G30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R26" i="6"/>
  <c r="R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R23" i="6"/>
  <c r="R22" i="6"/>
  <c r="Q21" i="6"/>
  <c r="R21" i="6" s="1"/>
  <c r="P21" i="6"/>
  <c r="O21" i="6"/>
  <c r="N21" i="6"/>
  <c r="M21" i="6"/>
  <c r="L21" i="6"/>
  <c r="K21" i="6"/>
  <c r="J21" i="6"/>
  <c r="I21" i="6"/>
  <c r="H21" i="6"/>
  <c r="G21" i="6"/>
  <c r="F21" i="6"/>
  <c r="E21" i="6"/>
  <c r="R20" i="6"/>
  <c r="R19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R15" i="6"/>
  <c r="R14" i="6"/>
  <c r="Z191" i="5"/>
  <c r="Z189" i="5"/>
  <c r="Z188" i="5"/>
  <c r="Z187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F192" i="5" s="1"/>
  <c r="E186" i="5"/>
  <c r="E190" i="5" s="1"/>
  <c r="Z185" i="5"/>
  <c r="E185" i="1" s="1"/>
  <c r="Z184" i="5"/>
  <c r="Z183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H192" i="5" s="1"/>
  <c r="G182" i="5"/>
  <c r="F182" i="5"/>
  <c r="E182" i="5"/>
  <c r="Z181" i="5"/>
  <c r="Z180" i="5"/>
  <c r="Z179" i="5"/>
  <c r="Z178" i="5"/>
  <c r="Z177" i="5"/>
  <c r="Z176" i="5"/>
  <c r="Z175" i="5"/>
  <c r="Z174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Z172" i="5"/>
  <c r="Z171" i="5"/>
  <c r="Z170" i="5"/>
  <c r="Z169" i="5"/>
  <c r="Z168" i="5"/>
  <c r="Z167" i="5"/>
  <c r="Z166" i="5"/>
  <c r="Z165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Z163" i="5"/>
  <c r="Z162" i="5"/>
  <c r="Z161" i="5"/>
  <c r="Z160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Z159" i="5" s="1"/>
  <c r="Z158" i="5"/>
  <c r="Z157" i="5"/>
  <c r="Z156" i="5"/>
  <c r="Z155" i="5"/>
  <c r="Z154" i="5"/>
  <c r="Z153" i="5"/>
  <c r="Z152" i="5"/>
  <c r="Z151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Z150" i="5" s="1"/>
  <c r="L150" i="5"/>
  <c r="K150" i="5"/>
  <c r="J150" i="5"/>
  <c r="I150" i="5"/>
  <c r="H150" i="5"/>
  <c r="G150" i="5"/>
  <c r="F150" i="5"/>
  <c r="E150" i="5"/>
  <c r="Z149" i="5"/>
  <c r="Z148" i="5"/>
  <c r="Z147" i="5"/>
  <c r="Z146" i="5"/>
  <c r="Z145" i="5"/>
  <c r="Z144" i="5"/>
  <c r="Z143" i="5"/>
  <c r="Z142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Z140" i="5"/>
  <c r="Z139" i="5"/>
  <c r="Z138" i="5"/>
  <c r="Z137" i="5"/>
  <c r="Z136" i="5"/>
  <c r="Z135" i="5"/>
  <c r="Z134" i="5"/>
  <c r="Z133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Z132" i="5" s="1"/>
  <c r="Z131" i="5"/>
  <c r="Z130" i="5"/>
  <c r="Z129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Z128" i="5" s="1"/>
  <c r="G128" i="5"/>
  <c r="F128" i="5"/>
  <c r="E128" i="5"/>
  <c r="Z127" i="5"/>
  <c r="Z126" i="5"/>
  <c r="Z125" i="5"/>
  <c r="Z124" i="5"/>
  <c r="Z123" i="5"/>
  <c r="Z122" i="5"/>
  <c r="Z121" i="5"/>
  <c r="Z120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Z118" i="5"/>
  <c r="Z117" i="5"/>
  <c r="Z116" i="5"/>
  <c r="Z115" i="5"/>
  <c r="Z114" i="5"/>
  <c r="Z113" i="5"/>
  <c r="Z112" i="5"/>
  <c r="Z111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Z110" i="5" s="1"/>
  <c r="Z109" i="5"/>
  <c r="Z108" i="5"/>
  <c r="Z107" i="5"/>
  <c r="Z106" i="5"/>
  <c r="Z105" i="5"/>
  <c r="Z104" i="5"/>
  <c r="Z103" i="5"/>
  <c r="Z102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Z100" i="5"/>
  <c r="Z99" i="5"/>
  <c r="Z98" i="5"/>
  <c r="Z97" i="5"/>
  <c r="Z96" i="5"/>
  <c r="Z95" i="5"/>
  <c r="Z94" i="5"/>
  <c r="Z93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Z91" i="5"/>
  <c r="Z90" i="5"/>
  <c r="Z89" i="5"/>
  <c r="Y88" i="5"/>
  <c r="X88" i="5"/>
  <c r="W88" i="5"/>
  <c r="V88" i="5"/>
  <c r="U88" i="5"/>
  <c r="T88" i="5"/>
  <c r="S88" i="5"/>
  <c r="R88" i="5"/>
  <c r="Q88" i="5"/>
  <c r="P88" i="5"/>
  <c r="O88" i="5"/>
  <c r="N88" i="5"/>
  <c r="N192" i="5" s="1"/>
  <c r="M88" i="5"/>
  <c r="L88" i="5"/>
  <c r="K88" i="5"/>
  <c r="J88" i="5"/>
  <c r="I88" i="5"/>
  <c r="H88" i="5"/>
  <c r="G88" i="5"/>
  <c r="F88" i="5"/>
  <c r="E88" i="5"/>
  <c r="Z87" i="5"/>
  <c r="Z86" i="5"/>
  <c r="Z85" i="5"/>
  <c r="Z84" i="5"/>
  <c r="Z83" i="5"/>
  <c r="Z82" i="5"/>
  <c r="Z81" i="5"/>
  <c r="Z80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Z78" i="5"/>
  <c r="Z77" i="5"/>
  <c r="Z76" i="5"/>
  <c r="Z75" i="5"/>
  <c r="Z74" i="5"/>
  <c r="Z73" i="5"/>
  <c r="E73" i="1" s="1"/>
  <c r="Z72" i="5"/>
  <c r="Z71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Z70" i="5" s="1"/>
  <c r="F70" i="5"/>
  <c r="E70" i="5"/>
  <c r="Z69" i="5"/>
  <c r="Z68" i="5"/>
  <c r="Z67" i="5"/>
  <c r="Z66" i="5"/>
  <c r="Z65" i="5"/>
  <c r="Z64" i="5"/>
  <c r="Z63" i="5"/>
  <c r="Z62" i="5"/>
  <c r="Y61" i="5"/>
  <c r="X61" i="5"/>
  <c r="W61" i="5"/>
  <c r="V61" i="5"/>
  <c r="U61" i="5"/>
  <c r="T61" i="5"/>
  <c r="S61" i="5"/>
  <c r="R61" i="5"/>
  <c r="Q61" i="5"/>
  <c r="P61" i="5"/>
  <c r="O61" i="5"/>
  <c r="Z61" i="5" s="1"/>
  <c r="N61" i="5"/>
  <c r="M61" i="5"/>
  <c r="L61" i="5"/>
  <c r="K61" i="5"/>
  <c r="J61" i="5"/>
  <c r="I61" i="5"/>
  <c r="H61" i="5"/>
  <c r="G61" i="5"/>
  <c r="F61" i="5"/>
  <c r="E61" i="5"/>
  <c r="Z60" i="5"/>
  <c r="Z59" i="5"/>
  <c r="Z58" i="5"/>
  <c r="Z57" i="5"/>
  <c r="Z56" i="5"/>
  <c r="Z55" i="5"/>
  <c r="Z54" i="5"/>
  <c r="Z53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Z51" i="5"/>
  <c r="Z50" i="5"/>
  <c r="Z49" i="5"/>
  <c r="E49" i="1" s="1"/>
  <c r="Z48" i="5"/>
  <c r="Z47" i="5"/>
  <c r="Z46" i="5"/>
  <c r="Z45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Z41" i="5" s="1"/>
  <c r="Z40" i="5"/>
  <c r="Z39" i="5"/>
  <c r="Z35" i="5"/>
  <c r="Z34" i="5"/>
  <c r="Z33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Z30" i="5" s="1"/>
  <c r="J30" i="5"/>
  <c r="I30" i="5"/>
  <c r="H30" i="5"/>
  <c r="G30" i="5"/>
  <c r="F30" i="5"/>
  <c r="E30" i="5"/>
  <c r="Z29" i="5"/>
  <c r="Z28" i="5"/>
  <c r="Z27" i="5"/>
  <c r="Z26" i="5"/>
  <c r="Z25" i="5"/>
  <c r="Z24" i="5"/>
  <c r="Z23" i="5"/>
  <c r="Z22" i="5"/>
  <c r="Z21" i="5"/>
  <c r="Z20" i="5"/>
  <c r="Z19" i="5"/>
  <c r="Y16" i="5"/>
  <c r="Z16" i="5" s="1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Z15" i="5"/>
  <c r="Z14" i="5"/>
  <c r="W191" i="4"/>
  <c r="E191" i="1" s="1"/>
  <c r="W189" i="4"/>
  <c r="W188" i="4"/>
  <c r="W187" i="4"/>
  <c r="V186" i="4"/>
  <c r="U186" i="4"/>
  <c r="T186" i="4"/>
  <c r="S186" i="4"/>
  <c r="R186" i="4"/>
  <c r="Q186" i="4"/>
  <c r="P186" i="4"/>
  <c r="P192" i="4" s="1"/>
  <c r="O186" i="4"/>
  <c r="N186" i="4"/>
  <c r="M186" i="4"/>
  <c r="L186" i="4"/>
  <c r="K186" i="4"/>
  <c r="K192" i="4" s="1"/>
  <c r="J186" i="4"/>
  <c r="J192" i="4" s="1"/>
  <c r="I186" i="4"/>
  <c r="I192" i="4" s="1"/>
  <c r="H186" i="4"/>
  <c r="G186" i="4"/>
  <c r="F186" i="4"/>
  <c r="E186" i="4"/>
  <c r="W185" i="4"/>
  <c r="W184" i="4"/>
  <c r="W183" i="4"/>
  <c r="V182" i="4"/>
  <c r="U182" i="4"/>
  <c r="T182" i="4"/>
  <c r="S182" i="4"/>
  <c r="R182" i="4"/>
  <c r="Q182" i="4"/>
  <c r="P182" i="4"/>
  <c r="O182" i="4"/>
  <c r="N182" i="4"/>
  <c r="L182" i="4"/>
  <c r="K182" i="4"/>
  <c r="J182" i="4"/>
  <c r="I182" i="4"/>
  <c r="H182" i="4"/>
  <c r="W182" i="4" s="1"/>
  <c r="G182" i="4"/>
  <c r="F182" i="4"/>
  <c r="E182" i="4"/>
  <c r="W181" i="4"/>
  <c r="W180" i="4"/>
  <c r="W179" i="4"/>
  <c r="W178" i="4"/>
  <c r="W177" i="4"/>
  <c r="W176" i="4"/>
  <c r="W175" i="4"/>
  <c r="E175" i="1" s="1"/>
  <c r="W174" i="4"/>
  <c r="V173" i="4"/>
  <c r="U173" i="4"/>
  <c r="T173" i="4"/>
  <c r="S173" i="4"/>
  <c r="R173" i="4"/>
  <c r="Q173" i="4"/>
  <c r="P173" i="4"/>
  <c r="O173" i="4"/>
  <c r="N173" i="4"/>
  <c r="M173" i="4"/>
  <c r="M190" i="4" s="1"/>
  <c r="M192" i="4" s="1"/>
  <c r="L173" i="4"/>
  <c r="K173" i="4"/>
  <c r="J173" i="4"/>
  <c r="I173" i="4"/>
  <c r="H173" i="4"/>
  <c r="G173" i="4"/>
  <c r="F173" i="4"/>
  <c r="E173" i="4"/>
  <c r="W172" i="4"/>
  <c r="W171" i="4"/>
  <c r="W170" i="4"/>
  <c r="W169" i="4"/>
  <c r="W168" i="4"/>
  <c r="W167" i="4"/>
  <c r="W166" i="4"/>
  <c r="W165" i="4"/>
  <c r="V164" i="4"/>
  <c r="U164" i="4"/>
  <c r="T164" i="4"/>
  <c r="S164" i="4"/>
  <c r="S192" i="4" s="1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W163" i="4"/>
  <c r="W162" i="4"/>
  <c r="W161" i="4"/>
  <c r="W160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W158" i="4"/>
  <c r="W157" i="4"/>
  <c r="W156" i="4"/>
  <c r="W155" i="4"/>
  <c r="W154" i="4"/>
  <c r="W153" i="4"/>
  <c r="W152" i="4"/>
  <c r="W151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W149" i="4"/>
  <c r="E149" i="1" s="1"/>
  <c r="W148" i="4"/>
  <c r="W147" i="4"/>
  <c r="W146" i="4"/>
  <c r="W145" i="4"/>
  <c r="W144" i="4"/>
  <c r="W143" i="4"/>
  <c r="W142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W141" i="4" s="1"/>
  <c r="W140" i="4"/>
  <c r="W139" i="4"/>
  <c r="W138" i="4"/>
  <c r="W137" i="4"/>
  <c r="W136" i="4"/>
  <c r="W135" i="4"/>
  <c r="W134" i="4"/>
  <c r="W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W132" i="4" s="1"/>
  <c r="W131" i="4"/>
  <c r="E131" i="1" s="1"/>
  <c r="W130" i="4"/>
  <c r="W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W128" i="4" s="1"/>
  <c r="W127" i="4"/>
  <c r="E127" i="1" s="1"/>
  <c r="W126" i="4"/>
  <c r="W125" i="4"/>
  <c r="W124" i="4"/>
  <c r="W123" i="4"/>
  <c r="W122" i="4"/>
  <c r="W121" i="4"/>
  <c r="W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W118" i="4"/>
  <c r="W117" i="4"/>
  <c r="W116" i="4"/>
  <c r="W115" i="4"/>
  <c r="W114" i="4"/>
  <c r="W113" i="4"/>
  <c r="W112" i="4"/>
  <c r="W111" i="4"/>
  <c r="V110" i="4"/>
  <c r="U110" i="4"/>
  <c r="T110" i="4"/>
  <c r="S110" i="4"/>
  <c r="R110" i="4"/>
  <c r="Q110" i="4"/>
  <c r="P110" i="4"/>
  <c r="O110" i="4"/>
  <c r="N110" i="4"/>
  <c r="M110" i="4"/>
  <c r="W110" i="4" s="1"/>
  <c r="L110" i="4"/>
  <c r="K110" i="4"/>
  <c r="J110" i="4"/>
  <c r="I110" i="4"/>
  <c r="H110" i="4"/>
  <c r="G110" i="4"/>
  <c r="F110" i="4"/>
  <c r="E110" i="4"/>
  <c r="W109" i="4"/>
  <c r="W108" i="4"/>
  <c r="W107" i="4"/>
  <c r="W106" i="4"/>
  <c r="W105" i="4"/>
  <c r="W104" i="4"/>
  <c r="W103" i="4"/>
  <c r="W102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W100" i="4"/>
  <c r="W99" i="4"/>
  <c r="W98" i="4"/>
  <c r="W97" i="4"/>
  <c r="W96" i="4"/>
  <c r="W95" i="4"/>
  <c r="W94" i="4"/>
  <c r="W93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W91" i="4"/>
  <c r="W90" i="4"/>
  <c r="W89" i="4"/>
  <c r="V88" i="4"/>
  <c r="W88" i="4" s="1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W87" i="4"/>
  <c r="W86" i="4"/>
  <c r="W85" i="4"/>
  <c r="E85" i="1" s="1"/>
  <c r="W84" i="4"/>
  <c r="E84" i="1" s="1"/>
  <c r="W83" i="4"/>
  <c r="W82" i="4"/>
  <c r="W81" i="4"/>
  <c r="W80" i="4"/>
  <c r="V79" i="4"/>
  <c r="U79" i="4"/>
  <c r="W79" i="4" s="1"/>
  <c r="T79" i="4"/>
  <c r="W78" i="4"/>
  <c r="W77" i="4"/>
  <c r="W76" i="4"/>
  <c r="W75" i="4"/>
  <c r="W74" i="4"/>
  <c r="W73" i="4"/>
  <c r="W72" i="4"/>
  <c r="W71" i="4"/>
  <c r="V70" i="4"/>
  <c r="U70" i="4"/>
  <c r="T70" i="4"/>
  <c r="W70" i="4" s="1"/>
  <c r="W69" i="4"/>
  <c r="W68" i="4"/>
  <c r="E68" i="1" s="1"/>
  <c r="W67" i="4"/>
  <c r="E67" i="1" s="1"/>
  <c r="W66" i="4"/>
  <c r="W65" i="4"/>
  <c r="W64" i="4"/>
  <c r="W63" i="4"/>
  <c r="W62" i="4"/>
  <c r="W61" i="4"/>
  <c r="V61" i="4"/>
  <c r="U61" i="4"/>
  <c r="T61" i="4"/>
  <c r="W60" i="4"/>
  <c r="W59" i="4"/>
  <c r="W58" i="4"/>
  <c r="W57" i="4"/>
  <c r="W56" i="4"/>
  <c r="W55" i="4"/>
  <c r="W54" i="4"/>
  <c r="W53" i="4"/>
  <c r="V52" i="4"/>
  <c r="T52" i="4"/>
  <c r="W52" i="4" s="1"/>
  <c r="W51" i="4"/>
  <c r="E51" i="1" s="1"/>
  <c r="W50" i="4"/>
  <c r="W49" i="4"/>
  <c r="W48" i="4"/>
  <c r="W47" i="4"/>
  <c r="E47" i="1" s="1"/>
  <c r="W46" i="4"/>
  <c r="W45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W41" i="4" s="1"/>
  <c r="W40" i="4"/>
  <c r="E40" i="1" s="1"/>
  <c r="W39" i="4"/>
  <c r="W36" i="4"/>
  <c r="V36" i="4"/>
  <c r="U36" i="4"/>
  <c r="T36" i="4"/>
  <c r="W35" i="4"/>
  <c r="W34" i="4"/>
  <c r="W33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V29" i="4"/>
  <c r="U29" i="4"/>
  <c r="U30" i="4" s="1"/>
  <c r="T29" i="4"/>
  <c r="W29" i="4" s="1"/>
  <c r="V28" i="4"/>
  <c r="V30" i="4" s="1"/>
  <c r="U28" i="4"/>
  <c r="T28" i="4"/>
  <c r="W28" i="4" s="1"/>
  <c r="V27" i="4"/>
  <c r="U27" i="4"/>
  <c r="T27" i="4"/>
  <c r="W27" i="4" s="1"/>
  <c r="W26" i="4"/>
  <c r="W25" i="4"/>
  <c r="V24" i="4"/>
  <c r="U24" i="4"/>
  <c r="T24" i="4"/>
  <c r="W24" i="4" s="1"/>
  <c r="W23" i="4"/>
  <c r="W22" i="4"/>
  <c r="V21" i="4"/>
  <c r="U21" i="4"/>
  <c r="T21" i="4"/>
  <c r="W21" i="4" s="1"/>
  <c r="W20" i="4"/>
  <c r="E20" i="1" s="1"/>
  <c r="W19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W16" i="4" s="1"/>
  <c r="W15" i="4"/>
  <c r="W14" i="4"/>
  <c r="U191" i="3"/>
  <c r="U189" i="3"/>
  <c r="U188" i="3"/>
  <c r="U187" i="3"/>
  <c r="T186" i="3"/>
  <c r="S186" i="3"/>
  <c r="R186" i="3"/>
  <c r="Q186" i="3"/>
  <c r="P186" i="3"/>
  <c r="O186" i="3"/>
  <c r="N186" i="3"/>
  <c r="M186" i="3"/>
  <c r="L186" i="3"/>
  <c r="L190" i="3" s="1"/>
  <c r="L192" i="3" s="1"/>
  <c r="K186" i="3"/>
  <c r="J186" i="3"/>
  <c r="I186" i="3"/>
  <c r="H186" i="3"/>
  <c r="G186" i="3"/>
  <c r="F186" i="3"/>
  <c r="E186" i="3"/>
  <c r="U185" i="3"/>
  <c r="U184" i="3"/>
  <c r="U183" i="3"/>
  <c r="T182" i="3"/>
  <c r="S182" i="3"/>
  <c r="R182" i="3"/>
  <c r="Q182" i="3"/>
  <c r="P182" i="3"/>
  <c r="O182" i="3"/>
  <c r="N182" i="3"/>
  <c r="N190" i="3" s="1"/>
  <c r="N192" i="3" s="1"/>
  <c r="M182" i="3"/>
  <c r="L182" i="3"/>
  <c r="K182" i="3"/>
  <c r="K190" i="3" s="1"/>
  <c r="K192" i="3" s="1"/>
  <c r="J182" i="3"/>
  <c r="I182" i="3"/>
  <c r="H182" i="3"/>
  <c r="G182" i="3"/>
  <c r="F182" i="3"/>
  <c r="E182" i="3"/>
  <c r="U181" i="3"/>
  <c r="U180" i="3"/>
  <c r="U179" i="3"/>
  <c r="U178" i="3"/>
  <c r="U177" i="3"/>
  <c r="U176" i="3"/>
  <c r="U175" i="3"/>
  <c r="U174" i="3"/>
  <c r="T173" i="3"/>
  <c r="S173" i="3"/>
  <c r="R173" i="3"/>
  <c r="Q173" i="3"/>
  <c r="Q190" i="3" s="1"/>
  <c r="Q192" i="3" s="1"/>
  <c r="P173" i="3"/>
  <c r="O173" i="3"/>
  <c r="N173" i="3"/>
  <c r="M173" i="3"/>
  <c r="L173" i="3"/>
  <c r="K173" i="3"/>
  <c r="J173" i="3"/>
  <c r="I173" i="3"/>
  <c r="H173" i="3"/>
  <c r="H190" i="3" s="1"/>
  <c r="H192" i="3" s="1"/>
  <c r="G173" i="3"/>
  <c r="F173" i="3"/>
  <c r="E173" i="3"/>
  <c r="U172" i="3"/>
  <c r="U171" i="3"/>
  <c r="U170" i="3"/>
  <c r="U169" i="3"/>
  <c r="U168" i="3"/>
  <c r="U167" i="3"/>
  <c r="U166" i="3"/>
  <c r="U165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U163" i="3"/>
  <c r="U162" i="3"/>
  <c r="U161" i="3"/>
  <c r="U160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U158" i="3"/>
  <c r="U157" i="3"/>
  <c r="U156" i="3"/>
  <c r="U155" i="3"/>
  <c r="U154" i="3"/>
  <c r="U153" i="3"/>
  <c r="U152" i="3"/>
  <c r="U151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U150" i="3" s="1"/>
  <c r="G150" i="3"/>
  <c r="F150" i="3"/>
  <c r="E150" i="3"/>
  <c r="U149" i="3"/>
  <c r="U148" i="3"/>
  <c r="U147" i="3"/>
  <c r="U146" i="3"/>
  <c r="U145" i="3"/>
  <c r="E145" i="1" s="1"/>
  <c r="U144" i="3"/>
  <c r="U143" i="3"/>
  <c r="U142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U140" i="3"/>
  <c r="U139" i="3"/>
  <c r="U138" i="3"/>
  <c r="E138" i="1" s="1"/>
  <c r="U137" i="3"/>
  <c r="U136" i="3"/>
  <c r="U135" i="3"/>
  <c r="U134" i="3"/>
  <c r="U133" i="3"/>
  <c r="T132" i="3"/>
  <c r="S132" i="3"/>
  <c r="R132" i="3"/>
  <c r="R190" i="3" s="1"/>
  <c r="R192" i="3" s="1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U131" i="3"/>
  <c r="U130" i="3"/>
  <c r="U129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U127" i="3"/>
  <c r="U126" i="3"/>
  <c r="U125" i="3"/>
  <c r="U124" i="3"/>
  <c r="U123" i="3"/>
  <c r="U122" i="3"/>
  <c r="U121" i="3"/>
  <c r="U120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G190" i="3" s="1"/>
  <c r="G192" i="3" s="1"/>
  <c r="F119" i="3"/>
  <c r="E119" i="3"/>
  <c r="U118" i="3"/>
  <c r="U117" i="3"/>
  <c r="U116" i="3"/>
  <c r="U115" i="3"/>
  <c r="U114" i="3"/>
  <c r="E114" i="1" s="1"/>
  <c r="U113" i="3"/>
  <c r="E113" i="1" s="1"/>
  <c r="U112" i="3"/>
  <c r="E112" i="1" s="1"/>
  <c r="U111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I190" i="3" s="1"/>
  <c r="I192" i="3" s="1"/>
  <c r="H110" i="3"/>
  <c r="G110" i="3"/>
  <c r="F110" i="3"/>
  <c r="E110" i="3"/>
  <c r="U109" i="3"/>
  <c r="U108" i="3"/>
  <c r="U107" i="3"/>
  <c r="U106" i="3"/>
  <c r="U105" i="3"/>
  <c r="E105" i="1" s="1"/>
  <c r="U104" i="3"/>
  <c r="U103" i="3"/>
  <c r="U102" i="3"/>
  <c r="T101" i="3"/>
  <c r="S101" i="3"/>
  <c r="R101" i="3"/>
  <c r="Q101" i="3"/>
  <c r="P101" i="3"/>
  <c r="O101" i="3"/>
  <c r="N101" i="3"/>
  <c r="M101" i="3"/>
  <c r="L101" i="3"/>
  <c r="U101" i="3" s="1"/>
  <c r="K101" i="3"/>
  <c r="J101" i="3"/>
  <c r="I101" i="3"/>
  <c r="H101" i="3"/>
  <c r="G101" i="3"/>
  <c r="F101" i="3"/>
  <c r="E101" i="3"/>
  <c r="U100" i="3"/>
  <c r="U99" i="3"/>
  <c r="U98" i="3"/>
  <c r="U97" i="3"/>
  <c r="U96" i="3"/>
  <c r="E96" i="1" s="1"/>
  <c r="U95" i="3"/>
  <c r="U94" i="3"/>
  <c r="U93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U92" i="3" s="1"/>
  <c r="U91" i="3"/>
  <c r="U90" i="3"/>
  <c r="U89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U88" i="3" s="1"/>
  <c r="U87" i="3"/>
  <c r="U86" i="3"/>
  <c r="U85" i="3"/>
  <c r="U84" i="3"/>
  <c r="U83" i="3"/>
  <c r="U82" i="3"/>
  <c r="U81" i="3"/>
  <c r="U80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U79" i="3" s="1"/>
  <c r="E79" i="3"/>
  <c r="U78" i="3"/>
  <c r="U77" i="3"/>
  <c r="E77" i="1" s="1"/>
  <c r="U76" i="3"/>
  <c r="U75" i="3"/>
  <c r="U74" i="3"/>
  <c r="U73" i="3"/>
  <c r="U72" i="3"/>
  <c r="U71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U70" i="3" s="1"/>
  <c r="E70" i="3"/>
  <c r="U69" i="3"/>
  <c r="E69" i="1" s="1"/>
  <c r="U68" i="3"/>
  <c r="U67" i="3"/>
  <c r="U66" i="3"/>
  <c r="U65" i="3"/>
  <c r="U64" i="3"/>
  <c r="U63" i="3"/>
  <c r="E63" i="1" s="1"/>
  <c r="U62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U61" i="3" s="1"/>
  <c r="E61" i="3"/>
  <c r="U60" i="3"/>
  <c r="U59" i="3"/>
  <c r="U58" i="3"/>
  <c r="U57" i="3"/>
  <c r="E57" i="1" s="1"/>
  <c r="U56" i="3"/>
  <c r="U55" i="3"/>
  <c r="U54" i="3"/>
  <c r="U53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U51" i="3"/>
  <c r="U50" i="3"/>
  <c r="U49" i="3"/>
  <c r="U48" i="3"/>
  <c r="U47" i="3"/>
  <c r="U46" i="3"/>
  <c r="U45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U40" i="3"/>
  <c r="U39" i="3"/>
  <c r="T36" i="3"/>
  <c r="U36" i="3" s="1"/>
  <c r="U35" i="3"/>
  <c r="U34" i="3"/>
  <c r="U33" i="3"/>
  <c r="T30" i="3"/>
  <c r="S30" i="3"/>
  <c r="R30" i="3"/>
  <c r="Q30" i="3"/>
  <c r="P30" i="3"/>
  <c r="U30" i="3" s="1"/>
  <c r="O30" i="3"/>
  <c r="N30" i="3"/>
  <c r="M30" i="3"/>
  <c r="L30" i="3"/>
  <c r="K30" i="3"/>
  <c r="J30" i="3"/>
  <c r="I30" i="3"/>
  <c r="H30" i="3"/>
  <c r="G30" i="3"/>
  <c r="F30" i="3"/>
  <c r="E30" i="3"/>
  <c r="T29" i="3"/>
  <c r="U29" i="3" s="1"/>
  <c r="T28" i="3"/>
  <c r="U28" i="3" s="1"/>
  <c r="T27" i="3"/>
  <c r="U27" i="3" s="1"/>
  <c r="U26" i="3"/>
  <c r="U25" i="3"/>
  <c r="T24" i="3"/>
  <c r="U24" i="3" s="1"/>
  <c r="U23" i="3"/>
  <c r="U22" i="3"/>
  <c r="U21" i="3"/>
  <c r="T21" i="3"/>
  <c r="U20" i="3"/>
  <c r="U19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U15" i="3"/>
  <c r="U14" i="3"/>
  <c r="AB191" i="2"/>
  <c r="Z190" i="2"/>
  <c r="Z192" i="2" s="1"/>
  <c r="Y190" i="2"/>
  <c r="Y192" i="2" s="1"/>
  <c r="Q190" i="2"/>
  <c r="Q192" i="2" s="1"/>
  <c r="AB187" i="2"/>
  <c r="AA186" i="2"/>
  <c r="Z186" i="2"/>
  <c r="Y186" i="2"/>
  <c r="X186" i="2"/>
  <c r="W186" i="2"/>
  <c r="V186" i="2"/>
  <c r="U186" i="2"/>
  <c r="U190" i="2" s="1"/>
  <c r="U192" i="2" s="1"/>
  <c r="T186" i="2"/>
  <c r="S186" i="2"/>
  <c r="R186" i="2"/>
  <c r="Q186" i="2"/>
  <c r="P186" i="2"/>
  <c r="O186" i="2"/>
  <c r="O190" i="2" s="1"/>
  <c r="O192" i="2" s="1"/>
  <c r="N186" i="2"/>
  <c r="M186" i="2"/>
  <c r="L186" i="2"/>
  <c r="K186" i="2"/>
  <c r="J186" i="2"/>
  <c r="I186" i="2"/>
  <c r="H186" i="2"/>
  <c r="G186" i="2"/>
  <c r="F186" i="2"/>
  <c r="E186" i="2"/>
  <c r="AB185" i="2"/>
  <c r="AB184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B180" i="2"/>
  <c r="E180" i="1" s="1"/>
  <c r="AB179" i="2"/>
  <c r="E179" i="1" s="1"/>
  <c r="AB178" i="2"/>
  <c r="E178" i="1" s="1"/>
  <c r="AB177" i="2"/>
  <c r="E177" i="1" s="1"/>
  <c r="AB176" i="2"/>
  <c r="AB175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AB173" i="2" s="1"/>
  <c r="E173" i="2"/>
  <c r="AB172" i="2"/>
  <c r="AB171" i="2"/>
  <c r="E171" i="1" s="1"/>
  <c r="AB170" i="2"/>
  <c r="AB169" i="2"/>
  <c r="AB168" i="2"/>
  <c r="AB167" i="2"/>
  <c r="AB166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AB164" i="2" s="1"/>
  <c r="E164" i="2"/>
  <c r="AB163" i="2"/>
  <c r="AB162" i="2"/>
  <c r="AB161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L190" i="2" s="1"/>
  <c r="L192" i="2" s="1"/>
  <c r="K159" i="2"/>
  <c r="J159" i="2"/>
  <c r="I159" i="2"/>
  <c r="H159" i="2"/>
  <c r="G159" i="2"/>
  <c r="F159" i="2"/>
  <c r="E159" i="2"/>
  <c r="AB158" i="2"/>
  <c r="E158" i="1" s="1"/>
  <c r="AB157" i="2"/>
  <c r="E157" i="1" s="1"/>
  <c r="AB156" i="2"/>
  <c r="E156" i="1" s="1"/>
  <c r="AB155" i="2"/>
  <c r="AB154" i="2"/>
  <c r="AB153" i="2"/>
  <c r="AB152" i="2"/>
  <c r="E152" i="1" s="1"/>
  <c r="AB150" i="2"/>
  <c r="AB149" i="2"/>
  <c r="AB148" i="2"/>
  <c r="E148" i="1" s="1"/>
  <c r="AB147" i="2"/>
  <c r="AB146" i="2"/>
  <c r="AB145" i="2"/>
  <c r="AB144" i="2"/>
  <c r="AB143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AB141" i="2" s="1"/>
  <c r="E141" i="2"/>
  <c r="AB140" i="2"/>
  <c r="AB139" i="2"/>
  <c r="AB138" i="2"/>
  <c r="AB137" i="2"/>
  <c r="AB136" i="2"/>
  <c r="AB135" i="2"/>
  <c r="AB134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P190" i="2" s="1"/>
  <c r="P192" i="2" s="1"/>
  <c r="O132" i="2"/>
  <c r="N132" i="2"/>
  <c r="M132" i="2"/>
  <c r="L132" i="2"/>
  <c r="K132" i="2"/>
  <c r="J132" i="2"/>
  <c r="I132" i="2"/>
  <c r="H132" i="2"/>
  <c r="G132" i="2"/>
  <c r="F132" i="2"/>
  <c r="E132" i="2"/>
  <c r="AB131" i="2"/>
  <c r="AB130" i="2"/>
  <c r="E130" i="1" s="1"/>
  <c r="E132" i="1" s="1"/>
  <c r="AB128" i="2"/>
  <c r="AB127" i="2"/>
  <c r="AB126" i="2"/>
  <c r="AB125" i="2"/>
  <c r="E125" i="1" s="1"/>
  <c r="AB124" i="2"/>
  <c r="AB123" i="2"/>
  <c r="AB122" i="2"/>
  <c r="E122" i="1" s="1"/>
  <c r="AB121" i="2"/>
  <c r="E121" i="1" s="1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AB119" i="2" s="1"/>
  <c r="E119" i="2"/>
  <c r="AB118" i="2"/>
  <c r="AB117" i="2"/>
  <c r="AB116" i="2"/>
  <c r="AB115" i="2"/>
  <c r="AB114" i="2"/>
  <c r="AB113" i="2"/>
  <c r="AB112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10" i="2" s="1"/>
  <c r="AB109" i="2"/>
  <c r="E109" i="1" s="1"/>
  <c r="AB108" i="2"/>
  <c r="AB107" i="2"/>
  <c r="AB106" i="2"/>
  <c r="AB105" i="2"/>
  <c r="AB104" i="2"/>
  <c r="AB103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AB101" i="2" s="1"/>
  <c r="E101" i="2"/>
  <c r="AB100" i="2"/>
  <c r="AB99" i="2"/>
  <c r="E99" i="1" s="1"/>
  <c r="AB98" i="2"/>
  <c r="AB97" i="2"/>
  <c r="AB96" i="2"/>
  <c r="AB95" i="2"/>
  <c r="AB94" i="2"/>
  <c r="AA92" i="2"/>
  <c r="Z92" i="2"/>
  <c r="Y92" i="2"/>
  <c r="X92" i="2"/>
  <c r="W92" i="2"/>
  <c r="V92" i="2"/>
  <c r="U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B90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B86" i="2"/>
  <c r="E86" i="1" s="1"/>
  <c r="AB85" i="2"/>
  <c r="AB84" i="2"/>
  <c r="AB83" i="2"/>
  <c r="AB82" i="2"/>
  <c r="AB81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B77" i="2"/>
  <c r="AB76" i="2"/>
  <c r="AB75" i="2"/>
  <c r="E75" i="1" s="1"/>
  <c r="AB74" i="2"/>
  <c r="E74" i="1" s="1"/>
  <c r="AB73" i="2"/>
  <c r="AB72" i="2"/>
  <c r="E72" i="1" s="1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B68" i="2"/>
  <c r="AB67" i="2"/>
  <c r="AB66" i="2"/>
  <c r="AB65" i="2"/>
  <c r="AB64" i="2"/>
  <c r="AB63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B59" i="2"/>
  <c r="AB58" i="2"/>
  <c r="AB57" i="2"/>
  <c r="AB56" i="2"/>
  <c r="AB55" i="2"/>
  <c r="AB54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2" i="2" s="1"/>
  <c r="AB51" i="2"/>
  <c r="AB50" i="2"/>
  <c r="E50" i="1" s="1"/>
  <c r="AB49" i="2"/>
  <c r="AB48" i="2"/>
  <c r="AB47" i="2"/>
  <c r="AB46" i="2"/>
  <c r="AB45" i="2"/>
  <c r="E45" i="1" s="1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AB41" i="2" s="1"/>
  <c r="E41" i="2"/>
  <c r="AB40" i="2"/>
  <c r="AB39" i="2"/>
  <c r="AB36" i="2"/>
  <c r="AB35" i="2"/>
  <c r="AB34" i="2"/>
  <c r="AB33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B28" i="2"/>
  <c r="AB27" i="2"/>
  <c r="AB26" i="2"/>
  <c r="AB25" i="2"/>
  <c r="E25" i="1" s="1"/>
  <c r="AB24" i="2"/>
  <c r="AB23" i="2"/>
  <c r="AB22" i="2"/>
  <c r="AB21" i="2"/>
  <c r="AB20" i="2"/>
  <c r="AB19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B14" i="2"/>
  <c r="E168" i="1"/>
  <c r="E140" i="1"/>
  <c r="E126" i="1"/>
  <c r="E117" i="1"/>
  <c r="E116" i="1"/>
  <c r="E115" i="1"/>
  <c r="E66" i="1"/>
  <c r="E39" i="1"/>
  <c r="E33" i="1"/>
  <c r="E23" i="1"/>
  <c r="E22" i="1"/>
  <c r="E26" i="1" l="1"/>
  <c r="E29" i="1" s="1"/>
  <c r="AK29" i="11"/>
  <c r="T36" i="9"/>
  <c r="E24" i="1"/>
  <c r="P30" i="6"/>
  <c r="R28" i="6"/>
  <c r="E34" i="1"/>
  <c r="R30" i="6"/>
  <c r="Q192" i="6"/>
  <c r="M192" i="6"/>
  <c r="O192" i="5"/>
  <c r="W192" i="5"/>
  <c r="X192" i="5"/>
  <c r="O192" i="4"/>
  <c r="V192" i="4"/>
  <c r="E192" i="9"/>
  <c r="G192" i="5"/>
  <c r="S190" i="11"/>
  <c r="S192" i="11" s="1"/>
  <c r="J190" i="11"/>
  <c r="J192" i="11" s="1"/>
  <c r="AF190" i="11"/>
  <c r="AF192" i="11" s="1"/>
  <c r="AB79" i="2"/>
  <c r="E81" i="1"/>
  <c r="E107" i="1"/>
  <c r="R190" i="2"/>
  <c r="R192" i="2" s="1"/>
  <c r="S190" i="3"/>
  <c r="S192" i="3" s="1"/>
  <c r="Z79" i="5"/>
  <c r="K192" i="5"/>
  <c r="R24" i="6"/>
  <c r="M88" i="7"/>
  <c r="P70" i="8"/>
  <c r="P173" i="10"/>
  <c r="K190" i="11"/>
  <c r="K192" i="11" s="1"/>
  <c r="AG190" i="11"/>
  <c r="AG192" i="11" s="1"/>
  <c r="I190" i="2"/>
  <c r="I192" i="2" s="1"/>
  <c r="S190" i="2"/>
  <c r="S192" i="2" s="1"/>
  <c r="E144" i="1"/>
  <c r="E150" i="1" s="1"/>
  <c r="W150" i="4"/>
  <c r="E82" i="1"/>
  <c r="L192" i="5"/>
  <c r="F190" i="7"/>
  <c r="F192" i="7" s="1"/>
  <c r="M186" i="7"/>
  <c r="T141" i="9"/>
  <c r="P182" i="10"/>
  <c r="AK132" i="11"/>
  <c r="Q190" i="11"/>
  <c r="Q192" i="11" s="1"/>
  <c r="L190" i="11"/>
  <c r="L192" i="11" s="1"/>
  <c r="AH190" i="11"/>
  <c r="AH192" i="11" s="1"/>
  <c r="M190" i="10"/>
  <c r="M192" i="10" s="1"/>
  <c r="AK186" i="11"/>
  <c r="H190" i="11"/>
  <c r="H192" i="11" s="1"/>
  <c r="N192" i="4"/>
  <c r="AA190" i="2"/>
  <c r="AA192" i="2" s="1"/>
  <c r="G190" i="7"/>
  <c r="G192" i="7" s="1"/>
  <c r="E146" i="1"/>
  <c r="W101" i="4"/>
  <c r="R192" i="4"/>
  <c r="L192" i="6"/>
  <c r="H190" i="7"/>
  <c r="H192" i="7" s="1"/>
  <c r="T119" i="9"/>
  <c r="T128" i="9"/>
  <c r="K190" i="10"/>
  <c r="K192" i="10" s="1"/>
  <c r="E192" i="10"/>
  <c r="E134" i="1"/>
  <c r="V190" i="2"/>
  <c r="V192" i="2" s="1"/>
  <c r="E147" i="1"/>
  <c r="Z141" i="5"/>
  <c r="E170" i="1"/>
  <c r="N192" i="6"/>
  <c r="E78" i="1"/>
  <c r="E79" i="1" s="1"/>
  <c r="M164" i="7"/>
  <c r="L190" i="7"/>
  <c r="L192" i="7" s="1"/>
  <c r="P173" i="8"/>
  <c r="K190" i="9"/>
  <c r="K192" i="9" s="1"/>
  <c r="L190" i="10"/>
  <c r="L192" i="10" s="1"/>
  <c r="AK41" i="11"/>
  <c r="O190" i="11"/>
  <c r="O192" i="11" s="1"/>
  <c r="R182" i="6"/>
  <c r="E190" i="6"/>
  <c r="AD190" i="11"/>
  <c r="AD192" i="11" s="1"/>
  <c r="E35" i="1"/>
  <c r="H190" i="8"/>
  <c r="H192" i="8" s="1"/>
  <c r="H190" i="9"/>
  <c r="H192" i="9" s="1"/>
  <c r="E87" i="1"/>
  <c r="E136" i="1"/>
  <c r="AB159" i="2"/>
  <c r="X190" i="2"/>
  <c r="X192" i="2" s="1"/>
  <c r="U128" i="3"/>
  <c r="E59" i="1"/>
  <c r="U192" i="4"/>
  <c r="Z52" i="5"/>
  <c r="Q192" i="5"/>
  <c r="R88" i="6"/>
  <c r="G190" i="8"/>
  <c r="G192" i="8" s="1"/>
  <c r="J190" i="9"/>
  <c r="J192" i="9" s="1"/>
  <c r="M190" i="9"/>
  <c r="M192" i="9" s="1"/>
  <c r="H192" i="4"/>
  <c r="E192" i="8"/>
  <c r="M190" i="2"/>
  <c r="M192" i="2" s="1"/>
  <c r="N190" i="2"/>
  <c r="N192" i="2" s="1"/>
  <c r="M192" i="5"/>
  <c r="E135" i="1"/>
  <c r="U16" i="3"/>
  <c r="U141" i="3"/>
  <c r="W164" i="4"/>
  <c r="J192" i="5"/>
  <c r="E64" i="1"/>
  <c r="E70" i="1" s="1"/>
  <c r="AB88" i="2"/>
  <c r="E161" i="1"/>
  <c r="E164" i="1" s="1"/>
  <c r="AB182" i="2"/>
  <c r="E184" i="1"/>
  <c r="E186" i="1" s="1"/>
  <c r="E60" i="1"/>
  <c r="E176" i="1"/>
  <c r="E182" i="1" s="1"/>
  <c r="Z173" i="5"/>
  <c r="R192" i="5"/>
  <c r="R79" i="6"/>
  <c r="R141" i="6"/>
  <c r="R159" i="6"/>
  <c r="M41" i="7"/>
  <c r="M141" i="7"/>
  <c r="P92" i="8"/>
  <c r="P141" i="8"/>
  <c r="T79" i="9"/>
  <c r="N190" i="9"/>
  <c r="N192" i="9" s="1"/>
  <c r="AK119" i="11"/>
  <c r="E192" i="11"/>
  <c r="AK182" i="11"/>
  <c r="W92" i="4"/>
  <c r="O190" i="3"/>
  <c r="O192" i="3" s="1"/>
  <c r="E155" i="1"/>
  <c r="E159" i="1" s="1"/>
  <c r="T190" i="2"/>
  <c r="T192" i="2" s="1"/>
  <c r="AK150" i="11"/>
  <c r="U132" i="3"/>
  <c r="F190" i="8"/>
  <c r="F192" i="8" s="1"/>
  <c r="P186" i="8"/>
  <c r="W186" i="4"/>
  <c r="U192" i="5"/>
  <c r="S192" i="5"/>
  <c r="R132" i="6"/>
  <c r="AE190" i="11"/>
  <c r="AE192" i="11" s="1"/>
  <c r="T16" i="9"/>
  <c r="E139" i="1"/>
  <c r="U164" i="3"/>
  <c r="E190" i="3"/>
  <c r="U186" i="3"/>
  <c r="W173" i="4"/>
  <c r="Z92" i="5"/>
  <c r="Y192" i="5"/>
  <c r="V192" i="5"/>
  <c r="T192" i="5"/>
  <c r="R70" i="6"/>
  <c r="J190" i="8"/>
  <c r="J192" i="8" s="1"/>
  <c r="L190" i="9"/>
  <c r="L192" i="9" s="1"/>
  <c r="AK88" i="11"/>
  <c r="Y190" i="11"/>
  <c r="Y192" i="11" s="1"/>
  <c r="T190" i="11"/>
  <c r="T192" i="11" s="1"/>
  <c r="W190" i="2"/>
  <c r="W192" i="2" s="1"/>
  <c r="AI190" i="11"/>
  <c r="AI192" i="11" s="1"/>
  <c r="U119" i="3"/>
  <c r="E56" i="1"/>
  <c r="E61" i="1" s="1"/>
  <c r="U159" i="3"/>
  <c r="F190" i="3"/>
  <c r="F192" i="3" s="1"/>
  <c r="Z88" i="5"/>
  <c r="Z119" i="5"/>
  <c r="R16" i="6"/>
  <c r="M24" i="7"/>
  <c r="K190" i="7"/>
  <c r="K192" i="7" s="1"/>
  <c r="P132" i="8"/>
  <c r="P159" i="10"/>
  <c r="AK79" i="11"/>
  <c r="U190" i="11"/>
  <c r="U192" i="11" s="1"/>
  <c r="E192" i="5"/>
  <c r="P190" i="3"/>
  <c r="P192" i="3" s="1"/>
  <c r="U173" i="3"/>
  <c r="E118" i="1"/>
  <c r="E119" i="1" s="1"/>
  <c r="E123" i="1"/>
  <c r="E128" i="1" s="1"/>
  <c r="R61" i="6"/>
  <c r="M70" i="7"/>
  <c r="P110" i="10"/>
  <c r="AK164" i="11"/>
  <c r="V190" i="11"/>
  <c r="V192" i="11" s="1"/>
  <c r="E41" i="1"/>
  <c r="P132" i="10"/>
  <c r="F190" i="10"/>
  <c r="F192" i="10" s="1"/>
  <c r="I190" i="11"/>
  <c r="I192" i="11" s="1"/>
  <c r="E106" i="1"/>
  <c r="E181" i="1"/>
  <c r="W159" i="4"/>
  <c r="E15" i="1"/>
  <c r="E95" i="1"/>
  <c r="J190" i="2"/>
  <c r="J192" i="2" s="1"/>
  <c r="G190" i="2"/>
  <c r="G192" i="2" s="1"/>
  <c r="AB16" i="2"/>
  <c r="E46" i="1"/>
  <c r="E52" i="1" s="1"/>
  <c r="K190" i="2"/>
  <c r="K192" i="2" s="1"/>
  <c r="H190" i="2"/>
  <c r="H192" i="2" s="1"/>
  <c r="U41" i="3"/>
  <c r="E58" i="1"/>
  <c r="U182" i="3"/>
  <c r="W119" i="4"/>
  <c r="L192" i="4"/>
  <c r="E190" i="4"/>
  <c r="F192" i="6"/>
  <c r="M16" i="7"/>
  <c r="E190" i="7"/>
  <c r="P61" i="10"/>
  <c r="E100" i="1"/>
  <c r="E104" i="1"/>
  <c r="E110" i="1" s="1"/>
  <c r="M190" i="3"/>
  <c r="M192" i="3" s="1"/>
  <c r="E172" i="1"/>
  <c r="E83" i="1"/>
  <c r="E190" i="2"/>
  <c r="I190" i="9"/>
  <c r="I192" i="9" s="1"/>
  <c r="M190" i="11"/>
  <c r="M192" i="11" s="1"/>
  <c r="AB30" i="2"/>
  <c r="AB132" i="2"/>
  <c r="Z164" i="5"/>
  <c r="P192" i="5"/>
  <c r="E19" i="1"/>
  <c r="E97" i="1"/>
  <c r="U52" i="3"/>
  <c r="J190" i="3"/>
  <c r="J192" i="3" s="1"/>
  <c r="Q192" i="4"/>
  <c r="F192" i="4"/>
  <c r="E124" i="1"/>
  <c r="R27" i="6"/>
  <c r="R52" i="6"/>
  <c r="P27" i="8"/>
  <c r="P41" i="8"/>
  <c r="N190" i="8"/>
  <c r="N192" i="8" s="1"/>
  <c r="P52" i="10"/>
  <c r="P186" i="10"/>
  <c r="G190" i="10"/>
  <c r="G192" i="10" s="1"/>
  <c r="AK16" i="11"/>
  <c r="AK128" i="11"/>
  <c r="X190" i="11"/>
  <c r="X192" i="11" s="1"/>
  <c r="I192" i="5"/>
  <c r="T192" i="4"/>
  <c r="AB61" i="2"/>
  <c r="T190" i="3"/>
  <c r="T192" i="3" s="1"/>
  <c r="E14" i="1"/>
  <c r="E16" i="1" s="1"/>
  <c r="AB92" i="2"/>
  <c r="F190" i="2"/>
  <c r="F192" i="2" s="1"/>
  <c r="AB186" i="2"/>
  <c r="AB70" i="2"/>
  <c r="E48" i="1"/>
  <c r="E98" i="1"/>
  <c r="G192" i="4"/>
  <c r="Z182" i="5"/>
  <c r="E169" i="1"/>
  <c r="E173" i="1" s="1"/>
  <c r="P182" i="8"/>
  <c r="O190" i="8"/>
  <c r="O192" i="8" s="1"/>
  <c r="H190" i="10"/>
  <c r="H192" i="10" s="1"/>
  <c r="AK36" i="11"/>
  <c r="M182" i="7"/>
  <c r="AK173" i="11"/>
  <c r="T30" i="4"/>
  <c r="W30" i="4" s="1"/>
  <c r="R186" i="6"/>
  <c r="E27" i="1" l="1"/>
  <c r="E36" i="1"/>
  <c r="Z192" i="5"/>
  <c r="E192" i="2"/>
  <c r="AB192" i="2" s="1"/>
  <c r="AB190" i="2"/>
  <c r="E101" i="1"/>
  <c r="E141" i="1"/>
  <c r="AK190" i="11"/>
  <c r="P190" i="10"/>
  <c r="E192" i="6"/>
  <c r="R192" i="6" s="1"/>
  <c r="R190" i="6"/>
  <c r="T190" i="9"/>
  <c r="E192" i="3"/>
  <c r="U192" i="3" s="1"/>
  <c r="U190" i="3"/>
  <c r="P192" i="10"/>
  <c r="E192" i="7"/>
  <c r="M192" i="7" s="1"/>
  <c r="M190" i="7"/>
  <c r="P192" i="8"/>
  <c r="Z190" i="5"/>
  <c r="E88" i="1"/>
  <c r="T192" i="9"/>
  <c r="AK192" i="11"/>
  <c r="P190" i="8"/>
  <c r="E192" i="4"/>
  <c r="W192" i="4" s="1"/>
  <c r="W190" i="4"/>
  <c r="E28" i="1"/>
  <c r="E30" i="1" s="1"/>
  <c r="E21" i="1"/>
  <c r="E190" i="1" l="1"/>
  <c r="E192" i="1" s="1"/>
</calcChain>
</file>

<file path=xl/sharedStrings.xml><?xml version="1.0" encoding="utf-8"?>
<sst xmlns="http://schemas.openxmlformats.org/spreadsheetml/2006/main" count="3048" uniqueCount="215">
  <si>
    <t>Kecamatan</t>
  </si>
  <si>
    <t>BLIMBINGSARI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</si>
  <si>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</si>
  <si>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</si>
  <si>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</si>
  <si>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</si>
  <si>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</si>
  <si>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</si>
  <si>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</si>
  <si>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</si>
  <si>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</si>
  <si>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</si>
  <si>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</si>
  <si>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</si>
  <si>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</si>
  <si>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</si>
  <si>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</si>
  <si>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</si>
  <si>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</si>
  <si>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</si>
  <si>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</si>
  <si>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</si>
  <si>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</si>
  <si>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</si>
  <si>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</si>
  <si>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</si>
  <si>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</si>
  <si>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</si>
  <si>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</si>
  <si>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</si>
  <si>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</si>
  <si>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</si>
  <si>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</si>
  <si>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</si>
  <si>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</si>
  <si>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</si>
  <si>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</si>
  <si>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</si>
  <si>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</si>
  <si>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</si>
  <si>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ARVY RIZALDY, S.E.</t>
  </si>
  <si>
    <t>2. HILMI MUSTOFA</t>
  </si>
  <si>
    <t>3. RUSDIANAH, A.Ma.Pd</t>
  </si>
  <si>
    <t>4. USMAN YUSUF</t>
  </si>
  <si>
    <t>5. SA`ADAH</t>
  </si>
  <si>
    <t>6. FARIHA HASANATUL AMALIA</t>
  </si>
  <si>
    <t>JUMLAH SUARA SAH PARTAI POLITIK DAN CALON (A1 + A2)</t>
  </si>
  <si>
    <t>Partai Gerakan Indonesia Raya</t>
  </si>
  <si>
    <t>1. SUPARMAN EDY H.</t>
  </si>
  <si>
    <t>2. NASIKHUN AMIN</t>
  </si>
  <si>
    <t>3. ENY SETIAWATI, S.H</t>
  </si>
  <si>
    <t>4. H. ABDUL QODIR, S.H., M.H.</t>
  </si>
  <si>
    <t>5. FATMAWATI, S.E.</t>
  </si>
  <si>
    <t>6. NANANG NUR AHMADI</t>
  </si>
  <si>
    <t>Partai Demokrasi Indonesia Perjuangan</t>
  </si>
  <si>
    <t>1. WAGIANTO</t>
  </si>
  <si>
    <t>2. ERIK TRISDIANTANA</t>
  </si>
  <si>
    <t>3. NI GALUH PARWATI</t>
  </si>
  <si>
    <t>4. DZULFIKAR REZKY</t>
  </si>
  <si>
    <t>5. AMALIYAH</t>
  </si>
  <si>
    <t>6. PUTRI PARAMITA CIPTASARI</t>
  </si>
  <si>
    <t>Partai Golongan Karya</t>
  </si>
  <si>
    <t>1. MARIFATUL KAMILA, S.H.</t>
  </si>
  <si>
    <t>2. KUSWORO, S.Pd.</t>
  </si>
  <si>
    <t>3. DIDIK SANTOSO, S.Pd.</t>
  </si>
  <si>
    <t>4. ASYIQ RAHMATULLAH, H</t>
  </si>
  <si>
    <t>5. ARI PANGESTI</t>
  </si>
  <si>
    <t>6. H. HANDOKO, S.E.</t>
  </si>
  <si>
    <t>5.</t>
  </si>
  <si>
    <t>Partai NasDem</t>
  </si>
  <si>
    <t>1. H. EDI PURNOMO</t>
  </si>
  <si>
    <t>2. I GEDE SUDRO WICANO</t>
  </si>
  <si>
    <t>3. TRI MARVILA SUKMANA, S.H.</t>
  </si>
  <si>
    <t>4. ISLAMIYAH LESTARI</t>
  </si>
  <si>
    <t>5. LUTFI WAHYUDI</t>
  </si>
  <si>
    <t>6. AGUS MAIDO</t>
  </si>
  <si>
    <t>6.</t>
  </si>
  <si>
    <t>Partai Buruh</t>
  </si>
  <si>
    <t>1. ERWIN SANTOSO</t>
  </si>
  <si>
    <t>7.</t>
  </si>
  <si>
    <t>Partai Gelombang Rakyat Indonesia</t>
  </si>
  <si>
    <t>1. SUTRISNO</t>
  </si>
  <si>
    <t>2. MOH. ANNAS</t>
  </si>
  <si>
    <t>3. NI MADE AYU PUNIARSI</t>
  </si>
  <si>
    <t>4. HENDRA KURNIAWAN</t>
  </si>
  <si>
    <t>5. DEASY GITTA PERWITASARI</t>
  </si>
  <si>
    <t>6. SUPRAPTO</t>
  </si>
  <si>
    <t>8.</t>
  </si>
  <si>
    <t>Partai Keadilan Sejahtera</t>
  </si>
  <si>
    <t>1. ARIEF WAHYUDI DJ, S.T.</t>
  </si>
  <si>
    <t>2. SUMAJI</t>
  </si>
  <si>
    <t>3. LILIK MARIYANA, S.Pd.</t>
  </si>
  <si>
    <t>4. M. HARUN</t>
  </si>
  <si>
    <t>5. SHOLIHIN, S.P.</t>
  </si>
  <si>
    <t>6. HANIFATUL IMTITSAL, S.K.M.</t>
  </si>
  <si>
    <t>9.</t>
  </si>
  <si>
    <t>Partai Kebangkitan Nusantara</t>
  </si>
  <si>
    <t>1. AGUS TARMIDI</t>
  </si>
  <si>
    <t>2. DIAH AYU PERDANA</t>
  </si>
  <si>
    <t>3. SITI SUNARSIH</t>
  </si>
  <si>
    <t>4. DIDIK BASUKI</t>
  </si>
  <si>
    <t>5. PUTRI SARI APRILIA</t>
  </si>
  <si>
    <t>6. H. IMAM SOLIKHIN, B.E.</t>
  </si>
  <si>
    <t>10.</t>
  </si>
  <si>
    <t>Partai Hati Nurani Rakyat</t>
  </si>
  <si>
    <t>1. JUMLANI, S.Pd.</t>
  </si>
  <si>
    <t>2. FIRDA DIAN PRAMANA, S.Pd.</t>
  </si>
  <si>
    <t>3. ENDANG SRI UTAMININGSIH, M.M.Kes.</t>
  </si>
  <si>
    <t>4. SULISTIYOWATI, S.E.I.</t>
  </si>
  <si>
    <t>5. GUNAWAN, S.H.</t>
  </si>
  <si>
    <t>6. ROHIDAH, S.T.</t>
  </si>
  <si>
    <t>11.</t>
  </si>
  <si>
    <t>Partai Garda Republik Indonesia</t>
  </si>
  <si>
    <t>-</t>
  </si>
  <si>
    <t>12.</t>
  </si>
  <si>
    <t>Partai Amanat Nasional</t>
  </si>
  <si>
    <t>1. TIMBUL, S.T., M.M.</t>
  </si>
  <si>
    <t>2. DIDIK BUDIHARTO</t>
  </si>
  <si>
    <t>3. RICA DEBY ARIANTI</t>
  </si>
  <si>
    <t>4. PRANOTO</t>
  </si>
  <si>
    <t>5. NOVIA DEWI MAHARANY</t>
  </si>
  <si>
    <t>6. H. SIGIT WIDIYANTO, S.E.</t>
  </si>
  <si>
    <t>13.</t>
  </si>
  <si>
    <t>Partai Bulan Bintang</t>
  </si>
  <si>
    <t>1. NURHADI</t>
  </si>
  <si>
    <t>2. GEDE YANTI ARBAWA</t>
  </si>
  <si>
    <t>3. NURI PURWANINGSIH</t>
  </si>
  <si>
    <t>4. NILU ARISKA PERMATASARI</t>
  </si>
  <si>
    <t>5. AHMAD HOLILI</t>
  </si>
  <si>
    <t>6. ICHMAN HENRY RISANG</t>
  </si>
  <si>
    <t>14.</t>
  </si>
  <si>
    <t>Partai Demokrat</t>
  </si>
  <si>
    <t>1. A. DANNY KURNIAWAN, S.M.</t>
  </si>
  <si>
    <t>2. MICHAEL EDY HARIYANTO, S.H., M.H.</t>
  </si>
  <si>
    <t>3. LEONA VELESIA</t>
  </si>
  <si>
    <t>4. MUHAMMAD IQBAL ALFANANI</t>
  </si>
  <si>
    <t>5. GARRY OKTAVIAN TARYONO</t>
  </si>
  <si>
    <t>6. SULIS SETYOWATI</t>
  </si>
  <si>
    <t>15.</t>
  </si>
  <si>
    <t>Partai Solidaritas Indonesia</t>
  </si>
  <si>
    <t>1. MOCH. FATHUR ALFIANTO</t>
  </si>
  <si>
    <t>2. ERIZKY NINGTYA BLIMA RAYA</t>
  </si>
  <si>
    <t>16.</t>
  </si>
  <si>
    <t>PARTAI PERINDO</t>
  </si>
  <si>
    <t>1. EKO BANDRIONO</t>
  </si>
  <si>
    <t>2. SUTIYONO</t>
  </si>
  <si>
    <t>3. KHARISMA YUSI RAMADHANI</t>
  </si>
  <si>
    <t>4. SUGENG WICAKSONO</t>
  </si>
  <si>
    <t>5. HERY KURNIAWAN</t>
  </si>
  <si>
    <t>6. DINDA PUTRI FAYZA</t>
  </si>
  <si>
    <t>17.</t>
  </si>
  <si>
    <t>Partai Persatuan Pembangunan</t>
  </si>
  <si>
    <t>1. SYAHRONI</t>
  </si>
  <si>
    <t>2. H. MULYADI, S.Ag.</t>
  </si>
  <si>
    <t>3. INDRIANI SRI LESTARI</t>
  </si>
  <si>
    <t>4. ADHADI SUSILO, S.T.</t>
  </si>
  <si>
    <t>5. MUHAMMAD KHOLILURROHMAN</t>
  </si>
  <si>
    <t>6. INDIRA DIAS AYU VRISTANTI, A.Md.Kom.</t>
  </si>
  <si>
    <t>18.</t>
  </si>
  <si>
    <t>Partai Ummat</t>
  </si>
  <si>
    <t>1. MAULANA AFFANDI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</si>
  <si>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</si>
  <si>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</si>
  <si>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</si>
  <si>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</si>
  <si>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</si>
  <si>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</si>
  <si>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</si>
  <si>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</si>
  <si>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</si>
  <si>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BADEAN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</si>
  <si>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</si>
  <si>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</si>
  <si>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</si>
  <si>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</si>
  <si>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</si>
  <si>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</si>
  <si>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</si>
  <si>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</si>
  <si>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</si>
  <si>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</si>
  <si>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</si>
  <si>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</si>
  <si>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</si>
  <si>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</si>
  <si>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</si>
  <si>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</si>
  <si>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</si>
  <si>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</si>
  <si>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</si>
  <si>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</si>
  <si>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</si>
  <si>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</si>
  <si>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</si>
  <si>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BOMO</t>
  </si>
  <si>
    <t>GINTANGAN</t>
  </si>
  <si>
    <t>KALIGUNG</t>
  </si>
  <si>
    <t>TPS 901</t>
  </si>
  <si>
    <t>TPS 902</t>
  </si>
  <si>
    <t>KAOTAN</t>
  </si>
  <si>
    <t>KARANGREJO</t>
  </si>
  <si>
    <t>1</t>
  </si>
  <si>
    <t>0</t>
  </si>
  <si>
    <t>PATOMAN</t>
  </si>
  <si>
    <t>SUKOJATI</t>
  </si>
  <si>
    <t>WATUKEBO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</si>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</sst>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000000"/>
      <name val="Bookman Old Style"/>
    </font>
    <font>
      <sz val="10"/>
      <name val="Calibri"/>
    </font>
    <font>
      <b/>
      <sz val="10"/>
      <color rgb="FF000000"/>
      <name val="Bookman Old Style"/>
    </font>
    <font>
      <sz val="10"/>
      <color rgb="FF000000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/>
    <xf numFmtId="0" fontId="2" fillId="2" borderId="17" xfId="0" applyFont="1" applyFill="1" applyBorder="1"/>
    <xf numFmtId="0" fontId="3" fillId="0" borderId="7" xfId="0" applyFont="1" applyBorder="1" applyAlignment="1">
      <alignment vertical="center"/>
    </xf>
    <xf numFmtId="0" fontId="2" fillId="0" borderId="15" xfId="0" applyFont="1" applyBorder="1"/>
    <xf numFmtId="0" fontId="1" fillId="0" borderId="15" xfId="0" applyFont="1" applyBorder="1" applyAlignment="1">
      <alignment horizontal="center" vertical="center"/>
    </xf>
    <xf numFmtId="0" fontId="2" fillId="0" borderId="4" xfId="0" applyFont="1" applyBorder="1"/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0" xfId="0"/>
    <xf numFmtId="0" fontId="5" fillId="0" borderId="15" xfId="0" applyFont="1" applyBorder="1"/>
    <xf numFmtId="0" fontId="3" fillId="0" borderId="7" xfId="0" applyFont="1" applyBorder="1" applyAlignment="1">
      <alignment horizontal="center" vertical="center"/>
    </xf>
    <xf numFmtId="0" fontId="5" fillId="0" borderId="14" xfId="0" applyFont="1" applyBorder="1"/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wrapText="1"/>
    </xf>
    <xf numFmtId="0" fontId="8" fillId="0" borderId="2" xfId="0" applyFont="1" applyBorder="1"/>
  </cellXfs>
  <cellStyles count="1">
    <cellStyle name="Normal" xfId="0" builtinId="0"/>
  </cellStyles>
  <dxfs count="35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Z1000"/>
  <sheetViews>
    <sheetView workbookViewId="0"/>
  </sheetViews>
  <sheetFormatPr defaultColWidth="14.42578125" defaultRowHeight="15" custom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5" width="8.7109375" hidden="1" customWidth="1"/>
    <col min="26" max="26" width="8.7109375" customWidth="1"/>
  </cols>
  <sheetData>
    <row r="5" spans="1:2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4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4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4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4">
      <c r="A12" s="13" t="s">
        <v>6</v>
      </c>
      <c r="B12" s="57" t="s">
        <v>7</v>
      </c>
      <c r="C12" s="54"/>
      <c r="D12" s="55"/>
      <c r="E12" s="58" t="s">
        <v>8</v>
      </c>
      <c r="F12" s="14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15" t="s">
        <v>9</v>
      </c>
      <c r="B13" s="60" t="s">
        <v>10</v>
      </c>
      <c r="C13" s="54"/>
      <c r="D13" s="55"/>
      <c r="E13" s="59"/>
      <c r="F13" s="14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4"/>
      <c r="B14" s="61" t="s">
        <v>11</v>
      </c>
      <c r="C14" s="62"/>
      <c r="D14" s="15" t="s">
        <v>12</v>
      </c>
      <c r="E14" s="16">
        <f>BADEAN!AB14+BLIMBINGSARI!U14+BOMO!W14+GINTANGAN!Z14+KALIGUNG!R14+KAOTAN!M14+KARANGREJO!P14+PATOMAN!T14+SUKOJATI!P14+WATUKEBO!AK14</f>
        <v>21865</v>
      </c>
      <c r="F14" s="17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4">
      <c r="A15" s="14"/>
      <c r="B15" s="63"/>
      <c r="C15" s="64"/>
      <c r="D15" s="15" t="s">
        <v>13</v>
      </c>
      <c r="E15" s="16">
        <f>BADEAN!AB15+BLIMBINGSARI!U15+BOMO!W15+GINTANGAN!Z15+KALIGUNG!R15+KAOTAN!M15+KARANGREJO!P15+PATOMAN!T15+SUKOJATI!P15+WATUKEBO!AK15</f>
        <v>21891</v>
      </c>
      <c r="F15" s="14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17"/>
      <c r="B16" s="59"/>
      <c r="C16" s="65"/>
      <c r="D16" s="13" t="s">
        <v>14</v>
      </c>
      <c r="E16" s="18">
        <f>SUM(E14:E15)</f>
        <v>43756</v>
      </c>
      <c r="F16" s="14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66"/>
      <c r="B17" s="54"/>
      <c r="C17" s="54"/>
      <c r="D17" s="55"/>
      <c r="E17" s="16"/>
      <c r="F17" s="17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4">
      <c r="A18" s="19" t="s">
        <v>15</v>
      </c>
      <c r="B18" s="60" t="s">
        <v>16</v>
      </c>
      <c r="C18" s="54"/>
      <c r="D18" s="55"/>
      <c r="E18" s="16"/>
      <c r="F18" s="14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19"/>
      <c r="B19" s="70" t="s">
        <v>17</v>
      </c>
      <c r="C19" s="67" t="s">
        <v>18</v>
      </c>
      <c r="D19" s="15" t="s">
        <v>12</v>
      </c>
      <c r="E19" s="16">
        <f>BADEAN!AB19+BLIMBINGSARI!U19+BOMO!W19+GINTANGAN!Z19+KALIGUNG!R19+KAOTAN!M19+KARANGREJO!P19+PATOMAN!T19+SUKOJATI!P19+WATUKEBO!AK19</f>
        <v>16216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20"/>
      <c r="B20" s="64"/>
      <c r="C20" s="68"/>
      <c r="D20" s="15" t="s">
        <v>13</v>
      </c>
      <c r="E20" s="16">
        <f>BADEAN!AB20+BLIMBINGSARI!U20+BOMO!W20+GINTANGAN!Z20+KALIGUNG!R20+KAOTAN!M20+KARANGREJO!P20+PATOMAN!T20+SUKOJATI!P20+WATUKEBO!AK20</f>
        <v>17851</v>
      </c>
      <c r="F20" s="17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4">
      <c r="A21" s="21"/>
      <c r="B21" s="65"/>
      <c r="C21" s="69"/>
      <c r="D21" s="13" t="s">
        <v>14</v>
      </c>
      <c r="E21" s="18">
        <f>SUM(E19:E20)</f>
        <v>34067</v>
      </c>
      <c r="F21" s="17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20"/>
      <c r="B22" s="70" t="s">
        <v>19</v>
      </c>
      <c r="C22" s="67" t="s">
        <v>20</v>
      </c>
      <c r="D22" s="15" t="s">
        <v>12</v>
      </c>
      <c r="E22" s="16">
        <f>BADEAN!AB22+BLIMBINGSARI!U22+BOMO!W22+GINTANGAN!Z22+KALIGUNG!R22+KAOTAN!M22+KARANGREJO!P22+PATOMAN!T22+SUKOJATI!P22+WATUKEBO!AK22</f>
        <v>14</v>
      </c>
      <c r="F22" s="17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">
      <c r="A23" s="20"/>
      <c r="B23" s="64"/>
      <c r="C23" s="68"/>
      <c r="D23" s="15" t="s">
        <v>13</v>
      </c>
      <c r="E23" s="16">
        <f>BADEAN!AB23+BLIMBINGSARI!U23+BOMO!W23+GINTANGAN!Z23+KALIGUNG!R23+KAOTAN!M23+KARANGREJO!P23+PATOMAN!T23+SUKOJATI!P23+WATUKEBO!AK23</f>
        <v>16</v>
      </c>
      <c r="F23" s="17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4">
      <c r="A24" s="21"/>
      <c r="B24" s="65"/>
      <c r="C24" s="69"/>
      <c r="D24" s="13" t="s">
        <v>14</v>
      </c>
      <c r="E24" s="18">
        <f>SUM(E22:E23)</f>
        <v>30</v>
      </c>
      <c r="F24" s="14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4">
      <c r="A25" s="20"/>
      <c r="B25" s="70" t="s">
        <v>21</v>
      </c>
      <c r="C25" s="67" t="s">
        <v>22</v>
      </c>
      <c r="D25" s="15" t="s">
        <v>12</v>
      </c>
      <c r="E25" s="16">
        <f>BADEAN!AB25+BLIMBINGSARI!U25+BOMO!W25+GINTANGAN!Z25+KALIGUNG!R25+KAOTAN!M25+KARANGREJO!P25+PATOMAN!T25+SUKOJATI!P25+WATUKEBO!AK25</f>
        <v>100</v>
      </c>
      <c r="F25" s="17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4">
      <c r="A26" s="20"/>
      <c r="B26" s="64"/>
      <c r="C26" s="68"/>
      <c r="D26" s="15" t="s">
        <v>13</v>
      </c>
      <c r="E26" s="16">
        <f>BADEAN!AB26+BLIMBINGSARI!U26+BOMO!W26+GINTANGAN!Z26+KALIGUNG!R26+KAOTAN!M26+KARANGREJO!P26+PATOMAN!T26+SUKOJATI!P26+WATUKEBO!AK26</f>
        <v>139</v>
      </c>
      <c r="F26" s="14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21"/>
      <c r="B27" s="65"/>
      <c r="C27" s="69"/>
      <c r="D27" s="13" t="s">
        <v>14</v>
      </c>
      <c r="E27" s="18">
        <f>SUM(E25:E26)</f>
        <v>239</v>
      </c>
      <c r="F27" s="17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4">
      <c r="A28" s="21"/>
      <c r="B28" s="71" t="s">
        <v>23</v>
      </c>
      <c r="C28" s="72" t="s">
        <v>24</v>
      </c>
      <c r="D28" s="13" t="s">
        <v>12</v>
      </c>
      <c r="E28" s="18">
        <f t="shared" ref="E28:E29" si="0">E19+E22+E25</f>
        <v>16330</v>
      </c>
      <c r="F28" s="14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21"/>
      <c r="B29" s="64"/>
      <c r="C29" s="68"/>
      <c r="D29" s="13" t="s">
        <v>13</v>
      </c>
      <c r="E29" s="18">
        <f t="shared" si="0"/>
        <v>18006</v>
      </c>
      <c r="F29" s="17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4">
      <c r="A30" s="21"/>
      <c r="B30" s="65"/>
      <c r="C30" s="69"/>
      <c r="D30" s="13" t="s">
        <v>14</v>
      </c>
      <c r="E30" s="18">
        <f>SUM(E28:E29)</f>
        <v>34336</v>
      </c>
      <c r="F30" s="2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4">
      <c r="A31" s="66"/>
      <c r="B31" s="54"/>
      <c r="C31" s="54"/>
      <c r="D31" s="55"/>
      <c r="E31" s="23"/>
      <c r="F31" s="17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4">
      <c r="A32" s="24" t="s">
        <v>25</v>
      </c>
      <c r="B32" s="57" t="s">
        <v>26</v>
      </c>
      <c r="C32" s="54"/>
      <c r="D32" s="55"/>
      <c r="E32" s="18"/>
      <c r="F32" s="14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15">
        <v>1</v>
      </c>
      <c r="B33" s="60" t="s">
        <v>27</v>
      </c>
      <c r="C33" s="54"/>
      <c r="D33" s="55"/>
      <c r="E33" s="16">
        <f>BADEAN!AB33+BLIMBINGSARI!U33+BOMO!W33+GINTANGAN!Z33+KALIGUNG!R33+KAOTAN!M33+KARANGREJO!P33+PATOMAN!T33+SUKOJATI!P33+WATUKEBO!AK33</f>
        <v>44693</v>
      </c>
      <c r="F33" s="14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15">
        <v>2</v>
      </c>
      <c r="B34" s="60" t="s">
        <v>28</v>
      </c>
      <c r="C34" s="54"/>
      <c r="D34" s="55"/>
      <c r="E34" s="16">
        <f>BADEAN!AB34+BLIMBINGSARI!U34+BOMO!W34+GINTANGAN!Z34+KALIGUNG!R34+KAOTAN!M34+KARANGREJO!P34+PATOMAN!T34+SUKOJATI!P34+WATUKEBO!AK34</f>
        <v>34336</v>
      </c>
      <c r="F34" s="17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15">
        <v>3</v>
      </c>
      <c r="B35" s="60" t="s">
        <v>29</v>
      </c>
      <c r="C35" s="54"/>
      <c r="D35" s="55"/>
      <c r="E35" s="16">
        <f>BADEAN!AB35+BLIMBINGSARI!U35+BOMO!W35+GINTANGAN!Z35+KALIGUNG!R35+KAOTAN!M35+KARANGREJO!P35+PATOMAN!T35+SUKOJATI!P35+WATUKEBO!AK35</f>
        <v>126</v>
      </c>
      <c r="F35" s="2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4">
      <c r="A36" s="15">
        <v>4</v>
      </c>
      <c r="B36" s="60" t="s">
        <v>30</v>
      </c>
      <c r="C36" s="54"/>
      <c r="D36" s="55"/>
      <c r="E36" s="18">
        <f>E33-(E34+E35)</f>
        <v>10231</v>
      </c>
      <c r="F36" s="17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4">
      <c r="A37" s="66"/>
      <c r="B37" s="54"/>
      <c r="C37" s="54"/>
      <c r="D37" s="54"/>
      <c r="E37" s="54"/>
      <c r="F37" s="14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4">
      <c r="A38" s="25" t="s">
        <v>31</v>
      </c>
      <c r="B38" s="57" t="s">
        <v>32</v>
      </c>
      <c r="C38" s="54"/>
      <c r="D38" s="55"/>
      <c r="E38" s="18"/>
      <c r="F38" s="14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19"/>
      <c r="B39" s="73" t="s">
        <v>33</v>
      </c>
      <c r="C39" s="62"/>
      <c r="D39" s="15" t="s">
        <v>12</v>
      </c>
      <c r="E39" s="16">
        <f>BADEAN!AB39+BLIMBINGSARI!U39+BOMO!W39+GINTANGAN!Z39+KALIGUNG!R39+KAOTAN!M39+KARANGREJO!P39+PATOMAN!T39+SUKOJATI!P39+WATUKEBO!AK39</f>
        <v>45</v>
      </c>
      <c r="F39" s="14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20"/>
      <c r="B40" s="74"/>
      <c r="C40" s="64"/>
      <c r="D40" s="15" t="s">
        <v>13</v>
      </c>
      <c r="E40" s="16">
        <f>BADEAN!AB40+BLIMBINGSARI!U40+BOMO!W40+GINTANGAN!Z40+KALIGUNG!R40+KAOTAN!M40+KARANGREJO!P40+PATOMAN!T40+SUKOJATI!P40+WATUKEBO!AK40</f>
        <v>49</v>
      </c>
      <c r="F40" s="14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24"/>
      <c r="B41" s="75"/>
      <c r="C41" s="65"/>
      <c r="D41" s="13" t="s">
        <v>14</v>
      </c>
      <c r="E41" s="18">
        <f>SUM(E39:E40)</f>
        <v>94</v>
      </c>
      <c r="F41" s="14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76"/>
      <c r="B42" s="75"/>
      <c r="C42" s="75"/>
      <c r="D42" s="65"/>
      <c r="E42" s="16"/>
      <c r="F42" s="14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25" t="s">
        <v>34</v>
      </c>
      <c r="B43" s="57" t="s">
        <v>35</v>
      </c>
      <c r="C43" s="54"/>
      <c r="D43" s="55"/>
      <c r="E43" s="18"/>
      <c r="F43" s="14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73" t="s">
        <v>36</v>
      </c>
      <c r="B44" s="77"/>
      <c r="C44" s="77"/>
      <c r="D44" s="62"/>
      <c r="E44" s="16"/>
      <c r="F44" s="14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19" t="s">
        <v>37</v>
      </c>
      <c r="B45" s="26" t="s">
        <v>17</v>
      </c>
      <c r="C45" s="56" t="s">
        <v>38</v>
      </c>
      <c r="D45" s="55"/>
      <c r="E45" s="16">
        <f>BADEAN!AB45+BLIMBINGSARI!U45+BOMO!W45+GINTANGAN!Z45+KALIGUNG!R45+KAOTAN!M45+KARANGREJO!P45+PATOMAN!T45+SUKOJATI!P45+WATUKEBO!AK45</f>
        <v>1269</v>
      </c>
      <c r="F45" s="17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4">
      <c r="A46" s="19" t="s">
        <v>39</v>
      </c>
      <c r="B46" s="27"/>
      <c r="C46" s="28" t="s">
        <v>40</v>
      </c>
      <c r="D46" s="29"/>
      <c r="E46" s="16">
        <f>BADEAN!AB46+BLIMBINGSARI!U46+BOMO!W46+GINTANGAN!Z46+KALIGUNG!R46+KAOTAN!M46+KARANGREJO!P46+PATOMAN!T46+SUKOJATI!P46+WATUKEBO!AK46</f>
        <v>7287</v>
      </c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2"/>
      <c r="Q46" s="3"/>
      <c r="R46" s="3"/>
      <c r="S46" s="3"/>
      <c r="T46" s="3"/>
      <c r="U46" s="3"/>
      <c r="V46" s="3"/>
      <c r="W46" s="33"/>
      <c r="X46" s="3"/>
      <c r="Y46" s="3"/>
      <c r="Z46" s="3"/>
    </row>
    <row r="47" spans="1:26" ht="15.75" customHeight="1" x14ac:dyDescent="0.4">
      <c r="A47" s="14"/>
      <c r="B47" s="27"/>
      <c r="C47" s="28" t="s">
        <v>41</v>
      </c>
      <c r="D47" s="29"/>
      <c r="E47" s="16">
        <f>BADEAN!AB47+BLIMBINGSARI!U47+BOMO!W47+GINTANGAN!Z47+KALIGUNG!R47+KAOTAN!M47+KARANGREJO!P47+PATOMAN!T47+SUKOJATI!P47+WATUKEBO!AK47</f>
        <v>201</v>
      </c>
      <c r="F47" s="14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14"/>
      <c r="B48" s="27"/>
      <c r="C48" s="28" t="s">
        <v>42</v>
      </c>
      <c r="D48" s="29"/>
      <c r="E48" s="16">
        <f>BADEAN!AB48+BLIMBINGSARI!U48+BOMO!W48+GINTANGAN!Z48+KALIGUNG!R48+KAOTAN!M48+KARANGREJO!P48+PATOMAN!T48+SUKOJATI!P48+WATUKEBO!AK48</f>
        <v>165</v>
      </c>
      <c r="F48" s="14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14"/>
      <c r="B49" s="27"/>
      <c r="C49" s="28" t="s">
        <v>43</v>
      </c>
      <c r="D49" s="29"/>
      <c r="E49" s="16">
        <f>BADEAN!AB49+BLIMBINGSARI!U49+BOMO!W49+GINTANGAN!Z49+KALIGUNG!R49+KAOTAN!M49+KARANGREJO!P49+PATOMAN!T49+SUKOJATI!P49+WATUKEBO!AK49</f>
        <v>137</v>
      </c>
      <c r="F49" s="14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14"/>
      <c r="B50" s="27"/>
      <c r="C50" s="28" t="s">
        <v>44</v>
      </c>
      <c r="D50" s="29"/>
      <c r="E50" s="16">
        <f>BADEAN!AB50+BLIMBINGSARI!U50+BOMO!W50+GINTANGAN!Z50+KALIGUNG!R50+KAOTAN!M50+KARANGREJO!P50+PATOMAN!T50+SUKOJATI!P50+WATUKEBO!AK50</f>
        <v>14</v>
      </c>
      <c r="F50" s="14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14"/>
      <c r="B51" s="27"/>
      <c r="C51" s="28" t="s">
        <v>45</v>
      </c>
      <c r="D51" s="29"/>
      <c r="E51" s="16">
        <f>BADEAN!AB51+BLIMBINGSARI!U51+BOMO!W51+GINTANGAN!Z51+KALIGUNG!R51+KAOTAN!M51+KARANGREJO!P51+PATOMAN!T51+SUKOJATI!P51+WATUKEBO!AK51</f>
        <v>41</v>
      </c>
      <c r="F51" s="14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15" t="s">
        <v>15</v>
      </c>
      <c r="B52" s="53" t="s">
        <v>46</v>
      </c>
      <c r="C52" s="54"/>
      <c r="D52" s="55"/>
      <c r="E52" s="13">
        <f>SUM(E45:E51)</f>
        <v>9114</v>
      </c>
      <c r="F52" s="14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34"/>
      <c r="B53" s="35"/>
      <c r="C53" s="35"/>
      <c r="D53" s="35"/>
      <c r="E53" s="16"/>
      <c r="F53" s="14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19" t="s">
        <v>37</v>
      </c>
      <c r="B54" s="26" t="s">
        <v>19</v>
      </c>
      <c r="C54" s="56" t="s">
        <v>47</v>
      </c>
      <c r="D54" s="55"/>
      <c r="E54" s="16">
        <f>BADEAN!AB54+BLIMBINGSARI!U54+BOMO!W54+GINTANGAN!Z54+KALIGUNG!R54+KAOTAN!M54+KARANGREJO!P54+PATOMAN!T54+SUKOJATI!P54+WATUKEBO!AK54</f>
        <v>686</v>
      </c>
      <c r="F54" s="14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19" t="s">
        <v>39</v>
      </c>
      <c r="B55" s="27"/>
      <c r="C55" s="28" t="s">
        <v>48</v>
      </c>
      <c r="D55" s="29"/>
      <c r="E55" s="16">
        <f>BADEAN!AB55+BLIMBINGSARI!U55+BOMO!W55+GINTANGAN!Z55+KALIGUNG!R55+KAOTAN!M55+KARANGREJO!P55+PATOMAN!T55+SUKOJATI!P55+WATUKEBO!AK55</f>
        <v>289</v>
      </c>
      <c r="F55" s="14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14"/>
      <c r="B56" s="27"/>
      <c r="C56" s="28" t="s">
        <v>49</v>
      </c>
      <c r="D56" s="29"/>
      <c r="E56" s="16">
        <f>BADEAN!AB56+BLIMBINGSARI!U56+BOMO!W56+GINTANGAN!Z56+KALIGUNG!R56+KAOTAN!M56+KARANGREJO!P56+PATOMAN!T56+SUKOJATI!P56+WATUKEBO!AK56</f>
        <v>138</v>
      </c>
      <c r="F56" s="14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14"/>
      <c r="B57" s="27"/>
      <c r="C57" s="28" t="s">
        <v>50</v>
      </c>
      <c r="D57" s="29"/>
      <c r="E57" s="16">
        <f>BADEAN!AB57+BLIMBINGSARI!U57+BOMO!W57+GINTANGAN!Z57+KALIGUNG!R57+KAOTAN!M57+KARANGREJO!P57+PATOMAN!T57+SUKOJATI!P57+WATUKEBO!AK57</f>
        <v>88</v>
      </c>
      <c r="F57" s="17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4">
      <c r="A58" s="14"/>
      <c r="B58" s="27"/>
      <c r="C58" s="28" t="s">
        <v>51</v>
      </c>
      <c r="D58" s="29"/>
      <c r="E58" s="16">
        <f>BADEAN!AB58+BLIMBINGSARI!U58+BOMO!W58+GINTANGAN!Z58+KALIGUNG!R58+KAOTAN!M58+KARANGREJO!P58+PATOMAN!T58+SUKOJATI!P58+WATUKEBO!AK58</f>
        <v>384</v>
      </c>
      <c r="F58" s="30"/>
      <c r="G58" s="31"/>
      <c r="H58" s="31"/>
      <c r="I58" s="31"/>
      <c r="J58" s="31"/>
      <c r="K58" s="31"/>
      <c r="L58" s="31"/>
      <c r="M58" s="31"/>
      <c r="N58" s="31"/>
      <c r="O58" s="31"/>
      <c r="P58" s="32"/>
      <c r="Q58" s="3"/>
      <c r="R58" s="3"/>
      <c r="S58" s="3"/>
      <c r="T58" s="3"/>
      <c r="U58" s="3"/>
      <c r="V58" s="3"/>
      <c r="W58" s="33"/>
      <c r="X58" s="3"/>
      <c r="Y58" s="3"/>
      <c r="Z58" s="3"/>
    </row>
    <row r="59" spans="1:26" ht="15.75" customHeight="1" x14ac:dyDescent="0.4">
      <c r="A59" s="14"/>
      <c r="B59" s="27"/>
      <c r="C59" s="28" t="s">
        <v>52</v>
      </c>
      <c r="D59" s="29"/>
      <c r="E59" s="16">
        <f>BADEAN!AB59+BLIMBINGSARI!U59+BOMO!W59+GINTANGAN!Z59+KALIGUNG!R59+KAOTAN!M59+KARANGREJO!P59+PATOMAN!T59+SUKOJATI!P59+WATUKEBO!AK59</f>
        <v>45</v>
      </c>
      <c r="F59" s="14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14"/>
      <c r="B60" s="27"/>
      <c r="C60" s="28" t="s">
        <v>53</v>
      </c>
      <c r="D60" s="29"/>
      <c r="E60" s="16">
        <f>BADEAN!AB60+BLIMBINGSARI!U60+BOMO!W60+GINTANGAN!Z60+KALIGUNG!R60+KAOTAN!M60+KARANGREJO!P60+PATOMAN!T60+SUKOJATI!P60+WATUKEBO!AK60</f>
        <v>211</v>
      </c>
      <c r="F60" s="14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15" t="s">
        <v>15</v>
      </c>
      <c r="B61" s="53" t="s">
        <v>46</v>
      </c>
      <c r="C61" s="54"/>
      <c r="D61" s="55"/>
      <c r="E61" s="13">
        <f>SUM(E54:E60)</f>
        <v>1841</v>
      </c>
      <c r="F61" s="14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34"/>
      <c r="B62" s="35"/>
      <c r="C62" s="35"/>
      <c r="D62" s="35"/>
      <c r="E62" s="16"/>
      <c r="F62" s="14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19" t="s">
        <v>37</v>
      </c>
      <c r="B63" s="26" t="s">
        <v>21</v>
      </c>
      <c r="C63" s="56" t="s">
        <v>54</v>
      </c>
      <c r="D63" s="55"/>
      <c r="E63" s="16">
        <f>BADEAN!AB63+BLIMBINGSARI!U63+BOMO!W63+GINTANGAN!Z63+KALIGUNG!R63+KAOTAN!M63+KARANGREJO!P63+PATOMAN!T63+SUKOJATI!P63+WATUKEBO!AK63</f>
        <v>729</v>
      </c>
      <c r="F63" s="14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19" t="s">
        <v>39</v>
      </c>
      <c r="B64" s="27"/>
      <c r="C64" s="28" t="s">
        <v>55</v>
      </c>
      <c r="D64" s="29"/>
      <c r="E64" s="16">
        <f>BADEAN!AB64+BLIMBINGSARI!U64+BOMO!W64+GINTANGAN!Z64+KALIGUNG!R64+KAOTAN!M64+KARANGREJO!P64+PATOMAN!T64+SUKOJATI!P64+WATUKEBO!AK64</f>
        <v>1651</v>
      </c>
      <c r="F64" s="14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14"/>
      <c r="B65" s="27"/>
      <c r="C65" s="28" t="s">
        <v>56</v>
      </c>
      <c r="D65" s="29"/>
      <c r="E65" s="16">
        <f>BADEAN!AB65+BLIMBINGSARI!U65+BOMO!W65+GINTANGAN!Z65+KALIGUNG!R65+KAOTAN!M65+KARANGREJO!P65+PATOMAN!T65+SUKOJATI!P65+WATUKEBO!AK65</f>
        <v>299</v>
      </c>
      <c r="F65" s="14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14"/>
      <c r="B66" s="27"/>
      <c r="C66" s="28" t="s">
        <v>57</v>
      </c>
      <c r="D66" s="29"/>
      <c r="E66" s="16">
        <f>BADEAN!AB66+BLIMBINGSARI!U66+BOMO!W66+GINTANGAN!Z66+KALIGUNG!R66+KAOTAN!M66+KARANGREJO!P66+PATOMAN!T66+SUKOJATI!P66+WATUKEBO!AK66</f>
        <v>2079</v>
      </c>
      <c r="F66" s="14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14"/>
      <c r="B67" s="27"/>
      <c r="C67" s="28" t="s">
        <v>58</v>
      </c>
      <c r="D67" s="29"/>
      <c r="E67" s="16">
        <f>BADEAN!AB67+BLIMBINGSARI!U67+BOMO!W67+GINTANGAN!Z67+KALIGUNG!R67+KAOTAN!M67+KARANGREJO!P67+PATOMAN!T67+SUKOJATI!P67+WATUKEBO!AK67</f>
        <v>113</v>
      </c>
      <c r="F67" s="14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14"/>
      <c r="B68" s="27"/>
      <c r="C68" s="28" t="s">
        <v>59</v>
      </c>
      <c r="D68" s="29"/>
      <c r="E68" s="16">
        <f>BADEAN!AB68+BLIMBINGSARI!U68+BOMO!W68+GINTANGAN!Z68+KALIGUNG!R68+KAOTAN!M68+KARANGREJO!P68+PATOMAN!T68+SUKOJATI!P68+WATUKEBO!AK68</f>
        <v>59</v>
      </c>
      <c r="F68" s="14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14"/>
      <c r="B69" s="27"/>
      <c r="C69" s="28" t="s">
        <v>60</v>
      </c>
      <c r="D69" s="29"/>
      <c r="E69" s="16">
        <f>BADEAN!AB69+BLIMBINGSARI!U69+BOMO!W69+GINTANGAN!Z69+KALIGUNG!R69+KAOTAN!M69+KARANGREJO!P69+PATOMAN!T69+SUKOJATI!P69+WATUKEBO!AK69</f>
        <v>51</v>
      </c>
      <c r="F69" s="17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4">
      <c r="A70" s="15" t="s">
        <v>15</v>
      </c>
      <c r="B70" s="53" t="s">
        <v>46</v>
      </c>
      <c r="C70" s="54"/>
      <c r="D70" s="55"/>
      <c r="E70" s="13">
        <f>SUM(E63:E69)</f>
        <v>4981</v>
      </c>
      <c r="F70" s="30"/>
      <c r="G70" s="31"/>
      <c r="H70" s="31"/>
      <c r="I70" s="31"/>
      <c r="J70" s="31"/>
      <c r="K70" s="31"/>
      <c r="L70" s="31"/>
      <c r="M70" s="31"/>
      <c r="N70" s="31"/>
      <c r="O70" s="31"/>
      <c r="P70" s="32"/>
      <c r="Q70" s="3"/>
      <c r="R70" s="3"/>
      <c r="S70" s="3"/>
      <c r="T70" s="3"/>
      <c r="U70" s="3"/>
      <c r="V70" s="3"/>
      <c r="W70" s="33"/>
      <c r="X70" s="3"/>
      <c r="Y70" s="3"/>
      <c r="Z70" s="3"/>
    </row>
    <row r="71" spans="1:26" ht="15.75" customHeight="1" x14ac:dyDescent="0.4">
      <c r="A71" s="34"/>
      <c r="B71" s="35"/>
      <c r="C71" s="35"/>
      <c r="D71" s="35"/>
      <c r="E71" s="16"/>
      <c r="F71" s="14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19" t="s">
        <v>37</v>
      </c>
      <c r="B72" s="26" t="s">
        <v>23</v>
      </c>
      <c r="C72" s="56" t="s">
        <v>61</v>
      </c>
      <c r="D72" s="55"/>
      <c r="E72" s="16">
        <f>BADEAN!AB72+BLIMBINGSARI!U72+BOMO!W72+GINTANGAN!Z72+KALIGUNG!R72+KAOTAN!M72+KARANGREJO!P72+PATOMAN!T72+SUKOJATI!P72+WATUKEBO!AK72</f>
        <v>561</v>
      </c>
      <c r="F72" s="14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19" t="s">
        <v>39</v>
      </c>
      <c r="B73" s="27"/>
      <c r="C73" s="28" t="s">
        <v>62</v>
      </c>
      <c r="D73" s="29"/>
      <c r="E73" s="16">
        <f>BADEAN!AB73+BLIMBINGSARI!U73+BOMO!W73+GINTANGAN!Z73+KALIGUNG!R73+KAOTAN!M73+KARANGREJO!P73+PATOMAN!T73+SUKOJATI!P73+WATUKEBO!AK73</f>
        <v>3130</v>
      </c>
      <c r="F73" s="14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14"/>
      <c r="B74" s="27"/>
      <c r="C74" s="28" t="s">
        <v>63</v>
      </c>
      <c r="D74" s="29"/>
      <c r="E74" s="16">
        <f>BADEAN!AB74+BLIMBINGSARI!U74+BOMO!W74+GINTANGAN!Z74+KALIGUNG!R74+KAOTAN!M74+KARANGREJO!P74+PATOMAN!T74+SUKOJATI!P74+WATUKEBO!AK74</f>
        <v>37</v>
      </c>
      <c r="F74" s="14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14"/>
      <c r="B75" s="27"/>
      <c r="C75" s="28" t="s">
        <v>64</v>
      </c>
      <c r="D75" s="29"/>
      <c r="E75" s="16">
        <f>BADEAN!AB75+BLIMBINGSARI!U75+BOMO!W75+GINTANGAN!Z75+KALIGUNG!R75+KAOTAN!M75+KARANGREJO!P75+PATOMAN!T75+SUKOJATI!P75+WATUKEBO!AK75</f>
        <v>23</v>
      </c>
      <c r="F75" s="14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14"/>
      <c r="B76" s="27"/>
      <c r="C76" s="28" t="s">
        <v>65</v>
      </c>
      <c r="D76" s="29"/>
      <c r="E76" s="16">
        <f>BADEAN!AB76+BLIMBINGSARI!U76+BOMO!W76+GINTANGAN!Z76+KALIGUNG!R76+KAOTAN!M76+KARANGREJO!P76+PATOMAN!T76+SUKOJATI!P76+WATUKEBO!AK76</f>
        <v>19</v>
      </c>
      <c r="F76" s="14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14"/>
      <c r="B77" s="27"/>
      <c r="C77" s="28" t="s">
        <v>66</v>
      </c>
      <c r="D77" s="29"/>
      <c r="E77" s="16">
        <f>BADEAN!AB77+BLIMBINGSARI!U77+BOMO!W77+GINTANGAN!Z77+KALIGUNG!R77+KAOTAN!M77+KARANGREJO!P77+PATOMAN!T77+SUKOJATI!P77+WATUKEBO!AK77</f>
        <v>16</v>
      </c>
      <c r="F77" s="14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14"/>
      <c r="B78" s="27"/>
      <c r="C78" s="28" t="s">
        <v>67</v>
      </c>
      <c r="D78" s="29"/>
      <c r="E78" s="16">
        <f>BADEAN!AB78+BLIMBINGSARI!U78+BOMO!W78+GINTANGAN!Z78+KALIGUNG!R78+KAOTAN!M78+KARANGREJO!P78+PATOMAN!T78+SUKOJATI!P78+WATUKEBO!AK78</f>
        <v>904</v>
      </c>
      <c r="F78" s="14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15" t="s">
        <v>15</v>
      </c>
      <c r="B79" s="53" t="s">
        <v>46</v>
      </c>
      <c r="C79" s="54"/>
      <c r="D79" s="55"/>
      <c r="E79" s="13">
        <f>SUM(E72:E78)</f>
        <v>4690</v>
      </c>
      <c r="F79" s="14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34"/>
      <c r="B80" s="35"/>
      <c r="C80" s="35"/>
      <c r="D80" s="35"/>
      <c r="E80" s="16"/>
      <c r="F80" s="14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19" t="s">
        <v>37</v>
      </c>
      <c r="B81" s="26" t="s">
        <v>68</v>
      </c>
      <c r="C81" s="56" t="s">
        <v>69</v>
      </c>
      <c r="D81" s="55"/>
      <c r="E81" s="16">
        <f>BADEAN!AB81+BLIMBINGSARI!U81+BOMO!W81+GINTANGAN!Z81+KALIGUNG!R81+KAOTAN!M81+KARANGREJO!P81+PATOMAN!T81+SUKOJATI!P81+WATUKEBO!AK81</f>
        <v>150</v>
      </c>
      <c r="F81" s="17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4">
      <c r="A82" s="19" t="s">
        <v>39</v>
      </c>
      <c r="B82" s="27"/>
      <c r="C82" s="28" t="s">
        <v>70</v>
      </c>
      <c r="D82" s="29"/>
      <c r="E82" s="16">
        <f>BADEAN!AB82+BLIMBINGSARI!U82+BOMO!W82+GINTANGAN!Z82+KALIGUNG!R82+KAOTAN!M82+KARANGREJO!P82+PATOMAN!T82+SUKOJATI!P82+WATUKEBO!AK82</f>
        <v>182</v>
      </c>
      <c r="F82" s="30"/>
      <c r="G82" s="31"/>
      <c r="H82" s="31"/>
      <c r="I82" s="31"/>
      <c r="J82" s="31"/>
      <c r="K82" s="31"/>
      <c r="L82" s="31"/>
      <c r="M82" s="31"/>
      <c r="N82" s="31"/>
      <c r="O82" s="31"/>
      <c r="P82" s="32"/>
      <c r="Q82" s="3"/>
      <c r="R82" s="3"/>
      <c r="S82" s="3"/>
      <c r="T82" s="3"/>
      <c r="U82" s="3"/>
      <c r="V82" s="3"/>
      <c r="W82" s="33"/>
      <c r="X82" s="3"/>
      <c r="Y82" s="3"/>
      <c r="Z82" s="3"/>
    </row>
    <row r="83" spans="1:26" ht="15.75" customHeight="1" x14ac:dyDescent="0.4">
      <c r="A83" s="14"/>
      <c r="B83" s="27"/>
      <c r="C83" s="28" t="s">
        <v>71</v>
      </c>
      <c r="D83" s="29"/>
      <c r="E83" s="16">
        <f>BADEAN!AB83+BLIMBINGSARI!U83+BOMO!W83+GINTANGAN!Z83+KALIGUNG!R83+KAOTAN!M83+KARANGREJO!P83+PATOMAN!T83+SUKOJATI!P83+WATUKEBO!AK83</f>
        <v>2255</v>
      </c>
      <c r="F83" s="14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14"/>
      <c r="B84" s="27"/>
      <c r="C84" s="28" t="s">
        <v>72</v>
      </c>
      <c r="D84" s="29"/>
      <c r="E84" s="16">
        <f>BADEAN!AB84+BLIMBINGSARI!U84+BOMO!W84+GINTANGAN!Z84+KALIGUNG!R84+KAOTAN!M84+KARANGREJO!P84+PATOMAN!T84+SUKOJATI!P84+WATUKEBO!AK84</f>
        <v>49</v>
      </c>
      <c r="F84" s="14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14"/>
      <c r="B85" s="27"/>
      <c r="C85" s="28" t="s">
        <v>73</v>
      </c>
      <c r="D85" s="29"/>
      <c r="E85" s="16">
        <f>BADEAN!AB85+BLIMBINGSARI!U85+BOMO!W85+GINTANGAN!Z85+KALIGUNG!R85+KAOTAN!M85+KARANGREJO!P85+PATOMAN!T85+SUKOJATI!P85+WATUKEBO!AK85</f>
        <v>3</v>
      </c>
      <c r="F85" s="14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14"/>
      <c r="B86" s="27"/>
      <c r="C86" s="28" t="s">
        <v>74</v>
      </c>
      <c r="D86" s="29"/>
      <c r="E86" s="16">
        <f>BADEAN!AB86+BLIMBINGSARI!U86+BOMO!W86+GINTANGAN!Z86+KALIGUNG!R86+KAOTAN!M86+KARANGREJO!P86+PATOMAN!T86+SUKOJATI!P86+WATUKEBO!AK86</f>
        <v>29</v>
      </c>
      <c r="F86" s="14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14"/>
      <c r="B87" s="27"/>
      <c r="C87" s="28" t="s">
        <v>75</v>
      </c>
      <c r="D87" s="29"/>
      <c r="E87" s="16">
        <f>BADEAN!AB87+BLIMBINGSARI!U87+BOMO!W87+GINTANGAN!Z87+KALIGUNG!R87+KAOTAN!M87+KARANGREJO!P87+PATOMAN!T87+SUKOJATI!P87+WATUKEBO!AK87</f>
        <v>3</v>
      </c>
      <c r="F87" s="14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15" t="s">
        <v>15</v>
      </c>
      <c r="B88" s="53" t="s">
        <v>46</v>
      </c>
      <c r="C88" s="54"/>
      <c r="D88" s="55"/>
      <c r="E88" s="13">
        <f>SUM(E81:E87)</f>
        <v>2671</v>
      </c>
      <c r="F88" s="14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34"/>
      <c r="B89" s="35"/>
      <c r="C89" s="35"/>
      <c r="D89" s="35"/>
      <c r="E89" s="16"/>
      <c r="F89" s="14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19" t="s">
        <v>37</v>
      </c>
      <c r="B90" s="26" t="s">
        <v>76</v>
      </c>
      <c r="C90" s="56" t="s">
        <v>77</v>
      </c>
      <c r="D90" s="55"/>
      <c r="E90" s="16">
        <f>BADEAN!AB90+BLIMBINGSARI!U90+BOMO!W90+GINTANGAN!Z90+KALIGUNG!R90+KAOTAN!M90+KARANGREJO!P90+PATOMAN!T90+SUKOJATI!P90+WATUKEBO!AK90</f>
        <v>53</v>
      </c>
      <c r="F90" s="14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19" t="s">
        <v>39</v>
      </c>
      <c r="B91" s="27"/>
      <c r="C91" s="78" t="s">
        <v>78</v>
      </c>
      <c r="D91" s="55"/>
      <c r="E91" s="16">
        <f>BADEAN!AB91+BLIMBINGSARI!U91+BOMO!W91+GINTANGAN!Z91+KALIGUNG!R91+KAOTAN!M91+KARANGREJO!P91+PATOMAN!T91+SUKOJATI!P91+WATUKEBO!AK91</f>
        <v>17</v>
      </c>
      <c r="F91" s="14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15" t="s">
        <v>15</v>
      </c>
      <c r="B92" s="53" t="s">
        <v>46</v>
      </c>
      <c r="C92" s="54"/>
      <c r="D92" s="55"/>
      <c r="E92" s="36">
        <f>SUM(E90:E91)</f>
        <v>70</v>
      </c>
      <c r="F92" s="14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34"/>
      <c r="B93" s="35"/>
      <c r="C93" s="35"/>
      <c r="D93" s="35"/>
      <c r="E93" s="16"/>
      <c r="F93" s="17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4">
      <c r="A94" s="19" t="s">
        <v>37</v>
      </c>
      <c r="B94" s="26" t="s">
        <v>79</v>
      </c>
      <c r="C94" s="56" t="s">
        <v>80</v>
      </c>
      <c r="D94" s="55"/>
      <c r="E94" s="16">
        <f>BADEAN!AB94+BLIMBINGSARI!U94+BOMO!W94+GINTANGAN!Z94+KALIGUNG!R94+KAOTAN!M94+KARANGREJO!P94+PATOMAN!T94+SUKOJATI!P94+WATUKEBO!AK94</f>
        <v>62</v>
      </c>
      <c r="F94" s="30"/>
      <c r="G94" s="31"/>
      <c r="H94" s="31"/>
      <c r="I94" s="31"/>
      <c r="J94" s="31"/>
      <c r="K94" s="31"/>
      <c r="L94" s="31"/>
      <c r="M94" s="31"/>
      <c r="N94" s="31"/>
      <c r="O94" s="31"/>
      <c r="P94" s="32"/>
      <c r="Q94" s="3"/>
      <c r="R94" s="3"/>
      <c r="S94" s="3"/>
      <c r="T94" s="3"/>
      <c r="U94" s="3"/>
      <c r="V94" s="3"/>
      <c r="W94" s="33"/>
      <c r="X94" s="3"/>
      <c r="Y94" s="3"/>
      <c r="Z94" s="3"/>
    </row>
    <row r="95" spans="1:26" ht="15.75" customHeight="1" x14ac:dyDescent="0.4">
      <c r="A95" s="19" t="s">
        <v>39</v>
      </c>
      <c r="B95" s="27"/>
      <c r="C95" s="28" t="s">
        <v>81</v>
      </c>
      <c r="D95" s="29"/>
      <c r="E95" s="16">
        <f>BADEAN!AB95+BLIMBINGSARI!U95+BOMO!W95+GINTANGAN!Z95+KALIGUNG!R95+KAOTAN!M95+KARANGREJO!P95+PATOMAN!T95+SUKOJATI!P95+WATUKEBO!AK95</f>
        <v>20</v>
      </c>
      <c r="F95" s="14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19"/>
      <c r="B96" s="27"/>
      <c r="C96" s="28" t="s">
        <v>82</v>
      </c>
      <c r="D96" s="29"/>
      <c r="E96" s="16">
        <f>BADEAN!AB96+BLIMBINGSARI!U96+BOMO!W96+GINTANGAN!Z96+KALIGUNG!R96+KAOTAN!M96+KARANGREJO!P96+PATOMAN!T96+SUKOJATI!P96+WATUKEBO!AK96</f>
        <v>42</v>
      </c>
      <c r="F96" s="14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19"/>
      <c r="B97" s="27"/>
      <c r="C97" s="28" t="s">
        <v>83</v>
      </c>
      <c r="D97" s="29"/>
      <c r="E97" s="16">
        <f>BADEAN!AB97+BLIMBINGSARI!U97+BOMO!W97+GINTANGAN!Z97+KALIGUNG!R97+KAOTAN!M97+KARANGREJO!P97+PATOMAN!T97+SUKOJATI!P97+WATUKEBO!AK97</f>
        <v>7</v>
      </c>
      <c r="F97" s="14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19"/>
      <c r="B98" s="27"/>
      <c r="C98" s="28" t="s">
        <v>84</v>
      </c>
      <c r="D98" s="29"/>
      <c r="E98" s="16">
        <f>BADEAN!AB98+BLIMBINGSARI!U98+BOMO!W98+GINTANGAN!Z98+KALIGUNG!R98+KAOTAN!M98+KARANGREJO!P98+PATOMAN!T98+SUKOJATI!P98+WATUKEBO!AK98</f>
        <v>1</v>
      </c>
      <c r="F98" s="14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19"/>
      <c r="B99" s="27"/>
      <c r="C99" s="28" t="s">
        <v>85</v>
      </c>
      <c r="D99" s="29"/>
      <c r="E99" s="16">
        <f>BADEAN!AB99+BLIMBINGSARI!U99+BOMO!W99+GINTANGAN!Z99+KALIGUNG!R99+KAOTAN!M99+KARANGREJO!P99+PATOMAN!T99+SUKOJATI!P99+WATUKEBO!AK99</f>
        <v>1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19"/>
      <c r="B100" s="27"/>
      <c r="C100" s="28" t="s">
        <v>86</v>
      </c>
      <c r="D100" s="29"/>
      <c r="E100" s="16">
        <f>BADEAN!AB100+BLIMBINGSARI!U100+BOMO!W100+GINTANGAN!Z100+KALIGUNG!R100+KAOTAN!M100+KARANGREJO!P100+PATOMAN!T100+SUKOJATI!P100+WATUKEBO!AK100</f>
        <v>5</v>
      </c>
      <c r="F100" s="14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15" t="s">
        <v>15</v>
      </c>
      <c r="B101" s="53" t="s">
        <v>46</v>
      </c>
      <c r="C101" s="54"/>
      <c r="D101" s="55"/>
      <c r="E101" s="13">
        <f>SUM(E94:E100)</f>
        <v>138</v>
      </c>
      <c r="F101" s="14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34"/>
      <c r="B102" s="35"/>
      <c r="C102" s="35"/>
      <c r="D102" s="35"/>
      <c r="E102" s="16"/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19" t="s">
        <v>37</v>
      </c>
      <c r="B103" s="26" t="s">
        <v>87</v>
      </c>
      <c r="C103" s="56" t="s">
        <v>88</v>
      </c>
      <c r="D103" s="55"/>
      <c r="E103" s="16">
        <f>BADEAN!AB103+BLIMBINGSARI!U103+BOMO!W103+GINTANGAN!Z103+KALIGUNG!R103+KAOTAN!M103+KARANGREJO!P103+PATOMAN!T103+SUKOJATI!P103+WATUKEBO!AK103</f>
        <v>29</v>
      </c>
      <c r="F103" s="14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19" t="s">
        <v>39</v>
      </c>
      <c r="B104" s="27"/>
      <c r="C104" s="28" t="s">
        <v>89</v>
      </c>
      <c r="D104" s="29"/>
      <c r="E104" s="16">
        <f>BADEAN!AB104+BLIMBINGSARI!U104+BOMO!W104+GINTANGAN!Z104+KALIGUNG!R104+KAOTAN!M104+KARANGREJO!P104+PATOMAN!T104+SUKOJATI!P104+WATUKEBO!AK104</f>
        <v>43</v>
      </c>
      <c r="F104" s="14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14"/>
      <c r="B105" s="27"/>
      <c r="C105" s="28" t="s">
        <v>90</v>
      </c>
      <c r="D105" s="29"/>
      <c r="E105" s="16">
        <f>BADEAN!AB105+BLIMBINGSARI!U105+BOMO!W105+GINTANGAN!Z105+KALIGUNG!R105+KAOTAN!M105+KARANGREJO!P105+PATOMAN!T105+SUKOJATI!P105+WATUKEBO!AK105</f>
        <v>4</v>
      </c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4">
      <c r="A106" s="14"/>
      <c r="B106" s="27"/>
      <c r="C106" s="28" t="s">
        <v>91</v>
      </c>
      <c r="D106" s="29"/>
      <c r="E106" s="16">
        <f>BADEAN!AB106+BLIMBINGSARI!U106+BOMO!W106+GINTANGAN!Z106+KALIGUNG!R106+KAOTAN!M106+KARANGREJO!P106+PATOMAN!T106+SUKOJATI!P106+WATUKEBO!AK106</f>
        <v>13</v>
      </c>
      <c r="F106" s="30"/>
      <c r="G106" s="31"/>
      <c r="H106" s="31"/>
      <c r="I106" s="31"/>
      <c r="J106" s="31"/>
      <c r="K106" s="31"/>
      <c r="L106" s="31"/>
      <c r="M106" s="31"/>
      <c r="N106" s="31"/>
      <c r="O106" s="31"/>
      <c r="P106" s="32"/>
      <c r="Q106" s="3"/>
      <c r="R106" s="3"/>
      <c r="S106" s="3"/>
      <c r="T106" s="3"/>
      <c r="U106" s="3"/>
      <c r="V106" s="3"/>
      <c r="W106" s="33"/>
      <c r="X106" s="3"/>
      <c r="Y106" s="3"/>
      <c r="Z106" s="3"/>
    </row>
    <row r="107" spans="1:26" ht="15.75" customHeight="1" x14ac:dyDescent="0.4">
      <c r="A107" s="14"/>
      <c r="B107" s="27"/>
      <c r="C107" s="28" t="s">
        <v>92</v>
      </c>
      <c r="D107" s="29"/>
      <c r="E107" s="16">
        <f>BADEAN!AB107+BLIMBINGSARI!U107+BOMO!W107+GINTANGAN!Z107+KALIGUNG!R107+KAOTAN!M107+KARANGREJO!P107+PATOMAN!T107+SUKOJATI!P107+WATUKEBO!AK107</f>
        <v>21</v>
      </c>
      <c r="F107" s="14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14"/>
      <c r="B108" s="27"/>
      <c r="C108" s="28" t="s">
        <v>93</v>
      </c>
      <c r="D108" s="29"/>
      <c r="E108" s="16">
        <f>BADEAN!AB108+BLIMBINGSARI!U108+BOMO!W108+GINTANGAN!Z108+KALIGUNG!R108+KAOTAN!M108+KARANGREJO!P108+PATOMAN!T108+SUKOJATI!P108+WATUKEBO!AK108</f>
        <v>2</v>
      </c>
      <c r="F108" s="14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14"/>
      <c r="B109" s="27"/>
      <c r="C109" s="28" t="s">
        <v>94</v>
      </c>
      <c r="D109" s="29"/>
      <c r="E109" s="16">
        <f>BADEAN!AB109+BLIMBINGSARI!U109+BOMO!W109+GINTANGAN!Z109+KALIGUNG!R109+KAOTAN!M109+KARANGREJO!P109+PATOMAN!T109+SUKOJATI!P109+WATUKEBO!AK109</f>
        <v>12</v>
      </c>
      <c r="F109" s="14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15" t="s">
        <v>15</v>
      </c>
      <c r="B110" s="53" t="s">
        <v>46</v>
      </c>
      <c r="C110" s="54"/>
      <c r="D110" s="55"/>
      <c r="E110" s="13">
        <f>SUM(E103:E109)</f>
        <v>124</v>
      </c>
      <c r="F110" s="14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34"/>
      <c r="B111" s="35"/>
      <c r="C111" s="35"/>
      <c r="D111" s="35"/>
      <c r="E111" s="16"/>
      <c r="F111" s="14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19" t="s">
        <v>37</v>
      </c>
      <c r="B112" s="26" t="s">
        <v>95</v>
      </c>
      <c r="C112" s="56" t="s">
        <v>96</v>
      </c>
      <c r="D112" s="55"/>
      <c r="E112" s="16">
        <f>BADEAN!AB112+BLIMBINGSARI!U112+BOMO!W112+GINTANGAN!Z112+KALIGUNG!R112+KAOTAN!M112+KARANGREJO!P112+PATOMAN!T112+SUKOJATI!P112+WATUKEBO!AK112</f>
        <v>4</v>
      </c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4">
      <c r="A113" s="19"/>
      <c r="B113" s="26"/>
      <c r="C113" s="28" t="s">
        <v>97</v>
      </c>
      <c r="D113" s="37"/>
      <c r="E113" s="16">
        <f>BADEAN!AB113+BLIMBINGSARI!U113+BOMO!W113+GINTANGAN!Z113+KALIGUNG!R113+KAOTAN!M113+KARANGREJO!P113+PATOMAN!T113+SUKOJATI!P113+WATUKEBO!AK113</f>
        <v>2</v>
      </c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4">
      <c r="A114" s="19"/>
      <c r="B114" s="26"/>
      <c r="C114" s="28" t="s">
        <v>98</v>
      </c>
      <c r="D114" s="37"/>
      <c r="E114" s="16">
        <f>BADEAN!AB114+BLIMBINGSARI!U114+BOMO!W114+GINTANGAN!Z114+KALIGUNG!R114+KAOTAN!M114+KARANGREJO!P114+PATOMAN!T114+SUKOJATI!P114+WATUKEBO!AK114</f>
        <v>7</v>
      </c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4">
      <c r="A115" s="19"/>
      <c r="B115" s="26"/>
      <c r="C115" s="28" t="s">
        <v>99</v>
      </c>
      <c r="D115" s="37"/>
      <c r="E115" s="16">
        <f>BADEAN!AB115+BLIMBINGSARI!U115+BOMO!W115+GINTANGAN!Z115+KALIGUNG!R115+KAOTAN!M115+KARANGREJO!P115+PATOMAN!T115+SUKOJATI!P115+WATUKEBO!AK115</f>
        <v>0</v>
      </c>
      <c r="F115" s="30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"/>
      <c r="R115" s="3"/>
      <c r="S115" s="3"/>
      <c r="T115" s="3"/>
      <c r="U115" s="3"/>
      <c r="V115" s="3"/>
      <c r="W115" s="33"/>
      <c r="X115" s="3"/>
      <c r="Y115" s="3"/>
      <c r="Z115" s="3"/>
    </row>
    <row r="116" spans="1:26" ht="15.75" customHeight="1" x14ac:dyDescent="0.4">
      <c r="A116" s="19" t="s">
        <v>39</v>
      </c>
      <c r="B116" s="27"/>
      <c r="C116" s="28" t="s">
        <v>100</v>
      </c>
      <c r="D116" s="29"/>
      <c r="E116" s="16">
        <f>BADEAN!AB116+BLIMBINGSARI!U116+BOMO!W116+GINTANGAN!Z116+KALIGUNG!R116+KAOTAN!M116+KARANGREJO!P116+PATOMAN!T116+SUKOJATI!P116+WATUKEBO!AK116</f>
        <v>2</v>
      </c>
      <c r="F116" s="14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14"/>
      <c r="B117" s="27"/>
      <c r="C117" s="28" t="s">
        <v>101</v>
      </c>
      <c r="D117" s="29"/>
      <c r="E117" s="16">
        <f>BADEAN!AB117+BLIMBINGSARI!U117+BOMO!W117+GINTANGAN!Z117+KALIGUNG!R117+KAOTAN!M117+KARANGREJO!P117+PATOMAN!T117+SUKOJATI!P117+WATUKEBO!AK117</f>
        <v>0</v>
      </c>
      <c r="F117" s="14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14"/>
      <c r="B118" s="27"/>
      <c r="C118" s="28" t="s">
        <v>102</v>
      </c>
      <c r="D118" s="29"/>
      <c r="E118" s="16">
        <f>BADEAN!AB118+BLIMBINGSARI!U118+BOMO!W118+GINTANGAN!Z118+KALIGUNG!R118+KAOTAN!M118+KARANGREJO!P118+PATOMAN!T118+SUKOJATI!P118+WATUKEBO!AK118</f>
        <v>0</v>
      </c>
      <c r="F118" s="14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15" t="s">
        <v>15</v>
      </c>
      <c r="B119" s="53" t="s">
        <v>46</v>
      </c>
      <c r="C119" s="54"/>
      <c r="D119" s="55"/>
      <c r="E119" s="13">
        <f>SUM(E112:E118)</f>
        <v>15</v>
      </c>
      <c r="F119" s="14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34"/>
      <c r="B120" s="35"/>
      <c r="C120" s="35"/>
      <c r="D120" s="35"/>
      <c r="E120" s="16"/>
      <c r="F120" s="14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19" t="s">
        <v>37</v>
      </c>
      <c r="B121" s="26" t="s">
        <v>103</v>
      </c>
      <c r="C121" s="56" t="s">
        <v>104</v>
      </c>
      <c r="D121" s="55"/>
      <c r="E121" s="16">
        <f>BADEAN!AB121+BLIMBINGSARI!U121+BOMO!W121+GINTANGAN!Z121+KALIGUNG!R121+KAOTAN!M121+KARANGREJO!P121+PATOMAN!T121+SUKOJATI!P121+WATUKEBO!AK121</f>
        <v>15</v>
      </c>
      <c r="F121" s="14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19" t="s">
        <v>39</v>
      </c>
      <c r="B122" s="27"/>
      <c r="C122" s="28" t="s">
        <v>105</v>
      </c>
      <c r="D122" s="29"/>
      <c r="E122" s="16">
        <f>BADEAN!AB122+BLIMBINGSARI!U122+BOMO!W122+GINTANGAN!Z122+KALIGUNG!R122+KAOTAN!M122+KARANGREJO!P122+PATOMAN!T122+SUKOJATI!P122+WATUKEBO!AK122</f>
        <v>47</v>
      </c>
      <c r="F122" s="14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14"/>
      <c r="B123" s="27"/>
      <c r="C123" s="28" t="s">
        <v>106</v>
      </c>
      <c r="D123" s="29"/>
      <c r="E123" s="16">
        <f>BADEAN!AB123+BLIMBINGSARI!U123+BOMO!W123+GINTANGAN!Z123+KALIGUNG!R123+KAOTAN!M123+KARANGREJO!P123+PATOMAN!T123+SUKOJATI!P123+WATUKEBO!AK123</f>
        <v>22</v>
      </c>
      <c r="F123" s="14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14"/>
      <c r="B124" s="27"/>
      <c r="C124" s="28" t="s">
        <v>107</v>
      </c>
      <c r="D124" s="29"/>
      <c r="E124" s="16">
        <f>BADEAN!AB124+BLIMBINGSARI!U124+BOMO!W124+GINTANGAN!Z124+KALIGUNG!R124+KAOTAN!M124+KARANGREJO!P124+PATOMAN!T124+SUKOJATI!P124+WATUKEBO!AK124</f>
        <v>8</v>
      </c>
      <c r="F124" s="14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14"/>
      <c r="B125" s="27"/>
      <c r="C125" s="28" t="s">
        <v>108</v>
      </c>
      <c r="D125" s="29"/>
      <c r="E125" s="16">
        <f>BADEAN!AB125+BLIMBINGSARI!U125+BOMO!W125+GINTANGAN!Z125+KALIGUNG!R125+KAOTAN!M125+KARANGREJO!P125+PATOMAN!T125+SUKOJATI!P125+WATUKEBO!AK125</f>
        <v>39</v>
      </c>
      <c r="F125" s="14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14"/>
      <c r="B126" s="27"/>
      <c r="C126" s="28" t="s">
        <v>109</v>
      </c>
      <c r="D126" s="29"/>
      <c r="E126" s="16">
        <f>BADEAN!AB126+BLIMBINGSARI!U126+BOMO!W126+GINTANGAN!Z126+KALIGUNG!R126+KAOTAN!M126+KARANGREJO!P126+PATOMAN!T126+SUKOJATI!P126+WATUKEBO!AK126</f>
        <v>5</v>
      </c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14"/>
      <c r="B127" s="27"/>
      <c r="C127" s="28" t="s">
        <v>110</v>
      </c>
      <c r="D127" s="29"/>
      <c r="E127" s="16">
        <f>BADEAN!AB127+BLIMBINGSARI!U127+BOMO!W127+GINTANGAN!Z127+KALIGUNG!R127+KAOTAN!M127+KARANGREJO!P127+PATOMAN!T127+SUKOJATI!P127+WATUKEBO!AK127</f>
        <v>0</v>
      </c>
      <c r="F127" s="14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15" t="s">
        <v>15</v>
      </c>
      <c r="B128" s="53" t="s">
        <v>46</v>
      </c>
      <c r="C128" s="54"/>
      <c r="D128" s="55"/>
      <c r="E128" s="13">
        <f>SUM(E121:E127)</f>
        <v>136</v>
      </c>
      <c r="F128" s="14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34"/>
      <c r="B129" s="35"/>
      <c r="C129" s="35"/>
      <c r="D129" s="35"/>
      <c r="E129" s="16"/>
      <c r="F129" s="17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4">
      <c r="A130" s="19" t="s">
        <v>37</v>
      </c>
      <c r="B130" s="26" t="s">
        <v>111</v>
      </c>
      <c r="C130" s="56" t="s">
        <v>112</v>
      </c>
      <c r="D130" s="55"/>
      <c r="E130" s="16">
        <f>BADEAN!AB130+BLIMBINGSARI!U130+BOMO!W130+GINTANGAN!Z130+KALIGUNG!R130+KAOTAN!M130+KARANGREJO!P130+PATOMAN!T130+SUKOJATI!P130+WATUKEBO!AK130</f>
        <v>9</v>
      </c>
      <c r="F130" s="30"/>
      <c r="G130" s="31"/>
      <c r="H130" s="31"/>
      <c r="I130" s="31"/>
      <c r="J130" s="31"/>
      <c r="K130" s="31"/>
      <c r="L130" s="31"/>
      <c r="M130" s="31"/>
      <c r="N130" s="31"/>
      <c r="O130" s="31"/>
      <c r="P130" s="32"/>
      <c r="Q130" s="3"/>
      <c r="R130" s="3"/>
      <c r="S130" s="3"/>
      <c r="T130" s="3"/>
      <c r="U130" s="3"/>
      <c r="V130" s="3"/>
      <c r="W130" s="33"/>
      <c r="X130" s="3"/>
      <c r="Y130" s="3"/>
      <c r="Z130" s="3"/>
    </row>
    <row r="131" spans="1:26" ht="15.75" customHeight="1" x14ac:dyDescent="0.4">
      <c r="A131" s="19" t="s">
        <v>39</v>
      </c>
      <c r="B131" s="27"/>
      <c r="C131" s="28" t="s">
        <v>113</v>
      </c>
      <c r="D131" s="29"/>
      <c r="E131" s="16">
        <f>BADEAN!AB131+BLIMBINGSARI!U131+BOMO!W131+GINTANGAN!Z131+KALIGUNG!R131+KAOTAN!M131+KARANGREJO!P131+PATOMAN!T131+SUKOJATI!P131+WATUKEBO!AK131</f>
        <v>0</v>
      </c>
      <c r="F131" s="14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15" t="s">
        <v>15</v>
      </c>
      <c r="B132" s="53" t="s">
        <v>46</v>
      </c>
      <c r="C132" s="54"/>
      <c r="D132" s="55"/>
      <c r="E132" s="13">
        <f>SUM(E130:E131)</f>
        <v>9</v>
      </c>
      <c r="F132" s="14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34"/>
      <c r="B133" s="35"/>
      <c r="C133" s="35"/>
      <c r="D133" s="35"/>
      <c r="E133" s="16"/>
      <c r="F133" s="14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19" t="s">
        <v>37</v>
      </c>
      <c r="B134" s="26" t="s">
        <v>114</v>
      </c>
      <c r="C134" s="56" t="s">
        <v>115</v>
      </c>
      <c r="D134" s="55"/>
      <c r="E134" s="16">
        <f>BADEAN!AB134+BLIMBINGSARI!U134+BOMO!W134+GINTANGAN!Z134+KALIGUNG!R134+KAOTAN!M134+KARANGREJO!P134+PATOMAN!T134+SUKOJATI!P134+WATUKEBO!AK134</f>
        <v>24</v>
      </c>
      <c r="F134" s="14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19" t="s">
        <v>39</v>
      </c>
      <c r="B135" s="27"/>
      <c r="C135" s="28" t="s">
        <v>116</v>
      </c>
      <c r="D135" s="29"/>
      <c r="E135" s="16">
        <f>BADEAN!AB135+BLIMBINGSARI!U135+BOMO!W135+GINTANGAN!Z135+KALIGUNG!R135+KAOTAN!M135+KARANGREJO!P135+PATOMAN!T135+SUKOJATI!P135+WATUKEBO!AK135</f>
        <v>13</v>
      </c>
      <c r="F135" s="14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14"/>
      <c r="B136" s="27"/>
      <c r="C136" s="28" t="s">
        <v>117</v>
      </c>
      <c r="D136" s="29"/>
      <c r="E136" s="16">
        <f>BADEAN!AB136+BLIMBINGSARI!U136+BOMO!W136+GINTANGAN!Z136+KALIGUNG!R136+KAOTAN!M136+KARANGREJO!P136+PATOMAN!T136+SUKOJATI!P136+WATUKEBO!AK136</f>
        <v>21</v>
      </c>
      <c r="F136" s="14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14"/>
      <c r="B137" s="27"/>
      <c r="C137" s="28" t="s">
        <v>118</v>
      </c>
      <c r="D137" s="29"/>
      <c r="E137" s="16">
        <f>BADEAN!AB137+BLIMBINGSARI!U137+BOMO!W137+GINTANGAN!Z137+KALIGUNG!R137+KAOTAN!M137+KARANGREJO!P137+PATOMAN!T137+SUKOJATI!P137+WATUKEBO!AK137</f>
        <v>15</v>
      </c>
      <c r="F137" s="14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14"/>
      <c r="B138" s="27"/>
      <c r="C138" s="28" t="s">
        <v>119</v>
      </c>
      <c r="D138" s="29"/>
      <c r="E138" s="16">
        <f>BADEAN!AB138+BLIMBINGSARI!U138+BOMO!W138+GINTANGAN!Z138+KALIGUNG!R138+KAOTAN!M138+KARANGREJO!P138+PATOMAN!T138+SUKOJATI!P138+WATUKEBO!AK138</f>
        <v>2</v>
      </c>
      <c r="F138" s="14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14"/>
      <c r="B139" s="27"/>
      <c r="C139" s="28" t="s">
        <v>120</v>
      </c>
      <c r="D139" s="29"/>
      <c r="E139" s="16">
        <f>BADEAN!AB139+BLIMBINGSARI!U139+BOMO!W139+GINTANGAN!Z139+KALIGUNG!R139+KAOTAN!M139+KARANGREJO!P139+PATOMAN!T139+SUKOJATI!P139+WATUKEBO!AK139</f>
        <v>0</v>
      </c>
      <c r="F139" s="14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14"/>
      <c r="B140" s="27"/>
      <c r="C140" s="28" t="s">
        <v>121</v>
      </c>
      <c r="D140" s="29"/>
      <c r="E140" s="16">
        <f>BADEAN!AB140+BLIMBINGSARI!U140+BOMO!W140+GINTANGAN!Z140+KALIGUNG!R140+KAOTAN!M140+KARANGREJO!P140+PATOMAN!T140+SUKOJATI!P140+WATUKEBO!AK140</f>
        <v>12</v>
      </c>
      <c r="F140" s="14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15" t="s">
        <v>15</v>
      </c>
      <c r="B141" s="53" t="s">
        <v>46</v>
      </c>
      <c r="C141" s="54"/>
      <c r="D141" s="55"/>
      <c r="E141" s="13">
        <f>SUM(E134:E140)</f>
        <v>87</v>
      </c>
      <c r="F141" s="17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4">
      <c r="A142" s="34"/>
      <c r="B142" s="35"/>
      <c r="C142" s="35"/>
      <c r="D142" s="35"/>
      <c r="E142" s="16"/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2"/>
      <c r="Q142" s="3"/>
      <c r="R142" s="3"/>
      <c r="S142" s="3"/>
      <c r="T142" s="3"/>
      <c r="U142" s="3"/>
      <c r="V142" s="3"/>
      <c r="W142" s="33"/>
      <c r="X142" s="3"/>
      <c r="Y142" s="3"/>
      <c r="Z142" s="3"/>
    </row>
    <row r="143" spans="1:26" ht="15.75" customHeight="1" x14ac:dyDescent="0.4">
      <c r="A143" s="19" t="s">
        <v>37</v>
      </c>
      <c r="B143" s="26" t="s">
        <v>122</v>
      </c>
      <c r="C143" s="56" t="s">
        <v>123</v>
      </c>
      <c r="D143" s="55"/>
      <c r="E143" s="16">
        <f>BADEAN!AB143+BLIMBINGSARI!U143+BOMO!W143+GINTANGAN!Z143+KALIGUNG!R143+KAOTAN!M143+KARANGREJO!P143+PATOMAN!T143+SUKOJATI!P143+WATUKEBO!AK143</f>
        <v>15</v>
      </c>
      <c r="F143" s="14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19" t="s">
        <v>39</v>
      </c>
      <c r="B144" s="27"/>
      <c r="C144" s="28" t="s">
        <v>124</v>
      </c>
      <c r="D144" s="29"/>
      <c r="E144" s="16">
        <f>BADEAN!AB144+BLIMBINGSARI!U144+BOMO!W144+GINTANGAN!Z144+KALIGUNG!R144+KAOTAN!M144+KARANGREJO!P144+PATOMAN!T144+SUKOJATI!P144+WATUKEBO!AK144</f>
        <v>31</v>
      </c>
      <c r="F144" s="14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14"/>
      <c r="B145" s="27"/>
      <c r="C145" s="28" t="s">
        <v>125</v>
      </c>
      <c r="D145" s="29"/>
      <c r="E145" s="16">
        <f>BADEAN!AB145+BLIMBINGSARI!U145+BOMO!W145+GINTANGAN!Z145+KALIGUNG!R145+KAOTAN!M145+KARANGREJO!P145+PATOMAN!T145+SUKOJATI!P145+WATUKEBO!AK145</f>
        <v>6</v>
      </c>
      <c r="F145" s="14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14"/>
      <c r="B146" s="27"/>
      <c r="C146" s="28" t="s">
        <v>126</v>
      </c>
      <c r="D146" s="29"/>
      <c r="E146" s="16">
        <f>BADEAN!AB146+BLIMBINGSARI!U146+BOMO!W146+GINTANGAN!Z146+KALIGUNG!R146+KAOTAN!M146+KARANGREJO!P146+PATOMAN!T146+SUKOJATI!P146+WATUKEBO!AK146</f>
        <v>2</v>
      </c>
      <c r="F146" s="14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14"/>
      <c r="B147" s="27"/>
      <c r="C147" s="28" t="s">
        <v>127</v>
      </c>
      <c r="D147" s="29"/>
      <c r="E147" s="16">
        <f>BADEAN!AB147+BLIMBINGSARI!U147+BOMO!W147+GINTANGAN!Z147+KALIGUNG!R147+KAOTAN!M147+KARANGREJO!P147+PATOMAN!T147+SUKOJATI!P147+WATUKEBO!AK147</f>
        <v>1</v>
      </c>
      <c r="F147" s="14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14"/>
      <c r="B148" s="27"/>
      <c r="C148" s="28" t="s">
        <v>128</v>
      </c>
      <c r="D148" s="29"/>
      <c r="E148" s="16">
        <f>BADEAN!AB148+BLIMBINGSARI!U148+BOMO!W148+GINTANGAN!Z148+KALIGUNG!R148+KAOTAN!M148+KARANGREJO!P148+PATOMAN!T148+SUKOJATI!P148+WATUKEBO!AK148</f>
        <v>3</v>
      </c>
      <c r="F148" s="14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14"/>
      <c r="B149" s="27"/>
      <c r="C149" s="28" t="s">
        <v>129</v>
      </c>
      <c r="D149" s="29"/>
      <c r="E149" s="16">
        <f>BADEAN!AB149+BLIMBINGSARI!U149+BOMO!W149+GINTANGAN!Z149+KALIGUNG!R149+KAOTAN!M149+KARANGREJO!P149+PATOMAN!T149+SUKOJATI!P149+WATUKEBO!AK149</f>
        <v>2</v>
      </c>
      <c r="F149" s="14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15" t="s">
        <v>15</v>
      </c>
      <c r="B150" s="53" t="s">
        <v>46</v>
      </c>
      <c r="C150" s="54"/>
      <c r="D150" s="55"/>
      <c r="E150" s="13">
        <f>SUM(E143:E149)</f>
        <v>60</v>
      </c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34"/>
      <c r="B151" s="35"/>
      <c r="C151" s="35"/>
      <c r="D151" s="35"/>
      <c r="E151" s="16"/>
      <c r="F151" s="14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19" t="s">
        <v>37</v>
      </c>
      <c r="B152" s="26" t="s">
        <v>130</v>
      </c>
      <c r="C152" s="56" t="s">
        <v>131</v>
      </c>
      <c r="D152" s="55"/>
      <c r="E152" s="16">
        <f>BADEAN!AB152+BLIMBINGSARI!U152+BOMO!W152+GINTANGAN!Z152+KALIGUNG!R152+KAOTAN!M152+KARANGREJO!P152+PATOMAN!T152+SUKOJATI!P152+WATUKEBO!AK152</f>
        <v>760</v>
      </c>
      <c r="F152" s="17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4">
      <c r="A153" s="19" t="s">
        <v>39</v>
      </c>
      <c r="B153" s="27"/>
      <c r="C153" s="28" t="s">
        <v>132</v>
      </c>
      <c r="D153" s="29"/>
      <c r="E153" s="16">
        <f>BADEAN!AB153+BLIMBINGSARI!U153+BOMO!W153+GINTANGAN!Z153+KALIGUNG!R153+KAOTAN!M153+KARANGREJO!P153+PATOMAN!T153+SUKOJATI!P153+WATUKEBO!AK153</f>
        <v>415</v>
      </c>
      <c r="F153" s="30"/>
      <c r="G153" s="31"/>
      <c r="H153" s="31"/>
      <c r="I153" s="31"/>
      <c r="J153" s="31"/>
      <c r="K153" s="31"/>
      <c r="L153" s="31"/>
      <c r="M153" s="31"/>
      <c r="N153" s="31"/>
      <c r="O153" s="31"/>
      <c r="P153" s="32"/>
      <c r="Q153" s="3"/>
      <c r="R153" s="3"/>
      <c r="S153" s="3"/>
      <c r="T153" s="3"/>
      <c r="U153" s="3"/>
      <c r="V153" s="3"/>
      <c r="W153" s="33"/>
      <c r="X153" s="3"/>
      <c r="Y153" s="3"/>
      <c r="Z153" s="3"/>
    </row>
    <row r="154" spans="1:26" ht="15.75" customHeight="1" x14ac:dyDescent="0.4">
      <c r="A154" s="14"/>
      <c r="B154" s="27"/>
      <c r="C154" s="28" t="s">
        <v>133</v>
      </c>
      <c r="D154" s="29"/>
      <c r="E154" s="16">
        <f>BADEAN!AB154+BLIMBINGSARI!U154+BOMO!W154+GINTANGAN!Z154+KALIGUNG!R154+KAOTAN!M154+KARANGREJO!P154+PATOMAN!T154+SUKOJATI!P154+WATUKEBO!AK154</f>
        <v>3653</v>
      </c>
      <c r="F154" s="14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14"/>
      <c r="B155" s="27"/>
      <c r="C155" s="28" t="s">
        <v>134</v>
      </c>
      <c r="D155" s="29"/>
      <c r="E155" s="16">
        <f>BADEAN!AB155+BLIMBINGSARI!U155+BOMO!W155+GINTANGAN!Z155+KALIGUNG!R155+KAOTAN!M155+KARANGREJO!P155+PATOMAN!T155+SUKOJATI!P155+WATUKEBO!AK155</f>
        <v>2122</v>
      </c>
      <c r="F155" s="14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14"/>
      <c r="B156" s="27"/>
      <c r="C156" s="28" t="s">
        <v>135</v>
      </c>
      <c r="D156" s="29"/>
      <c r="E156" s="16">
        <f>BADEAN!AB156+BLIMBINGSARI!U156+BOMO!W156+GINTANGAN!Z156+KALIGUNG!R156+KAOTAN!M156+KARANGREJO!P156+PATOMAN!T156+SUKOJATI!P156+WATUKEBO!AK156</f>
        <v>31</v>
      </c>
      <c r="F156" s="14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14"/>
      <c r="B157" s="27"/>
      <c r="C157" s="28" t="s">
        <v>136</v>
      </c>
      <c r="D157" s="29"/>
      <c r="E157" s="16">
        <f>BADEAN!AB157+BLIMBINGSARI!U157+BOMO!W157+GINTANGAN!Z157+KALIGUNG!R157+KAOTAN!M157+KARANGREJO!P157+PATOMAN!T157+SUKOJATI!P157+WATUKEBO!AK157</f>
        <v>2</v>
      </c>
      <c r="F157" s="14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14"/>
      <c r="B158" s="27"/>
      <c r="C158" s="28" t="s">
        <v>137</v>
      </c>
      <c r="D158" s="29"/>
      <c r="E158" s="16">
        <f>BADEAN!AB158+BLIMBINGSARI!U158+BOMO!W158+GINTANGAN!Z158+KALIGUNG!R158+KAOTAN!M158+KARANGREJO!P158+PATOMAN!T158+SUKOJATI!P158+WATUKEBO!AK158</f>
        <v>30</v>
      </c>
      <c r="F158" s="14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15" t="s">
        <v>15</v>
      </c>
      <c r="B159" s="53" t="s">
        <v>46</v>
      </c>
      <c r="C159" s="54"/>
      <c r="D159" s="55"/>
      <c r="E159" s="13">
        <f>SUM(E152:E158)</f>
        <v>7013</v>
      </c>
      <c r="F159" s="14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34"/>
      <c r="B160" s="35"/>
      <c r="C160" s="35"/>
      <c r="D160" s="35"/>
      <c r="E160" s="16"/>
      <c r="F160" s="14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19" t="s">
        <v>37</v>
      </c>
      <c r="B161" s="26" t="s">
        <v>138</v>
      </c>
      <c r="C161" s="56" t="s">
        <v>139</v>
      </c>
      <c r="D161" s="55"/>
      <c r="E161" s="16">
        <f>BADEAN!AB161+BLIMBINGSARI!U161+BOMO!W161+GINTANGAN!Z161+KALIGUNG!R161+KAOTAN!M161+KARANGREJO!P161+PATOMAN!T161+SUKOJATI!P161+WATUKEBO!AK161</f>
        <v>55</v>
      </c>
      <c r="F161" s="14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19" t="s">
        <v>39</v>
      </c>
      <c r="B162" s="27"/>
      <c r="C162" s="28" t="s">
        <v>140</v>
      </c>
      <c r="D162" s="29"/>
      <c r="E162" s="16">
        <f>BADEAN!AB162+BLIMBINGSARI!U162+BOMO!W162+GINTANGAN!Z162+KALIGUNG!R162+KAOTAN!M162+KARANGREJO!P162+PATOMAN!T162+SUKOJATI!P162+WATUKEBO!AK162</f>
        <v>50</v>
      </c>
      <c r="F162" s="14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19"/>
      <c r="B163" s="27"/>
      <c r="C163" s="28" t="s">
        <v>141</v>
      </c>
      <c r="D163" s="29"/>
      <c r="E163" s="16">
        <f>BADEAN!AB163+BLIMBINGSARI!U163+BOMO!W163+GINTANGAN!Z163+KALIGUNG!R163+KAOTAN!M163+KARANGREJO!P163+PATOMAN!T163+SUKOJATI!P163+WATUKEBO!AK163</f>
        <v>28</v>
      </c>
      <c r="F163" s="14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15" t="s">
        <v>15</v>
      </c>
      <c r="B164" s="53" t="s">
        <v>46</v>
      </c>
      <c r="C164" s="54"/>
      <c r="D164" s="55"/>
      <c r="E164" s="13">
        <f>SUM(E161:E163)</f>
        <v>133</v>
      </c>
      <c r="F164" s="14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34"/>
      <c r="B165" s="35"/>
      <c r="C165" s="35"/>
      <c r="D165" s="35"/>
      <c r="E165" s="16"/>
      <c r="F165" s="17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4">
      <c r="A166" s="19" t="s">
        <v>37</v>
      </c>
      <c r="B166" s="26" t="s">
        <v>142</v>
      </c>
      <c r="C166" s="56" t="s">
        <v>143</v>
      </c>
      <c r="D166" s="55"/>
      <c r="E166" s="16">
        <f>BADEAN!AB166+BLIMBINGSARI!U166+BOMO!W166+GINTANGAN!Z166+KALIGUNG!R166+KAOTAN!M166+KARANGREJO!P166+PATOMAN!T166+SUKOJATI!P166+WATUKEBO!AK166</f>
        <v>3</v>
      </c>
      <c r="F166" s="30"/>
      <c r="G166" s="31"/>
      <c r="H166" s="31"/>
      <c r="I166" s="31"/>
      <c r="J166" s="31"/>
      <c r="K166" s="31"/>
      <c r="L166" s="31"/>
      <c r="M166" s="31"/>
      <c r="N166" s="31"/>
      <c r="O166" s="31"/>
      <c r="P166" s="32"/>
      <c r="Q166" s="3"/>
      <c r="R166" s="3"/>
      <c r="S166" s="3"/>
      <c r="T166" s="3"/>
      <c r="U166" s="3"/>
      <c r="V166" s="3"/>
      <c r="W166" s="33"/>
      <c r="X166" s="3"/>
      <c r="Y166" s="3"/>
      <c r="Z166" s="3"/>
    </row>
    <row r="167" spans="1:26" ht="15.75" customHeight="1" x14ac:dyDescent="0.4">
      <c r="A167" s="19"/>
      <c r="B167" s="26"/>
      <c r="C167" s="28" t="s">
        <v>144</v>
      </c>
      <c r="D167" s="37"/>
      <c r="E167" s="16">
        <f>BADEAN!AB167+BLIMBINGSARI!U167+BOMO!W167+GINTANGAN!Z167+KALIGUNG!R167+KAOTAN!M167+KARANGREJO!P167+PATOMAN!T167+SUKOJATI!P167+WATUKEBO!AK167</f>
        <v>21</v>
      </c>
      <c r="F167" s="14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19"/>
      <c r="B168" s="26"/>
      <c r="C168" s="28" t="s">
        <v>145</v>
      </c>
      <c r="D168" s="37"/>
      <c r="E168" s="16">
        <f>BADEAN!AB168+BLIMBINGSARI!U168+BOMO!W168+GINTANGAN!Z168+KALIGUNG!R168+KAOTAN!M168+KARANGREJO!P168+PATOMAN!T168+SUKOJATI!P168+WATUKEBO!AK168</f>
        <v>8</v>
      </c>
      <c r="F168" s="14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19"/>
      <c r="B169" s="26"/>
      <c r="C169" s="28" t="s">
        <v>146</v>
      </c>
      <c r="D169" s="37"/>
      <c r="E169" s="16">
        <f>BADEAN!AB169+BLIMBINGSARI!U169+BOMO!W169+GINTANGAN!Z169+KALIGUNG!R169+KAOTAN!M169+KARANGREJO!P169+PATOMAN!T169+SUKOJATI!P169+WATUKEBO!AK169</f>
        <v>6</v>
      </c>
      <c r="F169" s="14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19" t="s">
        <v>39</v>
      </c>
      <c r="B170" s="27"/>
      <c r="C170" s="28" t="s">
        <v>147</v>
      </c>
      <c r="D170" s="29"/>
      <c r="E170" s="16">
        <f>BADEAN!AB170+BLIMBINGSARI!U170+BOMO!W170+GINTANGAN!Z170+KALIGUNG!R170+KAOTAN!M170+KARANGREJO!P170+PATOMAN!T170+SUKOJATI!P170+WATUKEBO!AK170</f>
        <v>1</v>
      </c>
      <c r="F170" s="14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14"/>
      <c r="B171" s="27"/>
      <c r="C171" s="28" t="s">
        <v>148</v>
      </c>
      <c r="D171" s="29"/>
      <c r="E171" s="16">
        <f>BADEAN!AB171+BLIMBINGSARI!U171+BOMO!W171+GINTANGAN!Z171+KALIGUNG!R171+KAOTAN!M171+KARANGREJO!P171+PATOMAN!T171+SUKOJATI!P171+WATUKEBO!AK171</f>
        <v>5</v>
      </c>
      <c r="F171" s="14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14"/>
      <c r="B172" s="27"/>
      <c r="C172" s="28" t="s">
        <v>149</v>
      </c>
      <c r="D172" s="29"/>
      <c r="E172" s="16">
        <f>BADEAN!AB172+BLIMBINGSARI!U172+BOMO!W172+GINTANGAN!Z172+KALIGUNG!R172+KAOTAN!M172+KARANGREJO!P172+PATOMAN!T172+SUKOJATI!P172+WATUKEBO!AK172</f>
        <v>1</v>
      </c>
      <c r="F172" s="14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15" t="s">
        <v>15</v>
      </c>
      <c r="B173" s="53" t="s">
        <v>46</v>
      </c>
      <c r="C173" s="54"/>
      <c r="D173" s="55"/>
      <c r="E173" s="13">
        <f>SUM(E166:E172)</f>
        <v>45</v>
      </c>
      <c r="F173" s="14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34"/>
      <c r="B174" s="35"/>
      <c r="C174" s="35"/>
      <c r="D174" s="35"/>
      <c r="E174" s="16"/>
      <c r="F174" s="14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19" t="s">
        <v>37</v>
      </c>
      <c r="B175" s="26" t="s">
        <v>150</v>
      </c>
      <c r="C175" s="56" t="s">
        <v>151</v>
      </c>
      <c r="D175" s="55"/>
      <c r="E175" s="16">
        <f>BADEAN!AB175+BLIMBINGSARI!U175+BOMO!W175+GINTANGAN!Z175+KALIGUNG!R175+KAOTAN!M175+KARANGREJO!P175+PATOMAN!T175+SUKOJATI!P175+WATUKEBO!AK175</f>
        <v>123</v>
      </c>
      <c r="F175" s="14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19" t="s">
        <v>39</v>
      </c>
      <c r="B176" s="27"/>
      <c r="C176" s="28" t="s">
        <v>152</v>
      </c>
      <c r="D176" s="29"/>
      <c r="E176" s="16">
        <f>BADEAN!AB176+BLIMBINGSARI!U176+BOMO!W176+GINTANGAN!Z176+KALIGUNG!R176+KAOTAN!M176+KARANGREJO!P176+PATOMAN!T176+SUKOJATI!P176+WATUKEBO!AK176</f>
        <v>50</v>
      </c>
      <c r="F176" s="14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14"/>
      <c r="B177" s="27"/>
      <c r="C177" s="28" t="s">
        <v>153</v>
      </c>
      <c r="D177" s="29"/>
      <c r="E177" s="16">
        <f>BADEAN!AB177+BLIMBINGSARI!U177+BOMO!W177+GINTANGAN!Z177+KALIGUNG!R177+KAOTAN!M177+KARANGREJO!P177+PATOMAN!T177+SUKOJATI!P177+WATUKEBO!AK177</f>
        <v>1060</v>
      </c>
      <c r="F177" s="17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4">
      <c r="A178" s="14"/>
      <c r="B178" s="27"/>
      <c r="C178" s="28" t="s">
        <v>154</v>
      </c>
      <c r="D178" s="29"/>
      <c r="E178" s="16">
        <f>BADEAN!AB178+BLIMBINGSARI!U178+BOMO!W178+GINTANGAN!Z178+KALIGUNG!R178+KAOTAN!M178+KARANGREJO!P178+PATOMAN!T178+SUKOJATI!P178+WATUKEBO!AK178</f>
        <v>8</v>
      </c>
      <c r="F178" s="30"/>
      <c r="G178" s="31"/>
      <c r="H178" s="31"/>
      <c r="I178" s="31"/>
      <c r="J178" s="31"/>
      <c r="K178" s="31"/>
      <c r="L178" s="31"/>
      <c r="M178" s="31"/>
      <c r="N178" s="31"/>
      <c r="O178" s="31"/>
      <c r="P178" s="32"/>
      <c r="Q178" s="3"/>
      <c r="R178" s="3"/>
      <c r="S178" s="3"/>
      <c r="T178" s="3"/>
      <c r="U178" s="3"/>
      <c r="V178" s="3"/>
      <c r="W178" s="33"/>
      <c r="X178" s="3"/>
      <c r="Y178" s="3"/>
      <c r="Z178" s="3"/>
    </row>
    <row r="179" spans="1:26" ht="15.75" customHeight="1" x14ac:dyDescent="0.4">
      <c r="A179" s="14"/>
      <c r="B179" s="27"/>
      <c r="C179" s="28" t="s">
        <v>155</v>
      </c>
      <c r="D179" s="29"/>
      <c r="E179" s="16">
        <f>BADEAN!AB179+BLIMBINGSARI!U179+BOMO!W179+GINTANGAN!Z179+KALIGUNG!R179+KAOTAN!M179+KARANGREJO!P179+PATOMAN!T179+SUKOJATI!P179+WATUKEBO!AK179</f>
        <v>5</v>
      </c>
      <c r="F179" s="14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14"/>
      <c r="B180" s="27"/>
      <c r="C180" s="28" t="s">
        <v>156</v>
      </c>
      <c r="D180" s="29"/>
      <c r="E180" s="16">
        <f>BADEAN!AB180+BLIMBINGSARI!U180+BOMO!W180+GINTANGAN!Z180+KALIGUNG!R180+KAOTAN!M180+KARANGREJO!P180+PATOMAN!T180+SUKOJATI!P180+WATUKEBO!AK180</f>
        <v>12</v>
      </c>
      <c r="F180" s="14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14"/>
      <c r="B181" s="27"/>
      <c r="C181" s="28" t="s">
        <v>157</v>
      </c>
      <c r="D181" s="29"/>
      <c r="E181" s="16">
        <f>BADEAN!AB181+BLIMBINGSARI!U181+BOMO!W181+GINTANGAN!Z181+KALIGUNG!R181+KAOTAN!M181+KARANGREJO!P181+PATOMAN!T181+SUKOJATI!P181+WATUKEBO!AK181</f>
        <v>11</v>
      </c>
      <c r="F181" s="14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15" t="s">
        <v>15</v>
      </c>
      <c r="B182" s="53" t="s">
        <v>46</v>
      </c>
      <c r="C182" s="54"/>
      <c r="D182" s="55"/>
      <c r="E182" s="13">
        <f>SUM(E175:E181)</f>
        <v>1269</v>
      </c>
      <c r="F182" s="14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34"/>
      <c r="B183" s="35"/>
      <c r="C183" s="35"/>
      <c r="D183" s="35"/>
      <c r="E183" s="38"/>
      <c r="F183" s="14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19" t="s">
        <v>37</v>
      </c>
      <c r="B184" s="26" t="s">
        <v>158</v>
      </c>
      <c r="C184" s="56" t="s">
        <v>159</v>
      </c>
      <c r="D184" s="55"/>
      <c r="E184" s="16">
        <f>BADEAN!AB184+BLIMBINGSARI!U184+BOMO!W184+GINTANGAN!Z184+KALIGUNG!R184+KAOTAN!M184+KARANGREJO!P184+PATOMAN!T184+SUKOJATI!P184+WATUKEBO!AK184</f>
        <v>27</v>
      </c>
      <c r="F184" s="14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19" t="s">
        <v>39</v>
      </c>
      <c r="B185" s="27"/>
      <c r="C185" s="28" t="s">
        <v>160</v>
      </c>
      <c r="D185" s="29"/>
      <c r="E185" s="16">
        <f>BADEAN!AB185+BLIMBINGSARI!U185+BOMO!W185+GINTANGAN!Z185+KALIGUNG!R185+KAOTAN!M185+KARANGREJO!P185+PATOMAN!T185+SUKOJATI!P185+WATUKEBO!AK185</f>
        <v>34</v>
      </c>
      <c r="F185" s="14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15" t="s">
        <v>15</v>
      </c>
      <c r="B186" s="53" t="s">
        <v>46</v>
      </c>
      <c r="C186" s="54"/>
      <c r="D186" s="55"/>
      <c r="E186" s="18">
        <f>SUM(E184:E185)</f>
        <v>61</v>
      </c>
      <c r="F186" s="14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66"/>
      <c r="B187" s="54"/>
      <c r="C187" s="54"/>
      <c r="D187" s="55"/>
      <c r="E187" s="13"/>
      <c r="F187" s="14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6"/>
      <c r="B188" s="75"/>
      <c r="C188" s="75"/>
      <c r="D188" s="65"/>
      <c r="E188" s="38"/>
      <c r="F188" s="14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25" t="s">
        <v>161</v>
      </c>
      <c r="B189" s="57" t="s">
        <v>162</v>
      </c>
      <c r="C189" s="54"/>
      <c r="D189" s="55"/>
      <c r="E189" s="38"/>
      <c r="F189" s="17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4">
      <c r="A190" s="25"/>
      <c r="B190" s="39" t="s">
        <v>163</v>
      </c>
      <c r="C190" s="79" t="s">
        <v>164</v>
      </c>
      <c r="D190" s="55"/>
      <c r="E190" s="16">
        <f>BADEAN!AB190+BLIMBINGSARI!U190+BOMO!W190+GINTANGAN!Z190+KALIGUNG!R190+KAOTAN!M190+KARANGREJO!P190+PATOMAN!T190+SUKOJATI!P190+WATUKEBO!AK190</f>
        <v>32458</v>
      </c>
      <c r="F190" s="30"/>
      <c r="G190" s="31"/>
      <c r="H190" s="31"/>
      <c r="I190" s="31"/>
      <c r="J190" s="31"/>
      <c r="K190" s="31"/>
      <c r="L190" s="31"/>
      <c r="M190" s="31"/>
      <c r="N190" s="31"/>
      <c r="O190" s="31"/>
      <c r="P190" s="32"/>
      <c r="Q190" s="3"/>
      <c r="R190" s="3"/>
      <c r="S190" s="3"/>
      <c r="T190" s="3"/>
      <c r="U190" s="3"/>
      <c r="V190" s="3"/>
      <c r="W190" s="33"/>
      <c r="X190" s="3"/>
      <c r="Y190" s="3"/>
      <c r="Z190" s="3"/>
    </row>
    <row r="191" spans="1:26" ht="15.75" customHeight="1" x14ac:dyDescent="0.4">
      <c r="A191" s="21"/>
      <c r="B191" s="39" t="s">
        <v>165</v>
      </c>
      <c r="C191" s="79" t="s">
        <v>166</v>
      </c>
      <c r="D191" s="55"/>
      <c r="E191" s="16">
        <f>BADEAN!AB191+BLIMBINGSARI!U191+BOMO!W191+GINTANGAN!Z191+KALIGUNG!R191+KAOTAN!M191+KARANGREJO!P191+PATOMAN!T191+SUKOJATI!P191+WATUKEBO!AK191</f>
        <v>1878</v>
      </c>
      <c r="F191" s="14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24"/>
      <c r="B192" s="39" t="s">
        <v>167</v>
      </c>
      <c r="C192" s="79" t="s">
        <v>168</v>
      </c>
      <c r="D192" s="55"/>
      <c r="E192" s="13">
        <f>E190+E191</f>
        <v>34336</v>
      </c>
      <c r="F192" s="14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5"/>
      <c r="B193" s="40"/>
      <c r="C193" s="4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4">
      <c r="A194" s="5"/>
      <c r="B194" s="40"/>
      <c r="C194" s="4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4">
      <c r="A195" s="5"/>
      <c r="B195" s="40"/>
      <c r="C195" s="4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hidden="1" customHeight="1" x14ac:dyDescent="0.4">
      <c r="A196" s="5"/>
      <c r="B196" s="40"/>
      <c r="C196" s="4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hidden="1" customHeight="1" x14ac:dyDescent="0.4">
      <c r="A197" s="5"/>
      <c r="B197" s="40"/>
      <c r="C197" s="4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hidden="1" customHeight="1" x14ac:dyDescent="0.4">
      <c r="A198" s="5"/>
      <c r="B198" s="40"/>
      <c r="C198" s="4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hidden="1" customHeight="1" x14ac:dyDescent="0.4">
      <c r="A199" s="5"/>
      <c r="B199" s="40"/>
      <c r="C199" s="4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hidden="1" customHeight="1" x14ac:dyDescent="0.4">
      <c r="A200" s="5"/>
      <c r="B200" s="40"/>
      <c r="C200" s="4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hidden="1" customHeight="1" x14ac:dyDescent="0.4">
      <c r="A201" s="5"/>
      <c r="B201" s="40"/>
      <c r="C201" s="4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hidden="1" customHeight="1" x14ac:dyDescent="0.4">
      <c r="A202" s="5"/>
      <c r="B202" s="40"/>
      <c r="C202" s="4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hidden="1" customHeight="1" x14ac:dyDescent="0.4">
      <c r="A203" s="5"/>
      <c r="B203" s="40"/>
      <c r="C203" s="4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hidden="1" customHeight="1" x14ac:dyDescent="0.4">
      <c r="A204" s="5"/>
      <c r="B204" s="40"/>
      <c r="C204" s="4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hidden="1" customHeight="1" x14ac:dyDescent="0.4">
      <c r="A205" s="5"/>
      <c r="B205" s="40"/>
      <c r="C205" s="4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hidden="1" customHeight="1" x14ac:dyDescent="0.4">
      <c r="A206" s="5"/>
      <c r="B206" s="40"/>
      <c r="C206" s="4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hidden="1" customHeight="1" x14ac:dyDescent="0.4">
      <c r="A207" s="5"/>
      <c r="B207" s="40"/>
      <c r="C207" s="4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hidden="1" customHeight="1" x14ac:dyDescent="0.4">
      <c r="A208" s="5"/>
      <c r="B208" s="40"/>
      <c r="C208" s="4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hidden="1" customHeight="1" x14ac:dyDescent="0.4">
      <c r="A209" s="5"/>
      <c r="B209" s="40"/>
      <c r="C209" s="4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hidden="1" customHeight="1" x14ac:dyDescent="0.4">
      <c r="A210" s="5"/>
      <c r="B210" s="40"/>
      <c r="C210" s="4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hidden="1" customHeight="1" x14ac:dyDescent="0.4">
      <c r="A211" s="5"/>
      <c r="B211" s="40"/>
      <c r="C211" s="4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hidden="1" customHeight="1" x14ac:dyDescent="0.4">
      <c r="A212" s="5"/>
      <c r="B212" s="40"/>
      <c r="C212" s="4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hidden="1" customHeight="1" x14ac:dyDescent="0.4">
      <c r="A213" s="5"/>
      <c r="B213" s="40"/>
      <c r="C213" s="4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hidden="1" customHeight="1" x14ac:dyDescent="0.4">
      <c r="A214" s="5"/>
      <c r="B214" s="40"/>
      <c r="C214" s="4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hidden="1" customHeight="1" x14ac:dyDescent="0.4">
      <c r="A215" s="5"/>
      <c r="B215" s="40"/>
      <c r="C215" s="4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hidden="1" customHeight="1" x14ac:dyDescent="0.4">
      <c r="A216" s="5"/>
      <c r="B216" s="40"/>
      <c r="C216" s="4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hidden="1" customHeight="1" x14ac:dyDescent="0.4">
      <c r="A217" s="5"/>
      <c r="B217" s="40"/>
      <c r="C217" s="4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hidden="1" customHeight="1" x14ac:dyDescent="0.4">
      <c r="A218" s="5"/>
      <c r="B218" s="40"/>
      <c r="C218" s="4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hidden="1" customHeight="1" x14ac:dyDescent="0.4">
      <c r="A219" s="5"/>
      <c r="B219" s="40"/>
      <c r="C219" s="4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hidden="1" customHeight="1" x14ac:dyDescent="0.4">
      <c r="A220" s="5"/>
      <c r="B220" s="40"/>
      <c r="C220" s="4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hidden="1" customHeight="1" x14ac:dyDescent="0.4">
      <c r="A221" s="5"/>
      <c r="B221" s="40"/>
      <c r="C221" s="4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hidden="1" customHeight="1" x14ac:dyDescent="0.4">
      <c r="A222" s="5"/>
      <c r="B222" s="40"/>
      <c r="C222" s="4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hidden="1" customHeight="1" x14ac:dyDescent="0.4">
      <c r="A223" s="5"/>
      <c r="B223" s="40"/>
      <c r="C223" s="4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hidden="1" customHeight="1" x14ac:dyDescent="0.4">
      <c r="A224" s="5"/>
      <c r="B224" s="40"/>
      <c r="C224" s="4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hidden="1" customHeight="1" x14ac:dyDescent="0.4">
      <c r="A225" s="5"/>
      <c r="B225" s="40"/>
      <c r="C225" s="4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hidden="1" customHeight="1" x14ac:dyDescent="0.4">
      <c r="A226" s="5"/>
      <c r="B226" s="40"/>
      <c r="C226" s="4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hidden="1" customHeight="1" x14ac:dyDescent="0.4">
      <c r="A227" s="5"/>
      <c r="B227" s="40"/>
      <c r="C227" s="4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hidden="1" customHeight="1" x14ac:dyDescent="0.4">
      <c r="A228" s="5"/>
      <c r="B228" s="40"/>
      <c r="C228" s="4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hidden="1" customHeight="1" x14ac:dyDescent="0.4">
      <c r="A229" s="5"/>
      <c r="B229" s="40"/>
      <c r="C229" s="4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hidden="1" customHeight="1" x14ac:dyDescent="0.4">
      <c r="A230" s="5"/>
      <c r="B230" s="40"/>
      <c r="C230" s="4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hidden="1" customHeight="1" x14ac:dyDescent="0.4">
      <c r="A231" s="5"/>
      <c r="B231" s="40"/>
      <c r="C231" s="4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hidden="1" customHeight="1" x14ac:dyDescent="0.4">
      <c r="A232" s="5"/>
      <c r="B232" s="40"/>
      <c r="C232" s="4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hidden="1" customHeight="1" x14ac:dyDescent="0.4">
      <c r="A233" s="5"/>
      <c r="B233" s="40"/>
      <c r="C233" s="4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hidden="1" customHeight="1" x14ac:dyDescent="0.4">
      <c r="A234" s="5"/>
      <c r="B234" s="40"/>
      <c r="C234" s="4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hidden="1" customHeight="1" x14ac:dyDescent="0.4">
      <c r="A235" s="5"/>
      <c r="B235" s="40"/>
      <c r="C235" s="4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hidden="1" customHeight="1" x14ac:dyDescent="0.4">
      <c r="A236" s="5"/>
      <c r="B236" s="40"/>
      <c r="C236" s="4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hidden="1" customHeight="1" x14ac:dyDescent="0.4">
      <c r="A237" s="5"/>
      <c r="B237" s="40"/>
      <c r="C237" s="4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hidden="1" customHeight="1" x14ac:dyDescent="0.4">
      <c r="A238" s="5"/>
      <c r="B238" s="40"/>
      <c r="C238" s="4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hidden="1" customHeight="1" x14ac:dyDescent="0.4">
      <c r="A239" s="5"/>
      <c r="B239" s="40"/>
      <c r="C239" s="4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hidden="1" customHeight="1" x14ac:dyDescent="0.4">
      <c r="A240" s="5"/>
      <c r="B240" s="40"/>
      <c r="C240" s="4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hidden="1" customHeight="1" x14ac:dyDescent="0.4">
      <c r="A241" s="5"/>
      <c r="B241" s="40"/>
      <c r="C241" s="4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hidden="1" customHeight="1" x14ac:dyDescent="0.4">
      <c r="A242" s="5"/>
      <c r="B242" s="40"/>
      <c r="C242" s="4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hidden="1" customHeight="1" x14ac:dyDescent="0.4">
      <c r="A243" s="5"/>
      <c r="B243" s="40"/>
      <c r="C243" s="4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hidden="1" customHeight="1" x14ac:dyDescent="0.4">
      <c r="A244" s="5"/>
      <c r="B244" s="40"/>
      <c r="C244" s="4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hidden="1" customHeight="1" x14ac:dyDescent="0.4">
      <c r="A245" s="5"/>
      <c r="B245" s="40"/>
      <c r="C245" s="4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hidden="1" customHeight="1" x14ac:dyDescent="0.4">
      <c r="A246" s="5"/>
      <c r="B246" s="40"/>
      <c r="C246" s="4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hidden="1" customHeight="1" x14ac:dyDescent="0.4">
      <c r="A247" s="5"/>
      <c r="B247" s="40"/>
      <c r="C247" s="4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hidden="1" customHeight="1" x14ac:dyDescent="0.4">
      <c r="A248" s="5"/>
      <c r="B248" s="40"/>
      <c r="C248" s="4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hidden="1" customHeight="1" x14ac:dyDescent="0.4">
      <c r="A249" s="5"/>
      <c r="B249" s="40"/>
      <c r="C249" s="4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hidden="1" customHeight="1" x14ac:dyDescent="0.4">
      <c r="A250" s="5"/>
      <c r="B250" s="40"/>
      <c r="C250" s="4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hidden="1" customHeight="1" x14ac:dyDescent="0.4">
      <c r="A251" s="5"/>
      <c r="B251" s="40"/>
      <c r="C251" s="4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hidden="1" customHeight="1" x14ac:dyDescent="0.4">
      <c r="A252" s="5"/>
      <c r="B252" s="40"/>
      <c r="C252" s="4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hidden="1" customHeight="1" x14ac:dyDescent="0.4">
      <c r="A253" s="5"/>
      <c r="B253" s="40"/>
      <c r="C253" s="4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hidden="1" customHeight="1" x14ac:dyDescent="0.4">
      <c r="A254" s="5"/>
      <c r="B254" s="40"/>
      <c r="C254" s="4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hidden="1" customHeight="1" x14ac:dyDescent="0.4">
      <c r="A255" s="5"/>
      <c r="B255" s="40"/>
      <c r="C255" s="4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hidden="1" customHeight="1" x14ac:dyDescent="0.4">
      <c r="A256" s="5"/>
      <c r="B256" s="40"/>
      <c r="C256" s="4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hidden="1" customHeight="1" x14ac:dyDescent="0.4">
      <c r="A257" s="5"/>
      <c r="B257" s="40"/>
      <c r="C257" s="4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hidden="1" customHeight="1" x14ac:dyDescent="0.4">
      <c r="A258" s="5"/>
      <c r="B258" s="40"/>
      <c r="C258" s="4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hidden="1" customHeight="1" x14ac:dyDescent="0.4">
      <c r="A259" s="5"/>
      <c r="B259" s="40"/>
      <c r="C259" s="4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hidden="1" customHeight="1" x14ac:dyDescent="0.4">
      <c r="A260" s="5"/>
      <c r="B260" s="40"/>
      <c r="C260" s="4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hidden="1" customHeight="1" x14ac:dyDescent="0.4">
      <c r="A261" s="5"/>
      <c r="B261" s="40"/>
      <c r="C261" s="4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hidden="1" customHeight="1" x14ac:dyDescent="0.4">
      <c r="A262" s="5"/>
      <c r="B262" s="40"/>
      <c r="C262" s="4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hidden="1" customHeight="1" x14ac:dyDescent="0.4">
      <c r="A263" s="5"/>
      <c r="B263" s="40"/>
      <c r="C263" s="4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hidden="1" customHeight="1" x14ac:dyDescent="0.4">
      <c r="A264" s="5"/>
      <c r="B264" s="40"/>
      <c r="C264" s="4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hidden="1" customHeight="1" x14ac:dyDescent="0.4">
      <c r="A265" s="5"/>
      <c r="B265" s="40"/>
      <c r="C265" s="4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hidden="1" customHeight="1" x14ac:dyDescent="0.4">
      <c r="A266" s="5"/>
      <c r="B266" s="40"/>
      <c r="C266" s="4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hidden="1" customHeight="1" x14ac:dyDescent="0.4">
      <c r="A267" s="5"/>
      <c r="B267" s="40"/>
      <c r="C267" s="4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hidden="1" customHeight="1" x14ac:dyDescent="0.4">
      <c r="A268" s="5"/>
      <c r="B268" s="40"/>
      <c r="C268" s="4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hidden="1" customHeight="1" x14ac:dyDescent="0.4">
      <c r="A269" s="5"/>
      <c r="B269" s="40"/>
      <c r="C269" s="4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hidden="1" customHeight="1" x14ac:dyDescent="0.4">
      <c r="A270" s="5"/>
      <c r="B270" s="40"/>
      <c r="C270" s="4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hidden="1" customHeight="1" x14ac:dyDescent="0.4">
      <c r="A271" s="5"/>
      <c r="B271" s="40"/>
      <c r="C271" s="4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hidden="1" customHeight="1" x14ac:dyDescent="0.4">
      <c r="A272" s="5"/>
      <c r="B272" s="40"/>
      <c r="C272" s="4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hidden="1" customHeight="1" x14ac:dyDescent="0.4">
      <c r="A273" s="5"/>
      <c r="B273" s="40"/>
      <c r="C273" s="4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hidden="1" customHeight="1" x14ac:dyDescent="0.4">
      <c r="A274" s="5"/>
      <c r="B274" s="40"/>
      <c r="C274" s="4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hidden="1" customHeight="1" x14ac:dyDescent="0.4">
      <c r="A275" s="5"/>
      <c r="B275" s="40"/>
      <c r="C275" s="4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hidden="1" customHeight="1" x14ac:dyDescent="0.4">
      <c r="A276" s="5"/>
      <c r="B276" s="40"/>
      <c r="C276" s="4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hidden="1" customHeight="1" x14ac:dyDescent="0.4">
      <c r="A277" s="5"/>
      <c r="B277" s="40"/>
      <c r="C277" s="4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hidden="1" customHeight="1" x14ac:dyDescent="0.4">
      <c r="A278" s="5"/>
      <c r="B278" s="40"/>
      <c r="C278" s="4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hidden="1" customHeight="1" x14ac:dyDescent="0.4">
      <c r="A279" s="5"/>
      <c r="B279" s="40"/>
      <c r="C279" s="4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hidden="1" customHeight="1" x14ac:dyDescent="0.4">
      <c r="A280" s="5"/>
      <c r="B280" s="40"/>
      <c r="C280" s="4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hidden="1" customHeight="1" x14ac:dyDescent="0.4">
      <c r="A281" s="5"/>
      <c r="B281" s="40"/>
      <c r="C281" s="4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hidden="1" customHeight="1" x14ac:dyDescent="0.4">
      <c r="A282" s="5"/>
      <c r="B282" s="40"/>
      <c r="C282" s="4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hidden="1" customHeight="1" x14ac:dyDescent="0.4">
      <c r="A283" s="5"/>
      <c r="B283" s="40"/>
      <c r="C283" s="4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hidden="1" customHeight="1" x14ac:dyDescent="0.4">
      <c r="A284" s="5"/>
      <c r="B284" s="40"/>
      <c r="C284" s="4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hidden="1" customHeight="1" x14ac:dyDescent="0.4">
      <c r="A285" s="5"/>
      <c r="B285" s="40"/>
      <c r="C285" s="4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hidden="1" customHeight="1" x14ac:dyDescent="0.4">
      <c r="A286" s="5"/>
      <c r="B286" s="40"/>
      <c r="C286" s="4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hidden="1" customHeight="1" x14ac:dyDescent="0.4">
      <c r="A287" s="5"/>
      <c r="B287" s="40"/>
      <c r="C287" s="4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hidden="1" customHeight="1" x14ac:dyDescent="0.4">
      <c r="A288" s="5"/>
      <c r="B288" s="40"/>
      <c r="C288" s="4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hidden="1" customHeight="1" x14ac:dyDescent="0.4">
      <c r="A289" s="5"/>
      <c r="B289" s="40"/>
      <c r="C289" s="4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hidden="1" customHeight="1" x14ac:dyDescent="0.4">
      <c r="A290" s="5"/>
      <c r="B290" s="40"/>
      <c r="C290" s="4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hidden="1" customHeight="1" x14ac:dyDescent="0.4">
      <c r="A291" s="5"/>
      <c r="B291" s="40"/>
      <c r="C291" s="4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hidden="1" customHeight="1" x14ac:dyDescent="0.4">
      <c r="A292" s="5"/>
      <c r="B292" s="40"/>
      <c r="C292" s="4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hidden="1" customHeight="1" x14ac:dyDescent="0.4">
      <c r="A293" s="5"/>
      <c r="B293" s="40"/>
      <c r="C293" s="4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hidden="1" customHeight="1" x14ac:dyDescent="0.4">
      <c r="A294" s="5"/>
      <c r="B294" s="40"/>
      <c r="C294" s="4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hidden="1" customHeight="1" x14ac:dyDescent="0.4">
      <c r="A295" s="5"/>
      <c r="B295" s="40"/>
      <c r="C295" s="4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hidden="1" customHeight="1" x14ac:dyDescent="0.4">
      <c r="A296" s="5"/>
      <c r="B296" s="40"/>
      <c r="C296" s="4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hidden="1" customHeight="1" x14ac:dyDescent="0.4">
      <c r="A297" s="5"/>
      <c r="B297" s="40"/>
      <c r="C297" s="4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hidden="1" customHeight="1" x14ac:dyDescent="0.4">
      <c r="A298" s="5"/>
      <c r="B298" s="40"/>
      <c r="C298" s="4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hidden="1" customHeight="1" x14ac:dyDescent="0.4">
      <c r="A299" s="5"/>
      <c r="B299" s="40"/>
      <c r="C299" s="4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hidden="1" customHeight="1" x14ac:dyDescent="0.4">
      <c r="A300" s="5"/>
      <c r="B300" s="40"/>
      <c r="C300" s="4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hidden="1" customHeight="1" x14ac:dyDescent="0.4">
      <c r="A301" s="5"/>
      <c r="B301" s="40"/>
      <c r="C301" s="4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hidden="1" customHeight="1" x14ac:dyDescent="0.4">
      <c r="A302" s="5"/>
      <c r="B302" s="40"/>
      <c r="C302" s="4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hidden="1" customHeight="1" x14ac:dyDescent="0.4">
      <c r="A303" s="5"/>
      <c r="B303" s="40"/>
      <c r="C303" s="4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hidden="1" customHeight="1" x14ac:dyDescent="0.4">
      <c r="A304" s="5"/>
      <c r="B304" s="40"/>
      <c r="C304" s="4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hidden="1" customHeight="1" x14ac:dyDescent="0.4">
      <c r="A305" s="5"/>
      <c r="B305" s="40"/>
      <c r="C305" s="4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hidden="1" customHeight="1" x14ac:dyDescent="0.4">
      <c r="A306" s="5"/>
      <c r="B306" s="40"/>
      <c r="C306" s="4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hidden="1" customHeight="1" x14ac:dyDescent="0.4">
      <c r="A307" s="5"/>
      <c r="B307" s="40"/>
      <c r="C307" s="4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hidden="1" customHeight="1" x14ac:dyDescent="0.4">
      <c r="A308" s="5"/>
      <c r="B308" s="40"/>
      <c r="C308" s="4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hidden="1" customHeight="1" x14ac:dyDescent="0.4">
      <c r="A309" s="5"/>
      <c r="B309" s="40"/>
      <c r="C309" s="4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hidden="1" customHeight="1" x14ac:dyDescent="0.4">
      <c r="A310" s="5"/>
      <c r="B310" s="40"/>
      <c r="C310" s="4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hidden="1" customHeight="1" x14ac:dyDescent="0.4">
      <c r="A311" s="5"/>
      <c r="B311" s="40"/>
      <c r="C311" s="4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hidden="1" customHeight="1" x14ac:dyDescent="0.4">
      <c r="A312" s="5"/>
      <c r="B312" s="40"/>
      <c r="C312" s="4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hidden="1" customHeight="1" x14ac:dyDescent="0.4">
      <c r="A313" s="5"/>
      <c r="B313" s="40"/>
      <c r="C313" s="4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hidden="1" customHeight="1" x14ac:dyDescent="0.4">
      <c r="A314" s="5"/>
      <c r="B314" s="40"/>
      <c r="C314" s="4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hidden="1" customHeight="1" x14ac:dyDescent="0.4">
      <c r="A315" s="5"/>
      <c r="B315" s="40"/>
      <c r="C315" s="4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hidden="1" customHeight="1" x14ac:dyDescent="0.4">
      <c r="A316" s="5"/>
      <c r="B316" s="40"/>
      <c r="C316" s="4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hidden="1" customHeight="1" x14ac:dyDescent="0.4">
      <c r="A317" s="5"/>
      <c r="B317" s="40"/>
      <c r="C317" s="4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hidden="1" customHeight="1" x14ac:dyDescent="0.4">
      <c r="A318" s="5"/>
      <c r="B318" s="40"/>
      <c r="C318" s="4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hidden="1" customHeight="1" x14ac:dyDescent="0.4">
      <c r="A319" s="5"/>
      <c r="B319" s="40"/>
      <c r="C319" s="4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hidden="1" customHeight="1" x14ac:dyDescent="0.4">
      <c r="A320" s="5"/>
      <c r="B320" s="40"/>
      <c r="C320" s="4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hidden="1" customHeight="1" x14ac:dyDescent="0.4">
      <c r="A321" s="5"/>
      <c r="B321" s="40"/>
      <c r="C321" s="4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hidden="1" customHeight="1" x14ac:dyDescent="0.4">
      <c r="A322" s="5"/>
      <c r="B322" s="40"/>
      <c r="C322" s="4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hidden="1" customHeight="1" x14ac:dyDescent="0.4">
      <c r="A323" s="5"/>
      <c r="B323" s="40"/>
      <c r="C323" s="4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hidden="1" customHeight="1" x14ac:dyDescent="0.4">
      <c r="A324" s="5"/>
      <c r="B324" s="40"/>
      <c r="C324" s="4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hidden="1" customHeight="1" x14ac:dyDescent="0.4">
      <c r="A325" s="5"/>
      <c r="B325" s="40"/>
      <c r="C325" s="4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hidden="1" customHeight="1" x14ac:dyDescent="0.4">
      <c r="A326" s="5"/>
      <c r="B326" s="40"/>
      <c r="C326" s="4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hidden="1" customHeight="1" x14ac:dyDescent="0.4">
      <c r="A327" s="5"/>
      <c r="B327" s="40"/>
      <c r="C327" s="4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hidden="1" customHeight="1" x14ac:dyDescent="0.4">
      <c r="A328" s="5"/>
      <c r="B328" s="40"/>
      <c r="C328" s="4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hidden="1" customHeight="1" x14ac:dyDescent="0.4">
      <c r="A329" s="5"/>
      <c r="B329" s="40"/>
      <c r="C329" s="4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hidden="1" customHeight="1" x14ac:dyDescent="0.4">
      <c r="A330" s="5"/>
      <c r="B330" s="40"/>
      <c r="C330" s="4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hidden="1" customHeight="1" x14ac:dyDescent="0.4">
      <c r="A331" s="5"/>
      <c r="B331" s="40"/>
      <c r="C331" s="4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hidden="1" customHeight="1" x14ac:dyDescent="0.4">
      <c r="A332" s="5"/>
      <c r="B332" s="40"/>
      <c r="C332" s="4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hidden="1" customHeight="1" x14ac:dyDescent="0.4">
      <c r="A333" s="5"/>
      <c r="B333" s="40"/>
      <c r="C333" s="4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hidden="1" customHeight="1" x14ac:dyDescent="0.4">
      <c r="A334" s="5"/>
      <c r="B334" s="40"/>
      <c r="C334" s="4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hidden="1" customHeight="1" x14ac:dyDescent="0.4">
      <c r="A335" s="5"/>
      <c r="B335" s="40"/>
      <c r="C335" s="4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hidden="1" customHeight="1" x14ac:dyDescent="0.4">
      <c r="A336" s="5"/>
      <c r="B336" s="40"/>
      <c r="C336" s="4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hidden="1" customHeight="1" x14ac:dyDescent="0.4">
      <c r="A337" s="5"/>
      <c r="B337" s="40"/>
      <c r="C337" s="4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hidden="1" customHeight="1" x14ac:dyDescent="0.4">
      <c r="A338" s="5"/>
      <c r="B338" s="40"/>
      <c r="C338" s="4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hidden="1" customHeight="1" x14ac:dyDescent="0.4">
      <c r="A339" s="5"/>
      <c r="B339" s="40"/>
      <c r="C339" s="4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hidden="1" customHeight="1" x14ac:dyDescent="0.4">
      <c r="A340" s="5"/>
      <c r="B340" s="40"/>
      <c r="C340" s="4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hidden="1" customHeight="1" x14ac:dyDescent="0.4">
      <c r="A341" s="5"/>
      <c r="B341" s="40"/>
      <c r="C341" s="4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hidden="1" customHeight="1" x14ac:dyDescent="0.4">
      <c r="A342" s="5"/>
      <c r="B342" s="40"/>
      <c r="C342" s="4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hidden="1" customHeight="1" x14ac:dyDescent="0.4">
      <c r="A343" s="5"/>
      <c r="B343" s="40"/>
      <c r="C343" s="4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hidden="1" customHeight="1" x14ac:dyDescent="0.4">
      <c r="A344" s="5"/>
      <c r="B344" s="40"/>
      <c r="C344" s="4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hidden="1" customHeight="1" x14ac:dyDescent="0.4">
      <c r="A345" s="5"/>
      <c r="B345" s="40"/>
      <c r="C345" s="4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hidden="1" customHeight="1" x14ac:dyDescent="0.4">
      <c r="A346" s="5"/>
      <c r="B346" s="40"/>
      <c r="C346" s="4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hidden="1" customHeight="1" x14ac:dyDescent="0.4">
      <c r="A347" s="5"/>
      <c r="B347" s="40"/>
      <c r="C347" s="4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hidden="1" customHeight="1" x14ac:dyDescent="0.4">
      <c r="A348" s="5"/>
      <c r="B348" s="40"/>
      <c r="C348" s="4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hidden="1" customHeight="1" x14ac:dyDescent="0.4">
      <c r="A349" s="5"/>
      <c r="B349" s="40"/>
      <c r="C349" s="4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hidden="1" customHeight="1" x14ac:dyDescent="0.4">
      <c r="A350" s="5"/>
      <c r="B350" s="40"/>
      <c r="C350" s="4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hidden="1" customHeight="1" x14ac:dyDescent="0.4">
      <c r="A351" s="5"/>
      <c r="B351" s="40"/>
      <c r="C351" s="4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hidden="1" customHeight="1" x14ac:dyDescent="0.4">
      <c r="A352" s="5"/>
      <c r="B352" s="40"/>
      <c r="C352" s="4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hidden="1" customHeight="1" x14ac:dyDescent="0.4">
      <c r="A353" s="5"/>
      <c r="B353" s="40"/>
      <c r="C353" s="4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hidden="1" customHeight="1" x14ac:dyDescent="0.4">
      <c r="A354" s="5"/>
      <c r="B354" s="40"/>
      <c r="C354" s="4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hidden="1" customHeight="1" x14ac:dyDescent="0.4">
      <c r="A355" s="5"/>
      <c r="B355" s="40"/>
      <c r="C355" s="4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hidden="1" customHeight="1" x14ac:dyDescent="0.4">
      <c r="A356" s="5"/>
      <c r="B356" s="40"/>
      <c r="C356" s="4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hidden="1" customHeight="1" x14ac:dyDescent="0.4">
      <c r="A357" s="5"/>
      <c r="B357" s="40"/>
      <c r="C357" s="4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hidden="1" customHeight="1" x14ac:dyDescent="0.4">
      <c r="A358" s="5"/>
      <c r="B358" s="40"/>
      <c r="C358" s="4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hidden="1" customHeight="1" x14ac:dyDescent="0.4">
      <c r="A359" s="5"/>
      <c r="B359" s="40"/>
      <c r="C359" s="4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hidden="1" customHeight="1" x14ac:dyDescent="0.4">
      <c r="A360" s="5"/>
      <c r="B360" s="40"/>
      <c r="C360" s="4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hidden="1" customHeight="1" x14ac:dyDescent="0.4">
      <c r="A361" s="5"/>
      <c r="B361" s="40"/>
      <c r="C361" s="4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hidden="1" customHeight="1" x14ac:dyDescent="0.4">
      <c r="A362" s="5"/>
      <c r="B362" s="40"/>
      <c r="C362" s="4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hidden="1" customHeight="1" x14ac:dyDescent="0.4">
      <c r="A363" s="5"/>
      <c r="B363" s="40"/>
      <c r="C363" s="4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hidden="1" customHeight="1" x14ac:dyDescent="0.4">
      <c r="A364" s="5"/>
      <c r="B364" s="40"/>
      <c r="C364" s="4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hidden="1" customHeight="1" x14ac:dyDescent="0.4">
      <c r="A365" s="5"/>
      <c r="B365" s="40"/>
      <c r="C365" s="4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hidden="1" customHeight="1" x14ac:dyDescent="0.4">
      <c r="A366" s="5"/>
      <c r="B366" s="40"/>
      <c r="C366" s="4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hidden="1" customHeight="1" x14ac:dyDescent="0.4">
      <c r="A367" s="5"/>
      <c r="B367" s="40"/>
      <c r="C367" s="4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hidden="1" customHeight="1" x14ac:dyDescent="0.4">
      <c r="A368" s="5"/>
      <c r="B368" s="40"/>
      <c r="C368" s="4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hidden="1" customHeight="1" x14ac:dyDescent="0.4">
      <c r="A369" s="5"/>
      <c r="B369" s="40"/>
      <c r="C369" s="4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hidden="1" customHeight="1" x14ac:dyDescent="0.4">
      <c r="A370" s="5"/>
      <c r="B370" s="40"/>
      <c r="C370" s="4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hidden="1" customHeight="1" x14ac:dyDescent="0.4">
      <c r="A371" s="5"/>
      <c r="B371" s="40"/>
      <c r="C371" s="4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hidden="1" customHeight="1" x14ac:dyDescent="0.4">
      <c r="A372" s="5"/>
      <c r="B372" s="40"/>
      <c r="C372" s="4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hidden="1" customHeight="1" x14ac:dyDescent="0.4">
      <c r="A373" s="5"/>
      <c r="B373" s="40"/>
      <c r="C373" s="4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hidden="1" customHeight="1" x14ac:dyDescent="0.4">
      <c r="A374" s="5"/>
      <c r="B374" s="40"/>
      <c r="C374" s="4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hidden="1" customHeight="1" x14ac:dyDescent="0.4">
      <c r="A375" s="5"/>
      <c r="B375" s="40"/>
      <c r="C375" s="4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hidden="1" customHeight="1" x14ac:dyDescent="0.4">
      <c r="A376" s="5"/>
      <c r="B376" s="40"/>
      <c r="C376" s="4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hidden="1" customHeight="1" x14ac:dyDescent="0.4">
      <c r="A377" s="5"/>
      <c r="B377" s="40"/>
      <c r="C377" s="4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hidden="1" customHeight="1" x14ac:dyDescent="0.4">
      <c r="A378" s="5"/>
      <c r="B378" s="40"/>
      <c r="C378" s="4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hidden="1" customHeight="1" x14ac:dyDescent="0.4">
      <c r="A379" s="5"/>
      <c r="B379" s="40"/>
      <c r="C379" s="4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hidden="1" customHeight="1" x14ac:dyDescent="0.4">
      <c r="A380" s="5"/>
      <c r="B380" s="40"/>
      <c r="C380" s="4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hidden="1" customHeight="1" x14ac:dyDescent="0.4">
      <c r="A381" s="5"/>
      <c r="B381" s="40"/>
      <c r="C381" s="4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hidden="1" customHeight="1" x14ac:dyDescent="0.4">
      <c r="A382" s="5"/>
      <c r="B382" s="40"/>
      <c r="C382" s="4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hidden="1" customHeight="1" x14ac:dyDescent="0.4">
      <c r="A383" s="5"/>
      <c r="B383" s="40"/>
      <c r="C383" s="4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hidden="1" customHeight="1" x14ac:dyDescent="0.4">
      <c r="A384" s="5"/>
      <c r="B384" s="40"/>
      <c r="C384" s="4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hidden="1" customHeight="1" x14ac:dyDescent="0.4">
      <c r="A385" s="5"/>
      <c r="B385" s="40"/>
      <c r="C385" s="4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hidden="1" customHeight="1" x14ac:dyDescent="0.4">
      <c r="A386" s="5"/>
      <c r="B386" s="40"/>
      <c r="C386" s="4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hidden="1" customHeight="1" x14ac:dyDescent="0.4">
      <c r="A387" s="5"/>
      <c r="B387" s="40"/>
      <c r="C387" s="4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hidden="1" customHeight="1" x14ac:dyDescent="0.4">
      <c r="A388" s="5"/>
      <c r="B388" s="40"/>
      <c r="C388" s="4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hidden="1" customHeight="1" x14ac:dyDescent="0.4">
      <c r="A389" s="5"/>
      <c r="B389" s="40"/>
      <c r="C389" s="4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hidden="1" customHeight="1" x14ac:dyDescent="0.4">
      <c r="A390" s="5"/>
      <c r="B390" s="40"/>
      <c r="C390" s="41"/>
      <c r="D390" s="5"/>
      <c r="E390" s="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hidden="1" customHeight="1" x14ac:dyDescent="0.4">
      <c r="A391" s="5"/>
      <c r="B391" s="40"/>
      <c r="C391" s="41"/>
      <c r="D391" s="5"/>
      <c r="E391" s="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hidden="1" customHeight="1" x14ac:dyDescent="0.4">
      <c r="A392" s="5"/>
      <c r="B392" s="40"/>
      <c r="C392" s="41"/>
      <c r="D392" s="5"/>
      <c r="E392" s="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4"/>
    <row r="394" spans="1:26" ht="15.75" customHeight="1" x14ac:dyDescent="0.4"/>
    <row r="395" spans="1:26" ht="15.75" customHeight="1" x14ac:dyDescent="0.4"/>
    <row r="396" spans="1:26" ht="15.75" customHeight="1" x14ac:dyDescent="0.4"/>
    <row r="397" spans="1:26" ht="15.75" customHeight="1" x14ac:dyDescent="0.4"/>
    <row r="398" spans="1:26" ht="15.75" customHeight="1" x14ac:dyDescent="0.4"/>
    <row r="399" spans="1:26" ht="15.75" customHeight="1" x14ac:dyDescent="0.4"/>
    <row r="400" spans="1:26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69">
    <mergeCell ref="C192:D192"/>
    <mergeCell ref="B164:D164"/>
    <mergeCell ref="C166:D166"/>
    <mergeCell ref="B173:D173"/>
    <mergeCell ref="C175:D175"/>
    <mergeCell ref="B182:D182"/>
    <mergeCell ref="C184:D184"/>
    <mergeCell ref="B186:D186"/>
    <mergeCell ref="A187:D187"/>
    <mergeCell ref="A188:D188"/>
    <mergeCell ref="B189:D189"/>
    <mergeCell ref="C190:D190"/>
    <mergeCell ref="C191:D191"/>
    <mergeCell ref="C91:D91"/>
    <mergeCell ref="B92:D92"/>
    <mergeCell ref="C94:D94"/>
    <mergeCell ref="B101:D101"/>
    <mergeCell ref="C103:D103"/>
    <mergeCell ref="C72:D72"/>
    <mergeCell ref="B79:D79"/>
    <mergeCell ref="C81:D81"/>
    <mergeCell ref="B88:D88"/>
    <mergeCell ref="C90:D90"/>
    <mergeCell ref="B52:D52"/>
    <mergeCell ref="C54:D54"/>
    <mergeCell ref="B61:D61"/>
    <mergeCell ref="C63:D63"/>
    <mergeCell ref="B70:D70"/>
    <mergeCell ref="B39:C41"/>
    <mergeCell ref="A42:D42"/>
    <mergeCell ref="B43:D43"/>
    <mergeCell ref="A44:D44"/>
    <mergeCell ref="C45:D45"/>
    <mergeCell ref="B34:D34"/>
    <mergeCell ref="B35:D35"/>
    <mergeCell ref="B36:D36"/>
    <mergeCell ref="A37:E37"/>
    <mergeCell ref="B38:D38"/>
    <mergeCell ref="E12:E13"/>
    <mergeCell ref="B13:D13"/>
    <mergeCell ref="B14:C16"/>
    <mergeCell ref="A17:D17"/>
    <mergeCell ref="B18:D18"/>
    <mergeCell ref="B150:D150"/>
    <mergeCell ref="C152:D152"/>
    <mergeCell ref="B159:D159"/>
    <mergeCell ref="C161:D161"/>
    <mergeCell ref="B12:D12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C130:D130"/>
    <mergeCell ref="B132:D132"/>
    <mergeCell ref="C134:D134"/>
    <mergeCell ref="B141:D141"/>
    <mergeCell ref="C143:D143"/>
    <mergeCell ref="B110:D110"/>
    <mergeCell ref="C112:D112"/>
    <mergeCell ref="B119:D119"/>
    <mergeCell ref="C121:D121"/>
    <mergeCell ref="B128:D128"/>
  </mergeCells>
  <conditionalFormatting sqref="E30">
    <cfRule type="expression" dxfId="355" priority="1">
      <formula>E30&lt;&gt;#REF!</formula>
    </cfRule>
    <cfRule type="expression" dxfId="354" priority="2">
      <formula>E30&lt;&gt;E34</formula>
    </cfRule>
  </conditionalFormatting>
  <conditionalFormatting sqref="E52 E61">
    <cfRule type="containsBlanks" dxfId="353" priority="3">
      <formula>LEN(TRIM(E52))=0</formula>
    </cfRule>
  </conditionalFormatting>
  <conditionalFormatting sqref="E70">
    <cfRule type="containsBlanks" dxfId="352" priority="4">
      <formula>LEN(TRIM(E70))=0</formula>
    </cfRule>
  </conditionalFormatting>
  <conditionalFormatting sqref="E79">
    <cfRule type="containsBlanks" dxfId="351" priority="5">
      <formula>LEN(TRIM(E79))=0</formula>
    </cfRule>
  </conditionalFormatting>
  <conditionalFormatting sqref="E88">
    <cfRule type="containsBlanks" dxfId="350" priority="6">
      <formula>LEN(TRIM(E88))=0</formula>
    </cfRule>
  </conditionalFormatting>
  <conditionalFormatting sqref="E101">
    <cfRule type="containsBlanks" dxfId="349" priority="7">
      <formula>LEN(TRIM(E101))=0</formula>
    </cfRule>
  </conditionalFormatting>
  <conditionalFormatting sqref="E110">
    <cfRule type="containsBlanks" dxfId="348" priority="8">
      <formula>LEN(TRIM(E110))=0</formula>
    </cfRule>
  </conditionalFormatting>
  <conditionalFormatting sqref="E119">
    <cfRule type="containsBlanks" dxfId="347" priority="9">
      <formula>LEN(TRIM(E119))=0</formula>
    </cfRule>
  </conditionalFormatting>
  <conditionalFormatting sqref="E128">
    <cfRule type="containsBlanks" dxfId="346" priority="10">
      <formula>LEN(TRIM(E128))=0</formula>
    </cfRule>
  </conditionalFormatting>
  <conditionalFormatting sqref="E132">
    <cfRule type="containsBlanks" dxfId="345" priority="11">
      <formula>LEN(TRIM(E132))=0</formula>
    </cfRule>
  </conditionalFormatting>
  <conditionalFormatting sqref="E141">
    <cfRule type="containsBlanks" dxfId="344" priority="12">
      <formula>LEN(TRIM(E141))=0</formula>
    </cfRule>
  </conditionalFormatting>
  <conditionalFormatting sqref="E150">
    <cfRule type="containsBlanks" dxfId="343" priority="13">
      <formula>LEN(TRIM(E150))=0</formula>
    </cfRule>
  </conditionalFormatting>
  <conditionalFormatting sqref="E159">
    <cfRule type="containsBlanks" dxfId="342" priority="14">
      <formula>LEN(TRIM(E159))=0</formula>
    </cfRule>
  </conditionalFormatting>
  <conditionalFormatting sqref="E173">
    <cfRule type="containsBlanks" dxfId="341" priority="15">
      <formula>LEN(TRIM(E173))=0</formula>
    </cfRule>
  </conditionalFormatting>
  <conditionalFormatting sqref="E182">
    <cfRule type="containsBlanks" dxfId="340" priority="16">
      <formula>LEN(TRIM(E182))=0</formula>
    </cfRule>
  </conditionalFormatting>
  <conditionalFormatting sqref="E192">
    <cfRule type="containsBlanks" dxfId="339" priority="17">
      <formula>LEN(TRIM(E192))=0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>
      <pane ySplit="13" topLeftCell="A14" activePane="bottomLeft" state="frozen"/>
      <selection pane="bottomLeft" activeCell="B15" sqref="B15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27" width="8.7109375" customWidth="1"/>
    <col min="28" max="28" width="13.28515625" customWidth="1"/>
    <col min="29" max="30" width="8.7109375" customWidth="1"/>
  </cols>
  <sheetData>
    <row r="1" spans="1:28" ht="12.75" customHeight="1" x14ac:dyDescent="0.4"/>
    <row r="2" spans="1:28" ht="12.75" customHeight="1" x14ac:dyDescent="0.4">
      <c r="C2" s="8" t="s">
        <v>0</v>
      </c>
      <c r="D2" s="8" t="s">
        <v>1</v>
      </c>
    </row>
    <row r="3" spans="1:28" ht="12.75" customHeight="1" x14ac:dyDescent="0.4">
      <c r="C3" s="8" t="s">
        <v>2</v>
      </c>
      <c r="D3" s="8" t="s">
        <v>3</v>
      </c>
    </row>
    <row r="4" spans="1:28" ht="12.75" customHeight="1" x14ac:dyDescent="0.4">
      <c r="C4" s="8" t="s">
        <v>4</v>
      </c>
      <c r="D4" s="8" t="s">
        <v>5</v>
      </c>
    </row>
    <row r="5" spans="1:28" ht="12.75" customHeight="1" x14ac:dyDescent="0.4">
      <c r="C5" s="8"/>
      <c r="D5" s="8"/>
    </row>
    <row r="6" spans="1:28" ht="12.75" customHeight="1" x14ac:dyDescent="0.4">
      <c r="C6" s="8"/>
      <c r="D6" s="8"/>
    </row>
    <row r="7" spans="1:28" ht="12.75" customHeight="1" x14ac:dyDescent="0.4">
      <c r="C7" s="8"/>
      <c r="D7" s="8"/>
    </row>
    <row r="8" spans="1:28" ht="12.75" customHeight="1" x14ac:dyDescent="0.4">
      <c r="C8" s="8"/>
      <c r="D8" s="8"/>
    </row>
    <row r="9" spans="1:28" ht="12.75" customHeight="1" x14ac:dyDescent="0.4">
      <c r="C9" s="8" t="s">
        <v>169</v>
      </c>
      <c r="D9" s="8" t="s">
        <v>170</v>
      </c>
    </row>
    <row r="10" spans="1:28" ht="12.75" customHeight="1" x14ac:dyDescent="0.4"/>
    <row r="11" spans="1:28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8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81" t="s">
        <v>8</v>
      </c>
    </row>
    <row r="13" spans="1:28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69"/>
    </row>
    <row r="14" spans="1:28" ht="12.75" customHeight="1" x14ac:dyDescent="0.4">
      <c r="A14" s="14"/>
      <c r="B14" s="61" t="s">
        <v>11</v>
      </c>
      <c r="C14" s="62"/>
      <c r="D14" s="15" t="s">
        <v>12</v>
      </c>
      <c r="E14" s="15">
        <v>135</v>
      </c>
      <c r="F14" s="15">
        <v>117</v>
      </c>
      <c r="G14" s="15">
        <v>109</v>
      </c>
      <c r="H14" s="15">
        <v>108</v>
      </c>
      <c r="I14" s="15">
        <v>137</v>
      </c>
      <c r="J14" s="15">
        <v>145</v>
      </c>
      <c r="K14" s="15">
        <v>122</v>
      </c>
      <c r="L14" s="15">
        <v>119</v>
      </c>
      <c r="M14" s="15">
        <v>144</v>
      </c>
      <c r="N14" s="15">
        <v>134</v>
      </c>
      <c r="O14" s="15">
        <v>146</v>
      </c>
      <c r="P14" s="15">
        <v>128</v>
      </c>
      <c r="Q14" s="15">
        <v>141</v>
      </c>
      <c r="R14" s="15">
        <v>115</v>
      </c>
      <c r="S14" s="15">
        <v>85</v>
      </c>
      <c r="T14" s="15">
        <v>89</v>
      </c>
      <c r="U14" s="15">
        <v>124</v>
      </c>
      <c r="V14" s="15">
        <v>120</v>
      </c>
      <c r="W14" s="15">
        <v>134</v>
      </c>
      <c r="X14" s="15">
        <v>136</v>
      </c>
      <c r="Y14" s="15">
        <v>131</v>
      </c>
      <c r="Z14" s="15">
        <v>125</v>
      </c>
      <c r="AA14" s="15">
        <v>125</v>
      </c>
      <c r="AB14" s="13">
        <f t="shared" ref="AB14:AB16" si="0">SUM(E14:AA14)</f>
        <v>2869</v>
      </c>
    </row>
    <row r="15" spans="1:28" ht="12.75" customHeight="1" x14ac:dyDescent="0.4">
      <c r="A15" s="14"/>
      <c r="B15" s="63"/>
      <c r="C15" s="64"/>
      <c r="D15" s="15" t="s">
        <v>13</v>
      </c>
      <c r="E15" s="15">
        <v>130</v>
      </c>
      <c r="F15" s="15">
        <v>129</v>
      </c>
      <c r="G15" s="15">
        <v>141</v>
      </c>
      <c r="H15" s="15">
        <v>122</v>
      </c>
      <c r="I15" s="15">
        <v>129</v>
      </c>
      <c r="J15" s="15">
        <v>134</v>
      </c>
      <c r="K15" s="15">
        <v>132</v>
      </c>
      <c r="L15" s="15">
        <v>151</v>
      </c>
      <c r="M15" s="15">
        <v>131</v>
      </c>
      <c r="N15" s="15">
        <v>143</v>
      </c>
      <c r="O15" s="15">
        <v>129</v>
      </c>
      <c r="P15" s="15">
        <v>126</v>
      </c>
      <c r="Q15" s="15">
        <v>125</v>
      </c>
      <c r="R15" s="15">
        <v>114</v>
      </c>
      <c r="S15" s="15">
        <v>102</v>
      </c>
      <c r="T15" s="15">
        <v>101</v>
      </c>
      <c r="U15" s="15">
        <v>129</v>
      </c>
      <c r="V15" s="15">
        <v>131</v>
      </c>
      <c r="W15" s="15">
        <v>126</v>
      </c>
      <c r="X15" s="15">
        <v>122</v>
      </c>
      <c r="Y15" s="15">
        <v>124</v>
      </c>
      <c r="Z15" s="15">
        <v>116</v>
      </c>
      <c r="AA15" s="15">
        <v>114</v>
      </c>
      <c r="AB15" s="13">
        <f t="shared" si="0"/>
        <v>2901</v>
      </c>
    </row>
    <row r="16" spans="1:28" ht="12.75" customHeight="1" x14ac:dyDescent="0.4">
      <c r="A16" s="17"/>
      <c r="B16" s="59"/>
      <c r="C16" s="65"/>
      <c r="D16" s="13" t="s">
        <v>14</v>
      </c>
      <c r="E16" s="13">
        <f t="shared" ref="E16:AA16" si="1">SUM(E14:E15)</f>
        <v>265</v>
      </c>
      <c r="F16" s="13">
        <f t="shared" si="1"/>
        <v>246</v>
      </c>
      <c r="G16" s="13">
        <f t="shared" si="1"/>
        <v>250</v>
      </c>
      <c r="H16" s="13">
        <f t="shared" si="1"/>
        <v>230</v>
      </c>
      <c r="I16" s="13">
        <f t="shared" si="1"/>
        <v>266</v>
      </c>
      <c r="J16" s="13">
        <f t="shared" si="1"/>
        <v>279</v>
      </c>
      <c r="K16" s="13">
        <f t="shared" si="1"/>
        <v>254</v>
      </c>
      <c r="L16" s="13">
        <f t="shared" si="1"/>
        <v>270</v>
      </c>
      <c r="M16" s="13">
        <f t="shared" si="1"/>
        <v>275</v>
      </c>
      <c r="N16" s="13">
        <f t="shared" si="1"/>
        <v>277</v>
      </c>
      <c r="O16" s="13">
        <f t="shared" si="1"/>
        <v>275</v>
      </c>
      <c r="P16" s="13">
        <f t="shared" si="1"/>
        <v>254</v>
      </c>
      <c r="Q16" s="13">
        <f t="shared" si="1"/>
        <v>266</v>
      </c>
      <c r="R16" s="13">
        <f t="shared" si="1"/>
        <v>229</v>
      </c>
      <c r="S16" s="13">
        <f t="shared" si="1"/>
        <v>187</v>
      </c>
      <c r="T16" s="13">
        <f t="shared" si="1"/>
        <v>190</v>
      </c>
      <c r="U16" s="13">
        <f t="shared" si="1"/>
        <v>253</v>
      </c>
      <c r="V16" s="13">
        <f t="shared" si="1"/>
        <v>251</v>
      </c>
      <c r="W16" s="13">
        <f t="shared" si="1"/>
        <v>260</v>
      </c>
      <c r="X16" s="13">
        <f t="shared" si="1"/>
        <v>258</v>
      </c>
      <c r="Y16" s="13">
        <f t="shared" si="1"/>
        <v>255</v>
      </c>
      <c r="Z16" s="13">
        <f t="shared" si="1"/>
        <v>241</v>
      </c>
      <c r="AA16" s="13">
        <f t="shared" si="1"/>
        <v>239</v>
      </c>
      <c r="AB16" s="13">
        <f t="shared" si="0"/>
        <v>5770</v>
      </c>
    </row>
    <row r="17" spans="1:28" ht="12.75" customHeight="1" x14ac:dyDescent="0.4">
      <c r="A17" s="66"/>
      <c r="B17" s="54"/>
      <c r="C17" s="54"/>
      <c r="D17" s="55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</row>
    <row r="18" spans="1:28" ht="12.75" customHeight="1" x14ac:dyDescent="0.4">
      <c r="A18" s="19" t="s">
        <v>15</v>
      </c>
      <c r="B18" s="60" t="s">
        <v>16</v>
      </c>
      <c r="C18" s="54"/>
      <c r="D18" s="55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</row>
    <row r="19" spans="1:28" ht="12.75" customHeight="1" x14ac:dyDescent="0.4">
      <c r="A19" s="19"/>
      <c r="B19" s="70" t="s">
        <v>17</v>
      </c>
      <c r="C19" s="67" t="s">
        <v>18</v>
      </c>
      <c r="D19" s="15" t="s">
        <v>12</v>
      </c>
      <c r="E19" s="15">
        <v>111</v>
      </c>
      <c r="F19" s="15">
        <v>99</v>
      </c>
      <c r="G19" s="15">
        <v>84</v>
      </c>
      <c r="H19" s="15">
        <v>86</v>
      </c>
      <c r="I19" s="15">
        <v>104</v>
      </c>
      <c r="J19" s="15">
        <v>102</v>
      </c>
      <c r="K19" s="15">
        <v>85</v>
      </c>
      <c r="L19" s="15">
        <v>72</v>
      </c>
      <c r="M19" s="15">
        <v>104</v>
      </c>
      <c r="N19" s="15">
        <v>93</v>
      </c>
      <c r="O19" s="15">
        <v>106</v>
      </c>
      <c r="P19" s="15">
        <v>104</v>
      </c>
      <c r="Q19" s="15">
        <v>93</v>
      </c>
      <c r="R19" s="15">
        <v>67</v>
      </c>
      <c r="S19" s="15">
        <v>64</v>
      </c>
      <c r="T19" s="15">
        <v>55</v>
      </c>
      <c r="U19" s="15">
        <v>92</v>
      </c>
      <c r="V19" s="15">
        <v>91</v>
      </c>
      <c r="W19" s="15">
        <v>100</v>
      </c>
      <c r="X19" s="15">
        <v>98</v>
      </c>
      <c r="Y19" s="15">
        <v>100</v>
      </c>
      <c r="Z19" s="15">
        <v>104</v>
      </c>
      <c r="AA19" s="15">
        <v>95</v>
      </c>
      <c r="AB19" s="13">
        <f t="shared" ref="AB19:AB30" si="2">SUM(E19:AA19)</f>
        <v>2109</v>
      </c>
    </row>
    <row r="20" spans="1:28" ht="12.75" customHeight="1" x14ac:dyDescent="0.4">
      <c r="A20" s="20"/>
      <c r="B20" s="64"/>
      <c r="C20" s="68"/>
      <c r="D20" s="15" t="s">
        <v>13</v>
      </c>
      <c r="E20" s="15">
        <v>114</v>
      </c>
      <c r="F20" s="15">
        <v>104</v>
      </c>
      <c r="G20" s="15">
        <v>115</v>
      </c>
      <c r="H20" s="15">
        <v>98</v>
      </c>
      <c r="I20" s="15">
        <v>108</v>
      </c>
      <c r="J20" s="15">
        <v>102</v>
      </c>
      <c r="K20" s="15">
        <v>120</v>
      </c>
      <c r="L20" s="15">
        <v>108</v>
      </c>
      <c r="M20" s="15">
        <v>111</v>
      </c>
      <c r="N20" s="15">
        <v>110</v>
      </c>
      <c r="O20" s="15">
        <v>102</v>
      </c>
      <c r="P20" s="15">
        <v>107</v>
      </c>
      <c r="Q20" s="15">
        <v>97</v>
      </c>
      <c r="R20" s="15">
        <v>81</v>
      </c>
      <c r="S20" s="15">
        <v>81</v>
      </c>
      <c r="T20" s="15">
        <v>71</v>
      </c>
      <c r="U20" s="15">
        <v>107</v>
      </c>
      <c r="V20" s="15">
        <v>112</v>
      </c>
      <c r="W20" s="15">
        <v>98</v>
      </c>
      <c r="X20" s="15">
        <v>104</v>
      </c>
      <c r="Y20" s="15">
        <v>92</v>
      </c>
      <c r="Z20" s="15">
        <v>101</v>
      </c>
      <c r="AA20" s="15">
        <v>94</v>
      </c>
      <c r="AB20" s="13">
        <f t="shared" si="2"/>
        <v>2337</v>
      </c>
    </row>
    <row r="21" spans="1:28" ht="12.75" customHeight="1" x14ac:dyDescent="0.4">
      <c r="A21" s="21"/>
      <c r="B21" s="65"/>
      <c r="C21" s="69"/>
      <c r="D21" s="13" t="s">
        <v>14</v>
      </c>
      <c r="E21" s="13">
        <v>225</v>
      </c>
      <c r="F21" s="13">
        <v>203</v>
      </c>
      <c r="G21" s="13">
        <v>199</v>
      </c>
      <c r="H21" s="13">
        <v>184</v>
      </c>
      <c r="I21" s="13">
        <v>212</v>
      </c>
      <c r="J21" s="13">
        <v>204</v>
      </c>
      <c r="K21" s="13">
        <v>205</v>
      </c>
      <c r="L21" s="13">
        <v>180</v>
      </c>
      <c r="M21" s="13">
        <v>215</v>
      </c>
      <c r="N21" s="13">
        <v>203</v>
      </c>
      <c r="O21" s="13">
        <v>208</v>
      </c>
      <c r="P21" s="13">
        <v>211</v>
      </c>
      <c r="Q21" s="13">
        <v>190</v>
      </c>
      <c r="R21" s="13">
        <v>148</v>
      </c>
      <c r="S21" s="13">
        <v>145</v>
      </c>
      <c r="T21" s="13">
        <v>126</v>
      </c>
      <c r="U21" s="13">
        <v>199</v>
      </c>
      <c r="V21" s="13">
        <v>203</v>
      </c>
      <c r="W21" s="13">
        <v>198</v>
      </c>
      <c r="X21" s="13">
        <v>202</v>
      </c>
      <c r="Y21" s="13">
        <v>192</v>
      </c>
      <c r="Z21" s="13">
        <v>205</v>
      </c>
      <c r="AA21" s="13">
        <v>189</v>
      </c>
      <c r="AB21" s="13">
        <f t="shared" si="2"/>
        <v>4446</v>
      </c>
    </row>
    <row r="22" spans="1:28" ht="12.75" customHeight="1" x14ac:dyDescent="0.4">
      <c r="A22" s="20"/>
      <c r="B22" s="70" t="s">
        <v>19</v>
      </c>
      <c r="C22" s="67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3">
        <f t="shared" si="2"/>
        <v>0</v>
      </c>
    </row>
    <row r="23" spans="1:28" ht="12.75" customHeight="1" x14ac:dyDescent="0.4">
      <c r="A23" s="20"/>
      <c r="B23" s="64"/>
      <c r="C23" s="68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3">
        <f t="shared" si="2"/>
        <v>0</v>
      </c>
    </row>
    <row r="24" spans="1:28" ht="12.75" customHeight="1" x14ac:dyDescent="0.4">
      <c r="A24" s="21"/>
      <c r="B24" s="65"/>
      <c r="C24" s="69"/>
      <c r="D24" s="13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f t="shared" si="2"/>
        <v>0</v>
      </c>
    </row>
    <row r="25" spans="1:28" ht="12.75" customHeight="1" x14ac:dyDescent="0.4">
      <c r="A25" s="20"/>
      <c r="B25" s="70" t="s">
        <v>21</v>
      </c>
      <c r="C25" s="67" t="s">
        <v>22</v>
      </c>
      <c r="D25" s="15" t="s">
        <v>12</v>
      </c>
      <c r="E25" s="15">
        <v>0</v>
      </c>
      <c r="F25" s="15">
        <v>0</v>
      </c>
      <c r="G25" s="15">
        <v>4</v>
      </c>
      <c r="H25" s="15">
        <v>0</v>
      </c>
      <c r="I25" s="15">
        <v>1</v>
      </c>
      <c r="J25" s="15">
        <v>3</v>
      </c>
      <c r="K25" s="15">
        <v>1</v>
      </c>
      <c r="L25" s="15">
        <v>1</v>
      </c>
      <c r="M25" s="15">
        <v>0</v>
      </c>
      <c r="N25" s="15">
        <v>3</v>
      </c>
      <c r="O25" s="15">
        <v>1</v>
      </c>
      <c r="P25" s="15">
        <v>2</v>
      </c>
      <c r="Q25" s="15">
        <v>4</v>
      </c>
      <c r="R25" s="15">
        <v>3</v>
      </c>
      <c r="S25" s="15">
        <v>0</v>
      </c>
      <c r="T25" s="15">
        <v>6</v>
      </c>
      <c r="U25" s="15">
        <v>0</v>
      </c>
      <c r="V25" s="15">
        <v>4</v>
      </c>
      <c r="W25" s="15">
        <v>1</v>
      </c>
      <c r="X25" s="15">
        <v>0</v>
      </c>
      <c r="Y25" s="15">
        <v>3</v>
      </c>
      <c r="Z25" s="15">
        <v>3</v>
      </c>
      <c r="AA25" s="15">
        <v>1</v>
      </c>
      <c r="AB25" s="13">
        <f t="shared" si="2"/>
        <v>41</v>
      </c>
    </row>
    <row r="26" spans="1:28" ht="12.75" customHeight="1" x14ac:dyDescent="0.4">
      <c r="A26" s="20"/>
      <c r="B26" s="64"/>
      <c r="C26" s="68"/>
      <c r="D26" s="15" t="s">
        <v>13</v>
      </c>
      <c r="E26" s="15">
        <v>0</v>
      </c>
      <c r="F26" s="15">
        <v>0</v>
      </c>
      <c r="G26" s="15">
        <v>2</v>
      </c>
      <c r="H26" s="15">
        <v>0</v>
      </c>
      <c r="I26" s="15">
        <v>3</v>
      </c>
      <c r="J26" s="15">
        <v>6</v>
      </c>
      <c r="K26" s="15">
        <v>0</v>
      </c>
      <c r="L26" s="15">
        <v>2</v>
      </c>
      <c r="M26" s="15">
        <v>2</v>
      </c>
      <c r="N26" s="15">
        <v>1</v>
      </c>
      <c r="O26" s="15">
        <v>3</v>
      </c>
      <c r="P26" s="15">
        <v>4</v>
      </c>
      <c r="Q26" s="15">
        <v>3</v>
      </c>
      <c r="R26" s="15">
        <v>3</v>
      </c>
      <c r="S26" s="15">
        <v>0</v>
      </c>
      <c r="T26" s="15">
        <v>6</v>
      </c>
      <c r="U26" s="15">
        <v>0</v>
      </c>
      <c r="V26" s="15">
        <v>2</v>
      </c>
      <c r="W26" s="15">
        <v>2</v>
      </c>
      <c r="X26" s="15">
        <v>0</v>
      </c>
      <c r="Y26" s="15">
        <v>1</v>
      </c>
      <c r="Z26" s="15">
        <v>0</v>
      </c>
      <c r="AA26" s="15">
        <v>0</v>
      </c>
      <c r="AB26" s="13">
        <f t="shared" si="2"/>
        <v>40</v>
      </c>
    </row>
    <row r="27" spans="1:28" ht="12.75" customHeight="1" x14ac:dyDescent="0.4">
      <c r="A27" s="21"/>
      <c r="B27" s="65"/>
      <c r="C27" s="69"/>
      <c r="D27" s="13" t="s">
        <v>14</v>
      </c>
      <c r="E27" s="13">
        <v>0</v>
      </c>
      <c r="F27" s="13">
        <v>0</v>
      </c>
      <c r="G27" s="13">
        <v>6</v>
      </c>
      <c r="H27" s="13">
        <v>0</v>
      </c>
      <c r="I27" s="13">
        <v>4</v>
      </c>
      <c r="J27" s="13">
        <v>9</v>
      </c>
      <c r="K27" s="13">
        <v>1</v>
      </c>
      <c r="L27" s="13">
        <v>3</v>
      </c>
      <c r="M27" s="13">
        <v>2</v>
      </c>
      <c r="N27" s="13">
        <v>4</v>
      </c>
      <c r="O27" s="13">
        <v>4</v>
      </c>
      <c r="P27" s="13">
        <v>6</v>
      </c>
      <c r="Q27" s="13">
        <v>7</v>
      </c>
      <c r="R27" s="13">
        <v>6</v>
      </c>
      <c r="S27" s="13">
        <v>0</v>
      </c>
      <c r="T27" s="13">
        <v>12</v>
      </c>
      <c r="U27" s="13">
        <v>0</v>
      </c>
      <c r="V27" s="13">
        <v>6</v>
      </c>
      <c r="W27" s="13">
        <v>3</v>
      </c>
      <c r="X27" s="13">
        <v>0</v>
      </c>
      <c r="Y27" s="13">
        <v>4</v>
      </c>
      <c r="Z27" s="13">
        <v>3</v>
      </c>
      <c r="AA27" s="13">
        <v>1</v>
      </c>
      <c r="AB27" s="13">
        <f t="shared" si="2"/>
        <v>81</v>
      </c>
    </row>
    <row r="28" spans="1:28" ht="12.75" customHeight="1" x14ac:dyDescent="0.4">
      <c r="A28" s="21"/>
      <c r="B28" s="71" t="s">
        <v>23</v>
      </c>
      <c r="C28" s="72" t="s">
        <v>24</v>
      </c>
      <c r="D28" s="13" t="s">
        <v>12</v>
      </c>
      <c r="E28" s="13">
        <v>111</v>
      </c>
      <c r="F28" s="13">
        <v>99</v>
      </c>
      <c r="G28" s="13">
        <v>88</v>
      </c>
      <c r="H28" s="13">
        <v>86</v>
      </c>
      <c r="I28" s="13">
        <v>105</v>
      </c>
      <c r="J28" s="13">
        <v>105</v>
      </c>
      <c r="K28" s="13">
        <v>86</v>
      </c>
      <c r="L28" s="13">
        <v>73</v>
      </c>
      <c r="M28" s="13">
        <v>104</v>
      </c>
      <c r="N28" s="13">
        <v>96</v>
      </c>
      <c r="O28" s="13">
        <v>107</v>
      </c>
      <c r="P28" s="13">
        <v>106</v>
      </c>
      <c r="Q28" s="13">
        <v>97</v>
      </c>
      <c r="R28" s="13">
        <v>70</v>
      </c>
      <c r="S28" s="13">
        <v>64</v>
      </c>
      <c r="T28" s="13">
        <v>61</v>
      </c>
      <c r="U28" s="13">
        <v>92</v>
      </c>
      <c r="V28" s="13">
        <v>95</v>
      </c>
      <c r="W28" s="13">
        <v>101</v>
      </c>
      <c r="X28" s="13">
        <v>98</v>
      </c>
      <c r="Y28" s="13">
        <v>103</v>
      </c>
      <c r="Z28" s="13">
        <v>107</v>
      </c>
      <c r="AA28" s="13">
        <v>96</v>
      </c>
      <c r="AB28" s="13">
        <f t="shared" si="2"/>
        <v>2150</v>
      </c>
    </row>
    <row r="29" spans="1:28" ht="12.75" customHeight="1" x14ac:dyDescent="0.4">
      <c r="A29" s="21"/>
      <c r="B29" s="64"/>
      <c r="C29" s="68"/>
      <c r="D29" s="13" t="s">
        <v>13</v>
      </c>
      <c r="E29" s="13">
        <v>114</v>
      </c>
      <c r="F29" s="13">
        <v>104</v>
      </c>
      <c r="G29" s="13">
        <v>117</v>
      </c>
      <c r="H29" s="13">
        <v>98</v>
      </c>
      <c r="I29" s="13">
        <v>111</v>
      </c>
      <c r="J29" s="13">
        <v>108</v>
      </c>
      <c r="K29" s="13">
        <v>120</v>
      </c>
      <c r="L29" s="13">
        <v>110</v>
      </c>
      <c r="M29" s="13">
        <v>113</v>
      </c>
      <c r="N29" s="13">
        <v>111</v>
      </c>
      <c r="O29" s="13">
        <v>105</v>
      </c>
      <c r="P29" s="13">
        <v>111</v>
      </c>
      <c r="Q29" s="13">
        <v>100</v>
      </c>
      <c r="R29" s="13">
        <v>84</v>
      </c>
      <c r="S29" s="13">
        <v>81</v>
      </c>
      <c r="T29" s="13">
        <v>77</v>
      </c>
      <c r="U29" s="13">
        <v>107</v>
      </c>
      <c r="V29" s="13">
        <v>114</v>
      </c>
      <c r="W29" s="13">
        <v>100</v>
      </c>
      <c r="X29" s="13">
        <v>104</v>
      </c>
      <c r="Y29" s="13">
        <v>93</v>
      </c>
      <c r="Z29" s="13">
        <v>101</v>
      </c>
      <c r="AA29" s="13">
        <v>94</v>
      </c>
      <c r="AB29" s="13">
        <f t="shared" si="2"/>
        <v>2377</v>
      </c>
    </row>
    <row r="30" spans="1:28" ht="12.75" customHeight="1" x14ac:dyDescent="0.4">
      <c r="A30" s="21"/>
      <c r="B30" s="65"/>
      <c r="C30" s="69"/>
      <c r="D30" s="13" t="s">
        <v>14</v>
      </c>
      <c r="E30" s="13">
        <f t="shared" ref="E30:AA30" si="3">SUM(E28:E29)</f>
        <v>225</v>
      </c>
      <c r="F30" s="13">
        <f t="shared" si="3"/>
        <v>203</v>
      </c>
      <c r="G30" s="13">
        <f t="shared" si="3"/>
        <v>205</v>
      </c>
      <c r="H30" s="13">
        <f t="shared" si="3"/>
        <v>184</v>
      </c>
      <c r="I30" s="13">
        <f t="shared" si="3"/>
        <v>216</v>
      </c>
      <c r="J30" s="13">
        <f t="shared" si="3"/>
        <v>213</v>
      </c>
      <c r="K30" s="13">
        <f t="shared" si="3"/>
        <v>206</v>
      </c>
      <c r="L30" s="13">
        <f t="shared" si="3"/>
        <v>183</v>
      </c>
      <c r="M30" s="13">
        <f t="shared" si="3"/>
        <v>217</v>
      </c>
      <c r="N30" s="13">
        <f t="shared" si="3"/>
        <v>207</v>
      </c>
      <c r="O30" s="13">
        <f t="shared" si="3"/>
        <v>212</v>
      </c>
      <c r="P30" s="13">
        <f t="shared" si="3"/>
        <v>217</v>
      </c>
      <c r="Q30" s="13">
        <f t="shared" si="3"/>
        <v>197</v>
      </c>
      <c r="R30" s="13">
        <f t="shared" si="3"/>
        <v>154</v>
      </c>
      <c r="S30" s="13">
        <f t="shared" si="3"/>
        <v>145</v>
      </c>
      <c r="T30" s="13">
        <f t="shared" si="3"/>
        <v>138</v>
      </c>
      <c r="U30" s="13">
        <f t="shared" si="3"/>
        <v>199</v>
      </c>
      <c r="V30" s="13">
        <f t="shared" si="3"/>
        <v>209</v>
      </c>
      <c r="W30" s="13">
        <f t="shared" si="3"/>
        <v>201</v>
      </c>
      <c r="X30" s="13">
        <f t="shared" si="3"/>
        <v>202</v>
      </c>
      <c r="Y30" s="13">
        <f t="shared" si="3"/>
        <v>196</v>
      </c>
      <c r="Z30" s="13">
        <f t="shared" si="3"/>
        <v>208</v>
      </c>
      <c r="AA30" s="13">
        <f t="shared" si="3"/>
        <v>190</v>
      </c>
      <c r="AB30" s="13">
        <f t="shared" si="2"/>
        <v>4527</v>
      </c>
    </row>
    <row r="31" spans="1:28" ht="12.75" customHeight="1" x14ac:dyDescent="0.4">
      <c r="A31" s="66"/>
      <c r="B31" s="54"/>
      <c r="C31" s="54"/>
      <c r="D31" s="55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</row>
    <row r="32" spans="1:28" ht="12.75" customHeight="1" x14ac:dyDescent="0.4">
      <c r="A32" s="24" t="s">
        <v>25</v>
      </c>
      <c r="B32" s="57" t="s">
        <v>26</v>
      </c>
      <c r="C32" s="54"/>
      <c r="D32" s="55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3"/>
    </row>
    <row r="33" spans="1:28" ht="12.75" customHeight="1" x14ac:dyDescent="0.4">
      <c r="A33" s="15">
        <v>1</v>
      </c>
      <c r="B33" s="60" t="s">
        <v>27</v>
      </c>
      <c r="C33" s="54"/>
      <c r="D33" s="55"/>
      <c r="E33" s="15">
        <v>271</v>
      </c>
      <c r="F33" s="15">
        <v>251</v>
      </c>
      <c r="G33" s="15">
        <v>255</v>
      </c>
      <c r="H33" s="15">
        <v>235</v>
      </c>
      <c r="I33" s="15">
        <v>272</v>
      </c>
      <c r="J33" s="15">
        <v>285</v>
      </c>
      <c r="K33" s="15">
        <v>260</v>
      </c>
      <c r="L33" s="15">
        <v>276</v>
      </c>
      <c r="M33" s="15">
        <v>261</v>
      </c>
      <c r="N33" s="15">
        <v>283</v>
      </c>
      <c r="O33" s="15">
        <v>281</v>
      </c>
      <c r="P33" s="15">
        <v>260</v>
      </c>
      <c r="Q33" s="15">
        <v>272</v>
      </c>
      <c r="R33" s="15">
        <v>233</v>
      </c>
      <c r="S33" s="15">
        <v>191</v>
      </c>
      <c r="T33" s="15">
        <v>194</v>
      </c>
      <c r="U33" s="15">
        <v>250</v>
      </c>
      <c r="V33" s="15">
        <v>257</v>
      </c>
      <c r="W33" s="15">
        <v>266</v>
      </c>
      <c r="X33" s="15">
        <v>264</v>
      </c>
      <c r="Y33" s="15">
        <v>261</v>
      </c>
      <c r="Z33" s="15">
        <v>246</v>
      </c>
      <c r="AA33" s="15">
        <v>245</v>
      </c>
      <c r="AB33" s="13">
        <f t="shared" ref="AB33:AB36" si="4">SUM(E33:AA33)</f>
        <v>5869</v>
      </c>
    </row>
    <row r="34" spans="1:28" ht="12.75" customHeight="1" x14ac:dyDescent="0.4">
      <c r="A34" s="15">
        <v>2</v>
      </c>
      <c r="B34" s="60" t="s">
        <v>28</v>
      </c>
      <c r="C34" s="54"/>
      <c r="D34" s="55"/>
      <c r="E34" s="13">
        <v>225</v>
      </c>
      <c r="F34" s="13">
        <v>203</v>
      </c>
      <c r="G34" s="13">
        <v>205</v>
      </c>
      <c r="H34" s="13">
        <v>184</v>
      </c>
      <c r="I34" s="13">
        <v>216</v>
      </c>
      <c r="J34" s="13">
        <v>213</v>
      </c>
      <c r="K34" s="13">
        <v>206</v>
      </c>
      <c r="L34" s="13">
        <v>183</v>
      </c>
      <c r="M34" s="13">
        <v>217</v>
      </c>
      <c r="N34" s="13">
        <v>207</v>
      </c>
      <c r="O34" s="13">
        <v>212</v>
      </c>
      <c r="P34" s="13">
        <v>217</v>
      </c>
      <c r="Q34" s="13">
        <v>197</v>
      </c>
      <c r="R34" s="13">
        <v>154</v>
      </c>
      <c r="S34" s="13">
        <v>145</v>
      </c>
      <c r="T34" s="13">
        <v>138</v>
      </c>
      <c r="U34" s="13">
        <v>199</v>
      </c>
      <c r="V34" s="13">
        <v>209</v>
      </c>
      <c r="W34" s="13">
        <v>201</v>
      </c>
      <c r="X34" s="13">
        <v>202</v>
      </c>
      <c r="Y34" s="13">
        <v>196</v>
      </c>
      <c r="Z34" s="13">
        <v>208</v>
      </c>
      <c r="AA34" s="13">
        <v>190</v>
      </c>
      <c r="AB34" s="13">
        <f t="shared" si="4"/>
        <v>4527</v>
      </c>
    </row>
    <row r="35" spans="1:28" ht="12.75" customHeight="1" x14ac:dyDescent="0.4">
      <c r="A35" s="15">
        <v>3</v>
      </c>
      <c r="B35" s="60" t="s">
        <v>29</v>
      </c>
      <c r="C35" s="54"/>
      <c r="D35" s="55"/>
      <c r="E35" s="15">
        <v>0</v>
      </c>
      <c r="F35" s="15">
        <v>0</v>
      </c>
      <c r="G35" s="15">
        <v>0</v>
      </c>
      <c r="H35" s="15">
        <v>3</v>
      </c>
      <c r="I35" s="15">
        <v>0</v>
      </c>
      <c r="J35" s="15">
        <v>6</v>
      </c>
      <c r="K35" s="15">
        <v>0</v>
      </c>
      <c r="L35" s="15">
        <v>0</v>
      </c>
      <c r="M35" s="15">
        <v>0</v>
      </c>
      <c r="N35" s="15">
        <v>2</v>
      </c>
      <c r="O35" s="15">
        <v>1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3">
        <f t="shared" si="4"/>
        <v>13</v>
      </c>
    </row>
    <row r="36" spans="1:28" ht="12.75" customHeight="1" x14ac:dyDescent="0.4">
      <c r="A36" s="15">
        <v>4</v>
      </c>
      <c r="B36" s="60" t="s">
        <v>30</v>
      </c>
      <c r="C36" s="54"/>
      <c r="D36" s="55"/>
      <c r="E36" s="13">
        <v>46</v>
      </c>
      <c r="F36" s="13">
        <v>48</v>
      </c>
      <c r="G36" s="13">
        <v>50</v>
      </c>
      <c r="H36" s="13">
        <v>48</v>
      </c>
      <c r="I36" s="13">
        <v>56</v>
      </c>
      <c r="J36" s="13">
        <v>66</v>
      </c>
      <c r="K36" s="13">
        <v>54</v>
      </c>
      <c r="L36" s="13">
        <v>93</v>
      </c>
      <c r="M36" s="13">
        <v>44</v>
      </c>
      <c r="N36" s="13">
        <v>74</v>
      </c>
      <c r="O36" s="13">
        <v>68</v>
      </c>
      <c r="P36" s="13">
        <v>42</v>
      </c>
      <c r="Q36" s="13">
        <v>75</v>
      </c>
      <c r="R36" s="13">
        <v>79</v>
      </c>
      <c r="S36" s="13">
        <v>46</v>
      </c>
      <c r="T36" s="13">
        <v>56</v>
      </c>
      <c r="U36" s="13">
        <v>51</v>
      </c>
      <c r="V36" s="13">
        <v>48</v>
      </c>
      <c r="W36" s="13">
        <v>65</v>
      </c>
      <c r="X36" s="13">
        <v>62</v>
      </c>
      <c r="Y36" s="13">
        <v>65</v>
      </c>
      <c r="Z36" s="13">
        <v>38</v>
      </c>
      <c r="AA36" s="13">
        <v>55</v>
      </c>
      <c r="AB36" s="13">
        <f t="shared" si="4"/>
        <v>1329</v>
      </c>
    </row>
    <row r="37" spans="1:28" ht="12.75" customHeight="1" x14ac:dyDescent="0.4">
      <c r="A37" s="66"/>
      <c r="B37" s="54"/>
      <c r="C37" s="54"/>
      <c r="D37" s="54"/>
      <c r="E37" s="66"/>
      <c r="F37" s="54"/>
      <c r="G37" s="54"/>
      <c r="H37" s="54"/>
      <c r="I37" s="55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3"/>
    </row>
    <row r="38" spans="1:28" ht="12.75" customHeight="1" x14ac:dyDescent="0.4">
      <c r="A38" s="25" t="s">
        <v>31</v>
      </c>
      <c r="B38" s="57" t="s">
        <v>32</v>
      </c>
      <c r="C38" s="54"/>
      <c r="D38" s="55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3"/>
    </row>
    <row r="39" spans="1:28" ht="12.75" customHeight="1" x14ac:dyDescent="0.4">
      <c r="A39" s="19"/>
      <c r="B39" s="73" t="s">
        <v>33</v>
      </c>
      <c r="C39" s="62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3">
        <f t="shared" ref="AB39:AB41" si="5">SUM(E39:AA39)</f>
        <v>3</v>
      </c>
    </row>
    <row r="40" spans="1:28" ht="12.75" customHeight="1" x14ac:dyDescent="0.4">
      <c r="A40" s="20"/>
      <c r="B40" s="74"/>
      <c r="C40" s="64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1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3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2</v>
      </c>
      <c r="AB40" s="13">
        <f t="shared" si="5"/>
        <v>6</v>
      </c>
    </row>
    <row r="41" spans="1:28" ht="12.75" customHeight="1" x14ac:dyDescent="0.4">
      <c r="A41" s="24"/>
      <c r="B41" s="75"/>
      <c r="C41" s="65"/>
      <c r="D41" s="13" t="s">
        <v>14</v>
      </c>
      <c r="E41" s="13">
        <f t="shared" ref="E41:AA41" si="6">SUM(E39:E40)</f>
        <v>0</v>
      </c>
      <c r="F41" s="13">
        <f t="shared" si="6"/>
        <v>0</v>
      </c>
      <c r="G41" s="13">
        <f t="shared" si="6"/>
        <v>0</v>
      </c>
      <c r="H41" s="13">
        <f t="shared" si="6"/>
        <v>0</v>
      </c>
      <c r="I41" s="13">
        <f t="shared" si="6"/>
        <v>2</v>
      </c>
      <c r="J41" s="13">
        <f t="shared" si="6"/>
        <v>0</v>
      </c>
      <c r="K41" s="13">
        <f t="shared" si="6"/>
        <v>0</v>
      </c>
      <c r="L41" s="13">
        <f t="shared" si="6"/>
        <v>0</v>
      </c>
      <c r="M41" s="13">
        <f t="shared" si="6"/>
        <v>0</v>
      </c>
      <c r="N41" s="13">
        <f t="shared" si="6"/>
        <v>0</v>
      </c>
      <c r="O41" s="13">
        <f t="shared" si="6"/>
        <v>0</v>
      </c>
      <c r="P41" s="13">
        <f t="shared" si="6"/>
        <v>0</v>
      </c>
      <c r="Q41" s="13">
        <f t="shared" si="6"/>
        <v>0</v>
      </c>
      <c r="R41" s="13">
        <f t="shared" si="6"/>
        <v>4</v>
      </c>
      <c r="S41" s="13">
        <f t="shared" si="6"/>
        <v>0</v>
      </c>
      <c r="T41" s="13">
        <f t="shared" si="6"/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0</v>
      </c>
      <c r="Y41" s="13">
        <f t="shared" si="6"/>
        <v>0</v>
      </c>
      <c r="Z41" s="13">
        <f t="shared" si="6"/>
        <v>0</v>
      </c>
      <c r="AA41" s="13">
        <f t="shared" si="6"/>
        <v>3</v>
      </c>
      <c r="AB41" s="13">
        <f t="shared" si="5"/>
        <v>9</v>
      </c>
    </row>
    <row r="42" spans="1:28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42"/>
      <c r="AA42" s="15"/>
      <c r="AB42" s="13"/>
    </row>
    <row r="43" spans="1:28" ht="12.75" customHeight="1" x14ac:dyDescent="0.4">
      <c r="A43" s="25" t="s">
        <v>34</v>
      </c>
      <c r="B43" s="57" t="s">
        <v>35</v>
      </c>
      <c r="C43" s="54"/>
      <c r="D43" s="55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44"/>
      <c r="Y43" s="13"/>
      <c r="Z43" s="44"/>
      <c r="AA43" s="13"/>
      <c r="AB43" s="13"/>
    </row>
    <row r="44" spans="1:28" ht="12.75" customHeight="1" x14ac:dyDescent="0.4">
      <c r="A44" s="73" t="s">
        <v>36</v>
      </c>
      <c r="B44" s="77"/>
      <c r="C44" s="77"/>
      <c r="D44" s="62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42"/>
      <c r="Y44" s="15"/>
      <c r="Z44" s="42"/>
      <c r="AA44" s="15"/>
      <c r="AB44" s="13"/>
    </row>
    <row r="45" spans="1:28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2</v>
      </c>
      <c r="F45" s="15">
        <v>1</v>
      </c>
      <c r="G45" s="15">
        <v>2</v>
      </c>
      <c r="H45" s="15">
        <v>2</v>
      </c>
      <c r="I45" s="15">
        <v>5</v>
      </c>
      <c r="J45" s="15">
        <v>0</v>
      </c>
      <c r="K45" s="15">
        <v>5</v>
      </c>
      <c r="L45" s="15">
        <v>2</v>
      </c>
      <c r="M45" s="15">
        <v>7</v>
      </c>
      <c r="N45" s="15">
        <v>6</v>
      </c>
      <c r="O45" s="15">
        <v>1</v>
      </c>
      <c r="P45" s="15">
        <v>15</v>
      </c>
      <c r="Q45" s="15">
        <v>19</v>
      </c>
      <c r="R45" s="15">
        <v>10</v>
      </c>
      <c r="S45" s="15">
        <v>2</v>
      </c>
      <c r="T45" s="15">
        <v>1</v>
      </c>
      <c r="U45" s="15">
        <v>4</v>
      </c>
      <c r="V45" s="15">
        <v>6</v>
      </c>
      <c r="W45" s="15">
        <v>4</v>
      </c>
      <c r="X45" s="15">
        <v>5</v>
      </c>
      <c r="Y45" s="15">
        <v>2</v>
      </c>
      <c r="Z45" s="15">
        <v>9</v>
      </c>
      <c r="AA45" s="15">
        <v>5</v>
      </c>
      <c r="AB45" s="13">
        <f t="shared" ref="AB45:AB52" si="7">SUM(E45:AA45)</f>
        <v>115</v>
      </c>
    </row>
    <row r="46" spans="1:28" ht="12.75" customHeight="1" x14ac:dyDescent="0.4">
      <c r="A46" s="19" t="s">
        <v>39</v>
      </c>
      <c r="B46" s="27"/>
      <c r="C46" s="28" t="s">
        <v>40</v>
      </c>
      <c r="D46" s="29"/>
      <c r="E46" s="15">
        <v>7</v>
      </c>
      <c r="F46" s="15">
        <v>8</v>
      </c>
      <c r="G46" s="15">
        <v>5</v>
      </c>
      <c r="H46" s="15">
        <v>22</v>
      </c>
      <c r="I46" s="15">
        <v>11</v>
      </c>
      <c r="J46" s="15">
        <v>12</v>
      </c>
      <c r="K46" s="15">
        <v>26</v>
      </c>
      <c r="L46" s="15">
        <v>7</v>
      </c>
      <c r="M46" s="15">
        <v>18</v>
      </c>
      <c r="N46" s="15">
        <v>25</v>
      </c>
      <c r="O46" s="15">
        <v>1</v>
      </c>
      <c r="P46" s="15">
        <v>67</v>
      </c>
      <c r="Q46" s="15">
        <v>71</v>
      </c>
      <c r="R46" s="15">
        <v>56</v>
      </c>
      <c r="S46" s="15">
        <v>35</v>
      </c>
      <c r="T46" s="15">
        <v>18</v>
      </c>
      <c r="U46" s="15">
        <v>0</v>
      </c>
      <c r="V46" s="15">
        <v>7</v>
      </c>
      <c r="W46" s="15">
        <v>4</v>
      </c>
      <c r="X46" s="15">
        <v>5</v>
      </c>
      <c r="Y46" s="15">
        <v>1</v>
      </c>
      <c r="Z46" s="15">
        <v>2</v>
      </c>
      <c r="AA46" s="15">
        <v>5</v>
      </c>
      <c r="AB46" s="13">
        <f t="shared" si="7"/>
        <v>413</v>
      </c>
    </row>
    <row r="47" spans="1:28" ht="12.75" customHeight="1" x14ac:dyDescent="0.4">
      <c r="A47" s="14"/>
      <c r="B47" s="27"/>
      <c r="C47" s="28" t="s">
        <v>41</v>
      </c>
      <c r="D47" s="29"/>
      <c r="E47" s="15">
        <v>0</v>
      </c>
      <c r="F47" s="15">
        <v>0</v>
      </c>
      <c r="G47" s="15">
        <v>0</v>
      </c>
      <c r="H47" s="15">
        <v>2</v>
      </c>
      <c r="I47" s="15">
        <v>1</v>
      </c>
      <c r="J47" s="15">
        <v>1</v>
      </c>
      <c r="K47" s="15">
        <v>0</v>
      </c>
      <c r="L47" s="15">
        <v>1</v>
      </c>
      <c r="M47" s="15">
        <v>0</v>
      </c>
      <c r="N47" s="15">
        <v>2</v>
      </c>
      <c r="O47" s="15">
        <v>4</v>
      </c>
      <c r="P47" s="15">
        <v>2</v>
      </c>
      <c r="Q47" s="15">
        <v>2</v>
      </c>
      <c r="R47" s="15">
        <v>1</v>
      </c>
      <c r="S47" s="15">
        <v>3</v>
      </c>
      <c r="T47" s="15">
        <v>0</v>
      </c>
      <c r="U47" s="15">
        <v>0</v>
      </c>
      <c r="V47" s="15">
        <v>2</v>
      </c>
      <c r="W47" s="15">
        <v>4</v>
      </c>
      <c r="X47" s="15">
        <v>2</v>
      </c>
      <c r="Y47" s="15">
        <v>0</v>
      </c>
      <c r="Z47" s="15">
        <v>1</v>
      </c>
      <c r="AA47" s="15">
        <v>0</v>
      </c>
      <c r="AB47" s="13">
        <f t="shared" si="7"/>
        <v>28</v>
      </c>
    </row>
    <row r="48" spans="1:28" ht="12.75" customHeight="1" x14ac:dyDescent="0.4">
      <c r="A48" s="14"/>
      <c r="B48" s="27"/>
      <c r="C48" s="28" t="s">
        <v>42</v>
      </c>
      <c r="D48" s="29"/>
      <c r="E48" s="15">
        <v>0</v>
      </c>
      <c r="F48" s="15">
        <v>0</v>
      </c>
      <c r="G48" s="15">
        <v>0</v>
      </c>
      <c r="H48" s="15">
        <v>1</v>
      </c>
      <c r="I48" s="15">
        <v>0</v>
      </c>
      <c r="J48" s="15">
        <v>0</v>
      </c>
      <c r="K48" s="15">
        <v>0</v>
      </c>
      <c r="L48" s="15">
        <v>1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1</v>
      </c>
      <c r="V48" s="15">
        <v>0</v>
      </c>
      <c r="W48" s="15">
        <v>1</v>
      </c>
      <c r="X48" s="15">
        <v>0</v>
      </c>
      <c r="Y48" s="15">
        <v>0</v>
      </c>
      <c r="Z48" s="15">
        <v>0</v>
      </c>
      <c r="AA48" s="15">
        <v>0</v>
      </c>
      <c r="AB48" s="13">
        <f t="shared" si="7"/>
        <v>5</v>
      </c>
    </row>
    <row r="49" spans="1:28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1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3">
        <f t="shared" si="7"/>
        <v>2</v>
      </c>
    </row>
    <row r="50" spans="1:28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3">
        <f t="shared" si="7"/>
        <v>1</v>
      </c>
    </row>
    <row r="51" spans="1:28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3">
        <f t="shared" si="7"/>
        <v>2</v>
      </c>
    </row>
    <row r="52" spans="1:28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AA52" si="8">SUM(E45:E51)</f>
        <v>9</v>
      </c>
      <c r="F52" s="13">
        <f t="shared" si="8"/>
        <v>9</v>
      </c>
      <c r="G52" s="13">
        <f t="shared" si="8"/>
        <v>7</v>
      </c>
      <c r="H52" s="13">
        <f t="shared" si="8"/>
        <v>28</v>
      </c>
      <c r="I52" s="13">
        <f t="shared" si="8"/>
        <v>17</v>
      </c>
      <c r="J52" s="13">
        <f t="shared" si="8"/>
        <v>13</v>
      </c>
      <c r="K52" s="13">
        <f t="shared" si="8"/>
        <v>31</v>
      </c>
      <c r="L52" s="13">
        <f t="shared" si="8"/>
        <v>11</v>
      </c>
      <c r="M52" s="13">
        <f t="shared" si="8"/>
        <v>25</v>
      </c>
      <c r="N52" s="13">
        <f t="shared" si="8"/>
        <v>33</v>
      </c>
      <c r="O52" s="13">
        <f t="shared" si="8"/>
        <v>6</v>
      </c>
      <c r="P52" s="13">
        <f t="shared" si="8"/>
        <v>85</v>
      </c>
      <c r="Q52" s="13">
        <f t="shared" si="8"/>
        <v>93</v>
      </c>
      <c r="R52" s="13">
        <f t="shared" si="8"/>
        <v>67</v>
      </c>
      <c r="S52" s="13">
        <f t="shared" si="8"/>
        <v>40</v>
      </c>
      <c r="T52" s="13">
        <f t="shared" si="8"/>
        <v>19</v>
      </c>
      <c r="U52" s="13">
        <f t="shared" si="8"/>
        <v>6</v>
      </c>
      <c r="V52" s="13">
        <f t="shared" si="8"/>
        <v>17</v>
      </c>
      <c r="W52" s="13">
        <f t="shared" si="8"/>
        <v>13</v>
      </c>
      <c r="X52" s="13">
        <f t="shared" si="8"/>
        <v>12</v>
      </c>
      <c r="Y52" s="13">
        <f t="shared" si="8"/>
        <v>3</v>
      </c>
      <c r="Z52" s="13">
        <f t="shared" si="8"/>
        <v>12</v>
      </c>
      <c r="AA52" s="13">
        <f t="shared" si="8"/>
        <v>10</v>
      </c>
      <c r="AB52" s="13">
        <f t="shared" si="7"/>
        <v>566</v>
      </c>
    </row>
    <row r="53" spans="1:28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3"/>
    </row>
    <row r="54" spans="1:28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2</v>
      </c>
      <c r="F54" s="15">
        <v>4</v>
      </c>
      <c r="G54" s="15">
        <v>3</v>
      </c>
      <c r="H54" s="15">
        <v>0</v>
      </c>
      <c r="I54" s="15">
        <v>3</v>
      </c>
      <c r="J54" s="15">
        <v>4</v>
      </c>
      <c r="K54" s="15">
        <v>3</v>
      </c>
      <c r="L54" s="15">
        <v>3</v>
      </c>
      <c r="M54" s="15">
        <v>2</v>
      </c>
      <c r="N54" s="15">
        <v>11</v>
      </c>
      <c r="O54" s="15">
        <v>1</v>
      </c>
      <c r="P54" s="15">
        <v>4</v>
      </c>
      <c r="Q54" s="15">
        <v>5</v>
      </c>
      <c r="R54" s="15">
        <v>2</v>
      </c>
      <c r="S54" s="15">
        <v>2</v>
      </c>
      <c r="T54" s="15">
        <v>2</v>
      </c>
      <c r="U54" s="15">
        <v>4</v>
      </c>
      <c r="V54" s="15">
        <v>6</v>
      </c>
      <c r="W54" s="15">
        <v>4</v>
      </c>
      <c r="X54" s="15">
        <v>11</v>
      </c>
      <c r="Y54" s="15">
        <v>7</v>
      </c>
      <c r="Z54" s="15">
        <v>11</v>
      </c>
      <c r="AA54" s="15">
        <v>3</v>
      </c>
      <c r="AB54" s="13">
        <f t="shared" ref="AB54:AB61" si="9">SUM(E54:AA54)</f>
        <v>97</v>
      </c>
    </row>
    <row r="55" spans="1:28" ht="12.75" customHeight="1" x14ac:dyDescent="0.4">
      <c r="A55" s="19" t="s">
        <v>39</v>
      </c>
      <c r="B55" s="27"/>
      <c r="C55" s="28" t="s">
        <v>48</v>
      </c>
      <c r="D55" s="29"/>
      <c r="E55" s="15">
        <v>0</v>
      </c>
      <c r="F55" s="15">
        <v>0</v>
      </c>
      <c r="G55" s="15">
        <v>2</v>
      </c>
      <c r="H55" s="15">
        <v>0</v>
      </c>
      <c r="I55" s="15">
        <v>0</v>
      </c>
      <c r="J55" s="15">
        <v>1</v>
      </c>
      <c r="K55" s="15">
        <v>0</v>
      </c>
      <c r="L55" s="15">
        <v>1</v>
      </c>
      <c r="M55" s="15">
        <v>1</v>
      </c>
      <c r="N55" s="15">
        <v>1</v>
      </c>
      <c r="O55" s="15">
        <v>0</v>
      </c>
      <c r="P55" s="15">
        <v>1</v>
      </c>
      <c r="Q55" s="15">
        <v>4</v>
      </c>
      <c r="R55" s="15">
        <v>0</v>
      </c>
      <c r="S55" s="15">
        <v>0</v>
      </c>
      <c r="T55" s="15">
        <v>0</v>
      </c>
      <c r="U55" s="15">
        <v>0</v>
      </c>
      <c r="V55" s="15">
        <v>1</v>
      </c>
      <c r="W55" s="15">
        <v>1</v>
      </c>
      <c r="X55" s="15">
        <v>2</v>
      </c>
      <c r="Y55" s="15">
        <v>0</v>
      </c>
      <c r="Z55" s="15">
        <v>1</v>
      </c>
      <c r="AA55" s="15">
        <v>0</v>
      </c>
      <c r="AB55" s="13">
        <f t="shared" si="9"/>
        <v>16</v>
      </c>
    </row>
    <row r="56" spans="1:28" ht="12.75" customHeight="1" x14ac:dyDescent="0.4">
      <c r="A56" s="14"/>
      <c r="B56" s="27"/>
      <c r="C56" s="28" t="s">
        <v>49</v>
      </c>
      <c r="D56" s="29"/>
      <c r="E56" s="15">
        <v>0</v>
      </c>
      <c r="F56" s="15">
        <v>0</v>
      </c>
      <c r="G56" s="15">
        <v>0</v>
      </c>
      <c r="H56" s="15">
        <v>0</v>
      </c>
      <c r="I56" s="15">
        <v>1</v>
      </c>
      <c r="J56" s="15">
        <v>1</v>
      </c>
      <c r="K56" s="15">
        <v>0</v>
      </c>
      <c r="L56" s="15">
        <v>1</v>
      </c>
      <c r="M56" s="15">
        <v>1</v>
      </c>
      <c r="N56" s="15">
        <v>0</v>
      </c>
      <c r="O56" s="15">
        <v>1</v>
      </c>
      <c r="P56" s="15">
        <v>2</v>
      </c>
      <c r="Q56" s="15">
        <v>0</v>
      </c>
      <c r="R56" s="15">
        <v>1</v>
      </c>
      <c r="S56" s="15">
        <v>0</v>
      </c>
      <c r="T56" s="15">
        <v>1</v>
      </c>
      <c r="U56" s="15">
        <v>0</v>
      </c>
      <c r="V56" s="15">
        <v>0</v>
      </c>
      <c r="W56" s="15">
        <v>2</v>
      </c>
      <c r="X56" s="15">
        <v>1</v>
      </c>
      <c r="Y56" s="15">
        <v>0</v>
      </c>
      <c r="Z56" s="15">
        <v>0</v>
      </c>
      <c r="AA56" s="15">
        <v>0</v>
      </c>
      <c r="AB56" s="13">
        <f t="shared" si="9"/>
        <v>12</v>
      </c>
    </row>
    <row r="57" spans="1:28" ht="12.75" customHeight="1" x14ac:dyDescent="0.4">
      <c r="A57" s="14"/>
      <c r="B57" s="27"/>
      <c r="C57" s="28" t="s">
        <v>50</v>
      </c>
      <c r="D57" s="29"/>
      <c r="E57" s="15">
        <v>6</v>
      </c>
      <c r="F57" s="15">
        <v>0</v>
      </c>
      <c r="G57" s="15">
        <v>0</v>
      </c>
      <c r="H57" s="15">
        <v>0</v>
      </c>
      <c r="I57" s="15">
        <v>1</v>
      </c>
      <c r="J57" s="15">
        <v>0</v>
      </c>
      <c r="K57" s="15">
        <v>0</v>
      </c>
      <c r="L57" s="15">
        <v>2</v>
      </c>
      <c r="M57" s="15">
        <v>3</v>
      </c>
      <c r="N57" s="15">
        <v>1</v>
      </c>
      <c r="O57" s="15">
        <v>0</v>
      </c>
      <c r="P57" s="15">
        <v>1</v>
      </c>
      <c r="Q57" s="15">
        <v>0</v>
      </c>
      <c r="R57" s="15">
        <v>0</v>
      </c>
      <c r="S57" s="15">
        <v>0</v>
      </c>
      <c r="T57" s="15">
        <v>2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3">
        <f t="shared" si="9"/>
        <v>16</v>
      </c>
    </row>
    <row r="58" spans="1:28" ht="12.75" customHeight="1" x14ac:dyDescent="0.4">
      <c r="A58" s="14"/>
      <c r="B58" s="27"/>
      <c r="C58" s="28" t="s">
        <v>51</v>
      </c>
      <c r="D58" s="29"/>
      <c r="E58" s="15">
        <v>0</v>
      </c>
      <c r="F58" s="15">
        <v>1</v>
      </c>
      <c r="G58" s="15">
        <v>1</v>
      </c>
      <c r="H58" s="15">
        <v>0</v>
      </c>
      <c r="I58" s="15">
        <v>0</v>
      </c>
      <c r="J58" s="15">
        <v>0</v>
      </c>
      <c r="K58" s="15">
        <v>2</v>
      </c>
      <c r="L58" s="15">
        <v>1</v>
      </c>
      <c r="M58" s="15">
        <v>0</v>
      </c>
      <c r="N58" s="15">
        <v>0</v>
      </c>
      <c r="O58" s="15">
        <v>1</v>
      </c>
      <c r="P58" s="15">
        <v>1</v>
      </c>
      <c r="Q58" s="15">
        <v>0</v>
      </c>
      <c r="R58" s="15">
        <v>0</v>
      </c>
      <c r="S58" s="15">
        <v>0</v>
      </c>
      <c r="T58" s="15">
        <v>2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3">
        <f t="shared" si="9"/>
        <v>9</v>
      </c>
    </row>
    <row r="59" spans="1:28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1</v>
      </c>
      <c r="V59" s="15">
        <v>0</v>
      </c>
      <c r="W59" s="15">
        <v>0</v>
      </c>
      <c r="X59" s="15">
        <v>0</v>
      </c>
      <c r="Y59" s="15">
        <v>1</v>
      </c>
      <c r="Z59" s="15">
        <v>0</v>
      </c>
      <c r="AA59" s="15">
        <v>1</v>
      </c>
      <c r="AB59" s="13">
        <f t="shared" si="9"/>
        <v>3</v>
      </c>
    </row>
    <row r="60" spans="1:28" ht="12.75" customHeight="1" x14ac:dyDescent="0.4">
      <c r="A60" s="14"/>
      <c r="B60" s="27"/>
      <c r="C60" s="28" t="s">
        <v>53</v>
      </c>
      <c r="D60" s="29"/>
      <c r="E60" s="15">
        <v>5</v>
      </c>
      <c r="F60" s="15">
        <v>0</v>
      </c>
      <c r="G60" s="15">
        <v>2</v>
      </c>
      <c r="H60" s="15">
        <v>0</v>
      </c>
      <c r="I60" s="15">
        <v>0</v>
      </c>
      <c r="J60" s="15">
        <v>0</v>
      </c>
      <c r="K60" s="15">
        <v>0</v>
      </c>
      <c r="L60" s="15">
        <v>1</v>
      </c>
      <c r="M60" s="15">
        <v>0</v>
      </c>
      <c r="N60" s="15">
        <v>1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2</v>
      </c>
      <c r="AA60" s="15">
        <v>0</v>
      </c>
      <c r="AB60" s="13">
        <f t="shared" si="9"/>
        <v>11</v>
      </c>
    </row>
    <row r="61" spans="1:28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AA61" si="10">SUM(E54:E60)</f>
        <v>13</v>
      </c>
      <c r="F61" s="13">
        <f t="shared" si="10"/>
        <v>5</v>
      </c>
      <c r="G61" s="13">
        <f t="shared" si="10"/>
        <v>8</v>
      </c>
      <c r="H61" s="13">
        <f t="shared" si="10"/>
        <v>0</v>
      </c>
      <c r="I61" s="13">
        <f t="shared" si="10"/>
        <v>5</v>
      </c>
      <c r="J61" s="13">
        <f t="shared" si="10"/>
        <v>6</v>
      </c>
      <c r="K61" s="13">
        <f t="shared" si="10"/>
        <v>5</v>
      </c>
      <c r="L61" s="13">
        <f t="shared" si="10"/>
        <v>9</v>
      </c>
      <c r="M61" s="13">
        <f t="shared" si="10"/>
        <v>7</v>
      </c>
      <c r="N61" s="13">
        <f t="shared" si="10"/>
        <v>14</v>
      </c>
      <c r="O61" s="13">
        <f t="shared" si="10"/>
        <v>3</v>
      </c>
      <c r="P61" s="13">
        <f t="shared" si="10"/>
        <v>9</v>
      </c>
      <c r="Q61" s="13">
        <f t="shared" si="10"/>
        <v>9</v>
      </c>
      <c r="R61" s="13">
        <f t="shared" si="10"/>
        <v>3</v>
      </c>
      <c r="S61" s="13">
        <f t="shared" si="10"/>
        <v>2</v>
      </c>
      <c r="T61" s="13">
        <f t="shared" si="10"/>
        <v>7</v>
      </c>
      <c r="U61" s="13">
        <f t="shared" si="10"/>
        <v>5</v>
      </c>
      <c r="V61" s="13">
        <f t="shared" si="10"/>
        <v>7</v>
      </c>
      <c r="W61" s="13">
        <f t="shared" si="10"/>
        <v>7</v>
      </c>
      <c r="X61" s="13">
        <f t="shared" si="10"/>
        <v>14</v>
      </c>
      <c r="Y61" s="13">
        <f t="shared" si="10"/>
        <v>8</v>
      </c>
      <c r="Z61" s="13">
        <f t="shared" si="10"/>
        <v>14</v>
      </c>
      <c r="AA61" s="13">
        <f t="shared" si="10"/>
        <v>4</v>
      </c>
      <c r="AB61" s="13">
        <f t="shared" si="9"/>
        <v>164</v>
      </c>
    </row>
    <row r="62" spans="1:28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3"/>
    </row>
    <row r="63" spans="1:28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1</v>
      </c>
      <c r="F63" s="15">
        <v>3</v>
      </c>
      <c r="G63" s="15">
        <v>0</v>
      </c>
      <c r="H63" s="15">
        <v>1</v>
      </c>
      <c r="I63" s="15">
        <v>1</v>
      </c>
      <c r="J63" s="15">
        <v>1</v>
      </c>
      <c r="K63" s="15">
        <v>0</v>
      </c>
      <c r="L63" s="15">
        <v>1</v>
      </c>
      <c r="M63" s="15">
        <v>2</v>
      </c>
      <c r="N63" s="15">
        <v>3</v>
      </c>
      <c r="O63" s="15">
        <v>1</v>
      </c>
      <c r="P63" s="15">
        <v>0</v>
      </c>
      <c r="Q63" s="15">
        <v>2</v>
      </c>
      <c r="R63" s="15">
        <v>0</v>
      </c>
      <c r="S63" s="15">
        <v>0</v>
      </c>
      <c r="T63" s="15">
        <v>1</v>
      </c>
      <c r="U63" s="15">
        <v>1</v>
      </c>
      <c r="V63" s="15">
        <v>3</v>
      </c>
      <c r="W63" s="15">
        <v>0</v>
      </c>
      <c r="X63" s="15">
        <v>0</v>
      </c>
      <c r="Y63" s="15">
        <v>1</v>
      </c>
      <c r="Z63" s="15">
        <v>2</v>
      </c>
      <c r="AA63" s="15">
        <v>3</v>
      </c>
      <c r="AB63" s="13">
        <f t="shared" ref="AB63:AB70" si="11">SUM(E63:AA63)</f>
        <v>27</v>
      </c>
    </row>
    <row r="64" spans="1:28" ht="12.75" customHeight="1" x14ac:dyDescent="0.4">
      <c r="A64" s="19" t="s">
        <v>39</v>
      </c>
      <c r="B64" s="27"/>
      <c r="C64" s="28" t="s">
        <v>55</v>
      </c>
      <c r="D64" s="29"/>
      <c r="E64" s="15">
        <v>1</v>
      </c>
      <c r="F64" s="15">
        <v>0</v>
      </c>
      <c r="G64" s="15">
        <v>0</v>
      </c>
      <c r="H64" s="15">
        <v>0</v>
      </c>
      <c r="I64" s="15">
        <v>1</v>
      </c>
      <c r="J64" s="15">
        <v>2</v>
      </c>
      <c r="K64" s="15">
        <v>0</v>
      </c>
      <c r="L64" s="15">
        <v>0</v>
      </c>
      <c r="M64" s="15">
        <v>0</v>
      </c>
      <c r="N64" s="15">
        <v>1</v>
      </c>
      <c r="O64" s="15">
        <v>0</v>
      </c>
      <c r="P64" s="15">
        <v>2</v>
      </c>
      <c r="Q64" s="15">
        <v>1</v>
      </c>
      <c r="R64" s="15">
        <v>0</v>
      </c>
      <c r="S64" s="15">
        <v>1</v>
      </c>
      <c r="T64" s="15">
        <v>1</v>
      </c>
      <c r="U64" s="15">
        <v>4</v>
      </c>
      <c r="V64" s="15">
        <v>1</v>
      </c>
      <c r="W64" s="15">
        <v>1</v>
      </c>
      <c r="X64" s="15">
        <v>8</v>
      </c>
      <c r="Y64" s="15">
        <v>20</v>
      </c>
      <c r="Z64" s="15">
        <v>4</v>
      </c>
      <c r="AA64" s="15">
        <v>2</v>
      </c>
      <c r="AB64" s="13">
        <f t="shared" si="11"/>
        <v>50</v>
      </c>
    </row>
    <row r="65" spans="1:28" ht="12.75" customHeight="1" x14ac:dyDescent="0.4">
      <c r="A65" s="14"/>
      <c r="B65" s="27"/>
      <c r="C65" s="28" t="s">
        <v>56</v>
      </c>
      <c r="D65" s="29"/>
      <c r="E65" s="15">
        <v>2</v>
      </c>
      <c r="F65" s="15">
        <v>0</v>
      </c>
      <c r="G65" s="15">
        <v>0</v>
      </c>
      <c r="H65" s="15">
        <v>1</v>
      </c>
      <c r="I65" s="15">
        <v>2</v>
      </c>
      <c r="J65" s="15">
        <v>1</v>
      </c>
      <c r="K65" s="15">
        <v>0</v>
      </c>
      <c r="L65" s="15">
        <v>1</v>
      </c>
      <c r="M65" s="15">
        <v>0</v>
      </c>
      <c r="N65" s="15">
        <v>1</v>
      </c>
      <c r="O65" s="15">
        <v>9</v>
      </c>
      <c r="P65" s="15">
        <v>1</v>
      </c>
      <c r="Q65" s="15">
        <v>0</v>
      </c>
      <c r="R65" s="15">
        <v>0</v>
      </c>
      <c r="S65" s="15">
        <v>1</v>
      </c>
      <c r="T65" s="15">
        <v>0</v>
      </c>
      <c r="U65" s="15">
        <v>1</v>
      </c>
      <c r="V65" s="15">
        <v>2</v>
      </c>
      <c r="W65" s="15">
        <v>0</v>
      </c>
      <c r="X65" s="15">
        <v>2</v>
      </c>
      <c r="Y65" s="15">
        <v>1</v>
      </c>
      <c r="Z65" s="15">
        <v>0</v>
      </c>
      <c r="AA65" s="15">
        <v>3</v>
      </c>
      <c r="AB65" s="13">
        <f t="shared" si="11"/>
        <v>28</v>
      </c>
    </row>
    <row r="66" spans="1:28" ht="12.75" customHeight="1" x14ac:dyDescent="0.4">
      <c r="A66" s="14"/>
      <c r="B66" s="27"/>
      <c r="C66" s="28" t="s">
        <v>57</v>
      </c>
      <c r="D66" s="29"/>
      <c r="E66" s="15">
        <v>4</v>
      </c>
      <c r="F66" s="15">
        <v>1</v>
      </c>
      <c r="G66" s="15">
        <v>0</v>
      </c>
      <c r="H66" s="15">
        <v>1</v>
      </c>
      <c r="I66" s="15">
        <v>1</v>
      </c>
      <c r="J66" s="15">
        <v>5</v>
      </c>
      <c r="K66" s="15">
        <v>2</v>
      </c>
      <c r="L66" s="15">
        <v>0</v>
      </c>
      <c r="M66" s="15">
        <v>0</v>
      </c>
      <c r="N66" s="15">
        <v>1</v>
      </c>
      <c r="O66" s="15">
        <v>0</v>
      </c>
      <c r="P66" s="15">
        <v>1</v>
      </c>
      <c r="Q66" s="15">
        <v>0</v>
      </c>
      <c r="R66" s="15">
        <v>0</v>
      </c>
      <c r="S66" s="15">
        <v>3</v>
      </c>
      <c r="T66" s="15">
        <v>0</v>
      </c>
      <c r="U66" s="15">
        <v>1</v>
      </c>
      <c r="V66" s="15">
        <v>0</v>
      </c>
      <c r="W66" s="15">
        <v>0</v>
      </c>
      <c r="X66" s="15">
        <v>0</v>
      </c>
      <c r="Y66" s="15">
        <v>0</v>
      </c>
      <c r="Z66" s="15">
        <v>1</v>
      </c>
      <c r="AA66" s="15">
        <v>0</v>
      </c>
      <c r="AB66" s="13">
        <f t="shared" si="11"/>
        <v>21</v>
      </c>
    </row>
    <row r="67" spans="1:28" ht="12.75" customHeight="1" x14ac:dyDescent="0.4">
      <c r="A67" s="14"/>
      <c r="B67" s="27"/>
      <c r="C67" s="28" t="s">
        <v>58</v>
      </c>
      <c r="D67" s="29"/>
      <c r="E67" s="15">
        <v>2</v>
      </c>
      <c r="F67" s="15">
        <v>0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2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3">
        <f t="shared" si="11"/>
        <v>5</v>
      </c>
    </row>
    <row r="68" spans="1:28" ht="12.75" customHeight="1" x14ac:dyDescent="0.4">
      <c r="A68" s="14"/>
      <c r="B68" s="27"/>
      <c r="C68" s="28" t="s">
        <v>59</v>
      </c>
      <c r="D68" s="29"/>
      <c r="E68" s="15">
        <v>6</v>
      </c>
      <c r="F68" s="15">
        <v>0</v>
      </c>
      <c r="G68" s="15">
        <v>4</v>
      </c>
      <c r="H68" s="15">
        <v>3</v>
      </c>
      <c r="I68" s="15">
        <v>0</v>
      </c>
      <c r="J68" s="15">
        <v>1</v>
      </c>
      <c r="K68" s="15">
        <v>2</v>
      </c>
      <c r="L68" s="15">
        <v>6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3">
        <f t="shared" si="11"/>
        <v>23</v>
      </c>
    </row>
    <row r="69" spans="1:28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1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3">
        <f t="shared" si="11"/>
        <v>1</v>
      </c>
    </row>
    <row r="70" spans="1:28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AA70" si="12">SUM(E63:E69)</f>
        <v>16</v>
      </c>
      <c r="F70" s="13">
        <f t="shared" si="12"/>
        <v>4</v>
      </c>
      <c r="G70" s="13">
        <f t="shared" si="12"/>
        <v>5</v>
      </c>
      <c r="H70" s="13">
        <f t="shared" si="12"/>
        <v>6</v>
      </c>
      <c r="I70" s="13">
        <f t="shared" si="12"/>
        <v>5</v>
      </c>
      <c r="J70" s="13">
        <f t="shared" si="12"/>
        <v>10</v>
      </c>
      <c r="K70" s="13">
        <f t="shared" si="12"/>
        <v>4</v>
      </c>
      <c r="L70" s="13">
        <f t="shared" si="12"/>
        <v>8</v>
      </c>
      <c r="M70" s="13">
        <f t="shared" si="12"/>
        <v>3</v>
      </c>
      <c r="N70" s="13">
        <f t="shared" si="12"/>
        <v>8</v>
      </c>
      <c r="O70" s="13">
        <f t="shared" si="12"/>
        <v>10</v>
      </c>
      <c r="P70" s="13">
        <f t="shared" si="12"/>
        <v>4</v>
      </c>
      <c r="Q70" s="13">
        <f t="shared" si="12"/>
        <v>4</v>
      </c>
      <c r="R70" s="13">
        <f t="shared" si="12"/>
        <v>0</v>
      </c>
      <c r="S70" s="13">
        <f t="shared" si="12"/>
        <v>5</v>
      </c>
      <c r="T70" s="13">
        <f t="shared" si="12"/>
        <v>2</v>
      </c>
      <c r="U70" s="13">
        <f t="shared" si="12"/>
        <v>7</v>
      </c>
      <c r="V70" s="13">
        <f t="shared" si="12"/>
        <v>6</v>
      </c>
      <c r="W70" s="13">
        <f t="shared" si="12"/>
        <v>1</v>
      </c>
      <c r="X70" s="13">
        <f t="shared" si="12"/>
        <v>10</v>
      </c>
      <c r="Y70" s="13">
        <f t="shared" si="12"/>
        <v>22</v>
      </c>
      <c r="Z70" s="13">
        <f t="shared" si="12"/>
        <v>7</v>
      </c>
      <c r="AA70" s="13">
        <f t="shared" si="12"/>
        <v>8</v>
      </c>
      <c r="AB70" s="13">
        <f t="shared" si="11"/>
        <v>155</v>
      </c>
    </row>
    <row r="71" spans="1:28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3"/>
    </row>
    <row r="72" spans="1:28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1</v>
      </c>
      <c r="F72" s="15">
        <v>6</v>
      </c>
      <c r="G72" s="15">
        <v>7</v>
      </c>
      <c r="H72" s="15">
        <v>4</v>
      </c>
      <c r="I72" s="15">
        <v>4</v>
      </c>
      <c r="J72" s="15">
        <v>7</v>
      </c>
      <c r="K72" s="15">
        <v>1</v>
      </c>
      <c r="L72" s="15">
        <v>4</v>
      </c>
      <c r="M72" s="15">
        <v>6</v>
      </c>
      <c r="N72" s="15">
        <v>1</v>
      </c>
      <c r="O72" s="15">
        <v>4</v>
      </c>
      <c r="P72" s="15">
        <v>6</v>
      </c>
      <c r="Q72" s="15">
        <v>14</v>
      </c>
      <c r="R72" s="15">
        <v>5</v>
      </c>
      <c r="S72" s="15">
        <v>8</v>
      </c>
      <c r="T72" s="15">
        <v>11</v>
      </c>
      <c r="U72" s="15">
        <v>6</v>
      </c>
      <c r="V72" s="15">
        <v>6</v>
      </c>
      <c r="W72" s="15">
        <v>5</v>
      </c>
      <c r="X72" s="15">
        <v>10</v>
      </c>
      <c r="Y72" s="15">
        <v>18</v>
      </c>
      <c r="Z72" s="15">
        <v>11</v>
      </c>
      <c r="AA72" s="15">
        <v>22</v>
      </c>
      <c r="AB72" s="13">
        <f t="shared" ref="AB72:AB79" si="13">SUM(E72:AA72)</f>
        <v>167</v>
      </c>
    </row>
    <row r="73" spans="1:28" ht="12.75" customHeight="1" x14ac:dyDescent="0.4">
      <c r="A73" s="19" t="s">
        <v>39</v>
      </c>
      <c r="B73" s="27"/>
      <c r="C73" s="28" t="s">
        <v>62</v>
      </c>
      <c r="D73" s="29"/>
      <c r="E73" s="15">
        <v>49</v>
      </c>
      <c r="F73" s="15">
        <v>29</v>
      </c>
      <c r="G73" s="15">
        <v>76</v>
      </c>
      <c r="H73" s="15">
        <v>88</v>
      </c>
      <c r="I73" s="15">
        <v>41</v>
      </c>
      <c r="J73" s="15">
        <v>44</v>
      </c>
      <c r="K73" s="15">
        <v>28</v>
      </c>
      <c r="L73" s="15">
        <v>18</v>
      </c>
      <c r="M73" s="15">
        <v>56</v>
      </c>
      <c r="N73" s="15">
        <v>14</v>
      </c>
      <c r="O73" s="15">
        <v>24</v>
      </c>
      <c r="P73" s="15">
        <v>23</v>
      </c>
      <c r="Q73" s="15">
        <v>34</v>
      </c>
      <c r="R73" s="15">
        <v>41</v>
      </c>
      <c r="S73" s="15">
        <v>52</v>
      </c>
      <c r="T73" s="15">
        <v>60</v>
      </c>
      <c r="U73" s="15">
        <v>39</v>
      </c>
      <c r="V73" s="15">
        <v>58</v>
      </c>
      <c r="W73" s="15">
        <v>38</v>
      </c>
      <c r="X73" s="15">
        <v>69</v>
      </c>
      <c r="Y73" s="15">
        <v>62</v>
      </c>
      <c r="Z73" s="15">
        <v>64</v>
      </c>
      <c r="AA73" s="15">
        <v>66</v>
      </c>
      <c r="AB73" s="13">
        <f t="shared" si="13"/>
        <v>1073</v>
      </c>
    </row>
    <row r="74" spans="1:28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1</v>
      </c>
      <c r="M74" s="15">
        <v>0</v>
      </c>
      <c r="N74" s="15">
        <v>0</v>
      </c>
      <c r="O74" s="15">
        <v>0</v>
      </c>
      <c r="P74" s="15">
        <v>0</v>
      </c>
      <c r="Q74" s="15">
        <v>1</v>
      </c>
      <c r="R74" s="15">
        <v>0</v>
      </c>
      <c r="S74" s="15">
        <v>0</v>
      </c>
      <c r="T74" s="15">
        <v>0</v>
      </c>
      <c r="U74" s="15">
        <v>0</v>
      </c>
      <c r="V74" s="15">
        <v>1</v>
      </c>
      <c r="W74" s="15">
        <v>0</v>
      </c>
      <c r="X74" s="15">
        <v>1</v>
      </c>
      <c r="Y74" s="15">
        <v>0</v>
      </c>
      <c r="Z74" s="15">
        <v>0</v>
      </c>
      <c r="AA74" s="15">
        <v>0</v>
      </c>
      <c r="AB74" s="13">
        <f t="shared" si="13"/>
        <v>4</v>
      </c>
    </row>
    <row r="75" spans="1:28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1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1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3">
        <f t="shared" si="13"/>
        <v>2</v>
      </c>
    </row>
    <row r="76" spans="1:28" ht="12.75" customHeight="1" x14ac:dyDescent="0.4">
      <c r="A76" s="14"/>
      <c r="B76" s="27"/>
      <c r="C76" s="28" t="s">
        <v>65</v>
      </c>
      <c r="D76" s="29"/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3">
        <f t="shared" si="13"/>
        <v>1</v>
      </c>
    </row>
    <row r="77" spans="1:28" ht="12.75" customHeight="1" x14ac:dyDescent="0.4">
      <c r="A77" s="14"/>
      <c r="B77" s="27"/>
      <c r="C77" s="28" t="s">
        <v>66</v>
      </c>
      <c r="D77" s="29"/>
      <c r="E77" s="15">
        <v>1</v>
      </c>
      <c r="F77" s="15">
        <v>1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3">
        <f t="shared" si="13"/>
        <v>2</v>
      </c>
    </row>
    <row r="78" spans="1:28" ht="12.75" customHeight="1" x14ac:dyDescent="0.4">
      <c r="A78" s="14"/>
      <c r="B78" s="27"/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2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1</v>
      </c>
      <c r="AB78" s="13">
        <f t="shared" si="13"/>
        <v>5</v>
      </c>
    </row>
    <row r="79" spans="1:28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AA79" si="14">SUM(E72:E78)</f>
        <v>51</v>
      </c>
      <c r="F79" s="13">
        <f t="shared" si="14"/>
        <v>36</v>
      </c>
      <c r="G79" s="13">
        <f t="shared" si="14"/>
        <v>83</v>
      </c>
      <c r="H79" s="13">
        <f t="shared" si="14"/>
        <v>92</v>
      </c>
      <c r="I79" s="13">
        <f t="shared" si="14"/>
        <v>45</v>
      </c>
      <c r="J79" s="13">
        <f t="shared" si="14"/>
        <v>51</v>
      </c>
      <c r="K79" s="13">
        <f t="shared" si="14"/>
        <v>29</v>
      </c>
      <c r="L79" s="13">
        <f t="shared" si="14"/>
        <v>24</v>
      </c>
      <c r="M79" s="13">
        <f t="shared" si="14"/>
        <v>63</v>
      </c>
      <c r="N79" s="13">
        <f t="shared" si="14"/>
        <v>15</v>
      </c>
      <c r="O79" s="13">
        <f t="shared" si="14"/>
        <v>28</v>
      </c>
      <c r="P79" s="13">
        <f t="shared" si="14"/>
        <v>29</v>
      </c>
      <c r="Q79" s="13">
        <f t="shared" si="14"/>
        <v>51</v>
      </c>
      <c r="R79" s="13">
        <f t="shared" si="14"/>
        <v>46</v>
      </c>
      <c r="S79" s="13">
        <f t="shared" si="14"/>
        <v>61</v>
      </c>
      <c r="T79" s="13">
        <f t="shared" si="14"/>
        <v>73</v>
      </c>
      <c r="U79" s="13">
        <f t="shared" si="14"/>
        <v>45</v>
      </c>
      <c r="V79" s="13">
        <f t="shared" si="14"/>
        <v>65</v>
      </c>
      <c r="W79" s="13">
        <f t="shared" si="14"/>
        <v>43</v>
      </c>
      <c r="X79" s="13">
        <f t="shared" si="14"/>
        <v>80</v>
      </c>
      <c r="Y79" s="13">
        <f t="shared" si="14"/>
        <v>80</v>
      </c>
      <c r="Z79" s="13">
        <f t="shared" si="14"/>
        <v>75</v>
      </c>
      <c r="AA79" s="13">
        <f t="shared" si="14"/>
        <v>89</v>
      </c>
      <c r="AB79" s="13">
        <f t="shared" si="13"/>
        <v>1254</v>
      </c>
    </row>
    <row r="80" spans="1:28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3"/>
    </row>
    <row r="81" spans="1:28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0</v>
      </c>
      <c r="F81" s="15">
        <v>1</v>
      </c>
      <c r="G81" s="15">
        <v>1</v>
      </c>
      <c r="H81" s="15">
        <v>0</v>
      </c>
      <c r="I81" s="15">
        <v>0</v>
      </c>
      <c r="J81" s="15">
        <v>4</v>
      </c>
      <c r="K81" s="15">
        <v>0</v>
      </c>
      <c r="L81" s="15">
        <v>3</v>
      </c>
      <c r="M81" s="15">
        <v>0</v>
      </c>
      <c r="N81" s="15">
        <v>1</v>
      </c>
      <c r="O81" s="15">
        <v>1</v>
      </c>
      <c r="P81" s="15">
        <v>1</v>
      </c>
      <c r="Q81" s="15">
        <v>0</v>
      </c>
      <c r="R81" s="15">
        <v>0</v>
      </c>
      <c r="S81" s="15">
        <v>0</v>
      </c>
      <c r="T81" s="15">
        <v>0</v>
      </c>
      <c r="U81" s="15">
        <v>1</v>
      </c>
      <c r="V81" s="15">
        <v>0</v>
      </c>
      <c r="W81" s="15">
        <v>1</v>
      </c>
      <c r="X81" s="15">
        <v>1</v>
      </c>
      <c r="Y81" s="15">
        <v>2</v>
      </c>
      <c r="Z81" s="15">
        <v>0</v>
      </c>
      <c r="AA81" s="15">
        <v>1</v>
      </c>
      <c r="AB81" s="13">
        <f t="shared" ref="AB81:AB88" si="15">SUM(E81:AA81)</f>
        <v>18</v>
      </c>
    </row>
    <row r="82" spans="1:28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1</v>
      </c>
      <c r="H82" s="15">
        <v>0</v>
      </c>
      <c r="I82" s="15">
        <v>1</v>
      </c>
      <c r="J82" s="15">
        <v>1</v>
      </c>
      <c r="K82" s="15">
        <v>0</v>
      </c>
      <c r="L82" s="15">
        <v>0</v>
      </c>
      <c r="M82" s="15">
        <v>0</v>
      </c>
      <c r="N82" s="15">
        <v>1</v>
      </c>
      <c r="O82" s="15">
        <v>1</v>
      </c>
      <c r="P82" s="15">
        <v>1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1</v>
      </c>
      <c r="W82" s="15">
        <v>1</v>
      </c>
      <c r="X82" s="15">
        <v>0</v>
      </c>
      <c r="Y82" s="15">
        <v>0</v>
      </c>
      <c r="Z82" s="15">
        <v>0</v>
      </c>
      <c r="AA82" s="15">
        <v>0</v>
      </c>
      <c r="AB82" s="13">
        <f t="shared" si="15"/>
        <v>8</v>
      </c>
    </row>
    <row r="83" spans="1:28" ht="12.75" customHeight="1" x14ac:dyDescent="0.4">
      <c r="A83" s="14"/>
      <c r="B83" s="27"/>
      <c r="C83" s="28" t="s">
        <v>71</v>
      </c>
      <c r="D83" s="29"/>
      <c r="E83" s="15">
        <v>18</v>
      </c>
      <c r="F83" s="15">
        <v>5</v>
      </c>
      <c r="G83" s="15">
        <v>4</v>
      </c>
      <c r="H83" s="15">
        <v>0</v>
      </c>
      <c r="I83" s="15">
        <v>20</v>
      </c>
      <c r="J83" s="15">
        <v>18</v>
      </c>
      <c r="K83" s="15">
        <v>7</v>
      </c>
      <c r="L83" s="15">
        <v>11</v>
      </c>
      <c r="M83" s="15">
        <v>0</v>
      </c>
      <c r="N83" s="15">
        <v>3</v>
      </c>
      <c r="O83" s="15">
        <v>2</v>
      </c>
      <c r="P83" s="15">
        <v>0</v>
      </c>
      <c r="Q83" s="15">
        <v>3</v>
      </c>
      <c r="R83" s="15">
        <v>0</v>
      </c>
      <c r="S83" s="15">
        <v>0</v>
      </c>
      <c r="T83" s="15">
        <v>1</v>
      </c>
      <c r="U83" s="15">
        <v>1</v>
      </c>
      <c r="V83" s="15">
        <v>10</v>
      </c>
      <c r="W83" s="15">
        <v>9</v>
      </c>
      <c r="X83" s="15">
        <v>3</v>
      </c>
      <c r="Y83" s="15">
        <v>4</v>
      </c>
      <c r="Z83" s="15">
        <v>3</v>
      </c>
      <c r="AA83" s="15">
        <v>2</v>
      </c>
      <c r="AB83" s="13">
        <f t="shared" si="15"/>
        <v>124</v>
      </c>
    </row>
    <row r="84" spans="1:28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3">
        <f t="shared" si="15"/>
        <v>0</v>
      </c>
    </row>
    <row r="85" spans="1:28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1</v>
      </c>
      <c r="Y85" s="15">
        <v>0</v>
      </c>
      <c r="Z85" s="15">
        <v>0</v>
      </c>
      <c r="AA85" s="15">
        <v>0</v>
      </c>
      <c r="AB85" s="13">
        <f t="shared" si="15"/>
        <v>1</v>
      </c>
    </row>
    <row r="86" spans="1:28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</v>
      </c>
      <c r="P86" s="15">
        <v>1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1</v>
      </c>
      <c r="X86" s="15">
        <v>0</v>
      </c>
      <c r="Y86" s="15">
        <v>0</v>
      </c>
      <c r="Z86" s="15">
        <v>0</v>
      </c>
      <c r="AA86" s="15">
        <v>0</v>
      </c>
      <c r="AB86" s="13">
        <f t="shared" si="15"/>
        <v>3</v>
      </c>
    </row>
    <row r="87" spans="1:28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3">
        <f t="shared" si="15"/>
        <v>0</v>
      </c>
    </row>
    <row r="88" spans="1:28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AA88" si="16">SUM(E81:E87)</f>
        <v>18</v>
      </c>
      <c r="F88" s="13">
        <f t="shared" si="16"/>
        <v>6</v>
      </c>
      <c r="G88" s="13">
        <f t="shared" si="16"/>
        <v>6</v>
      </c>
      <c r="H88" s="13">
        <f t="shared" si="16"/>
        <v>0</v>
      </c>
      <c r="I88" s="13">
        <f t="shared" si="16"/>
        <v>21</v>
      </c>
      <c r="J88" s="13">
        <f t="shared" si="16"/>
        <v>23</v>
      </c>
      <c r="K88" s="13">
        <f t="shared" si="16"/>
        <v>7</v>
      </c>
      <c r="L88" s="13">
        <f t="shared" si="16"/>
        <v>14</v>
      </c>
      <c r="M88" s="13">
        <f t="shared" si="16"/>
        <v>0</v>
      </c>
      <c r="N88" s="13">
        <f t="shared" si="16"/>
        <v>5</v>
      </c>
      <c r="O88" s="13">
        <f t="shared" si="16"/>
        <v>5</v>
      </c>
      <c r="P88" s="13">
        <f t="shared" si="16"/>
        <v>3</v>
      </c>
      <c r="Q88" s="13">
        <f t="shared" si="16"/>
        <v>3</v>
      </c>
      <c r="R88" s="13">
        <f t="shared" si="16"/>
        <v>0</v>
      </c>
      <c r="S88" s="13">
        <f t="shared" si="16"/>
        <v>0</v>
      </c>
      <c r="T88" s="13">
        <f t="shared" si="16"/>
        <v>1</v>
      </c>
      <c r="U88" s="13">
        <f t="shared" si="16"/>
        <v>2</v>
      </c>
      <c r="V88" s="13">
        <f t="shared" si="16"/>
        <v>11</v>
      </c>
      <c r="W88" s="13">
        <f t="shared" si="16"/>
        <v>12</v>
      </c>
      <c r="X88" s="13">
        <f t="shared" si="16"/>
        <v>5</v>
      </c>
      <c r="Y88" s="13">
        <f t="shared" si="16"/>
        <v>6</v>
      </c>
      <c r="Z88" s="13">
        <f t="shared" si="16"/>
        <v>3</v>
      </c>
      <c r="AA88" s="13">
        <f t="shared" si="16"/>
        <v>3</v>
      </c>
      <c r="AB88" s="13">
        <f t="shared" si="15"/>
        <v>154</v>
      </c>
    </row>
    <row r="89" spans="1:28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3"/>
    </row>
    <row r="90" spans="1:28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1</v>
      </c>
      <c r="M90" s="15">
        <v>0</v>
      </c>
      <c r="N90" s="15">
        <v>2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3">
        <f t="shared" ref="AB90:AB92" si="17">SUM(E90:AA90)</f>
        <v>3</v>
      </c>
    </row>
    <row r="91" spans="1:28" ht="12.75" customHeight="1" x14ac:dyDescent="0.4">
      <c r="A91" s="19" t="s">
        <v>39</v>
      </c>
      <c r="B91" s="27"/>
      <c r="C91" s="78" t="s">
        <v>78</v>
      </c>
      <c r="D91" s="55"/>
      <c r="E91" s="15">
        <v>1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1</v>
      </c>
      <c r="S91" s="15">
        <v>0</v>
      </c>
      <c r="T91" s="15">
        <v>0</v>
      </c>
      <c r="U91" s="15">
        <v>1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3">
        <f t="shared" si="17"/>
        <v>3</v>
      </c>
    </row>
    <row r="92" spans="1:28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S92" si="18">SUM(E90:E91)</f>
        <v>1</v>
      </c>
      <c r="F92" s="36">
        <f t="shared" si="18"/>
        <v>0</v>
      </c>
      <c r="G92" s="36">
        <f t="shared" si="18"/>
        <v>0</v>
      </c>
      <c r="H92" s="36">
        <f t="shared" si="18"/>
        <v>0</v>
      </c>
      <c r="I92" s="36">
        <f t="shared" si="18"/>
        <v>0</v>
      </c>
      <c r="J92" s="36">
        <f t="shared" si="18"/>
        <v>0</v>
      </c>
      <c r="K92" s="36">
        <f t="shared" si="18"/>
        <v>0</v>
      </c>
      <c r="L92" s="36">
        <f t="shared" si="18"/>
        <v>1</v>
      </c>
      <c r="M92" s="36">
        <f t="shared" si="18"/>
        <v>0</v>
      </c>
      <c r="N92" s="36">
        <f t="shared" si="18"/>
        <v>2</v>
      </c>
      <c r="O92" s="36">
        <f t="shared" si="18"/>
        <v>0</v>
      </c>
      <c r="P92" s="36">
        <f t="shared" si="18"/>
        <v>0</v>
      </c>
      <c r="Q92" s="36">
        <f t="shared" si="18"/>
        <v>0</v>
      </c>
      <c r="R92" s="36">
        <f t="shared" si="18"/>
        <v>1</v>
      </c>
      <c r="S92" s="36">
        <f t="shared" si="18"/>
        <v>0</v>
      </c>
      <c r="T92" s="36">
        <v>0</v>
      </c>
      <c r="U92" s="36">
        <f t="shared" ref="U92:AA92" si="19">SUM(U90:U91)</f>
        <v>1</v>
      </c>
      <c r="V92" s="36">
        <f t="shared" si="19"/>
        <v>0</v>
      </c>
      <c r="W92" s="36">
        <f t="shared" si="19"/>
        <v>0</v>
      </c>
      <c r="X92" s="36">
        <f t="shared" si="19"/>
        <v>0</v>
      </c>
      <c r="Y92" s="36">
        <f t="shared" si="19"/>
        <v>0</v>
      </c>
      <c r="Z92" s="36">
        <f t="shared" si="19"/>
        <v>0</v>
      </c>
      <c r="AA92" s="36">
        <f t="shared" si="19"/>
        <v>0</v>
      </c>
      <c r="AB92" s="13">
        <f t="shared" si="17"/>
        <v>6</v>
      </c>
    </row>
    <row r="93" spans="1:28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3"/>
    </row>
    <row r="94" spans="1:28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0</v>
      </c>
      <c r="F94" s="15">
        <v>2</v>
      </c>
      <c r="G94" s="15">
        <v>0</v>
      </c>
      <c r="H94" s="15">
        <v>0</v>
      </c>
      <c r="I94" s="15">
        <v>1</v>
      </c>
      <c r="J94" s="15">
        <v>2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2</v>
      </c>
      <c r="U94" s="15">
        <v>1</v>
      </c>
      <c r="V94" s="15">
        <v>1</v>
      </c>
      <c r="W94" s="15">
        <v>0</v>
      </c>
      <c r="X94" s="15">
        <v>0</v>
      </c>
      <c r="Y94" s="15">
        <v>2</v>
      </c>
      <c r="Z94" s="15">
        <v>1</v>
      </c>
      <c r="AA94" s="15">
        <v>1</v>
      </c>
      <c r="AB94" s="13">
        <f t="shared" ref="AB94:AB101" si="20">SUM(E94:AA94)</f>
        <v>13</v>
      </c>
    </row>
    <row r="95" spans="1:28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1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3">
        <f t="shared" si="20"/>
        <v>1</v>
      </c>
    </row>
    <row r="96" spans="1:28" ht="12.75" customHeight="1" x14ac:dyDescent="0.4">
      <c r="A96" s="19"/>
      <c r="B96" s="27"/>
      <c r="C96" s="28" t="s">
        <v>82</v>
      </c>
      <c r="D96" s="29"/>
      <c r="E96" s="15">
        <v>1</v>
      </c>
      <c r="F96" s="15">
        <v>4</v>
      </c>
      <c r="G96" s="15">
        <v>5</v>
      </c>
      <c r="H96" s="15">
        <v>0</v>
      </c>
      <c r="I96" s="15">
        <v>5</v>
      </c>
      <c r="J96" s="15">
        <v>2</v>
      </c>
      <c r="K96" s="15">
        <v>1</v>
      </c>
      <c r="L96" s="15">
        <v>5</v>
      </c>
      <c r="M96" s="15">
        <v>2</v>
      </c>
      <c r="N96" s="15">
        <v>1</v>
      </c>
      <c r="O96" s="15">
        <v>0</v>
      </c>
      <c r="P96" s="15">
        <v>1</v>
      </c>
      <c r="Q96" s="15">
        <v>2</v>
      </c>
      <c r="R96" s="15">
        <v>0</v>
      </c>
      <c r="S96" s="15">
        <v>0</v>
      </c>
      <c r="T96" s="15">
        <v>1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3">
        <f t="shared" si="20"/>
        <v>30</v>
      </c>
    </row>
    <row r="97" spans="1:28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3">
        <f t="shared" si="20"/>
        <v>0</v>
      </c>
    </row>
    <row r="98" spans="1:28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3">
        <f t="shared" si="20"/>
        <v>0</v>
      </c>
    </row>
    <row r="99" spans="1:28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3">
        <f t="shared" si="20"/>
        <v>0</v>
      </c>
    </row>
    <row r="100" spans="1:28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3">
        <f t="shared" si="20"/>
        <v>1</v>
      </c>
    </row>
    <row r="101" spans="1:28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AA101" si="21">SUM(E94:E100)</f>
        <v>1</v>
      </c>
      <c r="F101" s="13">
        <f t="shared" si="21"/>
        <v>7</v>
      </c>
      <c r="G101" s="13">
        <f t="shared" si="21"/>
        <v>5</v>
      </c>
      <c r="H101" s="13">
        <f t="shared" si="21"/>
        <v>0</v>
      </c>
      <c r="I101" s="13">
        <f t="shared" si="21"/>
        <v>6</v>
      </c>
      <c r="J101" s="13">
        <f t="shared" si="21"/>
        <v>4</v>
      </c>
      <c r="K101" s="13">
        <f t="shared" si="21"/>
        <v>1</v>
      </c>
      <c r="L101" s="13">
        <f t="shared" si="21"/>
        <v>5</v>
      </c>
      <c r="M101" s="13">
        <f t="shared" si="21"/>
        <v>2</v>
      </c>
      <c r="N101" s="13">
        <f t="shared" si="21"/>
        <v>2</v>
      </c>
      <c r="O101" s="13">
        <f t="shared" si="21"/>
        <v>0</v>
      </c>
      <c r="P101" s="13">
        <f t="shared" si="21"/>
        <v>1</v>
      </c>
      <c r="Q101" s="13">
        <f t="shared" si="21"/>
        <v>2</v>
      </c>
      <c r="R101" s="13">
        <f t="shared" si="21"/>
        <v>0</v>
      </c>
      <c r="S101" s="13">
        <f t="shared" si="21"/>
        <v>0</v>
      </c>
      <c r="T101" s="13">
        <f t="shared" si="21"/>
        <v>3</v>
      </c>
      <c r="U101" s="13">
        <f t="shared" si="21"/>
        <v>1</v>
      </c>
      <c r="V101" s="13">
        <f t="shared" si="21"/>
        <v>1</v>
      </c>
      <c r="W101" s="13">
        <f t="shared" si="21"/>
        <v>0</v>
      </c>
      <c r="X101" s="13">
        <f t="shared" si="21"/>
        <v>0</v>
      </c>
      <c r="Y101" s="13">
        <f t="shared" si="21"/>
        <v>2</v>
      </c>
      <c r="Z101" s="13">
        <f t="shared" si="21"/>
        <v>1</v>
      </c>
      <c r="AA101" s="13">
        <f t="shared" si="21"/>
        <v>1</v>
      </c>
      <c r="AB101" s="13">
        <f t="shared" si="20"/>
        <v>45</v>
      </c>
    </row>
    <row r="102" spans="1:28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3"/>
    </row>
    <row r="103" spans="1:28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3">
        <f t="shared" ref="AB103:AB110" si="22">SUM(E103:AA103)</f>
        <v>0</v>
      </c>
    </row>
    <row r="104" spans="1:28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1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3">
        <f t="shared" si="22"/>
        <v>1</v>
      </c>
    </row>
    <row r="105" spans="1:28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3">
        <f t="shared" si="22"/>
        <v>0</v>
      </c>
    </row>
    <row r="106" spans="1:28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3">
        <f t="shared" si="22"/>
        <v>0</v>
      </c>
    </row>
    <row r="107" spans="1:28" ht="12.75" customHeight="1" x14ac:dyDescent="0.4">
      <c r="A107" s="14"/>
      <c r="B107" s="27"/>
      <c r="C107" s="28" t="s">
        <v>92</v>
      </c>
      <c r="D107" s="29"/>
      <c r="E107" s="15">
        <v>1</v>
      </c>
      <c r="F107" s="15">
        <v>0</v>
      </c>
      <c r="G107" s="15">
        <v>1</v>
      </c>
      <c r="H107" s="15">
        <v>1</v>
      </c>
      <c r="I107" s="15">
        <v>0</v>
      </c>
      <c r="J107" s="15">
        <v>2</v>
      </c>
      <c r="K107" s="15">
        <v>1</v>
      </c>
      <c r="L107" s="15">
        <v>0</v>
      </c>
      <c r="M107" s="15">
        <v>3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1</v>
      </c>
      <c r="Z107" s="15">
        <v>0</v>
      </c>
      <c r="AA107" s="15">
        <v>1</v>
      </c>
      <c r="AB107" s="13">
        <f t="shared" si="22"/>
        <v>11</v>
      </c>
    </row>
    <row r="108" spans="1:28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3">
        <f t="shared" si="22"/>
        <v>1</v>
      </c>
    </row>
    <row r="109" spans="1:28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1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3">
        <f t="shared" si="22"/>
        <v>1</v>
      </c>
    </row>
    <row r="110" spans="1:28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AA110" si="23">SUM(E103:E109)</f>
        <v>1</v>
      </c>
      <c r="F110" s="13">
        <f t="shared" si="23"/>
        <v>0</v>
      </c>
      <c r="G110" s="13">
        <f t="shared" si="23"/>
        <v>1</v>
      </c>
      <c r="H110" s="13">
        <f t="shared" si="23"/>
        <v>1</v>
      </c>
      <c r="I110" s="13">
        <f t="shared" si="23"/>
        <v>1</v>
      </c>
      <c r="J110" s="13">
        <f t="shared" si="23"/>
        <v>2</v>
      </c>
      <c r="K110" s="13">
        <f t="shared" si="23"/>
        <v>1</v>
      </c>
      <c r="L110" s="13">
        <f t="shared" si="23"/>
        <v>0</v>
      </c>
      <c r="M110" s="13">
        <f t="shared" si="23"/>
        <v>3</v>
      </c>
      <c r="N110" s="13">
        <f t="shared" si="23"/>
        <v>0</v>
      </c>
      <c r="O110" s="13">
        <f t="shared" si="23"/>
        <v>0</v>
      </c>
      <c r="P110" s="13">
        <f t="shared" si="23"/>
        <v>0</v>
      </c>
      <c r="Q110" s="13">
        <f t="shared" si="23"/>
        <v>0</v>
      </c>
      <c r="R110" s="13">
        <f t="shared" si="23"/>
        <v>0</v>
      </c>
      <c r="S110" s="13">
        <f t="shared" si="23"/>
        <v>1</v>
      </c>
      <c r="T110" s="13">
        <f t="shared" si="23"/>
        <v>1</v>
      </c>
      <c r="U110" s="13">
        <f t="shared" si="23"/>
        <v>0</v>
      </c>
      <c r="V110" s="13">
        <f t="shared" si="23"/>
        <v>0</v>
      </c>
      <c r="W110" s="13">
        <f t="shared" si="23"/>
        <v>0</v>
      </c>
      <c r="X110" s="13">
        <f t="shared" si="23"/>
        <v>0</v>
      </c>
      <c r="Y110" s="13">
        <f t="shared" si="23"/>
        <v>1</v>
      </c>
      <c r="Z110" s="13">
        <f t="shared" si="23"/>
        <v>0</v>
      </c>
      <c r="AA110" s="13">
        <f t="shared" si="23"/>
        <v>1</v>
      </c>
      <c r="AB110" s="13">
        <f t="shared" si="22"/>
        <v>14</v>
      </c>
    </row>
    <row r="111" spans="1:28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3"/>
    </row>
    <row r="112" spans="1:28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3">
        <f t="shared" ref="AB112:AB119" si="24">SUM(E112:AA112)</f>
        <v>0</v>
      </c>
    </row>
    <row r="113" spans="1:30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3">
        <f t="shared" si="24"/>
        <v>0</v>
      </c>
    </row>
    <row r="114" spans="1:30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3">
        <f t="shared" si="24"/>
        <v>1</v>
      </c>
    </row>
    <row r="115" spans="1:30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3">
        <f t="shared" si="24"/>
        <v>0</v>
      </c>
    </row>
    <row r="116" spans="1:30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3">
        <f t="shared" si="24"/>
        <v>0</v>
      </c>
    </row>
    <row r="117" spans="1:30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3">
        <f t="shared" si="24"/>
        <v>0</v>
      </c>
      <c r="AC117" s="5"/>
      <c r="AD117" s="5"/>
    </row>
    <row r="118" spans="1:30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3">
        <f t="shared" si="24"/>
        <v>0</v>
      </c>
      <c r="AC118" s="5"/>
      <c r="AD118" s="5"/>
    </row>
    <row r="119" spans="1:30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AA119" si="25">SUM(E112:E118)</f>
        <v>0</v>
      </c>
      <c r="F119" s="13">
        <f t="shared" si="25"/>
        <v>0</v>
      </c>
      <c r="G119" s="13">
        <f t="shared" si="25"/>
        <v>0</v>
      </c>
      <c r="H119" s="13">
        <f t="shared" si="25"/>
        <v>0</v>
      </c>
      <c r="I119" s="13">
        <f t="shared" si="25"/>
        <v>1</v>
      </c>
      <c r="J119" s="13">
        <f t="shared" si="25"/>
        <v>0</v>
      </c>
      <c r="K119" s="13">
        <f t="shared" si="25"/>
        <v>0</v>
      </c>
      <c r="L119" s="13">
        <f t="shared" si="25"/>
        <v>0</v>
      </c>
      <c r="M119" s="13">
        <f t="shared" si="25"/>
        <v>0</v>
      </c>
      <c r="N119" s="13">
        <f t="shared" si="25"/>
        <v>0</v>
      </c>
      <c r="O119" s="13">
        <f t="shared" si="25"/>
        <v>0</v>
      </c>
      <c r="P119" s="13">
        <f t="shared" si="25"/>
        <v>0</v>
      </c>
      <c r="Q119" s="13">
        <f t="shared" si="25"/>
        <v>0</v>
      </c>
      <c r="R119" s="13">
        <f t="shared" si="25"/>
        <v>0</v>
      </c>
      <c r="S119" s="13">
        <f t="shared" si="25"/>
        <v>0</v>
      </c>
      <c r="T119" s="13">
        <f t="shared" si="25"/>
        <v>0</v>
      </c>
      <c r="U119" s="13">
        <f t="shared" si="25"/>
        <v>0</v>
      </c>
      <c r="V119" s="13">
        <f t="shared" si="25"/>
        <v>0</v>
      </c>
      <c r="W119" s="13">
        <f t="shared" si="25"/>
        <v>0</v>
      </c>
      <c r="X119" s="13">
        <f t="shared" si="25"/>
        <v>0</v>
      </c>
      <c r="Y119" s="13">
        <f t="shared" si="25"/>
        <v>0</v>
      </c>
      <c r="Z119" s="13">
        <f t="shared" si="25"/>
        <v>0</v>
      </c>
      <c r="AA119" s="13">
        <f t="shared" si="25"/>
        <v>0</v>
      </c>
      <c r="AB119" s="13">
        <f t="shared" si="24"/>
        <v>1</v>
      </c>
      <c r="AC119" s="5"/>
      <c r="AD119" s="5"/>
    </row>
    <row r="120" spans="1:30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3"/>
      <c r="AC120" s="5"/>
      <c r="AD120" s="5"/>
    </row>
    <row r="121" spans="1:30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3">
        <f t="shared" ref="AB121:AB128" si="26">SUM(E121:AA121)</f>
        <v>1</v>
      </c>
      <c r="AC121" s="5"/>
      <c r="AD121" s="5"/>
    </row>
    <row r="122" spans="1:30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3">
        <f t="shared" si="26"/>
        <v>0</v>
      </c>
      <c r="AC122" s="5"/>
      <c r="AD122" s="5"/>
    </row>
    <row r="123" spans="1:30" ht="12.75" customHeight="1" x14ac:dyDescent="0.4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1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3">
        <f t="shared" si="26"/>
        <v>1</v>
      </c>
      <c r="AC123" s="5"/>
      <c r="AD123" s="5"/>
    </row>
    <row r="124" spans="1:30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3">
        <f t="shared" si="26"/>
        <v>0</v>
      </c>
      <c r="AC124" s="5"/>
      <c r="AD124" s="5"/>
    </row>
    <row r="125" spans="1:30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1</v>
      </c>
      <c r="H125" s="15">
        <v>0</v>
      </c>
      <c r="I125" s="15">
        <v>0</v>
      </c>
      <c r="J125" s="15">
        <v>0</v>
      </c>
      <c r="K125" s="15">
        <v>0</v>
      </c>
      <c r="L125" s="15">
        <v>1</v>
      </c>
      <c r="M125" s="15">
        <v>0</v>
      </c>
      <c r="N125" s="15">
        <v>0</v>
      </c>
      <c r="O125" s="15">
        <v>0</v>
      </c>
      <c r="P125" s="15">
        <v>0</v>
      </c>
      <c r="Q125" s="15">
        <v>1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3">
        <f t="shared" si="26"/>
        <v>3</v>
      </c>
      <c r="AC125" s="5"/>
      <c r="AD125" s="5"/>
    </row>
    <row r="126" spans="1:30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3">
        <f t="shared" si="26"/>
        <v>0</v>
      </c>
      <c r="AC126" s="5"/>
      <c r="AD126" s="5"/>
    </row>
    <row r="127" spans="1:30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3">
        <f t="shared" si="26"/>
        <v>0</v>
      </c>
      <c r="AC127" s="5"/>
      <c r="AD127" s="5"/>
    </row>
    <row r="128" spans="1:30" ht="12.75" customHeight="1" x14ac:dyDescent="0.4">
      <c r="A128" s="15" t="s">
        <v>15</v>
      </c>
      <c r="B128" s="53" t="s">
        <v>46</v>
      </c>
      <c r="C128" s="54"/>
      <c r="D128" s="55"/>
      <c r="E128" s="13">
        <v>0</v>
      </c>
      <c r="F128" s="13">
        <v>0</v>
      </c>
      <c r="G128" s="13">
        <v>1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0</v>
      </c>
      <c r="N128" s="13">
        <v>0</v>
      </c>
      <c r="O128" s="13">
        <v>0</v>
      </c>
      <c r="P128" s="13">
        <v>0</v>
      </c>
      <c r="Q128" s="13">
        <v>1</v>
      </c>
      <c r="R128" s="13">
        <v>0</v>
      </c>
      <c r="S128" s="13">
        <v>0</v>
      </c>
      <c r="T128" s="13">
        <v>0</v>
      </c>
      <c r="U128" s="13">
        <v>0</v>
      </c>
      <c r="V128" s="13">
        <v>1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f t="shared" si="26"/>
        <v>5</v>
      </c>
      <c r="AC128" s="5"/>
      <c r="AD128" s="5"/>
    </row>
    <row r="129" spans="1:30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3"/>
      <c r="AC129" s="5"/>
      <c r="AD129" s="5"/>
    </row>
    <row r="130" spans="1:30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1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3">
        <f t="shared" ref="AB130:AB132" si="27">SUM(E130:AA130)</f>
        <v>1</v>
      </c>
      <c r="AC130" s="1"/>
      <c r="AD130" s="1"/>
    </row>
    <row r="131" spans="1:30" ht="12.75" customHeight="1" x14ac:dyDescent="0.4">
      <c r="A131" s="19" t="s">
        <v>39</v>
      </c>
      <c r="B131" s="27"/>
      <c r="C131" s="28" t="s">
        <v>113</v>
      </c>
      <c r="D131" s="29"/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3">
        <f t="shared" si="27"/>
        <v>0</v>
      </c>
      <c r="AC131" s="31"/>
      <c r="AD131" s="31"/>
    </row>
    <row r="132" spans="1:30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AA132" si="28">SUM(E130:E131)</f>
        <v>0</v>
      </c>
      <c r="F132" s="13">
        <f t="shared" si="28"/>
        <v>0</v>
      </c>
      <c r="G132" s="13">
        <f t="shared" si="28"/>
        <v>0</v>
      </c>
      <c r="H132" s="13">
        <f t="shared" si="28"/>
        <v>0</v>
      </c>
      <c r="I132" s="13">
        <f t="shared" si="28"/>
        <v>1</v>
      </c>
      <c r="J132" s="13">
        <f t="shared" si="28"/>
        <v>0</v>
      </c>
      <c r="K132" s="13">
        <f t="shared" si="28"/>
        <v>0</v>
      </c>
      <c r="L132" s="13">
        <f t="shared" si="28"/>
        <v>0</v>
      </c>
      <c r="M132" s="13">
        <f t="shared" si="28"/>
        <v>0</v>
      </c>
      <c r="N132" s="13">
        <f t="shared" si="28"/>
        <v>0</v>
      </c>
      <c r="O132" s="13">
        <f t="shared" si="28"/>
        <v>0</v>
      </c>
      <c r="P132" s="13">
        <f t="shared" si="28"/>
        <v>0</v>
      </c>
      <c r="Q132" s="13">
        <f t="shared" si="28"/>
        <v>0</v>
      </c>
      <c r="R132" s="13">
        <f t="shared" si="28"/>
        <v>0</v>
      </c>
      <c r="S132" s="13">
        <f t="shared" si="28"/>
        <v>0</v>
      </c>
      <c r="T132" s="13">
        <f t="shared" si="28"/>
        <v>0</v>
      </c>
      <c r="U132" s="13">
        <f t="shared" si="28"/>
        <v>0</v>
      </c>
      <c r="V132" s="13">
        <f t="shared" si="28"/>
        <v>0</v>
      </c>
      <c r="W132" s="13">
        <f t="shared" si="28"/>
        <v>0</v>
      </c>
      <c r="X132" s="13">
        <f t="shared" si="28"/>
        <v>0</v>
      </c>
      <c r="Y132" s="13">
        <f t="shared" si="28"/>
        <v>0</v>
      </c>
      <c r="Z132" s="13">
        <f t="shared" si="28"/>
        <v>0</v>
      </c>
      <c r="AA132" s="13">
        <f t="shared" si="28"/>
        <v>0</v>
      </c>
      <c r="AB132" s="13">
        <f t="shared" si="27"/>
        <v>1</v>
      </c>
      <c r="AC132" s="5"/>
      <c r="AD132" s="5"/>
    </row>
    <row r="133" spans="1:30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3"/>
      <c r="AC133" s="5"/>
      <c r="AD133" s="5"/>
    </row>
    <row r="134" spans="1:30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1</v>
      </c>
      <c r="AA134" s="15">
        <v>0</v>
      </c>
      <c r="AB134" s="13">
        <f t="shared" ref="AB134:AB141" si="29">SUM(E134:AA134)</f>
        <v>2</v>
      </c>
      <c r="AC134" s="5"/>
      <c r="AD134" s="5"/>
    </row>
    <row r="135" spans="1:30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1</v>
      </c>
      <c r="H135" s="15">
        <v>0</v>
      </c>
      <c r="I135" s="15">
        <v>0</v>
      </c>
      <c r="J135" s="15">
        <v>0</v>
      </c>
      <c r="K135" s="15">
        <v>1</v>
      </c>
      <c r="L135" s="15">
        <v>0</v>
      </c>
      <c r="M135" s="15">
        <v>1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3">
        <f t="shared" si="29"/>
        <v>3</v>
      </c>
      <c r="AC135" s="5"/>
      <c r="AD135" s="5"/>
    </row>
    <row r="136" spans="1:30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3">
        <f t="shared" si="29"/>
        <v>0</v>
      </c>
      <c r="AC136" s="5"/>
      <c r="AD136" s="5"/>
    </row>
    <row r="137" spans="1:30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1</v>
      </c>
      <c r="AA137" s="15">
        <v>0</v>
      </c>
      <c r="AB137" s="13">
        <f t="shared" si="29"/>
        <v>1</v>
      </c>
      <c r="AC137" s="5"/>
      <c r="AD137" s="5"/>
    </row>
    <row r="138" spans="1:30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3">
        <f t="shared" si="29"/>
        <v>0</v>
      </c>
      <c r="AC138" s="5"/>
      <c r="AD138" s="5"/>
    </row>
    <row r="139" spans="1:30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3">
        <f t="shared" si="29"/>
        <v>0</v>
      </c>
      <c r="AC139" s="5"/>
      <c r="AD139" s="5"/>
    </row>
    <row r="140" spans="1:30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1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3">
        <f t="shared" si="29"/>
        <v>3</v>
      </c>
      <c r="AC140" s="5"/>
      <c r="AD140" s="5"/>
    </row>
    <row r="141" spans="1:30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AA141" si="30">SUM(E134:E140)</f>
        <v>0</v>
      </c>
      <c r="F141" s="13">
        <f t="shared" si="30"/>
        <v>0</v>
      </c>
      <c r="G141" s="13">
        <f t="shared" si="30"/>
        <v>1</v>
      </c>
      <c r="H141" s="13">
        <f t="shared" si="30"/>
        <v>0</v>
      </c>
      <c r="I141" s="13">
        <f t="shared" si="30"/>
        <v>0</v>
      </c>
      <c r="J141" s="13">
        <f t="shared" si="30"/>
        <v>1</v>
      </c>
      <c r="K141" s="13">
        <f t="shared" si="30"/>
        <v>2</v>
      </c>
      <c r="L141" s="13">
        <f t="shared" si="30"/>
        <v>0</v>
      </c>
      <c r="M141" s="13">
        <f t="shared" si="30"/>
        <v>1</v>
      </c>
      <c r="N141" s="13">
        <f t="shared" si="30"/>
        <v>0</v>
      </c>
      <c r="O141" s="13">
        <f t="shared" si="30"/>
        <v>0</v>
      </c>
      <c r="P141" s="13">
        <f t="shared" si="30"/>
        <v>0</v>
      </c>
      <c r="Q141" s="13">
        <f t="shared" si="30"/>
        <v>0</v>
      </c>
      <c r="R141" s="13">
        <f t="shared" si="30"/>
        <v>0</v>
      </c>
      <c r="S141" s="13">
        <f t="shared" si="30"/>
        <v>0</v>
      </c>
      <c r="T141" s="13">
        <f t="shared" si="30"/>
        <v>1</v>
      </c>
      <c r="U141" s="13">
        <f t="shared" si="30"/>
        <v>0</v>
      </c>
      <c r="V141" s="13">
        <f t="shared" si="30"/>
        <v>1</v>
      </c>
      <c r="W141" s="13">
        <f t="shared" si="30"/>
        <v>0</v>
      </c>
      <c r="X141" s="13">
        <f t="shared" si="30"/>
        <v>0</v>
      </c>
      <c r="Y141" s="13">
        <f t="shared" si="30"/>
        <v>0</v>
      </c>
      <c r="Z141" s="13">
        <f t="shared" si="30"/>
        <v>2</v>
      </c>
      <c r="AA141" s="13">
        <f t="shared" si="30"/>
        <v>0</v>
      </c>
      <c r="AB141" s="13">
        <f t="shared" si="29"/>
        <v>9</v>
      </c>
      <c r="AC141" s="1"/>
      <c r="AD141" s="1"/>
    </row>
    <row r="142" spans="1:30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3"/>
      <c r="AC142" s="31"/>
      <c r="AD142" s="31"/>
    </row>
    <row r="143" spans="1:30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1</v>
      </c>
      <c r="W143" s="15">
        <v>0</v>
      </c>
      <c r="X143" s="15">
        <v>0</v>
      </c>
      <c r="Y143" s="15">
        <v>0</v>
      </c>
      <c r="Z143" s="15">
        <v>2</v>
      </c>
      <c r="AA143" s="15">
        <v>0</v>
      </c>
      <c r="AB143" s="13">
        <f t="shared" ref="AB143:AB150" si="31">SUM(E143:AA143)</f>
        <v>3</v>
      </c>
      <c r="AC143" s="5"/>
      <c r="AD143" s="5"/>
    </row>
    <row r="144" spans="1:30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1</v>
      </c>
      <c r="W144" s="15">
        <v>5</v>
      </c>
      <c r="X144" s="15">
        <v>2</v>
      </c>
      <c r="Y144" s="15">
        <v>2</v>
      </c>
      <c r="Z144" s="15">
        <v>4</v>
      </c>
      <c r="AA144" s="15">
        <v>4</v>
      </c>
      <c r="AB144" s="13">
        <f t="shared" si="31"/>
        <v>19</v>
      </c>
      <c r="AC144" s="5"/>
      <c r="AD144" s="5"/>
    </row>
    <row r="145" spans="1:30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1</v>
      </c>
      <c r="K145" s="15">
        <v>0</v>
      </c>
      <c r="L145" s="15">
        <v>0</v>
      </c>
      <c r="M145" s="15">
        <v>0</v>
      </c>
      <c r="N145" s="15">
        <v>1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3">
        <f t="shared" si="31"/>
        <v>2</v>
      </c>
      <c r="AC145" s="5"/>
      <c r="AD145" s="5"/>
    </row>
    <row r="146" spans="1:30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3">
        <f t="shared" si="31"/>
        <v>0</v>
      </c>
      <c r="AC146" s="5"/>
      <c r="AD146" s="5"/>
    </row>
    <row r="147" spans="1:30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3">
        <f t="shared" si="31"/>
        <v>0</v>
      </c>
      <c r="AC147" s="5"/>
      <c r="AD147" s="5"/>
    </row>
    <row r="148" spans="1:30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2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3">
        <f t="shared" si="31"/>
        <v>2</v>
      </c>
      <c r="AC148" s="5"/>
      <c r="AD148" s="5"/>
    </row>
    <row r="149" spans="1:30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3">
        <f t="shared" si="31"/>
        <v>0</v>
      </c>
      <c r="AC149" s="5"/>
      <c r="AD149" s="5"/>
    </row>
    <row r="150" spans="1:30" ht="12.75" customHeight="1" x14ac:dyDescent="0.4">
      <c r="A150" s="15" t="s">
        <v>15</v>
      </c>
      <c r="B150" s="53" t="s">
        <v>46</v>
      </c>
      <c r="C150" s="54"/>
      <c r="D150" s="55"/>
      <c r="E150" s="13">
        <v>0</v>
      </c>
      <c r="F150" s="13">
        <v>0</v>
      </c>
      <c r="G150" s="13">
        <v>0</v>
      </c>
      <c r="H150" s="13">
        <v>0</v>
      </c>
      <c r="I150" s="13">
        <v>1</v>
      </c>
      <c r="J150" s="13">
        <v>1</v>
      </c>
      <c r="K150" s="13">
        <v>2</v>
      </c>
      <c r="L150" s="13">
        <v>0</v>
      </c>
      <c r="M150" s="13">
        <v>0</v>
      </c>
      <c r="N150" s="13">
        <v>1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2</v>
      </c>
      <c r="W150" s="13">
        <v>5</v>
      </c>
      <c r="X150" s="13">
        <v>2</v>
      </c>
      <c r="Y150" s="13">
        <v>2</v>
      </c>
      <c r="Z150" s="13">
        <v>6</v>
      </c>
      <c r="AA150" s="13">
        <v>4</v>
      </c>
      <c r="AB150" s="13">
        <f t="shared" si="31"/>
        <v>26</v>
      </c>
      <c r="AC150" s="5"/>
      <c r="AD150" s="5"/>
    </row>
    <row r="151" spans="1:30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3"/>
      <c r="AC151" s="1"/>
      <c r="AD151" s="1"/>
    </row>
    <row r="152" spans="1:30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7</v>
      </c>
      <c r="F152" s="15">
        <v>9</v>
      </c>
      <c r="G152" s="15">
        <v>6</v>
      </c>
      <c r="H152" s="15">
        <v>1</v>
      </c>
      <c r="I152" s="15">
        <v>15</v>
      </c>
      <c r="J152" s="15">
        <v>18</v>
      </c>
      <c r="K152" s="15">
        <v>9</v>
      </c>
      <c r="L152" s="15">
        <v>14</v>
      </c>
      <c r="M152" s="15">
        <v>16</v>
      </c>
      <c r="N152" s="15">
        <v>15</v>
      </c>
      <c r="O152" s="15">
        <v>4</v>
      </c>
      <c r="P152" s="15">
        <v>9</v>
      </c>
      <c r="Q152" s="15">
        <v>5</v>
      </c>
      <c r="R152" s="15">
        <v>2</v>
      </c>
      <c r="S152" s="15">
        <v>1</v>
      </c>
      <c r="T152" s="15">
        <v>4</v>
      </c>
      <c r="U152" s="15">
        <v>17</v>
      </c>
      <c r="V152" s="15">
        <v>22</v>
      </c>
      <c r="W152" s="15">
        <v>13</v>
      </c>
      <c r="X152" s="15">
        <v>16</v>
      </c>
      <c r="Y152" s="15">
        <v>16</v>
      </c>
      <c r="Z152" s="15">
        <v>21</v>
      </c>
      <c r="AA152" s="15">
        <v>8</v>
      </c>
      <c r="AB152" s="13">
        <f t="shared" ref="AB152:AB159" si="32">SUM(E152:AA152)</f>
        <v>248</v>
      </c>
      <c r="AC152" s="31"/>
      <c r="AD152" s="31"/>
    </row>
    <row r="153" spans="1:30" ht="12.75" customHeight="1" x14ac:dyDescent="0.4">
      <c r="A153" s="19" t="s">
        <v>39</v>
      </c>
      <c r="B153" s="27"/>
      <c r="C153" s="28" t="s">
        <v>132</v>
      </c>
      <c r="D153" s="29"/>
      <c r="E153" s="15">
        <v>0</v>
      </c>
      <c r="F153" s="15">
        <v>6</v>
      </c>
      <c r="G153" s="15">
        <v>1</v>
      </c>
      <c r="H153" s="15">
        <v>0</v>
      </c>
      <c r="I153" s="15">
        <v>1</v>
      </c>
      <c r="J153" s="15">
        <v>5</v>
      </c>
      <c r="K153" s="15">
        <v>1</v>
      </c>
      <c r="L153" s="15">
        <v>2</v>
      </c>
      <c r="M153" s="15">
        <v>0</v>
      </c>
      <c r="N153" s="15">
        <v>1</v>
      </c>
      <c r="O153" s="15">
        <v>2</v>
      </c>
      <c r="P153" s="15">
        <v>1</v>
      </c>
      <c r="Q153" s="15">
        <v>0</v>
      </c>
      <c r="R153" s="15">
        <v>0</v>
      </c>
      <c r="S153" s="15">
        <v>0</v>
      </c>
      <c r="T153" s="15">
        <v>3</v>
      </c>
      <c r="U153" s="15">
        <v>2</v>
      </c>
      <c r="V153" s="15">
        <v>1</v>
      </c>
      <c r="W153" s="15">
        <v>1</v>
      </c>
      <c r="X153" s="15">
        <v>1</v>
      </c>
      <c r="Y153" s="15">
        <v>2</v>
      </c>
      <c r="Z153" s="15">
        <v>6</v>
      </c>
      <c r="AA153" s="15">
        <v>1</v>
      </c>
      <c r="AB153" s="13">
        <f t="shared" si="32"/>
        <v>37</v>
      </c>
      <c r="AC153" s="5"/>
      <c r="AD153" s="5"/>
    </row>
    <row r="154" spans="1:30" ht="12.75" customHeight="1" x14ac:dyDescent="0.4">
      <c r="A154" s="14"/>
      <c r="B154" s="27"/>
      <c r="C154" s="28" t="s">
        <v>133</v>
      </c>
      <c r="D154" s="29"/>
      <c r="E154" s="15">
        <v>101</v>
      </c>
      <c r="F154" s="15">
        <v>107</v>
      </c>
      <c r="G154" s="15">
        <v>63</v>
      </c>
      <c r="H154" s="15">
        <v>49</v>
      </c>
      <c r="I154" s="15">
        <v>81</v>
      </c>
      <c r="J154" s="15">
        <v>65</v>
      </c>
      <c r="K154" s="15">
        <v>94</v>
      </c>
      <c r="L154" s="15">
        <v>82</v>
      </c>
      <c r="M154" s="15">
        <v>80</v>
      </c>
      <c r="N154" s="15">
        <v>105</v>
      </c>
      <c r="O154" s="15">
        <v>151</v>
      </c>
      <c r="P154" s="15">
        <v>51</v>
      </c>
      <c r="Q154" s="15">
        <v>24</v>
      </c>
      <c r="R154" s="15">
        <v>16</v>
      </c>
      <c r="S154" s="15">
        <v>25</v>
      </c>
      <c r="T154" s="15">
        <v>13</v>
      </c>
      <c r="U154" s="15">
        <v>96</v>
      </c>
      <c r="V154" s="15">
        <v>49</v>
      </c>
      <c r="W154" s="15">
        <v>82</v>
      </c>
      <c r="X154" s="15">
        <v>48</v>
      </c>
      <c r="Y154" s="15">
        <v>44</v>
      </c>
      <c r="Z154" s="15">
        <v>43</v>
      </c>
      <c r="AA154" s="15">
        <v>41</v>
      </c>
      <c r="AB154" s="13">
        <f t="shared" si="32"/>
        <v>1510</v>
      </c>
      <c r="AC154" s="5"/>
      <c r="AD154" s="5"/>
    </row>
    <row r="155" spans="1:30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0</v>
      </c>
      <c r="H155" s="15">
        <v>1</v>
      </c>
      <c r="I155" s="15">
        <v>0</v>
      </c>
      <c r="J155" s="15">
        <v>0</v>
      </c>
      <c r="K155" s="15">
        <v>1</v>
      </c>
      <c r="L155" s="15">
        <v>0</v>
      </c>
      <c r="M155" s="15">
        <v>0</v>
      </c>
      <c r="N155" s="15">
        <v>0</v>
      </c>
      <c r="O155" s="15">
        <v>1</v>
      </c>
      <c r="P155" s="15">
        <v>1</v>
      </c>
      <c r="Q155" s="15">
        <v>0</v>
      </c>
      <c r="R155" s="15">
        <v>2</v>
      </c>
      <c r="S155" s="15">
        <v>0</v>
      </c>
      <c r="T155" s="15">
        <v>0</v>
      </c>
      <c r="U155" s="15">
        <v>0</v>
      </c>
      <c r="V155" s="15">
        <v>0</v>
      </c>
      <c r="W155" s="15">
        <v>1</v>
      </c>
      <c r="X155" s="15">
        <v>0</v>
      </c>
      <c r="Y155" s="15">
        <v>1</v>
      </c>
      <c r="Z155" s="15">
        <v>0</v>
      </c>
      <c r="AA155" s="15">
        <v>1</v>
      </c>
      <c r="AB155" s="13">
        <f t="shared" si="32"/>
        <v>9</v>
      </c>
      <c r="AC155" s="5"/>
      <c r="AD155" s="5"/>
    </row>
    <row r="156" spans="1:30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1</v>
      </c>
      <c r="H156" s="15">
        <v>0</v>
      </c>
      <c r="I156" s="15">
        <v>0</v>
      </c>
      <c r="J156" s="15">
        <v>0</v>
      </c>
      <c r="K156" s="15">
        <v>1</v>
      </c>
      <c r="L156" s="15">
        <v>0</v>
      </c>
      <c r="M156" s="15">
        <v>1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3">
        <f t="shared" si="32"/>
        <v>3</v>
      </c>
      <c r="AC156" s="5"/>
      <c r="AD156" s="5"/>
    </row>
    <row r="157" spans="1:30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3">
        <f t="shared" si="32"/>
        <v>0</v>
      </c>
      <c r="AC157" s="5"/>
      <c r="AD157" s="5"/>
    </row>
    <row r="158" spans="1:30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3">
        <f t="shared" si="32"/>
        <v>2</v>
      </c>
      <c r="AC158" s="5"/>
      <c r="AD158" s="5"/>
    </row>
    <row r="159" spans="1:30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AA159" si="33">SUM(E152:E158)</f>
        <v>108</v>
      </c>
      <c r="F159" s="13">
        <f t="shared" si="33"/>
        <v>123</v>
      </c>
      <c r="G159" s="13">
        <f t="shared" si="33"/>
        <v>71</v>
      </c>
      <c r="H159" s="13">
        <f t="shared" si="33"/>
        <v>51</v>
      </c>
      <c r="I159" s="13">
        <f t="shared" si="33"/>
        <v>97</v>
      </c>
      <c r="J159" s="13">
        <f t="shared" si="33"/>
        <v>88</v>
      </c>
      <c r="K159" s="13">
        <f t="shared" si="33"/>
        <v>106</v>
      </c>
      <c r="L159" s="13">
        <f t="shared" si="33"/>
        <v>98</v>
      </c>
      <c r="M159" s="13">
        <f t="shared" si="33"/>
        <v>97</v>
      </c>
      <c r="N159" s="13">
        <f t="shared" si="33"/>
        <v>121</v>
      </c>
      <c r="O159" s="13">
        <f t="shared" si="33"/>
        <v>158</v>
      </c>
      <c r="P159" s="13">
        <f t="shared" si="33"/>
        <v>62</v>
      </c>
      <c r="Q159" s="13">
        <f t="shared" si="33"/>
        <v>29</v>
      </c>
      <c r="R159" s="13">
        <f t="shared" si="33"/>
        <v>21</v>
      </c>
      <c r="S159" s="13">
        <f t="shared" si="33"/>
        <v>26</v>
      </c>
      <c r="T159" s="13">
        <f t="shared" si="33"/>
        <v>20</v>
      </c>
      <c r="U159" s="13">
        <f t="shared" si="33"/>
        <v>115</v>
      </c>
      <c r="V159" s="13">
        <f t="shared" si="33"/>
        <v>72</v>
      </c>
      <c r="W159" s="13">
        <f t="shared" si="33"/>
        <v>97</v>
      </c>
      <c r="X159" s="13">
        <f t="shared" si="33"/>
        <v>65</v>
      </c>
      <c r="Y159" s="13">
        <f t="shared" si="33"/>
        <v>63</v>
      </c>
      <c r="Z159" s="13">
        <f t="shared" si="33"/>
        <v>70</v>
      </c>
      <c r="AA159" s="13">
        <f t="shared" si="33"/>
        <v>51</v>
      </c>
      <c r="AB159" s="13">
        <f t="shared" si="32"/>
        <v>1809</v>
      </c>
      <c r="AC159" s="5"/>
      <c r="AD159" s="5"/>
    </row>
    <row r="160" spans="1:30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3"/>
      <c r="AC160" s="5"/>
      <c r="AD160" s="5"/>
    </row>
    <row r="161" spans="1:30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1</v>
      </c>
      <c r="G161" s="46">
        <v>0</v>
      </c>
      <c r="H161" s="46">
        <v>0</v>
      </c>
      <c r="I161" s="46">
        <v>0</v>
      </c>
      <c r="J161" s="46">
        <v>0</v>
      </c>
      <c r="K161" s="46">
        <v>0</v>
      </c>
      <c r="L161" s="46">
        <v>0</v>
      </c>
      <c r="M161" s="46">
        <v>1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1</v>
      </c>
      <c r="W161" s="46">
        <v>0</v>
      </c>
      <c r="X161" s="46">
        <v>0</v>
      </c>
      <c r="Y161" s="46">
        <v>3</v>
      </c>
      <c r="Z161" s="46">
        <v>0</v>
      </c>
      <c r="AA161" s="46">
        <v>0</v>
      </c>
      <c r="AB161" s="13">
        <f t="shared" ref="AB161:AB164" si="34">SUM(E161:AA161)</f>
        <v>6</v>
      </c>
      <c r="AC161" s="5"/>
      <c r="AD161" s="5"/>
    </row>
    <row r="162" spans="1:30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0</v>
      </c>
      <c r="G162" s="46">
        <v>1</v>
      </c>
      <c r="H162" s="46">
        <v>1</v>
      </c>
      <c r="I162" s="46"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0</v>
      </c>
      <c r="O162" s="46">
        <v>0</v>
      </c>
      <c r="P162" s="46">
        <v>0</v>
      </c>
      <c r="Q162" s="46">
        <v>0</v>
      </c>
      <c r="R162" s="46">
        <v>1</v>
      </c>
      <c r="S162" s="46">
        <v>1</v>
      </c>
      <c r="T162" s="46">
        <v>1</v>
      </c>
      <c r="U162" s="46">
        <v>1</v>
      </c>
      <c r="V162" s="46">
        <v>1</v>
      </c>
      <c r="W162" s="46">
        <v>0</v>
      </c>
      <c r="X162" s="46">
        <v>0</v>
      </c>
      <c r="Y162" s="46">
        <v>0</v>
      </c>
      <c r="Z162" s="46">
        <v>0</v>
      </c>
      <c r="AA162" s="46">
        <v>0</v>
      </c>
      <c r="AB162" s="13">
        <f t="shared" si="34"/>
        <v>7</v>
      </c>
      <c r="AC162" s="5"/>
      <c r="AD162" s="5"/>
    </row>
    <row r="163" spans="1:30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6">
        <v>0</v>
      </c>
      <c r="Y163" s="46">
        <v>0</v>
      </c>
      <c r="Z163" s="46">
        <v>0</v>
      </c>
      <c r="AA163" s="46">
        <v>0</v>
      </c>
      <c r="AB163" s="13">
        <f t="shared" si="34"/>
        <v>0</v>
      </c>
      <c r="AC163" s="5"/>
      <c r="AD163" s="5"/>
    </row>
    <row r="164" spans="1:30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AA164" si="35">SUM(E161:E163)</f>
        <v>0</v>
      </c>
      <c r="F164" s="13">
        <f t="shared" si="35"/>
        <v>1</v>
      </c>
      <c r="G164" s="13">
        <f t="shared" si="35"/>
        <v>1</v>
      </c>
      <c r="H164" s="13">
        <f t="shared" si="35"/>
        <v>1</v>
      </c>
      <c r="I164" s="13">
        <f t="shared" si="35"/>
        <v>0</v>
      </c>
      <c r="J164" s="13">
        <f t="shared" si="35"/>
        <v>0</v>
      </c>
      <c r="K164" s="13">
        <f t="shared" si="35"/>
        <v>0</v>
      </c>
      <c r="L164" s="13">
        <f t="shared" si="35"/>
        <v>0</v>
      </c>
      <c r="M164" s="13">
        <f t="shared" si="35"/>
        <v>1</v>
      </c>
      <c r="N164" s="13">
        <f t="shared" si="35"/>
        <v>0</v>
      </c>
      <c r="O164" s="13">
        <f t="shared" si="35"/>
        <v>0</v>
      </c>
      <c r="P164" s="13">
        <f t="shared" si="35"/>
        <v>0</v>
      </c>
      <c r="Q164" s="13">
        <f t="shared" si="35"/>
        <v>0</v>
      </c>
      <c r="R164" s="13">
        <f t="shared" si="35"/>
        <v>1</v>
      </c>
      <c r="S164" s="13">
        <f t="shared" si="35"/>
        <v>1</v>
      </c>
      <c r="T164" s="13">
        <f t="shared" si="35"/>
        <v>1</v>
      </c>
      <c r="U164" s="13">
        <f t="shared" si="35"/>
        <v>1</v>
      </c>
      <c r="V164" s="13">
        <f t="shared" si="35"/>
        <v>2</v>
      </c>
      <c r="W164" s="13">
        <f t="shared" si="35"/>
        <v>0</v>
      </c>
      <c r="X164" s="13">
        <f t="shared" si="35"/>
        <v>0</v>
      </c>
      <c r="Y164" s="13">
        <f t="shared" si="35"/>
        <v>3</v>
      </c>
      <c r="Z164" s="13">
        <f t="shared" si="35"/>
        <v>0</v>
      </c>
      <c r="AA164" s="13">
        <f t="shared" si="35"/>
        <v>0</v>
      </c>
      <c r="AB164" s="13">
        <f t="shared" si="34"/>
        <v>13</v>
      </c>
      <c r="AC164" s="5"/>
      <c r="AD164" s="5"/>
    </row>
    <row r="165" spans="1:30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3"/>
      <c r="AC165" s="1"/>
      <c r="AD165" s="1"/>
    </row>
    <row r="166" spans="1:30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1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3">
        <f t="shared" ref="AB166:AB173" si="36">SUM(E166:AA166)</f>
        <v>1</v>
      </c>
      <c r="AC166" s="31"/>
      <c r="AD166" s="31"/>
    </row>
    <row r="167" spans="1:30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1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3">
        <f t="shared" si="36"/>
        <v>1</v>
      </c>
      <c r="AC167" s="5"/>
      <c r="AD167" s="5"/>
    </row>
    <row r="168" spans="1:30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3">
        <f t="shared" si="36"/>
        <v>0</v>
      </c>
      <c r="AC168" s="5"/>
      <c r="AD168" s="5"/>
    </row>
    <row r="169" spans="1:30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3">
        <f t="shared" si="36"/>
        <v>0</v>
      </c>
      <c r="AC169" s="5"/>
      <c r="AD169" s="5"/>
    </row>
    <row r="170" spans="1:30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3">
        <f t="shared" si="36"/>
        <v>0</v>
      </c>
      <c r="AC170" s="5"/>
      <c r="AD170" s="5"/>
    </row>
    <row r="171" spans="1:30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3">
        <f t="shared" si="36"/>
        <v>0</v>
      </c>
      <c r="AC171" s="5"/>
      <c r="AD171" s="5"/>
    </row>
    <row r="172" spans="1:30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3">
        <f t="shared" si="36"/>
        <v>0</v>
      </c>
      <c r="AC172" s="5"/>
      <c r="AD172" s="5"/>
    </row>
    <row r="173" spans="1:30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AA173" si="37">SUM(E166:E172)</f>
        <v>0</v>
      </c>
      <c r="F173" s="13">
        <f t="shared" si="37"/>
        <v>0</v>
      </c>
      <c r="G173" s="13">
        <f t="shared" si="37"/>
        <v>0</v>
      </c>
      <c r="H173" s="13">
        <f t="shared" si="37"/>
        <v>0</v>
      </c>
      <c r="I173" s="13">
        <f t="shared" si="37"/>
        <v>0</v>
      </c>
      <c r="J173" s="13">
        <f t="shared" si="37"/>
        <v>0</v>
      </c>
      <c r="K173" s="13">
        <f t="shared" si="37"/>
        <v>0</v>
      </c>
      <c r="L173" s="13">
        <f t="shared" si="37"/>
        <v>0</v>
      </c>
      <c r="M173" s="13">
        <f t="shared" si="37"/>
        <v>0</v>
      </c>
      <c r="N173" s="13">
        <f t="shared" si="37"/>
        <v>0</v>
      </c>
      <c r="O173" s="13">
        <f t="shared" si="37"/>
        <v>0</v>
      </c>
      <c r="P173" s="13">
        <f t="shared" si="37"/>
        <v>0</v>
      </c>
      <c r="Q173" s="13">
        <f t="shared" si="37"/>
        <v>1</v>
      </c>
      <c r="R173" s="13">
        <f t="shared" si="37"/>
        <v>1</v>
      </c>
      <c r="S173" s="13">
        <f t="shared" si="37"/>
        <v>0</v>
      </c>
      <c r="T173" s="13">
        <f t="shared" si="37"/>
        <v>0</v>
      </c>
      <c r="U173" s="13">
        <f t="shared" si="37"/>
        <v>0</v>
      </c>
      <c r="V173" s="13">
        <f t="shared" si="37"/>
        <v>0</v>
      </c>
      <c r="W173" s="13">
        <f t="shared" si="37"/>
        <v>0</v>
      </c>
      <c r="X173" s="13">
        <f t="shared" si="37"/>
        <v>0</v>
      </c>
      <c r="Y173" s="13">
        <f t="shared" si="37"/>
        <v>0</v>
      </c>
      <c r="Z173" s="13">
        <f t="shared" si="37"/>
        <v>0</v>
      </c>
      <c r="AA173" s="13">
        <f t="shared" si="37"/>
        <v>0</v>
      </c>
      <c r="AB173" s="13">
        <f t="shared" si="36"/>
        <v>2</v>
      </c>
      <c r="AC173" s="5"/>
      <c r="AD173" s="5"/>
    </row>
    <row r="174" spans="1:30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3"/>
      <c r="AC174" s="5"/>
      <c r="AD174" s="5"/>
    </row>
    <row r="175" spans="1:30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1</v>
      </c>
      <c r="V175" s="15">
        <v>2</v>
      </c>
      <c r="W175" s="15">
        <v>1</v>
      </c>
      <c r="X175" s="15">
        <v>1</v>
      </c>
      <c r="Y175" s="15">
        <v>0</v>
      </c>
      <c r="Z175" s="15">
        <v>0</v>
      </c>
      <c r="AA175" s="15">
        <v>0</v>
      </c>
      <c r="AB175" s="13">
        <f t="shared" ref="AB175:AB182" si="38">SUM(E175:AA175)</f>
        <v>7</v>
      </c>
      <c r="AC175" s="5"/>
      <c r="AD175" s="5"/>
    </row>
    <row r="176" spans="1:30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3">
        <f t="shared" si="38"/>
        <v>0</v>
      </c>
      <c r="AC176" s="1"/>
      <c r="AD176" s="1"/>
    </row>
    <row r="177" spans="1:30" ht="12.75" customHeight="1" x14ac:dyDescent="0.4">
      <c r="A177" s="14"/>
      <c r="B177" s="27"/>
      <c r="C177" s="28" t="s">
        <v>153</v>
      </c>
      <c r="D177" s="29"/>
      <c r="E177" s="15">
        <v>3</v>
      </c>
      <c r="F177" s="15">
        <v>3</v>
      </c>
      <c r="G177" s="15">
        <v>4</v>
      </c>
      <c r="H177" s="15">
        <v>3</v>
      </c>
      <c r="I177" s="15">
        <v>4</v>
      </c>
      <c r="J177" s="15">
        <v>1</v>
      </c>
      <c r="K177" s="15">
        <v>4</v>
      </c>
      <c r="L177" s="15">
        <v>4</v>
      </c>
      <c r="M177" s="15">
        <v>0</v>
      </c>
      <c r="N177" s="15">
        <v>0</v>
      </c>
      <c r="O177" s="15">
        <v>0</v>
      </c>
      <c r="P177" s="15">
        <v>6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3</v>
      </c>
      <c r="W177" s="15">
        <v>6</v>
      </c>
      <c r="X177" s="15">
        <v>0</v>
      </c>
      <c r="Y177" s="15">
        <v>0</v>
      </c>
      <c r="Z177" s="15">
        <v>1</v>
      </c>
      <c r="AA177" s="15">
        <v>0</v>
      </c>
      <c r="AB177" s="13">
        <f t="shared" si="38"/>
        <v>42</v>
      </c>
    </row>
    <row r="178" spans="1:30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1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3">
        <f t="shared" si="38"/>
        <v>1</v>
      </c>
      <c r="AC178" s="5"/>
      <c r="AD178" s="5"/>
    </row>
    <row r="179" spans="1:30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3">
        <f t="shared" si="38"/>
        <v>0</v>
      </c>
      <c r="AC179" s="5"/>
      <c r="AD179" s="5"/>
    </row>
    <row r="180" spans="1:30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3">
        <f t="shared" si="38"/>
        <v>1</v>
      </c>
      <c r="AC180" s="5"/>
      <c r="AD180" s="5"/>
    </row>
    <row r="181" spans="1:30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3">
        <f t="shared" si="38"/>
        <v>0</v>
      </c>
      <c r="AC181" s="5"/>
      <c r="AD181" s="5"/>
    </row>
    <row r="182" spans="1:30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AA182" si="39">SUM(E175:E181)</f>
        <v>3</v>
      </c>
      <c r="F182" s="13">
        <f t="shared" si="39"/>
        <v>3</v>
      </c>
      <c r="G182" s="13">
        <f t="shared" si="39"/>
        <v>4</v>
      </c>
      <c r="H182" s="13">
        <f t="shared" si="39"/>
        <v>3</v>
      </c>
      <c r="I182" s="13">
        <f t="shared" si="39"/>
        <v>4</v>
      </c>
      <c r="J182" s="13">
        <f t="shared" si="39"/>
        <v>1</v>
      </c>
      <c r="K182" s="13">
        <f t="shared" si="39"/>
        <v>5</v>
      </c>
      <c r="L182" s="13">
        <f t="shared" si="39"/>
        <v>4</v>
      </c>
      <c r="M182" s="13">
        <f t="shared" si="39"/>
        <v>1</v>
      </c>
      <c r="N182" s="13">
        <f t="shared" si="39"/>
        <v>0</v>
      </c>
      <c r="O182" s="13">
        <f t="shared" si="39"/>
        <v>0</v>
      </c>
      <c r="P182" s="13">
        <f t="shared" si="39"/>
        <v>7</v>
      </c>
      <c r="Q182" s="13">
        <f t="shared" si="39"/>
        <v>0</v>
      </c>
      <c r="R182" s="13">
        <f t="shared" si="39"/>
        <v>0</v>
      </c>
      <c r="S182" s="13">
        <f t="shared" si="39"/>
        <v>0</v>
      </c>
      <c r="T182" s="13">
        <f t="shared" si="39"/>
        <v>0</v>
      </c>
      <c r="U182" s="13">
        <f t="shared" si="39"/>
        <v>1</v>
      </c>
      <c r="V182" s="13">
        <f t="shared" si="39"/>
        <v>6</v>
      </c>
      <c r="W182" s="13">
        <f t="shared" si="39"/>
        <v>7</v>
      </c>
      <c r="X182" s="13">
        <f t="shared" si="39"/>
        <v>1</v>
      </c>
      <c r="Y182" s="13">
        <f t="shared" si="39"/>
        <v>0</v>
      </c>
      <c r="Z182" s="13">
        <f t="shared" si="39"/>
        <v>1</v>
      </c>
      <c r="AA182" s="13">
        <f t="shared" si="39"/>
        <v>0</v>
      </c>
      <c r="AB182" s="13">
        <f t="shared" si="38"/>
        <v>51</v>
      </c>
      <c r="AC182" s="5"/>
      <c r="AD182" s="5"/>
    </row>
    <row r="183" spans="1:30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13"/>
      <c r="AC183" s="5"/>
      <c r="AD183" s="5"/>
    </row>
    <row r="184" spans="1:30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1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1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3">
        <f t="shared" ref="AB184:AB187" si="40">SUM(E184:AA184)</f>
        <v>2</v>
      </c>
      <c r="AC184" s="5"/>
      <c r="AD184" s="5"/>
    </row>
    <row r="185" spans="1:30" ht="12.75" customHeight="1" x14ac:dyDescent="0.4">
      <c r="A185" s="19" t="s">
        <v>39</v>
      </c>
      <c r="B185" s="27"/>
      <c r="C185" s="28" t="s">
        <v>160</v>
      </c>
      <c r="D185" s="29"/>
      <c r="E185" s="15">
        <v>1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3">
        <f t="shared" si="40"/>
        <v>1</v>
      </c>
      <c r="AC185" s="5"/>
      <c r="AD185" s="5"/>
    </row>
    <row r="186" spans="1:30" ht="12.75" customHeight="1" x14ac:dyDescent="0.4">
      <c r="A186" s="15" t="s">
        <v>15</v>
      </c>
      <c r="B186" s="53" t="s">
        <v>46</v>
      </c>
      <c r="C186" s="54"/>
      <c r="D186" s="55"/>
      <c r="E186" s="15">
        <f t="shared" ref="E186:AA186" si="41">SUM(E184:E185)</f>
        <v>1</v>
      </c>
      <c r="F186" s="15">
        <f t="shared" si="41"/>
        <v>0</v>
      </c>
      <c r="G186" s="15">
        <f t="shared" si="41"/>
        <v>0</v>
      </c>
      <c r="H186" s="15">
        <f t="shared" si="41"/>
        <v>0</v>
      </c>
      <c r="I186" s="15">
        <f t="shared" si="41"/>
        <v>0</v>
      </c>
      <c r="J186" s="15">
        <f t="shared" si="41"/>
        <v>0</v>
      </c>
      <c r="K186" s="15">
        <f t="shared" si="41"/>
        <v>0</v>
      </c>
      <c r="L186" s="15">
        <f t="shared" si="41"/>
        <v>0</v>
      </c>
      <c r="M186" s="15">
        <f t="shared" si="41"/>
        <v>0</v>
      </c>
      <c r="N186" s="15">
        <f t="shared" si="41"/>
        <v>1</v>
      </c>
      <c r="O186" s="15">
        <f t="shared" si="41"/>
        <v>0</v>
      </c>
      <c r="P186" s="15">
        <f t="shared" si="41"/>
        <v>0</v>
      </c>
      <c r="Q186" s="15">
        <f t="shared" si="41"/>
        <v>0</v>
      </c>
      <c r="R186" s="15">
        <f t="shared" si="41"/>
        <v>0</v>
      </c>
      <c r="S186" s="15">
        <f t="shared" si="41"/>
        <v>0</v>
      </c>
      <c r="T186" s="15">
        <f t="shared" si="41"/>
        <v>0</v>
      </c>
      <c r="U186" s="15">
        <f t="shared" si="41"/>
        <v>0</v>
      </c>
      <c r="V186" s="15">
        <f t="shared" si="41"/>
        <v>1</v>
      </c>
      <c r="W186" s="15">
        <f t="shared" si="41"/>
        <v>0</v>
      </c>
      <c r="X186" s="15">
        <f t="shared" si="41"/>
        <v>0</v>
      </c>
      <c r="Y186" s="15">
        <f t="shared" si="41"/>
        <v>0</v>
      </c>
      <c r="Z186" s="15">
        <f t="shared" si="41"/>
        <v>0</v>
      </c>
      <c r="AA186" s="15">
        <f t="shared" si="41"/>
        <v>0</v>
      </c>
      <c r="AB186" s="13">
        <f t="shared" si="40"/>
        <v>3</v>
      </c>
      <c r="AC186" s="5"/>
      <c r="AD186" s="5"/>
    </row>
    <row r="187" spans="1:30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>
        <f t="shared" si="40"/>
        <v>0</v>
      </c>
      <c r="AC187" s="1"/>
      <c r="AD187" s="1"/>
    </row>
    <row r="188" spans="1:30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13"/>
    </row>
    <row r="189" spans="1:30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13"/>
      <c r="AC189" s="5"/>
      <c r="AD189" s="5"/>
    </row>
    <row r="190" spans="1:30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AA190" si="42">E186+E182+E173+E164+E159+E150+E141+E132+E128+E119+E110+E101+E92+E88+E79+E70+E61+E52</f>
        <v>222</v>
      </c>
      <c r="F190" s="15">
        <f t="shared" si="42"/>
        <v>194</v>
      </c>
      <c r="G190" s="15">
        <f t="shared" si="42"/>
        <v>193</v>
      </c>
      <c r="H190" s="15">
        <f t="shared" si="42"/>
        <v>182</v>
      </c>
      <c r="I190" s="15">
        <f t="shared" si="42"/>
        <v>204</v>
      </c>
      <c r="J190" s="15">
        <f t="shared" si="42"/>
        <v>200</v>
      </c>
      <c r="K190" s="15">
        <f t="shared" si="42"/>
        <v>193</v>
      </c>
      <c r="L190" s="15">
        <f t="shared" si="42"/>
        <v>176</v>
      </c>
      <c r="M190" s="15">
        <f t="shared" si="42"/>
        <v>203</v>
      </c>
      <c r="N190" s="15">
        <f t="shared" si="42"/>
        <v>202</v>
      </c>
      <c r="O190" s="15">
        <f t="shared" si="42"/>
        <v>210</v>
      </c>
      <c r="P190" s="15">
        <f t="shared" si="42"/>
        <v>200</v>
      </c>
      <c r="Q190" s="15">
        <f t="shared" si="42"/>
        <v>193</v>
      </c>
      <c r="R190" s="15">
        <f t="shared" si="42"/>
        <v>140</v>
      </c>
      <c r="S190" s="15">
        <f t="shared" si="42"/>
        <v>136</v>
      </c>
      <c r="T190" s="15">
        <f t="shared" si="42"/>
        <v>128</v>
      </c>
      <c r="U190" s="15">
        <f t="shared" si="42"/>
        <v>184</v>
      </c>
      <c r="V190" s="15">
        <f t="shared" si="42"/>
        <v>192</v>
      </c>
      <c r="W190" s="15">
        <f t="shared" si="42"/>
        <v>185</v>
      </c>
      <c r="X190" s="15">
        <f t="shared" si="42"/>
        <v>189</v>
      </c>
      <c r="Y190" s="15">
        <f t="shared" si="42"/>
        <v>190</v>
      </c>
      <c r="Z190" s="15">
        <f t="shared" si="42"/>
        <v>191</v>
      </c>
      <c r="AA190" s="15">
        <f t="shared" si="42"/>
        <v>171</v>
      </c>
      <c r="AB190" s="13">
        <f t="shared" ref="AB190:AB192" si="43">SUM(E190:AA190)</f>
        <v>4278</v>
      </c>
      <c r="AC190" s="5"/>
      <c r="AD190" s="5"/>
    </row>
    <row r="191" spans="1:30" ht="12.75" customHeight="1" x14ac:dyDescent="0.4">
      <c r="A191" s="21"/>
      <c r="B191" s="39" t="s">
        <v>165</v>
      </c>
      <c r="C191" s="79" t="s">
        <v>166</v>
      </c>
      <c r="D191" s="55"/>
      <c r="E191" s="15">
        <v>3</v>
      </c>
      <c r="F191" s="15">
        <v>9</v>
      </c>
      <c r="G191" s="15">
        <v>12</v>
      </c>
      <c r="H191" s="15">
        <v>2</v>
      </c>
      <c r="I191" s="15">
        <v>12</v>
      </c>
      <c r="J191" s="15">
        <v>13</v>
      </c>
      <c r="K191" s="15">
        <v>13</v>
      </c>
      <c r="L191" s="15">
        <v>7</v>
      </c>
      <c r="M191" s="15">
        <v>14</v>
      </c>
      <c r="N191" s="15">
        <v>5</v>
      </c>
      <c r="O191" s="15">
        <v>2</v>
      </c>
      <c r="P191" s="15">
        <v>17</v>
      </c>
      <c r="Q191" s="15">
        <v>4</v>
      </c>
      <c r="R191" s="15">
        <v>14</v>
      </c>
      <c r="S191" s="15">
        <v>9</v>
      </c>
      <c r="T191" s="15">
        <v>10</v>
      </c>
      <c r="U191" s="15">
        <v>15</v>
      </c>
      <c r="V191" s="15">
        <v>17</v>
      </c>
      <c r="W191" s="15">
        <v>16</v>
      </c>
      <c r="X191" s="15">
        <v>13</v>
      </c>
      <c r="Y191" s="15">
        <v>6</v>
      </c>
      <c r="Z191" s="15">
        <v>17</v>
      </c>
      <c r="AA191" s="15">
        <v>19</v>
      </c>
      <c r="AB191" s="13">
        <f t="shared" si="43"/>
        <v>249</v>
      </c>
      <c r="AC191" s="5"/>
      <c r="AD191" s="5"/>
    </row>
    <row r="192" spans="1:30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AA192" si="44">E190+E191</f>
        <v>225</v>
      </c>
      <c r="F192" s="15">
        <f t="shared" si="44"/>
        <v>203</v>
      </c>
      <c r="G192" s="15">
        <f t="shared" si="44"/>
        <v>205</v>
      </c>
      <c r="H192" s="15">
        <f t="shared" si="44"/>
        <v>184</v>
      </c>
      <c r="I192" s="15">
        <f t="shared" si="44"/>
        <v>216</v>
      </c>
      <c r="J192" s="15">
        <f t="shared" si="44"/>
        <v>213</v>
      </c>
      <c r="K192" s="15">
        <f t="shared" si="44"/>
        <v>206</v>
      </c>
      <c r="L192" s="15">
        <f t="shared" si="44"/>
        <v>183</v>
      </c>
      <c r="M192" s="15">
        <f t="shared" si="44"/>
        <v>217</v>
      </c>
      <c r="N192" s="15">
        <f t="shared" si="44"/>
        <v>207</v>
      </c>
      <c r="O192" s="15">
        <f t="shared" si="44"/>
        <v>212</v>
      </c>
      <c r="P192" s="15">
        <f t="shared" si="44"/>
        <v>217</v>
      </c>
      <c r="Q192" s="15">
        <f t="shared" si="44"/>
        <v>197</v>
      </c>
      <c r="R192" s="15">
        <f t="shared" si="44"/>
        <v>154</v>
      </c>
      <c r="S192" s="15">
        <f t="shared" si="44"/>
        <v>145</v>
      </c>
      <c r="T192" s="15">
        <f t="shared" si="44"/>
        <v>138</v>
      </c>
      <c r="U192" s="15">
        <f t="shared" si="44"/>
        <v>199</v>
      </c>
      <c r="V192" s="15">
        <f t="shared" si="44"/>
        <v>209</v>
      </c>
      <c r="W192" s="15">
        <f t="shared" si="44"/>
        <v>201</v>
      </c>
      <c r="X192" s="15">
        <f t="shared" si="44"/>
        <v>202</v>
      </c>
      <c r="Y192" s="15">
        <f t="shared" si="44"/>
        <v>196</v>
      </c>
      <c r="Z192" s="15">
        <f t="shared" si="44"/>
        <v>208</v>
      </c>
      <c r="AA192" s="15">
        <f t="shared" si="44"/>
        <v>190</v>
      </c>
      <c r="AB192" s="13">
        <f t="shared" si="43"/>
        <v>4527</v>
      </c>
      <c r="AC192" s="5"/>
      <c r="AD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AA12"/>
    <mergeCell ref="AB12:AB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34:T34">
    <cfRule type="expression" dxfId="338" priority="1">
      <formula>E34&lt;&gt;E64</formula>
    </cfRule>
  </conditionalFormatting>
  <conditionalFormatting sqref="E13:AA13">
    <cfRule type="expression" dxfId="337" priority="2">
      <formula>E30=E192</formula>
    </cfRule>
  </conditionalFormatting>
  <conditionalFormatting sqref="E14:AA15">
    <cfRule type="containsBlanks" dxfId="336" priority="3">
      <formula>LEN(TRIM(E14))=0</formula>
    </cfRule>
  </conditionalFormatting>
  <conditionalFormatting sqref="E19:AA20">
    <cfRule type="containsBlanks" dxfId="335" priority="4">
      <formula>LEN(TRIM(E19))=0</formula>
    </cfRule>
  </conditionalFormatting>
  <conditionalFormatting sqref="E22:AA23 E25:AA26 E33:AA33 E35:AA35 E39:AA40">
    <cfRule type="containsBlanks" dxfId="334" priority="5">
      <formula>LEN(TRIM(E22))=0</formula>
    </cfRule>
  </conditionalFormatting>
  <conditionalFormatting sqref="E30:AA30">
    <cfRule type="expression" dxfId="333" priority="6">
      <formula>E30&lt;&gt;E47</formula>
    </cfRule>
    <cfRule type="expression" dxfId="332" priority="7">
      <formula>E30&lt;&gt;E34</formula>
    </cfRule>
  </conditionalFormatting>
  <conditionalFormatting sqref="E34:AA34">
    <cfRule type="expression" dxfId="331" priority="8">
      <formula>E30&lt;&gt;E34</formula>
    </cfRule>
    <cfRule type="expression" dxfId="330" priority="9">
      <formula>E30=E34</formula>
    </cfRule>
    <cfRule type="expression" dxfId="329" priority="10">
      <formula>E34&lt;&gt;E30</formula>
    </cfRule>
  </conditionalFormatting>
  <conditionalFormatting sqref="E45:AA52 E54:AA61">
    <cfRule type="containsBlanks" dxfId="328" priority="11">
      <formula>LEN(TRIM(E45))=0</formula>
    </cfRule>
  </conditionalFormatting>
  <conditionalFormatting sqref="E63:AA70">
    <cfRule type="containsBlanks" dxfId="327" priority="12">
      <formula>LEN(TRIM(E63))=0</formula>
    </cfRule>
  </conditionalFormatting>
  <conditionalFormatting sqref="E72:AA79">
    <cfRule type="containsBlanks" dxfId="326" priority="13">
      <formula>LEN(TRIM(E72))=0</formula>
    </cfRule>
  </conditionalFormatting>
  <conditionalFormatting sqref="E81:AA88">
    <cfRule type="containsBlanks" dxfId="325" priority="14">
      <formula>LEN(TRIM(E81))=0</formula>
    </cfRule>
  </conditionalFormatting>
  <conditionalFormatting sqref="E90:AA91">
    <cfRule type="containsBlanks" dxfId="324" priority="15">
      <formula>LEN(TRIM(E90))=0</formula>
    </cfRule>
  </conditionalFormatting>
  <conditionalFormatting sqref="E94:AA101">
    <cfRule type="containsBlanks" dxfId="323" priority="16">
      <formula>LEN(TRIM(E94))=0</formula>
    </cfRule>
  </conditionalFormatting>
  <conditionalFormatting sqref="E103:AA110">
    <cfRule type="containsBlanks" dxfId="322" priority="17">
      <formula>LEN(TRIM(E103))=0</formula>
    </cfRule>
  </conditionalFormatting>
  <conditionalFormatting sqref="E112:AA119">
    <cfRule type="containsBlanks" dxfId="321" priority="18">
      <formula>LEN(TRIM(E112))=0</formula>
    </cfRule>
  </conditionalFormatting>
  <conditionalFormatting sqref="E121:AA128">
    <cfRule type="containsBlanks" dxfId="320" priority="19">
      <formula>LEN(TRIM(E121))=0</formula>
    </cfRule>
  </conditionalFormatting>
  <conditionalFormatting sqref="E130:AA132">
    <cfRule type="containsBlanks" dxfId="319" priority="20">
      <formula>LEN(TRIM(E130))=0</formula>
    </cfRule>
  </conditionalFormatting>
  <conditionalFormatting sqref="E134:AA141">
    <cfRule type="containsBlanks" dxfId="318" priority="21">
      <formula>LEN(TRIM(E134))=0</formula>
    </cfRule>
  </conditionalFormatting>
  <conditionalFormatting sqref="E143:AA150">
    <cfRule type="containsBlanks" dxfId="317" priority="22">
      <formula>LEN(TRIM(E143))=0</formula>
    </cfRule>
  </conditionalFormatting>
  <conditionalFormatting sqref="E152:AA159">
    <cfRule type="containsBlanks" dxfId="316" priority="23">
      <formula>LEN(TRIM(E152))=0</formula>
    </cfRule>
  </conditionalFormatting>
  <conditionalFormatting sqref="E161:AA163">
    <cfRule type="containsBlanks" dxfId="315" priority="24">
      <formula>LEN(TRIM(E161))=0</formula>
    </cfRule>
  </conditionalFormatting>
  <conditionalFormatting sqref="E166:AA173">
    <cfRule type="containsBlanks" dxfId="314" priority="25">
      <formula>LEN(TRIM(E166))=0</formula>
    </cfRule>
  </conditionalFormatting>
  <conditionalFormatting sqref="E175:AA182">
    <cfRule type="containsBlanks" dxfId="313" priority="26">
      <formula>LEN(TRIM(E175))=0</formula>
    </cfRule>
  </conditionalFormatting>
  <conditionalFormatting sqref="E184:AA186">
    <cfRule type="containsBlanks" dxfId="312" priority="27">
      <formula>LEN(TRIM(E184))=0</formula>
    </cfRule>
  </conditionalFormatting>
  <conditionalFormatting sqref="E190:AA190">
    <cfRule type="expression" dxfId="311" priority="28">
      <formula>E34=E</formula>
    </cfRule>
  </conditionalFormatting>
  <conditionalFormatting sqref="E192:AA192">
    <cfRule type="expression" dxfId="310" priority="29">
      <formula>E30=E192</formula>
    </cfRule>
  </conditionalFormatting>
  <conditionalFormatting sqref="U34:AA34">
    <cfRule type="expression" dxfId="309" priority="30">
      <formula>U34&lt;&gt;U47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workbookViewId="0">
      <pane ySplit="13" topLeftCell="A14" activePane="bottomLeft" state="frozen"/>
      <selection pane="bottomLeft" activeCell="B14" sqref="B14:C16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20" width="8.7109375" customWidth="1"/>
    <col min="21" max="21" width="13.28515625" customWidth="1"/>
    <col min="22" max="26" width="8.7109375" customWidth="1"/>
  </cols>
  <sheetData>
    <row r="1" spans="1:21" ht="12.75" customHeight="1" x14ac:dyDescent="0.4"/>
    <row r="2" spans="1:21" ht="12.75" customHeight="1" x14ac:dyDescent="0.4">
      <c r="C2" s="8" t="s">
        <v>0</v>
      </c>
      <c r="D2" s="8" t="s">
        <v>1</v>
      </c>
    </row>
    <row r="3" spans="1:21" ht="12.75" customHeight="1" x14ac:dyDescent="0.4">
      <c r="C3" s="8" t="s">
        <v>2</v>
      </c>
      <c r="D3" s="8" t="s">
        <v>3</v>
      </c>
    </row>
    <row r="4" spans="1:21" ht="12.75" customHeight="1" x14ac:dyDescent="0.4">
      <c r="C4" s="8" t="s">
        <v>4</v>
      </c>
      <c r="D4" s="8" t="s">
        <v>5</v>
      </c>
    </row>
    <row r="5" spans="1:21" ht="12.75" customHeight="1" x14ac:dyDescent="0.4">
      <c r="C5" s="8"/>
      <c r="D5" s="8"/>
    </row>
    <row r="6" spans="1:21" ht="12.75" customHeight="1" x14ac:dyDescent="0.4">
      <c r="C6" s="8"/>
      <c r="D6" s="8"/>
    </row>
    <row r="7" spans="1:21" ht="12.75" customHeight="1" x14ac:dyDescent="0.4">
      <c r="C7" s="8"/>
      <c r="D7" s="8"/>
    </row>
    <row r="8" spans="1:21" ht="12.75" customHeight="1" x14ac:dyDescent="0.4">
      <c r="C8" s="8"/>
      <c r="D8" s="8"/>
    </row>
    <row r="9" spans="1:21" ht="12.75" customHeight="1" x14ac:dyDescent="0.4">
      <c r="C9" s="8" t="s">
        <v>169</v>
      </c>
      <c r="D9" s="8" t="s">
        <v>1</v>
      </c>
    </row>
    <row r="10" spans="1:21" ht="12.75" customHeight="1" x14ac:dyDescent="0.4"/>
    <row r="11" spans="1:21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1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81" t="s">
        <v>8</v>
      </c>
    </row>
    <row r="13" spans="1:21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69"/>
    </row>
    <row r="14" spans="1:21" ht="12.75" customHeight="1" x14ac:dyDescent="0.4">
      <c r="A14" s="14"/>
      <c r="B14" s="61" t="s">
        <v>11</v>
      </c>
      <c r="C14" s="62"/>
      <c r="D14" s="15" t="s">
        <v>12</v>
      </c>
      <c r="E14" s="15">
        <v>131</v>
      </c>
      <c r="F14" s="15">
        <v>147</v>
      </c>
      <c r="G14" s="15">
        <v>117</v>
      </c>
      <c r="H14" s="15">
        <v>106</v>
      </c>
      <c r="I14" s="15">
        <v>134</v>
      </c>
      <c r="J14" s="15">
        <v>135</v>
      </c>
      <c r="K14" s="15">
        <v>123</v>
      </c>
      <c r="L14" s="15">
        <v>110</v>
      </c>
      <c r="M14" s="15">
        <v>101</v>
      </c>
      <c r="N14" s="15">
        <v>126</v>
      </c>
      <c r="O14" s="15">
        <v>86</v>
      </c>
      <c r="P14" s="15">
        <v>122</v>
      </c>
      <c r="Q14" s="15">
        <v>144</v>
      </c>
      <c r="R14" s="15">
        <v>131</v>
      </c>
      <c r="S14" s="15">
        <v>112</v>
      </c>
      <c r="T14" s="15">
        <v>143</v>
      </c>
      <c r="U14" s="13">
        <f t="shared" ref="U14:U16" si="0">SUM(E14:T14)</f>
        <v>1968</v>
      </c>
    </row>
    <row r="15" spans="1:21" ht="12.75" customHeight="1" x14ac:dyDescent="0.4">
      <c r="A15" s="14"/>
      <c r="B15" s="63"/>
      <c r="C15" s="64"/>
      <c r="D15" s="15" t="s">
        <v>13</v>
      </c>
      <c r="E15" s="15">
        <v>131</v>
      </c>
      <c r="F15" s="15">
        <v>139</v>
      </c>
      <c r="G15" s="15">
        <v>132</v>
      </c>
      <c r="H15" s="15">
        <v>111</v>
      </c>
      <c r="I15" s="15">
        <v>139</v>
      </c>
      <c r="J15" s="15">
        <v>140</v>
      </c>
      <c r="K15" s="15">
        <v>143</v>
      </c>
      <c r="L15" s="15">
        <v>118</v>
      </c>
      <c r="M15" s="15">
        <v>116</v>
      </c>
      <c r="N15" s="15">
        <v>139</v>
      </c>
      <c r="O15" s="15">
        <v>95</v>
      </c>
      <c r="P15" s="15">
        <v>114</v>
      </c>
      <c r="Q15" s="15">
        <v>144</v>
      </c>
      <c r="R15" s="15">
        <v>141</v>
      </c>
      <c r="S15" s="15">
        <v>107</v>
      </c>
      <c r="T15" s="15">
        <v>145</v>
      </c>
      <c r="U15" s="13">
        <f t="shared" si="0"/>
        <v>2054</v>
      </c>
    </row>
    <row r="16" spans="1:21" ht="12.75" customHeight="1" x14ac:dyDescent="0.4">
      <c r="A16" s="17"/>
      <c r="B16" s="59"/>
      <c r="C16" s="65"/>
      <c r="D16" s="13" t="s">
        <v>14</v>
      </c>
      <c r="E16" s="13">
        <f t="shared" ref="E16:T16" si="1">SUM(E14:E15)</f>
        <v>262</v>
      </c>
      <c r="F16" s="13">
        <f t="shared" si="1"/>
        <v>286</v>
      </c>
      <c r="G16" s="13">
        <f t="shared" si="1"/>
        <v>249</v>
      </c>
      <c r="H16" s="13">
        <f t="shared" si="1"/>
        <v>217</v>
      </c>
      <c r="I16" s="13">
        <f t="shared" si="1"/>
        <v>273</v>
      </c>
      <c r="J16" s="13">
        <f t="shared" si="1"/>
        <v>275</v>
      </c>
      <c r="K16" s="13">
        <f t="shared" si="1"/>
        <v>266</v>
      </c>
      <c r="L16" s="13">
        <f t="shared" si="1"/>
        <v>228</v>
      </c>
      <c r="M16" s="13">
        <f t="shared" si="1"/>
        <v>217</v>
      </c>
      <c r="N16" s="13">
        <f t="shared" si="1"/>
        <v>265</v>
      </c>
      <c r="O16" s="13">
        <f t="shared" si="1"/>
        <v>181</v>
      </c>
      <c r="P16" s="13">
        <f t="shared" si="1"/>
        <v>236</v>
      </c>
      <c r="Q16" s="13">
        <f t="shared" si="1"/>
        <v>288</v>
      </c>
      <c r="R16" s="13">
        <f t="shared" si="1"/>
        <v>272</v>
      </c>
      <c r="S16" s="13">
        <f t="shared" si="1"/>
        <v>219</v>
      </c>
      <c r="T16" s="13">
        <f t="shared" si="1"/>
        <v>288</v>
      </c>
      <c r="U16" s="13">
        <f t="shared" si="0"/>
        <v>4022</v>
      </c>
    </row>
    <row r="17" spans="1:21" ht="12.75" customHeight="1" x14ac:dyDescent="0.4">
      <c r="A17" s="66"/>
      <c r="B17" s="54"/>
      <c r="C17" s="54"/>
      <c r="D17" s="55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3"/>
    </row>
    <row r="18" spans="1:21" ht="12.75" customHeight="1" x14ac:dyDescent="0.4">
      <c r="A18" s="19" t="s">
        <v>15</v>
      </c>
      <c r="B18" s="60" t="s">
        <v>16</v>
      </c>
      <c r="C18" s="54"/>
      <c r="D18" s="55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3"/>
    </row>
    <row r="19" spans="1:21" ht="12.75" customHeight="1" x14ac:dyDescent="0.4">
      <c r="A19" s="19"/>
      <c r="B19" s="70" t="s">
        <v>17</v>
      </c>
      <c r="C19" s="67" t="s">
        <v>18</v>
      </c>
      <c r="D19" s="15" t="s">
        <v>12</v>
      </c>
      <c r="E19" s="15">
        <v>101</v>
      </c>
      <c r="F19" s="15">
        <v>117</v>
      </c>
      <c r="G19" s="15">
        <v>86</v>
      </c>
      <c r="H19" s="15">
        <v>84</v>
      </c>
      <c r="I19" s="15">
        <v>107</v>
      </c>
      <c r="J19" s="15">
        <v>108</v>
      </c>
      <c r="K19" s="15">
        <v>94</v>
      </c>
      <c r="L19" s="15">
        <v>77</v>
      </c>
      <c r="M19" s="15">
        <v>87</v>
      </c>
      <c r="N19" s="15">
        <v>98</v>
      </c>
      <c r="O19" s="15">
        <v>62</v>
      </c>
      <c r="P19" s="15">
        <v>92</v>
      </c>
      <c r="Q19" s="15">
        <v>106</v>
      </c>
      <c r="R19" s="15">
        <v>93</v>
      </c>
      <c r="S19" s="15">
        <v>84</v>
      </c>
      <c r="T19" s="15">
        <v>114</v>
      </c>
      <c r="U19" s="13">
        <f t="shared" ref="U19:U30" si="2">SUM(E19:T19)</f>
        <v>1510</v>
      </c>
    </row>
    <row r="20" spans="1:21" ht="12.75" customHeight="1" x14ac:dyDescent="0.4">
      <c r="A20" s="20"/>
      <c r="B20" s="64"/>
      <c r="C20" s="68"/>
      <c r="D20" s="15" t="s">
        <v>13</v>
      </c>
      <c r="E20" s="15">
        <v>116</v>
      </c>
      <c r="F20" s="15">
        <v>122</v>
      </c>
      <c r="G20" s="15">
        <v>109</v>
      </c>
      <c r="H20" s="15">
        <v>91</v>
      </c>
      <c r="I20" s="15">
        <v>112</v>
      </c>
      <c r="J20" s="15">
        <v>110</v>
      </c>
      <c r="K20" s="15">
        <v>118</v>
      </c>
      <c r="L20" s="15">
        <v>89</v>
      </c>
      <c r="M20" s="15">
        <v>99</v>
      </c>
      <c r="N20" s="15">
        <v>115</v>
      </c>
      <c r="O20" s="15">
        <v>79</v>
      </c>
      <c r="P20" s="15">
        <v>102</v>
      </c>
      <c r="Q20" s="15">
        <v>108</v>
      </c>
      <c r="R20" s="15">
        <v>97</v>
      </c>
      <c r="S20" s="15">
        <v>90</v>
      </c>
      <c r="T20" s="15">
        <v>125</v>
      </c>
      <c r="U20" s="13">
        <f t="shared" si="2"/>
        <v>1682</v>
      </c>
    </row>
    <row r="21" spans="1:21" ht="12.75" customHeight="1" x14ac:dyDescent="0.4">
      <c r="A21" s="21"/>
      <c r="B21" s="65"/>
      <c r="C21" s="69"/>
      <c r="D21" s="13" t="s">
        <v>14</v>
      </c>
      <c r="E21" s="13">
        <v>217</v>
      </c>
      <c r="F21" s="13">
        <v>239</v>
      </c>
      <c r="G21" s="13">
        <v>195</v>
      </c>
      <c r="H21" s="13">
        <v>175</v>
      </c>
      <c r="I21" s="13">
        <v>219</v>
      </c>
      <c r="J21" s="13">
        <v>218</v>
      </c>
      <c r="K21" s="13">
        <v>212</v>
      </c>
      <c r="L21" s="13">
        <v>166</v>
      </c>
      <c r="M21" s="13">
        <v>186</v>
      </c>
      <c r="N21" s="13">
        <v>213</v>
      </c>
      <c r="O21" s="13">
        <v>141</v>
      </c>
      <c r="P21" s="13">
        <v>194</v>
      </c>
      <c r="Q21" s="13">
        <v>214</v>
      </c>
      <c r="R21" s="13">
        <v>190</v>
      </c>
      <c r="S21" s="13">
        <v>174</v>
      </c>
      <c r="T21" s="13">
        <f>SUM(T19:T20)</f>
        <v>239</v>
      </c>
      <c r="U21" s="13">
        <f t="shared" si="2"/>
        <v>3192</v>
      </c>
    </row>
    <row r="22" spans="1:21" ht="12.75" customHeight="1" x14ac:dyDescent="0.4">
      <c r="A22" s="20"/>
      <c r="B22" s="70" t="s">
        <v>19</v>
      </c>
      <c r="C22" s="67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3">
        <f t="shared" si="2"/>
        <v>0</v>
      </c>
    </row>
    <row r="23" spans="1:21" ht="12.75" customHeight="1" x14ac:dyDescent="0.4">
      <c r="A23" s="20"/>
      <c r="B23" s="64"/>
      <c r="C23" s="68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3">
        <f t="shared" si="2"/>
        <v>0</v>
      </c>
    </row>
    <row r="24" spans="1:21" ht="12.75" customHeight="1" x14ac:dyDescent="0.4">
      <c r="A24" s="21"/>
      <c r="B24" s="65"/>
      <c r="C24" s="69"/>
      <c r="D24" s="13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f>SUM(T22:T23)</f>
        <v>0</v>
      </c>
      <c r="U24" s="13">
        <f t="shared" si="2"/>
        <v>0</v>
      </c>
    </row>
    <row r="25" spans="1:21" ht="12.75" customHeight="1" x14ac:dyDescent="0.4">
      <c r="A25" s="20"/>
      <c r="B25" s="70" t="s">
        <v>21</v>
      </c>
      <c r="C25" s="67" t="s">
        <v>22</v>
      </c>
      <c r="D25" s="15" t="s">
        <v>12</v>
      </c>
      <c r="E25" s="15">
        <v>1</v>
      </c>
      <c r="F25" s="15">
        <v>1</v>
      </c>
      <c r="G25" s="15">
        <v>1</v>
      </c>
      <c r="H25" s="15">
        <v>3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2</v>
      </c>
      <c r="O25" s="15">
        <v>0</v>
      </c>
      <c r="P25" s="15">
        <v>1</v>
      </c>
      <c r="Q25" s="15">
        <v>1</v>
      </c>
      <c r="R25" s="15">
        <v>1</v>
      </c>
      <c r="S25" s="15">
        <v>4</v>
      </c>
      <c r="T25" s="15">
        <v>0</v>
      </c>
      <c r="U25" s="13">
        <f t="shared" si="2"/>
        <v>16</v>
      </c>
    </row>
    <row r="26" spans="1:21" ht="12.75" customHeight="1" x14ac:dyDescent="0.4">
      <c r="A26" s="20"/>
      <c r="B26" s="64"/>
      <c r="C26" s="68"/>
      <c r="D26" s="15" t="s">
        <v>13</v>
      </c>
      <c r="E26" s="15">
        <v>2</v>
      </c>
      <c r="F26" s="15">
        <v>1</v>
      </c>
      <c r="G26" s="15">
        <v>0</v>
      </c>
      <c r="H26" s="15">
        <v>1</v>
      </c>
      <c r="I26" s="15">
        <v>2</v>
      </c>
      <c r="J26" s="15">
        <v>1</v>
      </c>
      <c r="K26" s="15">
        <v>1</v>
      </c>
      <c r="L26" s="15">
        <v>1</v>
      </c>
      <c r="M26" s="15">
        <v>1</v>
      </c>
      <c r="N26" s="15">
        <v>2</v>
      </c>
      <c r="O26" s="15">
        <v>1</v>
      </c>
      <c r="P26" s="15">
        <v>1</v>
      </c>
      <c r="Q26" s="15">
        <v>0</v>
      </c>
      <c r="R26" s="15">
        <v>1</v>
      </c>
      <c r="S26" s="15">
        <v>3</v>
      </c>
      <c r="T26" s="15">
        <v>1</v>
      </c>
      <c r="U26" s="13">
        <f t="shared" si="2"/>
        <v>19</v>
      </c>
    </row>
    <row r="27" spans="1:21" ht="12.75" customHeight="1" x14ac:dyDescent="0.4">
      <c r="A27" s="21"/>
      <c r="B27" s="65"/>
      <c r="C27" s="69"/>
      <c r="D27" s="13" t="s">
        <v>14</v>
      </c>
      <c r="E27" s="13">
        <v>3</v>
      </c>
      <c r="F27" s="13">
        <v>2</v>
      </c>
      <c r="G27" s="13">
        <v>1</v>
      </c>
      <c r="H27" s="13">
        <v>4</v>
      </c>
      <c r="I27" s="13">
        <v>2</v>
      </c>
      <c r="J27" s="13">
        <v>1</v>
      </c>
      <c r="K27" s="13">
        <v>2</v>
      </c>
      <c r="L27" s="13">
        <v>1</v>
      </c>
      <c r="M27" s="13">
        <v>1</v>
      </c>
      <c r="N27" s="13">
        <v>4</v>
      </c>
      <c r="O27" s="13">
        <v>1</v>
      </c>
      <c r="P27" s="13">
        <v>2</v>
      </c>
      <c r="Q27" s="13">
        <v>1</v>
      </c>
      <c r="R27" s="13">
        <v>2</v>
      </c>
      <c r="S27" s="13">
        <v>7</v>
      </c>
      <c r="T27" s="13">
        <f>SUM(T25:T26)</f>
        <v>1</v>
      </c>
      <c r="U27" s="13">
        <f t="shared" si="2"/>
        <v>35</v>
      </c>
    </row>
    <row r="28" spans="1:21" ht="12.75" customHeight="1" x14ac:dyDescent="0.4">
      <c r="A28" s="21"/>
      <c r="B28" s="71" t="s">
        <v>23</v>
      </c>
      <c r="C28" s="72" t="s">
        <v>24</v>
      </c>
      <c r="D28" s="13" t="s">
        <v>12</v>
      </c>
      <c r="E28" s="13">
        <v>102</v>
      </c>
      <c r="F28" s="13">
        <v>118</v>
      </c>
      <c r="G28" s="13">
        <v>87</v>
      </c>
      <c r="H28" s="13">
        <v>87</v>
      </c>
      <c r="I28" s="13">
        <v>107</v>
      </c>
      <c r="J28" s="13">
        <v>108</v>
      </c>
      <c r="K28" s="13">
        <v>95</v>
      </c>
      <c r="L28" s="13">
        <v>77</v>
      </c>
      <c r="M28" s="13">
        <v>87</v>
      </c>
      <c r="N28" s="13">
        <v>100</v>
      </c>
      <c r="O28" s="13">
        <v>62</v>
      </c>
      <c r="P28" s="13">
        <v>93</v>
      </c>
      <c r="Q28" s="13">
        <v>107</v>
      </c>
      <c r="R28" s="13">
        <v>94</v>
      </c>
      <c r="S28" s="13">
        <v>88</v>
      </c>
      <c r="T28" s="13">
        <f t="shared" ref="T28:T29" si="3">SUM(T19,T22,T25)</f>
        <v>114</v>
      </c>
      <c r="U28" s="13">
        <f t="shared" si="2"/>
        <v>1526</v>
      </c>
    </row>
    <row r="29" spans="1:21" ht="12.75" customHeight="1" x14ac:dyDescent="0.4">
      <c r="A29" s="21"/>
      <c r="B29" s="64"/>
      <c r="C29" s="68"/>
      <c r="D29" s="13" t="s">
        <v>13</v>
      </c>
      <c r="E29" s="13">
        <v>118</v>
      </c>
      <c r="F29" s="13">
        <v>123</v>
      </c>
      <c r="G29" s="13">
        <v>109</v>
      </c>
      <c r="H29" s="13">
        <v>92</v>
      </c>
      <c r="I29" s="13">
        <v>114</v>
      </c>
      <c r="J29" s="13">
        <v>111</v>
      </c>
      <c r="K29" s="13">
        <v>119</v>
      </c>
      <c r="L29" s="13">
        <v>90</v>
      </c>
      <c r="M29" s="13">
        <v>100</v>
      </c>
      <c r="N29" s="13">
        <v>117</v>
      </c>
      <c r="O29" s="13">
        <v>80</v>
      </c>
      <c r="P29" s="13">
        <v>103</v>
      </c>
      <c r="Q29" s="13">
        <v>108</v>
      </c>
      <c r="R29" s="13">
        <v>98</v>
      </c>
      <c r="S29" s="13">
        <v>93</v>
      </c>
      <c r="T29" s="13">
        <f t="shared" si="3"/>
        <v>126</v>
      </c>
      <c r="U29" s="13">
        <f t="shared" si="2"/>
        <v>1701</v>
      </c>
    </row>
    <row r="30" spans="1:21" ht="12.75" customHeight="1" x14ac:dyDescent="0.4">
      <c r="A30" s="21"/>
      <c r="B30" s="65"/>
      <c r="C30" s="69"/>
      <c r="D30" s="13" t="s">
        <v>14</v>
      </c>
      <c r="E30" s="13">
        <f t="shared" ref="E30:T30" si="4">SUM(E28:E29)</f>
        <v>220</v>
      </c>
      <c r="F30" s="13">
        <f t="shared" si="4"/>
        <v>241</v>
      </c>
      <c r="G30" s="13">
        <f t="shared" si="4"/>
        <v>196</v>
      </c>
      <c r="H30" s="13">
        <f t="shared" si="4"/>
        <v>179</v>
      </c>
      <c r="I30" s="13">
        <f t="shared" si="4"/>
        <v>221</v>
      </c>
      <c r="J30" s="13">
        <f t="shared" si="4"/>
        <v>219</v>
      </c>
      <c r="K30" s="13">
        <f t="shared" si="4"/>
        <v>214</v>
      </c>
      <c r="L30" s="13">
        <f t="shared" si="4"/>
        <v>167</v>
      </c>
      <c r="M30" s="13">
        <f t="shared" si="4"/>
        <v>187</v>
      </c>
      <c r="N30" s="13">
        <f t="shared" si="4"/>
        <v>217</v>
      </c>
      <c r="O30" s="13">
        <f t="shared" si="4"/>
        <v>142</v>
      </c>
      <c r="P30" s="13">
        <f t="shared" si="4"/>
        <v>196</v>
      </c>
      <c r="Q30" s="13">
        <f t="shared" si="4"/>
        <v>215</v>
      </c>
      <c r="R30" s="13">
        <f t="shared" si="4"/>
        <v>192</v>
      </c>
      <c r="S30" s="13">
        <f t="shared" si="4"/>
        <v>181</v>
      </c>
      <c r="T30" s="13">
        <f t="shared" si="4"/>
        <v>240</v>
      </c>
      <c r="U30" s="13">
        <f t="shared" si="2"/>
        <v>3227</v>
      </c>
    </row>
    <row r="31" spans="1:21" ht="12.75" customHeight="1" x14ac:dyDescent="0.4">
      <c r="A31" s="66"/>
      <c r="B31" s="54"/>
      <c r="C31" s="54"/>
      <c r="D31" s="55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3"/>
    </row>
    <row r="32" spans="1:21" ht="12.75" customHeight="1" x14ac:dyDescent="0.4">
      <c r="A32" s="24" t="s">
        <v>25</v>
      </c>
      <c r="B32" s="57" t="s">
        <v>26</v>
      </c>
      <c r="C32" s="54"/>
      <c r="D32" s="55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3"/>
    </row>
    <row r="33" spans="1:21" ht="12.75" customHeight="1" x14ac:dyDescent="0.4">
      <c r="A33" s="15">
        <v>1</v>
      </c>
      <c r="B33" s="60" t="s">
        <v>27</v>
      </c>
      <c r="C33" s="54"/>
      <c r="D33" s="55"/>
      <c r="E33" s="15">
        <v>268</v>
      </c>
      <c r="F33" s="15">
        <v>292</v>
      </c>
      <c r="G33" s="15">
        <v>254</v>
      </c>
      <c r="H33" s="15">
        <v>222</v>
      </c>
      <c r="I33" s="15">
        <v>279</v>
      </c>
      <c r="J33" s="15">
        <v>281</v>
      </c>
      <c r="K33" s="15">
        <v>272</v>
      </c>
      <c r="L33" s="15">
        <v>233</v>
      </c>
      <c r="M33" s="15">
        <v>222</v>
      </c>
      <c r="N33" s="15">
        <v>271</v>
      </c>
      <c r="O33" s="15">
        <v>185</v>
      </c>
      <c r="P33" s="15">
        <v>241</v>
      </c>
      <c r="Q33" s="15">
        <v>304</v>
      </c>
      <c r="R33" s="15">
        <v>278</v>
      </c>
      <c r="S33" s="15">
        <v>224</v>
      </c>
      <c r="T33" s="15">
        <v>294</v>
      </c>
      <c r="U33" s="13">
        <f t="shared" ref="U33:U36" si="5">SUM(E33:T33)</f>
        <v>4120</v>
      </c>
    </row>
    <row r="34" spans="1:21" ht="12.75" customHeight="1" x14ac:dyDescent="0.4">
      <c r="A34" s="15">
        <v>2</v>
      </c>
      <c r="B34" s="60" t="s">
        <v>28</v>
      </c>
      <c r="C34" s="54"/>
      <c r="D34" s="55"/>
      <c r="E34" s="13">
        <v>220</v>
      </c>
      <c r="F34" s="13">
        <v>241</v>
      </c>
      <c r="G34" s="13">
        <v>196</v>
      </c>
      <c r="H34" s="13">
        <v>179</v>
      </c>
      <c r="I34" s="13">
        <v>221</v>
      </c>
      <c r="J34" s="13">
        <v>219</v>
      </c>
      <c r="K34" s="13">
        <v>214</v>
      </c>
      <c r="L34" s="13">
        <v>167</v>
      </c>
      <c r="M34" s="13">
        <v>187</v>
      </c>
      <c r="N34" s="13">
        <v>217</v>
      </c>
      <c r="O34" s="13">
        <v>142</v>
      </c>
      <c r="P34" s="13">
        <v>196</v>
      </c>
      <c r="Q34" s="13">
        <v>215</v>
      </c>
      <c r="R34" s="13">
        <v>192</v>
      </c>
      <c r="S34" s="13">
        <v>181</v>
      </c>
      <c r="T34" s="13">
        <v>240</v>
      </c>
      <c r="U34" s="13">
        <f t="shared" si="5"/>
        <v>3227</v>
      </c>
    </row>
    <row r="35" spans="1:21" ht="12.75" customHeight="1" x14ac:dyDescent="0.4">
      <c r="A35" s="15">
        <v>3</v>
      </c>
      <c r="B35" s="60" t="s">
        <v>29</v>
      </c>
      <c r="C35" s="54"/>
      <c r="D35" s="55"/>
      <c r="E35" s="15">
        <v>3</v>
      </c>
      <c r="F35" s="15">
        <v>0</v>
      </c>
      <c r="G35" s="15">
        <v>0</v>
      </c>
      <c r="H35" s="15">
        <v>1</v>
      </c>
      <c r="I35" s="15">
        <v>1</v>
      </c>
      <c r="J35" s="15">
        <v>0</v>
      </c>
      <c r="K35" s="15">
        <v>0</v>
      </c>
      <c r="L35" s="15">
        <v>5</v>
      </c>
      <c r="M35" s="15">
        <v>1</v>
      </c>
      <c r="N35" s="15">
        <v>1</v>
      </c>
      <c r="O35" s="15">
        <v>0</v>
      </c>
      <c r="P35" s="15">
        <v>0</v>
      </c>
      <c r="Q35" s="15">
        <v>1</v>
      </c>
      <c r="R35" s="15">
        <v>0</v>
      </c>
      <c r="S35" s="15">
        <v>2</v>
      </c>
      <c r="T35" s="15">
        <v>1</v>
      </c>
      <c r="U35" s="13">
        <f t="shared" si="5"/>
        <v>16</v>
      </c>
    </row>
    <row r="36" spans="1:21" ht="12.75" customHeight="1" x14ac:dyDescent="0.4">
      <c r="A36" s="15">
        <v>4</v>
      </c>
      <c r="B36" s="60" t="s">
        <v>30</v>
      </c>
      <c r="C36" s="54"/>
      <c r="D36" s="55"/>
      <c r="E36" s="13">
        <v>45</v>
      </c>
      <c r="F36" s="13">
        <v>51</v>
      </c>
      <c r="G36" s="13">
        <v>58</v>
      </c>
      <c r="H36" s="13">
        <v>42</v>
      </c>
      <c r="I36" s="13">
        <v>57</v>
      </c>
      <c r="J36" s="13">
        <v>62</v>
      </c>
      <c r="K36" s="13">
        <v>58</v>
      </c>
      <c r="L36" s="13">
        <v>61</v>
      </c>
      <c r="M36" s="13">
        <v>34</v>
      </c>
      <c r="N36" s="13">
        <v>53</v>
      </c>
      <c r="O36" s="13">
        <v>43</v>
      </c>
      <c r="P36" s="13">
        <v>45</v>
      </c>
      <c r="Q36" s="13">
        <v>88</v>
      </c>
      <c r="R36" s="13">
        <v>86</v>
      </c>
      <c r="S36" s="13">
        <v>41</v>
      </c>
      <c r="T36" s="13">
        <f>T33-(T34+T35)</f>
        <v>53</v>
      </c>
      <c r="U36" s="13">
        <f t="shared" si="5"/>
        <v>877</v>
      </c>
    </row>
    <row r="37" spans="1:21" ht="12.75" customHeight="1" x14ac:dyDescent="0.4">
      <c r="A37" s="66"/>
      <c r="B37" s="54"/>
      <c r="C37" s="54"/>
      <c r="D37" s="54"/>
      <c r="E37" s="66"/>
      <c r="F37" s="54"/>
      <c r="G37" s="54"/>
      <c r="H37" s="54"/>
      <c r="I37" s="55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3"/>
    </row>
    <row r="38" spans="1:21" ht="12.75" customHeight="1" x14ac:dyDescent="0.4">
      <c r="A38" s="25" t="s">
        <v>31</v>
      </c>
      <c r="B38" s="57" t="s">
        <v>32</v>
      </c>
      <c r="C38" s="54"/>
      <c r="D38" s="55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3"/>
    </row>
    <row r="39" spans="1:21" ht="12.75" customHeight="1" x14ac:dyDescent="0.4">
      <c r="A39" s="19"/>
      <c r="B39" s="73" t="s">
        <v>33</v>
      </c>
      <c r="C39" s="62"/>
      <c r="D39" s="15" t="s">
        <v>12</v>
      </c>
      <c r="E39" s="15">
        <v>0</v>
      </c>
      <c r="F39" s="15">
        <v>0</v>
      </c>
      <c r="G39" s="15">
        <v>0</v>
      </c>
      <c r="H39" s="15">
        <v>1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2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3">
        <f t="shared" ref="U39:U41" si="6">SUM(E39:T39)</f>
        <v>4</v>
      </c>
    </row>
    <row r="40" spans="1:21" ht="12.75" customHeight="1" x14ac:dyDescent="0.4">
      <c r="A40" s="20"/>
      <c r="B40" s="74"/>
      <c r="C40" s="64"/>
      <c r="D40" s="15" t="s">
        <v>13</v>
      </c>
      <c r="E40" s="15">
        <v>0</v>
      </c>
      <c r="F40" s="15">
        <v>0</v>
      </c>
      <c r="G40" s="15">
        <v>0</v>
      </c>
      <c r="H40" s="15">
        <v>1</v>
      </c>
      <c r="I40" s="15">
        <v>0</v>
      </c>
      <c r="J40" s="15">
        <v>0</v>
      </c>
      <c r="K40" s="15">
        <v>0</v>
      </c>
      <c r="L40" s="15">
        <v>1</v>
      </c>
      <c r="M40" s="15">
        <v>1</v>
      </c>
      <c r="N40" s="15">
        <v>0</v>
      </c>
      <c r="O40" s="15">
        <v>1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3">
        <f t="shared" si="6"/>
        <v>5</v>
      </c>
    </row>
    <row r="41" spans="1:21" ht="12.75" customHeight="1" x14ac:dyDescent="0.4">
      <c r="A41" s="24"/>
      <c r="B41" s="75"/>
      <c r="C41" s="65"/>
      <c r="D41" s="13" t="s">
        <v>14</v>
      </c>
      <c r="E41" s="13">
        <f t="shared" ref="E41:T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2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1</v>
      </c>
      <c r="M41" s="13">
        <f t="shared" si="7"/>
        <v>1</v>
      </c>
      <c r="N41" s="13">
        <f t="shared" si="7"/>
        <v>0</v>
      </c>
      <c r="O41" s="13">
        <f t="shared" si="7"/>
        <v>3</v>
      </c>
      <c r="P41" s="13">
        <f t="shared" si="7"/>
        <v>0</v>
      </c>
      <c r="Q41" s="13">
        <f t="shared" si="7"/>
        <v>2</v>
      </c>
      <c r="R41" s="13">
        <f t="shared" si="7"/>
        <v>0</v>
      </c>
      <c r="S41" s="13">
        <f t="shared" si="7"/>
        <v>0</v>
      </c>
      <c r="T41" s="13">
        <f t="shared" si="7"/>
        <v>0</v>
      </c>
      <c r="U41" s="13">
        <f t="shared" si="6"/>
        <v>9</v>
      </c>
    </row>
    <row r="42" spans="1:21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3"/>
    </row>
    <row r="43" spans="1:21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3"/>
    </row>
    <row r="44" spans="1:21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3"/>
    </row>
    <row r="45" spans="1:21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13</v>
      </c>
      <c r="F45" s="15">
        <v>23</v>
      </c>
      <c r="G45" s="15">
        <v>9</v>
      </c>
      <c r="H45" s="15">
        <v>6</v>
      </c>
      <c r="I45" s="15">
        <v>14</v>
      </c>
      <c r="J45" s="15">
        <v>13</v>
      </c>
      <c r="K45" s="15">
        <v>6</v>
      </c>
      <c r="L45" s="15">
        <v>21</v>
      </c>
      <c r="M45" s="15">
        <v>11</v>
      </c>
      <c r="N45" s="15">
        <v>8</v>
      </c>
      <c r="O45" s="15">
        <v>15</v>
      </c>
      <c r="P45" s="15">
        <v>6</v>
      </c>
      <c r="Q45" s="15">
        <v>14</v>
      </c>
      <c r="R45" s="15">
        <v>5</v>
      </c>
      <c r="S45" s="15">
        <v>4</v>
      </c>
      <c r="T45" s="15">
        <v>6</v>
      </c>
      <c r="U45" s="13">
        <f t="shared" ref="U45:U192" si="8">SUM(E45:T45)</f>
        <v>174</v>
      </c>
    </row>
    <row r="46" spans="1:21" ht="12.75" customHeight="1" x14ac:dyDescent="0.4">
      <c r="A46" s="19" t="s">
        <v>39</v>
      </c>
      <c r="B46" s="27"/>
      <c r="C46" s="28" t="s">
        <v>40</v>
      </c>
      <c r="D46" s="29"/>
      <c r="E46" s="15">
        <v>102</v>
      </c>
      <c r="F46" s="15">
        <v>138</v>
      </c>
      <c r="G46" s="15">
        <v>74</v>
      </c>
      <c r="H46" s="15">
        <v>61</v>
      </c>
      <c r="I46" s="15">
        <v>95</v>
      </c>
      <c r="J46" s="15">
        <v>80</v>
      </c>
      <c r="K46" s="15">
        <v>98</v>
      </c>
      <c r="L46" s="15">
        <v>71</v>
      </c>
      <c r="M46" s="15">
        <v>121</v>
      </c>
      <c r="N46" s="15">
        <v>136</v>
      </c>
      <c r="O46" s="15">
        <v>86</v>
      </c>
      <c r="P46" s="15">
        <v>135</v>
      </c>
      <c r="Q46" s="15">
        <v>70</v>
      </c>
      <c r="R46" s="15">
        <v>16</v>
      </c>
      <c r="S46" s="15">
        <v>48</v>
      </c>
      <c r="T46" s="15">
        <v>38</v>
      </c>
      <c r="U46" s="13">
        <f t="shared" si="8"/>
        <v>1369</v>
      </c>
    </row>
    <row r="47" spans="1:21" ht="12.75" customHeight="1" x14ac:dyDescent="0.4">
      <c r="A47" s="14"/>
      <c r="B47" s="27"/>
      <c r="C47" s="28" t="s">
        <v>41</v>
      </c>
      <c r="D47" s="29"/>
      <c r="E47" s="15">
        <v>2</v>
      </c>
      <c r="F47" s="15">
        <v>4</v>
      </c>
      <c r="G47" s="15">
        <v>1</v>
      </c>
      <c r="H47" s="15">
        <v>1</v>
      </c>
      <c r="I47" s="15">
        <v>2</v>
      </c>
      <c r="J47" s="15">
        <v>11</v>
      </c>
      <c r="K47" s="15">
        <v>4</v>
      </c>
      <c r="L47" s="15">
        <v>3</v>
      </c>
      <c r="M47" s="15">
        <v>1</v>
      </c>
      <c r="N47" s="15">
        <v>1</v>
      </c>
      <c r="O47" s="15">
        <v>1</v>
      </c>
      <c r="P47" s="15">
        <v>1</v>
      </c>
      <c r="Q47" s="15">
        <v>5</v>
      </c>
      <c r="R47" s="15">
        <v>0</v>
      </c>
      <c r="S47" s="15">
        <v>1</v>
      </c>
      <c r="T47" s="15">
        <v>3</v>
      </c>
      <c r="U47" s="13">
        <f t="shared" si="8"/>
        <v>41</v>
      </c>
    </row>
    <row r="48" spans="1:21" ht="12.75" customHeight="1" x14ac:dyDescent="0.4">
      <c r="A48" s="14"/>
      <c r="B48" s="27"/>
      <c r="C48" s="28" t="s">
        <v>42</v>
      </c>
      <c r="D48" s="29"/>
      <c r="E48" s="15">
        <v>0</v>
      </c>
      <c r="F48" s="15">
        <v>0</v>
      </c>
      <c r="G48" s="15">
        <v>1</v>
      </c>
      <c r="H48" s="15">
        <v>1</v>
      </c>
      <c r="I48" s="15">
        <v>0</v>
      </c>
      <c r="J48" s="15">
        <v>0</v>
      </c>
      <c r="K48" s="15">
        <v>0</v>
      </c>
      <c r="L48" s="15">
        <v>1</v>
      </c>
      <c r="M48" s="15">
        <v>0</v>
      </c>
      <c r="N48" s="15">
        <v>1</v>
      </c>
      <c r="O48" s="15">
        <v>0</v>
      </c>
      <c r="P48" s="15">
        <v>0</v>
      </c>
      <c r="Q48" s="15">
        <v>1</v>
      </c>
      <c r="R48" s="15">
        <v>1</v>
      </c>
      <c r="S48" s="15">
        <v>0</v>
      </c>
      <c r="T48" s="15">
        <v>0</v>
      </c>
      <c r="U48" s="13">
        <f t="shared" si="8"/>
        <v>6</v>
      </c>
    </row>
    <row r="49" spans="1:21" ht="12.75" customHeight="1" x14ac:dyDescent="0.4">
      <c r="A49" s="14"/>
      <c r="B49" s="27"/>
      <c r="C49" s="28" t="s">
        <v>43</v>
      </c>
      <c r="D49" s="29"/>
      <c r="E49" s="15">
        <v>1</v>
      </c>
      <c r="F49" s="15">
        <v>0</v>
      </c>
      <c r="G49" s="15">
        <v>1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1</v>
      </c>
      <c r="T49" s="15">
        <v>0</v>
      </c>
      <c r="U49" s="13">
        <f t="shared" si="8"/>
        <v>5</v>
      </c>
    </row>
    <row r="50" spans="1:21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3">
        <f t="shared" si="8"/>
        <v>1</v>
      </c>
    </row>
    <row r="51" spans="1:21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3">
        <f t="shared" si="8"/>
        <v>0</v>
      </c>
    </row>
    <row r="52" spans="1:21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T52" si="9">SUM(E45:E51)</f>
        <v>118</v>
      </c>
      <c r="F52" s="13">
        <f t="shared" si="9"/>
        <v>166</v>
      </c>
      <c r="G52" s="13">
        <f t="shared" si="9"/>
        <v>86</v>
      </c>
      <c r="H52" s="13">
        <f t="shared" si="9"/>
        <v>70</v>
      </c>
      <c r="I52" s="13">
        <f t="shared" si="9"/>
        <v>111</v>
      </c>
      <c r="J52" s="13">
        <f t="shared" si="9"/>
        <v>104</v>
      </c>
      <c r="K52" s="13">
        <f t="shared" si="9"/>
        <v>108</v>
      </c>
      <c r="L52" s="13">
        <f t="shared" si="9"/>
        <v>96</v>
      </c>
      <c r="M52" s="13">
        <f t="shared" si="9"/>
        <v>133</v>
      </c>
      <c r="N52" s="13">
        <f t="shared" si="9"/>
        <v>147</v>
      </c>
      <c r="O52" s="13">
        <f t="shared" si="9"/>
        <v>102</v>
      </c>
      <c r="P52" s="13">
        <f t="shared" si="9"/>
        <v>142</v>
      </c>
      <c r="Q52" s="13">
        <f t="shared" si="9"/>
        <v>90</v>
      </c>
      <c r="R52" s="13">
        <f t="shared" si="9"/>
        <v>22</v>
      </c>
      <c r="S52" s="13">
        <f t="shared" si="9"/>
        <v>54</v>
      </c>
      <c r="T52" s="13">
        <f t="shared" si="9"/>
        <v>47</v>
      </c>
      <c r="U52" s="13">
        <f t="shared" si="8"/>
        <v>1596</v>
      </c>
    </row>
    <row r="53" spans="1:21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3">
        <f t="shared" si="8"/>
        <v>0</v>
      </c>
    </row>
    <row r="54" spans="1:21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2</v>
      </c>
      <c r="F54" s="15">
        <v>2</v>
      </c>
      <c r="G54" s="15">
        <v>4</v>
      </c>
      <c r="H54" s="15">
        <v>5</v>
      </c>
      <c r="I54" s="15">
        <v>0</v>
      </c>
      <c r="J54" s="15">
        <v>8</v>
      </c>
      <c r="K54" s="15">
        <v>2</v>
      </c>
      <c r="L54" s="15">
        <v>1</v>
      </c>
      <c r="M54" s="15">
        <v>0</v>
      </c>
      <c r="N54" s="15">
        <v>2</v>
      </c>
      <c r="O54" s="15">
        <v>3</v>
      </c>
      <c r="P54" s="15">
        <v>0</v>
      </c>
      <c r="Q54" s="15">
        <v>7</v>
      </c>
      <c r="R54" s="15">
        <v>6</v>
      </c>
      <c r="S54" s="15">
        <v>1</v>
      </c>
      <c r="T54" s="15">
        <v>2</v>
      </c>
      <c r="U54" s="13">
        <f t="shared" si="8"/>
        <v>45</v>
      </c>
    </row>
    <row r="55" spans="1:21" ht="12.75" customHeight="1" x14ac:dyDescent="0.4">
      <c r="A55" s="19" t="s">
        <v>39</v>
      </c>
      <c r="B55" s="27"/>
      <c r="C55" s="28" t="s">
        <v>48</v>
      </c>
      <c r="D55" s="29"/>
      <c r="E55" s="15">
        <v>1</v>
      </c>
      <c r="F55" s="15">
        <v>2</v>
      </c>
      <c r="G55" s="15">
        <v>1</v>
      </c>
      <c r="H55" s="15">
        <v>0</v>
      </c>
      <c r="I55" s="15">
        <v>3</v>
      </c>
      <c r="J55" s="15">
        <v>1</v>
      </c>
      <c r="K55" s="15">
        <v>0</v>
      </c>
      <c r="L55" s="15">
        <v>2</v>
      </c>
      <c r="M55" s="15">
        <v>0</v>
      </c>
      <c r="N55" s="15">
        <v>1</v>
      </c>
      <c r="O55" s="15">
        <v>1</v>
      </c>
      <c r="P55" s="15">
        <v>0</v>
      </c>
      <c r="Q55" s="15">
        <v>3</v>
      </c>
      <c r="R55" s="15">
        <v>1</v>
      </c>
      <c r="S55" s="15">
        <v>1</v>
      </c>
      <c r="T55" s="15">
        <v>2</v>
      </c>
      <c r="U55" s="13">
        <f t="shared" si="8"/>
        <v>19</v>
      </c>
    </row>
    <row r="56" spans="1:21" ht="12.75" customHeight="1" x14ac:dyDescent="0.4">
      <c r="A56" s="14"/>
      <c r="B56" s="27"/>
      <c r="C56" s="28" t="s">
        <v>49</v>
      </c>
      <c r="D56" s="29"/>
      <c r="E56" s="15">
        <v>0</v>
      </c>
      <c r="F56" s="15">
        <v>1</v>
      </c>
      <c r="G56" s="15">
        <v>1</v>
      </c>
      <c r="H56" s="15">
        <v>0</v>
      </c>
      <c r="I56" s="15">
        <v>0</v>
      </c>
      <c r="J56" s="15">
        <v>0</v>
      </c>
      <c r="K56" s="15">
        <v>1</v>
      </c>
      <c r="L56" s="15">
        <v>0</v>
      </c>
      <c r="M56" s="15">
        <v>1</v>
      </c>
      <c r="N56" s="15">
        <v>1</v>
      </c>
      <c r="O56" s="15">
        <v>0</v>
      </c>
      <c r="P56" s="15">
        <v>0</v>
      </c>
      <c r="Q56" s="15">
        <v>3</v>
      </c>
      <c r="R56" s="15">
        <v>0</v>
      </c>
      <c r="S56" s="15">
        <v>0</v>
      </c>
      <c r="T56" s="15">
        <v>1</v>
      </c>
      <c r="U56" s="13">
        <f t="shared" si="8"/>
        <v>9</v>
      </c>
    </row>
    <row r="57" spans="1:21" ht="12.75" customHeight="1" x14ac:dyDescent="0.4">
      <c r="A57" s="14"/>
      <c r="B57" s="27"/>
      <c r="C57" s="28" t="s">
        <v>50</v>
      </c>
      <c r="D57" s="29"/>
      <c r="E57" s="15">
        <v>0</v>
      </c>
      <c r="F57" s="15">
        <v>0</v>
      </c>
      <c r="G57" s="15">
        <v>0</v>
      </c>
      <c r="H57" s="15">
        <v>1</v>
      </c>
      <c r="I57" s="15">
        <v>0</v>
      </c>
      <c r="J57" s="15">
        <v>0</v>
      </c>
      <c r="K57" s="15">
        <v>1</v>
      </c>
      <c r="L57" s="15">
        <v>1</v>
      </c>
      <c r="M57" s="15">
        <v>0</v>
      </c>
      <c r="N57" s="15">
        <v>2</v>
      </c>
      <c r="O57" s="15">
        <v>0</v>
      </c>
      <c r="P57" s="15">
        <v>0</v>
      </c>
      <c r="Q57" s="15">
        <v>5</v>
      </c>
      <c r="R57" s="15">
        <v>2</v>
      </c>
      <c r="S57" s="15">
        <v>1</v>
      </c>
      <c r="T57" s="15">
        <v>0</v>
      </c>
      <c r="U57" s="13">
        <f t="shared" si="8"/>
        <v>13</v>
      </c>
    </row>
    <row r="58" spans="1:21" ht="12.75" customHeight="1" x14ac:dyDescent="0.4">
      <c r="A58" s="14"/>
      <c r="B58" s="27"/>
      <c r="C58" s="28" t="s">
        <v>51</v>
      </c>
      <c r="D58" s="29"/>
      <c r="E58" s="15">
        <v>0</v>
      </c>
      <c r="F58" s="15">
        <v>1</v>
      </c>
      <c r="G58" s="15">
        <v>4</v>
      </c>
      <c r="H58" s="15">
        <v>0</v>
      </c>
      <c r="I58" s="15">
        <v>1</v>
      </c>
      <c r="J58" s="15">
        <v>2</v>
      </c>
      <c r="K58" s="15">
        <v>0</v>
      </c>
      <c r="L58" s="15">
        <v>1</v>
      </c>
      <c r="M58" s="15">
        <v>1</v>
      </c>
      <c r="N58" s="15">
        <v>2</v>
      </c>
      <c r="O58" s="15">
        <v>0</v>
      </c>
      <c r="P58" s="15">
        <v>0</v>
      </c>
      <c r="Q58" s="15">
        <v>0</v>
      </c>
      <c r="R58" s="15">
        <v>0</v>
      </c>
      <c r="S58" s="15">
        <v>1</v>
      </c>
      <c r="T58" s="15">
        <v>0</v>
      </c>
      <c r="U58" s="13">
        <f t="shared" si="8"/>
        <v>13</v>
      </c>
    </row>
    <row r="59" spans="1:21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8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1</v>
      </c>
      <c r="R59" s="15">
        <v>0</v>
      </c>
      <c r="S59" s="15">
        <v>0</v>
      </c>
      <c r="T59" s="15">
        <v>0</v>
      </c>
      <c r="U59" s="13">
        <f t="shared" si="8"/>
        <v>9</v>
      </c>
    </row>
    <row r="60" spans="1:21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3</v>
      </c>
      <c r="G60" s="15">
        <v>0</v>
      </c>
      <c r="H60" s="15">
        <v>1</v>
      </c>
      <c r="I60" s="15">
        <v>2</v>
      </c>
      <c r="J60" s="15">
        <v>1</v>
      </c>
      <c r="K60" s="15">
        <v>0</v>
      </c>
      <c r="L60" s="15">
        <v>2</v>
      </c>
      <c r="M60" s="15">
        <v>1</v>
      </c>
      <c r="N60" s="15">
        <v>4</v>
      </c>
      <c r="O60" s="15">
        <v>7</v>
      </c>
      <c r="P60" s="15">
        <v>1</v>
      </c>
      <c r="Q60" s="15">
        <v>0</v>
      </c>
      <c r="R60" s="15">
        <v>0</v>
      </c>
      <c r="S60" s="15">
        <v>1</v>
      </c>
      <c r="T60" s="15">
        <v>2</v>
      </c>
      <c r="U60" s="13">
        <f t="shared" si="8"/>
        <v>25</v>
      </c>
    </row>
    <row r="61" spans="1:21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T61" si="10">SUM(E54:E60)</f>
        <v>3</v>
      </c>
      <c r="F61" s="13">
        <f t="shared" si="10"/>
        <v>9</v>
      </c>
      <c r="G61" s="13">
        <f t="shared" si="10"/>
        <v>18</v>
      </c>
      <c r="H61" s="13">
        <f t="shared" si="10"/>
        <v>7</v>
      </c>
      <c r="I61" s="13">
        <f t="shared" si="10"/>
        <v>6</v>
      </c>
      <c r="J61" s="13">
        <f t="shared" si="10"/>
        <v>12</v>
      </c>
      <c r="K61" s="13">
        <f t="shared" si="10"/>
        <v>4</v>
      </c>
      <c r="L61" s="13">
        <f t="shared" si="10"/>
        <v>7</v>
      </c>
      <c r="M61" s="13">
        <f t="shared" si="10"/>
        <v>3</v>
      </c>
      <c r="N61" s="13">
        <f t="shared" si="10"/>
        <v>12</v>
      </c>
      <c r="O61" s="13">
        <f t="shared" si="10"/>
        <v>11</v>
      </c>
      <c r="P61" s="13">
        <f t="shared" si="10"/>
        <v>1</v>
      </c>
      <c r="Q61" s="13">
        <f t="shared" si="10"/>
        <v>19</v>
      </c>
      <c r="R61" s="13">
        <f t="shared" si="10"/>
        <v>9</v>
      </c>
      <c r="S61" s="13">
        <f t="shared" si="10"/>
        <v>5</v>
      </c>
      <c r="T61" s="13">
        <f t="shared" si="10"/>
        <v>7</v>
      </c>
      <c r="U61" s="13">
        <f t="shared" si="8"/>
        <v>133</v>
      </c>
    </row>
    <row r="62" spans="1:21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3">
        <f t="shared" si="8"/>
        <v>0</v>
      </c>
    </row>
    <row r="63" spans="1:21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6</v>
      </c>
      <c r="F63" s="15">
        <v>2</v>
      </c>
      <c r="G63" s="15">
        <v>2</v>
      </c>
      <c r="H63" s="15">
        <v>2</v>
      </c>
      <c r="I63" s="15">
        <v>4</v>
      </c>
      <c r="J63" s="15">
        <v>3</v>
      </c>
      <c r="K63" s="15">
        <v>6</v>
      </c>
      <c r="L63" s="15">
        <v>6</v>
      </c>
      <c r="M63" s="15">
        <v>3</v>
      </c>
      <c r="N63" s="15">
        <v>1</v>
      </c>
      <c r="O63" s="15">
        <v>0</v>
      </c>
      <c r="P63" s="15">
        <v>3</v>
      </c>
      <c r="Q63" s="15">
        <v>4</v>
      </c>
      <c r="R63" s="15">
        <v>12</v>
      </c>
      <c r="S63" s="15">
        <v>1</v>
      </c>
      <c r="T63" s="15">
        <v>3</v>
      </c>
      <c r="U63" s="13">
        <f t="shared" si="8"/>
        <v>58</v>
      </c>
    </row>
    <row r="64" spans="1:21" ht="12.75" customHeight="1" x14ac:dyDescent="0.4">
      <c r="A64" s="19" t="s">
        <v>39</v>
      </c>
      <c r="B64" s="27"/>
      <c r="C64" s="28" t="s">
        <v>55</v>
      </c>
      <c r="D64" s="29"/>
      <c r="E64" s="15">
        <v>0</v>
      </c>
      <c r="F64" s="15">
        <v>0</v>
      </c>
      <c r="G64" s="15">
        <v>2</v>
      </c>
      <c r="H64" s="15">
        <v>3</v>
      </c>
      <c r="I64" s="15">
        <v>0</v>
      </c>
      <c r="J64" s="15">
        <v>3</v>
      </c>
      <c r="K64" s="15">
        <v>1</v>
      </c>
      <c r="L64" s="15">
        <v>2</v>
      </c>
      <c r="M64" s="15">
        <v>0</v>
      </c>
      <c r="N64" s="15">
        <v>0</v>
      </c>
      <c r="O64" s="15">
        <v>1</v>
      </c>
      <c r="P64" s="15">
        <v>0</v>
      </c>
      <c r="Q64" s="15">
        <v>4</v>
      </c>
      <c r="R64" s="15">
        <v>4</v>
      </c>
      <c r="S64" s="15">
        <v>3</v>
      </c>
      <c r="T64" s="15">
        <v>5</v>
      </c>
      <c r="U64" s="13">
        <f t="shared" si="8"/>
        <v>28</v>
      </c>
    </row>
    <row r="65" spans="1:21" ht="12.75" customHeight="1" x14ac:dyDescent="0.4">
      <c r="A65" s="14"/>
      <c r="B65" s="27"/>
      <c r="C65" s="28" t="s">
        <v>56</v>
      </c>
      <c r="D65" s="29"/>
      <c r="E65" s="15">
        <v>1</v>
      </c>
      <c r="F65" s="15">
        <v>1</v>
      </c>
      <c r="G65" s="15">
        <v>0</v>
      </c>
      <c r="H65" s="15">
        <v>0</v>
      </c>
      <c r="I65" s="15">
        <v>1</v>
      </c>
      <c r="J65" s="15">
        <v>0</v>
      </c>
      <c r="K65" s="15">
        <v>0</v>
      </c>
      <c r="L65" s="15">
        <v>0</v>
      </c>
      <c r="M65" s="15">
        <v>1</v>
      </c>
      <c r="N65" s="15">
        <v>1</v>
      </c>
      <c r="O65" s="15">
        <v>0</v>
      </c>
      <c r="P65" s="15">
        <v>0</v>
      </c>
      <c r="Q65" s="15">
        <v>0</v>
      </c>
      <c r="R65" s="15">
        <v>0</v>
      </c>
      <c r="S65" s="15">
        <v>2</v>
      </c>
      <c r="T65" s="15">
        <v>0</v>
      </c>
      <c r="U65" s="13">
        <f t="shared" si="8"/>
        <v>7</v>
      </c>
    </row>
    <row r="66" spans="1:21" ht="12.75" customHeight="1" x14ac:dyDescent="0.4">
      <c r="A66" s="14"/>
      <c r="B66" s="27"/>
      <c r="C66" s="28" t="s">
        <v>57</v>
      </c>
      <c r="D66" s="29"/>
      <c r="E66" s="15">
        <v>37</v>
      </c>
      <c r="F66" s="15">
        <v>9</v>
      </c>
      <c r="G66" s="15">
        <v>3</v>
      </c>
      <c r="H66" s="15">
        <v>2</v>
      </c>
      <c r="I66" s="15">
        <v>32</v>
      </c>
      <c r="J66" s="15">
        <v>29</v>
      </c>
      <c r="K66" s="15">
        <v>22</v>
      </c>
      <c r="L66" s="15">
        <v>21</v>
      </c>
      <c r="M66" s="15">
        <v>12</v>
      </c>
      <c r="N66" s="15">
        <v>16</v>
      </c>
      <c r="O66" s="15">
        <v>3</v>
      </c>
      <c r="P66" s="15">
        <v>9</v>
      </c>
      <c r="Q66" s="15">
        <v>15</v>
      </c>
      <c r="R66" s="15">
        <v>62</v>
      </c>
      <c r="S66" s="15">
        <v>23</v>
      </c>
      <c r="T66" s="15">
        <v>18</v>
      </c>
      <c r="U66" s="13">
        <f t="shared" si="8"/>
        <v>313</v>
      </c>
    </row>
    <row r="67" spans="1:21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1</v>
      </c>
      <c r="G67" s="15">
        <v>0</v>
      </c>
      <c r="H67" s="15">
        <v>1</v>
      </c>
      <c r="I67" s="15">
        <v>1</v>
      </c>
      <c r="J67" s="15">
        <v>1</v>
      </c>
      <c r="K67" s="15">
        <v>2</v>
      </c>
      <c r="L67" s="15">
        <v>0</v>
      </c>
      <c r="M67" s="15">
        <v>1</v>
      </c>
      <c r="N67" s="15">
        <v>0</v>
      </c>
      <c r="O67" s="15">
        <v>0</v>
      </c>
      <c r="P67" s="15">
        <v>0</v>
      </c>
      <c r="Q67" s="15">
        <v>9</v>
      </c>
      <c r="R67" s="15">
        <v>0</v>
      </c>
      <c r="S67" s="15">
        <v>2</v>
      </c>
      <c r="T67" s="15">
        <v>5</v>
      </c>
      <c r="U67" s="13">
        <f t="shared" si="8"/>
        <v>23</v>
      </c>
    </row>
    <row r="68" spans="1:21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4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3">
        <f t="shared" si="8"/>
        <v>4</v>
      </c>
    </row>
    <row r="69" spans="1:21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1</v>
      </c>
      <c r="T69" s="15">
        <v>0</v>
      </c>
      <c r="U69" s="13">
        <f t="shared" si="8"/>
        <v>2</v>
      </c>
    </row>
    <row r="70" spans="1:21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T70" si="11">SUM(E63:E69)</f>
        <v>44</v>
      </c>
      <c r="F70" s="13">
        <f t="shared" si="11"/>
        <v>13</v>
      </c>
      <c r="G70" s="13">
        <f t="shared" si="11"/>
        <v>7</v>
      </c>
      <c r="H70" s="13">
        <f t="shared" si="11"/>
        <v>8</v>
      </c>
      <c r="I70" s="13">
        <f t="shared" si="11"/>
        <v>38</v>
      </c>
      <c r="J70" s="13">
        <f t="shared" si="11"/>
        <v>37</v>
      </c>
      <c r="K70" s="13">
        <f t="shared" si="11"/>
        <v>31</v>
      </c>
      <c r="L70" s="13">
        <f t="shared" si="11"/>
        <v>33</v>
      </c>
      <c r="M70" s="13">
        <f t="shared" si="11"/>
        <v>17</v>
      </c>
      <c r="N70" s="13">
        <f t="shared" si="11"/>
        <v>18</v>
      </c>
      <c r="O70" s="13">
        <f t="shared" si="11"/>
        <v>4</v>
      </c>
      <c r="P70" s="13">
        <f t="shared" si="11"/>
        <v>12</v>
      </c>
      <c r="Q70" s="13">
        <f t="shared" si="11"/>
        <v>32</v>
      </c>
      <c r="R70" s="13">
        <f t="shared" si="11"/>
        <v>78</v>
      </c>
      <c r="S70" s="13">
        <f t="shared" si="11"/>
        <v>32</v>
      </c>
      <c r="T70" s="13">
        <f t="shared" si="11"/>
        <v>31</v>
      </c>
      <c r="U70" s="13">
        <f t="shared" si="8"/>
        <v>435</v>
      </c>
    </row>
    <row r="71" spans="1:21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3">
        <f t="shared" si="8"/>
        <v>0</v>
      </c>
    </row>
    <row r="72" spans="1:21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1</v>
      </c>
      <c r="F72" s="15">
        <v>0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</v>
      </c>
      <c r="N72" s="15">
        <v>1</v>
      </c>
      <c r="O72" s="15">
        <v>1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3">
        <f t="shared" si="8"/>
        <v>5</v>
      </c>
    </row>
    <row r="73" spans="1:21" ht="12.75" customHeight="1" x14ac:dyDescent="0.4">
      <c r="A73" s="19" t="s">
        <v>39</v>
      </c>
      <c r="B73" s="27"/>
      <c r="C73" s="28" t="s">
        <v>62</v>
      </c>
      <c r="D73" s="29"/>
      <c r="E73" s="15">
        <v>0</v>
      </c>
      <c r="F73" s="15">
        <v>1</v>
      </c>
      <c r="G73" s="15">
        <v>1</v>
      </c>
      <c r="H73" s="15">
        <v>1</v>
      </c>
      <c r="I73" s="15">
        <v>2</v>
      </c>
      <c r="J73" s="15">
        <v>4</v>
      </c>
      <c r="K73" s="15">
        <v>5</v>
      </c>
      <c r="L73" s="15">
        <v>0</v>
      </c>
      <c r="M73" s="15">
        <v>2</v>
      </c>
      <c r="N73" s="15">
        <v>0</v>
      </c>
      <c r="O73" s="15">
        <v>0</v>
      </c>
      <c r="P73" s="15">
        <v>0</v>
      </c>
      <c r="Q73" s="15">
        <v>0</v>
      </c>
      <c r="R73" s="15">
        <v>1</v>
      </c>
      <c r="S73" s="15">
        <v>1</v>
      </c>
      <c r="T73" s="15">
        <v>6</v>
      </c>
      <c r="U73" s="13">
        <f t="shared" si="8"/>
        <v>24</v>
      </c>
    </row>
    <row r="74" spans="1:21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1</v>
      </c>
      <c r="Q74" s="15">
        <v>0</v>
      </c>
      <c r="R74" s="15">
        <v>0</v>
      </c>
      <c r="S74" s="15">
        <v>0</v>
      </c>
      <c r="T74" s="15">
        <v>1</v>
      </c>
      <c r="U74" s="13">
        <f t="shared" si="8"/>
        <v>2</v>
      </c>
    </row>
    <row r="75" spans="1:21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3">
        <f t="shared" si="8"/>
        <v>0</v>
      </c>
    </row>
    <row r="76" spans="1:21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3">
        <f t="shared" si="8"/>
        <v>1</v>
      </c>
    </row>
    <row r="77" spans="1:21" ht="12.75" customHeight="1" x14ac:dyDescent="0.4">
      <c r="A77" s="14"/>
      <c r="B77" s="27"/>
      <c r="C77" s="28" t="s">
        <v>66</v>
      </c>
      <c r="D77" s="29"/>
      <c r="E77" s="15">
        <v>1</v>
      </c>
      <c r="F77" s="15">
        <v>0</v>
      </c>
      <c r="G77" s="15">
        <v>0</v>
      </c>
      <c r="H77" s="15">
        <v>0</v>
      </c>
      <c r="I77" s="15">
        <v>0</v>
      </c>
      <c r="J77" s="15">
        <v>1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3">
        <f t="shared" si="8"/>
        <v>2</v>
      </c>
    </row>
    <row r="78" spans="1:21" ht="12.75" customHeight="1" x14ac:dyDescent="0.4">
      <c r="A78" s="14"/>
      <c r="B78" s="27"/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2</v>
      </c>
      <c r="J78" s="15">
        <v>0</v>
      </c>
      <c r="K78" s="15">
        <v>1</v>
      </c>
      <c r="L78" s="15">
        <v>2</v>
      </c>
      <c r="M78" s="15">
        <v>0</v>
      </c>
      <c r="N78" s="15">
        <v>0</v>
      </c>
      <c r="O78" s="15">
        <v>0</v>
      </c>
      <c r="P78" s="15">
        <v>1</v>
      </c>
      <c r="Q78" s="15">
        <v>0</v>
      </c>
      <c r="R78" s="15">
        <v>0</v>
      </c>
      <c r="S78" s="15">
        <v>0</v>
      </c>
      <c r="T78" s="15">
        <v>0</v>
      </c>
      <c r="U78" s="13">
        <f t="shared" si="8"/>
        <v>6</v>
      </c>
    </row>
    <row r="79" spans="1:21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T79" si="12">SUM(E72:E78)</f>
        <v>3</v>
      </c>
      <c r="F79" s="13">
        <f t="shared" si="12"/>
        <v>1</v>
      </c>
      <c r="G79" s="13">
        <f t="shared" si="12"/>
        <v>2</v>
      </c>
      <c r="H79" s="13">
        <f t="shared" si="12"/>
        <v>1</v>
      </c>
      <c r="I79" s="13">
        <f t="shared" si="12"/>
        <v>4</v>
      </c>
      <c r="J79" s="13">
        <f t="shared" si="12"/>
        <v>5</v>
      </c>
      <c r="K79" s="13">
        <f t="shared" si="12"/>
        <v>6</v>
      </c>
      <c r="L79" s="13">
        <f t="shared" si="12"/>
        <v>2</v>
      </c>
      <c r="M79" s="13">
        <f t="shared" si="12"/>
        <v>3</v>
      </c>
      <c r="N79" s="13">
        <f t="shared" si="12"/>
        <v>1</v>
      </c>
      <c r="O79" s="13">
        <f t="shared" si="12"/>
        <v>1</v>
      </c>
      <c r="P79" s="13">
        <f t="shared" si="12"/>
        <v>2</v>
      </c>
      <c r="Q79" s="13">
        <f t="shared" si="12"/>
        <v>0</v>
      </c>
      <c r="R79" s="13">
        <f t="shared" si="12"/>
        <v>1</v>
      </c>
      <c r="S79" s="13">
        <f t="shared" si="12"/>
        <v>1</v>
      </c>
      <c r="T79" s="13">
        <f t="shared" si="12"/>
        <v>7</v>
      </c>
      <c r="U79" s="13">
        <f t="shared" si="8"/>
        <v>40</v>
      </c>
    </row>
    <row r="80" spans="1:21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3">
        <f t="shared" si="8"/>
        <v>0</v>
      </c>
    </row>
    <row r="81" spans="1:21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0</v>
      </c>
      <c r="F81" s="15">
        <v>0</v>
      </c>
      <c r="G81" s="15">
        <v>0</v>
      </c>
      <c r="H81" s="15">
        <v>4</v>
      </c>
      <c r="I81" s="15">
        <v>3</v>
      </c>
      <c r="J81" s="15">
        <v>1</v>
      </c>
      <c r="K81" s="15">
        <v>0</v>
      </c>
      <c r="L81" s="15">
        <v>0</v>
      </c>
      <c r="M81" s="15">
        <v>0</v>
      </c>
      <c r="N81" s="15">
        <v>1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0</v>
      </c>
      <c r="U81" s="13">
        <f t="shared" si="8"/>
        <v>10</v>
      </c>
    </row>
    <row r="82" spans="1:21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5</v>
      </c>
      <c r="J82" s="15">
        <v>2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1</v>
      </c>
      <c r="R82" s="15">
        <v>0</v>
      </c>
      <c r="S82" s="15">
        <v>0</v>
      </c>
      <c r="T82" s="15">
        <v>0</v>
      </c>
      <c r="U82" s="13">
        <f t="shared" si="8"/>
        <v>8</v>
      </c>
    </row>
    <row r="83" spans="1:21" ht="12.75" customHeight="1" x14ac:dyDescent="0.4">
      <c r="A83" s="14"/>
      <c r="B83" s="27"/>
      <c r="C83" s="28" t="s">
        <v>71</v>
      </c>
      <c r="D83" s="29"/>
      <c r="E83" s="15">
        <v>0</v>
      </c>
      <c r="F83" s="15">
        <v>0</v>
      </c>
      <c r="G83" s="15">
        <v>1</v>
      </c>
      <c r="H83" s="15">
        <v>25</v>
      </c>
      <c r="I83" s="15">
        <v>15</v>
      </c>
      <c r="J83" s="15">
        <v>4</v>
      </c>
      <c r="K83" s="15">
        <v>5</v>
      </c>
      <c r="L83" s="15">
        <v>8</v>
      </c>
      <c r="M83" s="15">
        <v>5</v>
      </c>
      <c r="N83" s="15">
        <v>9</v>
      </c>
      <c r="O83" s="15">
        <v>17</v>
      </c>
      <c r="P83" s="15">
        <v>23</v>
      </c>
      <c r="Q83" s="15">
        <v>2</v>
      </c>
      <c r="R83" s="15">
        <v>14</v>
      </c>
      <c r="S83" s="15">
        <v>10</v>
      </c>
      <c r="T83" s="15">
        <v>42</v>
      </c>
      <c r="U83" s="13">
        <f t="shared" si="8"/>
        <v>180</v>
      </c>
    </row>
    <row r="84" spans="1:21" ht="12.75" customHeight="1" x14ac:dyDescent="0.4">
      <c r="A84" s="14"/>
      <c r="B84" s="27"/>
      <c r="C84" s="28" t="s">
        <v>72</v>
      </c>
      <c r="D84" s="29"/>
      <c r="E84" s="15">
        <v>1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3">
        <f t="shared" si="8"/>
        <v>2</v>
      </c>
    </row>
    <row r="85" spans="1:21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1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3">
        <f t="shared" si="8"/>
        <v>1</v>
      </c>
    </row>
    <row r="86" spans="1:21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2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1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1</v>
      </c>
      <c r="U86" s="13">
        <f t="shared" si="8"/>
        <v>4</v>
      </c>
    </row>
    <row r="87" spans="1:21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3">
        <f t="shared" si="8"/>
        <v>0</v>
      </c>
    </row>
    <row r="88" spans="1:21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T88" si="13">SUM(E81:E87)</f>
        <v>1</v>
      </c>
      <c r="F88" s="13">
        <f t="shared" si="13"/>
        <v>2</v>
      </c>
      <c r="G88" s="13">
        <f t="shared" si="13"/>
        <v>1</v>
      </c>
      <c r="H88" s="13">
        <f t="shared" si="13"/>
        <v>30</v>
      </c>
      <c r="I88" s="13">
        <f t="shared" si="13"/>
        <v>23</v>
      </c>
      <c r="J88" s="13">
        <f t="shared" si="13"/>
        <v>7</v>
      </c>
      <c r="K88" s="13">
        <f t="shared" si="13"/>
        <v>5</v>
      </c>
      <c r="L88" s="13">
        <f t="shared" si="13"/>
        <v>8</v>
      </c>
      <c r="M88" s="13">
        <f t="shared" si="13"/>
        <v>6</v>
      </c>
      <c r="N88" s="13">
        <f t="shared" si="13"/>
        <v>10</v>
      </c>
      <c r="O88" s="13">
        <f t="shared" si="13"/>
        <v>17</v>
      </c>
      <c r="P88" s="13">
        <f t="shared" si="13"/>
        <v>23</v>
      </c>
      <c r="Q88" s="13">
        <f t="shared" si="13"/>
        <v>5</v>
      </c>
      <c r="R88" s="13">
        <f t="shared" si="13"/>
        <v>14</v>
      </c>
      <c r="S88" s="13">
        <f t="shared" si="13"/>
        <v>10</v>
      </c>
      <c r="T88" s="13">
        <f t="shared" si="13"/>
        <v>43</v>
      </c>
      <c r="U88" s="13">
        <f t="shared" si="8"/>
        <v>205</v>
      </c>
    </row>
    <row r="89" spans="1:21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3">
        <f t="shared" si="8"/>
        <v>0</v>
      </c>
    </row>
    <row r="90" spans="1:21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3">
        <f t="shared" si="8"/>
        <v>1</v>
      </c>
    </row>
    <row r="91" spans="1:21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3">
        <f t="shared" si="8"/>
        <v>0</v>
      </c>
    </row>
    <row r="92" spans="1:21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T92" si="14">SUM(E90:E91)</f>
        <v>0</v>
      </c>
      <c r="F92" s="36">
        <f t="shared" si="14"/>
        <v>0</v>
      </c>
      <c r="G92" s="36">
        <f t="shared" si="14"/>
        <v>0</v>
      </c>
      <c r="H92" s="36">
        <f t="shared" si="14"/>
        <v>0</v>
      </c>
      <c r="I92" s="36">
        <f t="shared" si="14"/>
        <v>0</v>
      </c>
      <c r="J92" s="36">
        <f t="shared" si="14"/>
        <v>0</v>
      </c>
      <c r="K92" s="36">
        <f t="shared" si="14"/>
        <v>0</v>
      </c>
      <c r="L92" s="36">
        <f t="shared" si="14"/>
        <v>0</v>
      </c>
      <c r="M92" s="36">
        <f t="shared" si="14"/>
        <v>0</v>
      </c>
      <c r="N92" s="36">
        <f t="shared" si="14"/>
        <v>0</v>
      </c>
      <c r="O92" s="36">
        <f t="shared" si="14"/>
        <v>1</v>
      </c>
      <c r="P92" s="36">
        <f t="shared" si="14"/>
        <v>0</v>
      </c>
      <c r="Q92" s="36">
        <f t="shared" si="14"/>
        <v>0</v>
      </c>
      <c r="R92" s="36">
        <f t="shared" si="14"/>
        <v>0</v>
      </c>
      <c r="S92" s="36">
        <f t="shared" si="14"/>
        <v>0</v>
      </c>
      <c r="T92" s="36">
        <f t="shared" si="14"/>
        <v>0</v>
      </c>
      <c r="U92" s="13">
        <f t="shared" si="8"/>
        <v>1</v>
      </c>
    </row>
    <row r="93" spans="1:21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3">
        <f t="shared" si="8"/>
        <v>0</v>
      </c>
    </row>
    <row r="94" spans="1:21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3">
        <f t="shared" si="8"/>
        <v>0</v>
      </c>
    </row>
    <row r="95" spans="1:21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>
        <v>0</v>
      </c>
      <c r="U95" s="13">
        <f t="shared" si="8"/>
        <v>1</v>
      </c>
    </row>
    <row r="96" spans="1:21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1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3">
        <f t="shared" si="8"/>
        <v>1</v>
      </c>
    </row>
    <row r="97" spans="1:21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3">
        <f t="shared" si="8"/>
        <v>0</v>
      </c>
    </row>
    <row r="98" spans="1:21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3">
        <f t="shared" si="8"/>
        <v>0</v>
      </c>
    </row>
    <row r="99" spans="1:21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3">
        <f t="shared" si="8"/>
        <v>0</v>
      </c>
    </row>
    <row r="100" spans="1:21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1</v>
      </c>
      <c r="J100" s="15">
        <v>1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3">
        <f t="shared" si="8"/>
        <v>2</v>
      </c>
    </row>
    <row r="101" spans="1:21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T101" si="15">SUM(E94:E100)</f>
        <v>0</v>
      </c>
      <c r="F101" s="13">
        <f t="shared" si="15"/>
        <v>0</v>
      </c>
      <c r="G101" s="13">
        <f t="shared" si="15"/>
        <v>0</v>
      </c>
      <c r="H101" s="13">
        <f t="shared" si="15"/>
        <v>1</v>
      </c>
      <c r="I101" s="13">
        <f t="shared" si="15"/>
        <v>1</v>
      </c>
      <c r="J101" s="13">
        <f t="shared" si="15"/>
        <v>1</v>
      </c>
      <c r="K101" s="13">
        <f t="shared" si="15"/>
        <v>0</v>
      </c>
      <c r="L101" s="13">
        <f t="shared" si="15"/>
        <v>0</v>
      </c>
      <c r="M101" s="13">
        <f t="shared" si="15"/>
        <v>0</v>
      </c>
      <c r="N101" s="13">
        <f t="shared" si="15"/>
        <v>0</v>
      </c>
      <c r="O101" s="13">
        <f t="shared" si="15"/>
        <v>0</v>
      </c>
      <c r="P101" s="13">
        <f t="shared" si="15"/>
        <v>0</v>
      </c>
      <c r="Q101" s="13">
        <f t="shared" si="15"/>
        <v>0</v>
      </c>
      <c r="R101" s="13">
        <f t="shared" si="15"/>
        <v>1</v>
      </c>
      <c r="S101" s="13">
        <f t="shared" si="15"/>
        <v>0</v>
      </c>
      <c r="T101" s="13">
        <f t="shared" si="15"/>
        <v>0</v>
      </c>
      <c r="U101" s="13">
        <f t="shared" si="8"/>
        <v>4</v>
      </c>
    </row>
    <row r="102" spans="1:21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3">
        <f t="shared" si="8"/>
        <v>0</v>
      </c>
    </row>
    <row r="103" spans="1:21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3">
        <f t="shared" si="8"/>
        <v>1</v>
      </c>
    </row>
    <row r="104" spans="1:21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1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1</v>
      </c>
      <c r="R104" s="15">
        <v>0</v>
      </c>
      <c r="S104" s="15">
        <v>0</v>
      </c>
      <c r="T104" s="15">
        <v>0</v>
      </c>
      <c r="U104" s="13">
        <f t="shared" si="8"/>
        <v>2</v>
      </c>
    </row>
    <row r="105" spans="1:21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3">
        <f t="shared" si="8"/>
        <v>0</v>
      </c>
    </row>
    <row r="106" spans="1:21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1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3">
        <f t="shared" si="8"/>
        <v>1</v>
      </c>
    </row>
    <row r="107" spans="1:21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3">
        <f t="shared" si="8"/>
        <v>0</v>
      </c>
    </row>
    <row r="108" spans="1:21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3">
        <f t="shared" si="8"/>
        <v>0</v>
      </c>
    </row>
    <row r="109" spans="1:21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3">
        <f t="shared" si="8"/>
        <v>0</v>
      </c>
    </row>
    <row r="110" spans="1:21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T110" si="16">SUM(E103:E109)</f>
        <v>0</v>
      </c>
      <c r="F110" s="13">
        <f t="shared" si="16"/>
        <v>0</v>
      </c>
      <c r="G110" s="13">
        <f t="shared" si="16"/>
        <v>0</v>
      </c>
      <c r="H110" s="13">
        <f t="shared" si="16"/>
        <v>2</v>
      </c>
      <c r="I110" s="13">
        <f t="shared" si="16"/>
        <v>0</v>
      </c>
      <c r="J110" s="13">
        <f t="shared" si="16"/>
        <v>0</v>
      </c>
      <c r="K110" s="13">
        <f t="shared" si="16"/>
        <v>0</v>
      </c>
      <c r="L110" s="13">
        <f t="shared" si="16"/>
        <v>1</v>
      </c>
      <c r="M110" s="13">
        <f t="shared" si="16"/>
        <v>0</v>
      </c>
      <c r="N110" s="13">
        <f t="shared" si="16"/>
        <v>0</v>
      </c>
      <c r="O110" s="13">
        <f t="shared" si="16"/>
        <v>0</v>
      </c>
      <c r="P110" s="13">
        <f t="shared" si="16"/>
        <v>0</v>
      </c>
      <c r="Q110" s="13">
        <f t="shared" si="16"/>
        <v>1</v>
      </c>
      <c r="R110" s="13">
        <f t="shared" si="16"/>
        <v>0</v>
      </c>
      <c r="S110" s="13">
        <f t="shared" si="16"/>
        <v>0</v>
      </c>
      <c r="T110" s="13">
        <f t="shared" si="16"/>
        <v>0</v>
      </c>
      <c r="U110" s="13">
        <f t="shared" si="8"/>
        <v>4</v>
      </c>
    </row>
    <row r="111" spans="1:21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3">
        <f t="shared" si="8"/>
        <v>0</v>
      </c>
    </row>
    <row r="112" spans="1:21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3">
        <f t="shared" si="8"/>
        <v>1</v>
      </c>
    </row>
    <row r="113" spans="1:23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3">
        <f t="shared" si="8"/>
        <v>0</v>
      </c>
    </row>
    <row r="114" spans="1:23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3">
        <f t="shared" si="8"/>
        <v>0</v>
      </c>
    </row>
    <row r="115" spans="1:23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3">
        <f t="shared" si="8"/>
        <v>0</v>
      </c>
    </row>
    <row r="116" spans="1:23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3">
        <f t="shared" si="8"/>
        <v>0</v>
      </c>
    </row>
    <row r="117" spans="1:23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3">
        <f t="shared" si="8"/>
        <v>0</v>
      </c>
      <c r="V117" s="5"/>
      <c r="W117" s="5"/>
    </row>
    <row r="118" spans="1:23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3">
        <f t="shared" si="8"/>
        <v>0</v>
      </c>
      <c r="V118" s="5"/>
      <c r="W118" s="5"/>
    </row>
    <row r="119" spans="1:23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T119" si="17">SUM(E112:E118)</f>
        <v>0</v>
      </c>
      <c r="F119" s="13">
        <f t="shared" si="17"/>
        <v>1</v>
      </c>
      <c r="G119" s="13">
        <f t="shared" si="17"/>
        <v>0</v>
      </c>
      <c r="H119" s="13">
        <f t="shared" si="17"/>
        <v>0</v>
      </c>
      <c r="I119" s="13">
        <f t="shared" si="17"/>
        <v>0</v>
      </c>
      <c r="J119" s="13">
        <f t="shared" si="17"/>
        <v>0</v>
      </c>
      <c r="K119" s="13">
        <f t="shared" si="17"/>
        <v>0</v>
      </c>
      <c r="L119" s="13">
        <f t="shared" si="17"/>
        <v>0</v>
      </c>
      <c r="M119" s="13">
        <f t="shared" si="17"/>
        <v>0</v>
      </c>
      <c r="N119" s="13">
        <f t="shared" si="17"/>
        <v>0</v>
      </c>
      <c r="O119" s="13">
        <f t="shared" si="17"/>
        <v>0</v>
      </c>
      <c r="P119" s="13">
        <f t="shared" si="17"/>
        <v>0</v>
      </c>
      <c r="Q119" s="13">
        <f t="shared" si="17"/>
        <v>0</v>
      </c>
      <c r="R119" s="13">
        <f t="shared" si="17"/>
        <v>0</v>
      </c>
      <c r="S119" s="13">
        <f t="shared" si="17"/>
        <v>0</v>
      </c>
      <c r="T119" s="13">
        <f t="shared" si="17"/>
        <v>0</v>
      </c>
      <c r="U119" s="13">
        <f t="shared" si="8"/>
        <v>1</v>
      </c>
      <c r="V119" s="5"/>
      <c r="W119" s="5"/>
    </row>
    <row r="120" spans="1:23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3">
        <f t="shared" si="8"/>
        <v>0</v>
      </c>
      <c r="V120" s="5"/>
      <c r="W120" s="5"/>
    </row>
    <row r="121" spans="1:23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1</v>
      </c>
      <c r="S121" s="15">
        <v>0</v>
      </c>
      <c r="T121" s="15">
        <v>0</v>
      </c>
      <c r="U121" s="13">
        <f t="shared" si="8"/>
        <v>1</v>
      </c>
      <c r="V121" s="5"/>
      <c r="W121" s="5"/>
    </row>
    <row r="122" spans="1:23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1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3">
        <f t="shared" si="8"/>
        <v>2</v>
      </c>
      <c r="V122" s="5"/>
      <c r="W122" s="5"/>
    </row>
    <row r="123" spans="1:23" ht="12.75" customHeight="1" x14ac:dyDescent="0.4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3">
        <f t="shared" si="8"/>
        <v>0</v>
      </c>
      <c r="V123" s="5"/>
      <c r="W123" s="5"/>
    </row>
    <row r="124" spans="1:23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1</v>
      </c>
      <c r="J124" s="15">
        <v>0</v>
      </c>
      <c r="K124" s="15">
        <v>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3">
        <f t="shared" si="8"/>
        <v>2</v>
      </c>
      <c r="V124" s="5"/>
      <c r="W124" s="5"/>
    </row>
    <row r="125" spans="1:23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1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3">
        <f t="shared" si="8"/>
        <v>1</v>
      </c>
      <c r="V125" s="5"/>
      <c r="W125" s="5"/>
    </row>
    <row r="126" spans="1:23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3">
        <f t="shared" si="8"/>
        <v>0</v>
      </c>
      <c r="V126" s="5"/>
      <c r="W126" s="5"/>
    </row>
    <row r="127" spans="1:23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3">
        <f t="shared" si="8"/>
        <v>0</v>
      </c>
      <c r="V127" s="5"/>
      <c r="W127" s="5"/>
    </row>
    <row r="128" spans="1:23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T128" si="18">SUM(E121:E127)</f>
        <v>0</v>
      </c>
      <c r="F128" s="13">
        <f t="shared" si="18"/>
        <v>0</v>
      </c>
      <c r="G128" s="13">
        <f t="shared" si="18"/>
        <v>1</v>
      </c>
      <c r="H128" s="13">
        <f t="shared" si="18"/>
        <v>1</v>
      </c>
      <c r="I128" s="13">
        <f t="shared" si="18"/>
        <v>1</v>
      </c>
      <c r="J128" s="13">
        <f t="shared" si="18"/>
        <v>0</v>
      </c>
      <c r="K128" s="13">
        <f t="shared" si="18"/>
        <v>1</v>
      </c>
      <c r="L128" s="13">
        <f t="shared" si="18"/>
        <v>0</v>
      </c>
      <c r="M128" s="13">
        <f t="shared" si="18"/>
        <v>0</v>
      </c>
      <c r="N128" s="13">
        <f t="shared" si="18"/>
        <v>1</v>
      </c>
      <c r="O128" s="13">
        <f t="shared" si="18"/>
        <v>0</v>
      </c>
      <c r="P128" s="13">
        <f t="shared" si="18"/>
        <v>0</v>
      </c>
      <c r="Q128" s="13">
        <f t="shared" si="18"/>
        <v>0</v>
      </c>
      <c r="R128" s="13">
        <f t="shared" si="18"/>
        <v>1</v>
      </c>
      <c r="S128" s="13">
        <f t="shared" si="18"/>
        <v>0</v>
      </c>
      <c r="T128" s="13">
        <f t="shared" si="18"/>
        <v>0</v>
      </c>
      <c r="U128" s="13">
        <f t="shared" si="8"/>
        <v>6</v>
      </c>
      <c r="V128" s="5"/>
      <c r="W128" s="5"/>
    </row>
    <row r="129" spans="1:23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3">
        <f t="shared" si="8"/>
        <v>0</v>
      </c>
      <c r="V129" s="5"/>
      <c r="W129" s="5"/>
    </row>
    <row r="130" spans="1:23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3">
        <f t="shared" si="8"/>
        <v>0</v>
      </c>
      <c r="V130" s="1"/>
      <c r="W130" s="1"/>
    </row>
    <row r="131" spans="1:23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3">
        <f t="shared" si="8"/>
        <v>0</v>
      </c>
      <c r="V131" s="31"/>
      <c r="W131" s="31"/>
    </row>
    <row r="132" spans="1:23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T132" si="19">SUM(E130:E131)</f>
        <v>0</v>
      </c>
      <c r="F132" s="13">
        <f t="shared" si="19"/>
        <v>0</v>
      </c>
      <c r="G132" s="13">
        <f t="shared" si="19"/>
        <v>0</v>
      </c>
      <c r="H132" s="13">
        <f t="shared" si="19"/>
        <v>0</v>
      </c>
      <c r="I132" s="13">
        <f t="shared" si="19"/>
        <v>0</v>
      </c>
      <c r="J132" s="13">
        <f t="shared" si="19"/>
        <v>0</v>
      </c>
      <c r="K132" s="13">
        <f t="shared" si="19"/>
        <v>0</v>
      </c>
      <c r="L132" s="13">
        <f t="shared" si="19"/>
        <v>0</v>
      </c>
      <c r="M132" s="13">
        <f t="shared" si="19"/>
        <v>0</v>
      </c>
      <c r="N132" s="13">
        <f t="shared" si="19"/>
        <v>0</v>
      </c>
      <c r="O132" s="13">
        <f t="shared" si="19"/>
        <v>0</v>
      </c>
      <c r="P132" s="13">
        <f t="shared" si="19"/>
        <v>0</v>
      </c>
      <c r="Q132" s="13">
        <f t="shared" si="19"/>
        <v>0</v>
      </c>
      <c r="R132" s="13">
        <f t="shared" si="19"/>
        <v>0</v>
      </c>
      <c r="S132" s="13">
        <f t="shared" si="19"/>
        <v>0</v>
      </c>
      <c r="T132" s="13">
        <f t="shared" si="19"/>
        <v>0</v>
      </c>
      <c r="U132" s="13">
        <f t="shared" si="8"/>
        <v>0</v>
      </c>
      <c r="V132" s="5"/>
      <c r="W132" s="5"/>
    </row>
    <row r="133" spans="1:23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3">
        <f t="shared" si="8"/>
        <v>0</v>
      </c>
      <c r="V133" s="5"/>
      <c r="W133" s="5"/>
    </row>
    <row r="134" spans="1:23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1</v>
      </c>
      <c r="G134" s="15">
        <v>0</v>
      </c>
      <c r="H134" s="15">
        <v>1</v>
      </c>
      <c r="I134" s="15">
        <v>0</v>
      </c>
      <c r="J134" s="15">
        <v>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3">
        <f t="shared" si="8"/>
        <v>4</v>
      </c>
      <c r="V134" s="5"/>
      <c r="W134" s="5"/>
    </row>
    <row r="135" spans="1:23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1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1</v>
      </c>
      <c r="N135" s="15">
        <v>0</v>
      </c>
      <c r="O135" s="15">
        <v>0</v>
      </c>
      <c r="P135" s="15">
        <v>0</v>
      </c>
      <c r="Q135" s="15">
        <v>3</v>
      </c>
      <c r="R135" s="15">
        <v>0</v>
      </c>
      <c r="S135" s="15">
        <v>0</v>
      </c>
      <c r="T135" s="15">
        <v>0</v>
      </c>
      <c r="U135" s="13">
        <f t="shared" si="8"/>
        <v>5</v>
      </c>
      <c r="V135" s="5"/>
      <c r="W135" s="5"/>
    </row>
    <row r="136" spans="1:23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3">
        <f t="shared" si="8"/>
        <v>0</v>
      </c>
      <c r="V136" s="5"/>
      <c r="W136" s="5"/>
    </row>
    <row r="137" spans="1:23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1</v>
      </c>
      <c r="S137" s="15">
        <v>0</v>
      </c>
      <c r="T137" s="15">
        <v>0</v>
      </c>
      <c r="U137" s="13">
        <f t="shared" si="8"/>
        <v>1</v>
      </c>
      <c r="V137" s="5"/>
      <c r="W137" s="5"/>
    </row>
    <row r="138" spans="1:23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3">
        <f t="shared" si="8"/>
        <v>0</v>
      </c>
      <c r="V138" s="5"/>
      <c r="W138" s="5"/>
    </row>
    <row r="139" spans="1:23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3">
        <f t="shared" si="8"/>
        <v>0</v>
      </c>
      <c r="V139" s="5"/>
      <c r="W139" s="5"/>
    </row>
    <row r="140" spans="1:23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2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3">
        <f t="shared" si="8"/>
        <v>2</v>
      </c>
      <c r="V140" s="5"/>
      <c r="W140" s="5"/>
    </row>
    <row r="141" spans="1:23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T141" si="20">SUM(E134:E140)</f>
        <v>0</v>
      </c>
      <c r="F141" s="13">
        <f t="shared" si="20"/>
        <v>1</v>
      </c>
      <c r="G141" s="13">
        <f t="shared" si="20"/>
        <v>1</v>
      </c>
      <c r="H141" s="13">
        <f t="shared" si="20"/>
        <v>3</v>
      </c>
      <c r="I141" s="13">
        <f t="shared" si="20"/>
        <v>0</v>
      </c>
      <c r="J141" s="13">
        <f t="shared" si="20"/>
        <v>1</v>
      </c>
      <c r="K141" s="13">
        <f t="shared" si="20"/>
        <v>0</v>
      </c>
      <c r="L141" s="13">
        <f t="shared" si="20"/>
        <v>0</v>
      </c>
      <c r="M141" s="13">
        <f t="shared" si="20"/>
        <v>1</v>
      </c>
      <c r="N141" s="13">
        <f t="shared" si="20"/>
        <v>0</v>
      </c>
      <c r="O141" s="13">
        <f t="shared" si="20"/>
        <v>0</v>
      </c>
      <c r="P141" s="13">
        <f t="shared" si="20"/>
        <v>1</v>
      </c>
      <c r="Q141" s="13">
        <f t="shared" si="20"/>
        <v>3</v>
      </c>
      <c r="R141" s="13">
        <f t="shared" si="20"/>
        <v>1</v>
      </c>
      <c r="S141" s="13">
        <f t="shared" si="20"/>
        <v>0</v>
      </c>
      <c r="T141" s="13">
        <f t="shared" si="20"/>
        <v>0</v>
      </c>
      <c r="U141" s="13">
        <f t="shared" si="8"/>
        <v>12</v>
      </c>
      <c r="V141" s="1"/>
      <c r="W141" s="1"/>
    </row>
    <row r="142" spans="1:23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3">
        <f t="shared" si="8"/>
        <v>0</v>
      </c>
      <c r="V142" s="31"/>
      <c r="W142" s="31"/>
    </row>
    <row r="143" spans="1:23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1</v>
      </c>
      <c r="S143" s="15">
        <v>0</v>
      </c>
      <c r="T143" s="15">
        <v>0</v>
      </c>
      <c r="U143" s="13">
        <f t="shared" si="8"/>
        <v>2</v>
      </c>
      <c r="V143" s="5"/>
      <c r="W143" s="5"/>
    </row>
    <row r="144" spans="1:23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3">
        <f t="shared" si="8"/>
        <v>0</v>
      </c>
      <c r="V144" s="5"/>
      <c r="W144" s="5"/>
    </row>
    <row r="145" spans="1:23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3">
        <f t="shared" si="8"/>
        <v>0</v>
      </c>
      <c r="V145" s="5"/>
      <c r="W145" s="5"/>
    </row>
    <row r="146" spans="1:23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3">
        <f t="shared" si="8"/>
        <v>0</v>
      </c>
      <c r="V146" s="5"/>
      <c r="W146" s="5"/>
    </row>
    <row r="147" spans="1:23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3">
        <f t="shared" si="8"/>
        <v>0</v>
      </c>
      <c r="V147" s="5"/>
      <c r="W147" s="5"/>
    </row>
    <row r="148" spans="1:23" ht="12.75" customHeight="1" x14ac:dyDescent="0.4">
      <c r="A148" s="14"/>
      <c r="B148" s="27"/>
      <c r="C148" s="28" t="s">
        <v>128</v>
      </c>
      <c r="D148" s="29"/>
      <c r="E148" s="15">
        <v>1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3">
        <f t="shared" si="8"/>
        <v>1</v>
      </c>
      <c r="V148" s="5"/>
      <c r="W148" s="5"/>
    </row>
    <row r="149" spans="1:23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3">
        <f t="shared" si="8"/>
        <v>0</v>
      </c>
      <c r="V149" s="5"/>
      <c r="W149" s="5"/>
    </row>
    <row r="150" spans="1:23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T150" si="21">SUM(E143:E149)</f>
        <v>1</v>
      </c>
      <c r="F150" s="13">
        <f t="shared" si="21"/>
        <v>0</v>
      </c>
      <c r="G150" s="13">
        <f t="shared" si="21"/>
        <v>0</v>
      </c>
      <c r="H150" s="13">
        <f t="shared" si="21"/>
        <v>0</v>
      </c>
      <c r="I150" s="13">
        <f t="shared" si="21"/>
        <v>0</v>
      </c>
      <c r="J150" s="13">
        <f t="shared" si="21"/>
        <v>0</v>
      </c>
      <c r="K150" s="13">
        <f t="shared" si="21"/>
        <v>0</v>
      </c>
      <c r="L150" s="13">
        <f t="shared" si="21"/>
        <v>0</v>
      </c>
      <c r="M150" s="13">
        <f t="shared" si="21"/>
        <v>0</v>
      </c>
      <c r="N150" s="13">
        <f t="shared" si="21"/>
        <v>0</v>
      </c>
      <c r="O150" s="13">
        <f t="shared" si="21"/>
        <v>0</v>
      </c>
      <c r="P150" s="13">
        <f t="shared" si="21"/>
        <v>0</v>
      </c>
      <c r="Q150" s="13">
        <f t="shared" si="21"/>
        <v>1</v>
      </c>
      <c r="R150" s="13">
        <f t="shared" si="21"/>
        <v>1</v>
      </c>
      <c r="S150" s="13">
        <f t="shared" si="21"/>
        <v>0</v>
      </c>
      <c r="T150" s="13">
        <f t="shared" si="21"/>
        <v>0</v>
      </c>
      <c r="U150" s="13">
        <f t="shared" si="8"/>
        <v>3</v>
      </c>
      <c r="V150" s="5"/>
      <c r="W150" s="5"/>
    </row>
    <row r="151" spans="1:23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3">
        <f t="shared" si="8"/>
        <v>0</v>
      </c>
      <c r="V151" s="1"/>
      <c r="W151" s="1"/>
    </row>
    <row r="152" spans="1:23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4</v>
      </c>
      <c r="F152" s="15">
        <v>2</v>
      </c>
      <c r="G152" s="15">
        <v>4</v>
      </c>
      <c r="H152" s="15">
        <v>7</v>
      </c>
      <c r="I152" s="15">
        <v>2</v>
      </c>
      <c r="J152" s="15">
        <v>2</v>
      </c>
      <c r="K152" s="15">
        <v>2</v>
      </c>
      <c r="L152" s="15">
        <v>1</v>
      </c>
      <c r="M152" s="15">
        <v>1</v>
      </c>
      <c r="N152" s="15">
        <v>0</v>
      </c>
      <c r="O152" s="15">
        <v>0</v>
      </c>
      <c r="P152" s="15">
        <v>0</v>
      </c>
      <c r="Q152" s="15">
        <v>0</v>
      </c>
      <c r="R152" s="15">
        <v>1</v>
      </c>
      <c r="S152" s="15">
        <v>1</v>
      </c>
      <c r="T152" s="15">
        <v>1</v>
      </c>
      <c r="U152" s="13">
        <f t="shared" si="8"/>
        <v>28</v>
      </c>
      <c r="V152" s="31"/>
      <c r="W152" s="31"/>
    </row>
    <row r="153" spans="1:23" ht="12.75" customHeight="1" x14ac:dyDescent="0.4">
      <c r="A153" s="19" t="s">
        <v>39</v>
      </c>
      <c r="B153" s="27"/>
      <c r="C153" s="28" t="s">
        <v>132</v>
      </c>
      <c r="D153" s="29"/>
      <c r="E153" s="15">
        <v>0</v>
      </c>
      <c r="F153" s="15">
        <v>2</v>
      </c>
      <c r="G153" s="15">
        <v>1</v>
      </c>
      <c r="H153" s="15">
        <v>2</v>
      </c>
      <c r="I153" s="15">
        <v>0</v>
      </c>
      <c r="J153" s="15">
        <v>3</v>
      </c>
      <c r="K153" s="15">
        <v>1</v>
      </c>
      <c r="L153" s="15">
        <v>0</v>
      </c>
      <c r="M153" s="15">
        <v>0</v>
      </c>
      <c r="N153" s="15">
        <v>3</v>
      </c>
      <c r="O153" s="15">
        <v>0</v>
      </c>
      <c r="P153" s="15">
        <v>0</v>
      </c>
      <c r="Q153" s="15">
        <v>1</v>
      </c>
      <c r="R153" s="15">
        <v>0</v>
      </c>
      <c r="S153" s="15">
        <v>0</v>
      </c>
      <c r="T153" s="15">
        <v>0</v>
      </c>
      <c r="U153" s="13">
        <f t="shared" si="8"/>
        <v>13</v>
      </c>
      <c r="V153" s="5"/>
      <c r="W153" s="5"/>
    </row>
    <row r="154" spans="1:23" ht="12.75" customHeight="1" x14ac:dyDescent="0.4">
      <c r="A154" s="14"/>
      <c r="B154" s="27"/>
      <c r="C154" s="28" t="s">
        <v>133</v>
      </c>
      <c r="D154" s="29"/>
      <c r="E154" s="15">
        <v>22</v>
      </c>
      <c r="F154" s="15">
        <v>5</v>
      </c>
      <c r="G154" s="15">
        <v>6</v>
      </c>
      <c r="H154" s="15">
        <v>20</v>
      </c>
      <c r="I154" s="15">
        <v>16</v>
      </c>
      <c r="J154" s="15">
        <v>34</v>
      </c>
      <c r="K154" s="15">
        <v>31</v>
      </c>
      <c r="L154" s="15">
        <v>15</v>
      </c>
      <c r="M154" s="15">
        <v>8</v>
      </c>
      <c r="N154" s="15">
        <v>15</v>
      </c>
      <c r="O154" s="15">
        <v>1</v>
      </c>
      <c r="P154" s="15">
        <v>7</v>
      </c>
      <c r="Q154" s="15">
        <v>8</v>
      </c>
      <c r="R154" s="15">
        <v>17</v>
      </c>
      <c r="S154" s="15">
        <v>33</v>
      </c>
      <c r="T154" s="15">
        <v>22</v>
      </c>
      <c r="U154" s="13">
        <f t="shared" si="8"/>
        <v>260</v>
      </c>
      <c r="V154" s="5"/>
      <c r="W154" s="5"/>
    </row>
    <row r="155" spans="1:23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3">
        <f t="shared" si="8"/>
        <v>1</v>
      </c>
      <c r="V155" s="5"/>
      <c r="W155" s="5"/>
    </row>
    <row r="156" spans="1:23" ht="12.75" customHeight="1" x14ac:dyDescent="0.4">
      <c r="A156" s="14"/>
      <c r="B156" s="27"/>
      <c r="C156" s="28" t="s">
        <v>135</v>
      </c>
      <c r="D156" s="29"/>
      <c r="E156" s="15">
        <v>3</v>
      </c>
      <c r="F156" s="15">
        <v>0</v>
      </c>
      <c r="G156" s="15">
        <v>0</v>
      </c>
      <c r="H156" s="15">
        <v>1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3">
        <f t="shared" si="8"/>
        <v>5</v>
      </c>
      <c r="V156" s="5"/>
      <c r="W156" s="5"/>
    </row>
    <row r="157" spans="1:23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3">
        <f t="shared" si="8"/>
        <v>0</v>
      </c>
      <c r="V157" s="5"/>
      <c r="W157" s="5"/>
    </row>
    <row r="158" spans="1:23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1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3">
        <f t="shared" si="8"/>
        <v>1</v>
      </c>
      <c r="V158" s="5"/>
      <c r="W158" s="5"/>
    </row>
    <row r="159" spans="1:23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T159" si="22">SUM(E152:E158)</f>
        <v>29</v>
      </c>
      <c r="F159" s="13">
        <f t="shared" si="22"/>
        <v>9</v>
      </c>
      <c r="G159" s="13">
        <f t="shared" si="22"/>
        <v>11</v>
      </c>
      <c r="H159" s="13">
        <f t="shared" si="22"/>
        <v>31</v>
      </c>
      <c r="I159" s="13">
        <f t="shared" si="22"/>
        <v>18</v>
      </c>
      <c r="J159" s="13">
        <f t="shared" si="22"/>
        <v>39</v>
      </c>
      <c r="K159" s="13">
        <f t="shared" si="22"/>
        <v>34</v>
      </c>
      <c r="L159" s="13">
        <f t="shared" si="22"/>
        <v>16</v>
      </c>
      <c r="M159" s="13">
        <f t="shared" si="22"/>
        <v>10</v>
      </c>
      <c r="N159" s="13">
        <f t="shared" si="22"/>
        <v>18</v>
      </c>
      <c r="O159" s="13">
        <f t="shared" si="22"/>
        <v>1</v>
      </c>
      <c r="P159" s="13">
        <f t="shared" si="22"/>
        <v>8</v>
      </c>
      <c r="Q159" s="13">
        <f t="shared" si="22"/>
        <v>9</v>
      </c>
      <c r="R159" s="13">
        <f t="shared" si="22"/>
        <v>18</v>
      </c>
      <c r="S159" s="13">
        <f t="shared" si="22"/>
        <v>34</v>
      </c>
      <c r="T159" s="13">
        <f t="shared" si="22"/>
        <v>23</v>
      </c>
      <c r="U159" s="13">
        <f t="shared" si="8"/>
        <v>308</v>
      </c>
      <c r="V159" s="5"/>
      <c r="W159" s="5"/>
    </row>
    <row r="160" spans="1:23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3">
        <f t="shared" si="8"/>
        <v>0</v>
      </c>
      <c r="V160" s="5"/>
      <c r="W160" s="5"/>
    </row>
    <row r="161" spans="1:23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0</v>
      </c>
      <c r="G161" s="46">
        <v>0</v>
      </c>
      <c r="H161" s="46">
        <v>1</v>
      </c>
      <c r="I161" s="46">
        <v>0</v>
      </c>
      <c r="J161" s="46">
        <v>0</v>
      </c>
      <c r="K161" s="46">
        <v>1</v>
      </c>
      <c r="L161" s="46">
        <v>0</v>
      </c>
      <c r="M161" s="46">
        <v>1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13">
        <f t="shared" si="8"/>
        <v>3</v>
      </c>
      <c r="V161" s="5"/>
      <c r="W161" s="5"/>
    </row>
    <row r="162" spans="1:23" ht="12.75" customHeight="1" x14ac:dyDescent="0.4">
      <c r="A162" s="19" t="s">
        <v>39</v>
      </c>
      <c r="B162" s="27"/>
      <c r="C162" s="28" t="s">
        <v>140</v>
      </c>
      <c r="D162" s="29"/>
      <c r="E162" s="46">
        <v>1</v>
      </c>
      <c r="F162" s="46">
        <v>1</v>
      </c>
      <c r="G162" s="46">
        <v>0</v>
      </c>
      <c r="H162" s="46">
        <v>0</v>
      </c>
      <c r="I162" s="46">
        <v>0</v>
      </c>
      <c r="J162" s="46">
        <v>0</v>
      </c>
      <c r="K162" s="46">
        <v>3</v>
      </c>
      <c r="L162" s="46">
        <v>0</v>
      </c>
      <c r="M162" s="46">
        <v>1</v>
      </c>
      <c r="N162" s="46">
        <v>0</v>
      </c>
      <c r="O162" s="46">
        <v>0</v>
      </c>
      <c r="P162" s="46">
        <v>1</v>
      </c>
      <c r="Q162" s="46">
        <v>0</v>
      </c>
      <c r="R162" s="46">
        <v>0</v>
      </c>
      <c r="S162" s="46">
        <v>0</v>
      </c>
      <c r="T162" s="46">
        <v>0</v>
      </c>
      <c r="U162" s="13">
        <f t="shared" si="8"/>
        <v>7</v>
      </c>
      <c r="V162" s="5"/>
      <c r="W162" s="5"/>
    </row>
    <row r="163" spans="1:23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2</v>
      </c>
      <c r="G163" s="46">
        <v>0</v>
      </c>
      <c r="H163" s="46">
        <v>1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  <c r="T163" s="46">
        <v>0</v>
      </c>
      <c r="U163" s="13">
        <f t="shared" si="8"/>
        <v>3</v>
      </c>
      <c r="V163" s="5"/>
      <c r="W163" s="5"/>
    </row>
    <row r="164" spans="1:23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T164" si="23">SUM(E161:E163)</f>
        <v>1</v>
      </c>
      <c r="F164" s="13">
        <f t="shared" si="23"/>
        <v>3</v>
      </c>
      <c r="G164" s="13">
        <f t="shared" si="23"/>
        <v>0</v>
      </c>
      <c r="H164" s="13">
        <f t="shared" si="23"/>
        <v>2</v>
      </c>
      <c r="I164" s="13">
        <f t="shared" si="23"/>
        <v>0</v>
      </c>
      <c r="J164" s="13">
        <f t="shared" si="23"/>
        <v>0</v>
      </c>
      <c r="K164" s="13">
        <f t="shared" si="23"/>
        <v>4</v>
      </c>
      <c r="L164" s="13">
        <f t="shared" si="23"/>
        <v>0</v>
      </c>
      <c r="M164" s="13">
        <f t="shared" si="23"/>
        <v>2</v>
      </c>
      <c r="N164" s="13">
        <f t="shared" si="23"/>
        <v>0</v>
      </c>
      <c r="O164" s="13">
        <f t="shared" si="23"/>
        <v>0</v>
      </c>
      <c r="P164" s="13">
        <f t="shared" si="23"/>
        <v>1</v>
      </c>
      <c r="Q164" s="13">
        <f t="shared" si="23"/>
        <v>0</v>
      </c>
      <c r="R164" s="13">
        <f t="shared" si="23"/>
        <v>0</v>
      </c>
      <c r="S164" s="13">
        <f t="shared" si="23"/>
        <v>0</v>
      </c>
      <c r="T164" s="13">
        <f t="shared" si="23"/>
        <v>0</v>
      </c>
      <c r="U164" s="13">
        <f t="shared" si="8"/>
        <v>13</v>
      </c>
      <c r="V164" s="5"/>
      <c r="W164" s="5"/>
    </row>
    <row r="165" spans="1:23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3">
        <f t="shared" si="8"/>
        <v>0</v>
      </c>
      <c r="V165" s="1"/>
      <c r="W165" s="1"/>
    </row>
    <row r="166" spans="1:23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3">
        <f t="shared" si="8"/>
        <v>0</v>
      </c>
      <c r="V166" s="31"/>
      <c r="W166" s="31"/>
    </row>
    <row r="167" spans="1:23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3">
        <f t="shared" si="8"/>
        <v>0</v>
      </c>
      <c r="V167" s="5"/>
      <c r="W167" s="5"/>
    </row>
    <row r="168" spans="1:23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3</v>
      </c>
      <c r="J168" s="15">
        <v>1</v>
      </c>
      <c r="K168" s="15">
        <v>0</v>
      </c>
      <c r="L168" s="15">
        <v>0</v>
      </c>
      <c r="M168" s="15">
        <v>1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3">
        <f t="shared" si="8"/>
        <v>5</v>
      </c>
      <c r="V168" s="5"/>
      <c r="W168" s="5"/>
    </row>
    <row r="169" spans="1:23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3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3">
        <f t="shared" si="8"/>
        <v>3</v>
      </c>
      <c r="V169" s="5"/>
      <c r="W169" s="5"/>
    </row>
    <row r="170" spans="1:23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3">
        <f t="shared" si="8"/>
        <v>0</v>
      </c>
      <c r="V170" s="5"/>
      <c r="W170" s="5"/>
    </row>
    <row r="171" spans="1:23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3">
        <f t="shared" si="8"/>
        <v>0</v>
      </c>
      <c r="V171" s="5"/>
      <c r="W171" s="5"/>
    </row>
    <row r="172" spans="1:23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3">
        <f t="shared" si="8"/>
        <v>0</v>
      </c>
      <c r="V172" s="5"/>
      <c r="W172" s="5"/>
    </row>
    <row r="173" spans="1:23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T173" si="24">SUM(E166:E172)</f>
        <v>0</v>
      </c>
      <c r="F173" s="13">
        <f t="shared" si="24"/>
        <v>0</v>
      </c>
      <c r="G173" s="13">
        <f t="shared" si="24"/>
        <v>0</v>
      </c>
      <c r="H173" s="13">
        <f t="shared" si="24"/>
        <v>0</v>
      </c>
      <c r="I173" s="13">
        <f t="shared" si="24"/>
        <v>6</v>
      </c>
      <c r="J173" s="13">
        <f t="shared" si="24"/>
        <v>1</v>
      </c>
      <c r="K173" s="13">
        <f t="shared" si="24"/>
        <v>0</v>
      </c>
      <c r="L173" s="13">
        <f t="shared" si="24"/>
        <v>0</v>
      </c>
      <c r="M173" s="13">
        <f t="shared" si="24"/>
        <v>1</v>
      </c>
      <c r="N173" s="13">
        <f t="shared" si="24"/>
        <v>0</v>
      </c>
      <c r="O173" s="13">
        <f t="shared" si="24"/>
        <v>0</v>
      </c>
      <c r="P173" s="13">
        <f t="shared" si="24"/>
        <v>0</v>
      </c>
      <c r="Q173" s="13">
        <f t="shared" si="24"/>
        <v>0</v>
      </c>
      <c r="R173" s="13">
        <f t="shared" si="24"/>
        <v>0</v>
      </c>
      <c r="S173" s="13">
        <f t="shared" si="24"/>
        <v>0</v>
      </c>
      <c r="T173" s="13">
        <f t="shared" si="24"/>
        <v>0</v>
      </c>
      <c r="U173" s="13">
        <f t="shared" si="8"/>
        <v>8</v>
      </c>
      <c r="V173" s="5"/>
      <c r="W173" s="5"/>
    </row>
    <row r="174" spans="1:23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3">
        <f t="shared" si="8"/>
        <v>0</v>
      </c>
      <c r="V174" s="5"/>
      <c r="W174" s="5"/>
    </row>
    <row r="175" spans="1:23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1</v>
      </c>
      <c r="G175" s="15">
        <v>6</v>
      </c>
      <c r="H175" s="15">
        <v>3</v>
      </c>
      <c r="I175" s="15">
        <v>1</v>
      </c>
      <c r="J175" s="15">
        <v>0</v>
      </c>
      <c r="K175" s="15">
        <v>0</v>
      </c>
      <c r="L175" s="15">
        <v>0</v>
      </c>
      <c r="M175" s="15">
        <v>2</v>
      </c>
      <c r="N175" s="15">
        <v>0</v>
      </c>
      <c r="O175" s="15">
        <v>0</v>
      </c>
      <c r="P175" s="15">
        <v>0</v>
      </c>
      <c r="Q175" s="15">
        <v>4</v>
      </c>
      <c r="R175" s="15">
        <v>1</v>
      </c>
      <c r="S175" s="15">
        <v>4</v>
      </c>
      <c r="T175" s="15">
        <v>3</v>
      </c>
      <c r="U175" s="13">
        <f t="shared" si="8"/>
        <v>25</v>
      </c>
      <c r="V175" s="5"/>
      <c r="W175" s="5"/>
    </row>
    <row r="176" spans="1:23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0</v>
      </c>
      <c r="G176" s="15">
        <v>2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1</v>
      </c>
      <c r="T176" s="15">
        <v>0</v>
      </c>
      <c r="U176" s="13">
        <f t="shared" si="8"/>
        <v>4</v>
      </c>
      <c r="V176" s="1"/>
      <c r="W176" s="1"/>
    </row>
    <row r="177" spans="1:23" ht="12.75" customHeight="1" x14ac:dyDescent="0.4">
      <c r="A177" s="14"/>
      <c r="B177" s="27"/>
      <c r="C177" s="28" t="s">
        <v>153</v>
      </c>
      <c r="D177" s="29"/>
      <c r="E177" s="15">
        <v>8</v>
      </c>
      <c r="F177" s="15">
        <v>17</v>
      </c>
      <c r="G177" s="15">
        <v>44</v>
      </c>
      <c r="H177" s="15">
        <v>6</v>
      </c>
      <c r="I177" s="15">
        <v>5</v>
      </c>
      <c r="J177" s="15">
        <v>0</v>
      </c>
      <c r="K177" s="15">
        <v>0</v>
      </c>
      <c r="L177" s="15">
        <v>0</v>
      </c>
      <c r="M177" s="15">
        <v>8</v>
      </c>
      <c r="N177" s="15">
        <v>1</v>
      </c>
      <c r="O177" s="15">
        <v>0</v>
      </c>
      <c r="P177" s="15">
        <v>0</v>
      </c>
      <c r="Q177" s="15">
        <v>32</v>
      </c>
      <c r="R177" s="15">
        <v>30</v>
      </c>
      <c r="S177" s="15">
        <v>35</v>
      </c>
      <c r="T177" s="15">
        <v>70</v>
      </c>
      <c r="U177" s="13">
        <f t="shared" si="8"/>
        <v>256</v>
      </c>
    </row>
    <row r="178" spans="1:23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1</v>
      </c>
      <c r="U178" s="13">
        <f t="shared" si="8"/>
        <v>1</v>
      </c>
      <c r="V178" s="5"/>
      <c r="W178" s="5"/>
    </row>
    <row r="179" spans="1:23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2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3">
        <f t="shared" si="8"/>
        <v>3</v>
      </c>
      <c r="V179" s="5"/>
      <c r="W179" s="5"/>
    </row>
    <row r="180" spans="1:23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1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3">
        <f t="shared" si="8"/>
        <v>1</v>
      </c>
      <c r="V180" s="5"/>
      <c r="W180" s="5"/>
    </row>
    <row r="181" spans="1:23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0</v>
      </c>
      <c r="G181" s="15">
        <v>1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3">
        <f t="shared" si="8"/>
        <v>1</v>
      </c>
      <c r="V181" s="5"/>
      <c r="W181" s="5"/>
    </row>
    <row r="182" spans="1:23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T182" si="25">SUM(E175:E181)</f>
        <v>8</v>
      </c>
      <c r="F182" s="13">
        <f t="shared" si="25"/>
        <v>18</v>
      </c>
      <c r="G182" s="13">
        <f t="shared" si="25"/>
        <v>54</v>
      </c>
      <c r="H182" s="13">
        <f t="shared" si="25"/>
        <v>9</v>
      </c>
      <c r="I182" s="13">
        <f t="shared" si="25"/>
        <v>7</v>
      </c>
      <c r="J182" s="13">
        <f t="shared" si="25"/>
        <v>0</v>
      </c>
      <c r="K182" s="13">
        <f t="shared" si="25"/>
        <v>0</v>
      </c>
      <c r="L182" s="13">
        <f t="shared" si="25"/>
        <v>0</v>
      </c>
      <c r="M182" s="13">
        <f t="shared" si="25"/>
        <v>11</v>
      </c>
      <c r="N182" s="13">
        <f t="shared" si="25"/>
        <v>3</v>
      </c>
      <c r="O182" s="13">
        <f t="shared" si="25"/>
        <v>0</v>
      </c>
      <c r="P182" s="13">
        <f t="shared" si="25"/>
        <v>0</v>
      </c>
      <c r="Q182" s="13">
        <f t="shared" si="25"/>
        <v>36</v>
      </c>
      <c r="R182" s="13">
        <f t="shared" si="25"/>
        <v>31</v>
      </c>
      <c r="S182" s="13">
        <f t="shared" si="25"/>
        <v>40</v>
      </c>
      <c r="T182" s="13">
        <f t="shared" si="25"/>
        <v>74</v>
      </c>
      <c r="U182" s="13">
        <f t="shared" si="8"/>
        <v>291</v>
      </c>
      <c r="V182" s="5"/>
      <c r="W182" s="5"/>
    </row>
    <row r="183" spans="1:23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13">
        <f t="shared" si="8"/>
        <v>0</v>
      </c>
      <c r="V183" s="5"/>
      <c r="W183" s="5"/>
    </row>
    <row r="184" spans="1:23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2</v>
      </c>
      <c r="F184" s="15">
        <v>0</v>
      </c>
      <c r="G184" s="15">
        <v>1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3">
        <f t="shared" si="8"/>
        <v>3</v>
      </c>
      <c r="V184" s="5"/>
      <c r="W184" s="5"/>
    </row>
    <row r="185" spans="1:23" ht="12.75" customHeight="1" x14ac:dyDescent="0.4">
      <c r="A185" s="19" t="s">
        <v>39</v>
      </c>
      <c r="B185" s="27"/>
      <c r="C185" s="28" t="s">
        <v>160</v>
      </c>
      <c r="D185" s="29"/>
      <c r="E185" s="15">
        <v>1</v>
      </c>
      <c r="F185" s="15">
        <v>1</v>
      </c>
      <c r="G185" s="15">
        <v>0</v>
      </c>
      <c r="H185" s="15">
        <v>0</v>
      </c>
      <c r="I185" s="15">
        <v>1</v>
      </c>
      <c r="J185" s="15">
        <v>0</v>
      </c>
      <c r="K185" s="15">
        <v>0</v>
      </c>
      <c r="L185" s="15">
        <v>0</v>
      </c>
      <c r="M185" s="15">
        <v>0</v>
      </c>
      <c r="N185" s="15">
        <v>1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3">
        <f t="shared" si="8"/>
        <v>4</v>
      </c>
      <c r="V185" s="5"/>
      <c r="W185" s="5"/>
    </row>
    <row r="186" spans="1:23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T186" si="26">SUM(E184:E185)</f>
        <v>3</v>
      </c>
      <c r="F186" s="13">
        <f t="shared" si="26"/>
        <v>1</v>
      </c>
      <c r="G186" s="13">
        <f t="shared" si="26"/>
        <v>1</v>
      </c>
      <c r="H186" s="13">
        <f t="shared" si="26"/>
        <v>0</v>
      </c>
      <c r="I186" s="13">
        <f t="shared" si="26"/>
        <v>1</v>
      </c>
      <c r="J186" s="13">
        <f t="shared" si="26"/>
        <v>0</v>
      </c>
      <c r="K186" s="13">
        <f t="shared" si="26"/>
        <v>0</v>
      </c>
      <c r="L186" s="13">
        <f t="shared" si="26"/>
        <v>0</v>
      </c>
      <c r="M186" s="13">
        <f t="shared" si="26"/>
        <v>0</v>
      </c>
      <c r="N186" s="13">
        <f t="shared" si="26"/>
        <v>1</v>
      </c>
      <c r="O186" s="13">
        <f t="shared" si="26"/>
        <v>0</v>
      </c>
      <c r="P186" s="13">
        <f t="shared" si="26"/>
        <v>0</v>
      </c>
      <c r="Q186" s="13">
        <f t="shared" si="26"/>
        <v>0</v>
      </c>
      <c r="R186" s="13">
        <f t="shared" si="26"/>
        <v>0</v>
      </c>
      <c r="S186" s="13">
        <f t="shared" si="26"/>
        <v>0</v>
      </c>
      <c r="T186" s="13">
        <f t="shared" si="26"/>
        <v>0</v>
      </c>
      <c r="U186" s="13">
        <f t="shared" si="8"/>
        <v>7</v>
      </c>
      <c r="V186" s="5"/>
      <c r="W186" s="5"/>
    </row>
    <row r="187" spans="1:23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>
        <f t="shared" si="8"/>
        <v>0</v>
      </c>
      <c r="V187" s="1"/>
      <c r="W187" s="1"/>
    </row>
    <row r="188" spans="1:23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13">
        <f t="shared" si="8"/>
        <v>0</v>
      </c>
    </row>
    <row r="189" spans="1:23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13">
        <f t="shared" si="8"/>
        <v>0</v>
      </c>
      <c r="V189" s="5"/>
      <c r="W189" s="5"/>
    </row>
    <row r="190" spans="1:23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T190" si="27">E186+E182+E173+E164+E159+E150+E141+E132+E128+E119+E110+E101+E92+E88+E79+E70+E61+E52</f>
        <v>211</v>
      </c>
      <c r="F190" s="15">
        <f t="shared" si="27"/>
        <v>224</v>
      </c>
      <c r="G190" s="15">
        <f t="shared" si="27"/>
        <v>182</v>
      </c>
      <c r="H190" s="15">
        <f t="shared" si="27"/>
        <v>165</v>
      </c>
      <c r="I190" s="15">
        <f t="shared" si="27"/>
        <v>216</v>
      </c>
      <c r="J190" s="15">
        <f t="shared" si="27"/>
        <v>207</v>
      </c>
      <c r="K190" s="15">
        <f t="shared" si="27"/>
        <v>193</v>
      </c>
      <c r="L190" s="15">
        <f t="shared" si="27"/>
        <v>163</v>
      </c>
      <c r="M190" s="15">
        <f t="shared" si="27"/>
        <v>187</v>
      </c>
      <c r="N190" s="15">
        <f t="shared" si="27"/>
        <v>211</v>
      </c>
      <c r="O190" s="15">
        <f t="shared" si="27"/>
        <v>137</v>
      </c>
      <c r="P190" s="15">
        <f t="shared" si="27"/>
        <v>190</v>
      </c>
      <c r="Q190" s="15">
        <f t="shared" si="27"/>
        <v>196</v>
      </c>
      <c r="R190" s="15">
        <f t="shared" si="27"/>
        <v>177</v>
      </c>
      <c r="S190" s="15">
        <f t="shared" si="27"/>
        <v>176</v>
      </c>
      <c r="T190" s="15">
        <f t="shared" si="27"/>
        <v>232</v>
      </c>
      <c r="U190" s="13">
        <f t="shared" si="8"/>
        <v>3067</v>
      </c>
      <c r="V190" s="5"/>
      <c r="W190" s="5"/>
    </row>
    <row r="191" spans="1:23" ht="12.75" customHeight="1" x14ac:dyDescent="0.4">
      <c r="A191" s="21"/>
      <c r="B191" s="39" t="s">
        <v>165</v>
      </c>
      <c r="C191" s="79" t="s">
        <v>166</v>
      </c>
      <c r="D191" s="55"/>
      <c r="E191" s="15">
        <v>9</v>
      </c>
      <c r="F191" s="15">
        <v>17</v>
      </c>
      <c r="G191" s="15">
        <v>14</v>
      </c>
      <c r="H191" s="15">
        <v>14</v>
      </c>
      <c r="I191" s="15">
        <v>5</v>
      </c>
      <c r="J191" s="15">
        <v>12</v>
      </c>
      <c r="K191" s="15">
        <v>21</v>
      </c>
      <c r="L191" s="15">
        <v>4</v>
      </c>
      <c r="M191" s="15">
        <v>0</v>
      </c>
      <c r="N191" s="15">
        <v>6</v>
      </c>
      <c r="O191" s="15">
        <v>5</v>
      </c>
      <c r="P191" s="15">
        <v>6</v>
      </c>
      <c r="Q191" s="15">
        <v>19</v>
      </c>
      <c r="R191" s="15">
        <v>15</v>
      </c>
      <c r="S191" s="15">
        <v>5</v>
      </c>
      <c r="T191" s="15">
        <v>8</v>
      </c>
      <c r="U191" s="13">
        <f t="shared" si="8"/>
        <v>160</v>
      </c>
      <c r="V191" s="5"/>
      <c r="W191" s="5"/>
    </row>
    <row r="192" spans="1:23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T192" si="28">E190+E191</f>
        <v>220</v>
      </c>
      <c r="F192" s="15">
        <f t="shared" si="28"/>
        <v>241</v>
      </c>
      <c r="G192" s="15">
        <f t="shared" si="28"/>
        <v>196</v>
      </c>
      <c r="H192" s="15">
        <f t="shared" si="28"/>
        <v>179</v>
      </c>
      <c r="I192" s="15">
        <f t="shared" si="28"/>
        <v>221</v>
      </c>
      <c r="J192" s="15">
        <f t="shared" si="28"/>
        <v>219</v>
      </c>
      <c r="K192" s="15">
        <f t="shared" si="28"/>
        <v>214</v>
      </c>
      <c r="L192" s="15">
        <f t="shared" si="28"/>
        <v>167</v>
      </c>
      <c r="M192" s="15">
        <f t="shared" si="28"/>
        <v>187</v>
      </c>
      <c r="N192" s="15">
        <f t="shared" si="28"/>
        <v>217</v>
      </c>
      <c r="O192" s="15">
        <f t="shared" si="28"/>
        <v>142</v>
      </c>
      <c r="P192" s="15">
        <f t="shared" si="28"/>
        <v>196</v>
      </c>
      <c r="Q192" s="15">
        <f t="shared" si="28"/>
        <v>215</v>
      </c>
      <c r="R192" s="15">
        <f t="shared" si="28"/>
        <v>192</v>
      </c>
      <c r="S192" s="15">
        <f t="shared" si="28"/>
        <v>181</v>
      </c>
      <c r="T192" s="15">
        <f t="shared" si="28"/>
        <v>240</v>
      </c>
      <c r="U192" s="13">
        <f t="shared" si="8"/>
        <v>3227</v>
      </c>
      <c r="V192" s="5"/>
      <c r="W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T12"/>
    <mergeCell ref="U12:U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T13">
    <cfRule type="expression" dxfId="308" priority="29">
      <formula>E30=E192</formula>
    </cfRule>
  </conditionalFormatting>
  <conditionalFormatting sqref="E14:T15">
    <cfRule type="containsBlanks" dxfId="307" priority="1">
      <formula>LEN(TRIM(E14))=0</formula>
    </cfRule>
  </conditionalFormatting>
  <conditionalFormatting sqref="E19:T20">
    <cfRule type="containsBlanks" dxfId="306" priority="2">
      <formula>LEN(TRIM(E19))=0</formula>
    </cfRule>
  </conditionalFormatting>
  <conditionalFormatting sqref="E22:T23 E25:T26 E33:T33 E35:T35 E39:T40">
    <cfRule type="containsBlanks" dxfId="305" priority="3">
      <formula>LEN(TRIM(E22))=0</formula>
    </cfRule>
  </conditionalFormatting>
  <conditionalFormatting sqref="E30:T30">
    <cfRule type="expression" dxfId="304" priority="4">
      <formula>E30&lt;&gt;E47</formula>
    </cfRule>
    <cfRule type="expression" dxfId="303" priority="5">
      <formula>E30&lt;&gt;E34</formula>
    </cfRule>
  </conditionalFormatting>
  <conditionalFormatting sqref="E34:T34">
    <cfRule type="expression" dxfId="302" priority="6">
      <formula>E30&lt;&gt;E34</formula>
    </cfRule>
    <cfRule type="expression" dxfId="301" priority="7">
      <formula>E30=E34</formula>
    </cfRule>
    <cfRule type="expression" dxfId="300" priority="8">
      <formula>E34&lt;&gt;E30</formula>
    </cfRule>
    <cfRule type="expression" dxfId="299" priority="9">
      <formula>E34&lt;&gt;E64</formula>
    </cfRule>
  </conditionalFormatting>
  <conditionalFormatting sqref="E45:T52 E54:T61">
    <cfRule type="containsBlanks" dxfId="298" priority="10">
      <formula>LEN(TRIM(E45))=0</formula>
    </cfRule>
  </conditionalFormatting>
  <conditionalFormatting sqref="E63:T70">
    <cfRule type="containsBlanks" dxfId="297" priority="11">
      <formula>LEN(TRIM(E63))=0</formula>
    </cfRule>
  </conditionalFormatting>
  <conditionalFormatting sqref="E72:T79">
    <cfRule type="containsBlanks" dxfId="296" priority="12">
      <formula>LEN(TRIM(E72))=0</formula>
    </cfRule>
  </conditionalFormatting>
  <conditionalFormatting sqref="E81:T88">
    <cfRule type="containsBlanks" dxfId="295" priority="13">
      <formula>LEN(TRIM(E81))=0</formula>
    </cfRule>
  </conditionalFormatting>
  <conditionalFormatting sqref="E91:T91">
    <cfRule type="containsBlanks" dxfId="294" priority="14">
      <formula>LEN(TRIM(E91))=0</formula>
    </cfRule>
  </conditionalFormatting>
  <conditionalFormatting sqref="E94:T101">
    <cfRule type="containsBlanks" dxfId="293" priority="15">
      <formula>LEN(TRIM(E94))=0</formula>
    </cfRule>
  </conditionalFormatting>
  <conditionalFormatting sqref="E103:T110">
    <cfRule type="containsBlanks" dxfId="292" priority="16">
      <formula>LEN(TRIM(E103))=0</formula>
    </cfRule>
  </conditionalFormatting>
  <conditionalFormatting sqref="E112:T119">
    <cfRule type="containsBlanks" dxfId="291" priority="17">
      <formula>LEN(TRIM(E112))=0</formula>
    </cfRule>
  </conditionalFormatting>
  <conditionalFormatting sqref="E121:T128">
    <cfRule type="containsBlanks" dxfId="290" priority="18">
      <formula>LEN(TRIM(E121))=0</formula>
    </cfRule>
  </conditionalFormatting>
  <conditionalFormatting sqref="E130:T132">
    <cfRule type="containsBlanks" dxfId="289" priority="19">
      <formula>LEN(TRIM(E130))=0</formula>
    </cfRule>
  </conditionalFormatting>
  <conditionalFormatting sqref="E134:T141">
    <cfRule type="containsBlanks" dxfId="288" priority="20">
      <formula>LEN(TRIM(E134))=0</formula>
    </cfRule>
  </conditionalFormatting>
  <conditionalFormatting sqref="E143:T150">
    <cfRule type="containsBlanks" dxfId="287" priority="21">
      <formula>LEN(TRIM(E143))=0</formula>
    </cfRule>
  </conditionalFormatting>
  <conditionalFormatting sqref="E152:T159">
    <cfRule type="containsBlanks" dxfId="286" priority="22">
      <formula>LEN(TRIM(E152))=0</formula>
    </cfRule>
  </conditionalFormatting>
  <conditionalFormatting sqref="E161:T163">
    <cfRule type="containsBlanks" dxfId="285" priority="23">
      <formula>LEN(TRIM(E161))=0</formula>
    </cfRule>
  </conditionalFormatting>
  <conditionalFormatting sqref="E166:T173">
    <cfRule type="containsBlanks" dxfId="284" priority="24">
      <formula>LEN(TRIM(E166))=0</formula>
    </cfRule>
  </conditionalFormatting>
  <conditionalFormatting sqref="E175:T182">
    <cfRule type="containsBlanks" dxfId="283" priority="25">
      <formula>LEN(TRIM(E175))=0</formula>
    </cfRule>
  </conditionalFormatting>
  <conditionalFormatting sqref="E184:T186">
    <cfRule type="containsBlanks" dxfId="282" priority="26">
      <formula>LEN(TRIM(E184))=0</formula>
    </cfRule>
  </conditionalFormatting>
  <conditionalFormatting sqref="E190:T192">
    <cfRule type="containsBlanks" dxfId="281" priority="27">
      <formula>LEN(TRIM(E190))=0</formula>
    </cfRule>
  </conditionalFormatting>
  <conditionalFormatting sqref="T90 E90:S91">
    <cfRule type="containsBlanks" dxfId="280" priority="28">
      <formula>LEN(TRIM(E90))=0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AA1" workbookViewId="0">
      <pane ySplit="13" topLeftCell="A165" activePane="bottomLeft" state="frozen"/>
      <selection pane="bottomLeft" activeCell="M169" sqref="M169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22" width="8.7109375" customWidth="1"/>
    <col min="23" max="23" width="13.28515625" customWidth="1"/>
    <col min="24" max="26" width="8.7109375" customWidth="1"/>
  </cols>
  <sheetData>
    <row r="1" spans="1:23" ht="12.75" customHeight="1" x14ac:dyDescent="0.4"/>
    <row r="2" spans="1:23" ht="12.75" customHeight="1" x14ac:dyDescent="0.4">
      <c r="C2" s="8" t="s">
        <v>0</v>
      </c>
      <c r="D2" s="8" t="s">
        <v>1</v>
      </c>
    </row>
    <row r="3" spans="1:23" ht="12.75" customHeight="1" x14ac:dyDescent="0.4">
      <c r="C3" s="8" t="s">
        <v>2</v>
      </c>
      <c r="D3" s="8" t="s">
        <v>3</v>
      </c>
    </row>
    <row r="4" spans="1:23" ht="12.75" customHeight="1" x14ac:dyDescent="0.4">
      <c r="C4" s="8" t="s">
        <v>4</v>
      </c>
      <c r="D4" s="8" t="s">
        <v>5</v>
      </c>
    </row>
    <row r="5" spans="1:23" ht="12.75" customHeight="1" x14ac:dyDescent="0.4">
      <c r="C5" s="8"/>
      <c r="D5" s="8"/>
    </row>
    <row r="6" spans="1:23" ht="12.75" customHeight="1" x14ac:dyDescent="0.4">
      <c r="C6" s="8"/>
      <c r="D6" s="8"/>
    </row>
    <row r="7" spans="1:23" ht="12.75" customHeight="1" x14ac:dyDescent="0.4">
      <c r="C7" s="8"/>
      <c r="D7" s="8"/>
    </row>
    <row r="8" spans="1:23" ht="12.75" customHeight="1" x14ac:dyDescent="0.4">
      <c r="C8" s="8"/>
      <c r="D8" s="8"/>
    </row>
    <row r="9" spans="1:23" ht="12.75" customHeight="1" x14ac:dyDescent="0.4">
      <c r="C9" s="8" t="s">
        <v>169</v>
      </c>
      <c r="D9" s="8" t="s">
        <v>194</v>
      </c>
    </row>
    <row r="10" spans="1:23" ht="12.75" customHeight="1" x14ac:dyDescent="0.4"/>
    <row r="11" spans="1:23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3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81" t="s">
        <v>8</v>
      </c>
    </row>
    <row r="13" spans="1:23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69"/>
    </row>
    <row r="14" spans="1:23" ht="12.75" customHeight="1" x14ac:dyDescent="0.4">
      <c r="A14" s="14"/>
      <c r="B14" s="61" t="s">
        <v>11</v>
      </c>
      <c r="C14" s="62"/>
      <c r="D14" s="15" t="s">
        <v>12</v>
      </c>
      <c r="E14" s="15">
        <v>142</v>
      </c>
      <c r="F14" s="15">
        <v>123</v>
      </c>
      <c r="G14" s="15">
        <v>144</v>
      </c>
      <c r="H14" s="15">
        <v>139</v>
      </c>
      <c r="I14" s="15">
        <v>133</v>
      </c>
      <c r="J14" s="15">
        <v>151</v>
      </c>
      <c r="K14" s="15">
        <v>136</v>
      </c>
      <c r="L14" s="15">
        <v>141</v>
      </c>
      <c r="M14" s="15">
        <v>150</v>
      </c>
      <c r="N14" s="15">
        <v>113</v>
      </c>
      <c r="O14" s="15">
        <v>133</v>
      </c>
      <c r="P14" s="15">
        <v>121</v>
      </c>
      <c r="Q14" s="15">
        <v>121</v>
      </c>
      <c r="R14" s="15">
        <v>133</v>
      </c>
      <c r="S14" s="15">
        <v>130</v>
      </c>
      <c r="T14" s="15">
        <v>121</v>
      </c>
      <c r="U14" s="15">
        <v>127</v>
      </c>
      <c r="V14" s="15">
        <v>123</v>
      </c>
      <c r="W14" s="13">
        <f t="shared" ref="W14:W16" si="0">SUM(E14:V14)</f>
        <v>2381</v>
      </c>
    </row>
    <row r="15" spans="1:23" ht="12.75" customHeight="1" x14ac:dyDescent="0.4">
      <c r="A15" s="14"/>
      <c r="B15" s="63"/>
      <c r="C15" s="64"/>
      <c r="D15" s="15" t="s">
        <v>13</v>
      </c>
      <c r="E15" s="15">
        <v>143</v>
      </c>
      <c r="F15" s="15">
        <v>143</v>
      </c>
      <c r="G15" s="15">
        <v>150</v>
      </c>
      <c r="H15" s="15">
        <v>146</v>
      </c>
      <c r="I15" s="15">
        <v>133</v>
      </c>
      <c r="J15" s="15">
        <v>145</v>
      </c>
      <c r="K15" s="15">
        <v>138</v>
      </c>
      <c r="L15" s="15">
        <v>156</v>
      </c>
      <c r="M15" s="15">
        <v>141</v>
      </c>
      <c r="N15" s="15">
        <v>121</v>
      </c>
      <c r="O15" s="15">
        <v>140</v>
      </c>
      <c r="P15" s="15">
        <v>132</v>
      </c>
      <c r="Q15" s="15">
        <v>131</v>
      </c>
      <c r="R15" s="15">
        <v>129</v>
      </c>
      <c r="S15" s="15">
        <v>136</v>
      </c>
      <c r="T15" s="15">
        <v>122</v>
      </c>
      <c r="U15" s="15">
        <v>128</v>
      </c>
      <c r="V15" s="15">
        <v>119</v>
      </c>
      <c r="W15" s="13">
        <f t="shared" si="0"/>
        <v>2453</v>
      </c>
    </row>
    <row r="16" spans="1:23" ht="12.75" customHeight="1" x14ac:dyDescent="0.4">
      <c r="A16" s="17"/>
      <c r="B16" s="59"/>
      <c r="C16" s="65"/>
      <c r="D16" s="13" t="s">
        <v>14</v>
      </c>
      <c r="E16" s="13">
        <f t="shared" ref="E16:V16" si="1">SUM(E14:E15)</f>
        <v>285</v>
      </c>
      <c r="F16" s="13">
        <f t="shared" si="1"/>
        <v>266</v>
      </c>
      <c r="G16" s="13">
        <f t="shared" si="1"/>
        <v>294</v>
      </c>
      <c r="H16" s="13">
        <f t="shared" si="1"/>
        <v>285</v>
      </c>
      <c r="I16" s="13">
        <f t="shared" si="1"/>
        <v>266</v>
      </c>
      <c r="J16" s="13">
        <f t="shared" si="1"/>
        <v>296</v>
      </c>
      <c r="K16" s="13">
        <f t="shared" si="1"/>
        <v>274</v>
      </c>
      <c r="L16" s="13">
        <f t="shared" si="1"/>
        <v>297</v>
      </c>
      <c r="M16" s="13">
        <f t="shared" si="1"/>
        <v>291</v>
      </c>
      <c r="N16" s="13">
        <f t="shared" si="1"/>
        <v>234</v>
      </c>
      <c r="O16" s="13">
        <f t="shared" si="1"/>
        <v>273</v>
      </c>
      <c r="P16" s="13">
        <f t="shared" si="1"/>
        <v>253</v>
      </c>
      <c r="Q16" s="13">
        <f t="shared" si="1"/>
        <v>252</v>
      </c>
      <c r="R16" s="13">
        <f t="shared" si="1"/>
        <v>262</v>
      </c>
      <c r="S16" s="13">
        <f t="shared" si="1"/>
        <v>266</v>
      </c>
      <c r="T16" s="13">
        <f t="shared" si="1"/>
        <v>243</v>
      </c>
      <c r="U16" s="13">
        <f t="shared" si="1"/>
        <v>255</v>
      </c>
      <c r="V16" s="13">
        <f t="shared" si="1"/>
        <v>242</v>
      </c>
      <c r="W16" s="13">
        <f t="shared" si="0"/>
        <v>4834</v>
      </c>
    </row>
    <row r="17" spans="1:23" ht="12.75" customHeight="1" x14ac:dyDescent="0.4">
      <c r="A17" s="66"/>
      <c r="B17" s="54"/>
      <c r="C17" s="54"/>
      <c r="D17" s="55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3"/>
    </row>
    <row r="18" spans="1:23" ht="12.75" customHeight="1" x14ac:dyDescent="0.4">
      <c r="A18" s="19" t="s">
        <v>15</v>
      </c>
      <c r="B18" s="60" t="s">
        <v>16</v>
      </c>
      <c r="C18" s="54"/>
      <c r="D18" s="55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3"/>
    </row>
    <row r="19" spans="1:23" ht="12.75" customHeight="1" x14ac:dyDescent="0.4">
      <c r="A19" s="19"/>
      <c r="B19" s="70" t="s">
        <v>17</v>
      </c>
      <c r="C19" s="67" t="s">
        <v>18</v>
      </c>
      <c r="D19" s="15" t="s">
        <v>12</v>
      </c>
      <c r="E19" s="15">
        <v>117</v>
      </c>
      <c r="F19" s="15">
        <v>88</v>
      </c>
      <c r="G19" s="15">
        <v>96</v>
      </c>
      <c r="H19" s="15">
        <v>104</v>
      </c>
      <c r="I19" s="15">
        <v>96</v>
      </c>
      <c r="J19" s="15">
        <v>109</v>
      </c>
      <c r="K19" s="15">
        <v>105</v>
      </c>
      <c r="L19" s="15">
        <v>105</v>
      </c>
      <c r="M19" s="15">
        <v>113</v>
      </c>
      <c r="N19" s="15">
        <v>96</v>
      </c>
      <c r="O19" s="15">
        <v>102</v>
      </c>
      <c r="P19" s="15">
        <v>96</v>
      </c>
      <c r="Q19" s="15">
        <v>67</v>
      </c>
      <c r="R19" s="15">
        <v>89</v>
      </c>
      <c r="S19" s="15">
        <v>95</v>
      </c>
      <c r="T19" s="15">
        <v>99</v>
      </c>
      <c r="U19" s="15">
        <v>93</v>
      </c>
      <c r="V19" s="15">
        <v>83</v>
      </c>
      <c r="W19" s="13">
        <f t="shared" ref="W19:W30" si="2">SUM(E19:V19)</f>
        <v>1753</v>
      </c>
    </row>
    <row r="20" spans="1:23" ht="12.75" customHeight="1" x14ac:dyDescent="0.4">
      <c r="A20" s="20"/>
      <c r="B20" s="64"/>
      <c r="C20" s="68"/>
      <c r="D20" s="15" t="s">
        <v>13</v>
      </c>
      <c r="E20" s="15">
        <v>122</v>
      </c>
      <c r="F20" s="15">
        <v>111</v>
      </c>
      <c r="G20" s="15">
        <v>116</v>
      </c>
      <c r="H20" s="15">
        <v>118</v>
      </c>
      <c r="I20" s="15">
        <v>100</v>
      </c>
      <c r="J20" s="15">
        <v>109</v>
      </c>
      <c r="K20" s="15">
        <v>112</v>
      </c>
      <c r="L20" s="15">
        <v>127</v>
      </c>
      <c r="M20" s="15">
        <v>117</v>
      </c>
      <c r="N20" s="15">
        <v>99</v>
      </c>
      <c r="O20" s="15">
        <v>122</v>
      </c>
      <c r="P20" s="15">
        <v>102</v>
      </c>
      <c r="Q20" s="15">
        <v>87</v>
      </c>
      <c r="R20" s="15">
        <v>92</v>
      </c>
      <c r="S20" s="15">
        <v>106</v>
      </c>
      <c r="T20" s="15">
        <v>99</v>
      </c>
      <c r="U20" s="15">
        <v>109</v>
      </c>
      <c r="V20" s="15">
        <v>88</v>
      </c>
      <c r="W20" s="13">
        <f t="shared" si="2"/>
        <v>1936</v>
      </c>
    </row>
    <row r="21" spans="1:23" ht="12.75" customHeight="1" x14ac:dyDescent="0.4">
      <c r="A21" s="21"/>
      <c r="B21" s="65"/>
      <c r="C21" s="69"/>
      <c r="D21" s="13" t="s">
        <v>14</v>
      </c>
      <c r="E21" s="13">
        <v>239</v>
      </c>
      <c r="F21" s="13">
        <v>199</v>
      </c>
      <c r="G21" s="13">
        <v>212</v>
      </c>
      <c r="H21" s="13">
        <v>222</v>
      </c>
      <c r="I21" s="13">
        <v>196</v>
      </c>
      <c r="J21" s="13">
        <v>218</v>
      </c>
      <c r="K21" s="13">
        <v>217</v>
      </c>
      <c r="L21" s="13">
        <v>232</v>
      </c>
      <c r="M21" s="13">
        <v>230</v>
      </c>
      <c r="N21" s="13">
        <v>195</v>
      </c>
      <c r="O21" s="13">
        <v>224</v>
      </c>
      <c r="P21" s="13">
        <v>198</v>
      </c>
      <c r="Q21" s="13">
        <v>154</v>
      </c>
      <c r="R21" s="13">
        <v>181</v>
      </c>
      <c r="S21" s="13">
        <v>201</v>
      </c>
      <c r="T21" s="13">
        <f t="shared" ref="T21:V21" si="3">SUM(T19:T20)</f>
        <v>198</v>
      </c>
      <c r="U21" s="13">
        <f t="shared" si="3"/>
        <v>202</v>
      </c>
      <c r="V21" s="13">
        <f t="shared" si="3"/>
        <v>171</v>
      </c>
      <c r="W21" s="13">
        <f t="shared" si="2"/>
        <v>3689</v>
      </c>
    </row>
    <row r="22" spans="1:23" ht="12.75" customHeight="1" x14ac:dyDescent="0.4">
      <c r="A22" s="20"/>
      <c r="B22" s="70" t="s">
        <v>19</v>
      </c>
      <c r="C22" s="67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2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3">
        <f t="shared" si="2"/>
        <v>2</v>
      </c>
    </row>
    <row r="23" spans="1:23" ht="12.75" customHeight="1" x14ac:dyDescent="0.4">
      <c r="A23" s="20"/>
      <c r="B23" s="64"/>
      <c r="C23" s="68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3">
        <f t="shared" si="2"/>
        <v>1</v>
      </c>
    </row>
    <row r="24" spans="1:23" ht="12.75" customHeight="1" x14ac:dyDescent="0.4">
      <c r="A24" s="21"/>
      <c r="B24" s="65"/>
      <c r="C24" s="69"/>
      <c r="D24" s="13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2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f t="shared" ref="T24:V24" si="4">SUM(T22:T23)</f>
        <v>0</v>
      </c>
      <c r="U24" s="13">
        <f t="shared" si="4"/>
        <v>1</v>
      </c>
      <c r="V24" s="13">
        <f t="shared" si="4"/>
        <v>0</v>
      </c>
      <c r="W24" s="13">
        <f t="shared" si="2"/>
        <v>3</v>
      </c>
    </row>
    <row r="25" spans="1:23" ht="12.75" customHeight="1" x14ac:dyDescent="0.4">
      <c r="A25" s="20"/>
      <c r="B25" s="70" t="s">
        <v>21</v>
      </c>
      <c r="C25" s="67" t="s">
        <v>22</v>
      </c>
      <c r="D25" s="15" t="s">
        <v>12</v>
      </c>
      <c r="E25" s="15">
        <v>1</v>
      </c>
      <c r="F25" s="15">
        <v>0</v>
      </c>
      <c r="G25" s="15">
        <v>2</v>
      </c>
      <c r="H25" s="15">
        <v>0</v>
      </c>
      <c r="I25" s="15">
        <v>0</v>
      </c>
      <c r="J25" s="15">
        <v>0</v>
      </c>
      <c r="K25" s="15">
        <v>0</v>
      </c>
      <c r="L25" s="15">
        <v>1</v>
      </c>
      <c r="M25" s="15">
        <v>1</v>
      </c>
      <c r="N25" s="15">
        <v>0</v>
      </c>
      <c r="O25" s="15">
        <v>0</v>
      </c>
      <c r="P25" s="15">
        <v>1</v>
      </c>
      <c r="Q25" s="15">
        <v>1</v>
      </c>
      <c r="R25" s="15">
        <v>0</v>
      </c>
      <c r="S25" s="15">
        <v>0</v>
      </c>
      <c r="T25" s="15">
        <v>0</v>
      </c>
      <c r="U25" s="15">
        <v>1</v>
      </c>
      <c r="V25" s="15">
        <v>1</v>
      </c>
      <c r="W25" s="13">
        <f t="shared" si="2"/>
        <v>9</v>
      </c>
    </row>
    <row r="26" spans="1:23" ht="12.75" customHeight="1" x14ac:dyDescent="0.4">
      <c r="A26" s="20"/>
      <c r="B26" s="64"/>
      <c r="C26" s="68"/>
      <c r="D26" s="15" t="s">
        <v>13</v>
      </c>
      <c r="E26" s="15">
        <v>2</v>
      </c>
      <c r="F26" s="15">
        <v>0</v>
      </c>
      <c r="G26" s="15">
        <v>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3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1</v>
      </c>
      <c r="T26" s="15">
        <v>0</v>
      </c>
      <c r="U26" s="15">
        <v>0</v>
      </c>
      <c r="V26" s="15">
        <v>1</v>
      </c>
      <c r="W26" s="13">
        <f t="shared" si="2"/>
        <v>9</v>
      </c>
    </row>
    <row r="27" spans="1:23" ht="12.75" customHeight="1" x14ac:dyDescent="0.4">
      <c r="A27" s="21"/>
      <c r="B27" s="65"/>
      <c r="C27" s="69"/>
      <c r="D27" s="13" t="s">
        <v>14</v>
      </c>
      <c r="E27" s="13">
        <v>3</v>
      </c>
      <c r="F27" s="13">
        <v>0</v>
      </c>
      <c r="G27" s="13">
        <v>3</v>
      </c>
      <c r="H27" s="13">
        <v>0</v>
      </c>
      <c r="I27" s="13">
        <v>0</v>
      </c>
      <c r="J27" s="13">
        <v>0</v>
      </c>
      <c r="K27" s="13">
        <v>0</v>
      </c>
      <c r="L27" s="13">
        <v>1</v>
      </c>
      <c r="M27" s="13">
        <v>4</v>
      </c>
      <c r="N27" s="13">
        <v>0</v>
      </c>
      <c r="O27" s="13">
        <v>0</v>
      </c>
      <c r="P27" s="13">
        <v>2</v>
      </c>
      <c r="Q27" s="13">
        <v>1</v>
      </c>
      <c r="R27" s="13">
        <v>0</v>
      </c>
      <c r="S27" s="13">
        <v>1</v>
      </c>
      <c r="T27" s="13">
        <f t="shared" ref="T27:V27" si="5">SUM(T25:T26)</f>
        <v>0</v>
      </c>
      <c r="U27" s="13">
        <f t="shared" si="5"/>
        <v>1</v>
      </c>
      <c r="V27" s="13">
        <f t="shared" si="5"/>
        <v>2</v>
      </c>
      <c r="W27" s="13">
        <f t="shared" si="2"/>
        <v>18</v>
      </c>
    </row>
    <row r="28" spans="1:23" ht="12.75" customHeight="1" x14ac:dyDescent="0.4">
      <c r="A28" s="21"/>
      <c r="B28" s="71" t="s">
        <v>23</v>
      </c>
      <c r="C28" s="72" t="s">
        <v>24</v>
      </c>
      <c r="D28" s="13" t="s">
        <v>12</v>
      </c>
      <c r="E28" s="13">
        <v>118</v>
      </c>
      <c r="F28" s="13">
        <v>88</v>
      </c>
      <c r="G28" s="13">
        <v>98</v>
      </c>
      <c r="H28" s="13">
        <v>104</v>
      </c>
      <c r="I28" s="13">
        <v>96</v>
      </c>
      <c r="J28" s="13">
        <v>111</v>
      </c>
      <c r="K28" s="13">
        <v>105</v>
      </c>
      <c r="L28" s="13">
        <v>106</v>
      </c>
      <c r="M28" s="13">
        <v>114</v>
      </c>
      <c r="N28" s="13">
        <v>96</v>
      </c>
      <c r="O28" s="13">
        <v>102</v>
      </c>
      <c r="P28" s="13">
        <v>97</v>
      </c>
      <c r="Q28" s="13">
        <v>68</v>
      </c>
      <c r="R28" s="13">
        <v>89</v>
      </c>
      <c r="S28" s="13">
        <v>95</v>
      </c>
      <c r="T28" s="13">
        <f t="shared" ref="T28:V28" si="6">SUM(T19,T22,T25)</f>
        <v>99</v>
      </c>
      <c r="U28" s="13">
        <f t="shared" si="6"/>
        <v>94</v>
      </c>
      <c r="V28" s="13">
        <f t="shared" si="6"/>
        <v>84</v>
      </c>
      <c r="W28" s="13">
        <f t="shared" si="2"/>
        <v>1764</v>
      </c>
    </row>
    <row r="29" spans="1:23" ht="12.75" customHeight="1" x14ac:dyDescent="0.4">
      <c r="A29" s="21"/>
      <c r="B29" s="64"/>
      <c r="C29" s="68"/>
      <c r="D29" s="13" t="s">
        <v>13</v>
      </c>
      <c r="E29" s="13">
        <v>124</v>
      </c>
      <c r="F29" s="13">
        <v>111</v>
      </c>
      <c r="G29" s="13">
        <v>117</v>
      </c>
      <c r="H29" s="13">
        <v>118</v>
      </c>
      <c r="I29" s="13">
        <v>100</v>
      </c>
      <c r="J29" s="13">
        <v>109</v>
      </c>
      <c r="K29" s="13">
        <v>112</v>
      </c>
      <c r="L29" s="13">
        <v>127</v>
      </c>
      <c r="M29" s="13">
        <v>120</v>
      </c>
      <c r="N29" s="13">
        <v>99</v>
      </c>
      <c r="O29" s="13">
        <v>122</v>
      </c>
      <c r="P29" s="13">
        <v>103</v>
      </c>
      <c r="Q29" s="13">
        <v>87</v>
      </c>
      <c r="R29" s="13">
        <v>92</v>
      </c>
      <c r="S29" s="13">
        <v>107</v>
      </c>
      <c r="T29" s="13">
        <f t="shared" ref="T29:V29" si="7">SUM(T20,T23,T26)</f>
        <v>99</v>
      </c>
      <c r="U29" s="13">
        <f t="shared" si="7"/>
        <v>110</v>
      </c>
      <c r="V29" s="13">
        <f t="shared" si="7"/>
        <v>89</v>
      </c>
      <c r="W29" s="13">
        <f t="shared" si="2"/>
        <v>1946</v>
      </c>
    </row>
    <row r="30" spans="1:23" ht="12.75" customHeight="1" x14ac:dyDescent="0.4">
      <c r="A30" s="21"/>
      <c r="B30" s="65"/>
      <c r="C30" s="69"/>
      <c r="D30" s="13" t="s">
        <v>14</v>
      </c>
      <c r="E30" s="13">
        <f t="shared" ref="E30:V30" si="8">SUM(E28:E29)</f>
        <v>242</v>
      </c>
      <c r="F30" s="13">
        <f t="shared" si="8"/>
        <v>199</v>
      </c>
      <c r="G30" s="13">
        <f t="shared" si="8"/>
        <v>215</v>
      </c>
      <c r="H30" s="13">
        <f t="shared" si="8"/>
        <v>222</v>
      </c>
      <c r="I30" s="13">
        <f t="shared" si="8"/>
        <v>196</v>
      </c>
      <c r="J30" s="13">
        <f t="shared" si="8"/>
        <v>220</v>
      </c>
      <c r="K30" s="13">
        <f t="shared" si="8"/>
        <v>217</v>
      </c>
      <c r="L30" s="13">
        <f t="shared" si="8"/>
        <v>233</v>
      </c>
      <c r="M30" s="13">
        <f t="shared" si="8"/>
        <v>234</v>
      </c>
      <c r="N30" s="13">
        <f t="shared" si="8"/>
        <v>195</v>
      </c>
      <c r="O30" s="13">
        <f t="shared" si="8"/>
        <v>224</v>
      </c>
      <c r="P30" s="13">
        <f t="shared" si="8"/>
        <v>200</v>
      </c>
      <c r="Q30" s="13">
        <f t="shared" si="8"/>
        <v>155</v>
      </c>
      <c r="R30" s="13">
        <f t="shared" si="8"/>
        <v>181</v>
      </c>
      <c r="S30" s="13">
        <f t="shared" si="8"/>
        <v>202</v>
      </c>
      <c r="T30" s="13">
        <f t="shared" si="8"/>
        <v>198</v>
      </c>
      <c r="U30" s="13">
        <f t="shared" si="8"/>
        <v>204</v>
      </c>
      <c r="V30" s="13">
        <f t="shared" si="8"/>
        <v>173</v>
      </c>
      <c r="W30" s="13">
        <f t="shared" si="2"/>
        <v>3710</v>
      </c>
    </row>
    <row r="31" spans="1:23" ht="12.75" customHeight="1" x14ac:dyDescent="0.4">
      <c r="A31" s="66"/>
      <c r="B31" s="54"/>
      <c r="C31" s="54"/>
      <c r="D31" s="55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3"/>
    </row>
    <row r="32" spans="1:23" ht="12.75" customHeight="1" x14ac:dyDescent="0.4">
      <c r="A32" s="24" t="s">
        <v>25</v>
      </c>
      <c r="B32" s="57" t="s">
        <v>26</v>
      </c>
      <c r="C32" s="54"/>
      <c r="D32" s="55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3"/>
    </row>
    <row r="33" spans="1:23" ht="12.75" customHeight="1" x14ac:dyDescent="0.4">
      <c r="A33" s="15">
        <v>1</v>
      </c>
      <c r="B33" s="60" t="s">
        <v>27</v>
      </c>
      <c r="C33" s="54"/>
      <c r="D33" s="55"/>
      <c r="E33" s="15">
        <v>291</v>
      </c>
      <c r="F33" s="15">
        <v>282</v>
      </c>
      <c r="G33" s="15">
        <v>300</v>
      </c>
      <c r="H33" s="15">
        <v>291</v>
      </c>
      <c r="I33" s="15">
        <v>272</v>
      </c>
      <c r="J33" s="15">
        <v>302</v>
      </c>
      <c r="K33" s="15">
        <v>280</v>
      </c>
      <c r="L33" s="15">
        <v>303</v>
      </c>
      <c r="M33" s="15">
        <v>297</v>
      </c>
      <c r="N33" s="15">
        <v>239</v>
      </c>
      <c r="O33" s="15">
        <v>279</v>
      </c>
      <c r="P33" s="15">
        <v>259</v>
      </c>
      <c r="Q33" s="15">
        <v>258</v>
      </c>
      <c r="R33" s="15">
        <v>268</v>
      </c>
      <c r="S33" s="15">
        <v>272</v>
      </c>
      <c r="T33" s="15">
        <v>248</v>
      </c>
      <c r="U33" s="15">
        <v>261</v>
      </c>
      <c r="V33" s="15">
        <v>247</v>
      </c>
      <c r="W33" s="13">
        <f t="shared" ref="W33:W36" si="9">SUM(E33:V33)</f>
        <v>4949</v>
      </c>
    </row>
    <row r="34" spans="1:23" ht="12.75" customHeight="1" x14ac:dyDescent="0.4">
      <c r="A34" s="15">
        <v>2</v>
      </c>
      <c r="B34" s="60" t="s">
        <v>28</v>
      </c>
      <c r="C34" s="54"/>
      <c r="D34" s="55"/>
      <c r="E34" s="13">
        <v>242</v>
      </c>
      <c r="F34" s="13">
        <v>199</v>
      </c>
      <c r="G34" s="13">
        <v>215</v>
      </c>
      <c r="H34" s="13">
        <v>222</v>
      </c>
      <c r="I34" s="13">
        <v>196</v>
      </c>
      <c r="J34" s="13">
        <v>220</v>
      </c>
      <c r="K34" s="13">
        <v>217</v>
      </c>
      <c r="L34" s="13">
        <v>233</v>
      </c>
      <c r="M34" s="13">
        <v>234</v>
      </c>
      <c r="N34" s="13">
        <v>195</v>
      </c>
      <c r="O34" s="13">
        <v>224</v>
      </c>
      <c r="P34" s="13">
        <v>200</v>
      </c>
      <c r="Q34" s="13">
        <v>155</v>
      </c>
      <c r="R34" s="13">
        <v>181</v>
      </c>
      <c r="S34" s="13">
        <v>202</v>
      </c>
      <c r="T34" s="13">
        <v>198</v>
      </c>
      <c r="U34" s="13">
        <v>204</v>
      </c>
      <c r="V34" s="13">
        <v>173</v>
      </c>
      <c r="W34" s="13">
        <f t="shared" si="9"/>
        <v>3710</v>
      </c>
    </row>
    <row r="35" spans="1:23" ht="12.75" customHeight="1" x14ac:dyDescent="0.4">
      <c r="A35" s="15">
        <v>3</v>
      </c>
      <c r="B35" s="60" t="s">
        <v>29</v>
      </c>
      <c r="C35" s="54"/>
      <c r="D35" s="55"/>
      <c r="E35" s="15">
        <v>0</v>
      </c>
      <c r="F35" s="15">
        <v>0</v>
      </c>
      <c r="G35" s="15">
        <v>0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2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5</v>
      </c>
      <c r="V35" s="15">
        <v>1</v>
      </c>
      <c r="W35" s="13">
        <f t="shared" si="9"/>
        <v>10</v>
      </c>
    </row>
    <row r="36" spans="1:23" ht="12.75" customHeight="1" x14ac:dyDescent="0.4">
      <c r="A36" s="15">
        <v>4</v>
      </c>
      <c r="B36" s="60" t="s">
        <v>30</v>
      </c>
      <c r="C36" s="54"/>
      <c r="D36" s="55"/>
      <c r="E36" s="13">
        <v>49</v>
      </c>
      <c r="F36" s="13">
        <v>83</v>
      </c>
      <c r="G36" s="13">
        <v>85</v>
      </c>
      <c r="H36" s="13">
        <v>68</v>
      </c>
      <c r="I36" s="13">
        <v>75</v>
      </c>
      <c r="J36" s="13">
        <v>82</v>
      </c>
      <c r="K36" s="13">
        <v>63</v>
      </c>
      <c r="L36" s="13">
        <v>70</v>
      </c>
      <c r="M36" s="13">
        <v>63</v>
      </c>
      <c r="N36" s="13">
        <v>44</v>
      </c>
      <c r="O36" s="13">
        <v>53</v>
      </c>
      <c r="P36" s="13">
        <v>59</v>
      </c>
      <c r="Q36" s="13">
        <v>103</v>
      </c>
      <c r="R36" s="13">
        <v>87</v>
      </c>
      <c r="S36" s="13">
        <v>70</v>
      </c>
      <c r="T36" s="13">
        <f t="shared" ref="T36:V36" si="10">T33-(T34+T35)</f>
        <v>50</v>
      </c>
      <c r="U36" s="13">
        <f t="shared" si="10"/>
        <v>52</v>
      </c>
      <c r="V36" s="13">
        <f t="shared" si="10"/>
        <v>73</v>
      </c>
      <c r="W36" s="13">
        <f t="shared" si="9"/>
        <v>1229</v>
      </c>
    </row>
    <row r="37" spans="1:23" ht="12.75" customHeight="1" x14ac:dyDescent="0.4">
      <c r="A37" s="66"/>
      <c r="B37" s="54"/>
      <c r="C37" s="54"/>
      <c r="D37" s="54"/>
      <c r="E37" s="66"/>
      <c r="F37" s="54"/>
      <c r="G37" s="54"/>
      <c r="H37" s="54"/>
      <c r="I37" s="55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3"/>
    </row>
    <row r="38" spans="1:23" ht="12.75" customHeight="1" x14ac:dyDescent="0.4">
      <c r="A38" s="25" t="s">
        <v>31</v>
      </c>
      <c r="B38" s="57" t="s">
        <v>32</v>
      </c>
      <c r="C38" s="54"/>
      <c r="D38" s="55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3"/>
    </row>
    <row r="39" spans="1:23" ht="12.75" customHeight="1" x14ac:dyDescent="0.4">
      <c r="A39" s="19"/>
      <c r="B39" s="73" t="s">
        <v>33</v>
      </c>
      <c r="C39" s="62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</v>
      </c>
      <c r="P39" s="15">
        <v>1</v>
      </c>
      <c r="Q39" s="15">
        <v>0</v>
      </c>
      <c r="R39" s="15">
        <v>0</v>
      </c>
      <c r="S39" s="15">
        <v>0</v>
      </c>
      <c r="T39" s="15">
        <v>1</v>
      </c>
      <c r="U39" s="15">
        <v>0</v>
      </c>
      <c r="V39" s="15">
        <v>1</v>
      </c>
      <c r="W39" s="13">
        <f t="shared" ref="W39:W41" si="11">SUM(E39:V39)</f>
        <v>4</v>
      </c>
    </row>
    <row r="40" spans="1:23" ht="12.75" customHeight="1" x14ac:dyDescent="0.4">
      <c r="A40" s="20"/>
      <c r="B40" s="74"/>
      <c r="C40" s="64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3">
        <f t="shared" si="11"/>
        <v>0</v>
      </c>
    </row>
    <row r="41" spans="1:23" ht="12.75" customHeight="1" x14ac:dyDescent="0.4">
      <c r="A41" s="24"/>
      <c r="B41" s="75"/>
      <c r="C41" s="65"/>
      <c r="D41" s="13" t="s">
        <v>14</v>
      </c>
      <c r="E41" s="13">
        <f t="shared" ref="E41:V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1</v>
      </c>
      <c r="P41" s="13">
        <f t="shared" si="12"/>
        <v>1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1</v>
      </c>
      <c r="U41" s="13">
        <f t="shared" si="12"/>
        <v>0</v>
      </c>
      <c r="V41" s="13">
        <f t="shared" si="12"/>
        <v>1</v>
      </c>
      <c r="W41" s="13">
        <f t="shared" si="11"/>
        <v>4</v>
      </c>
    </row>
    <row r="42" spans="1:23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3"/>
    </row>
    <row r="43" spans="1:23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3"/>
    </row>
    <row r="44" spans="1:23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3"/>
    </row>
    <row r="45" spans="1:23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12</v>
      </c>
      <c r="F45" s="15">
        <v>8</v>
      </c>
      <c r="G45" s="15">
        <v>2</v>
      </c>
      <c r="H45" s="15">
        <v>3</v>
      </c>
      <c r="I45" s="15">
        <v>3</v>
      </c>
      <c r="J45" s="15">
        <v>1</v>
      </c>
      <c r="K45" s="15">
        <v>2</v>
      </c>
      <c r="L45" s="15">
        <v>0</v>
      </c>
      <c r="M45" s="15">
        <v>0</v>
      </c>
      <c r="N45" s="15">
        <v>1</v>
      </c>
      <c r="O45" s="15">
        <v>5</v>
      </c>
      <c r="P45" s="15">
        <v>11</v>
      </c>
      <c r="Q45" s="15">
        <v>10</v>
      </c>
      <c r="R45" s="15">
        <v>2</v>
      </c>
      <c r="S45" s="15">
        <v>2</v>
      </c>
      <c r="T45" s="15">
        <v>0</v>
      </c>
      <c r="U45" s="15">
        <v>0</v>
      </c>
      <c r="V45" s="15">
        <v>0</v>
      </c>
      <c r="W45" s="13">
        <f t="shared" ref="W45:W192" si="13">SUM(E45:V45)</f>
        <v>62</v>
      </c>
    </row>
    <row r="46" spans="1:23" ht="12.75" customHeight="1" x14ac:dyDescent="0.4">
      <c r="A46" s="19" t="s">
        <v>39</v>
      </c>
      <c r="B46" s="27"/>
      <c r="C46" s="28" t="s">
        <v>40</v>
      </c>
      <c r="D46" s="29"/>
      <c r="E46" s="15">
        <v>33</v>
      </c>
      <c r="F46" s="15">
        <v>40</v>
      </c>
      <c r="G46" s="15">
        <v>4</v>
      </c>
      <c r="H46" s="15">
        <v>6</v>
      </c>
      <c r="I46" s="15">
        <v>8</v>
      </c>
      <c r="J46" s="15">
        <v>0</v>
      </c>
      <c r="K46" s="15">
        <v>0</v>
      </c>
      <c r="L46" s="15">
        <v>8</v>
      </c>
      <c r="M46" s="15">
        <v>1</v>
      </c>
      <c r="N46" s="15">
        <v>0</v>
      </c>
      <c r="O46" s="15">
        <v>30</v>
      </c>
      <c r="P46" s="15">
        <v>28</v>
      </c>
      <c r="Q46" s="15">
        <v>26</v>
      </c>
      <c r="R46" s="15">
        <v>6</v>
      </c>
      <c r="S46" s="15">
        <v>3</v>
      </c>
      <c r="T46" s="15">
        <v>1</v>
      </c>
      <c r="U46" s="15">
        <v>1</v>
      </c>
      <c r="V46" s="15">
        <v>5</v>
      </c>
      <c r="W46" s="13">
        <f t="shared" si="13"/>
        <v>200</v>
      </c>
    </row>
    <row r="47" spans="1:23" ht="12.75" customHeight="1" x14ac:dyDescent="0.4">
      <c r="A47" s="14"/>
      <c r="B47" s="27"/>
      <c r="C47" s="28" t="s">
        <v>41</v>
      </c>
      <c r="D47" s="29"/>
      <c r="E47" s="15">
        <v>2</v>
      </c>
      <c r="F47" s="15">
        <v>1</v>
      </c>
      <c r="G47" s="15">
        <v>0</v>
      </c>
      <c r="H47" s="15">
        <v>0</v>
      </c>
      <c r="I47" s="15">
        <v>0</v>
      </c>
      <c r="J47" s="15">
        <v>1</v>
      </c>
      <c r="K47" s="15">
        <v>0</v>
      </c>
      <c r="L47" s="15">
        <v>0</v>
      </c>
      <c r="M47" s="15">
        <v>1</v>
      </c>
      <c r="N47" s="15">
        <v>0</v>
      </c>
      <c r="O47" s="15">
        <v>2</v>
      </c>
      <c r="P47" s="15">
        <v>2</v>
      </c>
      <c r="Q47" s="15">
        <v>0</v>
      </c>
      <c r="R47" s="15">
        <v>0</v>
      </c>
      <c r="S47" s="15">
        <v>0</v>
      </c>
      <c r="T47" s="15">
        <v>1</v>
      </c>
      <c r="U47" s="15">
        <v>0</v>
      </c>
      <c r="V47" s="15">
        <v>0</v>
      </c>
      <c r="W47" s="13">
        <f t="shared" si="13"/>
        <v>10</v>
      </c>
    </row>
    <row r="48" spans="1:23" ht="12.75" customHeight="1" x14ac:dyDescent="0.4">
      <c r="A48" s="14"/>
      <c r="B48" s="27"/>
      <c r="C48" s="28" t="s">
        <v>42</v>
      </c>
      <c r="D48" s="29"/>
      <c r="E48" s="15">
        <v>0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1</v>
      </c>
      <c r="N48" s="15">
        <v>1</v>
      </c>
      <c r="O48" s="15">
        <v>1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1</v>
      </c>
      <c r="W48" s="13">
        <f t="shared" si="13"/>
        <v>5</v>
      </c>
    </row>
    <row r="49" spans="1:23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1</v>
      </c>
      <c r="W49" s="13">
        <f t="shared" si="13"/>
        <v>1</v>
      </c>
    </row>
    <row r="50" spans="1:23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3">
        <f t="shared" si="13"/>
        <v>1</v>
      </c>
    </row>
    <row r="51" spans="1:23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0</v>
      </c>
      <c r="Q51" s="15">
        <v>1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3">
        <f t="shared" si="13"/>
        <v>2</v>
      </c>
    </row>
    <row r="52" spans="1:23" ht="12.75" customHeight="1" x14ac:dyDescent="0.4">
      <c r="A52" s="15" t="s">
        <v>15</v>
      </c>
      <c r="B52" s="53" t="s">
        <v>46</v>
      </c>
      <c r="C52" s="54"/>
      <c r="D52" s="55"/>
      <c r="E52" s="13">
        <v>47</v>
      </c>
      <c r="F52" s="13">
        <v>50</v>
      </c>
      <c r="G52" s="13">
        <v>6</v>
      </c>
      <c r="H52" s="13">
        <v>9</v>
      </c>
      <c r="I52" s="13">
        <v>11</v>
      </c>
      <c r="J52" s="13">
        <v>2</v>
      </c>
      <c r="K52" s="13">
        <v>2</v>
      </c>
      <c r="L52" s="13">
        <v>8</v>
      </c>
      <c r="M52" s="13">
        <v>5</v>
      </c>
      <c r="N52" s="13">
        <v>2</v>
      </c>
      <c r="O52" s="13">
        <v>38</v>
      </c>
      <c r="P52" s="13">
        <v>41</v>
      </c>
      <c r="Q52" s="13">
        <v>37</v>
      </c>
      <c r="R52" s="13">
        <v>8</v>
      </c>
      <c r="S52" s="13">
        <v>5</v>
      </c>
      <c r="T52" s="13">
        <f>SUM(T45:T51)</f>
        <v>2</v>
      </c>
      <c r="U52" s="13">
        <v>1</v>
      </c>
      <c r="V52" s="13">
        <f>SUM(V45:V51)</f>
        <v>7</v>
      </c>
      <c r="W52" s="13">
        <f t="shared" si="13"/>
        <v>281</v>
      </c>
    </row>
    <row r="53" spans="1:23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3">
        <f t="shared" si="13"/>
        <v>0</v>
      </c>
    </row>
    <row r="54" spans="1:23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11</v>
      </c>
      <c r="F54" s="15">
        <v>6</v>
      </c>
      <c r="G54" s="15">
        <v>4</v>
      </c>
      <c r="H54" s="15">
        <v>3</v>
      </c>
      <c r="I54" s="15">
        <v>13</v>
      </c>
      <c r="J54" s="15">
        <v>3</v>
      </c>
      <c r="K54" s="15">
        <v>0</v>
      </c>
      <c r="L54" s="15">
        <v>2</v>
      </c>
      <c r="M54" s="15">
        <v>1</v>
      </c>
      <c r="N54" s="15">
        <v>4</v>
      </c>
      <c r="O54" s="15">
        <v>3</v>
      </c>
      <c r="P54" s="15">
        <v>1</v>
      </c>
      <c r="Q54" s="15">
        <v>4</v>
      </c>
      <c r="R54" s="15">
        <v>6</v>
      </c>
      <c r="S54" s="15">
        <v>14</v>
      </c>
      <c r="T54" s="15">
        <v>1</v>
      </c>
      <c r="U54" s="15">
        <v>4</v>
      </c>
      <c r="V54" s="15">
        <v>0</v>
      </c>
      <c r="W54" s="13">
        <f t="shared" si="13"/>
        <v>80</v>
      </c>
    </row>
    <row r="55" spans="1:23" ht="12.75" customHeight="1" x14ac:dyDescent="0.4">
      <c r="A55" s="19" t="s">
        <v>39</v>
      </c>
      <c r="B55" s="27"/>
      <c r="C55" s="28" t="s">
        <v>48</v>
      </c>
      <c r="D55" s="29"/>
      <c r="E55" s="15">
        <v>2</v>
      </c>
      <c r="F55" s="15">
        <v>1</v>
      </c>
      <c r="G55" s="15">
        <v>2</v>
      </c>
      <c r="H55" s="15">
        <v>0</v>
      </c>
      <c r="I55" s="15">
        <v>2</v>
      </c>
      <c r="J55" s="15">
        <v>2</v>
      </c>
      <c r="K55" s="15">
        <v>0</v>
      </c>
      <c r="L55" s="15">
        <v>4</v>
      </c>
      <c r="M55" s="15">
        <v>0</v>
      </c>
      <c r="N55" s="15">
        <v>0</v>
      </c>
      <c r="O55" s="15">
        <v>0</v>
      </c>
      <c r="P55" s="15">
        <v>1</v>
      </c>
      <c r="Q55" s="15">
        <v>3</v>
      </c>
      <c r="R55" s="15">
        <v>1</v>
      </c>
      <c r="S55" s="15">
        <v>3</v>
      </c>
      <c r="T55" s="15">
        <v>0</v>
      </c>
      <c r="U55" s="15">
        <v>0</v>
      </c>
      <c r="V55" s="15">
        <v>0</v>
      </c>
      <c r="W55" s="13">
        <f t="shared" si="13"/>
        <v>21</v>
      </c>
    </row>
    <row r="56" spans="1:23" ht="12.75" customHeight="1" x14ac:dyDescent="0.4">
      <c r="A56" s="14"/>
      <c r="B56" s="27"/>
      <c r="C56" s="28" t="s">
        <v>49</v>
      </c>
      <c r="D56" s="29"/>
      <c r="E56" s="15">
        <v>8</v>
      </c>
      <c r="F56" s="15">
        <v>2</v>
      </c>
      <c r="G56" s="15">
        <v>3</v>
      </c>
      <c r="H56" s="15">
        <v>1</v>
      </c>
      <c r="I56" s="15">
        <v>0</v>
      </c>
      <c r="J56" s="15">
        <v>1</v>
      </c>
      <c r="K56" s="15">
        <v>1</v>
      </c>
      <c r="L56" s="15">
        <v>1</v>
      </c>
      <c r="M56" s="15">
        <v>0</v>
      </c>
      <c r="N56" s="15">
        <v>0</v>
      </c>
      <c r="O56" s="15">
        <v>1</v>
      </c>
      <c r="P56" s="15">
        <v>0</v>
      </c>
      <c r="Q56" s="15">
        <v>2</v>
      </c>
      <c r="R56" s="15">
        <v>0</v>
      </c>
      <c r="S56" s="15">
        <v>1</v>
      </c>
      <c r="T56" s="15">
        <v>0</v>
      </c>
      <c r="U56" s="15">
        <v>0</v>
      </c>
      <c r="V56" s="15">
        <v>0</v>
      </c>
      <c r="W56" s="13">
        <f t="shared" si="13"/>
        <v>21</v>
      </c>
    </row>
    <row r="57" spans="1:23" ht="12.75" customHeight="1" x14ac:dyDescent="0.4">
      <c r="A57" s="14"/>
      <c r="B57" s="27"/>
      <c r="C57" s="28" t="s">
        <v>50</v>
      </c>
      <c r="D57" s="29"/>
      <c r="E57" s="15">
        <v>1</v>
      </c>
      <c r="F57" s="15">
        <v>0</v>
      </c>
      <c r="G57" s="15">
        <v>0</v>
      </c>
      <c r="H57" s="15">
        <v>0</v>
      </c>
      <c r="I57" s="15">
        <v>0</v>
      </c>
      <c r="J57" s="15">
        <v>1</v>
      </c>
      <c r="K57" s="15">
        <v>0</v>
      </c>
      <c r="L57" s="15">
        <v>1</v>
      </c>
      <c r="M57" s="15">
        <v>0</v>
      </c>
      <c r="N57" s="15">
        <v>0</v>
      </c>
      <c r="O57" s="15">
        <v>0</v>
      </c>
      <c r="P57" s="15">
        <v>1</v>
      </c>
      <c r="Q57" s="15">
        <v>1</v>
      </c>
      <c r="R57" s="15">
        <v>0</v>
      </c>
      <c r="S57" s="15">
        <v>2</v>
      </c>
      <c r="T57" s="15">
        <v>0</v>
      </c>
      <c r="U57" s="15">
        <v>1</v>
      </c>
      <c r="V57" s="15">
        <v>1</v>
      </c>
      <c r="W57" s="13">
        <f t="shared" si="13"/>
        <v>9</v>
      </c>
    </row>
    <row r="58" spans="1:23" ht="12.75" customHeight="1" x14ac:dyDescent="0.4">
      <c r="A58" s="14"/>
      <c r="B58" s="27"/>
      <c r="C58" s="28" t="s">
        <v>51</v>
      </c>
      <c r="D58" s="29"/>
      <c r="E58" s="15">
        <v>1</v>
      </c>
      <c r="F58" s="15">
        <v>0</v>
      </c>
      <c r="G58" s="15">
        <v>0</v>
      </c>
      <c r="H58" s="15">
        <v>0</v>
      </c>
      <c r="I58" s="15">
        <v>2</v>
      </c>
      <c r="J58" s="15">
        <v>3</v>
      </c>
      <c r="K58" s="15">
        <v>0</v>
      </c>
      <c r="L58" s="15">
        <v>1</v>
      </c>
      <c r="M58" s="15">
        <v>2</v>
      </c>
      <c r="N58" s="15">
        <v>0</v>
      </c>
      <c r="O58" s="15">
        <v>0</v>
      </c>
      <c r="P58" s="15">
        <v>0</v>
      </c>
      <c r="Q58" s="15">
        <v>4</v>
      </c>
      <c r="R58" s="15">
        <v>0</v>
      </c>
      <c r="S58" s="15">
        <v>7</v>
      </c>
      <c r="T58" s="15">
        <v>1</v>
      </c>
      <c r="U58" s="15">
        <v>0</v>
      </c>
      <c r="V58" s="15">
        <v>1</v>
      </c>
      <c r="W58" s="13">
        <f t="shared" si="13"/>
        <v>22</v>
      </c>
    </row>
    <row r="59" spans="1:23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2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3">
        <f t="shared" si="13"/>
        <v>2</v>
      </c>
    </row>
    <row r="60" spans="1:23" ht="12.75" customHeight="1" x14ac:dyDescent="0.4">
      <c r="A60" s="14"/>
      <c r="B60" s="27"/>
      <c r="C60" s="28" t="s">
        <v>53</v>
      </c>
      <c r="D60" s="29"/>
      <c r="E60" s="15">
        <v>2</v>
      </c>
      <c r="F60" s="15">
        <v>0</v>
      </c>
      <c r="G60" s="15">
        <v>0</v>
      </c>
      <c r="H60" s="15">
        <v>3</v>
      </c>
      <c r="I60" s="15">
        <v>1</v>
      </c>
      <c r="J60" s="15">
        <v>4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  <c r="S60" s="15">
        <v>2</v>
      </c>
      <c r="T60" s="15">
        <v>1</v>
      </c>
      <c r="U60" s="15">
        <v>1</v>
      </c>
      <c r="V60" s="15">
        <v>2</v>
      </c>
      <c r="W60" s="13">
        <f t="shared" si="13"/>
        <v>17</v>
      </c>
    </row>
    <row r="61" spans="1:23" ht="12.75" customHeight="1" x14ac:dyDescent="0.4">
      <c r="A61" s="15" t="s">
        <v>15</v>
      </c>
      <c r="B61" s="53" t="s">
        <v>46</v>
      </c>
      <c r="C61" s="54"/>
      <c r="D61" s="55"/>
      <c r="E61" s="13">
        <v>25</v>
      </c>
      <c r="F61" s="13">
        <v>9</v>
      </c>
      <c r="G61" s="13">
        <v>9</v>
      </c>
      <c r="H61" s="13">
        <v>7</v>
      </c>
      <c r="I61" s="13">
        <v>18</v>
      </c>
      <c r="J61" s="13">
        <v>16</v>
      </c>
      <c r="K61" s="13">
        <v>1</v>
      </c>
      <c r="L61" s="13">
        <v>9</v>
      </c>
      <c r="M61" s="13">
        <v>3</v>
      </c>
      <c r="N61" s="13">
        <v>4</v>
      </c>
      <c r="O61" s="13">
        <v>4</v>
      </c>
      <c r="P61" s="13">
        <v>3</v>
      </c>
      <c r="Q61" s="13">
        <v>15</v>
      </c>
      <c r="R61" s="13">
        <v>7</v>
      </c>
      <c r="S61" s="13">
        <v>29</v>
      </c>
      <c r="T61" s="13">
        <f t="shared" ref="T61:V61" si="14">SUM(T54:T60)</f>
        <v>3</v>
      </c>
      <c r="U61" s="13">
        <f t="shared" si="14"/>
        <v>6</v>
      </c>
      <c r="V61" s="13">
        <f t="shared" si="14"/>
        <v>4</v>
      </c>
      <c r="W61" s="13">
        <f t="shared" si="13"/>
        <v>172</v>
      </c>
    </row>
    <row r="62" spans="1:23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3">
        <f t="shared" si="13"/>
        <v>0</v>
      </c>
    </row>
    <row r="63" spans="1:23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10</v>
      </c>
      <c r="F63" s="15">
        <v>2</v>
      </c>
      <c r="G63" s="15">
        <v>8</v>
      </c>
      <c r="H63" s="15">
        <v>11</v>
      </c>
      <c r="I63" s="15">
        <v>6</v>
      </c>
      <c r="J63" s="15">
        <v>4</v>
      </c>
      <c r="K63" s="15">
        <v>9</v>
      </c>
      <c r="L63" s="15">
        <v>7</v>
      </c>
      <c r="M63" s="15">
        <v>6</v>
      </c>
      <c r="N63" s="15">
        <v>2</v>
      </c>
      <c r="O63" s="15">
        <v>9</v>
      </c>
      <c r="P63" s="15">
        <v>9</v>
      </c>
      <c r="Q63" s="15">
        <v>9</v>
      </c>
      <c r="R63" s="15">
        <v>19</v>
      </c>
      <c r="S63" s="15">
        <v>15</v>
      </c>
      <c r="T63" s="15">
        <v>6</v>
      </c>
      <c r="U63" s="15">
        <v>4</v>
      </c>
      <c r="V63" s="15">
        <v>6</v>
      </c>
      <c r="W63" s="13">
        <f t="shared" si="13"/>
        <v>142</v>
      </c>
    </row>
    <row r="64" spans="1:23" ht="12.75" customHeight="1" x14ac:dyDescent="0.4">
      <c r="A64" s="19" t="s">
        <v>39</v>
      </c>
      <c r="B64" s="27"/>
      <c r="C64" s="28" t="s">
        <v>55</v>
      </c>
      <c r="D64" s="29"/>
      <c r="E64" s="15">
        <v>13</v>
      </c>
      <c r="F64" s="15">
        <v>10</v>
      </c>
      <c r="G64" s="15">
        <v>50</v>
      </c>
      <c r="H64" s="15">
        <v>68</v>
      </c>
      <c r="I64" s="15">
        <v>59</v>
      </c>
      <c r="J64" s="15">
        <v>32</v>
      </c>
      <c r="K64" s="15">
        <v>46</v>
      </c>
      <c r="L64" s="15">
        <v>30</v>
      </c>
      <c r="M64" s="15">
        <v>25</v>
      </c>
      <c r="N64" s="15">
        <v>25</v>
      </c>
      <c r="O64" s="15">
        <v>26</v>
      </c>
      <c r="P64" s="15">
        <v>14</v>
      </c>
      <c r="Q64" s="15">
        <v>4</v>
      </c>
      <c r="R64" s="15">
        <v>9</v>
      </c>
      <c r="S64" s="15">
        <v>49</v>
      </c>
      <c r="T64" s="15">
        <v>10</v>
      </c>
      <c r="U64" s="15">
        <v>22</v>
      </c>
      <c r="V64" s="15">
        <v>13</v>
      </c>
      <c r="W64" s="13">
        <f t="shared" si="13"/>
        <v>505</v>
      </c>
    </row>
    <row r="65" spans="1:23" ht="12.75" customHeight="1" x14ac:dyDescent="0.4">
      <c r="A65" s="14"/>
      <c r="B65" s="27"/>
      <c r="C65" s="28" t="s">
        <v>56</v>
      </c>
      <c r="D65" s="29"/>
      <c r="E65" s="15">
        <v>2</v>
      </c>
      <c r="F65" s="15">
        <v>2</v>
      </c>
      <c r="G65" s="15">
        <v>1</v>
      </c>
      <c r="H65" s="15">
        <v>2</v>
      </c>
      <c r="I65" s="15">
        <v>0</v>
      </c>
      <c r="J65" s="15">
        <v>1</v>
      </c>
      <c r="K65" s="15">
        <v>1</v>
      </c>
      <c r="L65" s="15">
        <v>0</v>
      </c>
      <c r="M65" s="15">
        <v>0</v>
      </c>
      <c r="N65" s="15">
        <v>12</v>
      </c>
      <c r="O65" s="15">
        <v>20</v>
      </c>
      <c r="P65" s="15">
        <v>18</v>
      </c>
      <c r="Q65" s="15">
        <v>17</v>
      </c>
      <c r="R65" s="15">
        <v>18</v>
      </c>
      <c r="S65" s="15">
        <v>24</v>
      </c>
      <c r="T65" s="15">
        <v>24</v>
      </c>
      <c r="U65" s="15">
        <v>12</v>
      </c>
      <c r="V65" s="15">
        <v>10</v>
      </c>
      <c r="W65" s="13">
        <f t="shared" si="13"/>
        <v>164</v>
      </c>
    </row>
    <row r="66" spans="1:23" ht="12.75" customHeight="1" x14ac:dyDescent="0.4">
      <c r="A66" s="14"/>
      <c r="B66" s="27"/>
      <c r="C66" s="28" t="s">
        <v>57</v>
      </c>
      <c r="D66" s="29"/>
      <c r="E66" s="15">
        <v>7</v>
      </c>
      <c r="F66" s="15">
        <v>5</v>
      </c>
      <c r="G66" s="15">
        <v>0</v>
      </c>
      <c r="H66" s="15">
        <v>0</v>
      </c>
      <c r="I66" s="15">
        <v>2</v>
      </c>
      <c r="J66" s="15">
        <v>0</v>
      </c>
      <c r="K66" s="15">
        <v>17</v>
      </c>
      <c r="L66" s="15">
        <v>10</v>
      </c>
      <c r="M66" s="15">
        <v>13</v>
      </c>
      <c r="N66" s="15">
        <v>10</v>
      </c>
      <c r="O66" s="15">
        <v>6</v>
      </c>
      <c r="P66" s="15">
        <v>21</v>
      </c>
      <c r="Q66" s="15">
        <v>14</v>
      </c>
      <c r="R66" s="15">
        <v>21</v>
      </c>
      <c r="S66" s="15">
        <v>13</v>
      </c>
      <c r="T66" s="15">
        <v>9</v>
      </c>
      <c r="U66" s="15">
        <v>4</v>
      </c>
      <c r="V66" s="15">
        <v>18</v>
      </c>
      <c r="W66" s="13">
        <f t="shared" si="13"/>
        <v>170</v>
      </c>
    </row>
    <row r="67" spans="1:23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0</v>
      </c>
      <c r="H67" s="15">
        <v>1</v>
      </c>
      <c r="I67" s="15">
        <v>0</v>
      </c>
      <c r="J67" s="15">
        <v>0</v>
      </c>
      <c r="K67" s="15">
        <v>2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1</v>
      </c>
      <c r="S67" s="15">
        <v>0</v>
      </c>
      <c r="T67" s="15">
        <v>0</v>
      </c>
      <c r="U67" s="15">
        <v>2</v>
      </c>
      <c r="V67" s="15">
        <v>0</v>
      </c>
      <c r="W67" s="13">
        <f t="shared" si="13"/>
        <v>7</v>
      </c>
    </row>
    <row r="68" spans="1:23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1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1</v>
      </c>
      <c r="S68" s="15">
        <v>0</v>
      </c>
      <c r="T68" s="15">
        <v>0</v>
      </c>
      <c r="U68" s="15">
        <v>1</v>
      </c>
      <c r="V68" s="15">
        <v>0</v>
      </c>
      <c r="W68" s="13">
        <f t="shared" si="13"/>
        <v>3</v>
      </c>
    </row>
    <row r="69" spans="1:23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1</v>
      </c>
      <c r="L69" s="15">
        <v>0</v>
      </c>
      <c r="M69" s="15">
        <v>0</v>
      </c>
      <c r="N69" s="15">
        <v>0</v>
      </c>
      <c r="O69" s="15">
        <v>1</v>
      </c>
      <c r="P69" s="15">
        <v>0</v>
      </c>
      <c r="Q69" s="15">
        <v>0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3">
        <f t="shared" si="13"/>
        <v>3</v>
      </c>
    </row>
    <row r="70" spans="1:23" ht="12.75" customHeight="1" x14ac:dyDescent="0.4">
      <c r="A70" s="15" t="s">
        <v>15</v>
      </c>
      <c r="B70" s="53" t="s">
        <v>46</v>
      </c>
      <c r="C70" s="54"/>
      <c r="D70" s="55"/>
      <c r="E70" s="13">
        <v>32</v>
      </c>
      <c r="F70" s="13">
        <v>19</v>
      </c>
      <c r="G70" s="13">
        <v>59</v>
      </c>
      <c r="H70" s="13">
        <v>82</v>
      </c>
      <c r="I70" s="13">
        <v>67</v>
      </c>
      <c r="J70" s="13">
        <v>37</v>
      </c>
      <c r="K70" s="13">
        <v>77</v>
      </c>
      <c r="L70" s="13">
        <v>48</v>
      </c>
      <c r="M70" s="13">
        <v>44</v>
      </c>
      <c r="N70" s="13">
        <v>49</v>
      </c>
      <c r="O70" s="13">
        <v>62</v>
      </c>
      <c r="P70" s="13">
        <v>62</v>
      </c>
      <c r="Q70" s="13">
        <v>44</v>
      </c>
      <c r="R70" s="13">
        <v>70</v>
      </c>
      <c r="S70" s="13">
        <v>101</v>
      </c>
      <c r="T70" s="13">
        <f t="shared" ref="T70:V70" si="15">SUM(T63:T69)</f>
        <v>49</v>
      </c>
      <c r="U70" s="13">
        <f t="shared" si="15"/>
        <v>45</v>
      </c>
      <c r="V70" s="13">
        <f t="shared" si="15"/>
        <v>47</v>
      </c>
      <c r="W70" s="13">
        <f t="shared" si="13"/>
        <v>994</v>
      </c>
    </row>
    <row r="71" spans="1:23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3">
        <f t="shared" si="13"/>
        <v>0</v>
      </c>
    </row>
    <row r="72" spans="1:23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2</v>
      </c>
      <c r="F72" s="15">
        <v>2</v>
      </c>
      <c r="G72" s="15">
        <v>1</v>
      </c>
      <c r="H72" s="15">
        <v>1</v>
      </c>
      <c r="I72" s="15">
        <v>3</v>
      </c>
      <c r="J72" s="15">
        <v>5</v>
      </c>
      <c r="K72" s="15">
        <v>4</v>
      </c>
      <c r="L72" s="15">
        <v>1</v>
      </c>
      <c r="M72" s="15">
        <v>1</v>
      </c>
      <c r="N72" s="15">
        <v>1</v>
      </c>
      <c r="O72" s="15">
        <v>0</v>
      </c>
      <c r="P72" s="15">
        <v>0</v>
      </c>
      <c r="Q72" s="15">
        <v>2</v>
      </c>
      <c r="R72" s="15">
        <v>0</v>
      </c>
      <c r="S72" s="15">
        <v>1</v>
      </c>
      <c r="T72" s="15">
        <v>1</v>
      </c>
      <c r="U72" s="15">
        <v>1</v>
      </c>
      <c r="V72" s="15">
        <v>0</v>
      </c>
      <c r="W72" s="13">
        <f t="shared" si="13"/>
        <v>26</v>
      </c>
    </row>
    <row r="73" spans="1:23" ht="12.75" customHeight="1" x14ac:dyDescent="0.4">
      <c r="A73" s="19" t="s">
        <v>39</v>
      </c>
      <c r="B73" s="27"/>
      <c r="C73" s="28" t="s">
        <v>62</v>
      </c>
      <c r="D73" s="29"/>
      <c r="E73" s="15">
        <v>2</v>
      </c>
      <c r="F73" s="15">
        <v>0</v>
      </c>
      <c r="G73" s="15">
        <v>0</v>
      </c>
      <c r="H73" s="15">
        <v>0</v>
      </c>
      <c r="I73" s="15">
        <v>0</v>
      </c>
      <c r="J73" s="15">
        <v>2</v>
      </c>
      <c r="K73" s="15">
        <v>6</v>
      </c>
      <c r="L73" s="15">
        <v>3</v>
      </c>
      <c r="M73" s="15">
        <v>2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3">
        <f t="shared" si="13"/>
        <v>16</v>
      </c>
    </row>
    <row r="74" spans="1:23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3">
        <f t="shared" si="13"/>
        <v>1</v>
      </c>
    </row>
    <row r="75" spans="1:23" ht="12.75" customHeight="1" x14ac:dyDescent="0.4">
      <c r="A75" s="14"/>
      <c r="B75" s="27"/>
      <c r="C75" s="28" t="s">
        <v>64</v>
      </c>
      <c r="D75" s="29"/>
      <c r="E75" s="15">
        <v>1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3">
        <f t="shared" si="13"/>
        <v>1</v>
      </c>
    </row>
    <row r="76" spans="1:23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3">
        <f t="shared" si="13"/>
        <v>2</v>
      </c>
    </row>
    <row r="77" spans="1:23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1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3">
        <f t="shared" si="13"/>
        <v>1</v>
      </c>
    </row>
    <row r="78" spans="1:23" ht="12.75" customHeight="1" x14ac:dyDescent="0.4">
      <c r="A78" s="14"/>
      <c r="B78" s="27"/>
      <c r="C78" s="28" t="s">
        <v>67</v>
      </c>
      <c r="D78" s="29"/>
      <c r="E78" s="15">
        <v>1</v>
      </c>
      <c r="F78" s="15">
        <v>0</v>
      </c>
      <c r="G78" s="15">
        <v>1</v>
      </c>
      <c r="H78" s="15">
        <v>4</v>
      </c>
      <c r="I78" s="15">
        <v>22</v>
      </c>
      <c r="J78" s="15">
        <v>0</v>
      </c>
      <c r="K78" s="15">
        <v>1</v>
      </c>
      <c r="L78" s="15">
        <v>9</v>
      </c>
      <c r="M78" s="15">
        <v>13</v>
      </c>
      <c r="N78" s="15">
        <v>13</v>
      </c>
      <c r="O78" s="15">
        <v>6</v>
      </c>
      <c r="P78" s="15">
        <v>2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3">
        <f t="shared" si="13"/>
        <v>72</v>
      </c>
    </row>
    <row r="79" spans="1:23" ht="12.75" customHeight="1" x14ac:dyDescent="0.4">
      <c r="A79" s="15" t="s">
        <v>15</v>
      </c>
      <c r="B79" s="53" t="s">
        <v>46</v>
      </c>
      <c r="C79" s="54"/>
      <c r="D79" s="55"/>
      <c r="E79" s="13">
        <v>7</v>
      </c>
      <c r="F79" s="13">
        <v>2</v>
      </c>
      <c r="G79" s="13">
        <v>2</v>
      </c>
      <c r="H79" s="13">
        <v>5</v>
      </c>
      <c r="I79" s="13">
        <v>27</v>
      </c>
      <c r="J79" s="13">
        <v>7</v>
      </c>
      <c r="K79" s="13">
        <v>11</v>
      </c>
      <c r="L79" s="13">
        <v>13</v>
      </c>
      <c r="M79" s="13">
        <v>16</v>
      </c>
      <c r="N79" s="13">
        <v>15</v>
      </c>
      <c r="O79" s="13">
        <v>7</v>
      </c>
      <c r="P79" s="13">
        <v>2</v>
      </c>
      <c r="Q79" s="13">
        <v>2</v>
      </c>
      <c r="R79" s="13">
        <v>0</v>
      </c>
      <c r="S79" s="13">
        <v>1</v>
      </c>
      <c r="T79" s="13">
        <f t="shared" ref="T79:V79" si="16">SUM(T72:T78)</f>
        <v>1</v>
      </c>
      <c r="U79" s="13">
        <f t="shared" si="16"/>
        <v>1</v>
      </c>
      <c r="V79" s="13">
        <f t="shared" si="16"/>
        <v>0</v>
      </c>
      <c r="W79" s="13">
        <f t="shared" si="13"/>
        <v>119</v>
      </c>
    </row>
    <row r="80" spans="1:23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3">
        <f t="shared" si="13"/>
        <v>0</v>
      </c>
    </row>
    <row r="81" spans="1:23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0</v>
      </c>
      <c r="F81" s="15">
        <v>1</v>
      </c>
      <c r="G81" s="15">
        <v>3</v>
      </c>
      <c r="H81" s="15">
        <v>1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2</v>
      </c>
      <c r="P81" s="15">
        <v>0</v>
      </c>
      <c r="Q81" s="15">
        <v>1</v>
      </c>
      <c r="R81" s="15">
        <v>1</v>
      </c>
      <c r="S81" s="15">
        <v>0</v>
      </c>
      <c r="T81" s="15">
        <v>0</v>
      </c>
      <c r="U81" s="15">
        <v>0</v>
      </c>
      <c r="V81" s="15">
        <v>0</v>
      </c>
      <c r="W81" s="13">
        <f t="shared" si="13"/>
        <v>9</v>
      </c>
    </row>
    <row r="82" spans="1:23" ht="12.75" customHeight="1" x14ac:dyDescent="0.4">
      <c r="A82" s="19" t="s">
        <v>39</v>
      </c>
      <c r="B82" s="27"/>
      <c r="C82" s="28" t="s">
        <v>70</v>
      </c>
      <c r="D82" s="29"/>
      <c r="E82" s="15">
        <v>1</v>
      </c>
      <c r="F82" s="15">
        <v>0</v>
      </c>
      <c r="G82" s="15">
        <v>1</v>
      </c>
      <c r="H82" s="15">
        <v>0</v>
      </c>
      <c r="I82" s="15">
        <v>0</v>
      </c>
      <c r="J82" s="15">
        <v>1</v>
      </c>
      <c r="K82" s="15">
        <v>0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1</v>
      </c>
      <c r="S82" s="15">
        <v>0</v>
      </c>
      <c r="T82" s="15">
        <v>0</v>
      </c>
      <c r="U82" s="15">
        <v>0</v>
      </c>
      <c r="V82" s="15">
        <v>1</v>
      </c>
      <c r="W82" s="13">
        <f t="shared" si="13"/>
        <v>6</v>
      </c>
    </row>
    <row r="83" spans="1:23" ht="12.75" customHeight="1" x14ac:dyDescent="0.4">
      <c r="A83" s="14"/>
      <c r="B83" s="27"/>
      <c r="C83" s="28" t="s">
        <v>71</v>
      </c>
      <c r="D83" s="29"/>
      <c r="E83" s="15">
        <v>11</v>
      </c>
      <c r="F83" s="15">
        <v>8</v>
      </c>
      <c r="G83" s="15">
        <v>33</v>
      </c>
      <c r="H83" s="15">
        <v>4</v>
      </c>
      <c r="I83" s="15">
        <v>9</v>
      </c>
      <c r="J83" s="15">
        <v>1</v>
      </c>
      <c r="K83" s="15">
        <v>3</v>
      </c>
      <c r="L83" s="15">
        <v>1</v>
      </c>
      <c r="M83" s="15">
        <v>4</v>
      </c>
      <c r="N83" s="15">
        <v>60</v>
      </c>
      <c r="O83" s="15">
        <v>17</v>
      </c>
      <c r="P83" s="15">
        <v>0</v>
      </c>
      <c r="Q83" s="15">
        <v>7</v>
      </c>
      <c r="R83" s="15">
        <v>3</v>
      </c>
      <c r="S83" s="15">
        <v>0</v>
      </c>
      <c r="T83" s="15">
        <v>3</v>
      </c>
      <c r="U83" s="15">
        <v>2</v>
      </c>
      <c r="V83" s="15">
        <v>48</v>
      </c>
      <c r="W83" s="13">
        <f t="shared" si="13"/>
        <v>214</v>
      </c>
    </row>
    <row r="84" spans="1:23" ht="12.75" customHeight="1" x14ac:dyDescent="0.4">
      <c r="A84" s="14"/>
      <c r="B84" s="27"/>
      <c r="C84" s="28" t="s">
        <v>72</v>
      </c>
      <c r="D84" s="29"/>
      <c r="E84" s="15">
        <v>1</v>
      </c>
      <c r="F84" s="15">
        <v>0</v>
      </c>
      <c r="G84" s="15">
        <v>1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20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3">
        <f t="shared" si="13"/>
        <v>22</v>
      </c>
    </row>
    <row r="85" spans="1:23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3">
        <f t="shared" si="13"/>
        <v>0</v>
      </c>
    </row>
    <row r="86" spans="1:23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1</v>
      </c>
      <c r="H86" s="15">
        <v>0</v>
      </c>
      <c r="I86" s="15">
        <v>1</v>
      </c>
      <c r="J86" s="15">
        <v>0</v>
      </c>
      <c r="K86" s="15">
        <v>0</v>
      </c>
      <c r="L86" s="15">
        <v>0</v>
      </c>
      <c r="M86" s="15">
        <v>1</v>
      </c>
      <c r="N86" s="15">
        <v>1</v>
      </c>
      <c r="O86" s="15">
        <v>0</v>
      </c>
      <c r="P86" s="15">
        <v>0</v>
      </c>
      <c r="Q86" s="15">
        <v>1</v>
      </c>
      <c r="R86" s="15">
        <v>0</v>
      </c>
      <c r="S86" s="15">
        <v>0</v>
      </c>
      <c r="T86" s="15">
        <v>2</v>
      </c>
      <c r="U86" s="15">
        <v>2</v>
      </c>
      <c r="V86" s="15">
        <v>1</v>
      </c>
      <c r="W86" s="13">
        <f t="shared" si="13"/>
        <v>10</v>
      </c>
    </row>
    <row r="87" spans="1:23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3">
        <f t="shared" si="13"/>
        <v>0</v>
      </c>
    </row>
    <row r="88" spans="1:23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V88" si="17">SUM(E81:E87)</f>
        <v>13</v>
      </c>
      <c r="F88" s="13">
        <f t="shared" si="17"/>
        <v>9</v>
      </c>
      <c r="G88" s="13">
        <f t="shared" si="17"/>
        <v>39</v>
      </c>
      <c r="H88" s="13">
        <f t="shared" si="17"/>
        <v>5</v>
      </c>
      <c r="I88" s="13">
        <f t="shared" si="17"/>
        <v>10</v>
      </c>
      <c r="J88" s="13">
        <f t="shared" si="17"/>
        <v>2</v>
      </c>
      <c r="K88" s="13">
        <f t="shared" si="17"/>
        <v>3</v>
      </c>
      <c r="L88" s="13">
        <f t="shared" si="17"/>
        <v>1</v>
      </c>
      <c r="M88" s="13">
        <f t="shared" si="17"/>
        <v>6</v>
      </c>
      <c r="N88" s="13">
        <f t="shared" si="17"/>
        <v>61</v>
      </c>
      <c r="O88" s="13">
        <f t="shared" si="17"/>
        <v>19</v>
      </c>
      <c r="P88" s="13">
        <f t="shared" si="17"/>
        <v>20</v>
      </c>
      <c r="Q88" s="13">
        <f t="shared" si="17"/>
        <v>9</v>
      </c>
      <c r="R88" s="13">
        <f t="shared" si="17"/>
        <v>5</v>
      </c>
      <c r="S88" s="13">
        <f t="shared" si="17"/>
        <v>0</v>
      </c>
      <c r="T88" s="13">
        <f t="shared" si="17"/>
        <v>5</v>
      </c>
      <c r="U88" s="13">
        <f t="shared" si="17"/>
        <v>4</v>
      </c>
      <c r="V88" s="13">
        <f t="shared" si="17"/>
        <v>50</v>
      </c>
      <c r="W88" s="13">
        <f t="shared" si="13"/>
        <v>261</v>
      </c>
    </row>
    <row r="89" spans="1:23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3">
        <f t="shared" si="13"/>
        <v>0</v>
      </c>
    </row>
    <row r="90" spans="1:23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0</v>
      </c>
      <c r="H90" s="15">
        <v>0</v>
      </c>
      <c r="I90" s="15">
        <v>1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3">
        <f t="shared" si="13"/>
        <v>2</v>
      </c>
    </row>
    <row r="91" spans="1:23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1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1</v>
      </c>
      <c r="T91" s="15">
        <v>0</v>
      </c>
      <c r="U91" s="15">
        <v>0</v>
      </c>
      <c r="V91" s="15">
        <v>0</v>
      </c>
      <c r="W91" s="13">
        <f t="shared" si="13"/>
        <v>2</v>
      </c>
    </row>
    <row r="92" spans="1:23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V92" si="18">SUM(E90:E91)</f>
        <v>0</v>
      </c>
      <c r="F92" s="36">
        <f t="shared" si="18"/>
        <v>0</v>
      </c>
      <c r="G92" s="36">
        <f t="shared" si="18"/>
        <v>0</v>
      </c>
      <c r="H92" s="36">
        <f t="shared" si="18"/>
        <v>0</v>
      </c>
      <c r="I92" s="36">
        <f t="shared" si="18"/>
        <v>1</v>
      </c>
      <c r="J92" s="36">
        <f t="shared" si="18"/>
        <v>0</v>
      </c>
      <c r="K92" s="36">
        <f t="shared" si="18"/>
        <v>0</v>
      </c>
      <c r="L92" s="36">
        <f t="shared" si="18"/>
        <v>1</v>
      </c>
      <c r="M92" s="36">
        <f t="shared" si="18"/>
        <v>0</v>
      </c>
      <c r="N92" s="36">
        <f t="shared" si="18"/>
        <v>0</v>
      </c>
      <c r="O92" s="36">
        <f t="shared" si="18"/>
        <v>1</v>
      </c>
      <c r="P92" s="36">
        <f t="shared" si="18"/>
        <v>0</v>
      </c>
      <c r="Q92" s="36">
        <f t="shared" si="18"/>
        <v>0</v>
      </c>
      <c r="R92" s="36">
        <f t="shared" si="18"/>
        <v>0</v>
      </c>
      <c r="S92" s="36">
        <f t="shared" si="18"/>
        <v>1</v>
      </c>
      <c r="T92" s="36">
        <f t="shared" si="18"/>
        <v>0</v>
      </c>
      <c r="U92" s="36">
        <f t="shared" si="18"/>
        <v>0</v>
      </c>
      <c r="V92" s="36">
        <f t="shared" si="18"/>
        <v>0</v>
      </c>
      <c r="W92" s="13">
        <f t="shared" si="13"/>
        <v>4</v>
      </c>
    </row>
    <row r="93" spans="1:23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3">
        <f t="shared" si="13"/>
        <v>0</v>
      </c>
    </row>
    <row r="94" spans="1:23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2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</v>
      </c>
      <c r="P94" s="15">
        <v>0</v>
      </c>
      <c r="Q94" s="15">
        <v>0</v>
      </c>
      <c r="R94" s="15">
        <v>0</v>
      </c>
      <c r="S94" s="15">
        <v>1</v>
      </c>
      <c r="T94" s="15">
        <v>0</v>
      </c>
      <c r="U94" s="15">
        <v>1</v>
      </c>
      <c r="V94" s="15">
        <v>1</v>
      </c>
      <c r="W94" s="13">
        <f t="shared" si="13"/>
        <v>7</v>
      </c>
    </row>
    <row r="95" spans="1:23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1</v>
      </c>
      <c r="P95" s="15">
        <v>2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3">
        <f t="shared" si="13"/>
        <v>4</v>
      </c>
    </row>
    <row r="96" spans="1:23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3">
        <f t="shared" si="13"/>
        <v>0</v>
      </c>
    </row>
    <row r="97" spans="1:23" ht="12.75" customHeight="1" x14ac:dyDescent="0.4">
      <c r="A97" s="19"/>
      <c r="B97" s="27"/>
      <c r="C97" s="28" t="s">
        <v>83</v>
      </c>
      <c r="D97" s="29"/>
      <c r="E97" s="15">
        <v>1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1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3">
        <f t="shared" si="13"/>
        <v>2</v>
      </c>
    </row>
    <row r="98" spans="1:23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1</v>
      </c>
      <c r="U98" s="15">
        <v>0</v>
      </c>
      <c r="V98" s="15">
        <v>0</v>
      </c>
      <c r="W98" s="13">
        <f t="shared" si="13"/>
        <v>1</v>
      </c>
    </row>
    <row r="99" spans="1:23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3">
        <f t="shared" si="13"/>
        <v>0</v>
      </c>
    </row>
    <row r="100" spans="1:23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3">
        <f t="shared" si="13"/>
        <v>0</v>
      </c>
    </row>
    <row r="101" spans="1:23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V101" si="19">SUM(E94:E100)</f>
        <v>3</v>
      </c>
      <c r="F101" s="13">
        <f t="shared" si="19"/>
        <v>0</v>
      </c>
      <c r="G101" s="13">
        <f t="shared" si="19"/>
        <v>0</v>
      </c>
      <c r="H101" s="13">
        <f t="shared" si="19"/>
        <v>0</v>
      </c>
      <c r="I101" s="13">
        <f t="shared" si="19"/>
        <v>1</v>
      </c>
      <c r="J101" s="13">
        <f t="shared" si="19"/>
        <v>0</v>
      </c>
      <c r="K101" s="13">
        <f t="shared" si="19"/>
        <v>0</v>
      </c>
      <c r="L101" s="13">
        <f t="shared" si="19"/>
        <v>0</v>
      </c>
      <c r="M101" s="13">
        <f t="shared" si="19"/>
        <v>1</v>
      </c>
      <c r="N101" s="13">
        <f t="shared" si="19"/>
        <v>0</v>
      </c>
      <c r="O101" s="13">
        <f t="shared" si="19"/>
        <v>2</v>
      </c>
      <c r="P101" s="13">
        <f t="shared" si="19"/>
        <v>2</v>
      </c>
      <c r="Q101" s="13">
        <f t="shared" si="19"/>
        <v>1</v>
      </c>
      <c r="R101" s="13">
        <f t="shared" si="19"/>
        <v>0</v>
      </c>
      <c r="S101" s="13">
        <f t="shared" si="19"/>
        <v>1</v>
      </c>
      <c r="T101" s="13">
        <f t="shared" si="19"/>
        <v>1</v>
      </c>
      <c r="U101" s="13">
        <f t="shared" si="19"/>
        <v>1</v>
      </c>
      <c r="V101" s="13">
        <f t="shared" si="19"/>
        <v>1</v>
      </c>
      <c r="W101" s="13">
        <f t="shared" si="13"/>
        <v>14</v>
      </c>
    </row>
    <row r="102" spans="1:23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3">
        <f t="shared" si="13"/>
        <v>0</v>
      </c>
    </row>
    <row r="103" spans="1:23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0</v>
      </c>
      <c r="H103" s="15">
        <v>1</v>
      </c>
      <c r="I103" s="15">
        <v>0</v>
      </c>
      <c r="J103" s="15">
        <v>1</v>
      </c>
      <c r="K103" s="15">
        <v>0</v>
      </c>
      <c r="L103" s="15">
        <v>0</v>
      </c>
      <c r="M103" s="15">
        <v>1</v>
      </c>
      <c r="N103" s="15">
        <v>0</v>
      </c>
      <c r="O103" s="15">
        <v>1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3">
        <f t="shared" si="13"/>
        <v>4</v>
      </c>
    </row>
    <row r="104" spans="1:23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3</v>
      </c>
      <c r="I104" s="15">
        <v>3</v>
      </c>
      <c r="J104" s="15">
        <v>5</v>
      </c>
      <c r="K104" s="15">
        <v>0</v>
      </c>
      <c r="L104" s="15">
        <v>0</v>
      </c>
      <c r="M104" s="15">
        <v>0</v>
      </c>
      <c r="N104" s="15">
        <v>0</v>
      </c>
      <c r="O104" s="15">
        <v>1</v>
      </c>
      <c r="P104" s="15">
        <v>0</v>
      </c>
      <c r="Q104" s="15">
        <v>1</v>
      </c>
      <c r="R104" s="15">
        <v>2</v>
      </c>
      <c r="S104" s="15">
        <v>0</v>
      </c>
      <c r="T104" s="15">
        <v>1</v>
      </c>
      <c r="U104" s="15">
        <v>0</v>
      </c>
      <c r="V104" s="15">
        <v>0</v>
      </c>
      <c r="W104" s="13">
        <f t="shared" si="13"/>
        <v>16</v>
      </c>
    </row>
    <row r="105" spans="1:23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3">
        <f t="shared" si="13"/>
        <v>0</v>
      </c>
    </row>
    <row r="106" spans="1:23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3">
        <f t="shared" si="13"/>
        <v>0</v>
      </c>
    </row>
    <row r="107" spans="1:23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3">
        <f t="shared" si="13"/>
        <v>0</v>
      </c>
    </row>
    <row r="108" spans="1:23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3">
        <f t="shared" si="13"/>
        <v>0</v>
      </c>
    </row>
    <row r="109" spans="1:23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3">
        <f t="shared" si="13"/>
        <v>0</v>
      </c>
    </row>
    <row r="110" spans="1:23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V110" si="20">SUM(E103:E109)</f>
        <v>0</v>
      </c>
      <c r="F110" s="13">
        <f t="shared" si="20"/>
        <v>0</v>
      </c>
      <c r="G110" s="13">
        <f t="shared" si="20"/>
        <v>0</v>
      </c>
      <c r="H110" s="13">
        <f t="shared" si="20"/>
        <v>4</v>
      </c>
      <c r="I110" s="13">
        <f t="shared" si="20"/>
        <v>3</v>
      </c>
      <c r="J110" s="13">
        <f t="shared" si="20"/>
        <v>6</v>
      </c>
      <c r="K110" s="13">
        <f t="shared" si="20"/>
        <v>0</v>
      </c>
      <c r="L110" s="13">
        <f t="shared" si="20"/>
        <v>0</v>
      </c>
      <c r="M110" s="13">
        <f t="shared" si="20"/>
        <v>1</v>
      </c>
      <c r="N110" s="13">
        <f t="shared" si="20"/>
        <v>0</v>
      </c>
      <c r="O110" s="13">
        <f t="shared" si="20"/>
        <v>2</v>
      </c>
      <c r="P110" s="13">
        <f t="shared" si="20"/>
        <v>0</v>
      </c>
      <c r="Q110" s="13">
        <f t="shared" si="20"/>
        <v>1</v>
      </c>
      <c r="R110" s="13">
        <f t="shared" si="20"/>
        <v>2</v>
      </c>
      <c r="S110" s="13">
        <f t="shared" si="20"/>
        <v>0</v>
      </c>
      <c r="T110" s="13">
        <f t="shared" si="20"/>
        <v>1</v>
      </c>
      <c r="U110" s="13">
        <f t="shared" si="20"/>
        <v>0</v>
      </c>
      <c r="V110" s="13">
        <f t="shared" si="20"/>
        <v>0</v>
      </c>
      <c r="W110" s="13">
        <f t="shared" si="13"/>
        <v>20</v>
      </c>
    </row>
    <row r="111" spans="1:23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3">
        <f t="shared" si="13"/>
        <v>0</v>
      </c>
    </row>
    <row r="112" spans="1:23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3">
        <f t="shared" si="13"/>
        <v>0</v>
      </c>
    </row>
    <row r="113" spans="1:25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3">
        <f t="shared" si="13"/>
        <v>0</v>
      </c>
    </row>
    <row r="114" spans="1:25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1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3">
        <f t="shared" si="13"/>
        <v>1</v>
      </c>
    </row>
    <row r="115" spans="1:25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3">
        <f t="shared" si="13"/>
        <v>0</v>
      </c>
    </row>
    <row r="116" spans="1:25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3">
        <f t="shared" si="13"/>
        <v>0</v>
      </c>
    </row>
    <row r="117" spans="1:25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3">
        <f t="shared" si="13"/>
        <v>0</v>
      </c>
      <c r="X117" s="5"/>
      <c r="Y117" s="5"/>
    </row>
    <row r="118" spans="1:25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3">
        <f t="shared" si="13"/>
        <v>0</v>
      </c>
      <c r="X118" s="5"/>
      <c r="Y118" s="5"/>
    </row>
    <row r="119" spans="1:25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V119" si="21">SUM(E112:E118)</f>
        <v>0</v>
      </c>
      <c r="F119" s="13">
        <f t="shared" si="21"/>
        <v>0</v>
      </c>
      <c r="G119" s="13">
        <f t="shared" si="21"/>
        <v>0</v>
      </c>
      <c r="H119" s="13">
        <f t="shared" si="21"/>
        <v>0</v>
      </c>
      <c r="I119" s="13">
        <f t="shared" si="21"/>
        <v>0</v>
      </c>
      <c r="J119" s="13">
        <f t="shared" si="21"/>
        <v>0</v>
      </c>
      <c r="K119" s="13">
        <f t="shared" si="21"/>
        <v>0</v>
      </c>
      <c r="L119" s="13">
        <f t="shared" si="21"/>
        <v>0</v>
      </c>
      <c r="M119" s="13">
        <f t="shared" si="21"/>
        <v>0</v>
      </c>
      <c r="N119" s="13">
        <f t="shared" si="21"/>
        <v>0</v>
      </c>
      <c r="O119" s="13">
        <f t="shared" si="21"/>
        <v>0</v>
      </c>
      <c r="P119" s="13">
        <f t="shared" si="21"/>
        <v>0</v>
      </c>
      <c r="Q119" s="13">
        <f t="shared" si="21"/>
        <v>1</v>
      </c>
      <c r="R119" s="13">
        <f t="shared" si="21"/>
        <v>0</v>
      </c>
      <c r="S119" s="13">
        <f t="shared" si="21"/>
        <v>0</v>
      </c>
      <c r="T119" s="13">
        <f t="shared" si="21"/>
        <v>0</v>
      </c>
      <c r="U119" s="13">
        <f t="shared" si="21"/>
        <v>0</v>
      </c>
      <c r="V119" s="13">
        <f t="shared" si="21"/>
        <v>0</v>
      </c>
      <c r="W119" s="13">
        <f t="shared" si="13"/>
        <v>1</v>
      </c>
      <c r="X119" s="5"/>
      <c r="Y119" s="5"/>
    </row>
    <row r="120" spans="1:25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3">
        <f t="shared" si="13"/>
        <v>0</v>
      </c>
      <c r="X120" s="5"/>
      <c r="Y120" s="5"/>
    </row>
    <row r="121" spans="1:25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2</v>
      </c>
      <c r="U121" s="15">
        <v>0</v>
      </c>
      <c r="V121" s="15">
        <v>0</v>
      </c>
      <c r="W121" s="13">
        <f t="shared" si="13"/>
        <v>2</v>
      </c>
      <c r="X121" s="5"/>
      <c r="Y121" s="5"/>
    </row>
    <row r="122" spans="1:25" ht="12.75" customHeight="1" x14ac:dyDescent="0.4">
      <c r="A122" s="19" t="s">
        <v>39</v>
      </c>
      <c r="B122" s="27"/>
      <c r="C122" s="28" t="s">
        <v>105</v>
      </c>
      <c r="D122" s="29"/>
      <c r="E122" s="15">
        <v>1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3">
        <f t="shared" si="13"/>
        <v>3</v>
      </c>
      <c r="X122" s="5"/>
      <c r="Y122" s="5"/>
    </row>
    <row r="123" spans="1:25" ht="12.75" customHeight="1" x14ac:dyDescent="0.4">
      <c r="A123" s="14"/>
      <c r="B123" s="27"/>
      <c r="C123" s="28" t="s">
        <v>106</v>
      </c>
      <c r="D123" s="29"/>
      <c r="E123" s="15">
        <v>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3">
        <f t="shared" si="13"/>
        <v>1</v>
      </c>
      <c r="X123" s="5"/>
      <c r="Y123" s="5"/>
    </row>
    <row r="124" spans="1:25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3">
        <f t="shared" si="13"/>
        <v>0</v>
      </c>
      <c r="X124" s="5"/>
      <c r="Y124" s="5"/>
    </row>
    <row r="125" spans="1:25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1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1</v>
      </c>
      <c r="U125" s="15">
        <v>0</v>
      </c>
      <c r="V125" s="15">
        <v>0</v>
      </c>
      <c r="W125" s="13">
        <f t="shared" si="13"/>
        <v>2</v>
      </c>
      <c r="X125" s="5"/>
      <c r="Y125" s="5"/>
    </row>
    <row r="126" spans="1:25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3">
        <f t="shared" si="13"/>
        <v>0</v>
      </c>
      <c r="X126" s="5"/>
      <c r="Y126" s="5"/>
    </row>
    <row r="127" spans="1:25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3">
        <f t="shared" si="13"/>
        <v>0</v>
      </c>
      <c r="X127" s="5"/>
      <c r="Y127" s="5"/>
    </row>
    <row r="128" spans="1:25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V128" si="22">SUM(E121:E127)</f>
        <v>2</v>
      </c>
      <c r="F128" s="13">
        <f t="shared" si="22"/>
        <v>0</v>
      </c>
      <c r="G128" s="13">
        <f t="shared" si="22"/>
        <v>0</v>
      </c>
      <c r="H128" s="13">
        <f t="shared" si="22"/>
        <v>0</v>
      </c>
      <c r="I128" s="13">
        <f t="shared" si="22"/>
        <v>0</v>
      </c>
      <c r="J128" s="13">
        <f t="shared" si="22"/>
        <v>1</v>
      </c>
      <c r="K128" s="13">
        <f t="shared" si="22"/>
        <v>1</v>
      </c>
      <c r="L128" s="13">
        <f t="shared" si="22"/>
        <v>0</v>
      </c>
      <c r="M128" s="13">
        <f t="shared" si="22"/>
        <v>0</v>
      </c>
      <c r="N128" s="13">
        <f t="shared" si="22"/>
        <v>0</v>
      </c>
      <c r="O128" s="13">
        <f t="shared" si="22"/>
        <v>0</v>
      </c>
      <c r="P128" s="13">
        <f t="shared" si="22"/>
        <v>1</v>
      </c>
      <c r="Q128" s="13">
        <f t="shared" si="22"/>
        <v>0</v>
      </c>
      <c r="R128" s="13">
        <f t="shared" si="22"/>
        <v>0</v>
      </c>
      <c r="S128" s="13">
        <f t="shared" si="22"/>
        <v>0</v>
      </c>
      <c r="T128" s="13">
        <f t="shared" si="22"/>
        <v>3</v>
      </c>
      <c r="U128" s="13">
        <f t="shared" si="22"/>
        <v>0</v>
      </c>
      <c r="V128" s="13">
        <f t="shared" si="22"/>
        <v>0</v>
      </c>
      <c r="W128" s="13">
        <f t="shared" si="13"/>
        <v>8</v>
      </c>
      <c r="X128" s="5"/>
      <c r="Y128" s="5"/>
    </row>
    <row r="129" spans="1:25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3">
        <f t="shared" si="13"/>
        <v>0</v>
      </c>
      <c r="X129" s="5"/>
      <c r="Y129" s="5"/>
    </row>
    <row r="130" spans="1:25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</v>
      </c>
      <c r="T130" s="15">
        <v>0</v>
      </c>
      <c r="U130" s="15">
        <v>1</v>
      </c>
      <c r="V130" s="15">
        <v>0</v>
      </c>
      <c r="W130" s="13">
        <f t="shared" si="13"/>
        <v>2</v>
      </c>
      <c r="X130" s="1"/>
      <c r="Y130" s="1"/>
    </row>
    <row r="131" spans="1:25" ht="12.75" customHeight="1" x14ac:dyDescent="0.4">
      <c r="A131" s="19" t="s">
        <v>39</v>
      </c>
      <c r="B131" s="27"/>
      <c r="C131" s="28" t="s">
        <v>113</v>
      </c>
      <c r="D131" s="29"/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3">
        <f t="shared" si="13"/>
        <v>0</v>
      </c>
      <c r="X131" s="31"/>
      <c r="Y131" s="31"/>
    </row>
    <row r="132" spans="1:25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V132" si="23">SUM(E130:E131)</f>
        <v>0</v>
      </c>
      <c r="F132" s="13">
        <f t="shared" si="23"/>
        <v>0</v>
      </c>
      <c r="G132" s="13">
        <f t="shared" si="23"/>
        <v>0</v>
      </c>
      <c r="H132" s="13">
        <f t="shared" si="23"/>
        <v>0</v>
      </c>
      <c r="I132" s="13">
        <f t="shared" si="23"/>
        <v>0</v>
      </c>
      <c r="J132" s="13">
        <f t="shared" si="23"/>
        <v>0</v>
      </c>
      <c r="K132" s="13">
        <f t="shared" si="23"/>
        <v>0</v>
      </c>
      <c r="L132" s="13">
        <f t="shared" si="23"/>
        <v>0</v>
      </c>
      <c r="M132" s="13">
        <f t="shared" si="23"/>
        <v>0</v>
      </c>
      <c r="N132" s="13">
        <f t="shared" si="23"/>
        <v>0</v>
      </c>
      <c r="O132" s="13">
        <f t="shared" si="23"/>
        <v>0</v>
      </c>
      <c r="P132" s="13">
        <f t="shared" si="23"/>
        <v>0</v>
      </c>
      <c r="Q132" s="13">
        <f t="shared" si="23"/>
        <v>0</v>
      </c>
      <c r="R132" s="13">
        <f t="shared" si="23"/>
        <v>0</v>
      </c>
      <c r="S132" s="13">
        <f t="shared" si="23"/>
        <v>1</v>
      </c>
      <c r="T132" s="13">
        <f t="shared" si="23"/>
        <v>0</v>
      </c>
      <c r="U132" s="13">
        <f t="shared" si="23"/>
        <v>1</v>
      </c>
      <c r="V132" s="13">
        <f t="shared" si="23"/>
        <v>0</v>
      </c>
      <c r="W132" s="13">
        <f t="shared" si="13"/>
        <v>2</v>
      </c>
      <c r="X132" s="5"/>
      <c r="Y132" s="5"/>
    </row>
    <row r="133" spans="1:25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3">
        <f t="shared" si="13"/>
        <v>0</v>
      </c>
      <c r="X133" s="5"/>
      <c r="Y133" s="5"/>
    </row>
    <row r="134" spans="1:25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1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3">
        <f t="shared" si="13"/>
        <v>3</v>
      </c>
      <c r="X134" s="5"/>
      <c r="Y134" s="5"/>
    </row>
    <row r="135" spans="1:25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3">
        <f t="shared" si="13"/>
        <v>0</v>
      </c>
      <c r="X135" s="5"/>
      <c r="Y135" s="5"/>
    </row>
    <row r="136" spans="1:25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3">
        <f t="shared" si="13"/>
        <v>0</v>
      </c>
      <c r="X136" s="5"/>
      <c r="Y136" s="5"/>
    </row>
    <row r="137" spans="1:25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1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3">
        <f t="shared" si="13"/>
        <v>1</v>
      </c>
      <c r="X137" s="5"/>
      <c r="Y137" s="5"/>
    </row>
    <row r="138" spans="1:25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3">
        <f t="shared" si="13"/>
        <v>1</v>
      </c>
      <c r="X138" s="5"/>
      <c r="Y138" s="5"/>
    </row>
    <row r="139" spans="1:25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3">
        <f t="shared" si="13"/>
        <v>0</v>
      </c>
      <c r="X139" s="5"/>
      <c r="Y139" s="5"/>
    </row>
    <row r="140" spans="1:25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3">
        <f t="shared" si="13"/>
        <v>0</v>
      </c>
      <c r="X140" s="5"/>
      <c r="Y140" s="5"/>
    </row>
    <row r="141" spans="1:25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V141" si="24">SUM(E134:E140)</f>
        <v>1</v>
      </c>
      <c r="F141" s="13">
        <f t="shared" si="24"/>
        <v>0</v>
      </c>
      <c r="G141" s="13">
        <f t="shared" si="24"/>
        <v>1</v>
      </c>
      <c r="H141" s="13">
        <f t="shared" si="24"/>
        <v>1</v>
      </c>
      <c r="I141" s="13">
        <f t="shared" si="24"/>
        <v>0</v>
      </c>
      <c r="J141" s="13">
        <f t="shared" si="24"/>
        <v>0</v>
      </c>
      <c r="K141" s="13">
        <f t="shared" si="24"/>
        <v>0</v>
      </c>
      <c r="L141" s="13">
        <f t="shared" si="24"/>
        <v>0</v>
      </c>
      <c r="M141" s="13">
        <f t="shared" si="24"/>
        <v>0</v>
      </c>
      <c r="N141" s="13">
        <f t="shared" si="24"/>
        <v>0</v>
      </c>
      <c r="O141" s="13">
        <f t="shared" si="24"/>
        <v>0</v>
      </c>
      <c r="P141" s="13">
        <f t="shared" si="24"/>
        <v>0</v>
      </c>
      <c r="Q141" s="13">
        <f t="shared" si="24"/>
        <v>1</v>
      </c>
      <c r="R141" s="13">
        <f t="shared" si="24"/>
        <v>1</v>
      </c>
      <c r="S141" s="13">
        <f t="shared" si="24"/>
        <v>0</v>
      </c>
      <c r="T141" s="13">
        <f t="shared" si="24"/>
        <v>0</v>
      </c>
      <c r="U141" s="13">
        <f t="shared" si="24"/>
        <v>0</v>
      </c>
      <c r="V141" s="13">
        <f t="shared" si="24"/>
        <v>0</v>
      </c>
      <c r="W141" s="13">
        <f t="shared" si="13"/>
        <v>5</v>
      </c>
      <c r="X141" s="1"/>
      <c r="Y141" s="1"/>
    </row>
    <row r="142" spans="1:25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3">
        <f t="shared" si="13"/>
        <v>0</v>
      </c>
      <c r="X142" s="31"/>
      <c r="Y142" s="31"/>
    </row>
    <row r="143" spans="1:25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3">
        <f t="shared" si="13"/>
        <v>3</v>
      </c>
      <c r="X143" s="5"/>
      <c r="Y143" s="5"/>
    </row>
    <row r="144" spans="1:25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1</v>
      </c>
      <c r="U144" s="15">
        <v>0</v>
      </c>
      <c r="V144" s="15">
        <v>0</v>
      </c>
      <c r="W144" s="13">
        <f t="shared" si="13"/>
        <v>1</v>
      </c>
      <c r="X144" s="5"/>
      <c r="Y144" s="5"/>
    </row>
    <row r="145" spans="1:25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1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3">
        <f t="shared" si="13"/>
        <v>1</v>
      </c>
      <c r="X145" s="5"/>
      <c r="Y145" s="5"/>
    </row>
    <row r="146" spans="1:25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3">
        <f t="shared" si="13"/>
        <v>0</v>
      </c>
      <c r="X146" s="5"/>
      <c r="Y146" s="5"/>
    </row>
    <row r="147" spans="1:25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3">
        <f t="shared" si="13"/>
        <v>0</v>
      </c>
      <c r="X147" s="5"/>
      <c r="Y147" s="5"/>
    </row>
    <row r="148" spans="1:25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3">
        <f t="shared" si="13"/>
        <v>0</v>
      </c>
      <c r="X148" s="5"/>
      <c r="Y148" s="5"/>
    </row>
    <row r="149" spans="1:25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3">
        <f t="shared" si="13"/>
        <v>0</v>
      </c>
      <c r="X149" s="5"/>
      <c r="Y149" s="5"/>
    </row>
    <row r="150" spans="1:25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V150" si="25">SUM(E143:E149)</f>
        <v>0</v>
      </c>
      <c r="F150" s="13">
        <f t="shared" si="25"/>
        <v>1</v>
      </c>
      <c r="G150" s="13">
        <f t="shared" si="25"/>
        <v>0</v>
      </c>
      <c r="H150" s="13">
        <f t="shared" si="25"/>
        <v>0</v>
      </c>
      <c r="I150" s="13">
        <f t="shared" si="25"/>
        <v>0</v>
      </c>
      <c r="J150" s="13">
        <f t="shared" si="25"/>
        <v>0</v>
      </c>
      <c r="K150" s="13">
        <f t="shared" si="25"/>
        <v>0</v>
      </c>
      <c r="L150" s="13">
        <f t="shared" si="25"/>
        <v>0</v>
      </c>
      <c r="M150" s="13">
        <f t="shared" si="25"/>
        <v>1</v>
      </c>
      <c r="N150" s="13">
        <f t="shared" si="25"/>
        <v>0</v>
      </c>
      <c r="O150" s="13">
        <f t="shared" si="25"/>
        <v>1</v>
      </c>
      <c r="P150" s="13">
        <f t="shared" si="25"/>
        <v>0</v>
      </c>
      <c r="Q150" s="13">
        <f t="shared" si="25"/>
        <v>0</v>
      </c>
      <c r="R150" s="13">
        <f t="shared" si="25"/>
        <v>1</v>
      </c>
      <c r="S150" s="13">
        <f t="shared" si="25"/>
        <v>0</v>
      </c>
      <c r="T150" s="13">
        <f t="shared" si="25"/>
        <v>1</v>
      </c>
      <c r="U150" s="13">
        <f t="shared" si="25"/>
        <v>0</v>
      </c>
      <c r="V150" s="13">
        <f t="shared" si="25"/>
        <v>0</v>
      </c>
      <c r="W150" s="13">
        <f t="shared" si="13"/>
        <v>5</v>
      </c>
      <c r="X150" s="5"/>
      <c r="Y150" s="5"/>
    </row>
    <row r="151" spans="1:25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3">
        <f t="shared" si="13"/>
        <v>0</v>
      </c>
      <c r="X151" s="1"/>
      <c r="Y151" s="1"/>
    </row>
    <row r="152" spans="1:25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9</v>
      </c>
      <c r="F152" s="15">
        <v>5</v>
      </c>
      <c r="G152" s="15">
        <v>6</v>
      </c>
      <c r="H152" s="15">
        <v>3</v>
      </c>
      <c r="I152" s="15">
        <v>5</v>
      </c>
      <c r="J152" s="15">
        <v>11</v>
      </c>
      <c r="K152" s="15">
        <v>1</v>
      </c>
      <c r="L152" s="15">
        <v>8</v>
      </c>
      <c r="M152" s="15">
        <v>1</v>
      </c>
      <c r="N152" s="15">
        <v>3</v>
      </c>
      <c r="O152" s="15">
        <v>9</v>
      </c>
      <c r="P152" s="15">
        <v>5</v>
      </c>
      <c r="Q152" s="15">
        <v>4</v>
      </c>
      <c r="R152" s="15">
        <v>10</v>
      </c>
      <c r="S152" s="15">
        <v>4</v>
      </c>
      <c r="T152" s="15">
        <v>15</v>
      </c>
      <c r="U152" s="15">
        <v>7</v>
      </c>
      <c r="V152" s="15">
        <v>3</v>
      </c>
      <c r="W152" s="13">
        <f t="shared" si="13"/>
        <v>109</v>
      </c>
      <c r="X152" s="31"/>
      <c r="Y152" s="31"/>
    </row>
    <row r="153" spans="1:25" ht="12.75" customHeight="1" x14ac:dyDescent="0.4">
      <c r="A153" s="19" t="s">
        <v>39</v>
      </c>
      <c r="B153" s="27"/>
      <c r="C153" s="28" t="s">
        <v>132</v>
      </c>
      <c r="D153" s="29"/>
      <c r="E153" s="15">
        <v>1</v>
      </c>
      <c r="F153" s="15">
        <v>0</v>
      </c>
      <c r="G153" s="15">
        <v>0</v>
      </c>
      <c r="H153" s="15">
        <v>1</v>
      </c>
      <c r="I153" s="15">
        <v>0</v>
      </c>
      <c r="J153" s="15">
        <v>1</v>
      </c>
      <c r="K153" s="15">
        <v>4</v>
      </c>
      <c r="L153" s="15">
        <v>2</v>
      </c>
      <c r="M153" s="15">
        <v>2</v>
      </c>
      <c r="N153" s="15">
        <v>0</v>
      </c>
      <c r="O153" s="15">
        <v>3</v>
      </c>
      <c r="P153" s="15">
        <v>6</v>
      </c>
      <c r="Q153" s="15">
        <v>0</v>
      </c>
      <c r="R153" s="15">
        <v>11</v>
      </c>
      <c r="S153" s="15">
        <v>0</v>
      </c>
      <c r="T153" s="15">
        <v>4</v>
      </c>
      <c r="U153" s="15">
        <v>7</v>
      </c>
      <c r="V153" s="15">
        <v>9</v>
      </c>
      <c r="W153" s="13">
        <f t="shared" si="13"/>
        <v>51</v>
      </c>
      <c r="X153" s="5"/>
      <c r="Y153" s="5"/>
    </row>
    <row r="154" spans="1:25" ht="12.75" customHeight="1" x14ac:dyDescent="0.4">
      <c r="A154" s="14"/>
      <c r="B154" s="27"/>
      <c r="C154" s="28" t="s">
        <v>133</v>
      </c>
      <c r="D154" s="29"/>
      <c r="E154" s="15">
        <v>2</v>
      </c>
      <c r="F154" s="15">
        <v>3</v>
      </c>
      <c r="G154" s="15">
        <v>1</v>
      </c>
      <c r="H154" s="15">
        <v>1</v>
      </c>
      <c r="I154" s="15">
        <v>2</v>
      </c>
      <c r="J154" s="15">
        <v>3</v>
      </c>
      <c r="K154" s="15">
        <v>1</v>
      </c>
      <c r="L154" s="15">
        <v>1</v>
      </c>
      <c r="M154" s="15">
        <v>2</v>
      </c>
      <c r="N154" s="15">
        <v>3</v>
      </c>
      <c r="O154" s="15">
        <v>2</v>
      </c>
      <c r="P154" s="15">
        <v>2</v>
      </c>
      <c r="Q154" s="15">
        <v>1</v>
      </c>
      <c r="R154" s="15">
        <v>1</v>
      </c>
      <c r="S154" s="15">
        <v>1</v>
      </c>
      <c r="T154" s="15">
        <v>4</v>
      </c>
      <c r="U154" s="15">
        <v>0</v>
      </c>
      <c r="V154" s="15">
        <v>3</v>
      </c>
      <c r="W154" s="13">
        <f t="shared" si="13"/>
        <v>33</v>
      </c>
      <c r="X154" s="5"/>
      <c r="Y154" s="5"/>
    </row>
    <row r="155" spans="1:25" ht="12.75" customHeight="1" x14ac:dyDescent="0.4">
      <c r="A155" s="14"/>
      <c r="B155" s="27"/>
      <c r="C155" s="28" t="s">
        <v>134</v>
      </c>
      <c r="D155" s="29"/>
      <c r="E155" s="15">
        <v>76</v>
      </c>
      <c r="F155" s="15">
        <v>88</v>
      </c>
      <c r="G155" s="15">
        <v>71</v>
      </c>
      <c r="H155" s="15">
        <v>76</v>
      </c>
      <c r="I155" s="15">
        <v>38</v>
      </c>
      <c r="J155" s="15">
        <v>113</v>
      </c>
      <c r="K155" s="15">
        <v>98</v>
      </c>
      <c r="L155" s="15">
        <v>114</v>
      </c>
      <c r="M155" s="15">
        <v>144</v>
      </c>
      <c r="N155" s="15">
        <v>54</v>
      </c>
      <c r="O155" s="15">
        <v>57</v>
      </c>
      <c r="P155" s="15">
        <v>40</v>
      </c>
      <c r="Q155" s="15">
        <v>27</v>
      </c>
      <c r="R155" s="15">
        <v>46</v>
      </c>
      <c r="S155" s="15">
        <v>46</v>
      </c>
      <c r="T155" s="15">
        <v>95</v>
      </c>
      <c r="U155" s="15">
        <v>118</v>
      </c>
      <c r="V155" s="15">
        <v>30</v>
      </c>
      <c r="W155" s="13">
        <f t="shared" si="13"/>
        <v>1331</v>
      </c>
      <c r="X155" s="5"/>
      <c r="Y155" s="5"/>
    </row>
    <row r="156" spans="1:25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1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3">
        <f t="shared" si="13"/>
        <v>2</v>
      </c>
      <c r="X156" s="5"/>
      <c r="Y156" s="5"/>
    </row>
    <row r="157" spans="1:25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3">
        <f t="shared" si="13"/>
        <v>0</v>
      </c>
      <c r="X157" s="5"/>
      <c r="Y157" s="5"/>
    </row>
    <row r="158" spans="1:25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1</v>
      </c>
      <c r="M158" s="15">
        <v>0</v>
      </c>
      <c r="N158" s="15">
        <v>0</v>
      </c>
      <c r="O158" s="15">
        <v>4</v>
      </c>
      <c r="P158" s="15">
        <v>1</v>
      </c>
      <c r="Q158" s="15">
        <v>0</v>
      </c>
      <c r="R158" s="15">
        <v>0</v>
      </c>
      <c r="S158" s="15">
        <v>0</v>
      </c>
      <c r="T158" s="15">
        <v>0</v>
      </c>
      <c r="U158" s="15">
        <v>3</v>
      </c>
      <c r="V158" s="15">
        <v>0</v>
      </c>
      <c r="W158" s="13">
        <f t="shared" si="13"/>
        <v>9</v>
      </c>
      <c r="X158" s="5"/>
      <c r="Y158" s="5"/>
    </row>
    <row r="159" spans="1:25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V159" si="26">SUM(E152:E158)</f>
        <v>88</v>
      </c>
      <c r="F159" s="13">
        <f t="shared" si="26"/>
        <v>96</v>
      </c>
      <c r="G159" s="13">
        <f t="shared" si="26"/>
        <v>78</v>
      </c>
      <c r="H159" s="13">
        <f t="shared" si="26"/>
        <v>81</v>
      </c>
      <c r="I159" s="13">
        <f t="shared" si="26"/>
        <v>45</v>
      </c>
      <c r="J159" s="13">
        <f t="shared" si="26"/>
        <v>128</v>
      </c>
      <c r="K159" s="13">
        <f t="shared" si="26"/>
        <v>104</v>
      </c>
      <c r="L159" s="13">
        <f t="shared" si="26"/>
        <v>127</v>
      </c>
      <c r="M159" s="13">
        <f t="shared" si="26"/>
        <v>149</v>
      </c>
      <c r="N159" s="13">
        <f t="shared" si="26"/>
        <v>60</v>
      </c>
      <c r="O159" s="13">
        <f t="shared" si="26"/>
        <v>75</v>
      </c>
      <c r="P159" s="13">
        <f t="shared" si="26"/>
        <v>54</v>
      </c>
      <c r="Q159" s="13">
        <f t="shared" si="26"/>
        <v>32</v>
      </c>
      <c r="R159" s="13">
        <f t="shared" si="26"/>
        <v>69</v>
      </c>
      <c r="S159" s="13">
        <f t="shared" si="26"/>
        <v>51</v>
      </c>
      <c r="T159" s="13">
        <f t="shared" si="26"/>
        <v>118</v>
      </c>
      <c r="U159" s="13">
        <f t="shared" si="26"/>
        <v>135</v>
      </c>
      <c r="V159" s="13">
        <f t="shared" si="26"/>
        <v>45</v>
      </c>
      <c r="W159" s="13">
        <f t="shared" si="13"/>
        <v>1535</v>
      </c>
      <c r="X159" s="5"/>
      <c r="Y159" s="5"/>
    </row>
    <row r="160" spans="1:25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3">
        <f t="shared" si="13"/>
        <v>0</v>
      </c>
      <c r="X160" s="5"/>
      <c r="Y160" s="5"/>
    </row>
    <row r="161" spans="1:25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0</v>
      </c>
      <c r="G161" s="46">
        <v>0</v>
      </c>
      <c r="H161" s="46">
        <v>0</v>
      </c>
      <c r="I161" s="46">
        <v>2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1</v>
      </c>
      <c r="Q161" s="46">
        <v>1</v>
      </c>
      <c r="R161" s="46">
        <v>2</v>
      </c>
      <c r="S161" s="46">
        <v>0</v>
      </c>
      <c r="T161" s="46">
        <v>0</v>
      </c>
      <c r="U161" s="46">
        <v>1</v>
      </c>
      <c r="V161" s="46">
        <v>1</v>
      </c>
      <c r="W161" s="13">
        <f t="shared" si="13"/>
        <v>8</v>
      </c>
      <c r="X161" s="5"/>
      <c r="Y161" s="5"/>
    </row>
    <row r="162" spans="1:25" ht="12.75" customHeight="1" x14ac:dyDescent="0.4">
      <c r="A162" s="19" t="s">
        <v>39</v>
      </c>
      <c r="B162" s="27"/>
      <c r="C162" s="28" t="s">
        <v>140</v>
      </c>
      <c r="D162" s="29"/>
      <c r="E162" s="46">
        <v>1</v>
      </c>
      <c r="F162" s="46">
        <v>1</v>
      </c>
      <c r="G162" s="46">
        <v>0</v>
      </c>
      <c r="H162" s="46">
        <v>0</v>
      </c>
      <c r="I162" s="46">
        <v>0</v>
      </c>
      <c r="J162" s="46">
        <v>0</v>
      </c>
      <c r="K162" s="46">
        <v>0</v>
      </c>
      <c r="L162" s="46">
        <v>1</v>
      </c>
      <c r="M162" s="46">
        <v>0</v>
      </c>
      <c r="N162" s="46">
        <v>0</v>
      </c>
      <c r="O162" s="46">
        <v>1</v>
      </c>
      <c r="P162" s="46">
        <v>0</v>
      </c>
      <c r="Q162" s="46">
        <v>3</v>
      </c>
      <c r="R162" s="46">
        <v>0</v>
      </c>
      <c r="S162" s="46">
        <v>0</v>
      </c>
      <c r="T162" s="46">
        <v>0</v>
      </c>
      <c r="U162" s="46">
        <v>0</v>
      </c>
      <c r="V162" s="46">
        <v>0</v>
      </c>
      <c r="W162" s="13">
        <f t="shared" si="13"/>
        <v>7</v>
      </c>
      <c r="X162" s="5"/>
      <c r="Y162" s="5"/>
    </row>
    <row r="163" spans="1:25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  <c r="T163" s="46">
        <v>0</v>
      </c>
      <c r="U163" s="46">
        <v>0</v>
      </c>
      <c r="V163" s="46">
        <v>1</v>
      </c>
      <c r="W163" s="13">
        <f t="shared" si="13"/>
        <v>1</v>
      </c>
      <c r="X163" s="5"/>
      <c r="Y163" s="5"/>
    </row>
    <row r="164" spans="1:25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V164" si="27">SUM(E161:E163)</f>
        <v>1</v>
      </c>
      <c r="F164" s="13">
        <f t="shared" si="27"/>
        <v>1</v>
      </c>
      <c r="G164" s="13">
        <f t="shared" si="27"/>
        <v>0</v>
      </c>
      <c r="H164" s="13">
        <f t="shared" si="27"/>
        <v>0</v>
      </c>
      <c r="I164" s="13">
        <f t="shared" si="27"/>
        <v>2</v>
      </c>
      <c r="J164" s="13">
        <f t="shared" si="27"/>
        <v>0</v>
      </c>
      <c r="K164" s="13">
        <f t="shared" si="27"/>
        <v>0</v>
      </c>
      <c r="L164" s="13">
        <f t="shared" si="27"/>
        <v>1</v>
      </c>
      <c r="M164" s="13">
        <f t="shared" si="27"/>
        <v>0</v>
      </c>
      <c r="N164" s="13">
        <f t="shared" si="27"/>
        <v>0</v>
      </c>
      <c r="O164" s="13">
        <f t="shared" si="27"/>
        <v>1</v>
      </c>
      <c r="P164" s="13">
        <f t="shared" si="27"/>
        <v>1</v>
      </c>
      <c r="Q164" s="13">
        <f t="shared" si="27"/>
        <v>4</v>
      </c>
      <c r="R164" s="13">
        <f t="shared" si="27"/>
        <v>2</v>
      </c>
      <c r="S164" s="13">
        <f t="shared" si="27"/>
        <v>0</v>
      </c>
      <c r="T164" s="13">
        <f t="shared" si="27"/>
        <v>0</v>
      </c>
      <c r="U164" s="13">
        <f t="shared" si="27"/>
        <v>1</v>
      </c>
      <c r="V164" s="13">
        <f t="shared" si="27"/>
        <v>2</v>
      </c>
      <c r="W164" s="13">
        <f t="shared" si="13"/>
        <v>16</v>
      </c>
      <c r="X164" s="5"/>
      <c r="Y164" s="5"/>
    </row>
    <row r="165" spans="1:25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3">
        <f t="shared" si="13"/>
        <v>0</v>
      </c>
      <c r="X165" s="1"/>
      <c r="Y165" s="1"/>
    </row>
    <row r="166" spans="1:25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3">
        <f t="shared" si="13"/>
        <v>0</v>
      </c>
      <c r="X166" s="31"/>
      <c r="Y166" s="31"/>
    </row>
    <row r="167" spans="1:25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3">
        <f t="shared" si="13"/>
        <v>0</v>
      </c>
      <c r="X167" s="5"/>
      <c r="Y167" s="5"/>
    </row>
    <row r="168" spans="1:25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3">
        <f t="shared" si="13"/>
        <v>0</v>
      </c>
      <c r="X168" s="5"/>
      <c r="Y168" s="5"/>
    </row>
    <row r="169" spans="1:25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3">
        <f t="shared" si="13"/>
        <v>0</v>
      </c>
      <c r="X169" s="5"/>
      <c r="Y169" s="5"/>
    </row>
    <row r="170" spans="1:25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3">
        <f t="shared" si="13"/>
        <v>0</v>
      </c>
      <c r="X170" s="5"/>
      <c r="Y170" s="5"/>
    </row>
    <row r="171" spans="1:25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1</v>
      </c>
      <c r="H171" s="15">
        <v>1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3">
        <f t="shared" si="13"/>
        <v>2</v>
      </c>
      <c r="X171" s="5"/>
      <c r="Y171" s="5"/>
    </row>
    <row r="172" spans="1:25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3">
        <f t="shared" si="13"/>
        <v>0</v>
      </c>
      <c r="X172" s="5"/>
      <c r="Y172" s="5"/>
    </row>
    <row r="173" spans="1:25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V173" si="28">SUM(E166:E172)</f>
        <v>0</v>
      </c>
      <c r="F173" s="13">
        <f t="shared" si="28"/>
        <v>0</v>
      </c>
      <c r="G173" s="13">
        <f t="shared" si="28"/>
        <v>1</v>
      </c>
      <c r="H173" s="13">
        <f t="shared" si="28"/>
        <v>1</v>
      </c>
      <c r="I173" s="13">
        <f t="shared" si="28"/>
        <v>0</v>
      </c>
      <c r="J173" s="13">
        <f t="shared" si="28"/>
        <v>0</v>
      </c>
      <c r="K173" s="13">
        <f t="shared" si="28"/>
        <v>0</v>
      </c>
      <c r="L173" s="13">
        <f t="shared" si="28"/>
        <v>0</v>
      </c>
      <c r="M173" s="13">
        <f t="shared" si="28"/>
        <v>0</v>
      </c>
      <c r="N173" s="13">
        <f t="shared" si="28"/>
        <v>0</v>
      </c>
      <c r="O173" s="13">
        <f t="shared" si="28"/>
        <v>0</v>
      </c>
      <c r="P173" s="13">
        <f t="shared" si="28"/>
        <v>0</v>
      </c>
      <c r="Q173" s="13">
        <f t="shared" si="28"/>
        <v>0</v>
      </c>
      <c r="R173" s="13">
        <f t="shared" si="28"/>
        <v>0</v>
      </c>
      <c r="S173" s="13">
        <f t="shared" si="28"/>
        <v>0</v>
      </c>
      <c r="T173" s="13">
        <f t="shared" si="28"/>
        <v>0</v>
      </c>
      <c r="U173" s="13">
        <f t="shared" si="28"/>
        <v>0</v>
      </c>
      <c r="V173" s="13">
        <f t="shared" si="28"/>
        <v>0</v>
      </c>
      <c r="W173" s="13">
        <f t="shared" si="13"/>
        <v>2</v>
      </c>
      <c r="X173" s="5"/>
      <c r="Y173" s="5"/>
    </row>
    <row r="174" spans="1:25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3">
        <f t="shared" si="13"/>
        <v>0</v>
      </c>
      <c r="X174" s="5"/>
      <c r="Y174" s="5"/>
    </row>
    <row r="175" spans="1:25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1</v>
      </c>
      <c r="V175" s="15">
        <v>1</v>
      </c>
      <c r="W175" s="13">
        <f t="shared" si="13"/>
        <v>4</v>
      </c>
      <c r="X175" s="5"/>
      <c r="Y175" s="5"/>
    </row>
    <row r="176" spans="1:25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0</v>
      </c>
      <c r="G176" s="15">
        <v>0</v>
      </c>
      <c r="H176" s="15">
        <v>2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1</v>
      </c>
      <c r="R176" s="15">
        <v>0</v>
      </c>
      <c r="S176" s="15">
        <v>1</v>
      </c>
      <c r="T176" s="15">
        <v>0</v>
      </c>
      <c r="U176" s="15">
        <v>0</v>
      </c>
      <c r="V176" s="15">
        <v>1</v>
      </c>
      <c r="W176" s="13">
        <f t="shared" si="13"/>
        <v>5</v>
      </c>
      <c r="X176" s="1"/>
      <c r="Y176" s="1"/>
    </row>
    <row r="177" spans="1:25" ht="12.75" customHeight="1" x14ac:dyDescent="0.4">
      <c r="A177" s="14"/>
      <c r="B177" s="27"/>
      <c r="C177" s="28" t="s">
        <v>153</v>
      </c>
      <c r="D177" s="29"/>
      <c r="E177" s="15">
        <v>0</v>
      </c>
      <c r="F177" s="15">
        <v>0</v>
      </c>
      <c r="G177" s="15">
        <v>0</v>
      </c>
      <c r="H177" s="15">
        <v>7</v>
      </c>
      <c r="I177" s="15">
        <v>7</v>
      </c>
      <c r="J177" s="15">
        <v>1</v>
      </c>
      <c r="K177" s="15">
        <v>0</v>
      </c>
      <c r="L177" s="15">
        <v>4</v>
      </c>
      <c r="M177" s="15">
        <v>1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1</v>
      </c>
      <c r="W177" s="13">
        <f t="shared" si="13"/>
        <v>21</v>
      </c>
    </row>
    <row r="178" spans="1:25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1</v>
      </c>
      <c r="W178" s="13">
        <f t="shared" si="13"/>
        <v>1</v>
      </c>
      <c r="X178" s="5"/>
      <c r="Y178" s="5"/>
    </row>
    <row r="179" spans="1:25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3">
        <f t="shared" si="13"/>
        <v>0</v>
      </c>
      <c r="X179" s="5"/>
      <c r="Y179" s="5"/>
    </row>
    <row r="180" spans="1:25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3">
        <f t="shared" si="13"/>
        <v>0</v>
      </c>
      <c r="X180" s="5"/>
      <c r="Y180" s="5"/>
    </row>
    <row r="181" spans="1:25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1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3">
        <f t="shared" si="13"/>
        <v>1</v>
      </c>
      <c r="X181" s="5"/>
      <c r="Y181" s="5"/>
    </row>
    <row r="182" spans="1:25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L182" si="29">SUM(E175:E181)</f>
        <v>0</v>
      </c>
      <c r="F182" s="13">
        <f t="shared" si="29"/>
        <v>1</v>
      </c>
      <c r="G182" s="13">
        <f t="shared" si="29"/>
        <v>0</v>
      </c>
      <c r="H182" s="13">
        <f t="shared" si="29"/>
        <v>9</v>
      </c>
      <c r="I182" s="13">
        <f t="shared" si="29"/>
        <v>7</v>
      </c>
      <c r="J182" s="13">
        <f t="shared" si="29"/>
        <v>1</v>
      </c>
      <c r="K182" s="13">
        <f t="shared" si="29"/>
        <v>0</v>
      </c>
      <c r="L182" s="13">
        <f t="shared" si="29"/>
        <v>4</v>
      </c>
      <c r="M182" s="13">
        <v>1</v>
      </c>
      <c r="N182" s="13">
        <f t="shared" ref="N182:V182" si="30">SUM(N175:N181)</f>
        <v>0</v>
      </c>
      <c r="O182" s="13">
        <f t="shared" si="30"/>
        <v>0</v>
      </c>
      <c r="P182" s="13">
        <f t="shared" si="30"/>
        <v>0</v>
      </c>
      <c r="Q182" s="13">
        <f t="shared" si="30"/>
        <v>1</v>
      </c>
      <c r="R182" s="13">
        <f t="shared" si="30"/>
        <v>1</v>
      </c>
      <c r="S182" s="13">
        <f t="shared" si="30"/>
        <v>2</v>
      </c>
      <c r="T182" s="13">
        <f t="shared" si="30"/>
        <v>0</v>
      </c>
      <c r="U182" s="13">
        <f t="shared" si="30"/>
        <v>1</v>
      </c>
      <c r="V182" s="13">
        <f t="shared" si="30"/>
        <v>4</v>
      </c>
      <c r="W182" s="13">
        <f t="shared" si="13"/>
        <v>32</v>
      </c>
      <c r="X182" s="5"/>
      <c r="Y182" s="5"/>
    </row>
    <row r="183" spans="1:25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13">
        <f t="shared" si="13"/>
        <v>0</v>
      </c>
      <c r="X183" s="5"/>
      <c r="Y183" s="5"/>
    </row>
    <row r="184" spans="1:25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3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3">
        <f t="shared" si="13"/>
        <v>3</v>
      </c>
      <c r="X184" s="5"/>
      <c r="Y184" s="5"/>
    </row>
    <row r="185" spans="1:25" ht="12.75" customHeight="1" x14ac:dyDescent="0.4">
      <c r="A185" s="19" t="s">
        <v>39</v>
      </c>
      <c r="B185" s="27"/>
      <c r="C185" s="28" t="s">
        <v>160</v>
      </c>
      <c r="D185" s="29"/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1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1</v>
      </c>
      <c r="V185" s="15">
        <v>0</v>
      </c>
      <c r="W185" s="13">
        <f t="shared" si="13"/>
        <v>2</v>
      </c>
      <c r="X185" s="5"/>
      <c r="Y185" s="5"/>
    </row>
    <row r="186" spans="1:25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V186" si="31">SUM(E184:E185)</f>
        <v>0</v>
      </c>
      <c r="F186" s="13">
        <f t="shared" si="31"/>
        <v>0</v>
      </c>
      <c r="G186" s="13">
        <f t="shared" si="31"/>
        <v>0</v>
      </c>
      <c r="H186" s="13">
        <f t="shared" si="31"/>
        <v>3</v>
      </c>
      <c r="I186" s="13">
        <f t="shared" si="31"/>
        <v>0</v>
      </c>
      <c r="J186" s="13">
        <f t="shared" si="31"/>
        <v>0</v>
      </c>
      <c r="K186" s="13">
        <f t="shared" si="31"/>
        <v>0</v>
      </c>
      <c r="L186" s="13">
        <f t="shared" si="31"/>
        <v>1</v>
      </c>
      <c r="M186" s="13">
        <f t="shared" si="31"/>
        <v>0</v>
      </c>
      <c r="N186" s="13">
        <f t="shared" si="31"/>
        <v>0</v>
      </c>
      <c r="O186" s="13">
        <f t="shared" si="31"/>
        <v>0</v>
      </c>
      <c r="P186" s="13">
        <f t="shared" si="31"/>
        <v>0</v>
      </c>
      <c r="Q186" s="13">
        <f t="shared" si="31"/>
        <v>0</v>
      </c>
      <c r="R186" s="13">
        <f t="shared" si="31"/>
        <v>0</v>
      </c>
      <c r="S186" s="13">
        <f t="shared" si="31"/>
        <v>0</v>
      </c>
      <c r="T186" s="13">
        <f t="shared" si="31"/>
        <v>0</v>
      </c>
      <c r="U186" s="13">
        <f t="shared" si="31"/>
        <v>1</v>
      </c>
      <c r="V186" s="13">
        <f t="shared" si="31"/>
        <v>0</v>
      </c>
      <c r="W186" s="13">
        <f t="shared" si="13"/>
        <v>5</v>
      </c>
      <c r="X186" s="5"/>
      <c r="Y186" s="5"/>
    </row>
    <row r="187" spans="1:25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>
        <f t="shared" si="13"/>
        <v>0</v>
      </c>
      <c r="X187" s="1"/>
      <c r="Y187" s="1"/>
    </row>
    <row r="188" spans="1:25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13">
        <f t="shared" si="13"/>
        <v>0</v>
      </c>
    </row>
    <row r="189" spans="1:25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13">
        <f t="shared" si="13"/>
        <v>0</v>
      </c>
      <c r="X189" s="5"/>
      <c r="Y189" s="5"/>
    </row>
    <row r="190" spans="1:25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V190" si="32">E186+E182+E173+E164+E159+E150+E141+E132+E128+E119+E110+E101+E92+E88+E79+E70+E61+E52</f>
        <v>219</v>
      </c>
      <c r="F190" s="15">
        <f t="shared" si="32"/>
        <v>188</v>
      </c>
      <c r="G190" s="15">
        <f t="shared" si="32"/>
        <v>195</v>
      </c>
      <c r="H190" s="15">
        <f t="shared" si="32"/>
        <v>207</v>
      </c>
      <c r="I190" s="15">
        <f t="shared" si="32"/>
        <v>192</v>
      </c>
      <c r="J190" s="15">
        <f t="shared" si="32"/>
        <v>200</v>
      </c>
      <c r="K190" s="15">
        <f t="shared" si="32"/>
        <v>199</v>
      </c>
      <c r="L190" s="15">
        <f t="shared" si="32"/>
        <v>213</v>
      </c>
      <c r="M190" s="15">
        <f t="shared" si="32"/>
        <v>227</v>
      </c>
      <c r="N190" s="15">
        <f t="shared" si="32"/>
        <v>191</v>
      </c>
      <c r="O190" s="15">
        <f t="shared" si="32"/>
        <v>212</v>
      </c>
      <c r="P190" s="15">
        <f t="shared" si="32"/>
        <v>186</v>
      </c>
      <c r="Q190" s="15">
        <f t="shared" si="32"/>
        <v>148</v>
      </c>
      <c r="R190" s="15">
        <f t="shared" si="32"/>
        <v>166</v>
      </c>
      <c r="S190" s="15">
        <f t="shared" si="32"/>
        <v>192</v>
      </c>
      <c r="T190" s="15">
        <f t="shared" si="32"/>
        <v>184</v>
      </c>
      <c r="U190" s="15">
        <f t="shared" si="32"/>
        <v>197</v>
      </c>
      <c r="V190" s="15">
        <f t="shared" si="32"/>
        <v>160</v>
      </c>
      <c r="W190" s="13">
        <f t="shared" si="13"/>
        <v>3476</v>
      </c>
      <c r="X190" s="5"/>
      <c r="Y190" s="5"/>
    </row>
    <row r="191" spans="1:25" ht="12.75" customHeight="1" x14ac:dyDescent="0.4">
      <c r="A191" s="21"/>
      <c r="B191" s="39" t="s">
        <v>165</v>
      </c>
      <c r="C191" s="79" t="s">
        <v>166</v>
      </c>
      <c r="D191" s="55"/>
      <c r="E191" s="15">
        <v>23</v>
      </c>
      <c r="F191" s="15">
        <v>11</v>
      </c>
      <c r="G191" s="15">
        <v>20</v>
      </c>
      <c r="H191" s="15">
        <v>15</v>
      </c>
      <c r="I191" s="15">
        <v>4</v>
      </c>
      <c r="J191" s="15">
        <v>20</v>
      </c>
      <c r="K191" s="15">
        <v>18</v>
      </c>
      <c r="L191" s="15">
        <v>20</v>
      </c>
      <c r="M191" s="15">
        <v>7</v>
      </c>
      <c r="N191" s="15">
        <v>4</v>
      </c>
      <c r="O191" s="15">
        <v>12</v>
      </c>
      <c r="P191" s="15">
        <v>14</v>
      </c>
      <c r="Q191" s="15">
        <v>7</v>
      </c>
      <c r="R191" s="15">
        <v>15</v>
      </c>
      <c r="S191" s="15">
        <v>10</v>
      </c>
      <c r="T191" s="15">
        <v>14</v>
      </c>
      <c r="U191" s="15">
        <v>7</v>
      </c>
      <c r="V191" s="15">
        <v>13</v>
      </c>
      <c r="W191" s="13">
        <f t="shared" si="13"/>
        <v>234</v>
      </c>
      <c r="X191" s="5"/>
      <c r="Y191" s="5"/>
    </row>
    <row r="192" spans="1:25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V192" si="33">E190+E191</f>
        <v>242</v>
      </c>
      <c r="F192" s="15">
        <f t="shared" si="33"/>
        <v>199</v>
      </c>
      <c r="G192" s="15">
        <f t="shared" si="33"/>
        <v>215</v>
      </c>
      <c r="H192" s="15">
        <f t="shared" si="33"/>
        <v>222</v>
      </c>
      <c r="I192" s="15">
        <f t="shared" si="33"/>
        <v>196</v>
      </c>
      <c r="J192" s="15">
        <f t="shared" si="33"/>
        <v>220</v>
      </c>
      <c r="K192" s="15">
        <f t="shared" si="33"/>
        <v>217</v>
      </c>
      <c r="L192" s="15">
        <f t="shared" si="33"/>
        <v>233</v>
      </c>
      <c r="M192" s="15">
        <f t="shared" si="33"/>
        <v>234</v>
      </c>
      <c r="N192" s="15">
        <f t="shared" si="33"/>
        <v>195</v>
      </c>
      <c r="O192" s="15">
        <f t="shared" si="33"/>
        <v>224</v>
      </c>
      <c r="P192" s="15">
        <f t="shared" si="33"/>
        <v>200</v>
      </c>
      <c r="Q192" s="15">
        <f t="shared" si="33"/>
        <v>155</v>
      </c>
      <c r="R192" s="15">
        <f t="shared" si="33"/>
        <v>181</v>
      </c>
      <c r="S192" s="15">
        <f t="shared" si="33"/>
        <v>202</v>
      </c>
      <c r="T192" s="15">
        <f t="shared" si="33"/>
        <v>198</v>
      </c>
      <c r="U192" s="15">
        <f t="shared" si="33"/>
        <v>204</v>
      </c>
      <c r="V192" s="15">
        <f t="shared" si="33"/>
        <v>173</v>
      </c>
      <c r="W192" s="13">
        <f t="shared" si="13"/>
        <v>3710</v>
      </c>
      <c r="X192" s="5"/>
      <c r="Y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V12"/>
    <mergeCell ref="W12:W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34:T34">
    <cfRule type="expression" dxfId="279" priority="1">
      <formula>E34&lt;&gt;E64</formula>
    </cfRule>
  </conditionalFormatting>
  <conditionalFormatting sqref="E13:V13">
    <cfRule type="expression" dxfId="278" priority="29">
      <formula>E30=E192</formula>
    </cfRule>
  </conditionalFormatting>
  <conditionalFormatting sqref="E14:V15">
    <cfRule type="containsBlanks" dxfId="277" priority="2">
      <formula>LEN(TRIM(E14))=0</formula>
    </cfRule>
  </conditionalFormatting>
  <conditionalFormatting sqref="E19:V20">
    <cfRule type="containsBlanks" dxfId="276" priority="3">
      <formula>LEN(TRIM(E19))=0</formula>
    </cfRule>
  </conditionalFormatting>
  <conditionalFormatting sqref="E22:V23 E25:V26 E33:V33 E35:V35 E39:V40">
    <cfRule type="containsBlanks" dxfId="275" priority="4">
      <formula>LEN(TRIM(E22))=0</formula>
    </cfRule>
  </conditionalFormatting>
  <conditionalFormatting sqref="E30:V30">
    <cfRule type="expression" dxfId="274" priority="5">
      <formula>E30&lt;&gt;E47</formula>
    </cfRule>
    <cfRule type="expression" dxfId="273" priority="6">
      <formula>E30&lt;&gt;E34</formula>
    </cfRule>
  </conditionalFormatting>
  <conditionalFormatting sqref="E34:V34">
    <cfRule type="expression" dxfId="272" priority="7">
      <formula>E30&lt;&gt;E34</formula>
    </cfRule>
    <cfRule type="expression" dxfId="271" priority="8">
      <formula>E30=E34</formula>
    </cfRule>
    <cfRule type="expression" dxfId="270" priority="9">
      <formula>E34&lt;&gt;E30</formula>
    </cfRule>
  </conditionalFormatting>
  <conditionalFormatting sqref="E45:V52 E54:V61">
    <cfRule type="containsBlanks" dxfId="269" priority="10">
      <formula>LEN(TRIM(E45))=0</formula>
    </cfRule>
  </conditionalFormatting>
  <conditionalFormatting sqref="E63:V70">
    <cfRule type="containsBlanks" dxfId="268" priority="11">
      <formula>LEN(TRIM(E63))=0</formula>
    </cfRule>
  </conditionalFormatting>
  <conditionalFormatting sqref="E72:V79">
    <cfRule type="containsBlanks" dxfId="267" priority="12">
      <formula>LEN(TRIM(E72))=0</formula>
    </cfRule>
  </conditionalFormatting>
  <conditionalFormatting sqref="E81:V88">
    <cfRule type="containsBlanks" dxfId="266" priority="13">
      <formula>LEN(TRIM(E81))=0</formula>
    </cfRule>
  </conditionalFormatting>
  <conditionalFormatting sqref="E90:V91">
    <cfRule type="containsBlanks" dxfId="265" priority="14">
      <formula>LEN(TRIM(E90))=0</formula>
    </cfRule>
  </conditionalFormatting>
  <conditionalFormatting sqref="E94:V101">
    <cfRule type="containsBlanks" dxfId="264" priority="15">
      <formula>LEN(TRIM(E94))=0</formula>
    </cfRule>
  </conditionalFormatting>
  <conditionalFormatting sqref="E103:V110">
    <cfRule type="containsBlanks" dxfId="263" priority="16">
      <formula>LEN(TRIM(E103))=0</formula>
    </cfRule>
  </conditionalFormatting>
  <conditionalFormatting sqref="E112:V119">
    <cfRule type="containsBlanks" dxfId="262" priority="17">
      <formula>LEN(TRIM(E112))=0</formula>
    </cfRule>
  </conditionalFormatting>
  <conditionalFormatting sqref="E121:V128">
    <cfRule type="containsBlanks" dxfId="261" priority="18">
      <formula>LEN(TRIM(E121))=0</formula>
    </cfRule>
  </conditionalFormatting>
  <conditionalFormatting sqref="E130:V132">
    <cfRule type="containsBlanks" dxfId="260" priority="19">
      <formula>LEN(TRIM(E130))=0</formula>
    </cfRule>
  </conditionalFormatting>
  <conditionalFormatting sqref="E134:V141">
    <cfRule type="containsBlanks" dxfId="259" priority="20">
      <formula>LEN(TRIM(E134))=0</formula>
    </cfRule>
  </conditionalFormatting>
  <conditionalFormatting sqref="E143:V150">
    <cfRule type="containsBlanks" dxfId="258" priority="21">
      <formula>LEN(TRIM(E143))=0</formula>
    </cfRule>
  </conditionalFormatting>
  <conditionalFormatting sqref="E152:V159">
    <cfRule type="containsBlanks" dxfId="257" priority="22">
      <formula>LEN(TRIM(E152))=0</formula>
    </cfRule>
  </conditionalFormatting>
  <conditionalFormatting sqref="E161:V163">
    <cfRule type="containsBlanks" dxfId="256" priority="23">
      <formula>LEN(TRIM(E161))=0</formula>
    </cfRule>
  </conditionalFormatting>
  <conditionalFormatting sqref="E166:V173">
    <cfRule type="containsBlanks" dxfId="255" priority="24">
      <formula>LEN(TRIM(E166))=0</formula>
    </cfRule>
  </conditionalFormatting>
  <conditionalFormatting sqref="E175:V182">
    <cfRule type="containsBlanks" dxfId="254" priority="25">
      <formula>LEN(TRIM(E175))=0</formula>
    </cfRule>
  </conditionalFormatting>
  <conditionalFormatting sqref="E184:V186">
    <cfRule type="containsBlanks" dxfId="253" priority="26">
      <formula>LEN(TRIM(E184))=0</formula>
    </cfRule>
  </conditionalFormatting>
  <conditionalFormatting sqref="E190:V192">
    <cfRule type="containsBlanks" dxfId="252" priority="27">
      <formula>LEN(TRIM(E190))=0</formula>
    </cfRule>
  </conditionalFormatting>
  <conditionalFormatting sqref="U34:V34">
    <cfRule type="expression" dxfId="251" priority="28">
      <formula>U34&lt;&gt;U47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topLeftCell="E1" workbookViewId="0">
      <pane ySplit="13" topLeftCell="A23" activePane="bottomLeft" state="frozen"/>
      <selection pane="bottomLeft" activeCell="E36" sqref="E36:Y36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25" width="8.7109375" customWidth="1"/>
    <col min="26" max="26" width="13.28515625" customWidth="1"/>
    <col min="27" max="28" width="8.7109375" customWidth="1"/>
  </cols>
  <sheetData>
    <row r="1" spans="1:26" ht="12.75" customHeight="1" x14ac:dyDescent="0.4"/>
    <row r="2" spans="1:26" ht="12.75" customHeight="1" x14ac:dyDescent="0.4">
      <c r="C2" s="8" t="s">
        <v>0</v>
      </c>
      <c r="D2" s="8" t="s">
        <v>1</v>
      </c>
    </row>
    <row r="3" spans="1:26" ht="12.75" customHeight="1" x14ac:dyDescent="0.4">
      <c r="C3" s="8" t="s">
        <v>2</v>
      </c>
      <c r="D3" s="8" t="s">
        <v>3</v>
      </c>
    </row>
    <row r="4" spans="1:26" ht="12.75" customHeight="1" x14ac:dyDescent="0.4">
      <c r="C4" s="8" t="s">
        <v>4</v>
      </c>
      <c r="D4" s="8" t="s">
        <v>5</v>
      </c>
    </row>
    <row r="5" spans="1:26" ht="12.75" customHeight="1" x14ac:dyDescent="0.4">
      <c r="C5" s="8"/>
      <c r="D5" s="8"/>
    </row>
    <row r="6" spans="1:26" ht="12.75" customHeight="1" x14ac:dyDescent="0.4">
      <c r="C6" s="8"/>
      <c r="D6" s="8"/>
    </row>
    <row r="7" spans="1:26" ht="12.75" customHeight="1" x14ac:dyDescent="0.4">
      <c r="C7" s="8"/>
      <c r="D7" s="8"/>
    </row>
    <row r="8" spans="1:26" ht="12.75" customHeight="1" x14ac:dyDescent="0.4">
      <c r="C8" s="8"/>
      <c r="D8" s="8"/>
    </row>
    <row r="9" spans="1:26" ht="12.75" customHeight="1" x14ac:dyDescent="0.4">
      <c r="C9" s="8" t="s">
        <v>169</v>
      </c>
      <c r="D9" s="8" t="s">
        <v>195</v>
      </c>
    </row>
    <row r="10" spans="1:26" ht="12.75" customHeight="1" x14ac:dyDescent="0.4"/>
    <row r="11" spans="1:26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6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81" t="s">
        <v>8</v>
      </c>
    </row>
    <row r="13" spans="1:26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69"/>
    </row>
    <row r="14" spans="1:26" ht="12.75" customHeight="1" x14ac:dyDescent="0.4">
      <c r="A14" s="14"/>
      <c r="B14" s="61" t="s">
        <v>11</v>
      </c>
      <c r="C14" s="62"/>
      <c r="D14" s="15" t="s">
        <v>12</v>
      </c>
      <c r="E14" s="47">
        <v>131</v>
      </c>
      <c r="F14" s="47">
        <v>144</v>
      </c>
      <c r="G14" s="47">
        <v>132</v>
      </c>
      <c r="H14" s="47">
        <v>135</v>
      </c>
      <c r="I14" s="47">
        <v>130</v>
      </c>
      <c r="J14" s="47">
        <v>127</v>
      </c>
      <c r="K14" s="47">
        <v>139</v>
      </c>
      <c r="L14" s="47">
        <v>150</v>
      </c>
      <c r="M14" s="47">
        <v>143</v>
      </c>
      <c r="N14" s="47">
        <v>116</v>
      </c>
      <c r="O14" s="47">
        <v>128</v>
      </c>
      <c r="P14" s="47">
        <v>110</v>
      </c>
      <c r="Q14" s="47">
        <v>120</v>
      </c>
      <c r="R14" s="47">
        <v>112</v>
      </c>
      <c r="S14" s="47">
        <v>110</v>
      </c>
      <c r="T14" s="47">
        <v>139</v>
      </c>
      <c r="U14" s="47">
        <v>131</v>
      </c>
      <c r="V14" s="47">
        <v>125</v>
      </c>
      <c r="W14" s="47">
        <v>127</v>
      </c>
      <c r="X14" s="47">
        <v>126</v>
      </c>
      <c r="Y14" s="47">
        <v>133</v>
      </c>
      <c r="Z14" s="13">
        <f t="shared" ref="Z14:Z16" si="0">SUM(E14:Y14)</f>
        <v>2708</v>
      </c>
    </row>
    <row r="15" spans="1:26" ht="12.75" customHeight="1" x14ac:dyDescent="0.4">
      <c r="A15" s="14"/>
      <c r="B15" s="63"/>
      <c r="C15" s="64"/>
      <c r="D15" s="15" t="s">
        <v>13</v>
      </c>
      <c r="E15" s="47">
        <v>133</v>
      </c>
      <c r="F15" s="47">
        <v>142</v>
      </c>
      <c r="G15" s="47">
        <v>152</v>
      </c>
      <c r="H15" s="47">
        <v>150</v>
      </c>
      <c r="I15" s="47">
        <v>140</v>
      </c>
      <c r="J15" s="47">
        <v>133</v>
      </c>
      <c r="K15" s="47">
        <v>145</v>
      </c>
      <c r="L15" s="47">
        <v>139</v>
      </c>
      <c r="M15" s="47">
        <v>141</v>
      </c>
      <c r="N15" s="47">
        <v>125</v>
      </c>
      <c r="O15" s="47">
        <v>107</v>
      </c>
      <c r="P15" s="47">
        <v>133</v>
      </c>
      <c r="Q15" s="47">
        <v>124</v>
      </c>
      <c r="R15" s="47">
        <v>117</v>
      </c>
      <c r="S15" s="47">
        <v>115</v>
      </c>
      <c r="T15" s="47">
        <v>138</v>
      </c>
      <c r="U15" s="47">
        <v>144</v>
      </c>
      <c r="V15" s="47">
        <v>137</v>
      </c>
      <c r="W15" s="47">
        <v>140</v>
      </c>
      <c r="X15" s="47">
        <v>148</v>
      </c>
      <c r="Y15" s="47">
        <v>136</v>
      </c>
      <c r="Z15" s="13">
        <f t="shared" si="0"/>
        <v>2839</v>
      </c>
    </row>
    <row r="16" spans="1:26" ht="12.75" customHeight="1" x14ac:dyDescent="0.4">
      <c r="A16" s="17"/>
      <c r="B16" s="59"/>
      <c r="C16" s="65"/>
      <c r="D16" s="13" t="s">
        <v>14</v>
      </c>
      <c r="E16" s="48">
        <f t="shared" ref="E16:Y16" si="1">SUM(E14:E15)</f>
        <v>264</v>
      </c>
      <c r="F16" s="48">
        <f t="shared" si="1"/>
        <v>286</v>
      </c>
      <c r="G16" s="48">
        <f t="shared" si="1"/>
        <v>284</v>
      </c>
      <c r="H16" s="48">
        <f t="shared" si="1"/>
        <v>285</v>
      </c>
      <c r="I16" s="48">
        <f t="shared" si="1"/>
        <v>270</v>
      </c>
      <c r="J16" s="48">
        <f t="shared" si="1"/>
        <v>260</v>
      </c>
      <c r="K16" s="48">
        <f t="shared" si="1"/>
        <v>284</v>
      </c>
      <c r="L16" s="48">
        <f t="shared" si="1"/>
        <v>289</v>
      </c>
      <c r="M16" s="48">
        <f t="shared" si="1"/>
        <v>284</v>
      </c>
      <c r="N16" s="48">
        <f t="shared" si="1"/>
        <v>241</v>
      </c>
      <c r="O16" s="48">
        <f t="shared" si="1"/>
        <v>235</v>
      </c>
      <c r="P16" s="48">
        <f t="shared" si="1"/>
        <v>243</v>
      </c>
      <c r="Q16" s="48">
        <f t="shared" si="1"/>
        <v>244</v>
      </c>
      <c r="R16" s="48">
        <f t="shared" si="1"/>
        <v>229</v>
      </c>
      <c r="S16" s="48">
        <f t="shared" si="1"/>
        <v>225</v>
      </c>
      <c r="T16" s="48">
        <f t="shared" si="1"/>
        <v>277</v>
      </c>
      <c r="U16" s="48">
        <f t="shared" si="1"/>
        <v>275</v>
      </c>
      <c r="V16" s="48">
        <f t="shared" si="1"/>
        <v>262</v>
      </c>
      <c r="W16" s="48">
        <f t="shared" si="1"/>
        <v>267</v>
      </c>
      <c r="X16" s="48">
        <f t="shared" si="1"/>
        <v>274</v>
      </c>
      <c r="Y16" s="48">
        <f t="shared" si="1"/>
        <v>269</v>
      </c>
      <c r="Z16" s="13">
        <f t="shared" si="0"/>
        <v>5547</v>
      </c>
    </row>
    <row r="17" spans="1:26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3"/>
    </row>
    <row r="18" spans="1:26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3"/>
    </row>
    <row r="19" spans="1:26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95</v>
      </c>
      <c r="F19" s="47">
        <v>101</v>
      </c>
      <c r="G19" s="47">
        <v>106</v>
      </c>
      <c r="H19" s="47">
        <v>92</v>
      </c>
      <c r="I19" s="47">
        <v>99</v>
      </c>
      <c r="J19" s="47">
        <v>97</v>
      </c>
      <c r="K19" s="47">
        <v>96</v>
      </c>
      <c r="L19" s="47">
        <v>125</v>
      </c>
      <c r="M19" s="47">
        <v>112</v>
      </c>
      <c r="N19" s="47">
        <v>81</v>
      </c>
      <c r="O19" s="47">
        <v>88</v>
      </c>
      <c r="P19" s="47">
        <v>88</v>
      </c>
      <c r="Q19" s="47">
        <v>104</v>
      </c>
      <c r="R19" s="47">
        <v>95</v>
      </c>
      <c r="S19" s="47">
        <v>86</v>
      </c>
      <c r="T19" s="47">
        <v>98</v>
      </c>
      <c r="U19" s="47">
        <v>102</v>
      </c>
      <c r="V19" s="47">
        <v>100</v>
      </c>
      <c r="W19" s="47">
        <v>91</v>
      </c>
      <c r="X19" s="47">
        <v>105</v>
      </c>
      <c r="Y19" s="47">
        <v>90</v>
      </c>
      <c r="Z19" s="13">
        <f t="shared" ref="Z19:Z30" si="2">SUM(E19:Y19)</f>
        <v>2051</v>
      </c>
    </row>
    <row r="20" spans="1:26" ht="12.75" customHeight="1" x14ac:dyDescent="0.4">
      <c r="A20" s="20"/>
      <c r="B20" s="64"/>
      <c r="C20" s="68"/>
      <c r="D20" s="15" t="s">
        <v>13</v>
      </c>
      <c r="E20" s="47">
        <v>105</v>
      </c>
      <c r="F20" s="47">
        <v>108</v>
      </c>
      <c r="G20" s="47">
        <v>128</v>
      </c>
      <c r="H20" s="47">
        <v>117</v>
      </c>
      <c r="I20" s="47">
        <v>119</v>
      </c>
      <c r="J20" s="47">
        <v>110</v>
      </c>
      <c r="K20" s="47">
        <v>128</v>
      </c>
      <c r="L20" s="47">
        <v>116</v>
      </c>
      <c r="M20" s="47">
        <v>122</v>
      </c>
      <c r="N20" s="47">
        <v>102</v>
      </c>
      <c r="O20" s="47">
        <v>88</v>
      </c>
      <c r="P20" s="47">
        <v>111</v>
      </c>
      <c r="Q20" s="47">
        <v>106</v>
      </c>
      <c r="R20" s="47">
        <v>93</v>
      </c>
      <c r="S20" s="47">
        <v>91</v>
      </c>
      <c r="T20" s="47">
        <v>113</v>
      </c>
      <c r="U20" s="47">
        <v>113</v>
      </c>
      <c r="V20" s="47">
        <v>112</v>
      </c>
      <c r="W20" s="47">
        <v>105</v>
      </c>
      <c r="X20" s="47">
        <v>127</v>
      </c>
      <c r="Y20" s="47">
        <v>107</v>
      </c>
      <c r="Z20" s="13">
        <f t="shared" si="2"/>
        <v>2321</v>
      </c>
    </row>
    <row r="21" spans="1:26" ht="12.75" customHeight="1" x14ac:dyDescent="0.4">
      <c r="A21" s="21"/>
      <c r="B21" s="65"/>
      <c r="C21" s="69"/>
      <c r="D21" s="13" t="s">
        <v>14</v>
      </c>
      <c r="E21" s="48">
        <v>200</v>
      </c>
      <c r="F21" s="48">
        <v>209</v>
      </c>
      <c r="G21" s="48">
        <v>234</v>
      </c>
      <c r="H21" s="48">
        <v>209</v>
      </c>
      <c r="I21" s="48">
        <v>218</v>
      </c>
      <c r="J21" s="48">
        <v>207</v>
      </c>
      <c r="K21" s="48">
        <v>224</v>
      </c>
      <c r="L21" s="48">
        <v>241</v>
      </c>
      <c r="M21" s="48">
        <v>234</v>
      </c>
      <c r="N21" s="48">
        <v>183</v>
      </c>
      <c r="O21" s="48">
        <v>176</v>
      </c>
      <c r="P21" s="48">
        <v>199</v>
      </c>
      <c r="Q21" s="48">
        <v>210</v>
      </c>
      <c r="R21" s="48">
        <v>188</v>
      </c>
      <c r="S21" s="48">
        <v>177</v>
      </c>
      <c r="T21" s="48">
        <v>211</v>
      </c>
      <c r="U21" s="48">
        <v>215</v>
      </c>
      <c r="V21" s="48">
        <v>212</v>
      </c>
      <c r="W21" s="48">
        <v>196</v>
      </c>
      <c r="X21" s="48">
        <v>232</v>
      </c>
      <c r="Y21" s="48">
        <v>197</v>
      </c>
      <c r="Z21" s="13">
        <f t="shared" si="2"/>
        <v>4372</v>
      </c>
    </row>
    <row r="22" spans="1:26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0</v>
      </c>
      <c r="G22" s="47">
        <v>0</v>
      </c>
      <c r="H22" s="47">
        <v>0</v>
      </c>
      <c r="I22" s="47">
        <v>1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1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13">
        <f t="shared" si="2"/>
        <v>2</v>
      </c>
    </row>
    <row r="23" spans="1:26" ht="12.75" customHeight="1" x14ac:dyDescent="0.4">
      <c r="A23" s="20"/>
      <c r="B23" s="64"/>
      <c r="C23" s="68"/>
      <c r="D23" s="15" t="s">
        <v>13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1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1</v>
      </c>
      <c r="Q23" s="47">
        <v>1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1</v>
      </c>
      <c r="Z23" s="13">
        <f t="shared" si="2"/>
        <v>4</v>
      </c>
    </row>
    <row r="24" spans="1:26" ht="12.75" customHeight="1" x14ac:dyDescent="0.4">
      <c r="A24" s="21"/>
      <c r="B24" s="65"/>
      <c r="C24" s="69"/>
      <c r="D24" s="13" t="s">
        <v>14</v>
      </c>
      <c r="E24" s="48">
        <v>0</v>
      </c>
      <c r="F24" s="48">
        <v>0</v>
      </c>
      <c r="G24" s="48">
        <v>0</v>
      </c>
      <c r="H24" s="48">
        <v>0</v>
      </c>
      <c r="I24" s="48">
        <v>1</v>
      </c>
      <c r="J24" s="48">
        <v>1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1</v>
      </c>
      <c r="Q24" s="48">
        <v>2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1</v>
      </c>
      <c r="Z24" s="13">
        <f t="shared" si="2"/>
        <v>6</v>
      </c>
    </row>
    <row r="25" spans="1:26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1</v>
      </c>
      <c r="G25" s="47">
        <v>0</v>
      </c>
      <c r="H25" s="47">
        <v>0</v>
      </c>
      <c r="I25" s="47">
        <v>0</v>
      </c>
      <c r="J25" s="47">
        <v>0</v>
      </c>
      <c r="K25" s="47">
        <v>1</v>
      </c>
      <c r="L25" s="47">
        <v>0</v>
      </c>
      <c r="M25" s="47">
        <v>1</v>
      </c>
      <c r="N25" s="47">
        <v>0</v>
      </c>
      <c r="O25" s="47">
        <v>0</v>
      </c>
      <c r="P25" s="47">
        <v>0</v>
      </c>
      <c r="Q25" s="47">
        <v>1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1</v>
      </c>
      <c r="Y25" s="47">
        <v>0</v>
      </c>
      <c r="Z25" s="13">
        <f t="shared" si="2"/>
        <v>5</v>
      </c>
    </row>
    <row r="26" spans="1:26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0</v>
      </c>
      <c r="G26" s="47">
        <v>0</v>
      </c>
      <c r="H26" s="47">
        <v>1</v>
      </c>
      <c r="I26" s="47">
        <v>1</v>
      </c>
      <c r="J26" s="47">
        <v>3</v>
      </c>
      <c r="K26" s="47">
        <v>2</v>
      </c>
      <c r="L26" s="47">
        <v>2</v>
      </c>
      <c r="M26" s="47">
        <v>0</v>
      </c>
      <c r="N26" s="47">
        <v>0</v>
      </c>
      <c r="O26" s="47">
        <v>0</v>
      </c>
      <c r="P26" s="47">
        <v>0</v>
      </c>
      <c r="Q26" s="47">
        <v>1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13">
        <f t="shared" si="2"/>
        <v>10</v>
      </c>
    </row>
    <row r="27" spans="1:26" ht="12.75" customHeight="1" x14ac:dyDescent="0.4">
      <c r="A27" s="21"/>
      <c r="B27" s="65"/>
      <c r="C27" s="69"/>
      <c r="D27" s="13" t="s">
        <v>14</v>
      </c>
      <c r="E27" s="48">
        <v>0</v>
      </c>
      <c r="F27" s="48">
        <v>1</v>
      </c>
      <c r="G27" s="48">
        <v>0</v>
      </c>
      <c r="H27" s="48">
        <v>1</v>
      </c>
      <c r="I27" s="48">
        <v>1</v>
      </c>
      <c r="J27" s="48">
        <v>3</v>
      </c>
      <c r="K27" s="48">
        <v>3</v>
      </c>
      <c r="L27" s="48">
        <v>2</v>
      </c>
      <c r="M27" s="48">
        <v>1</v>
      </c>
      <c r="N27" s="48">
        <v>0</v>
      </c>
      <c r="O27" s="48">
        <v>0</v>
      </c>
      <c r="P27" s="48">
        <v>0</v>
      </c>
      <c r="Q27" s="48">
        <v>2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1</v>
      </c>
      <c r="Y27" s="48">
        <v>0</v>
      </c>
      <c r="Z27" s="13">
        <f t="shared" si="2"/>
        <v>15</v>
      </c>
    </row>
    <row r="28" spans="1:26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v>95</v>
      </c>
      <c r="F28" s="48">
        <v>102</v>
      </c>
      <c r="G28" s="48">
        <v>106</v>
      </c>
      <c r="H28" s="48">
        <v>92</v>
      </c>
      <c r="I28" s="48">
        <v>100</v>
      </c>
      <c r="J28" s="48">
        <v>97</v>
      </c>
      <c r="K28" s="48">
        <v>97</v>
      </c>
      <c r="L28" s="48">
        <v>125</v>
      </c>
      <c r="M28" s="48">
        <v>113</v>
      </c>
      <c r="N28" s="48">
        <v>81</v>
      </c>
      <c r="O28" s="48">
        <v>88</v>
      </c>
      <c r="P28" s="48">
        <v>88</v>
      </c>
      <c r="Q28" s="48">
        <v>106</v>
      </c>
      <c r="R28" s="48">
        <v>95</v>
      </c>
      <c r="S28" s="48">
        <v>86</v>
      </c>
      <c r="T28" s="48">
        <v>98</v>
      </c>
      <c r="U28" s="48">
        <v>102</v>
      </c>
      <c r="V28" s="48">
        <v>100</v>
      </c>
      <c r="W28" s="48">
        <v>91</v>
      </c>
      <c r="X28" s="48">
        <v>106</v>
      </c>
      <c r="Y28" s="48">
        <v>90</v>
      </c>
      <c r="Z28" s="13">
        <f t="shared" si="2"/>
        <v>2058</v>
      </c>
    </row>
    <row r="29" spans="1:26" ht="12.75" customHeight="1" x14ac:dyDescent="0.4">
      <c r="A29" s="21"/>
      <c r="B29" s="64"/>
      <c r="C29" s="68"/>
      <c r="D29" s="13" t="s">
        <v>13</v>
      </c>
      <c r="E29" s="48">
        <v>105</v>
      </c>
      <c r="F29" s="48">
        <v>108</v>
      </c>
      <c r="G29" s="48">
        <v>128</v>
      </c>
      <c r="H29" s="48">
        <v>118</v>
      </c>
      <c r="I29" s="48">
        <v>120</v>
      </c>
      <c r="J29" s="48">
        <v>114</v>
      </c>
      <c r="K29" s="48">
        <v>130</v>
      </c>
      <c r="L29" s="48">
        <v>118</v>
      </c>
      <c r="M29" s="48">
        <v>122</v>
      </c>
      <c r="N29" s="48">
        <v>102</v>
      </c>
      <c r="O29" s="48">
        <v>88</v>
      </c>
      <c r="P29" s="48">
        <v>112</v>
      </c>
      <c r="Q29" s="48">
        <v>108</v>
      </c>
      <c r="R29" s="48">
        <v>93</v>
      </c>
      <c r="S29" s="48">
        <v>91</v>
      </c>
      <c r="T29" s="48">
        <v>113</v>
      </c>
      <c r="U29" s="48">
        <v>113</v>
      </c>
      <c r="V29" s="48">
        <v>112</v>
      </c>
      <c r="W29" s="48">
        <v>105</v>
      </c>
      <c r="X29" s="48">
        <v>127</v>
      </c>
      <c r="Y29" s="48">
        <v>108</v>
      </c>
      <c r="Z29" s="13">
        <f t="shared" si="2"/>
        <v>2335</v>
      </c>
    </row>
    <row r="30" spans="1:26" ht="12.75" customHeight="1" x14ac:dyDescent="0.4">
      <c r="A30" s="21"/>
      <c r="B30" s="65"/>
      <c r="C30" s="69"/>
      <c r="D30" s="13" t="s">
        <v>14</v>
      </c>
      <c r="E30" s="50">
        <f t="shared" ref="E30:Y30" si="3">SUM(E28:E29)</f>
        <v>200</v>
      </c>
      <c r="F30" s="50">
        <f t="shared" si="3"/>
        <v>210</v>
      </c>
      <c r="G30" s="50">
        <f t="shared" si="3"/>
        <v>234</v>
      </c>
      <c r="H30" s="50">
        <f t="shared" si="3"/>
        <v>210</v>
      </c>
      <c r="I30" s="50">
        <f t="shared" si="3"/>
        <v>220</v>
      </c>
      <c r="J30" s="50">
        <f t="shared" si="3"/>
        <v>211</v>
      </c>
      <c r="K30" s="50">
        <f t="shared" si="3"/>
        <v>227</v>
      </c>
      <c r="L30" s="50">
        <f t="shared" si="3"/>
        <v>243</v>
      </c>
      <c r="M30" s="50">
        <f t="shared" si="3"/>
        <v>235</v>
      </c>
      <c r="N30" s="50">
        <f t="shared" si="3"/>
        <v>183</v>
      </c>
      <c r="O30" s="50">
        <f t="shared" si="3"/>
        <v>176</v>
      </c>
      <c r="P30" s="50">
        <f t="shared" si="3"/>
        <v>200</v>
      </c>
      <c r="Q30" s="50">
        <f t="shared" si="3"/>
        <v>214</v>
      </c>
      <c r="R30" s="50">
        <f t="shared" si="3"/>
        <v>188</v>
      </c>
      <c r="S30" s="50">
        <f t="shared" si="3"/>
        <v>177</v>
      </c>
      <c r="T30" s="50">
        <f t="shared" si="3"/>
        <v>211</v>
      </c>
      <c r="U30" s="50">
        <f t="shared" si="3"/>
        <v>215</v>
      </c>
      <c r="V30" s="50">
        <f t="shared" si="3"/>
        <v>212</v>
      </c>
      <c r="W30" s="50">
        <f t="shared" si="3"/>
        <v>196</v>
      </c>
      <c r="X30" s="50">
        <f t="shared" si="3"/>
        <v>233</v>
      </c>
      <c r="Y30" s="50">
        <f t="shared" si="3"/>
        <v>198</v>
      </c>
      <c r="Z30" s="13">
        <f t="shared" si="2"/>
        <v>4393</v>
      </c>
    </row>
    <row r="31" spans="1:26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3"/>
    </row>
    <row r="32" spans="1:26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3"/>
    </row>
    <row r="33" spans="1:26" ht="12.75" customHeight="1" x14ac:dyDescent="0.4">
      <c r="A33" s="15">
        <v>1</v>
      </c>
      <c r="B33" s="60" t="s">
        <v>27</v>
      </c>
      <c r="C33" s="54"/>
      <c r="D33" s="55"/>
      <c r="E33" s="47">
        <v>270</v>
      </c>
      <c r="F33" s="47">
        <v>292</v>
      </c>
      <c r="G33" s="47">
        <v>290</v>
      </c>
      <c r="H33" s="47">
        <v>291</v>
      </c>
      <c r="I33" s="47">
        <v>276</v>
      </c>
      <c r="J33" s="47">
        <v>266</v>
      </c>
      <c r="K33" s="47">
        <v>290</v>
      </c>
      <c r="L33" s="47">
        <v>294</v>
      </c>
      <c r="M33" s="47">
        <v>290</v>
      </c>
      <c r="N33" s="47">
        <v>246</v>
      </c>
      <c r="O33" s="47">
        <v>240</v>
      </c>
      <c r="P33" s="47">
        <v>248</v>
      </c>
      <c r="Q33" s="47">
        <v>249</v>
      </c>
      <c r="R33" s="47">
        <v>234</v>
      </c>
      <c r="S33" s="47">
        <v>230</v>
      </c>
      <c r="T33" s="47">
        <v>283</v>
      </c>
      <c r="U33" s="47">
        <v>281</v>
      </c>
      <c r="V33" s="47">
        <v>268</v>
      </c>
      <c r="W33" s="47">
        <v>273</v>
      </c>
      <c r="X33" s="47">
        <v>280</v>
      </c>
      <c r="Y33" s="47">
        <v>275</v>
      </c>
      <c r="Z33" s="13">
        <f t="shared" ref="Z33:Z36" si="4">SUM(E33:Y33)</f>
        <v>5666</v>
      </c>
    </row>
    <row r="34" spans="1:26" ht="12.75" customHeight="1" x14ac:dyDescent="0.4">
      <c r="A34" s="15">
        <v>2</v>
      </c>
      <c r="B34" s="60" t="s">
        <v>28</v>
      </c>
      <c r="C34" s="54"/>
      <c r="D34" s="55"/>
      <c r="E34" s="51">
        <v>200</v>
      </c>
      <c r="F34" s="51">
        <v>210</v>
      </c>
      <c r="G34" s="51">
        <v>234</v>
      </c>
      <c r="H34" s="51">
        <v>210</v>
      </c>
      <c r="I34" s="51">
        <v>220</v>
      </c>
      <c r="J34" s="51">
        <v>211</v>
      </c>
      <c r="K34" s="51">
        <v>227</v>
      </c>
      <c r="L34" s="51">
        <v>243</v>
      </c>
      <c r="M34" s="51">
        <v>235</v>
      </c>
      <c r="N34" s="51">
        <v>183</v>
      </c>
      <c r="O34" s="51">
        <v>176</v>
      </c>
      <c r="P34" s="51">
        <v>200</v>
      </c>
      <c r="Q34" s="51">
        <v>214</v>
      </c>
      <c r="R34" s="51">
        <v>188</v>
      </c>
      <c r="S34" s="51">
        <v>177</v>
      </c>
      <c r="T34" s="51">
        <v>211</v>
      </c>
      <c r="U34" s="51">
        <v>215</v>
      </c>
      <c r="V34" s="51">
        <v>212</v>
      </c>
      <c r="W34" s="51">
        <v>196</v>
      </c>
      <c r="X34" s="51">
        <v>233</v>
      </c>
      <c r="Y34" s="51">
        <v>198</v>
      </c>
      <c r="Z34" s="13">
        <f t="shared" si="4"/>
        <v>4393</v>
      </c>
    </row>
    <row r="35" spans="1:26" ht="12.75" customHeight="1" x14ac:dyDescent="0.4">
      <c r="A35" s="15">
        <v>3</v>
      </c>
      <c r="B35" s="60" t="s">
        <v>29</v>
      </c>
      <c r="C35" s="54"/>
      <c r="D35" s="55"/>
      <c r="E35" s="47">
        <v>1</v>
      </c>
      <c r="F35" s="47">
        <v>1</v>
      </c>
      <c r="G35" s="47">
        <v>0</v>
      </c>
      <c r="H35" s="47">
        <v>0</v>
      </c>
      <c r="I35" s="47">
        <v>0</v>
      </c>
      <c r="J35" s="47">
        <v>0</v>
      </c>
      <c r="K35" s="47">
        <v>3</v>
      </c>
      <c r="L35" s="47">
        <v>3</v>
      </c>
      <c r="M35" s="47">
        <v>0</v>
      </c>
      <c r="N35" s="47">
        <v>0</v>
      </c>
      <c r="O35" s="47">
        <v>0</v>
      </c>
      <c r="P35" s="47">
        <v>1</v>
      </c>
      <c r="Q35" s="47">
        <v>1</v>
      </c>
      <c r="R35" s="47">
        <v>0</v>
      </c>
      <c r="S35" s="47">
        <v>3</v>
      </c>
      <c r="T35" s="47">
        <v>1</v>
      </c>
      <c r="U35" s="47">
        <v>0</v>
      </c>
      <c r="V35" s="47">
        <v>1</v>
      </c>
      <c r="W35" s="47">
        <v>0</v>
      </c>
      <c r="X35" s="47">
        <v>2</v>
      </c>
      <c r="Y35" s="47">
        <v>0</v>
      </c>
      <c r="Z35" s="13">
        <f t="shared" si="4"/>
        <v>17</v>
      </c>
    </row>
    <row r="36" spans="1:26" ht="12.75" customHeight="1" x14ac:dyDescent="0.4">
      <c r="A36" s="15">
        <v>4</v>
      </c>
      <c r="B36" s="60" t="s">
        <v>30</v>
      </c>
      <c r="C36" s="54"/>
      <c r="D36" s="55"/>
      <c r="E36" s="48">
        <f>SUM(E33-(E34+E35))</f>
        <v>69</v>
      </c>
      <c r="F36" s="48">
        <f t="shared" ref="F36:Y36" si="5">SUM(F33-(F34+F35))</f>
        <v>81</v>
      </c>
      <c r="G36" s="48">
        <f t="shared" si="5"/>
        <v>56</v>
      </c>
      <c r="H36" s="48">
        <f t="shared" si="5"/>
        <v>81</v>
      </c>
      <c r="I36" s="48">
        <f t="shared" si="5"/>
        <v>56</v>
      </c>
      <c r="J36" s="48">
        <f t="shared" si="5"/>
        <v>55</v>
      </c>
      <c r="K36" s="48">
        <f t="shared" si="5"/>
        <v>60</v>
      </c>
      <c r="L36" s="48">
        <f t="shared" si="5"/>
        <v>48</v>
      </c>
      <c r="M36" s="48">
        <f t="shared" si="5"/>
        <v>55</v>
      </c>
      <c r="N36" s="48">
        <f t="shared" si="5"/>
        <v>63</v>
      </c>
      <c r="O36" s="48">
        <f t="shared" si="5"/>
        <v>64</v>
      </c>
      <c r="P36" s="48">
        <f t="shared" si="5"/>
        <v>47</v>
      </c>
      <c r="Q36" s="48">
        <f t="shared" si="5"/>
        <v>34</v>
      </c>
      <c r="R36" s="48">
        <f t="shared" si="5"/>
        <v>46</v>
      </c>
      <c r="S36" s="48">
        <f t="shared" si="5"/>
        <v>50</v>
      </c>
      <c r="T36" s="48">
        <f t="shared" si="5"/>
        <v>71</v>
      </c>
      <c r="U36" s="48">
        <f t="shared" si="5"/>
        <v>66</v>
      </c>
      <c r="V36" s="48">
        <f t="shared" si="5"/>
        <v>55</v>
      </c>
      <c r="W36" s="48">
        <f t="shared" si="5"/>
        <v>77</v>
      </c>
      <c r="X36" s="48">
        <f t="shared" si="5"/>
        <v>45</v>
      </c>
      <c r="Y36" s="48">
        <f t="shared" si="5"/>
        <v>77</v>
      </c>
      <c r="Z36" s="13">
        <f t="shared" si="4"/>
        <v>1256</v>
      </c>
    </row>
    <row r="37" spans="1:26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9"/>
      <c r="N37" s="49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43"/>
    </row>
    <row r="38" spans="1:26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3"/>
    </row>
    <row r="39" spans="1:26" ht="12.75" customHeight="1" x14ac:dyDescent="0.4">
      <c r="A39" s="19"/>
      <c r="B39" s="73" t="s">
        <v>33</v>
      </c>
      <c r="C39" s="62"/>
      <c r="D39" s="15" t="s">
        <v>12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2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1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13">
        <f t="shared" ref="Z39:Z41" si="6">SUM(E39:Y39)</f>
        <v>3</v>
      </c>
    </row>
    <row r="40" spans="1:26" ht="12.75" customHeight="1" x14ac:dyDescent="0.4">
      <c r="A40" s="20"/>
      <c r="B40" s="74"/>
      <c r="C40" s="64"/>
      <c r="D40" s="15" t="s">
        <v>13</v>
      </c>
      <c r="E40" s="47">
        <v>0</v>
      </c>
      <c r="F40" s="47">
        <v>1</v>
      </c>
      <c r="G40" s="47">
        <v>0</v>
      </c>
      <c r="H40" s="47">
        <v>0</v>
      </c>
      <c r="I40" s="47">
        <v>0</v>
      </c>
      <c r="J40" s="47">
        <v>0</v>
      </c>
      <c r="K40" s="47">
        <v>2</v>
      </c>
      <c r="L40" s="47">
        <v>1</v>
      </c>
      <c r="M40" s="47">
        <v>0</v>
      </c>
      <c r="N40" s="47">
        <v>1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1</v>
      </c>
      <c r="Y40" s="47">
        <v>0</v>
      </c>
      <c r="Z40" s="13">
        <f t="shared" si="6"/>
        <v>6</v>
      </c>
    </row>
    <row r="41" spans="1:26" ht="12.75" customHeight="1" x14ac:dyDescent="0.4">
      <c r="A41" s="24"/>
      <c r="B41" s="75"/>
      <c r="C41" s="65"/>
      <c r="D41" s="13" t="s">
        <v>14</v>
      </c>
      <c r="E41" s="13">
        <f t="shared" ref="E41:Y41" si="7">SUM(E39:E40)</f>
        <v>0</v>
      </c>
      <c r="F41" s="13">
        <f t="shared" si="7"/>
        <v>1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2</v>
      </c>
      <c r="L41" s="13">
        <f t="shared" si="7"/>
        <v>3</v>
      </c>
      <c r="M41" s="13">
        <f t="shared" si="7"/>
        <v>0</v>
      </c>
      <c r="N41" s="13">
        <f t="shared" si="7"/>
        <v>1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0</v>
      </c>
      <c r="S41" s="13">
        <f t="shared" si="7"/>
        <v>1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1</v>
      </c>
      <c r="Y41" s="13">
        <f t="shared" si="7"/>
        <v>0</v>
      </c>
      <c r="Z41" s="13">
        <f t="shared" si="6"/>
        <v>9</v>
      </c>
    </row>
    <row r="42" spans="1:26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13"/>
    </row>
    <row r="43" spans="1:26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3"/>
    </row>
    <row r="44" spans="1:26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3"/>
    </row>
    <row r="45" spans="1:26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3</v>
      </c>
      <c r="F45" s="15">
        <v>9</v>
      </c>
      <c r="G45" s="15">
        <v>10</v>
      </c>
      <c r="H45" s="15">
        <v>4</v>
      </c>
      <c r="I45" s="15">
        <v>5</v>
      </c>
      <c r="J45" s="15">
        <v>10</v>
      </c>
      <c r="K45" s="15">
        <v>4</v>
      </c>
      <c r="L45" s="15">
        <v>5</v>
      </c>
      <c r="M45" s="15">
        <v>3</v>
      </c>
      <c r="N45" s="15">
        <v>9</v>
      </c>
      <c r="O45" s="15">
        <v>3</v>
      </c>
      <c r="P45" s="15">
        <v>8</v>
      </c>
      <c r="Q45" s="15">
        <v>4</v>
      </c>
      <c r="R45" s="15">
        <v>4</v>
      </c>
      <c r="S45" s="15">
        <v>3</v>
      </c>
      <c r="T45" s="15">
        <v>17</v>
      </c>
      <c r="U45" s="15">
        <v>0</v>
      </c>
      <c r="V45" s="15">
        <v>7</v>
      </c>
      <c r="W45" s="15">
        <v>12</v>
      </c>
      <c r="X45" s="15">
        <v>10</v>
      </c>
      <c r="Y45" s="15">
        <v>5</v>
      </c>
      <c r="Z45" s="13">
        <f t="shared" ref="Z45:Z192" si="8">SUM(E45:Y45)</f>
        <v>135</v>
      </c>
    </row>
    <row r="46" spans="1:26" ht="12.75" customHeight="1" x14ac:dyDescent="0.4">
      <c r="A46" s="19" t="s">
        <v>39</v>
      </c>
      <c r="B46" s="27"/>
      <c r="C46" s="28" t="s">
        <v>40</v>
      </c>
      <c r="D46" s="29"/>
      <c r="E46" s="15">
        <v>22</v>
      </c>
      <c r="F46" s="15">
        <v>54</v>
      </c>
      <c r="G46" s="15">
        <v>59</v>
      </c>
      <c r="H46" s="15">
        <v>27</v>
      </c>
      <c r="I46" s="15">
        <v>16</v>
      </c>
      <c r="J46" s="15">
        <v>30</v>
      </c>
      <c r="K46" s="15">
        <v>41</v>
      </c>
      <c r="L46" s="15">
        <v>40</v>
      </c>
      <c r="M46" s="15">
        <v>25</v>
      </c>
      <c r="N46" s="15">
        <v>45</v>
      </c>
      <c r="O46" s="15">
        <v>19</v>
      </c>
      <c r="P46" s="15">
        <v>23</v>
      </c>
      <c r="Q46" s="15">
        <v>22</v>
      </c>
      <c r="R46" s="15">
        <v>9</v>
      </c>
      <c r="S46" s="15">
        <v>16</v>
      </c>
      <c r="T46" s="15">
        <v>64</v>
      </c>
      <c r="U46" s="15">
        <v>112</v>
      </c>
      <c r="V46" s="15">
        <v>61</v>
      </c>
      <c r="W46" s="15">
        <v>47</v>
      </c>
      <c r="X46" s="15">
        <v>73</v>
      </c>
      <c r="Y46" s="15">
        <v>84</v>
      </c>
      <c r="Z46" s="13">
        <f t="shared" si="8"/>
        <v>889</v>
      </c>
    </row>
    <row r="47" spans="1:26" ht="12.75" customHeight="1" x14ac:dyDescent="0.4">
      <c r="A47" s="14"/>
      <c r="B47" s="27"/>
      <c r="C47" s="28" t="s">
        <v>41</v>
      </c>
      <c r="D47" s="29"/>
      <c r="E47" s="15">
        <v>2</v>
      </c>
      <c r="F47" s="15">
        <v>0</v>
      </c>
      <c r="G47" s="15">
        <v>0</v>
      </c>
      <c r="H47" s="15">
        <v>0</v>
      </c>
      <c r="I47" s="15">
        <v>1</v>
      </c>
      <c r="J47" s="15">
        <v>0</v>
      </c>
      <c r="K47" s="15">
        <v>0</v>
      </c>
      <c r="L47" s="15">
        <v>1</v>
      </c>
      <c r="M47" s="15">
        <v>0</v>
      </c>
      <c r="N47" s="15">
        <v>4</v>
      </c>
      <c r="O47" s="15">
        <v>0</v>
      </c>
      <c r="P47" s="15">
        <v>1</v>
      </c>
      <c r="Q47" s="15">
        <v>1</v>
      </c>
      <c r="R47" s="15">
        <v>0</v>
      </c>
      <c r="S47" s="15">
        <v>0</v>
      </c>
      <c r="T47" s="15">
        <v>2</v>
      </c>
      <c r="U47" s="15">
        <v>0</v>
      </c>
      <c r="V47" s="15">
        <v>0</v>
      </c>
      <c r="W47" s="15">
        <v>0</v>
      </c>
      <c r="X47" s="15">
        <v>2</v>
      </c>
      <c r="Y47" s="15">
        <v>0</v>
      </c>
      <c r="Z47" s="13">
        <f t="shared" si="8"/>
        <v>14</v>
      </c>
    </row>
    <row r="48" spans="1:26" ht="12.75" customHeight="1" x14ac:dyDescent="0.4">
      <c r="A48" s="14"/>
      <c r="B48" s="27"/>
      <c r="C48" s="28" t="s">
        <v>42</v>
      </c>
      <c r="D48" s="29"/>
      <c r="E48" s="15">
        <v>4</v>
      </c>
      <c r="F48" s="15">
        <v>1</v>
      </c>
      <c r="G48" s="15">
        <v>12</v>
      </c>
      <c r="H48" s="15">
        <v>5</v>
      </c>
      <c r="I48" s="15">
        <v>3</v>
      </c>
      <c r="J48" s="15">
        <v>3</v>
      </c>
      <c r="K48" s="15">
        <v>5</v>
      </c>
      <c r="L48" s="15">
        <v>4</v>
      </c>
      <c r="M48" s="15">
        <v>14</v>
      </c>
      <c r="N48" s="15">
        <v>0</v>
      </c>
      <c r="O48" s="15">
        <v>0</v>
      </c>
      <c r="P48" s="15">
        <v>3</v>
      </c>
      <c r="Q48" s="15">
        <v>3</v>
      </c>
      <c r="R48" s="15">
        <v>0</v>
      </c>
      <c r="S48" s="15">
        <v>15</v>
      </c>
      <c r="T48" s="15">
        <v>3</v>
      </c>
      <c r="U48" s="15">
        <v>6</v>
      </c>
      <c r="V48" s="15">
        <v>2</v>
      </c>
      <c r="W48" s="15">
        <v>0</v>
      </c>
      <c r="X48" s="15">
        <v>3</v>
      </c>
      <c r="Y48" s="15">
        <v>0</v>
      </c>
      <c r="Z48" s="13">
        <f t="shared" si="8"/>
        <v>86</v>
      </c>
    </row>
    <row r="49" spans="1:26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1</v>
      </c>
      <c r="M49" s="15">
        <v>1</v>
      </c>
      <c r="N49" s="15">
        <v>3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5</v>
      </c>
      <c r="U49" s="15">
        <v>0</v>
      </c>
      <c r="V49" s="15">
        <v>0</v>
      </c>
      <c r="W49" s="15">
        <v>2</v>
      </c>
      <c r="X49" s="15">
        <v>0</v>
      </c>
      <c r="Y49" s="15">
        <v>2</v>
      </c>
      <c r="Z49" s="13">
        <f t="shared" si="8"/>
        <v>14</v>
      </c>
    </row>
    <row r="50" spans="1:26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1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3">
        <f t="shared" si="8"/>
        <v>1</v>
      </c>
    </row>
    <row r="51" spans="1:26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1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1</v>
      </c>
      <c r="S51" s="15">
        <v>0</v>
      </c>
      <c r="T51" s="15">
        <v>0</v>
      </c>
      <c r="U51" s="15">
        <v>0</v>
      </c>
      <c r="V51" s="15">
        <v>2</v>
      </c>
      <c r="W51" s="15">
        <v>0</v>
      </c>
      <c r="X51" s="15">
        <v>0</v>
      </c>
      <c r="Y51" s="15">
        <v>0</v>
      </c>
      <c r="Z51" s="13">
        <f t="shared" si="8"/>
        <v>4</v>
      </c>
    </row>
    <row r="52" spans="1:26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Y52" si="9">SUM(E45:E51)</f>
        <v>31</v>
      </c>
      <c r="F52" s="13">
        <f t="shared" si="9"/>
        <v>64</v>
      </c>
      <c r="G52" s="13">
        <f t="shared" si="9"/>
        <v>81</v>
      </c>
      <c r="H52" s="13">
        <f t="shared" si="9"/>
        <v>36</v>
      </c>
      <c r="I52" s="13">
        <f t="shared" si="9"/>
        <v>26</v>
      </c>
      <c r="J52" s="13">
        <f t="shared" si="9"/>
        <v>43</v>
      </c>
      <c r="K52" s="13">
        <f t="shared" si="9"/>
        <v>50</v>
      </c>
      <c r="L52" s="13">
        <f t="shared" si="9"/>
        <v>51</v>
      </c>
      <c r="M52" s="13">
        <f t="shared" si="9"/>
        <v>43</v>
      </c>
      <c r="N52" s="13">
        <f t="shared" si="9"/>
        <v>62</v>
      </c>
      <c r="O52" s="13">
        <f t="shared" si="9"/>
        <v>22</v>
      </c>
      <c r="P52" s="13">
        <f t="shared" si="9"/>
        <v>35</v>
      </c>
      <c r="Q52" s="13">
        <f t="shared" si="9"/>
        <v>30</v>
      </c>
      <c r="R52" s="13">
        <f t="shared" si="9"/>
        <v>14</v>
      </c>
      <c r="S52" s="13">
        <f t="shared" si="9"/>
        <v>34</v>
      </c>
      <c r="T52" s="13">
        <f t="shared" si="9"/>
        <v>91</v>
      </c>
      <c r="U52" s="13">
        <f t="shared" si="9"/>
        <v>118</v>
      </c>
      <c r="V52" s="13">
        <f t="shared" si="9"/>
        <v>72</v>
      </c>
      <c r="W52" s="13">
        <f t="shared" si="9"/>
        <v>61</v>
      </c>
      <c r="X52" s="13">
        <f t="shared" si="9"/>
        <v>88</v>
      </c>
      <c r="Y52" s="13">
        <f t="shared" si="9"/>
        <v>91</v>
      </c>
      <c r="Z52" s="13">
        <f t="shared" si="8"/>
        <v>1143</v>
      </c>
    </row>
    <row r="53" spans="1:26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3">
        <f t="shared" si="8"/>
        <v>0</v>
      </c>
    </row>
    <row r="54" spans="1:26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4</v>
      </c>
      <c r="F54" s="15">
        <v>6</v>
      </c>
      <c r="G54" s="15">
        <v>6</v>
      </c>
      <c r="H54" s="15">
        <v>9</v>
      </c>
      <c r="I54" s="15">
        <v>1</v>
      </c>
      <c r="J54" s="15">
        <v>7</v>
      </c>
      <c r="K54" s="15">
        <v>5</v>
      </c>
      <c r="L54" s="15">
        <v>1</v>
      </c>
      <c r="M54" s="15">
        <v>4</v>
      </c>
      <c r="N54" s="15">
        <v>1</v>
      </c>
      <c r="O54" s="15">
        <v>2</v>
      </c>
      <c r="P54" s="15">
        <v>3</v>
      </c>
      <c r="Q54" s="15">
        <v>11</v>
      </c>
      <c r="R54" s="15">
        <v>5</v>
      </c>
      <c r="S54" s="15">
        <v>3</v>
      </c>
      <c r="T54" s="15">
        <v>3</v>
      </c>
      <c r="U54" s="15">
        <v>1</v>
      </c>
      <c r="V54" s="15">
        <v>5</v>
      </c>
      <c r="W54" s="15">
        <v>4</v>
      </c>
      <c r="X54" s="15">
        <v>4</v>
      </c>
      <c r="Y54" s="15">
        <v>2</v>
      </c>
      <c r="Z54" s="13">
        <f t="shared" si="8"/>
        <v>87</v>
      </c>
    </row>
    <row r="55" spans="1:26" ht="12.75" customHeight="1" x14ac:dyDescent="0.4">
      <c r="A55" s="19" t="s">
        <v>39</v>
      </c>
      <c r="B55" s="27"/>
      <c r="C55" s="28" t="s">
        <v>48</v>
      </c>
      <c r="D55" s="29"/>
      <c r="E55" s="15">
        <v>1</v>
      </c>
      <c r="F55" s="15">
        <v>5</v>
      </c>
      <c r="G55" s="15">
        <v>1</v>
      </c>
      <c r="H55" s="15">
        <v>1</v>
      </c>
      <c r="I55" s="15">
        <v>1</v>
      </c>
      <c r="J55" s="15">
        <v>2</v>
      </c>
      <c r="K55" s="15">
        <v>4</v>
      </c>
      <c r="L55" s="15">
        <v>3</v>
      </c>
      <c r="M55" s="15">
        <v>0</v>
      </c>
      <c r="N55" s="15">
        <v>2</v>
      </c>
      <c r="O55" s="15">
        <v>3</v>
      </c>
      <c r="P55" s="15">
        <v>9</v>
      </c>
      <c r="Q55" s="15">
        <v>1</v>
      </c>
      <c r="R55" s="15">
        <v>2</v>
      </c>
      <c r="S55" s="15">
        <v>1</v>
      </c>
      <c r="T55" s="15">
        <v>1</v>
      </c>
      <c r="U55" s="15">
        <v>0</v>
      </c>
      <c r="V55" s="15">
        <v>1</v>
      </c>
      <c r="W55" s="15">
        <v>1</v>
      </c>
      <c r="X55" s="15">
        <v>2</v>
      </c>
      <c r="Y55" s="15">
        <v>2</v>
      </c>
      <c r="Z55" s="13">
        <f t="shared" si="8"/>
        <v>43</v>
      </c>
    </row>
    <row r="56" spans="1:26" ht="12.75" customHeight="1" x14ac:dyDescent="0.4">
      <c r="A56" s="14"/>
      <c r="B56" s="27"/>
      <c r="C56" s="28" t="s">
        <v>49</v>
      </c>
      <c r="D56" s="29"/>
      <c r="E56" s="15">
        <v>2</v>
      </c>
      <c r="F56" s="15">
        <v>0</v>
      </c>
      <c r="G56" s="15">
        <v>0</v>
      </c>
      <c r="H56" s="15">
        <v>0</v>
      </c>
      <c r="I56" s="15">
        <v>1</v>
      </c>
      <c r="J56" s="15">
        <v>0</v>
      </c>
      <c r="K56" s="15">
        <v>1</v>
      </c>
      <c r="L56" s="15">
        <v>0</v>
      </c>
      <c r="M56" s="15">
        <v>1</v>
      </c>
      <c r="N56" s="15">
        <v>0</v>
      </c>
      <c r="O56" s="15">
        <v>0</v>
      </c>
      <c r="P56" s="15">
        <v>3</v>
      </c>
      <c r="Q56" s="15">
        <v>0</v>
      </c>
      <c r="R56" s="15">
        <v>1</v>
      </c>
      <c r="S56" s="15">
        <v>0</v>
      </c>
      <c r="T56" s="15">
        <v>0</v>
      </c>
      <c r="U56" s="15">
        <v>1</v>
      </c>
      <c r="V56" s="15">
        <v>1</v>
      </c>
      <c r="W56" s="15">
        <v>1</v>
      </c>
      <c r="X56" s="15">
        <v>0</v>
      </c>
      <c r="Y56" s="15">
        <v>0</v>
      </c>
      <c r="Z56" s="13">
        <f t="shared" si="8"/>
        <v>12</v>
      </c>
    </row>
    <row r="57" spans="1:26" ht="12.75" customHeight="1" x14ac:dyDescent="0.4">
      <c r="A57" s="14"/>
      <c r="B57" s="27"/>
      <c r="C57" s="28" t="s">
        <v>50</v>
      </c>
      <c r="D57" s="29"/>
      <c r="E57" s="15">
        <v>0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1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1</v>
      </c>
      <c r="Z57" s="13">
        <f t="shared" si="8"/>
        <v>3</v>
      </c>
    </row>
    <row r="58" spans="1:26" ht="12.75" customHeight="1" x14ac:dyDescent="0.4">
      <c r="A58" s="14"/>
      <c r="B58" s="27"/>
      <c r="C58" s="28" t="s">
        <v>51</v>
      </c>
      <c r="D58" s="29"/>
      <c r="E58" s="15">
        <v>9</v>
      </c>
      <c r="F58" s="15">
        <v>7</v>
      </c>
      <c r="G58" s="15">
        <v>12</v>
      </c>
      <c r="H58" s="15">
        <v>28</v>
      </c>
      <c r="I58" s="15">
        <v>5</v>
      </c>
      <c r="J58" s="15">
        <v>15</v>
      </c>
      <c r="K58" s="15">
        <v>6</v>
      </c>
      <c r="L58" s="15">
        <v>8</v>
      </c>
      <c r="M58" s="15">
        <v>39</v>
      </c>
      <c r="N58" s="15">
        <v>7</v>
      </c>
      <c r="O58" s="15">
        <v>8</v>
      </c>
      <c r="P58" s="15">
        <v>7</v>
      </c>
      <c r="Q58" s="15">
        <v>34</v>
      </c>
      <c r="R58" s="15">
        <v>18</v>
      </c>
      <c r="S58" s="15">
        <v>26</v>
      </c>
      <c r="T58" s="15">
        <v>6</v>
      </c>
      <c r="U58" s="15">
        <v>0</v>
      </c>
      <c r="V58" s="15">
        <v>11</v>
      </c>
      <c r="W58" s="15">
        <v>0</v>
      </c>
      <c r="X58" s="15">
        <v>0</v>
      </c>
      <c r="Y58" s="15">
        <v>5</v>
      </c>
      <c r="Z58" s="13">
        <f t="shared" si="8"/>
        <v>251</v>
      </c>
    </row>
    <row r="59" spans="1:26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0</v>
      </c>
      <c r="Q59" s="15">
        <v>1</v>
      </c>
      <c r="R59" s="15">
        <v>0</v>
      </c>
      <c r="S59" s="15">
        <v>0</v>
      </c>
      <c r="T59" s="15">
        <v>0</v>
      </c>
      <c r="U59" s="15">
        <v>1</v>
      </c>
      <c r="V59" s="15">
        <v>1</v>
      </c>
      <c r="W59" s="15">
        <v>0</v>
      </c>
      <c r="X59" s="15">
        <v>0</v>
      </c>
      <c r="Y59" s="15">
        <v>0</v>
      </c>
      <c r="Z59" s="13">
        <f t="shared" si="8"/>
        <v>4</v>
      </c>
    </row>
    <row r="60" spans="1:26" ht="12.75" customHeight="1" x14ac:dyDescent="0.4">
      <c r="A60" s="14"/>
      <c r="B60" s="27"/>
      <c r="C60" s="28" t="s">
        <v>53</v>
      </c>
      <c r="D60" s="29"/>
      <c r="E60" s="15">
        <v>5</v>
      </c>
      <c r="F60" s="15">
        <v>1</v>
      </c>
      <c r="G60" s="15">
        <v>2</v>
      </c>
      <c r="H60" s="15">
        <v>1</v>
      </c>
      <c r="I60" s="15">
        <v>1</v>
      </c>
      <c r="J60" s="15">
        <v>4</v>
      </c>
      <c r="K60" s="15">
        <v>0</v>
      </c>
      <c r="L60" s="15">
        <v>2</v>
      </c>
      <c r="M60" s="15">
        <v>2</v>
      </c>
      <c r="N60" s="15">
        <v>0</v>
      </c>
      <c r="O60" s="15">
        <v>0</v>
      </c>
      <c r="P60" s="15">
        <v>0</v>
      </c>
      <c r="Q60" s="15">
        <v>8</v>
      </c>
      <c r="R60" s="15">
        <v>2</v>
      </c>
      <c r="S60" s="15">
        <v>4</v>
      </c>
      <c r="T60" s="15">
        <v>2</v>
      </c>
      <c r="U60" s="15">
        <v>0</v>
      </c>
      <c r="V60" s="15">
        <v>1</v>
      </c>
      <c r="W60" s="15">
        <v>0</v>
      </c>
      <c r="X60" s="15">
        <v>0</v>
      </c>
      <c r="Y60" s="15">
        <v>0</v>
      </c>
      <c r="Z60" s="13">
        <f t="shared" si="8"/>
        <v>35</v>
      </c>
    </row>
    <row r="61" spans="1:26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Y61" si="10">SUM(E54:E60)</f>
        <v>21</v>
      </c>
      <c r="F61" s="13">
        <f t="shared" si="10"/>
        <v>20</v>
      </c>
      <c r="G61" s="13">
        <f t="shared" si="10"/>
        <v>21</v>
      </c>
      <c r="H61" s="13">
        <f t="shared" si="10"/>
        <v>39</v>
      </c>
      <c r="I61" s="13">
        <f t="shared" si="10"/>
        <v>9</v>
      </c>
      <c r="J61" s="13">
        <f t="shared" si="10"/>
        <v>28</v>
      </c>
      <c r="K61" s="13">
        <f t="shared" si="10"/>
        <v>16</v>
      </c>
      <c r="L61" s="13">
        <f t="shared" si="10"/>
        <v>14</v>
      </c>
      <c r="M61" s="13">
        <f t="shared" si="10"/>
        <v>46</v>
      </c>
      <c r="N61" s="13">
        <f t="shared" si="10"/>
        <v>10</v>
      </c>
      <c r="O61" s="13">
        <f t="shared" si="10"/>
        <v>14</v>
      </c>
      <c r="P61" s="13">
        <f t="shared" si="10"/>
        <v>23</v>
      </c>
      <c r="Q61" s="13">
        <f t="shared" si="10"/>
        <v>55</v>
      </c>
      <c r="R61" s="13">
        <f t="shared" si="10"/>
        <v>28</v>
      </c>
      <c r="S61" s="13">
        <f t="shared" si="10"/>
        <v>34</v>
      </c>
      <c r="T61" s="13">
        <f t="shared" si="10"/>
        <v>12</v>
      </c>
      <c r="U61" s="13">
        <f t="shared" si="10"/>
        <v>3</v>
      </c>
      <c r="V61" s="13">
        <f t="shared" si="10"/>
        <v>20</v>
      </c>
      <c r="W61" s="13">
        <f t="shared" si="10"/>
        <v>6</v>
      </c>
      <c r="X61" s="13">
        <f t="shared" si="10"/>
        <v>6</v>
      </c>
      <c r="Y61" s="13">
        <f t="shared" si="10"/>
        <v>10</v>
      </c>
      <c r="Z61" s="13">
        <f t="shared" si="8"/>
        <v>435</v>
      </c>
    </row>
    <row r="62" spans="1:26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3">
        <f t="shared" si="8"/>
        <v>0</v>
      </c>
    </row>
    <row r="63" spans="1:26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10</v>
      </c>
      <c r="F63" s="15">
        <v>3</v>
      </c>
      <c r="G63" s="15">
        <v>2</v>
      </c>
      <c r="H63" s="15">
        <v>4</v>
      </c>
      <c r="I63" s="15">
        <v>9</v>
      </c>
      <c r="J63" s="15">
        <v>6</v>
      </c>
      <c r="K63" s="15">
        <v>3</v>
      </c>
      <c r="L63" s="15">
        <v>7</v>
      </c>
      <c r="M63" s="15">
        <v>2</v>
      </c>
      <c r="N63" s="15">
        <v>0</v>
      </c>
      <c r="O63" s="15">
        <v>5</v>
      </c>
      <c r="P63" s="15">
        <v>4</v>
      </c>
      <c r="Q63" s="15">
        <v>1</v>
      </c>
      <c r="R63" s="15">
        <v>4</v>
      </c>
      <c r="S63" s="15">
        <v>4</v>
      </c>
      <c r="T63" s="15">
        <v>2</v>
      </c>
      <c r="U63" s="15">
        <v>0</v>
      </c>
      <c r="V63" s="15">
        <v>2</v>
      </c>
      <c r="W63" s="15">
        <v>3</v>
      </c>
      <c r="X63" s="15">
        <v>0</v>
      </c>
      <c r="Y63" s="15">
        <v>1</v>
      </c>
      <c r="Z63" s="13">
        <f t="shared" si="8"/>
        <v>72</v>
      </c>
    </row>
    <row r="64" spans="1:26" ht="12.75" customHeight="1" x14ac:dyDescent="0.4">
      <c r="A64" s="19" t="s">
        <v>39</v>
      </c>
      <c r="B64" s="27"/>
      <c r="C64" s="28" t="s">
        <v>55</v>
      </c>
      <c r="D64" s="29"/>
      <c r="E64" s="15">
        <v>2</v>
      </c>
      <c r="F64" s="15">
        <v>5</v>
      </c>
      <c r="G64" s="15">
        <v>21</v>
      </c>
      <c r="H64" s="15">
        <v>14</v>
      </c>
      <c r="I64" s="15">
        <v>42</v>
      </c>
      <c r="J64" s="15">
        <v>9</v>
      </c>
      <c r="K64" s="15">
        <v>5</v>
      </c>
      <c r="L64" s="15">
        <v>8</v>
      </c>
      <c r="M64" s="15">
        <v>3</v>
      </c>
      <c r="N64" s="15">
        <v>4</v>
      </c>
      <c r="O64" s="15">
        <v>1</v>
      </c>
      <c r="P64" s="15">
        <v>1</v>
      </c>
      <c r="Q64" s="15">
        <v>8</v>
      </c>
      <c r="R64" s="15">
        <v>2</v>
      </c>
      <c r="S64" s="15">
        <v>1</v>
      </c>
      <c r="T64" s="15">
        <v>16</v>
      </c>
      <c r="U64" s="15">
        <v>1</v>
      </c>
      <c r="V64" s="15">
        <v>5</v>
      </c>
      <c r="W64" s="15">
        <v>1</v>
      </c>
      <c r="X64" s="15">
        <v>1</v>
      </c>
      <c r="Y64" s="15">
        <v>0</v>
      </c>
      <c r="Z64" s="13">
        <f t="shared" si="8"/>
        <v>150</v>
      </c>
    </row>
    <row r="65" spans="1:26" ht="12.75" customHeight="1" x14ac:dyDescent="0.4">
      <c r="A65" s="14"/>
      <c r="B65" s="27"/>
      <c r="C65" s="28" t="s">
        <v>56</v>
      </c>
      <c r="D65" s="29"/>
      <c r="E65" s="15">
        <v>2</v>
      </c>
      <c r="F65" s="15">
        <v>0</v>
      </c>
      <c r="G65" s="15">
        <v>0</v>
      </c>
      <c r="H65" s="15">
        <v>1</v>
      </c>
      <c r="I65" s="15">
        <v>0</v>
      </c>
      <c r="J65" s="15">
        <v>2</v>
      </c>
      <c r="K65" s="15">
        <v>2</v>
      </c>
      <c r="L65" s="15">
        <v>0</v>
      </c>
      <c r="M65" s="15">
        <v>1</v>
      </c>
      <c r="N65" s="15">
        <v>1</v>
      </c>
      <c r="O65" s="15">
        <v>3</v>
      </c>
      <c r="P65" s="15">
        <v>0</v>
      </c>
      <c r="Q65" s="15">
        <v>0</v>
      </c>
      <c r="R65" s="15">
        <v>0</v>
      </c>
      <c r="S65" s="15">
        <v>1</v>
      </c>
      <c r="T65" s="15">
        <v>1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3">
        <f t="shared" si="8"/>
        <v>14</v>
      </c>
    </row>
    <row r="66" spans="1:26" ht="12.75" customHeight="1" x14ac:dyDescent="0.4">
      <c r="A66" s="14"/>
      <c r="B66" s="27"/>
      <c r="C66" s="28" t="s">
        <v>57</v>
      </c>
      <c r="D66" s="29"/>
      <c r="E66" s="15">
        <v>40</v>
      </c>
      <c r="F66" s="15">
        <v>25</v>
      </c>
      <c r="G66" s="15">
        <v>30</v>
      </c>
      <c r="H66" s="15">
        <v>23</v>
      </c>
      <c r="I66" s="15">
        <v>13</v>
      </c>
      <c r="J66" s="15">
        <v>14</v>
      </c>
      <c r="K66" s="15">
        <v>16</v>
      </c>
      <c r="L66" s="15">
        <v>14</v>
      </c>
      <c r="M66" s="15">
        <v>4</v>
      </c>
      <c r="N66" s="15">
        <v>1</v>
      </c>
      <c r="O66" s="15">
        <v>3</v>
      </c>
      <c r="P66" s="15">
        <v>6</v>
      </c>
      <c r="Q66" s="15">
        <v>8</v>
      </c>
      <c r="R66" s="15">
        <v>3</v>
      </c>
      <c r="S66" s="15">
        <v>23</v>
      </c>
      <c r="T66" s="15">
        <v>1</v>
      </c>
      <c r="U66" s="15">
        <v>2</v>
      </c>
      <c r="V66" s="15">
        <v>4</v>
      </c>
      <c r="W66" s="15">
        <v>4</v>
      </c>
      <c r="X66" s="15">
        <v>0</v>
      </c>
      <c r="Y66" s="15">
        <v>1</v>
      </c>
      <c r="Z66" s="13">
        <f t="shared" si="8"/>
        <v>235</v>
      </c>
    </row>
    <row r="67" spans="1:26" ht="12.75" customHeight="1" x14ac:dyDescent="0.4">
      <c r="A67" s="14"/>
      <c r="B67" s="27"/>
      <c r="C67" s="28" t="s">
        <v>58</v>
      </c>
      <c r="D67" s="29"/>
      <c r="E67" s="15">
        <v>2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10</v>
      </c>
      <c r="M67" s="15">
        <v>0</v>
      </c>
      <c r="N67" s="15">
        <v>1</v>
      </c>
      <c r="O67" s="15">
        <v>0</v>
      </c>
      <c r="P67" s="15">
        <v>4</v>
      </c>
      <c r="Q67" s="15">
        <v>1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3">
        <f t="shared" si="8"/>
        <v>19</v>
      </c>
    </row>
    <row r="68" spans="1:26" ht="12.75" customHeight="1" x14ac:dyDescent="0.4">
      <c r="A68" s="14"/>
      <c r="B68" s="27"/>
      <c r="C68" s="28" t="s">
        <v>59</v>
      </c>
      <c r="D68" s="29"/>
      <c r="E68" s="15">
        <v>1</v>
      </c>
      <c r="F68" s="15">
        <v>0</v>
      </c>
      <c r="G68" s="15">
        <v>0</v>
      </c>
      <c r="H68" s="15">
        <v>1</v>
      </c>
      <c r="I68" s="15">
        <v>0</v>
      </c>
      <c r="J68" s="15">
        <v>1</v>
      </c>
      <c r="K68" s="15">
        <v>0</v>
      </c>
      <c r="L68" s="15">
        <v>1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1</v>
      </c>
      <c r="U68" s="15">
        <v>0</v>
      </c>
      <c r="V68" s="15">
        <v>2</v>
      </c>
      <c r="W68" s="15">
        <v>0</v>
      </c>
      <c r="X68" s="15">
        <v>0</v>
      </c>
      <c r="Y68" s="15">
        <v>0</v>
      </c>
      <c r="Z68" s="13">
        <f t="shared" si="8"/>
        <v>7</v>
      </c>
    </row>
    <row r="69" spans="1:26" ht="12.75" customHeight="1" x14ac:dyDescent="0.4">
      <c r="A69" s="14"/>
      <c r="B69" s="27"/>
      <c r="C69" s="28" t="s">
        <v>60</v>
      </c>
      <c r="D69" s="29"/>
      <c r="E69" s="15">
        <v>10</v>
      </c>
      <c r="F69" s="15">
        <v>3</v>
      </c>
      <c r="G69" s="15">
        <v>1</v>
      </c>
      <c r="H69" s="15">
        <v>0</v>
      </c>
      <c r="I69" s="15">
        <v>2</v>
      </c>
      <c r="J69" s="15">
        <v>3</v>
      </c>
      <c r="K69" s="15">
        <v>1</v>
      </c>
      <c r="L69" s="15">
        <v>2</v>
      </c>
      <c r="M69" s="15">
        <v>1</v>
      </c>
      <c r="N69" s="15">
        <v>2</v>
      </c>
      <c r="O69" s="15">
        <v>0</v>
      </c>
      <c r="P69" s="15">
        <v>0</v>
      </c>
      <c r="Q69" s="15">
        <v>3</v>
      </c>
      <c r="R69" s="15">
        <v>0</v>
      </c>
      <c r="S69" s="15">
        <v>1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3">
        <f t="shared" si="8"/>
        <v>29</v>
      </c>
    </row>
    <row r="70" spans="1:26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Y70" si="11">SUM(E63:E69)</f>
        <v>67</v>
      </c>
      <c r="F70" s="13">
        <f t="shared" si="11"/>
        <v>37</v>
      </c>
      <c r="G70" s="13">
        <f t="shared" si="11"/>
        <v>54</v>
      </c>
      <c r="H70" s="13">
        <f t="shared" si="11"/>
        <v>43</v>
      </c>
      <c r="I70" s="13">
        <f t="shared" si="11"/>
        <v>66</v>
      </c>
      <c r="J70" s="13">
        <f t="shared" si="11"/>
        <v>35</v>
      </c>
      <c r="K70" s="13">
        <f t="shared" si="11"/>
        <v>27</v>
      </c>
      <c r="L70" s="13">
        <f t="shared" si="11"/>
        <v>42</v>
      </c>
      <c r="M70" s="13">
        <f t="shared" si="11"/>
        <v>11</v>
      </c>
      <c r="N70" s="13">
        <f t="shared" si="11"/>
        <v>9</v>
      </c>
      <c r="O70" s="13">
        <f t="shared" si="11"/>
        <v>12</v>
      </c>
      <c r="P70" s="13">
        <f t="shared" si="11"/>
        <v>15</v>
      </c>
      <c r="Q70" s="13">
        <f t="shared" si="11"/>
        <v>21</v>
      </c>
      <c r="R70" s="13">
        <f t="shared" si="11"/>
        <v>9</v>
      </c>
      <c r="S70" s="13">
        <f t="shared" si="11"/>
        <v>30</v>
      </c>
      <c r="T70" s="13">
        <f t="shared" si="11"/>
        <v>21</v>
      </c>
      <c r="U70" s="13">
        <f t="shared" si="11"/>
        <v>3</v>
      </c>
      <c r="V70" s="13">
        <f t="shared" si="11"/>
        <v>13</v>
      </c>
      <c r="W70" s="13">
        <f t="shared" si="11"/>
        <v>8</v>
      </c>
      <c r="X70" s="13">
        <f t="shared" si="11"/>
        <v>1</v>
      </c>
      <c r="Y70" s="13">
        <f t="shared" si="11"/>
        <v>2</v>
      </c>
      <c r="Z70" s="13">
        <f t="shared" si="8"/>
        <v>526</v>
      </c>
    </row>
    <row r="71" spans="1:26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3">
        <f t="shared" si="8"/>
        <v>0</v>
      </c>
    </row>
    <row r="72" spans="1:26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6</v>
      </c>
      <c r="F72" s="15">
        <v>7</v>
      </c>
      <c r="G72" s="15">
        <v>2</v>
      </c>
      <c r="H72" s="15">
        <v>3</v>
      </c>
      <c r="I72" s="15">
        <v>2</v>
      </c>
      <c r="J72" s="15">
        <v>3</v>
      </c>
      <c r="K72" s="15">
        <v>5</v>
      </c>
      <c r="L72" s="15">
        <v>7</v>
      </c>
      <c r="M72" s="15">
        <v>3</v>
      </c>
      <c r="N72" s="15">
        <v>2</v>
      </c>
      <c r="O72" s="15">
        <v>8</v>
      </c>
      <c r="P72" s="15">
        <v>6</v>
      </c>
      <c r="Q72" s="15">
        <v>4</v>
      </c>
      <c r="R72" s="15">
        <v>3</v>
      </c>
      <c r="S72" s="15">
        <v>4</v>
      </c>
      <c r="T72" s="15">
        <v>6</v>
      </c>
      <c r="U72" s="15">
        <v>1</v>
      </c>
      <c r="V72" s="15">
        <v>2</v>
      </c>
      <c r="W72" s="15">
        <v>6</v>
      </c>
      <c r="X72" s="15">
        <v>7</v>
      </c>
      <c r="Y72" s="15">
        <v>0</v>
      </c>
      <c r="Z72" s="13">
        <f t="shared" si="8"/>
        <v>87</v>
      </c>
    </row>
    <row r="73" spans="1:26" ht="12.75" customHeight="1" x14ac:dyDescent="0.4">
      <c r="A73" s="19" t="s">
        <v>39</v>
      </c>
      <c r="B73" s="27"/>
      <c r="C73" s="28" t="s">
        <v>62</v>
      </c>
      <c r="D73" s="29"/>
      <c r="E73" s="15">
        <v>8</v>
      </c>
      <c r="F73" s="15">
        <v>16</v>
      </c>
      <c r="G73" s="15">
        <v>9</v>
      </c>
      <c r="H73" s="15">
        <v>8</v>
      </c>
      <c r="I73" s="15">
        <v>12</v>
      </c>
      <c r="J73" s="15">
        <v>17</v>
      </c>
      <c r="K73" s="15">
        <v>17</v>
      </c>
      <c r="L73" s="15">
        <v>11</v>
      </c>
      <c r="M73" s="15">
        <v>19</v>
      </c>
      <c r="N73" s="15">
        <v>19</v>
      </c>
      <c r="O73" s="15">
        <v>35</v>
      </c>
      <c r="P73" s="15">
        <v>44</v>
      </c>
      <c r="Q73" s="15">
        <v>15</v>
      </c>
      <c r="R73" s="15">
        <v>28</v>
      </c>
      <c r="S73" s="15">
        <v>27</v>
      </c>
      <c r="T73" s="15">
        <v>14</v>
      </c>
      <c r="U73" s="15">
        <v>13</v>
      </c>
      <c r="V73" s="15">
        <v>10</v>
      </c>
      <c r="W73" s="15">
        <v>43</v>
      </c>
      <c r="X73" s="15">
        <v>38</v>
      </c>
      <c r="Y73" s="15">
        <v>0</v>
      </c>
      <c r="Z73" s="13">
        <f t="shared" si="8"/>
        <v>403</v>
      </c>
    </row>
    <row r="74" spans="1:26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1</v>
      </c>
      <c r="K74" s="15">
        <v>0</v>
      </c>
      <c r="L74" s="15">
        <v>0</v>
      </c>
      <c r="M74" s="15">
        <v>0</v>
      </c>
      <c r="N74" s="15">
        <v>1</v>
      </c>
      <c r="O74" s="15">
        <v>1</v>
      </c>
      <c r="P74" s="15">
        <v>1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3">
        <f t="shared" si="8"/>
        <v>4</v>
      </c>
    </row>
    <row r="75" spans="1:26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1</v>
      </c>
      <c r="K75" s="15">
        <v>0</v>
      </c>
      <c r="L75" s="15">
        <v>1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3">
        <f t="shared" si="8"/>
        <v>2</v>
      </c>
    </row>
    <row r="76" spans="1:26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1</v>
      </c>
      <c r="G76" s="15">
        <v>0</v>
      </c>
      <c r="H76" s="15">
        <v>1</v>
      </c>
      <c r="I76" s="15">
        <v>0</v>
      </c>
      <c r="J76" s="15">
        <v>0</v>
      </c>
      <c r="K76" s="15">
        <v>2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3">
        <f t="shared" si="8"/>
        <v>5</v>
      </c>
    </row>
    <row r="77" spans="1:26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1</v>
      </c>
      <c r="I77" s="15">
        <v>1</v>
      </c>
      <c r="J77" s="15">
        <v>1</v>
      </c>
      <c r="K77" s="15">
        <v>1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1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3">
        <f t="shared" si="8"/>
        <v>5</v>
      </c>
    </row>
    <row r="78" spans="1:26" ht="12.75" customHeight="1" x14ac:dyDescent="0.4">
      <c r="A78" s="14"/>
      <c r="B78" s="27"/>
      <c r="C78" s="28" t="s">
        <v>67</v>
      </c>
      <c r="D78" s="29"/>
      <c r="E78" s="15">
        <v>26</v>
      </c>
      <c r="F78" s="15">
        <v>7</v>
      </c>
      <c r="G78" s="15">
        <v>23</v>
      </c>
      <c r="H78" s="15">
        <v>9</v>
      </c>
      <c r="I78" s="15">
        <v>19</v>
      </c>
      <c r="J78" s="15">
        <v>28</v>
      </c>
      <c r="K78" s="15">
        <v>6</v>
      </c>
      <c r="L78" s="15">
        <v>32</v>
      </c>
      <c r="M78" s="15">
        <v>40</v>
      </c>
      <c r="N78" s="15">
        <v>35</v>
      </c>
      <c r="O78" s="15">
        <v>3</v>
      </c>
      <c r="P78" s="15">
        <v>7</v>
      </c>
      <c r="Q78" s="15">
        <v>20</v>
      </c>
      <c r="R78" s="15">
        <v>10</v>
      </c>
      <c r="S78" s="15">
        <v>6</v>
      </c>
      <c r="T78" s="15">
        <v>7</v>
      </c>
      <c r="U78" s="15">
        <v>3</v>
      </c>
      <c r="V78" s="15">
        <v>8</v>
      </c>
      <c r="W78" s="15">
        <v>4</v>
      </c>
      <c r="X78" s="15">
        <v>0</v>
      </c>
      <c r="Y78" s="15">
        <v>1</v>
      </c>
      <c r="Z78" s="13">
        <f t="shared" si="8"/>
        <v>294</v>
      </c>
    </row>
    <row r="79" spans="1:26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Y79" si="12">SUM(E72:E78)</f>
        <v>41</v>
      </c>
      <c r="F79" s="13">
        <f t="shared" si="12"/>
        <v>31</v>
      </c>
      <c r="G79" s="13">
        <f t="shared" si="12"/>
        <v>34</v>
      </c>
      <c r="H79" s="13">
        <f t="shared" si="12"/>
        <v>22</v>
      </c>
      <c r="I79" s="13">
        <f t="shared" si="12"/>
        <v>34</v>
      </c>
      <c r="J79" s="13">
        <f t="shared" si="12"/>
        <v>51</v>
      </c>
      <c r="K79" s="13">
        <f t="shared" si="12"/>
        <v>31</v>
      </c>
      <c r="L79" s="13">
        <f t="shared" si="12"/>
        <v>51</v>
      </c>
      <c r="M79" s="13">
        <f t="shared" si="12"/>
        <v>62</v>
      </c>
      <c r="N79" s="13">
        <f t="shared" si="12"/>
        <v>57</v>
      </c>
      <c r="O79" s="13">
        <f t="shared" si="12"/>
        <v>47</v>
      </c>
      <c r="P79" s="13">
        <f t="shared" si="12"/>
        <v>58</v>
      </c>
      <c r="Q79" s="13">
        <f t="shared" si="12"/>
        <v>40</v>
      </c>
      <c r="R79" s="13">
        <f t="shared" si="12"/>
        <v>41</v>
      </c>
      <c r="S79" s="13">
        <f t="shared" si="12"/>
        <v>37</v>
      </c>
      <c r="T79" s="13">
        <f t="shared" si="12"/>
        <v>27</v>
      </c>
      <c r="U79" s="13">
        <f t="shared" si="12"/>
        <v>17</v>
      </c>
      <c r="V79" s="13">
        <f t="shared" si="12"/>
        <v>20</v>
      </c>
      <c r="W79" s="13">
        <f t="shared" si="12"/>
        <v>53</v>
      </c>
      <c r="X79" s="13">
        <f t="shared" si="12"/>
        <v>45</v>
      </c>
      <c r="Y79" s="13">
        <f t="shared" si="12"/>
        <v>1</v>
      </c>
      <c r="Z79" s="13">
        <f t="shared" si="8"/>
        <v>800</v>
      </c>
    </row>
    <row r="80" spans="1:26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3">
        <f t="shared" si="8"/>
        <v>0</v>
      </c>
    </row>
    <row r="81" spans="1:26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0</v>
      </c>
      <c r="F81" s="15">
        <v>1</v>
      </c>
      <c r="G81" s="15">
        <v>0</v>
      </c>
      <c r="H81" s="15">
        <v>1</v>
      </c>
      <c r="I81" s="15">
        <v>1</v>
      </c>
      <c r="J81" s="15">
        <v>2</v>
      </c>
      <c r="K81" s="15">
        <v>2</v>
      </c>
      <c r="L81" s="15">
        <v>0</v>
      </c>
      <c r="M81" s="15">
        <v>0</v>
      </c>
      <c r="N81" s="15">
        <v>0</v>
      </c>
      <c r="O81" s="15">
        <v>1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1</v>
      </c>
      <c r="V81" s="15">
        <v>0</v>
      </c>
      <c r="W81" s="15">
        <v>0</v>
      </c>
      <c r="X81" s="15">
        <v>0</v>
      </c>
      <c r="Y81" s="15">
        <v>0</v>
      </c>
      <c r="Z81" s="13">
        <f t="shared" si="8"/>
        <v>9</v>
      </c>
    </row>
    <row r="82" spans="1:26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1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1</v>
      </c>
      <c r="S82" s="15">
        <v>1</v>
      </c>
      <c r="T82" s="15">
        <v>0</v>
      </c>
      <c r="U82" s="15">
        <v>2</v>
      </c>
      <c r="V82" s="15">
        <v>0</v>
      </c>
      <c r="W82" s="15">
        <v>1</v>
      </c>
      <c r="X82" s="15">
        <v>1</v>
      </c>
      <c r="Y82" s="15">
        <v>0</v>
      </c>
      <c r="Z82" s="13">
        <f t="shared" si="8"/>
        <v>7</v>
      </c>
    </row>
    <row r="83" spans="1:26" ht="12.75" customHeight="1" x14ac:dyDescent="0.4">
      <c r="A83" s="14"/>
      <c r="B83" s="27"/>
      <c r="C83" s="28" t="s">
        <v>71</v>
      </c>
      <c r="D83" s="29"/>
      <c r="E83" s="15">
        <v>0</v>
      </c>
      <c r="F83" s="15">
        <v>3</v>
      </c>
      <c r="G83" s="15">
        <v>6</v>
      </c>
      <c r="H83" s="15">
        <v>40</v>
      </c>
      <c r="I83" s="15">
        <v>21</v>
      </c>
      <c r="J83" s="15">
        <v>3</v>
      </c>
      <c r="K83" s="15">
        <v>17</v>
      </c>
      <c r="L83" s="15">
        <v>1</v>
      </c>
      <c r="M83" s="15">
        <v>9</v>
      </c>
      <c r="N83" s="15">
        <v>0</v>
      </c>
      <c r="O83" s="15">
        <v>9</v>
      </c>
      <c r="P83" s="15">
        <v>4</v>
      </c>
      <c r="Q83" s="15">
        <v>18</v>
      </c>
      <c r="R83" s="15">
        <v>15</v>
      </c>
      <c r="S83" s="15">
        <v>0</v>
      </c>
      <c r="T83" s="15">
        <v>10</v>
      </c>
      <c r="U83" s="15">
        <v>32</v>
      </c>
      <c r="V83" s="15">
        <v>44</v>
      </c>
      <c r="W83" s="15">
        <v>5</v>
      </c>
      <c r="X83" s="15">
        <v>9</v>
      </c>
      <c r="Y83" s="15">
        <v>7</v>
      </c>
      <c r="Z83" s="13">
        <f t="shared" si="8"/>
        <v>253</v>
      </c>
    </row>
    <row r="84" spans="1:26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5</v>
      </c>
      <c r="G84" s="15">
        <v>1</v>
      </c>
      <c r="H84" s="15">
        <v>1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1</v>
      </c>
      <c r="O84" s="15">
        <v>0</v>
      </c>
      <c r="P84" s="15">
        <v>1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3">
        <f t="shared" si="8"/>
        <v>10</v>
      </c>
    </row>
    <row r="85" spans="1:26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3">
        <f t="shared" si="8"/>
        <v>0</v>
      </c>
    </row>
    <row r="86" spans="1:26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3">
        <f t="shared" si="8"/>
        <v>0</v>
      </c>
    </row>
    <row r="87" spans="1:26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3">
        <f t="shared" si="8"/>
        <v>0</v>
      </c>
    </row>
    <row r="88" spans="1:26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Y88" si="13">SUM(E81:E87)</f>
        <v>0</v>
      </c>
      <c r="F88" s="13">
        <f t="shared" si="13"/>
        <v>9</v>
      </c>
      <c r="G88" s="13">
        <f t="shared" si="13"/>
        <v>7</v>
      </c>
      <c r="H88" s="13">
        <f t="shared" si="13"/>
        <v>42</v>
      </c>
      <c r="I88" s="13">
        <f t="shared" si="13"/>
        <v>22</v>
      </c>
      <c r="J88" s="13">
        <f t="shared" si="13"/>
        <v>5</v>
      </c>
      <c r="K88" s="13">
        <f t="shared" si="13"/>
        <v>21</v>
      </c>
      <c r="L88" s="13">
        <f t="shared" si="13"/>
        <v>1</v>
      </c>
      <c r="M88" s="13">
        <f t="shared" si="13"/>
        <v>9</v>
      </c>
      <c r="N88" s="13">
        <f t="shared" si="13"/>
        <v>1</v>
      </c>
      <c r="O88" s="13">
        <f t="shared" si="13"/>
        <v>10</v>
      </c>
      <c r="P88" s="13">
        <f t="shared" si="13"/>
        <v>5</v>
      </c>
      <c r="Q88" s="13">
        <f t="shared" si="13"/>
        <v>18</v>
      </c>
      <c r="R88" s="13">
        <f t="shared" si="13"/>
        <v>16</v>
      </c>
      <c r="S88" s="13">
        <f t="shared" si="13"/>
        <v>1</v>
      </c>
      <c r="T88" s="13">
        <f t="shared" si="13"/>
        <v>10</v>
      </c>
      <c r="U88" s="13">
        <f t="shared" si="13"/>
        <v>35</v>
      </c>
      <c r="V88" s="13">
        <f t="shared" si="13"/>
        <v>44</v>
      </c>
      <c r="W88" s="13">
        <f t="shared" si="13"/>
        <v>6</v>
      </c>
      <c r="X88" s="13">
        <f t="shared" si="13"/>
        <v>10</v>
      </c>
      <c r="Y88" s="13">
        <f t="shared" si="13"/>
        <v>7</v>
      </c>
      <c r="Z88" s="13">
        <f t="shared" si="8"/>
        <v>279</v>
      </c>
    </row>
    <row r="89" spans="1:26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3">
        <f t="shared" si="8"/>
        <v>0</v>
      </c>
    </row>
    <row r="90" spans="1:26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2</v>
      </c>
      <c r="F90" s="15">
        <v>1</v>
      </c>
      <c r="G90" s="15">
        <v>0</v>
      </c>
      <c r="H90" s="15">
        <v>0</v>
      </c>
      <c r="I90" s="15">
        <v>1</v>
      </c>
      <c r="J90" s="15">
        <v>1</v>
      </c>
      <c r="K90" s="15">
        <v>0</v>
      </c>
      <c r="L90" s="15">
        <v>1</v>
      </c>
      <c r="M90" s="15">
        <v>0</v>
      </c>
      <c r="N90" s="15">
        <v>0</v>
      </c>
      <c r="O90" s="15">
        <v>0</v>
      </c>
      <c r="P90" s="15">
        <v>0</v>
      </c>
      <c r="Q90" s="15">
        <v>1</v>
      </c>
      <c r="R90" s="15">
        <v>0</v>
      </c>
      <c r="S90" s="15">
        <v>1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3">
        <f t="shared" si="8"/>
        <v>8</v>
      </c>
    </row>
    <row r="91" spans="1:26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1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1</v>
      </c>
      <c r="U91" s="15">
        <v>0</v>
      </c>
      <c r="V91" s="15">
        <v>0</v>
      </c>
      <c r="W91" s="15">
        <v>0</v>
      </c>
      <c r="X91" s="15">
        <v>0</v>
      </c>
      <c r="Y91" s="15">
        <v>1</v>
      </c>
      <c r="Z91" s="13">
        <f t="shared" si="8"/>
        <v>3</v>
      </c>
    </row>
    <row r="92" spans="1:26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Y92" si="14">SUM(E90:E91)</f>
        <v>2</v>
      </c>
      <c r="F92" s="36">
        <f t="shared" si="14"/>
        <v>1</v>
      </c>
      <c r="G92" s="36">
        <f t="shared" si="14"/>
        <v>0</v>
      </c>
      <c r="H92" s="36">
        <f t="shared" si="14"/>
        <v>0</v>
      </c>
      <c r="I92" s="36">
        <f t="shared" si="14"/>
        <v>1</v>
      </c>
      <c r="J92" s="36">
        <f t="shared" si="14"/>
        <v>2</v>
      </c>
      <c r="K92" s="36">
        <f t="shared" si="14"/>
        <v>0</v>
      </c>
      <c r="L92" s="36">
        <f t="shared" si="14"/>
        <v>1</v>
      </c>
      <c r="M92" s="36">
        <f t="shared" si="14"/>
        <v>0</v>
      </c>
      <c r="N92" s="36">
        <f t="shared" si="14"/>
        <v>0</v>
      </c>
      <c r="O92" s="36">
        <f t="shared" si="14"/>
        <v>0</v>
      </c>
      <c r="P92" s="36">
        <f t="shared" si="14"/>
        <v>0</v>
      </c>
      <c r="Q92" s="36">
        <f t="shared" si="14"/>
        <v>1</v>
      </c>
      <c r="R92" s="36">
        <f t="shared" si="14"/>
        <v>0</v>
      </c>
      <c r="S92" s="36">
        <f t="shared" si="14"/>
        <v>1</v>
      </c>
      <c r="T92" s="36">
        <f t="shared" si="14"/>
        <v>1</v>
      </c>
      <c r="U92" s="36">
        <f t="shared" si="14"/>
        <v>0</v>
      </c>
      <c r="V92" s="36">
        <f t="shared" si="14"/>
        <v>0</v>
      </c>
      <c r="W92" s="36">
        <f t="shared" si="14"/>
        <v>0</v>
      </c>
      <c r="X92" s="36">
        <f t="shared" si="14"/>
        <v>0</v>
      </c>
      <c r="Y92" s="36">
        <f t="shared" si="14"/>
        <v>1</v>
      </c>
      <c r="Z92" s="13">
        <f t="shared" si="8"/>
        <v>11</v>
      </c>
    </row>
    <row r="93" spans="1:26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3">
        <f t="shared" si="8"/>
        <v>0</v>
      </c>
    </row>
    <row r="94" spans="1:26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1</v>
      </c>
      <c r="F94" s="15">
        <v>0</v>
      </c>
      <c r="G94" s="15">
        <v>0</v>
      </c>
      <c r="H94" s="15">
        <v>0</v>
      </c>
      <c r="I94" s="15">
        <v>2</v>
      </c>
      <c r="J94" s="15">
        <v>1</v>
      </c>
      <c r="K94" s="15">
        <v>0</v>
      </c>
      <c r="L94" s="15">
        <v>0</v>
      </c>
      <c r="M94" s="15">
        <v>1</v>
      </c>
      <c r="N94" s="15">
        <v>0</v>
      </c>
      <c r="O94" s="15">
        <v>1</v>
      </c>
      <c r="P94" s="15">
        <v>0</v>
      </c>
      <c r="Q94" s="15">
        <v>1</v>
      </c>
      <c r="R94" s="15">
        <v>0</v>
      </c>
      <c r="S94" s="15">
        <v>1</v>
      </c>
      <c r="T94" s="15">
        <v>0</v>
      </c>
      <c r="U94" s="15">
        <v>0</v>
      </c>
      <c r="V94" s="15">
        <v>1</v>
      </c>
      <c r="W94" s="15">
        <v>0</v>
      </c>
      <c r="X94" s="15">
        <v>1</v>
      </c>
      <c r="Y94" s="15">
        <v>0</v>
      </c>
      <c r="Z94" s="13">
        <f t="shared" si="8"/>
        <v>10</v>
      </c>
    </row>
    <row r="95" spans="1:26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1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1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1</v>
      </c>
      <c r="U95" s="15">
        <v>1</v>
      </c>
      <c r="V95" s="15">
        <v>0</v>
      </c>
      <c r="W95" s="15">
        <v>0</v>
      </c>
      <c r="X95" s="15">
        <v>0</v>
      </c>
      <c r="Y95" s="15">
        <v>0</v>
      </c>
      <c r="Z95" s="13">
        <f t="shared" si="8"/>
        <v>4</v>
      </c>
    </row>
    <row r="96" spans="1:26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3">
        <f t="shared" si="8"/>
        <v>0</v>
      </c>
    </row>
    <row r="97" spans="1:26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1</v>
      </c>
      <c r="Z97" s="13">
        <f t="shared" si="8"/>
        <v>1</v>
      </c>
    </row>
    <row r="98" spans="1:26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3">
        <f t="shared" si="8"/>
        <v>0</v>
      </c>
    </row>
    <row r="99" spans="1:26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3">
        <f t="shared" si="8"/>
        <v>0</v>
      </c>
    </row>
    <row r="100" spans="1:26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3">
        <f t="shared" si="8"/>
        <v>0</v>
      </c>
    </row>
    <row r="101" spans="1:26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Y101" si="15">SUM(E94:E100)</f>
        <v>1</v>
      </c>
      <c r="F101" s="13">
        <f t="shared" si="15"/>
        <v>0</v>
      </c>
      <c r="G101" s="13">
        <f t="shared" si="15"/>
        <v>0</v>
      </c>
      <c r="H101" s="13">
        <f t="shared" si="15"/>
        <v>1</v>
      </c>
      <c r="I101" s="13">
        <f t="shared" si="15"/>
        <v>2</v>
      </c>
      <c r="J101" s="13">
        <f t="shared" si="15"/>
        <v>1</v>
      </c>
      <c r="K101" s="13">
        <f t="shared" si="15"/>
        <v>0</v>
      </c>
      <c r="L101" s="13">
        <f t="shared" si="15"/>
        <v>0</v>
      </c>
      <c r="M101" s="13">
        <f t="shared" si="15"/>
        <v>1</v>
      </c>
      <c r="N101" s="13">
        <f t="shared" si="15"/>
        <v>1</v>
      </c>
      <c r="O101" s="13">
        <f t="shared" si="15"/>
        <v>1</v>
      </c>
      <c r="P101" s="13">
        <f t="shared" si="15"/>
        <v>0</v>
      </c>
      <c r="Q101" s="13">
        <f t="shared" si="15"/>
        <v>1</v>
      </c>
      <c r="R101" s="13">
        <f t="shared" si="15"/>
        <v>0</v>
      </c>
      <c r="S101" s="13">
        <f t="shared" si="15"/>
        <v>1</v>
      </c>
      <c r="T101" s="13">
        <f t="shared" si="15"/>
        <v>1</v>
      </c>
      <c r="U101" s="13">
        <f t="shared" si="15"/>
        <v>1</v>
      </c>
      <c r="V101" s="13">
        <f t="shared" si="15"/>
        <v>1</v>
      </c>
      <c r="W101" s="13">
        <f t="shared" si="15"/>
        <v>0</v>
      </c>
      <c r="X101" s="13">
        <f t="shared" si="15"/>
        <v>1</v>
      </c>
      <c r="Y101" s="13">
        <f t="shared" si="15"/>
        <v>1</v>
      </c>
      <c r="Z101" s="13">
        <f t="shared" si="8"/>
        <v>15</v>
      </c>
    </row>
    <row r="102" spans="1:26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3">
        <f t="shared" si="8"/>
        <v>0</v>
      </c>
    </row>
    <row r="103" spans="1:26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1</v>
      </c>
      <c r="F103" s="15">
        <v>2</v>
      </c>
      <c r="G103" s="15">
        <v>0</v>
      </c>
      <c r="H103" s="15">
        <v>2</v>
      </c>
      <c r="I103" s="15">
        <v>0</v>
      </c>
      <c r="J103" s="15">
        <v>0</v>
      </c>
      <c r="K103" s="15">
        <v>0</v>
      </c>
      <c r="L103" s="15">
        <v>1</v>
      </c>
      <c r="M103" s="15">
        <v>0</v>
      </c>
      <c r="N103" s="15">
        <v>1</v>
      </c>
      <c r="O103" s="15">
        <v>0</v>
      </c>
      <c r="P103" s="15">
        <v>0</v>
      </c>
      <c r="Q103" s="15">
        <v>1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3">
        <f t="shared" si="8"/>
        <v>8</v>
      </c>
    </row>
    <row r="104" spans="1:26" ht="12.75" customHeight="1" x14ac:dyDescent="0.4">
      <c r="A104" s="19" t="s">
        <v>39</v>
      </c>
      <c r="B104" s="27"/>
      <c r="C104" s="28" t="s">
        <v>89</v>
      </c>
      <c r="D104" s="29"/>
      <c r="E104" s="15">
        <v>1</v>
      </c>
      <c r="F104" s="15">
        <v>4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2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3">
        <f t="shared" si="8"/>
        <v>8</v>
      </c>
    </row>
    <row r="105" spans="1:26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3">
        <f t="shared" si="8"/>
        <v>0</v>
      </c>
    </row>
    <row r="106" spans="1:26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1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3">
        <f t="shared" si="8"/>
        <v>1</v>
      </c>
    </row>
    <row r="107" spans="1:26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3">
        <f t="shared" si="8"/>
        <v>1</v>
      </c>
    </row>
    <row r="108" spans="1:26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3">
        <f t="shared" si="8"/>
        <v>0</v>
      </c>
    </row>
    <row r="109" spans="1:26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3">
        <f t="shared" si="8"/>
        <v>0</v>
      </c>
    </row>
    <row r="110" spans="1:26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Y110" si="16">SUM(E103:E109)</f>
        <v>2</v>
      </c>
      <c r="F110" s="13">
        <f t="shared" si="16"/>
        <v>6</v>
      </c>
      <c r="G110" s="13">
        <f t="shared" si="16"/>
        <v>0</v>
      </c>
      <c r="H110" s="13">
        <f t="shared" si="16"/>
        <v>2</v>
      </c>
      <c r="I110" s="13">
        <f t="shared" si="16"/>
        <v>0</v>
      </c>
      <c r="J110" s="13">
        <f t="shared" si="16"/>
        <v>0</v>
      </c>
      <c r="K110" s="13">
        <f t="shared" si="16"/>
        <v>0</v>
      </c>
      <c r="L110" s="13">
        <f t="shared" si="16"/>
        <v>4</v>
      </c>
      <c r="M110" s="13">
        <f t="shared" si="16"/>
        <v>0</v>
      </c>
      <c r="N110" s="13">
        <f t="shared" si="16"/>
        <v>1</v>
      </c>
      <c r="O110" s="13">
        <f t="shared" si="16"/>
        <v>0</v>
      </c>
      <c r="P110" s="13">
        <f t="shared" si="16"/>
        <v>0</v>
      </c>
      <c r="Q110" s="13">
        <f t="shared" si="16"/>
        <v>1</v>
      </c>
      <c r="R110" s="13">
        <f t="shared" si="16"/>
        <v>1</v>
      </c>
      <c r="S110" s="13">
        <f t="shared" si="16"/>
        <v>0</v>
      </c>
      <c r="T110" s="13">
        <f t="shared" si="16"/>
        <v>1</v>
      </c>
      <c r="U110" s="13">
        <f t="shared" si="16"/>
        <v>0</v>
      </c>
      <c r="V110" s="13">
        <f t="shared" si="16"/>
        <v>0</v>
      </c>
      <c r="W110" s="13">
        <f t="shared" si="16"/>
        <v>0</v>
      </c>
      <c r="X110" s="13">
        <f t="shared" si="16"/>
        <v>0</v>
      </c>
      <c r="Y110" s="13">
        <f t="shared" si="16"/>
        <v>0</v>
      </c>
      <c r="Z110" s="13">
        <f t="shared" si="8"/>
        <v>18</v>
      </c>
    </row>
    <row r="111" spans="1:26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3">
        <f t="shared" si="8"/>
        <v>0</v>
      </c>
    </row>
    <row r="112" spans="1:26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3">
        <f t="shared" si="8"/>
        <v>0</v>
      </c>
    </row>
    <row r="113" spans="1:28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3">
        <f t="shared" si="8"/>
        <v>0</v>
      </c>
    </row>
    <row r="114" spans="1:28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3">
        <f t="shared" si="8"/>
        <v>1</v>
      </c>
    </row>
    <row r="115" spans="1:28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3">
        <f t="shared" si="8"/>
        <v>0</v>
      </c>
    </row>
    <row r="116" spans="1:28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3">
        <f t="shared" si="8"/>
        <v>0</v>
      </c>
    </row>
    <row r="117" spans="1:28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3">
        <f t="shared" si="8"/>
        <v>0</v>
      </c>
      <c r="AA117" s="5"/>
      <c r="AB117" s="5"/>
    </row>
    <row r="118" spans="1:28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3">
        <f t="shared" si="8"/>
        <v>0</v>
      </c>
      <c r="AA118" s="5"/>
      <c r="AB118" s="5"/>
    </row>
    <row r="119" spans="1:28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Y119" si="17">SUM(E112:E118)</f>
        <v>0</v>
      </c>
      <c r="F119" s="13">
        <f t="shared" si="17"/>
        <v>0</v>
      </c>
      <c r="G119" s="13">
        <f t="shared" si="17"/>
        <v>0</v>
      </c>
      <c r="H119" s="13">
        <f t="shared" si="17"/>
        <v>0</v>
      </c>
      <c r="I119" s="13">
        <f t="shared" si="17"/>
        <v>0</v>
      </c>
      <c r="J119" s="13">
        <f t="shared" si="17"/>
        <v>0</v>
      </c>
      <c r="K119" s="13">
        <f t="shared" si="17"/>
        <v>1</v>
      </c>
      <c r="L119" s="13">
        <f t="shared" si="17"/>
        <v>0</v>
      </c>
      <c r="M119" s="13">
        <f t="shared" si="17"/>
        <v>0</v>
      </c>
      <c r="N119" s="13">
        <f t="shared" si="17"/>
        <v>0</v>
      </c>
      <c r="O119" s="13">
        <f t="shared" si="17"/>
        <v>0</v>
      </c>
      <c r="P119" s="13">
        <f t="shared" si="17"/>
        <v>0</v>
      </c>
      <c r="Q119" s="13">
        <f t="shared" si="17"/>
        <v>0</v>
      </c>
      <c r="R119" s="13">
        <f t="shared" si="17"/>
        <v>0</v>
      </c>
      <c r="S119" s="13">
        <f t="shared" si="17"/>
        <v>0</v>
      </c>
      <c r="T119" s="13">
        <f t="shared" si="17"/>
        <v>0</v>
      </c>
      <c r="U119" s="13">
        <f t="shared" si="17"/>
        <v>0</v>
      </c>
      <c r="V119" s="13">
        <f t="shared" si="17"/>
        <v>0</v>
      </c>
      <c r="W119" s="13">
        <f t="shared" si="17"/>
        <v>0</v>
      </c>
      <c r="X119" s="13">
        <f t="shared" si="17"/>
        <v>0</v>
      </c>
      <c r="Y119" s="13">
        <f t="shared" si="17"/>
        <v>0</v>
      </c>
      <c r="Z119" s="13">
        <f t="shared" si="8"/>
        <v>1</v>
      </c>
      <c r="AA119" s="5"/>
      <c r="AB119" s="5"/>
    </row>
    <row r="120" spans="1:28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3">
        <f t="shared" si="8"/>
        <v>0</v>
      </c>
      <c r="AA120" s="5"/>
      <c r="AB120" s="5"/>
    </row>
    <row r="121" spans="1:28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3">
        <f t="shared" si="8"/>
        <v>0</v>
      </c>
      <c r="AA121" s="5"/>
      <c r="AB121" s="5"/>
    </row>
    <row r="122" spans="1:28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1</v>
      </c>
      <c r="Y122" s="15">
        <v>0</v>
      </c>
      <c r="Z122" s="13">
        <f t="shared" si="8"/>
        <v>3</v>
      </c>
      <c r="AA122" s="5"/>
      <c r="AB122" s="5"/>
    </row>
    <row r="123" spans="1:28" ht="12.75" customHeight="1" x14ac:dyDescent="0.4">
      <c r="A123" s="14"/>
      <c r="B123" s="27"/>
      <c r="C123" s="28" t="s">
        <v>106</v>
      </c>
      <c r="D123" s="29"/>
      <c r="E123" s="15">
        <v>2</v>
      </c>
      <c r="F123" s="15">
        <v>0</v>
      </c>
      <c r="G123" s="15">
        <v>1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2</v>
      </c>
      <c r="P123" s="15">
        <v>1</v>
      </c>
      <c r="Q123" s="15">
        <v>1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3">
        <f t="shared" si="8"/>
        <v>7</v>
      </c>
      <c r="AA123" s="5"/>
      <c r="AB123" s="5"/>
    </row>
    <row r="124" spans="1:28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3">
        <f t="shared" si="8"/>
        <v>1</v>
      </c>
      <c r="AA124" s="5"/>
      <c r="AB124" s="5"/>
    </row>
    <row r="125" spans="1:28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3">
        <f t="shared" si="8"/>
        <v>1</v>
      </c>
      <c r="AA125" s="5"/>
      <c r="AB125" s="5"/>
    </row>
    <row r="126" spans="1:28" ht="12.75" customHeight="1" x14ac:dyDescent="0.4">
      <c r="A126" s="14"/>
      <c r="B126" s="27"/>
      <c r="C126" s="28" t="s">
        <v>109</v>
      </c>
      <c r="D126" s="29"/>
      <c r="E126" s="15">
        <v>1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3">
        <f t="shared" si="8"/>
        <v>3</v>
      </c>
      <c r="AA126" s="5"/>
      <c r="AB126" s="5"/>
    </row>
    <row r="127" spans="1:28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3">
        <f t="shared" si="8"/>
        <v>0</v>
      </c>
      <c r="AA127" s="5"/>
      <c r="AB127" s="5"/>
    </row>
    <row r="128" spans="1:28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Y128" si="18">SUM(E121:E127)</f>
        <v>3</v>
      </c>
      <c r="F128" s="13">
        <f t="shared" si="18"/>
        <v>1</v>
      </c>
      <c r="G128" s="13">
        <f t="shared" si="18"/>
        <v>1</v>
      </c>
      <c r="H128" s="13">
        <f t="shared" si="18"/>
        <v>0</v>
      </c>
      <c r="I128" s="13">
        <f t="shared" si="18"/>
        <v>0</v>
      </c>
      <c r="J128" s="13">
        <f t="shared" si="18"/>
        <v>1</v>
      </c>
      <c r="K128" s="13">
        <f t="shared" si="18"/>
        <v>0</v>
      </c>
      <c r="L128" s="13">
        <f t="shared" si="18"/>
        <v>0</v>
      </c>
      <c r="M128" s="13">
        <f t="shared" si="18"/>
        <v>0</v>
      </c>
      <c r="N128" s="13">
        <f t="shared" si="18"/>
        <v>0</v>
      </c>
      <c r="O128" s="13">
        <f t="shared" si="18"/>
        <v>4</v>
      </c>
      <c r="P128" s="13">
        <f t="shared" si="18"/>
        <v>2</v>
      </c>
      <c r="Q128" s="13">
        <f t="shared" si="18"/>
        <v>1</v>
      </c>
      <c r="R128" s="13">
        <f t="shared" si="18"/>
        <v>1</v>
      </c>
      <c r="S128" s="13">
        <f t="shared" si="18"/>
        <v>0</v>
      </c>
      <c r="T128" s="13">
        <f t="shared" si="18"/>
        <v>0</v>
      </c>
      <c r="U128" s="13">
        <f t="shared" si="18"/>
        <v>0</v>
      </c>
      <c r="V128" s="13">
        <f t="shared" si="18"/>
        <v>0</v>
      </c>
      <c r="W128" s="13">
        <f t="shared" si="18"/>
        <v>0</v>
      </c>
      <c r="X128" s="13">
        <f t="shared" si="18"/>
        <v>1</v>
      </c>
      <c r="Y128" s="13">
        <f t="shared" si="18"/>
        <v>0</v>
      </c>
      <c r="Z128" s="13">
        <f t="shared" si="8"/>
        <v>15</v>
      </c>
      <c r="AA128" s="5"/>
      <c r="AB128" s="5"/>
    </row>
    <row r="129" spans="1:28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3">
        <f t="shared" si="8"/>
        <v>0</v>
      </c>
      <c r="AA129" s="5"/>
      <c r="AB129" s="5"/>
    </row>
    <row r="130" spans="1:28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1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3">
        <f t="shared" si="8"/>
        <v>1</v>
      </c>
      <c r="AA130" s="1"/>
      <c r="AB130" s="1"/>
    </row>
    <row r="131" spans="1:28" ht="12.75" customHeight="1" x14ac:dyDescent="0.4">
      <c r="A131" s="19" t="s">
        <v>39</v>
      </c>
      <c r="B131" s="27"/>
      <c r="C131" s="28" t="s">
        <v>113</v>
      </c>
      <c r="D131" s="29"/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3">
        <f t="shared" si="8"/>
        <v>0</v>
      </c>
      <c r="AA131" s="31"/>
      <c r="AB131" s="31"/>
    </row>
    <row r="132" spans="1:28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Y132" si="19">SUM(E130:E131)</f>
        <v>0</v>
      </c>
      <c r="F132" s="13">
        <f t="shared" si="19"/>
        <v>0</v>
      </c>
      <c r="G132" s="13">
        <f t="shared" si="19"/>
        <v>1</v>
      </c>
      <c r="H132" s="13">
        <f t="shared" si="19"/>
        <v>0</v>
      </c>
      <c r="I132" s="13">
        <f t="shared" si="19"/>
        <v>0</v>
      </c>
      <c r="J132" s="13">
        <f t="shared" si="19"/>
        <v>0</v>
      </c>
      <c r="K132" s="13">
        <f t="shared" si="19"/>
        <v>0</v>
      </c>
      <c r="L132" s="13">
        <f t="shared" si="19"/>
        <v>0</v>
      </c>
      <c r="M132" s="13">
        <f t="shared" si="19"/>
        <v>0</v>
      </c>
      <c r="N132" s="13">
        <f t="shared" si="19"/>
        <v>0</v>
      </c>
      <c r="O132" s="13">
        <f t="shared" si="19"/>
        <v>0</v>
      </c>
      <c r="P132" s="13">
        <f t="shared" si="19"/>
        <v>0</v>
      </c>
      <c r="Q132" s="13">
        <f t="shared" si="19"/>
        <v>0</v>
      </c>
      <c r="R132" s="13">
        <f t="shared" si="19"/>
        <v>0</v>
      </c>
      <c r="S132" s="13">
        <f t="shared" si="19"/>
        <v>0</v>
      </c>
      <c r="T132" s="13">
        <f t="shared" si="19"/>
        <v>0</v>
      </c>
      <c r="U132" s="13">
        <f t="shared" si="19"/>
        <v>0</v>
      </c>
      <c r="V132" s="13">
        <f t="shared" si="19"/>
        <v>0</v>
      </c>
      <c r="W132" s="13">
        <f t="shared" si="19"/>
        <v>0</v>
      </c>
      <c r="X132" s="13">
        <f t="shared" si="19"/>
        <v>0</v>
      </c>
      <c r="Y132" s="13">
        <f t="shared" si="19"/>
        <v>0</v>
      </c>
      <c r="Z132" s="13">
        <f t="shared" si="8"/>
        <v>1</v>
      </c>
      <c r="AA132" s="5"/>
      <c r="AB132" s="5"/>
    </row>
    <row r="133" spans="1:28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3">
        <f t="shared" si="8"/>
        <v>0</v>
      </c>
      <c r="AA133" s="5"/>
      <c r="AB133" s="5"/>
    </row>
    <row r="134" spans="1:28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1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1</v>
      </c>
      <c r="L134" s="15">
        <v>0</v>
      </c>
      <c r="M134" s="15">
        <v>1</v>
      </c>
      <c r="N134" s="15">
        <v>0</v>
      </c>
      <c r="O134" s="15">
        <v>0</v>
      </c>
      <c r="P134" s="15">
        <v>1</v>
      </c>
      <c r="Q134" s="15">
        <v>0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1</v>
      </c>
      <c r="X134" s="15">
        <v>0</v>
      </c>
      <c r="Y134" s="15">
        <v>1</v>
      </c>
      <c r="Z134" s="13">
        <f t="shared" si="8"/>
        <v>7</v>
      </c>
      <c r="AA134" s="5"/>
      <c r="AB134" s="5"/>
    </row>
    <row r="135" spans="1:28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3">
        <f t="shared" si="8"/>
        <v>0</v>
      </c>
      <c r="AA135" s="5"/>
      <c r="AB135" s="5"/>
    </row>
    <row r="136" spans="1:28" ht="12.75" customHeight="1" x14ac:dyDescent="0.4">
      <c r="A136" s="14"/>
      <c r="B136" s="27"/>
      <c r="C136" s="28" t="s">
        <v>117</v>
      </c>
      <c r="D136" s="29"/>
      <c r="E136" s="15">
        <v>3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1</v>
      </c>
      <c r="M136" s="15">
        <v>2</v>
      </c>
      <c r="N136" s="15">
        <v>0</v>
      </c>
      <c r="O136" s="15">
        <v>0</v>
      </c>
      <c r="P136" s="15">
        <v>2</v>
      </c>
      <c r="Q136" s="15">
        <v>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3">
        <f t="shared" si="8"/>
        <v>10</v>
      </c>
      <c r="AA136" s="5"/>
      <c r="AB136" s="5"/>
    </row>
    <row r="137" spans="1:28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1</v>
      </c>
      <c r="Z137" s="13">
        <f t="shared" si="8"/>
        <v>1</v>
      </c>
      <c r="AA137" s="5"/>
      <c r="AB137" s="5"/>
    </row>
    <row r="138" spans="1:28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1</v>
      </c>
      <c r="Z138" s="13">
        <f t="shared" si="8"/>
        <v>1</v>
      </c>
      <c r="AA138" s="5"/>
      <c r="AB138" s="5"/>
    </row>
    <row r="139" spans="1:28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3">
        <f t="shared" si="8"/>
        <v>0</v>
      </c>
      <c r="AA139" s="5"/>
      <c r="AB139" s="5"/>
    </row>
    <row r="140" spans="1:28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3">
        <f t="shared" si="8"/>
        <v>2</v>
      </c>
      <c r="AA140" s="5"/>
      <c r="AB140" s="5"/>
    </row>
    <row r="141" spans="1:28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Y141" si="20">SUM(E134:E140)</f>
        <v>4</v>
      </c>
      <c r="F141" s="13">
        <f t="shared" si="20"/>
        <v>0</v>
      </c>
      <c r="G141" s="13">
        <f t="shared" si="20"/>
        <v>0</v>
      </c>
      <c r="H141" s="13">
        <f t="shared" si="20"/>
        <v>0</v>
      </c>
      <c r="I141" s="13">
        <f t="shared" si="20"/>
        <v>0</v>
      </c>
      <c r="J141" s="13">
        <f t="shared" si="20"/>
        <v>1</v>
      </c>
      <c r="K141" s="13">
        <f t="shared" si="20"/>
        <v>2</v>
      </c>
      <c r="L141" s="13">
        <f t="shared" si="20"/>
        <v>1</v>
      </c>
      <c r="M141" s="13">
        <f t="shared" si="20"/>
        <v>3</v>
      </c>
      <c r="N141" s="13">
        <f t="shared" si="20"/>
        <v>0</v>
      </c>
      <c r="O141" s="13">
        <f t="shared" si="20"/>
        <v>0</v>
      </c>
      <c r="P141" s="13">
        <f t="shared" si="20"/>
        <v>3</v>
      </c>
      <c r="Q141" s="13">
        <f t="shared" si="20"/>
        <v>0</v>
      </c>
      <c r="R141" s="13">
        <f t="shared" si="20"/>
        <v>2</v>
      </c>
      <c r="S141" s="13">
        <f t="shared" si="20"/>
        <v>1</v>
      </c>
      <c r="T141" s="13">
        <f t="shared" si="20"/>
        <v>0</v>
      </c>
      <c r="U141" s="13">
        <f t="shared" si="20"/>
        <v>0</v>
      </c>
      <c r="V141" s="13">
        <f t="shared" si="20"/>
        <v>0</v>
      </c>
      <c r="W141" s="13">
        <f t="shared" si="20"/>
        <v>1</v>
      </c>
      <c r="X141" s="13">
        <f t="shared" si="20"/>
        <v>0</v>
      </c>
      <c r="Y141" s="13">
        <f t="shared" si="20"/>
        <v>3</v>
      </c>
      <c r="Z141" s="13">
        <f t="shared" si="8"/>
        <v>21</v>
      </c>
      <c r="AA141" s="1"/>
      <c r="AB141" s="1"/>
    </row>
    <row r="142" spans="1:28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3">
        <f t="shared" si="8"/>
        <v>0</v>
      </c>
      <c r="AA142" s="31"/>
      <c r="AB142" s="31"/>
    </row>
    <row r="143" spans="1:28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3">
        <f t="shared" si="8"/>
        <v>2</v>
      </c>
      <c r="AA143" s="5"/>
      <c r="AB143" s="5"/>
    </row>
    <row r="144" spans="1:28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1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3">
        <f t="shared" si="8"/>
        <v>1</v>
      </c>
      <c r="AA144" s="5"/>
      <c r="AB144" s="5"/>
    </row>
    <row r="145" spans="1:28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1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3">
        <f t="shared" si="8"/>
        <v>1</v>
      </c>
      <c r="AA145" s="5"/>
      <c r="AB145" s="5"/>
    </row>
    <row r="146" spans="1:28" ht="12.75" customHeight="1" x14ac:dyDescent="0.4">
      <c r="A146" s="14"/>
      <c r="B146" s="27"/>
      <c r="C146" s="28" t="s">
        <v>126</v>
      </c>
      <c r="D146" s="29"/>
      <c r="E146" s="15">
        <v>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3">
        <f t="shared" si="8"/>
        <v>1</v>
      </c>
      <c r="AA146" s="5"/>
      <c r="AB146" s="5"/>
    </row>
    <row r="147" spans="1:28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3">
        <f t="shared" si="8"/>
        <v>0</v>
      </c>
      <c r="AA147" s="5"/>
      <c r="AB147" s="5"/>
    </row>
    <row r="148" spans="1:28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3">
        <f t="shared" si="8"/>
        <v>0</v>
      </c>
      <c r="AA148" s="5"/>
      <c r="AB148" s="5"/>
    </row>
    <row r="149" spans="1:28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3">
        <f t="shared" si="8"/>
        <v>0</v>
      </c>
      <c r="AA149" s="5"/>
      <c r="AB149" s="5"/>
    </row>
    <row r="150" spans="1:28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Y150" si="21">SUM(E143:E149)</f>
        <v>1</v>
      </c>
      <c r="F150" s="13">
        <f t="shared" si="21"/>
        <v>0</v>
      </c>
      <c r="G150" s="13">
        <f t="shared" si="21"/>
        <v>1</v>
      </c>
      <c r="H150" s="13">
        <f t="shared" si="21"/>
        <v>0</v>
      </c>
      <c r="I150" s="13">
        <f t="shared" si="21"/>
        <v>0</v>
      </c>
      <c r="J150" s="13">
        <f t="shared" si="21"/>
        <v>0</v>
      </c>
      <c r="K150" s="13">
        <f t="shared" si="21"/>
        <v>0</v>
      </c>
      <c r="L150" s="13">
        <f t="shared" si="21"/>
        <v>0</v>
      </c>
      <c r="M150" s="13">
        <f t="shared" si="21"/>
        <v>0</v>
      </c>
      <c r="N150" s="13">
        <f t="shared" si="21"/>
        <v>0</v>
      </c>
      <c r="O150" s="13">
        <f t="shared" si="21"/>
        <v>0</v>
      </c>
      <c r="P150" s="13">
        <f t="shared" si="21"/>
        <v>0</v>
      </c>
      <c r="Q150" s="13">
        <f t="shared" si="21"/>
        <v>3</v>
      </c>
      <c r="R150" s="13">
        <f t="shared" si="21"/>
        <v>0</v>
      </c>
      <c r="S150" s="13">
        <f t="shared" si="21"/>
        <v>0</v>
      </c>
      <c r="T150" s="13">
        <f t="shared" si="21"/>
        <v>0</v>
      </c>
      <c r="U150" s="13">
        <f t="shared" si="21"/>
        <v>0</v>
      </c>
      <c r="V150" s="13">
        <f t="shared" si="21"/>
        <v>0</v>
      </c>
      <c r="W150" s="13">
        <f t="shared" si="21"/>
        <v>0</v>
      </c>
      <c r="X150" s="13">
        <f t="shared" si="21"/>
        <v>0</v>
      </c>
      <c r="Y150" s="13">
        <f t="shared" si="21"/>
        <v>0</v>
      </c>
      <c r="Z150" s="13">
        <f t="shared" si="8"/>
        <v>5</v>
      </c>
      <c r="AA150" s="5"/>
      <c r="AB150" s="5"/>
    </row>
    <row r="151" spans="1:28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3">
        <f t="shared" si="8"/>
        <v>0</v>
      </c>
      <c r="AA151" s="1"/>
      <c r="AB151" s="1"/>
    </row>
    <row r="152" spans="1:28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3</v>
      </c>
      <c r="F152" s="15">
        <v>5</v>
      </c>
      <c r="G152" s="15">
        <v>2</v>
      </c>
      <c r="H152" s="15">
        <v>1</v>
      </c>
      <c r="I152" s="15">
        <v>4</v>
      </c>
      <c r="J152" s="15">
        <v>1</v>
      </c>
      <c r="K152" s="15">
        <v>10</v>
      </c>
      <c r="L152" s="15">
        <v>5</v>
      </c>
      <c r="M152" s="15">
        <v>1</v>
      </c>
      <c r="N152" s="15">
        <v>2</v>
      </c>
      <c r="O152" s="15">
        <v>5</v>
      </c>
      <c r="P152" s="15">
        <v>3</v>
      </c>
      <c r="Q152" s="15">
        <v>1</v>
      </c>
      <c r="R152" s="15">
        <v>4</v>
      </c>
      <c r="S152" s="15">
        <v>0</v>
      </c>
      <c r="T152" s="15">
        <v>2</v>
      </c>
      <c r="U152" s="15">
        <v>0</v>
      </c>
      <c r="V152" s="15">
        <v>2</v>
      </c>
      <c r="W152" s="15">
        <v>7</v>
      </c>
      <c r="X152" s="15">
        <v>6</v>
      </c>
      <c r="Y152" s="15">
        <v>8</v>
      </c>
      <c r="Z152" s="13">
        <f t="shared" si="8"/>
        <v>72</v>
      </c>
      <c r="AA152" s="31"/>
      <c r="AB152" s="31"/>
    </row>
    <row r="153" spans="1:28" ht="12.75" customHeight="1" x14ac:dyDescent="0.4">
      <c r="A153" s="19" t="s">
        <v>39</v>
      </c>
      <c r="B153" s="27"/>
      <c r="C153" s="28" t="s">
        <v>132</v>
      </c>
      <c r="D153" s="29"/>
      <c r="E153" s="15">
        <v>8</v>
      </c>
      <c r="F153" s="15">
        <v>7</v>
      </c>
      <c r="G153" s="15">
        <v>2</v>
      </c>
      <c r="H153" s="15">
        <v>0</v>
      </c>
      <c r="I153" s="15">
        <v>15</v>
      </c>
      <c r="J153" s="15">
        <v>1</v>
      </c>
      <c r="K153" s="15">
        <v>23</v>
      </c>
      <c r="L153" s="15">
        <v>5</v>
      </c>
      <c r="M153" s="15">
        <v>2</v>
      </c>
      <c r="N153" s="15">
        <v>11</v>
      </c>
      <c r="O153" s="15">
        <v>25</v>
      </c>
      <c r="P153" s="15">
        <v>10</v>
      </c>
      <c r="Q153" s="15">
        <v>2</v>
      </c>
      <c r="R153" s="15">
        <v>5</v>
      </c>
      <c r="S153" s="15">
        <v>5</v>
      </c>
      <c r="T153" s="15">
        <v>1</v>
      </c>
      <c r="U153" s="15">
        <v>1</v>
      </c>
      <c r="V153" s="15">
        <v>1</v>
      </c>
      <c r="W153" s="15">
        <v>0</v>
      </c>
      <c r="X153" s="15">
        <v>1</v>
      </c>
      <c r="Y153" s="15">
        <v>5</v>
      </c>
      <c r="Z153" s="13">
        <f t="shared" si="8"/>
        <v>130</v>
      </c>
      <c r="AA153" s="5"/>
      <c r="AB153" s="5"/>
    </row>
    <row r="154" spans="1:28" ht="12.75" customHeight="1" x14ac:dyDescent="0.4">
      <c r="A154" s="14"/>
      <c r="B154" s="27"/>
      <c r="C154" s="28" t="s">
        <v>133</v>
      </c>
      <c r="D154" s="29"/>
      <c r="E154" s="15">
        <v>5</v>
      </c>
      <c r="F154" s="15">
        <v>5</v>
      </c>
      <c r="G154" s="15">
        <v>3</v>
      </c>
      <c r="H154" s="15">
        <v>9</v>
      </c>
      <c r="I154" s="15">
        <v>10</v>
      </c>
      <c r="J154" s="15">
        <v>8</v>
      </c>
      <c r="K154" s="15">
        <v>16</v>
      </c>
      <c r="L154" s="15">
        <v>14</v>
      </c>
      <c r="M154" s="15">
        <v>8</v>
      </c>
      <c r="N154" s="15">
        <v>17</v>
      </c>
      <c r="O154" s="15">
        <v>9</v>
      </c>
      <c r="P154" s="15">
        <v>17</v>
      </c>
      <c r="Q154" s="15">
        <v>9</v>
      </c>
      <c r="R154" s="15">
        <v>15</v>
      </c>
      <c r="S154" s="15">
        <v>6</v>
      </c>
      <c r="T154" s="15">
        <v>14</v>
      </c>
      <c r="U154" s="15">
        <v>2</v>
      </c>
      <c r="V154" s="15">
        <v>22</v>
      </c>
      <c r="W154" s="15">
        <v>30</v>
      </c>
      <c r="X154" s="15">
        <v>58</v>
      </c>
      <c r="Y154" s="15">
        <v>47</v>
      </c>
      <c r="Z154" s="13">
        <f t="shared" si="8"/>
        <v>324</v>
      </c>
      <c r="AA154" s="5"/>
      <c r="AB154" s="5"/>
    </row>
    <row r="155" spans="1:28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1</v>
      </c>
      <c r="H155" s="15">
        <v>0</v>
      </c>
      <c r="I155" s="15">
        <v>1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1</v>
      </c>
      <c r="S155" s="15">
        <v>0</v>
      </c>
      <c r="T155" s="15">
        <v>1</v>
      </c>
      <c r="U155" s="15">
        <v>1</v>
      </c>
      <c r="V155" s="15">
        <v>1</v>
      </c>
      <c r="W155" s="15">
        <v>1</v>
      </c>
      <c r="X155" s="15">
        <v>0</v>
      </c>
      <c r="Y155" s="15">
        <v>0</v>
      </c>
      <c r="Z155" s="13">
        <f t="shared" si="8"/>
        <v>7</v>
      </c>
      <c r="AA155" s="5"/>
      <c r="AB155" s="5"/>
    </row>
    <row r="156" spans="1:28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1</v>
      </c>
      <c r="P156" s="15">
        <v>2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3">
        <f t="shared" si="8"/>
        <v>4</v>
      </c>
      <c r="AA156" s="5"/>
      <c r="AB156" s="5"/>
    </row>
    <row r="157" spans="1:28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1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3">
        <f t="shared" si="8"/>
        <v>2</v>
      </c>
      <c r="AA157" s="5"/>
      <c r="AB157" s="5"/>
    </row>
    <row r="158" spans="1:28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3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2</v>
      </c>
      <c r="V158" s="15">
        <v>0</v>
      </c>
      <c r="W158" s="15">
        <v>0</v>
      </c>
      <c r="X158" s="15">
        <v>0</v>
      </c>
      <c r="Y158" s="15">
        <v>0</v>
      </c>
      <c r="Z158" s="13">
        <f t="shared" si="8"/>
        <v>6</v>
      </c>
      <c r="AA158" s="5"/>
      <c r="AB158" s="5"/>
    </row>
    <row r="159" spans="1:28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Y159" si="22">SUM(E152:E158)</f>
        <v>16</v>
      </c>
      <c r="F159" s="13">
        <f t="shared" si="22"/>
        <v>17</v>
      </c>
      <c r="G159" s="13">
        <f t="shared" si="22"/>
        <v>8</v>
      </c>
      <c r="H159" s="13">
        <f t="shared" si="22"/>
        <v>10</v>
      </c>
      <c r="I159" s="13">
        <f t="shared" si="22"/>
        <v>30</v>
      </c>
      <c r="J159" s="13">
        <f t="shared" si="22"/>
        <v>13</v>
      </c>
      <c r="K159" s="13">
        <f t="shared" si="22"/>
        <v>50</v>
      </c>
      <c r="L159" s="13">
        <f t="shared" si="22"/>
        <v>24</v>
      </c>
      <c r="M159" s="13">
        <f t="shared" si="22"/>
        <v>12</v>
      </c>
      <c r="N159" s="13">
        <f t="shared" si="22"/>
        <v>30</v>
      </c>
      <c r="O159" s="13">
        <f t="shared" si="22"/>
        <v>40</v>
      </c>
      <c r="P159" s="13">
        <f t="shared" si="22"/>
        <v>33</v>
      </c>
      <c r="Q159" s="13">
        <f t="shared" si="22"/>
        <v>12</v>
      </c>
      <c r="R159" s="13">
        <f t="shared" si="22"/>
        <v>25</v>
      </c>
      <c r="S159" s="13">
        <f t="shared" si="22"/>
        <v>11</v>
      </c>
      <c r="T159" s="13">
        <f t="shared" si="22"/>
        <v>19</v>
      </c>
      <c r="U159" s="13">
        <f t="shared" si="22"/>
        <v>6</v>
      </c>
      <c r="V159" s="13">
        <f t="shared" si="22"/>
        <v>26</v>
      </c>
      <c r="W159" s="13">
        <f t="shared" si="22"/>
        <v>38</v>
      </c>
      <c r="X159" s="13">
        <f t="shared" si="22"/>
        <v>65</v>
      </c>
      <c r="Y159" s="13">
        <f t="shared" si="22"/>
        <v>60</v>
      </c>
      <c r="Z159" s="13">
        <f t="shared" si="8"/>
        <v>545</v>
      </c>
      <c r="AA159" s="5"/>
      <c r="AB159" s="5"/>
    </row>
    <row r="160" spans="1:28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3">
        <f t="shared" si="8"/>
        <v>0</v>
      </c>
      <c r="AA160" s="5"/>
      <c r="AB160" s="5"/>
    </row>
    <row r="161" spans="1:28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0</v>
      </c>
      <c r="G161" s="46">
        <v>0</v>
      </c>
      <c r="H161" s="46">
        <v>1</v>
      </c>
      <c r="I161" s="46">
        <v>1</v>
      </c>
      <c r="J161" s="46">
        <v>1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1</v>
      </c>
      <c r="X161" s="46">
        <v>0</v>
      </c>
      <c r="Y161" s="46">
        <v>0</v>
      </c>
      <c r="Z161" s="13">
        <f t="shared" si="8"/>
        <v>4</v>
      </c>
      <c r="AA161" s="5"/>
      <c r="AB161" s="5"/>
    </row>
    <row r="162" spans="1:28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0</v>
      </c>
      <c r="G162" s="46">
        <v>0</v>
      </c>
      <c r="H162" s="46">
        <v>2</v>
      </c>
      <c r="I162" s="46">
        <v>1</v>
      </c>
      <c r="J162" s="46">
        <v>0</v>
      </c>
      <c r="K162" s="46">
        <v>0</v>
      </c>
      <c r="L162" s="46">
        <v>0</v>
      </c>
      <c r="M162" s="46">
        <v>0</v>
      </c>
      <c r="N162" s="46">
        <v>1</v>
      </c>
      <c r="O162" s="46">
        <v>1</v>
      </c>
      <c r="P162" s="46">
        <v>0</v>
      </c>
      <c r="Q162" s="46">
        <v>0</v>
      </c>
      <c r="R162" s="46">
        <v>0</v>
      </c>
      <c r="S162" s="46">
        <v>0</v>
      </c>
      <c r="T162" s="46">
        <v>0</v>
      </c>
      <c r="U162" s="46">
        <v>0</v>
      </c>
      <c r="V162" s="46">
        <v>0</v>
      </c>
      <c r="W162" s="46">
        <v>0</v>
      </c>
      <c r="X162" s="46">
        <v>0</v>
      </c>
      <c r="Y162" s="46">
        <v>0</v>
      </c>
      <c r="Z162" s="13">
        <f t="shared" si="8"/>
        <v>5</v>
      </c>
      <c r="AA162" s="5"/>
      <c r="AB162" s="5"/>
    </row>
    <row r="163" spans="1:28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2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1</v>
      </c>
      <c r="M163" s="46">
        <v>1</v>
      </c>
      <c r="N163" s="46">
        <v>0</v>
      </c>
      <c r="O163" s="46">
        <v>1</v>
      </c>
      <c r="P163" s="46">
        <v>0</v>
      </c>
      <c r="Q163" s="46">
        <v>1</v>
      </c>
      <c r="R163" s="46">
        <v>0</v>
      </c>
      <c r="S163" s="46">
        <v>0</v>
      </c>
      <c r="T163" s="46">
        <v>1</v>
      </c>
      <c r="U163" s="46">
        <v>0</v>
      </c>
      <c r="V163" s="46">
        <v>0</v>
      </c>
      <c r="W163" s="46">
        <v>0</v>
      </c>
      <c r="X163" s="46">
        <v>0</v>
      </c>
      <c r="Y163" s="46">
        <v>0</v>
      </c>
      <c r="Z163" s="13">
        <f t="shared" si="8"/>
        <v>7</v>
      </c>
      <c r="AA163" s="5"/>
      <c r="AB163" s="5"/>
    </row>
    <row r="164" spans="1:28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Y164" si="23">SUM(E161:E163)</f>
        <v>0</v>
      </c>
      <c r="F164" s="13">
        <f t="shared" si="23"/>
        <v>2</v>
      </c>
      <c r="G164" s="13">
        <f t="shared" si="23"/>
        <v>0</v>
      </c>
      <c r="H164" s="13">
        <f t="shared" si="23"/>
        <v>3</v>
      </c>
      <c r="I164" s="13">
        <f t="shared" si="23"/>
        <v>2</v>
      </c>
      <c r="J164" s="13">
        <f t="shared" si="23"/>
        <v>1</v>
      </c>
      <c r="K164" s="13">
        <f t="shared" si="23"/>
        <v>0</v>
      </c>
      <c r="L164" s="13">
        <f t="shared" si="23"/>
        <v>1</v>
      </c>
      <c r="M164" s="13">
        <f t="shared" si="23"/>
        <v>1</v>
      </c>
      <c r="N164" s="13">
        <f t="shared" si="23"/>
        <v>1</v>
      </c>
      <c r="O164" s="13">
        <f t="shared" si="23"/>
        <v>2</v>
      </c>
      <c r="P164" s="13">
        <f t="shared" si="23"/>
        <v>0</v>
      </c>
      <c r="Q164" s="13">
        <f t="shared" si="23"/>
        <v>1</v>
      </c>
      <c r="R164" s="13">
        <f t="shared" si="23"/>
        <v>0</v>
      </c>
      <c r="S164" s="13">
        <f t="shared" si="23"/>
        <v>0</v>
      </c>
      <c r="T164" s="13">
        <f t="shared" si="23"/>
        <v>1</v>
      </c>
      <c r="U164" s="13">
        <f t="shared" si="23"/>
        <v>0</v>
      </c>
      <c r="V164" s="13">
        <f t="shared" si="23"/>
        <v>0</v>
      </c>
      <c r="W164" s="13">
        <f t="shared" si="23"/>
        <v>1</v>
      </c>
      <c r="X164" s="13">
        <f t="shared" si="23"/>
        <v>0</v>
      </c>
      <c r="Y164" s="13">
        <f t="shared" si="23"/>
        <v>0</v>
      </c>
      <c r="Z164" s="13">
        <f t="shared" si="8"/>
        <v>16</v>
      </c>
      <c r="AA164" s="5"/>
      <c r="AB164" s="5"/>
    </row>
    <row r="165" spans="1:28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3">
        <f t="shared" si="8"/>
        <v>0</v>
      </c>
      <c r="AA165" s="1"/>
      <c r="AB165" s="1"/>
    </row>
    <row r="166" spans="1:28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3">
        <f t="shared" si="8"/>
        <v>0</v>
      </c>
      <c r="AA166" s="31"/>
      <c r="AB166" s="31"/>
    </row>
    <row r="167" spans="1:28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1</v>
      </c>
      <c r="W167" s="15">
        <v>3</v>
      </c>
      <c r="X167" s="15">
        <v>0</v>
      </c>
      <c r="Y167" s="15">
        <v>0</v>
      </c>
      <c r="Z167" s="13">
        <f t="shared" si="8"/>
        <v>4</v>
      </c>
      <c r="AA167" s="5"/>
      <c r="AB167" s="5"/>
    </row>
    <row r="168" spans="1:28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3">
        <f t="shared" si="8"/>
        <v>0</v>
      </c>
      <c r="AA168" s="5"/>
      <c r="AB168" s="5"/>
    </row>
    <row r="169" spans="1:28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3">
        <f t="shared" si="8"/>
        <v>0</v>
      </c>
      <c r="AA169" s="5"/>
      <c r="AB169" s="5"/>
    </row>
    <row r="170" spans="1:28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3">
        <f t="shared" si="8"/>
        <v>0</v>
      </c>
      <c r="AA170" s="5"/>
      <c r="AB170" s="5"/>
    </row>
    <row r="171" spans="1:28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3">
        <f t="shared" si="8"/>
        <v>0</v>
      </c>
      <c r="AA171" s="5"/>
      <c r="AB171" s="5"/>
    </row>
    <row r="172" spans="1:28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3">
        <f t="shared" si="8"/>
        <v>0</v>
      </c>
      <c r="AA172" s="5"/>
      <c r="AB172" s="5"/>
    </row>
    <row r="173" spans="1:28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Y173" si="24">SUM(E166:E172)</f>
        <v>0</v>
      </c>
      <c r="F173" s="13">
        <f t="shared" si="24"/>
        <v>0</v>
      </c>
      <c r="G173" s="13">
        <f t="shared" si="24"/>
        <v>0</v>
      </c>
      <c r="H173" s="13">
        <f t="shared" si="24"/>
        <v>0</v>
      </c>
      <c r="I173" s="13">
        <f t="shared" si="24"/>
        <v>0</v>
      </c>
      <c r="J173" s="13">
        <f t="shared" si="24"/>
        <v>0</v>
      </c>
      <c r="K173" s="13">
        <f t="shared" si="24"/>
        <v>0</v>
      </c>
      <c r="L173" s="13">
        <f t="shared" si="24"/>
        <v>0</v>
      </c>
      <c r="M173" s="13">
        <f t="shared" si="24"/>
        <v>0</v>
      </c>
      <c r="N173" s="13">
        <f t="shared" si="24"/>
        <v>0</v>
      </c>
      <c r="O173" s="13">
        <f t="shared" si="24"/>
        <v>0</v>
      </c>
      <c r="P173" s="13">
        <f t="shared" si="24"/>
        <v>0</v>
      </c>
      <c r="Q173" s="13">
        <f t="shared" si="24"/>
        <v>0</v>
      </c>
      <c r="R173" s="13">
        <f t="shared" si="24"/>
        <v>0</v>
      </c>
      <c r="S173" s="13">
        <f t="shared" si="24"/>
        <v>0</v>
      </c>
      <c r="T173" s="13">
        <f t="shared" si="24"/>
        <v>0</v>
      </c>
      <c r="U173" s="13">
        <f t="shared" si="24"/>
        <v>0</v>
      </c>
      <c r="V173" s="13">
        <f t="shared" si="24"/>
        <v>1</v>
      </c>
      <c r="W173" s="13">
        <f t="shared" si="24"/>
        <v>3</v>
      </c>
      <c r="X173" s="13">
        <f t="shared" si="24"/>
        <v>0</v>
      </c>
      <c r="Y173" s="13">
        <f t="shared" si="24"/>
        <v>0</v>
      </c>
      <c r="Z173" s="13">
        <f t="shared" si="8"/>
        <v>4</v>
      </c>
      <c r="AA173" s="5"/>
      <c r="AB173" s="5"/>
    </row>
    <row r="174" spans="1:28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3">
        <f t="shared" si="8"/>
        <v>0</v>
      </c>
      <c r="AA174" s="5"/>
      <c r="AB174" s="5"/>
    </row>
    <row r="175" spans="1:28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1</v>
      </c>
      <c r="G175" s="15">
        <v>1</v>
      </c>
      <c r="H175" s="15">
        <v>2</v>
      </c>
      <c r="I175" s="15">
        <v>0</v>
      </c>
      <c r="J175" s="15">
        <v>1</v>
      </c>
      <c r="K175" s="15">
        <v>1</v>
      </c>
      <c r="L175" s="15">
        <v>3</v>
      </c>
      <c r="M175" s="15">
        <v>0</v>
      </c>
      <c r="N175" s="15">
        <v>0</v>
      </c>
      <c r="O175" s="15">
        <v>5</v>
      </c>
      <c r="P175" s="15">
        <v>0</v>
      </c>
      <c r="Q175" s="15">
        <v>3</v>
      </c>
      <c r="R175" s="15">
        <v>4</v>
      </c>
      <c r="S175" s="15">
        <v>1</v>
      </c>
      <c r="T175" s="15">
        <v>2</v>
      </c>
      <c r="U175" s="15">
        <v>0</v>
      </c>
      <c r="V175" s="15">
        <v>1</v>
      </c>
      <c r="W175" s="15">
        <v>2</v>
      </c>
      <c r="X175" s="15">
        <v>0</v>
      </c>
      <c r="Y175" s="15">
        <v>1</v>
      </c>
      <c r="Z175" s="13">
        <f t="shared" si="8"/>
        <v>28</v>
      </c>
      <c r="AA175" s="5"/>
      <c r="AB175" s="5"/>
    </row>
    <row r="176" spans="1:28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2</v>
      </c>
      <c r="M176" s="15">
        <v>2</v>
      </c>
      <c r="N176" s="15">
        <v>0</v>
      </c>
      <c r="O176" s="15">
        <v>1</v>
      </c>
      <c r="P176" s="15">
        <v>0</v>
      </c>
      <c r="Q176" s="15">
        <v>1</v>
      </c>
      <c r="R176" s="15">
        <v>2</v>
      </c>
      <c r="S176" s="15">
        <v>0</v>
      </c>
      <c r="T176" s="15">
        <v>1</v>
      </c>
      <c r="U176" s="15">
        <v>1</v>
      </c>
      <c r="V176" s="15">
        <v>1</v>
      </c>
      <c r="W176" s="15">
        <v>0</v>
      </c>
      <c r="X176" s="15">
        <v>1</v>
      </c>
      <c r="Y176" s="15">
        <v>0</v>
      </c>
      <c r="Z176" s="13">
        <f t="shared" si="8"/>
        <v>13</v>
      </c>
      <c r="AA176" s="1"/>
      <c r="AB176" s="1"/>
    </row>
    <row r="177" spans="1:28" ht="12.75" customHeight="1" x14ac:dyDescent="0.4">
      <c r="A177" s="14"/>
      <c r="B177" s="27"/>
      <c r="C177" s="28" t="s">
        <v>153</v>
      </c>
      <c r="D177" s="29"/>
      <c r="E177" s="15">
        <v>2</v>
      </c>
      <c r="F177" s="15">
        <v>11</v>
      </c>
      <c r="G177" s="15">
        <v>14</v>
      </c>
      <c r="H177" s="15">
        <v>4</v>
      </c>
      <c r="I177" s="15">
        <v>4</v>
      </c>
      <c r="J177" s="15">
        <v>10</v>
      </c>
      <c r="K177" s="15">
        <v>13</v>
      </c>
      <c r="L177" s="15">
        <v>29</v>
      </c>
      <c r="M177" s="15">
        <v>33</v>
      </c>
      <c r="N177" s="15">
        <v>3</v>
      </c>
      <c r="O177" s="15">
        <v>7</v>
      </c>
      <c r="P177" s="15">
        <v>21</v>
      </c>
      <c r="Q177" s="15">
        <v>14</v>
      </c>
      <c r="R177" s="15">
        <v>30</v>
      </c>
      <c r="S177" s="15">
        <v>23</v>
      </c>
      <c r="T177" s="15">
        <v>5</v>
      </c>
      <c r="U177" s="15">
        <v>25</v>
      </c>
      <c r="V177" s="15">
        <v>6</v>
      </c>
      <c r="W177" s="15">
        <v>11</v>
      </c>
      <c r="X177" s="15">
        <v>6</v>
      </c>
      <c r="Y177" s="15">
        <v>14</v>
      </c>
      <c r="Z177" s="13">
        <f t="shared" si="8"/>
        <v>285</v>
      </c>
    </row>
    <row r="178" spans="1:28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1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3">
        <f t="shared" si="8"/>
        <v>2</v>
      </c>
      <c r="AA178" s="5"/>
      <c r="AB178" s="5"/>
    </row>
    <row r="179" spans="1:28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3">
        <f t="shared" si="8"/>
        <v>0</v>
      </c>
      <c r="AA179" s="5"/>
      <c r="AB179" s="5"/>
    </row>
    <row r="180" spans="1:28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0</v>
      </c>
      <c r="V180" s="15">
        <v>1</v>
      </c>
      <c r="W180" s="15">
        <v>0</v>
      </c>
      <c r="X180" s="15">
        <v>0</v>
      </c>
      <c r="Y180" s="15">
        <v>0</v>
      </c>
      <c r="Z180" s="13">
        <f t="shared" si="8"/>
        <v>2</v>
      </c>
      <c r="AA180" s="5"/>
      <c r="AB180" s="5"/>
    </row>
    <row r="181" spans="1:28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0</v>
      </c>
      <c r="G181" s="15">
        <v>0</v>
      </c>
      <c r="H181" s="15">
        <v>0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3">
        <f t="shared" si="8"/>
        <v>2</v>
      </c>
      <c r="AA181" s="5"/>
      <c r="AB181" s="5"/>
    </row>
    <row r="182" spans="1:28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Y182" si="25">SUM(E175:E181)</f>
        <v>2</v>
      </c>
      <c r="F182" s="13">
        <f t="shared" si="25"/>
        <v>13</v>
      </c>
      <c r="G182" s="13">
        <f t="shared" si="25"/>
        <v>15</v>
      </c>
      <c r="H182" s="13">
        <f t="shared" si="25"/>
        <v>6</v>
      </c>
      <c r="I182" s="13">
        <f t="shared" si="25"/>
        <v>5</v>
      </c>
      <c r="J182" s="13">
        <f t="shared" si="25"/>
        <v>11</v>
      </c>
      <c r="K182" s="13">
        <f t="shared" si="25"/>
        <v>15</v>
      </c>
      <c r="L182" s="13">
        <f t="shared" si="25"/>
        <v>34</v>
      </c>
      <c r="M182" s="13">
        <f t="shared" si="25"/>
        <v>35</v>
      </c>
      <c r="N182" s="13">
        <f t="shared" si="25"/>
        <v>4</v>
      </c>
      <c r="O182" s="13">
        <f t="shared" si="25"/>
        <v>13</v>
      </c>
      <c r="P182" s="13">
        <f t="shared" si="25"/>
        <v>21</v>
      </c>
      <c r="Q182" s="13">
        <f t="shared" si="25"/>
        <v>18</v>
      </c>
      <c r="R182" s="13">
        <f t="shared" si="25"/>
        <v>38</v>
      </c>
      <c r="S182" s="13">
        <f t="shared" si="25"/>
        <v>24</v>
      </c>
      <c r="T182" s="13">
        <f t="shared" si="25"/>
        <v>8</v>
      </c>
      <c r="U182" s="13">
        <f t="shared" si="25"/>
        <v>26</v>
      </c>
      <c r="V182" s="13">
        <f t="shared" si="25"/>
        <v>9</v>
      </c>
      <c r="W182" s="13">
        <f t="shared" si="25"/>
        <v>13</v>
      </c>
      <c r="X182" s="13">
        <f t="shared" si="25"/>
        <v>7</v>
      </c>
      <c r="Y182" s="13">
        <f t="shared" si="25"/>
        <v>15</v>
      </c>
      <c r="Z182" s="13">
        <f t="shared" si="8"/>
        <v>332</v>
      </c>
      <c r="AA182" s="5"/>
      <c r="AB182" s="5"/>
    </row>
    <row r="183" spans="1:28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13">
        <f t="shared" si="8"/>
        <v>0</v>
      </c>
      <c r="AA183" s="5"/>
      <c r="AB183" s="5"/>
    </row>
    <row r="184" spans="1:28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1</v>
      </c>
      <c r="I184" s="15">
        <v>0</v>
      </c>
      <c r="J184" s="15">
        <v>0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1</v>
      </c>
      <c r="X184" s="15">
        <v>1</v>
      </c>
      <c r="Y184" s="15">
        <v>0</v>
      </c>
      <c r="Z184" s="13">
        <f t="shared" si="8"/>
        <v>5</v>
      </c>
      <c r="AA184" s="5"/>
      <c r="AB184" s="5"/>
    </row>
    <row r="185" spans="1:28" ht="12.75" customHeight="1" x14ac:dyDescent="0.4">
      <c r="A185" s="19" t="s">
        <v>39</v>
      </c>
      <c r="B185" s="27"/>
      <c r="C185" s="28" t="s">
        <v>160</v>
      </c>
      <c r="D185" s="29"/>
      <c r="E185" s="15">
        <v>0</v>
      </c>
      <c r="F185" s="15">
        <v>0</v>
      </c>
      <c r="G185" s="15">
        <v>1</v>
      </c>
      <c r="H185" s="15">
        <v>1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1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2</v>
      </c>
      <c r="V185" s="15">
        <v>0</v>
      </c>
      <c r="W185" s="15">
        <v>0</v>
      </c>
      <c r="X185" s="15">
        <v>0</v>
      </c>
      <c r="Y185" s="15">
        <v>0</v>
      </c>
      <c r="Z185" s="13">
        <f t="shared" si="8"/>
        <v>5</v>
      </c>
      <c r="AA185" s="5"/>
      <c r="AB185" s="5"/>
    </row>
    <row r="186" spans="1:28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Y186" si="26">SUM(E184:E185)</f>
        <v>0</v>
      </c>
      <c r="F186" s="13">
        <f t="shared" si="26"/>
        <v>0</v>
      </c>
      <c r="G186" s="13">
        <f t="shared" si="26"/>
        <v>1</v>
      </c>
      <c r="H186" s="13">
        <f t="shared" si="26"/>
        <v>2</v>
      </c>
      <c r="I186" s="13">
        <f t="shared" si="26"/>
        <v>0</v>
      </c>
      <c r="J186" s="13">
        <f t="shared" si="26"/>
        <v>0</v>
      </c>
      <c r="K186" s="13">
        <f t="shared" si="26"/>
        <v>1</v>
      </c>
      <c r="L186" s="13">
        <f t="shared" si="26"/>
        <v>0</v>
      </c>
      <c r="M186" s="13">
        <f t="shared" si="26"/>
        <v>0</v>
      </c>
      <c r="N186" s="13">
        <f t="shared" si="26"/>
        <v>0</v>
      </c>
      <c r="O186" s="13">
        <f t="shared" si="26"/>
        <v>1</v>
      </c>
      <c r="P186" s="13">
        <f t="shared" si="26"/>
        <v>0</v>
      </c>
      <c r="Q186" s="13">
        <f t="shared" si="26"/>
        <v>0</v>
      </c>
      <c r="R186" s="13">
        <f t="shared" si="26"/>
        <v>1</v>
      </c>
      <c r="S186" s="13">
        <f t="shared" si="26"/>
        <v>0</v>
      </c>
      <c r="T186" s="13">
        <f t="shared" si="26"/>
        <v>0</v>
      </c>
      <c r="U186" s="13">
        <f t="shared" si="26"/>
        <v>2</v>
      </c>
      <c r="V186" s="13">
        <f t="shared" si="26"/>
        <v>0</v>
      </c>
      <c r="W186" s="13">
        <f t="shared" si="26"/>
        <v>1</v>
      </c>
      <c r="X186" s="13">
        <f t="shared" si="26"/>
        <v>1</v>
      </c>
      <c r="Y186" s="13">
        <f t="shared" si="26"/>
        <v>0</v>
      </c>
      <c r="Z186" s="13">
        <f t="shared" si="8"/>
        <v>10</v>
      </c>
      <c r="AA186" s="5"/>
      <c r="AB186" s="5"/>
    </row>
    <row r="187" spans="1:28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>
        <f t="shared" si="8"/>
        <v>0</v>
      </c>
      <c r="AA187" s="1"/>
      <c r="AB187" s="1"/>
    </row>
    <row r="188" spans="1:28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13">
        <f t="shared" si="8"/>
        <v>0</v>
      </c>
    </row>
    <row r="189" spans="1:28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13">
        <f t="shared" si="8"/>
        <v>0</v>
      </c>
      <c r="AA189" s="5"/>
      <c r="AB189" s="5"/>
    </row>
    <row r="190" spans="1:28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Y190" si="27">E186+E182+E173+E164+E159+E150+E141+E132+E128+E119+E110+E101+E92+E88+E79+E70+E61+E52</f>
        <v>191</v>
      </c>
      <c r="F190" s="15">
        <f t="shared" si="27"/>
        <v>201</v>
      </c>
      <c r="G190" s="15">
        <f t="shared" si="27"/>
        <v>224</v>
      </c>
      <c r="H190" s="15">
        <f t="shared" si="27"/>
        <v>206</v>
      </c>
      <c r="I190" s="15">
        <f t="shared" si="27"/>
        <v>197</v>
      </c>
      <c r="J190" s="15">
        <f t="shared" si="27"/>
        <v>192</v>
      </c>
      <c r="K190" s="15">
        <f t="shared" si="27"/>
        <v>214</v>
      </c>
      <c r="L190" s="15">
        <f t="shared" si="27"/>
        <v>224</v>
      </c>
      <c r="M190" s="15">
        <f t="shared" si="27"/>
        <v>223</v>
      </c>
      <c r="N190" s="15">
        <f t="shared" si="27"/>
        <v>176</v>
      </c>
      <c r="O190" s="15">
        <f t="shared" si="27"/>
        <v>166</v>
      </c>
      <c r="P190" s="15">
        <f t="shared" si="27"/>
        <v>195</v>
      </c>
      <c r="Q190" s="15">
        <f t="shared" si="27"/>
        <v>202</v>
      </c>
      <c r="R190" s="15">
        <f t="shared" si="27"/>
        <v>176</v>
      </c>
      <c r="S190" s="15">
        <f t="shared" si="27"/>
        <v>174</v>
      </c>
      <c r="T190" s="15">
        <f t="shared" si="27"/>
        <v>192</v>
      </c>
      <c r="U190" s="15">
        <f t="shared" si="27"/>
        <v>211</v>
      </c>
      <c r="V190" s="15">
        <f t="shared" si="27"/>
        <v>206</v>
      </c>
      <c r="W190" s="15">
        <f t="shared" si="27"/>
        <v>191</v>
      </c>
      <c r="X190" s="15">
        <f t="shared" si="27"/>
        <v>225</v>
      </c>
      <c r="Y190" s="15">
        <f t="shared" si="27"/>
        <v>191</v>
      </c>
      <c r="Z190" s="13">
        <f t="shared" si="8"/>
        <v>4177</v>
      </c>
      <c r="AA190" s="5"/>
      <c r="AB190" s="5"/>
    </row>
    <row r="191" spans="1:28" ht="12.75" customHeight="1" x14ac:dyDescent="0.4">
      <c r="A191" s="21"/>
      <c r="B191" s="39" t="s">
        <v>165</v>
      </c>
      <c r="C191" s="79" t="s">
        <v>166</v>
      </c>
      <c r="D191" s="55"/>
      <c r="E191" s="15">
        <v>9</v>
      </c>
      <c r="F191" s="15">
        <v>9</v>
      </c>
      <c r="G191" s="15">
        <v>10</v>
      </c>
      <c r="H191" s="15">
        <v>4</v>
      </c>
      <c r="I191" s="15">
        <v>23</v>
      </c>
      <c r="J191" s="15">
        <v>19</v>
      </c>
      <c r="K191" s="15">
        <v>13</v>
      </c>
      <c r="L191" s="15">
        <v>19</v>
      </c>
      <c r="M191" s="15">
        <v>12</v>
      </c>
      <c r="N191" s="15">
        <v>7</v>
      </c>
      <c r="O191" s="15">
        <v>10</v>
      </c>
      <c r="P191" s="15">
        <v>5</v>
      </c>
      <c r="Q191" s="15">
        <v>12</v>
      </c>
      <c r="R191" s="15">
        <v>12</v>
      </c>
      <c r="S191" s="15">
        <v>3</v>
      </c>
      <c r="T191" s="15">
        <v>19</v>
      </c>
      <c r="U191" s="15">
        <v>4</v>
      </c>
      <c r="V191" s="15">
        <v>6</v>
      </c>
      <c r="W191" s="15">
        <v>5</v>
      </c>
      <c r="X191" s="15">
        <v>8</v>
      </c>
      <c r="Y191" s="15">
        <v>7</v>
      </c>
      <c r="Z191" s="13">
        <f t="shared" si="8"/>
        <v>216</v>
      </c>
      <c r="AA191" s="5"/>
      <c r="AB191" s="5"/>
    </row>
    <row r="192" spans="1:28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Y192" si="28">E190+E191</f>
        <v>200</v>
      </c>
      <c r="F192" s="15">
        <f t="shared" si="28"/>
        <v>210</v>
      </c>
      <c r="G192" s="15">
        <f t="shared" si="28"/>
        <v>234</v>
      </c>
      <c r="H192" s="15">
        <f t="shared" si="28"/>
        <v>210</v>
      </c>
      <c r="I192" s="15">
        <f t="shared" si="28"/>
        <v>220</v>
      </c>
      <c r="J192" s="15">
        <f t="shared" si="28"/>
        <v>211</v>
      </c>
      <c r="K192" s="15">
        <f t="shared" si="28"/>
        <v>227</v>
      </c>
      <c r="L192" s="15">
        <f t="shared" si="28"/>
        <v>243</v>
      </c>
      <c r="M192" s="15">
        <f t="shared" si="28"/>
        <v>235</v>
      </c>
      <c r="N192" s="15">
        <f t="shared" si="28"/>
        <v>183</v>
      </c>
      <c r="O192" s="15">
        <f t="shared" si="28"/>
        <v>176</v>
      </c>
      <c r="P192" s="15">
        <f t="shared" si="28"/>
        <v>200</v>
      </c>
      <c r="Q192" s="15">
        <f t="shared" si="28"/>
        <v>214</v>
      </c>
      <c r="R192" s="15">
        <f t="shared" si="28"/>
        <v>188</v>
      </c>
      <c r="S192" s="15">
        <f t="shared" si="28"/>
        <v>177</v>
      </c>
      <c r="T192" s="15">
        <f t="shared" si="28"/>
        <v>211</v>
      </c>
      <c r="U192" s="15">
        <f t="shared" si="28"/>
        <v>215</v>
      </c>
      <c r="V192" s="15">
        <f t="shared" si="28"/>
        <v>212</v>
      </c>
      <c r="W192" s="15">
        <f t="shared" si="28"/>
        <v>196</v>
      </c>
      <c r="X192" s="15">
        <f t="shared" si="28"/>
        <v>233</v>
      </c>
      <c r="Y192" s="15">
        <f t="shared" si="28"/>
        <v>198</v>
      </c>
      <c r="Z192" s="13">
        <f t="shared" si="8"/>
        <v>4393</v>
      </c>
      <c r="AA192" s="5"/>
      <c r="AB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Y12"/>
    <mergeCell ref="Z12:Z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34:T34">
    <cfRule type="expression" dxfId="250" priority="1">
      <formula>E34&lt;&gt;E64</formula>
    </cfRule>
  </conditionalFormatting>
  <conditionalFormatting sqref="E13:Y13">
    <cfRule type="expression" dxfId="249" priority="29">
      <formula>E30=E192</formula>
    </cfRule>
  </conditionalFormatting>
  <conditionalFormatting sqref="E14:Y15">
    <cfRule type="containsBlanks" dxfId="248" priority="2">
      <formula>LEN(TRIM(E14))=0</formula>
    </cfRule>
  </conditionalFormatting>
  <conditionalFormatting sqref="E19:Y20">
    <cfRule type="containsBlanks" dxfId="247" priority="3">
      <formula>LEN(TRIM(E19))=0</formula>
    </cfRule>
  </conditionalFormatting>
  <conditionalFormatting sqref="E22:Y23 E25:Y26 E33:Y33 E35:Y35 E39:Y40">
    <cfRule type="containsBlanks" dxfId="246" priority="4">
      <formula>LEN(TRIM(E22))=0</formula>
    </cfRule>
  </conditionalFormatting>
  <conditionalFormatting sqref="E30:Y30">
    <cfRule type="expression" dxfId="245" priority="5">
      <formula>E30&lt;&gt;E47</formula>
    </cfRule>
    <cfRule type="expression" dxfId="244" priority="6">
      <formula>E30&lt;&gt;E34</formula>
    </cfRule>
  </conditionalFormatting>
  <conditionalFormatting sqref="E34:Y34">
    <cfRule type="expression" dxfId="243" priority="7">
      <formula>E30&lt;&gt;E34</formula>
    </cfRule>
    <cfRule type="expression" dxfId="242" priority="8">
      <formula>E30=E34</formula>
    </cfRule>
    <cfRule type="expression" dxfId="241" priority="9">
      <formula>E34&lt;&gt;E30</formula>
    </cfRule>
  </conditionalFormatting>
  <conditionalFormatting sqref="E45:Y52 E54:Y61">
    <cfRule type="containsBlanks" dxfId="240" priority="10">
      <formula>LEN(TRIM(E45))=0</formula>
    </cfRule>
  </conditionalFormatting>
  <conditionalFormatting sqref="E63:Y70">
    <cfRule type="containsBlanks" dxfId="239" priority="11">
      <formula>LEN(TRIM(E63))=0</formula>
    </cfRule>
  </conditionalFormatting>
  <conditionalFormatting sqref="E72:Y79">
    <cfRule type="containsBlanks" dxfId="238" priority="12">
      <formula>LEN(TRIM(E72))=0</formula>
    </cfRule>
  </conditionalFormatting>
  <conditionalFormatting sqref="E81:Y88">
    <cfRule type="containsBlanks" dxfId="237" priority="13">
      <formula>LEN(TRIM(E81))=0</formula>
    </cfRule>
  </conditionalFormatting>
  <conditionalFormatting sqref="E90:Y91">
    <cfRule type="containsBlanks" dxfId="236" priority="14">
      <formula>LEN(TRIM(E90))=0</formula>
    </cfRule>
  </conditionalFormatting>
  <conditionalFormatting sqref="E94:Y101">
    <cfRule type="containsBlanks" dxfId="235" priority="15">
      <formula>LEN(TRIM(E94))=0</formula>
    </cfRule>
  </conditionalFormatting>
  <conditionalFormatting sqref="E103:Y110">
    <cfRule type="containsBlanks" dxfId="234" priority="16">
      <formula>LEN(TRIM(E103))=0</formula>
    </cfRule>
  </conditionalFormatting>
  <conditionalFormatting sqref="E112:Y119">
    <cfRule type="containsBlanks" dxfId="233" priority="17">
      <formula>LEN(TRIM(E112))=0</formula>
    </cfRule>
  </conditionalFormatting>
  <conditionalFormatting sqref="E121:Y128">
    <cfRule type="containsBlanks" dxfId="232" priority="18">
      <formula>LEN(TRIM(E121))=0</formula>
    </cfRule>
  </conditionalFormatting>
  <conditionalFormatting sqref="E130:Y132">
    <cfRule type="containsBlanks" dxfId="231" priority="19">
      <formula>LEN(TRIM(E130))=0</formula>
    </cfRule>
  </conditionalFormatting>
  <conditionalFormatting sqref="E134:Y141">
    <cfRule type="containsBlanks" dxfId="230" priority="20">
      <formula>LEN(TRIM(E134))=0</formula>
    </cfRule>
  </conditionalFormatting>
  <conditionalFormatting sqref="E143:Y150">
    <cfRule type="containsBlanks" dxfId="229" priority="21">
      <formula>LEN(TRIM(E143))=0</formula>
    </cfRule>
  </conditionalFormatting>
  <conditionalFormatting sqref="E152:Y159">
    <cfRule type="containsBlanks" dxfId="228" priority="22">
      <formula>LEN(TRIM(E152))=0</formula>
    </cfRule>
  </conditionalFormatting>
  <conditionalFormatting sqref="E161:Y163">
    <cfRule type="containsBlanks" dxfId="227" priority="23">
      <formula>LEN(TRIM(E161))=0</formula>
    </cfRule>
  </conditionalFormatting>
  <conditionalFormatting sqref="E166:Y173">
    <cfRule type="containsBlanks" dxfId="226" priority="24">
      <formula>LEN(TRIM(E166))=0</formula>
    </cfRule>
  </conditionalFormatting>
  <conditionalFormatting sqref="E175:Y182">
    <cfRule type="containsBlanks" dxfId="225" priority="25">
      <formula>LEN(TRIM(E175))=0</formula>
    </cfRule>
  </conditionalFormatting>
  <conditionalFormatting sqref="E184:Y186">
    <cfRule type="containsBlanks" dxfId="224" priority="26">
      <formula>LEN(TRIM(E184))=0</formula>
    </cfRule>
  </conditionalFormatting>
  <conditionalFormatting sqref="E190:Y192">
    <cfRule type="containsBlanks" dxfId="223" priority="27">
      <formula>LEN(TRIM(E190))=0</formula>
    </cfRule>
  </conditionalFormatting>
  <conditionalFormatting sqref="U34:Y34">
    <cfRule type="expression" dxfId="222" priority="28">
      <formula>U34&lt;&gt;U47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topLeftCell="K1" workbookViewId="0">
      <pane ySplit="13" topLeftCell="A17" activePane="bottomLeft" state="frozen"/>
      <selection pane="bottomLeft" activeCell="Q23" sqref="E23:Q23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17" width="8.7109375" customWidth="1"/>
    <col min="18" max="18" width="13.28515625" customWidth="1"/>
    <col min="19" max="26" width="8.7109375" customWidth="1"/>
  </cols>
  <sheetData>
    <row r="1" spans="1:18" ht="12.75" customHeight="1" x14ac:dyDescent="0.4"/>
    <row r="2" spans="1:18" ht="12.75" customHeight="1" x14ac:dyDescent="0.4">
      <c r="C2" s="8" t="s">
        <v>0</v>
      </c>
      <c r="D2" s="8" t="s">
        <v>1</v>
      </c>
    </row>
    <row r="3" spans="1:18" ht="12.75" customHeight="1" x14ac:dyDescent="0.4">
      <c r="C3" s="8" t="s">
        <v>2</v>
      </c>
      <c r="D3" s="8" t="s">
        <v>3</v>
      </c>
    </row>
    <row r="4" spans="1:18" ht="12.75" customHeight="1" x14ac:dyDescent="0.4">
      <c r="C4" s="8" t="s">
        <v>4</v>
      </c>
      <c r="D4" s="8" t="s">
        <v>5</v>
      </c>
    </row>
    <row r="5" spans="1:18" ht="12.75" customHeight="1" x14ac:dyDescent="0.4">
      <c r="C5" s="8"/>
      <c r="D5" s="8"/>
    </row>
    <row r="6" spans="1:18" ht="12.75" customHeight="1" x14ac:dyDescent="0.4">
      <c r="C6" s="8"/>
      <c r="D6" s="8"/>
    </row>
    <row r="7" spans="1:18" ht="12.75" customHeight="1" x14ac:dyDescent="0.4">
      <c r="C7" s="8"/>
      <c r="D7" s="8"/>
    </row>
    <row r="8" spans="1:18" ht="12.75" customHeight="1" x14ac:dyDescent="0.4">
      <c r="C8" s="8"/>
      <c r="D8" s="8"/>
    </row>
    <row r="9" spans="1:18" ht="12.75" customHeight="1" x14ac:dyDescent="0.4">
      <c r="C9" s="8" t="s">
        <v>169</v>
      </c>
      <c r="D9" s="8" t="s">
        <v>196</v>
      </c>
    </row>
    <row r="10" spans="1:18" ht="12.75" customHeight="1" x14ac:dyDescent="0.4"/>
    <row r="11" spans="1:18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8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81" t="s">
        <v>8</v>
      </c>
    </row>
    <row r="13" spans="1:18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197</v>
      </c>
      <c r="Q13" s="13" t="s">
        <v>198</v>
      </c>
      <c r="R13" s="69"/>
    </row>
    <row r="14" spans="1:18" ht="12.75" customHeight="1" x14ac:dyDescent="0.4">
      <c r="A14" s="14"/>
      <c r="B14" s="61" t="s">
        <v>11</v>
      </c>
      <c r="C14" s="62"/>
      <c r="D14" s="15" t="s">
        <v>12</v>
      </c>
      <c r="E14" s="47">
        <v>116</v>
      </c>
      <c r="F14" s="47">
        <v>123</v>
      </c>
      <c r="G14" s="47">
        <v>135</v>
      </c>
      <c r="H14" s="47">
        <v>136</v>
      </c>
      <c r="I14" s="47">
        <v>146</v>
      </c>
      <c r="J14" s="47">
        <v>140</v>
      </c>
      <c r="K14" s="47">
        <v>127</v>
      </c>
      <c r="L14" s="47">
        <v>122</v>
      </c>
      <c r="M14" s="47">
        <v>134</v>
      </c>
      <c r="N14" s="47">
        <v>143</v>
      </c>
      <c r="O14" s="47">
        <v>140</v>
      </c>
      <c r="P14" s="47">
        <v>267</v>
      </c>
      <c r="Q14" s="47">
        <v>223</v>
      </c>
      <c r="R14" s="13">
        <f t="shared" ref="R14:R16" si="0">SUM(E14:Q14)</f>
        <v>1952</v>
      </c>
    </row>
    <row r="15" spans="1:18" ht="12.75" customHeight="1" x14ac:dyDescent="0.4">
      <c r="A15" s="14"/>
      <c r="B15" s="63"/>
      <c r="C15" s="64"/>
      <c r="D15" s="15" t="s">
        <v>13</v>
      </c>
      <c r="E15" s="47">
        <v>119</v>
      </c>
      <c r="F15" s="47">
        <v>131</v>
      </c>
      <c r="G15" s="47">
        <v>117</v>
      </c>
      <c r="H15" s="47">
        <v>138</v>
      </c>
      <c r="I15" s="47">
        <v>149</v>
      </c>
      <c r="J15" s="47">
        <v>135</v>
      </c>
      <c r="K15" s="47">
        <v>123</v>
      </c>
      <c r="L15" s="47">
        <v>140</v>
      </c>
      <c r="M15" s="47">
        <v>148</v>
      </c>
      <c r="N15" s="47">
        <v>139</v>
      </c>
      <c r="O15" s="47">
        <v>137</v>
      </c>
      <c r="P15" s="47">
        <v>0</v>
      </c>
      <c r="Q15" s="47">
        <v>0</v>
      </c>
      <c r="R15" s="13">
        <f t="shared" si="0"/>
        <v>1476</v>
      </c>
    </row>
    <row r="16" spans="1:18" ht="12.75" customHeight="1" x14ac:dyDescent="0.4">
      <c r="A16" s="17"/>
      <c r="B16" s="59"/>
      <c r="C16" s="65"/>
      <c r="D16" s="13" t="s">
        <v>14</v>
      </c>
      <c r="E16" s="48">
        <f t="shared" ref="E16:Q16" si="1">SUM(E14:E15)</f>
        <v>235</v>
      </c>
      <c r="F16" s="48">
        <f t="shared" si="1"/>
        <v>254</v>
      </c>
      <c r="G16" s="48">
        <f t="shared" si="1"/>
        <v>252</v>
      </c>
      <c r="H16" s="48">
        <f t="shared" si="1"/>
        <v>274</v>
      </c>
      <c r="I16" s="48">
        <f t="shared" si="1"/>
        <v>295</v>
      </c>
      <c r="J16" s="48">
        <f t="shared" si="1"/>
        <v>275</v>
      </c>
      <c r="K16" s="48">
        <f t="shared" si="1"/>
        <v>250</v>
      </c>
      <c r="L16" s="48">
        <f t="shared" si="1"/>
        <v>262</v>
      </c>
      <c r="M16" s="48">
        <f t="shared" si="1"/>
        <v>282</v>
      </c>
      <c r="N16" s="48">
        <f t="shared" si="1"/>
        <v>282</v>
      </c>
      <c r="O16" s="48">
        <f t="shared" si="1"/>
        <v>277</v>
      </c>
      <c r="P16" s="48">
        <f t="shared" si="1"/>
        <v>267</v>
      </c>
      <c r="Q16" s="48">
        <f t="shared" si="1"/>
        <v>223</v>
      </c>
      <c r="R16" s="13">
        <f t="shared" si="0"/>
        <v>3428</v>
      </c>
    </row>
    <row r="17" spans="1:18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3"/>
    </row>
    <row r="18" spans="1:18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3"/>
    </row>
    <row r="19" spans="1:18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83</v>
      </c>
      <c r="F19" s="47">
        <v>81</v>
      </c>
      <c r="G19" s="47">
        <v>95</v>
      </c>
      <c r="H19" s="47">
        <v>103</v>
      </c>
      <c r="I19" s="47">
        <v>116</v>
      </c>
      <c r="J19" s="47">
        <v>101</v>
      </c>
      <c r="K19" s="47">
        <v>85</v>
      </c>
      <c r="L19" s="47">
        <v>89</v>
      </c>
      <c r="M19" s="47">
        <v>97</v>
      </c>
      <c r="N19" s="47">
        <v>113</v>
      </c>
      <c r="O19" s="47">
        <v>104</v>
      </c>
      <c r="P19" s="47">
        <v>1</v>
      </c>
      <c r="Q19" s="47">
        <v>0</v>
      </c>
      <c r="R19" s="13">
        <f t="shared" ref="R19:R30" si="2">SUM(E19:Q19)</f>
        <v>1068</v>
      </c>
    </row>
    <row r="20" spans="1:18" ht="12.75" customHeight="1" x14ac:dyDescent="0.4">
      <c r="A20" s="20"/>
      <c r="B20" s="64"/>
      <c r="C20" s="68"/>
      <c r="D20" s="15" t="s">
        <v>13</v>
      </c>
      <c r="E20" s="47">
        <v>91</v>
      </c>
      <c r="F20" s="47">
        <v>108</v>
      </c>
      <c r="G20" s="47">
        <v>95</v>
      </c>
      <c r="H20" s="47">
        <v>115</v>
      </c>
      <c r="I20" s="47">
        <v>128</v>
      </c>
      <c r="J20" s="47">
        <v>114</v>
      </c>
      <c r="K20" s="47">
        <v>100</v>
      </c>
      <c r="L20" s="47">
        <v>115</v>
      </c>
      <c r="M20" s="47">
        <v>128</v>
      </c>
      <c r="N20" s="47">
        <v>104</v>
      </c>
      <c r="O20" s="47">
        <v>105</v>
      </c>
      <c r="P20" s="47">
        <v>0</v>
      </c>
      <c r="Q20" s="47">
        <v>0</v>
      </c>
      <c r="R20" s="13">
        <f t="shared" si="2"/>
        <v>1203</v>
      </c>
    </row>
    <row r="21" spans="1:18" ht="12.75" customHeight="1" x14ac:dyDescent="0.4">
      <c r="A21" s="21"/>
      <c r="B21" s="65"/>
      <c r="C21" s="69"/>
      <c r="D21" s="13" t="s">
        <v>14</v>
      </c>
      <c r="E21" s="48">
        <f t="shared" ref="E21:Q21" si="3">SUM(E19:E20)</f>
        <v>174</v>
      </c>
      <c r="F21" s="48">
        <f t="shared" si="3"/>
        <v>189</v>
      </c>
      <c r="G21" s="48">
        <f t="shared" si="3"/>
        <v>190</v>
      </c>
      <c r="H21" s="48">
        <f t="shared" si="3"/>
        <v>218</v>
      </c>
      <c r="I21" s="48">
        <f t="shared" si="3"/>
        <v>244</v>
      </c>
      <c r="J21" s="48">
        <f t="shared" si="3"/>
        <v>215</v>
      </c>
      <c r="K21" s="48">
        <f t="shared" si="3"/>
        <v>185</v>
      </c>
      <c r="L21" s="48">
        <f t="shared" si="3"/>
        <v>204</v>
      </c>
      <c r="M21" s="48">
        <f t="shared" si="3"/>
        <v>225</v>
      </c>
      <c r="N21" s="48">
        <f t="shared" si="3"/>
        <v>217</v>
      </c>
      <c r="O21" s="48">
        <f t="shared" si="3"/>
        <v>209</v>
      </c>
      <c r="P21" s="48">
        <f t="shared" si="3"/>
        <v>1</v>
      </c>
      <c r="Q21" s="48">
        <f t="shared" si="3"/>
        <v>0</v>
      </c>
      <c r="R21" s="13">
        <f t="shared" si="2"/>
        <v>2271</v>
      </c>
    </row>
    <row r="22" spans="1:18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13">
        <f t="shared" si="2"/>
        <v>0</v>
      </c>
    </row>
    <row r="23" spans="1:18" ht="12.75" customHeight="1" x14ac:dyDescent="0.4">
      <c r="A23" s="20"/>
      <c r="B23" s="64"/>
      <c r="C23" s="68"/>
      <c r="D23" s="15" t="s">
        <v>13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13">
        <f t="shared" si="2"/>
        <v>0</v>
      </c>
    </row>
    <row r="24" spans="1:18" ht="12.75" customHeight="1" x14ac:dyDescent="0.4">
      <c r="A24" s="21"/>
      <c r="B24" s="65"/>
      <c r="C24" s="69"/>
      <c r="D24" s="13" t="s">
        <v>14</v>
      </c>
      <c r="E24" s="48">
        <f t="shared" ref="E24:Q24" si="4">SUM(E22:E23)</f>
        <v>0</v>
      </c>
      <c r="F24" s="48">
        <f t="shared" si="4"/>
        <v>0</v>
      </c>
      <c r="G24" s="48">
        <f t="shared" si="4"/>
        <v>0</v>
      </c>
      <c r="H24" s="48">
        <f t="shared" si="4"/>
        <v>0</v>
      </c>
      <c r="I24" s="48">
        <f t="shared" si="4"/>
        <v>0</v>
      </c>
      <c r="J24" s="48">
        <f t="shared" si="4"/>
        <v>0</v>
      </c>
      <c r="K24" s="48">
        <f t="shared" si="4"/>
        <v>0</v>
      </c>
      <c r="L24" s="48">
        <f t="shared" si="4"/>
        <v>0</v>
      </c>
      <c r="M24" s="48">
        <f t="shared" si="4"/>
        <v>0</v>
      </c>
      <c r="N24" s="48">
        <f t="shared" si="4"/>
        <v>0</v>
      </c>
      <c r="O24" s="48">
        <f t="shared" si="4"/>
        <v>0</v>
      </c>
      <c r="P24" s="48">
        <f t="shared" si="4"/>
        <v>0</v>
      </c>
      <c r="Q24" s="48">
        <f t="shared" si="4"/>
        <v>0</v>
      </c>
      <c r="R24" s="13">
        <f t="shared" si="2"/>
        <v>0</v>
      </c>
    </row>
    <row r="25" spans="1:18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0</v>
      </c>
      <c r="G25" s="47">
        <v>1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1</v>
      </c>
      <c r="P25" s="47">
        <v>0</v>
      </c>
      <c r="Q25" s="47">
        <v>0</v>
      </c>
      <c r="R25" s="13">
        <f t="shared" si="2"/>
        <v>2</v>
      </c>
    </row>
    <row r="26" spans="1:18" ht="12.75" customHeight="1" x14ac:dyDescent="0.4">
      <c r="A26" s="20"/>
      <c r="B26" s="64"/>
      <c r="C26" s="68"/>
      <c r="D26" s="15" t="s">
        <v>13</v>
      </c>
      <c r="E26" s="47">
        <v>1</v>
      </c>
      <c r="F26" s="47">
        <v>0</v>
      </c>
      <c r="G26" s="47">
        <v>3</v>
      </c>
      <c r="H26" s="47">
        <v>0</v>
      </c>
      <c r="I26" s="47">
        <v>0</v>
      </c>
      <c r="J26" s="47">
        <v>0</v>
      </c>
      <c r="K26" s="47">
        <v>0</v>
      </c>
      <c r="L26" s="47">
        <v>2</v>
      </c>
      <c r="M26" s="47">
        <v>0</v>
      </c>
      <c r="N26" s="47">
        <v>0</v>
      </c>
      <c r="O26" s="47">
        <v>2</v>
      </c>
      <c r="P26" s="47">
        <v>0</v>
      </c>
      <c r="Q26" s="47">
        <v>0</v>
      </c>
      <c r="R26" s="13">
        <f t="shared" si="2"/>
        <v>8</v>
      </c>
    </row>
    <row r="27" spans="1:18" ht="12.75" customHeight="1" x14ac:dyDescent="0.4">
      <c r="A27" s="21"/>
      <c r="B27" s="65"/>
      <c r="C27" s="69"/>
      <c r="D27" s="13" t="s">
        <v>14</v>
      </c>
      <c r="E27" s="48">
        <f t="shared" ref="E27:Q27" si="5">SUM(E25:E26)</f>
        <v>1</v>
      </c>
      <c r="F27" s="48">
        <f t="shared" si="5"/>
        <v>0</v>
      </c>
      <c r="G27" s="48">
        <f t="shared" si="5"/>
        <v>4</v>
      </c>
      <c r="H27" s="48">
        <f t="shared" si="5"/>
        <v>0</v>
      </c>
      <c r="I27" s="48">
        <f t="shared" si="5"/>
        <v>0</v>
      </c>
      <c r="J27" s="48">
        <f t="shared" si="5"/>
        <v>0</v>
      </c>
      <c r="K27" s="48">
        <f t="shared" si="5"/>
        <v>0</v>
      </c>
      <c r="L27" s="48">
        <f t="shared" si="5"/>
        <v>2</v>
      </c>
      <c r="M27" s="48">
        <f t="shared" si="5"/>
        <v>0</v>
      </c>
      <c r="N27" s="48">
        <f t="shared" si="5"/>
        <v>0</v>
      </c>
      <c r="O27" s="48">
        <f t="shared" si="5"/>
        <v>3</v>
      </c>
      <c r="P27" s="48">
        <f t="shared" si="5"/>
        <v>0</v>
      </c>
      <c r="Q27" s="48">
        <f t="shared" si="5"/>
        <v>0</v>
      </c>
      <c r="R27" s="13">
        <f t="shared" si="2"/>
        <v>10</v>
      </c>
    </row>
    <row r="28" spans="1:18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f>E19+E22+E25</f>
        <v>83</v>
      </c>
      <c r="F28" s="48">
        <f t="shared" ref="F28:Q28" si="6">F19+F22+F25</f>
        <v>81</v>
      </c>
      <c r="G28" s="48">
        <f t="shared" si="6"/>
        <v>96</v>
      </c>
      <c r="H28" s="48">
        <f t="shared" si="6"/>
        <v>103</v>
      </c>
      <c r="I28" s="48">
        <f t="shared" si="6"/>
        <v>116</v>
      </c>
      <c r="J28" s="48">
        <f t="shared" si="6"/>
        <v>101</v>
      </c>
      <c r="K28" s="48">
        <f t="shared" si="6"/>
        <v>85</v>
      </c>
      <c r="L28" s="48">
        <f t="shared" si="6"/>
        <v>89</v>
      </c>
      <c r="M28" s="48">
        <f t="shared" si="6"/>
        <v>97</v>
      </c>
      <c r="N28" s="48">
        <f t="shared" si="6"/>
        <v>113</v>
      </c>
      <c r="O28" s="48">
        <f t="shared" si="6"/>
        <v>105</v>
      </c>
      <c r="P28" s="48">
        <f t="shared" si="6"/>
        <v>1</v>
      </c>
      <c r="Q28" s="48">
        <f t="shared" si="6"/>
        <v>0</v>
      </c>
      <c r="R28" s="13">
        <f t="shared" si="2"/>
        <v>1070</v>
      </c>
    </row>
    <row r="29" spans="1:18" ht="12.75" customHeight="1" x14ac:dyDescent="0.4">
      <c r="A29" s="21"/>
      <c r="B29" s="64"/>
      <c r="C29" s="68"/>
      <c r="D29" s="13" t="s">
        <v>13</v>
      </c>
      <c r="E29" s="48">
        <f>E20+E23+E26</f>
        <v>92</v>
      </c>
      <c r="F29" s="48">
        <f t="shared" ref="F29:Q29" si="7">F20+F23+F26</f>
        <v>108</v>
      </c>
      <c r="G29" s="48">
        <f t="shared" si="7"/>
        <v>98</v>
      </c>
      <c r="H29" s="48">
        <f t="shared" si="7"/>
        <v>115</v>
      </c>
      <c r="I29" s="48">
        <f t="shared" si="7"/>
        <v>128</v>
      </c>
      <c r="J29" s="48">
        <f t="shared" si="7"/>
        <v>114</v>
      </c>
      <c r="K29" s="48">
        <f t="shared" si="7"/>
        <v>100</v>
      </c>
      <c r="L29" s="48">
        <f t="shared" si="7"/>
        <v>117</v>
      </c>
      <c r="M29" s="48">
        <f t="shared" si="7"/>
        <v>128</v>
      </c>
      <c r="N29" s="48">
        <f t="shared" si="7"/>
        <v>104</v>
      </c>
      <c r="O29" s="48">
        <f t="shared" si="7"/>
        <v>107</v>
      </c>
      <c r="P29" s="48">
        <f t="shared" si="7"/>
        <v>0</v>
      </c>
      <c r="Q29" s="48">
        <f t="shared" si="7"/>
        <v>0</v>
      </c>
      <c r="R29" s="13">
        <f t="shared" si="2"/>
        <v>1211</v>
      </c>
    </row>
    <row r="30" spans="1:18" ht="12.75" customHeight="1" x14ac:dyDescent="0.4">
      <c r="A30" s="21"/>
      <c r="B30" s="65"/>
      <c r="C30" s="69"/>
      <c r="D30" s="13" t="s">
        <v>14</v>
      </c>
      <c r="E30" s="50">
        <f>SUM(E28:E29)</f>
        <v>175</v>
      </c>
      <c r="F30" s="50">
        <f>SUM(F28:F29)</f>
        <v>189</v>
      </c>
      <c r="G30" s="50">
        <f t="shared" ref="E30:Q30" si="8">SUM(G28:G29)</f>
        <v>194</v>
      </c>
      <c r="H30" s="50">
        <f t="shared" si="8"/>
        <v>218</v>
      </c>
      <c r="I30" s="50">
        <f t="shared" si="8"/>
        <v>244</v>
      </c>
      <c r="J30" s="50">
        <f t="shared" si="8"/>
        <v>215</v>
      </c>
      <c r="K30" s="50">
        <f t="shared" si="8"/>
        <v>185</v>
      </c>
      <c r="L30" s="50">
        <f t="shared" si="8"/>
        <v>206</v>
      </c>
      <c r="M30" s="50">
        <f t="shared" si="8"/>
        <v>225</v>
      </c>
      <c r="N30" s="50">
        <f t="shared" si="8"/>
        <v>217</v>
      </c>
      <c r="O30" s="50">
        <f t="shared" si="8"/>
        <v>212</v>
      </c>
      <c r="P30" s="50">
        <f t="shared" si="8"/>
        <v>1</v>
      </c>
      <c r="Q30" s="50">
        <f t="shared" si="8"/>
        <v>0</v>
      </c>
      <c r="R30" s="13">
        <f t="shared" si="2"/>
        <v>2281</v>
      </c>
    </row>
    <row r="31" spans="1:18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3"/>
    </row>
    <row r="32" spans="1:18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3"/>
    </row>
    <row r="33" spans="1:18" ht="12.75" customHeight="1" x14ac:dyDescent="0.4">
      <c r="A33" s="15">
        <v>1</v>
      </c>
      <c r="B33" s="60" t="s">
        <v>27</v>
      </c>
      <c r="C33" s="54"/>
      <c r="D33" s="55"/>
      <c r="E33" s="47">
        <v>240</v>
      </c>
      <c r="F33" s="47">
        <v>260</v>
      </c>
      <c r="G33" s="47">
        <v>258</v>
      </c>
      <c r="H33" s="47">
        <v>280</v>
      </c>
      <c r="I33" s="47">
        <v>301</v>
      </c>
      <c r="J33" s="47">
        <v>281</v>
      </c>
      <c r="K33" s="47">
        <v>255</v>
      </c>
      <c r="L33" s="47">
        <v>268</v>
      </c>
      <c r="M33" s="47">
        <v>288</v>
      </c>
      <c r="N33" s="47">
        <v>288</v>
      </c>
      <c r="O33" s="47">
        <v>283</v>
      </c>
      <c r="P33" s="47">
        <v>273</v>
      </c>
      <c r="Q33" s="47">
        <v>229</v>
      </c>
      <c r="R33" s="13">
        <f t="shared" ref="R33:R36" si="9">SUM(E33:Q33)</f>
        <v>3504</v>
      </c>
    </row>
    <row r="34" spans="1:18" ht="12.75" customHeight="1" x14ac:dyDescent="0.4">
      <c r="A34" s="15">
        <v>2</v>
      </c>
      <c r="B34" s="60" t="s">
        <v>28</v>
      </c>
      <c r="C34" s="54"/>
      <c r="D34" s="55"/>
      <c r="E34" s="51">
        <v>175</v>
      </c>
      <c r="F34" s="51">
        <v>189</v>
      </c>
      <c r="G34" s="51">
        <v>194</v>
      </c>
      <c r="H34" s="51">
        <v>218</v>
      </c>
      <c r="I34" s="51">
        <v>244</v>
      </c>
      <c r="J34" s="51">
        <v>215</v>
      </c>
      <c r="K34" s="51">
        <v>185</v>
      </c>
      <c r="L34" s="51">
        <v>206</v>
      </c>
      <c r="M34" s="51">
        <v>225</v>
      </c>
      <c r="N34" s="51">
        <v>217</v>
      </c>
      <c r="O34" s="51">
        <v>212</v>
      </c>
      <c r="P34" s="51">
        <v>1</v>
      </c>
      <c r="Q34" s="51">
        <v>0</v>
      </c>
      <c r="R34" s="13">
        <f t="shared" si="9"/>
        <v>2281</v>
      </c>
    </row>
    <row r="35" spans="1:18" ht="12.75" customHeight="1" x14ac:dyDescent="0.4">
      <c r="A35" s="15">
        <v>3</v>
      </c>
      <c r="B35" s="60" t="s">
        <v>29</v>
      </c>
      <c r="C35" s="54"/>
      <c r="D35" s="55"/>
      <c r="E35" s="47">
        <v>1</v>
      </c>
      <c r="F35" s="47">
        <v>2</v>
      </c>
      <c r="G35" s="47">
        <v>1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3</v>
      </c>
      <c r="O35" s="47">
        <v>1</v>
      </c>
      <c r="P35" s="47">
        <v>0</v>
      </c>
      <c r="Q35" s="47">
        <v>0</v>
      </c>
      <c r="R35" s="13">
        <f t="shared" si="9"/>
        <v>8</v>
      </c>
    </row>
    <row r="36" spans="1:18" ht="12.75" customHeight="1" x14ac:dyDescent="0.4">
      <c r="A36" s="15">
        <v>4</v>
      </c>
      <c r="B36" s="60" t="s">
        <v>30</v>
      </c>
      <c r="C36" s="54"/>
      <c r="D36" s="55"/>
      <c r="E36" s="48">
        <f t="shared" ref="E36:Q36" si="10">E33-(E34+E35)</f>
        <v>64</v>
      </c>
      <c r="F36" s="48">
        <f t="shared" si="10"/>
        <v>69</v>
      </c>
      <c r="G36" s="48">
        <f t="shared" si="10"/>
        <v>63</v>
      </c>
      <c r="H36" s="48">
        <f t="shared" si="10"/>
        <v>62</v>
      </c>
      <c r="I36" s="48">
        <f t="shared" si="10"/>
        <v>57</v>
      </c>
      <c r="J36" s="48">
        <f t="shared" si="10"/>
        <v>66</v>
      </c>
      <c r="K36" s="48">
        <f t="shared" si="10"/>
        <v>70</v>
      </c>
      <c r="L36" s="48">
        <f t="shared" si="10"/>
        <v>62</v>
      </c>
      <c r="M36" s="48">
        <f t="shared" si="10"/>
        <v>63</v>
      </c>
      <c r="N36" s="48">
        <f t="shared" si="10"/>
        <v>68</v>
      </c>
      <c r="O36" s="48">
        <f t="shared" si="10"/>
        <v>70</v>
      </c>
      <c r="P36" s="48">
        <f t="shared" si="10"/>
        <v>272</v>
      </c>
      <c r="Q36" s="48">
        <f t="shared" si="10"/>
        <v>229</v>
      </c>
      <c r="R36" s="13">
        <f t="shared" si="9"/>
        <v>1215</v>
      </c>
    </row>
    <row r="37" spans="1:18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9"/>
      <c r="N37" s="49"/>
      <c r="O37" s="52"/>
      <c r="P37" s="52"/>
      <c r="Q37" s="52"/>
      <c r="R37" s="43"/>
    </row>
    <row r="38" spans="1:18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3"/>
    </row>
    <row r="39" spans="1:18" ht="12.75" customHeight="1" x14ac:dyDescent="0.4">
      <c r="A39" s="19"/>
      <c r="B39" s="73" t="s">
        <v>33</v>
      </c>
      <c r="C39" s="62"/>
      <c r="D39" s="15" t="s">
        <v>12</v>
      </c>
      <c r="E39" s="47">
        <v>0</v>
      </c>
      <c r="F39" s="47">
        <v>0</v>
      </c>
      <c r="G39" s="47">
        <v>0</v>
      </c>
      <c r="H39" s="47">
        <v>0</v>
      </c>
      <c r="I39" s="47">
        <v>3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13">
        <f t="shared" ref="R39:R41" si="11">SUM(E39:Q39)</f>
        <v>3</v>
      </c>
    </row>
    <row r="40" spans="1:18" ht="12.75" customHeight="1" x14ac:dyDescent="0.4">
      <c r="A40" s="20"/>
      <c r="B40" s="74"/>
      <c r="C40" s="64"/>
      <c r="D40" s="15" t="s">
        <v>13</v>
      </c>
      <c r="E40" s="47">
        <v>0</v>
      </c>
      <c r="F40" s="47">
        <v>0</v>
      </c>
      <c r="G40" s="47">
        <v>0</v>
      </c>
      <c r="H40" s="47">
        <v>0</v>
      </c>
      <c r="I40" s="47">
        <v>1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1</v>
      </c>
      <c r="P40" s="47">
        <v>0</v>
      </c>
      <c r="Q40" s="47">
        <v>0</v>
      </c>
      <c r="R40" s="13">
        <f t="shared" si="11"/>
        <v>2</v>
      </c>
    </row>
    <row r="41" spans="1:18" ht="12.75" customHeight="1" x14ac:dyDescent="0.4">
      <c r="A41" s="24"/>
      <c r="B41" s="75"/>
      <c r="C41" s="65"/>
      <c r="D41" s="13" t="s">
        <v>14</v>
      </c>
      <c r="E41" s="13">
        <f t="shared" ref="E41:Q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4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1</v>
      </c>
      <c r="P41" s="13">
        <f t="shared" si="12"/>
        <v>0</v>
      </c>
      <c r="Q41" s="13">
        <f t="shared" si="12"/>
        <v>0</v>
      </c>
      <c r="R41" s="13">
        <f t="shared" si="11"/>
        <v>5</v>
      </c>
    </row>
    <row r="42" spans="1:18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13"/>
    </row>
    <row r="43" spans="1:18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3"/>
    </row>
    <row r="44" spans="1:18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3"/>
    </row>
    <row r="45" spans="1:18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8</v>
      </c>
      <c r="F45" s="15">
        <v>7</v>
      </c>
      <c r="G45" s="15">
        <v>5</v>
      </c>
      <c r="H45" s="15">
        <v>2</v>
      </c>
      <c r="I45" s="15">
        <v>6</v>
      </c>
      <c r="J45" s="15">
        <v>7</v>
      </c>
      <c r="K45" s="15">
        <v>10</v>
      </c>
      <c r="L45" s="15">
        <v>8</v>
      </c>
      <c r="M45" s="15">
        <v>6</v>
      </c>
      <c r="N45" s="15">
        <v>5</v>
      </c>
      <c r="O45" s="15">
        <v>3</v>
      </c>
      <c r="P45" s="15">
        <v>0</v>
      </c>
      <c r="Q45" s="15">
        <v>0</v>
      </c>
      <c r="R45" s="13">
        <f t="shared" ref="R45:R52" si="13">SUM(E45:Q45)</f>
        <v>67</v>
      </c>
    </row>
    <row r="46" spans="1:18" ht="12.75" customHeight="1" x14ac:dyDescent="0.4">
      <c r="A46" s="19" t="s">
        <v>39</v>
      </c>
      <c r="B46" s="27"/>
      <c r="C46" s="28" t="s">
        <v>40</v>
      </c>
      <c r="D46" s="29"/>
      <c r="E46" s="15">
        <v>47</v>
      </c>
      <c r="F46" s="15">
        <v>27</v>
      </c>
      <c r="G46" s="15">
        <v>14</v>
      </c>
      <c r="H46" s="15">
        <v>17</v>
      </c>
      <c r="I46" s="15">
        <v>45</v>
      </c>
      <c r="J46" s="15">
        <v>37</v>
      </c>
      <c r="K46" s="15">
        <v>14</v>
      </c>
      <c r="L46" s="15">
        <v>24</v>
      </c>
      <c r="M46" s="15">
        <v>9</v>
      </c>
      <c r="N46" s="15">
        <v>31</v>
      </c>
      <c r="O46" s="15">
        <v>2</v>
      </c>
      <c r="P46" s="15">
        <v>0</v>
      </c>
      <c r="Q46" s="15">
        <v>0</v>
      </c>
      <c r="R46" s="13">
        <f t="shared" si="13"/>
        <v>267</v>
      </c>
    </row>
    <row r="47" spans="1:18" ht="12.75" customHeight="1" x14ac:dyDescent="0.4">
      <c r="A47" s="14"/>
      <c r="B47" s="27"/>
      <c r="C47" s="28" t="s">
        <v>41</v>
      </c>
      <c r="D47" s="29"/>
      <c r="E47" s="15">
        <v>2</v>
      </c>
      <c r="F47" s="15">
        <v>3</v>
      </c>
      <c r="G47" s="15">
        <v>0</v>
      </c>
      <c r="H47" s="15">
        <v>0</v>
      </c>
      <c r="I47" s="15">
        <v>1</v>
      </c>
      <c r="J47" s="15">
        <v>1</v>
      </c>
      <c r="K47" s="15">
        <v>1</v>
      </c>
      <c r="L47" s="15">
        <v>5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3">
        <f t="shared" si="13"/>
        <v>14</v>
      </c>
    </row>
    <row r="48" spans="1:18" ht="12.75" customHeight="1" x14ac:dyDescent="0.4">
      <c r="A48" s="14"/>
      <c r="B48" s="27"/>
      <c r="C48" s="28" t="s">
        <v>42</v>
      </c>
      <c r="D48" s="29"/>
      <c r="E48" s="15">
        <v>3</v>
      </c>
      <c r="F48" s="15">
        <v>0</v>
      </c>
      <c r="G48" s="15">
        <v>1</v>
      </c>
      <c r="H48" s="15">
        <v>1</v>
      </c>
      <c r="I48" s="15">
        <v>3</v>
      </c>
      <c r="J48" s="15">
        <v>0</v>
      </c>
      <c r="K48" s="15">
        <v>1</v>
      </c>
      <c r="L48" s="15">
        <v>4</v>
      </c>
      <c r="M48" s="15">
        <v>2</v>
      </c>
      <c r="N48" s="15">
        <v>6</v>
      </c>
      <c r="O48" s="15">
        <v>2</v>
      </c>
      <c r="P48" s="15">
        <v>0</v>
      </c>
      <c r="Q48" s="15">
        <v>0</v>
      </c>
      <c r="R48" s="13">
        <f t="shared" si="13"/>
        <v>23</v>
      </c>
    </row>
    <row r="49" spans="1:18" ht="12.75" customHeight="1" x14ac:dyDescent="0.4">
      <c r="A49" s="14"/>
      <c r="B49" s="27"/>
      <c r="C49" s="28" t="s">
        <v>43</v>
      </c>
      <c r="D49" s="29"/>
      <c r="E49" s="15">
        <v>7</v>
      </c>
      <c r="F49" s="15">
        <v>12</v>
      </c>
      <c r="G49" s="15">
        <v>7</v>
      </c>
      <c r="H49" s="15">
        <v>4</v>
      </c>
      <c r="I49" s="15">
        <v>20</v>
      </c>
      <c r="J49" s="15">
        <v>21</v>
      </c>
      <c r="K49" s="15">
        <v>15</v>
      </c>
      <c r="L49" s="15">
        <v>0</v>
      </c>
      <c r="M49" s="15">
        <v>0</v>
      </c>
      <c r="N49" s="15">
        <v>0</v>
      </c>
      <c r="O49" s="15">
        <v>1</v>
      </c>
      <c r="P49" s="15">
        <v>0</v>
      </c>
      <c r="Q49" s="15">
        <v>0</v>
      </c>
      <c r="R49" s="13">
        <f t="shared" si="13"/>
        <v>87</v>
      </c>
    </row>
    <row r="50" spans="1:18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  <c r="N50" s="15">
        <v>1</v>
      </c>
      <c r="O50" s="15">
        <v>0</v>
      </c>
      <c r="P50" s="15">
        <v>0</v>
      </c>
      <c r="Q50" s="15">
        <v>0</v>
      </c>
      <c r="R50" s="13">
        <f t="shared" si="13"/>
        <v>2</v>
      </c>
    </row>
    <row r="51" spans="1:18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3">
        <f t="shared" si="13"/>
        <v>0</v>
      </c>
    </row>
    <row r="52" spans="1:18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Q52" si="14">SUM(E45:E51)</f>
        <v>67</v>
      </c>
      <c r="F52" s="13">
        <f t="shared" si="14"/>
        <v>49</v>
      </c>
      <c r="G52" s="13">
        <f t="shared" si="14"/>
        <v>27</v>
      </c>
      <c r="H52" s="13">
        <f t="shared" si="14"/>
        <v>24</v>
      </c>
      <c r="I52" s="13">
        <f t="shared" si="14"/>
        <v>75</v>
      </c>
      <c r="J52" s="13">
        <f t="shared" si="14"/>
        <v>67</v>
      </c>
      <c r="K52" s="13">
        <f t="shared" si="14"/>
        <v>41</v>
      </c>
      <c r="L52" s="13">
        <f t="shared" si="14"/>
        <v>41</v>
      </c>
      <c r="M52" s="13">
        <f t="shared" si="14"/>
        <v>18</v>
      </c>
      <c r="N52" s="13">
        <f t="shared" si="14"/>
        <v>43</v>
      </c>
      <c r="O52" s="13">
        <f t="shared" si="14"/>
        <v>8</v>
      </c>
      <c r="P52" s="13">
        <f t="shared" si="14"/>
        <v>0</v>
      </c>
      <c r="Q52" s="13">
        <f t="shared" si="14"/>
        <v>0</v>
      </c>
      <c r="R52" s="13">
        <f t="shared" si="13"/>
        <v>460</v>
      </c>
    </row>
    <row r="53" spans="1:18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3"/>
    </row>
    <row r="54" spans="1:18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4</v>
      </c>
      <c r="F54" s="15">
        <v>3</v>
      </c>
      <c r="G54" s="15">
        <v>1</v>
      </c>
      <c r="H54" s="15">
        <v>2</v>
      </c>
      <c r="I54" s="15">
        <v>7</v>
      </c>
      <c r="J54" s="15">
        <v>1</v>
      </c>
      <c r="K54" s="15">
        <v>8</v>
      </c>
      <c r="L54" s="15">
        <v>9</v>
      </c>
      <c r="M54" s="15">
        <v>9</v>
      </c>
      <c r="N54" s="15">
        <v>2</v>
      </c>
      <c r="O54" s="15">
        <v>4</v>
      </c>
      <c r="P54" s="15">
        <v>0</v>
      </c>
      <c r="Q54" s="15">
        <v>0</v>
      </c>
      <c r="R54" s="13">
        <f t="shared" ref="R54:R61" si="15">SUM(E54:Q54)</f>
        <v>50</v>
      </c>
    </row>
    <row r="55" spans="1:18" ht="12.75" customHeight="1" x14ac:dyDescent="0.4">
      <c r="A55" s="19" t="s">
        <v>39</v>
      </c>
      <c r="B55" s="27"/>
      <c r="C55" s="28" t="s">
        <v>48</v>
      </c>
      <c r="D55" s="29"/>
      <c r="E55" s="15">
        <v>0</v>
      </c>
      <c r="F55" s="15">
        <v>0</v>
      </c>
      <c r="G55" s="15">
        <v>1</v>
      </c>
      <c r="H55" s="15">
        <v>1</v>
      </c>
      <c r="I55" s="15">
        <v>26</v>
      </c>
      <c r="J55" s="15">
        <v>5</v>
      </c>
      <c r="K55" s="15">
        <v>4</v>
      </c>
      <c r="L55" s="15">
        <v>3</v>
      </c>
      <c r="M55" s="15">
        <v>2</v>
      </c>
      <c r="N55" s="15">
        <v>20</v>
      </c>
      <c r="O55" s="15">
        <v>2</v>
      </c>
      <c r="P55" s="15">
        <v>0</v>
      </c>
      <c r="Q55" s="15">
        <v>0</v>
      </c>
      <c r="R55" s="13">
        <f t="shared" si="15"/>
        <v>64</v>
      </c>
    </row>
    <row r="56" spans="1:18" ht="12.75" customHeight="1" x14ac:dyDescent="0.4">
      <c r="A56" s="14"/>
      <c r="B56" s="27"/>
      <c r="C56" s="28" t="s">
        <v>49</v>
      </c>
      <c r="D56" s="29"/>
      <c r="E56" s="15">
        <v>0</v>
      </c>
      <c r="F56" s="15">
        <v>2</v>
      </c>
      <c r="G56" s="15">
        <v>2</v>
      </c>
      <c r="H56" s="15">
        <v>0</v>
      </c>
      <c r="I56" s="15">
        <v>1</v>
      </c>
      <c r="J56" s="15">
        <v>0</v>
      </c>
      <c r="K56" s="15">
        <v>0</v>
      </c>
      <c r="L56" s="15">
        <v>2</v>
      </c>
      <c r="M56" s="15">
        <v>1</v>
      </c>
      <c r="N56" s="15">
        <v>3</v>
      </c>
      <c r="O56" s="15">
        <v>0</v>
      </c>
      <c r="P56" s="15">
        <v>0</v>
      </c>
      <c r="Q56" s="15">
        <v>0</v>
      </c>
      <c r="R56" s="13">
        <f t="shared" si="15"/>
        <v>11</v>
      </c>
    </row>
    <row r="57" spans="1:18" ht="12.75" customHeight="1" x14ac:dyDescent="0.4">
      <c r="A57" s="14"/>
      <c r="B57" s="27"/>
      <c r="C57" s="28" t="s">
        <v>50</v>
      </c>
      <c r="D57" s="29"/>
      <c r="E57" s="15">
        <v>0</v>
      </c>
      <c r="F57" s="15">
        <v>0</v>
      </c>
      <c r="G57" s="15">
        <v>0</v>
      </c>
      <c r="H57" s="15">
        <v>1</v>
      </c>
      <c r="I57" s="15">
        <v>0</v>
      </c>
      <c r="J57" s="15">
        <v>0</v>
      </c>
      <c r="K57" s="15">
        <v>0</v>
      </c>
      <c r="L57" s="15">
        <v>3</v>
      </c>
      <c r="M57" s="15">
        <v>1</v>
      </c>
      <c r="N57" s="15">
        <v>8</v>
      </c>
      <c r="O57" s="15">
        <v>1</v>
      </c>
      <c r="P57" s="15">
        <v>0</v>
      </c>
      <c r="Q57" s="15">
        <v>0</v>
      </c>
      <c r="R57" s="13">
        <f t="shared" si="15"/>
        <v>14</v>
      </c>
    </row>
    <row r="58" spans="1:18" ht="12.75" customHeight="1" x14ac:dyDescent="0.4">
      <c r="A58" s="14"/>
      <c r="B58" s="27"/>
      <c r="C58" s="28" t="s">
        <v>51</v>
      </c>
      <c r="D58" s="29"/>
      <c r="E58" s="15">
        <v>1</v>
      </c>
      <c r="F58" s="15">
        <v>0</v>
      </c>
      <c r="G58" s="15">
        <v>0</v>
      </c>
      <c r="H58" s="15">
        <v>0</v>
      </c>
      <c r="I58" s="15">
        <v>3</v>
      </c>
      <c r="J58" s="15">
        <v>0</v>
      </c>
      <c r="K58" s="15">
        <v>3</v>
      </c>
      <c r="L58" s="15">
        <v>0</v>
      </c>
      <c r="M58" s="15">
        <v>3</v>
      </c>
      <c r="N58" s="15">
        <v>0</v>
      </c>
      <c r="O58" s="15">
        <v>1</v>
      </c>
      <c r="P58" s="15">
        <v>0</v>
      </c>
      <c r="Q58" s="15">
        <v>0</v>
      </c>
      <c r="R58" s="13">
        <f t="shared" si="15"/>
        <v>11</v>
      </c>
    </row>
    <row r="59" spans="1:18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3">
        <f t="shared" si="15"/>
        <v>0</v>
      </c>
    </row>
    <row r="60" spans="1:18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0</v>
      </c>
      <c r="G60" s="15">
        <v>4</v>
      </c>
      <c r="H60" s="15">
        <v>0</v>
      </c>
      <c r="I60" s="15">
        <v>0</v>
      </c>
      <c r="J60" s="15">
        <v>0</v>
      </c>
      <c r="K60" s="15">
        <v>10</v>
      </c>
      <c r="L60" s="15">
        <v>0</v>
      </c>
      <c r="M60" s="15">
        <v>0</v>
      </c>
      <c r="N60" s="15">
        <v>4</v>
      </c>
      <c r="O60" s="15">
        <v>0</v>
      </c>
      <c r="P60" s="15">
        <v>0</v>
      </c>
      <c r="Q60" s="15">
        <v>0</v>
      </c>
      <c r="R60" s="13">
        <f t="shared" si="15"/>
        <v>18</v>
      </c>
    </row>
    <row r="61" spans="1:18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Q61" si="16">SUM(E54:E60)</f>
        <v>5</v>
      </c>
      <c r="F61" s="13">
        <f t="shared" si="16"/>
        <v>5</v>
      </c>
      <c r="G61" s="13">
        <f t="shared" si="16"/>
        <v>8</v>
      </c>
      <c r="H61" s="13">
        <f t="shared" si="16"/>
        <v>4</v>
      </c>
      <c r="I61" s="13">
        <f t="shared" si="16"/>
        <v>37</v>
      </c>
      <c r="J61" s="13">
        <f t="shared" si="16"/>
        <v>6</v>
      </c>
      <c r="K61" s="13">
        <f t="shared" si="16"/>
        <v>25</v>
      </c>
      <c r="L61" s="13">
        <f t="shared" si="16"/>
        <v>17</v>
      </c>
      <c r="M61" s="13">
        <f t="shared" si="16"/>
        <v>16</v>
      </c>
      <c r="N61" s="13">
        <f t="shared" si="16"/>
        <v>37</v>
      </c>
      <c r="O61" s="13">
        <f t="shared" si="16"/>
        <v>8</v>
      </c>
      <c r="P61" s="13">
        <f t="shared" si="16"/>
        <v>0</v>
      </c>
      <c r="Q61" s="13">
        <f t="shared" si="16"/>
        <v>0</v>
      </c>
      <c r="R61" s="13">
        <f t="shared" si="15"/>
        <v>168</v>
      </c>
    </row>
    <row r="62" spans="1:18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3"/>
    </row>
    <row r="63" spans="1:18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5</v>
      </c>
      <c r="F63" s="15">
        <v>2</v>
      </c>
      <c r="G63" s="15">
        <v>2</v>
      </c>
      <c r="H63" s="15">
        <v>6</v>
      </c>
      <c r="I63" s="15">
        <v>1</v>
      </c>
      <c r="J63" s="15">
        <v>0</v>
      </c>
      <c r="K63" s="15">
        <v>4</v>
      </c>
      <c r="L63" s="15">
        <v>7</v>
      </c>
      <c r="M63" s="15">
        <v>2</v>
      </c>
      <c r="N63" s="15">
        <v>7</v>
      </c>
      <c r="O63" s="15">
        <v>7</v>
      </c>
      <c r="P63" s="15">
        <v>0</v>
      </c>
      <c r="Q63" s="15">
        <v>0</v>
      </c>
      <c r="R63" s="13">
        <f t="shared" ref="R63:R70" si="17">SUM(E63:Q63)</f>
        <v>43</v>
      </c>
    </row>
    <row r="64" spans="1:18" ht="12.75" customHeight="1" x14ac:dyDescent="0.4">
      <c r="A64" s="19" t="s">
        <v>39</v>
      </c>
      <c r="B64" s="27"/>
      <c r="C64" s="28" t="s">
        <v>55</v>
      </c>
      <c r="D64" s="29"/>
      <c r="E64" s="15">
        <v>14</v>
      </c>
      <c r="F64" s="15">
        <v>29</v>
      </c>
      <c r="G64" s="15">
        <v>38</v>
      </c>
      <c r="H64" s="15">
        <v>78</v>
      </c>
      <c r="I64" s="15">
        <v>6</v>
      </c>
      <c r="J64" s="15">
        <v>2</v>
      </c>
      <c r="K64" s="15">
        <v>23</v>
      </c>
      <c r="L64" s="15">
        <v>14</v>
      </c>
      <c r="M64" s="15">
        <v>24</v>
      </c>
      <c r="N64" s="15">
        <v>58</v>
      </c>
      <c r="O64" s="15">
        <v>53</v>
      </c>
      <c r="P64" s="15">
        <v>0</v>
      </c>
      <c r="Q64" s="15">
        <v>0</v>
      </c>
      <c r="R64" s="13">
        <f t="shared" si="17"/>
        <v>339</v>
      </c>
    </row>
    <row r="65" spans="1:18" ht="12.75" customHeight="1" x14ac:dyDescent="0.4">
      <c r="A65" s="14"/>
      <c r="B65" s="27"/>
      <c r="C65" s="28" t="s">
        <v>56</v>
      </c>
      <c r="D65" s="29"/>
      <c r="E65" s="15">
        <v>3</v>
      </c>
      <c r="F65" s="15">
        <v>1</v>
      </c>
      <c r="G65" s="15">
        <v>1</v>
      </c>
      <c r="H65" s="15">
        <v>1</v>
      </c>
      <c r="I65" s="15">
        <v>1</v>
      </c>
      <c r="J65" s="15">
        <v>4</v>
      </c>
      <c r="K65" s="15">
        <v>1</v>
      </c>
      <c r="L65" s="15">
        <v>1</v>
      </c>
      <c r="M65" s="15">
        <v>3</v>
      </c>
      <c r="N65" s="15">
        <v>1</v>
      </c>
      <c r="O65" s="15">
        <v>4</v>
      </c>
      <c r="P65" s="15">
        <v>0</v>
      </c>
      <c r="Q65" s="15">
        <v>0</v>
      </c>
      <c r="R65" s="13">
        <f t="shared" si="17"/>
        <v>21</v>
      </c>
    </row>
    <row r="66" spans="1:18" ht="12.75" customHeight="1" x14ac:dyDescent="0.4">
      <c r="A66" s="14"/>
      <c r="B66" s="27"/>
      <c r="C66" s="28" t="s">
        <v>57</v>
      </c>
      <c r="D66" s="29"/>
      <c r="E66" s="15">
        <v>0</v>
      </c>
      <c r="F66" s="15">
        <v>1</v>
      </c>
      <c r="G66" s="15">
        <v>0</v>
      </c>
      <c r="H66" s="15">
        <v>2</v>
      </c>
      <c r="I66" s="15">
        <v>0</v>
      </c>
      <c r="J66" s="15">
        <v>0</v>
      </c>
      <c r="K66" s="15">
        <v>1</v>
      </c>
      <c r="L66" s="15">
        <v>1</v>
      </c>
      <c r="M66" s="15">
        <v>0</v>
      </c>
      <c r="N66" s="15">
        <v>1</v>
      </c>
      <c r="O66" s="15">
        <v>1</v>
      </c>
      <c r="P66" s="15">
        <v>0</v>
      </c>
      <c r="Q66" s="15">
        <v>0</v>
      </c>
      <c r="R66" s="13">
        <f t="shared" si="17"/>
        <v>7</v>
      </c>
    </row>
    <row r="67" spans="1:18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0</v>
      </c>
      <c r="O67" s="15">
        <v>4</v>
      </c>
      <c r="P67" s="15">
        <v>0</v>
      </c>
      <c r="Q67" s="15">
        <v>0</v>
      </c>
      <c r="R67" s="13">
        <f t="shared" si="17"/>
        <v>5</v>
      </c>
    </row>
    <row r="68" spans="1:18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2</v>
      </c>
      <c r="P68" s="15">
        <v>0</v>
      </c>
      <c r="Q68" s="15">
        <v>0</v>
      </c>
      <c r="R68" s="13">
        <f t="shared" si="17"/>
        <v>2</v>
      </c>
    </row>
    <row r="69" spans="1:18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2</v>
      </c>
      <c r="G69" s="15">
        <v>6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3">
        <f t="shared" si="17"/>
        <v>8</v>
      </c>
    </row>
    <row r="70" spans="1:18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Q70" si="18">SUM(E63:E69)</f>
        <v>22</v>
      </c>
      <c r="F70" s="13">
        <f t="shared" si="18"/>
        <v>35</v>
      </c>
      <c r="G70" s="13">
        <f t="shared" si="18"/>
        <v>47</v>
      </c>
      <c r="H70" s="13">
        <f t="shared" si="18"/>
        <v>87</v>
      </c>
      <c r="I70" s="13">
        <f t="shared" si="18"/>
        <v>8</v>
      </c>
      <c r="J70" s="13">
        <f t="shared" si="18"/>
        <v>6</v>
      </c>
      <c r="K70" s="13">
        <f t="shared" si="18"/>
        <v>29</v>
      </c>
      <c r="L70" s="13">
        <f t="shared" si="18"/>
        <v>23</v>
      </c>
      <c r="M70" s="13">
        <f t="shared" si="18"/>
        <v>30</v>
      </c>
      <c r="N70" s="13">
        <f t="shared" si="18"/>
        <v>67</v>
      </c>
      <c r="O70" s="13">
        <f t="shared" si="18"/>
        <v>71</v>
      </c>
      <c r="P70" s="13">
        <f t="shared" si="18"/>
        <v>0</v>
      </c>
      <c r="Q70" s="13">
        <f t="shared" si="18"/>
        <v>0</v>
      </c>
      <c r="R70" s="13">
        <f t="shared" si="17"/>
        <v>425</v>
      </c>
    </row>
    <row r="71" spans="1:18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3"/>
    </row>
    <row r="72" spans="1:18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2</v>
      </c>
      <c r="F72" s="15">
        <v>1</v>
      </c>
      <c r="G72" s="15">
        <v>4</v>
      </c>
      <c r="H72" s="15">
        <v>7</v>
      </c>
      <c r="I72" s="15">
        <v>8</v>
      </c>
      <c r="J72" s="15">
        <v>4</v>
      </c>
      <c r="K72" s="15">
        <v>8</v>
      </c>
      <c r="L72" s="15">
        <v>6</v>
      </c>
      <c r="M72" s="15">
        <v>8</v>
      </c>
      <c r="N72" s="15">
        <v>2</v>
      </c>
      <c r="O72" s="15">
        <v>3</v>
      </c>
      <c r="P72" s="15">
        <v>0</v>
      </c>
      <c r="Q72" s="15">
        <v>0</v>
      </c>
      <c r="R72" s="13">
        <f t="shared" ref="R72:R79" si="19">SUM(E72:Q72)</f>
        <v>53</v>
      </c>
    </row>
    <row r="73" spans="1:18" ht="12.75" customHeight="1" x14ac:dyDescent="0.4">
      <c r="A73" s="19" t="s">
        <v>39</v>
      </c>
      <c r="B73" s="27"/>
      <c r="C73" s="28" t="s">
        <v>62</v>
      </c>
      <c r="D73" s="29"/>
      <c r="E73" s="15">
        <v>26</v>
      </c>
      <c r="F73" s="15">
        <v>12</v>
      </c>
      <c r="G73" s="15">
        <v>48</v>
      </c>
      <c r="H73" s="15">
        <v>35</v>
      </c>
      <c r="I73" s="15">
        <v>19</v>
      </c>
      <c r="J73" s="15">
        <v>28</v>
      </c>
      <c r="K73" s="15">
        <v>32</v>
      </c>
      <c r="L73" s="15">
        <v>8</v>
      </c>
      <c r="M73" s="15">
        <v>16</v>
      </c>
      <c r="N73" s="15">
        <v>3</v>
      </c>
      <c r="O73" s="15">
        <v>31</v>
      </c>
      <c r="P73" s="15">
        <v>0</v>
      </c>
      <c r="Q73" s="15">
        <v>0</v>
      </c>
      <c r="R73" s="13">
        <f t="shared" si="19"/>
        <v>258</v>
      </c>
    </row>
    <row r="74" spans="1:18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2</v>
      </c>
      <c r="L74" s="15">
        <v>0</v>
      </c>
      <c r="M74" s="15">
        <v>3</v>
      </c>
      <c r="N74" s="15">
        <v>0</v>
      </c>
      <c r="O74" s="15">
        <v>0</v>
      </c>
      <c r="P74" s="15">
        <v>0</v>
      </c>
      <c r="Q74" s="15">
        <v>0</v>
      </c>
      <c r="R74" s="13">
        <f t="shared" si="19"/>
        <v>6</v>
      </c>
    </row>
    <row r="75" spans="1:18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2</v>
      </c>
      <c r="M75" s="15">
        <v>1</v>
      </c>
      <c r="N75" s="15">
        <v>0</v>
      </c>
      <c r="O75" s="15">
        <v>0</v>
      </c>
      <c r="P75" s="15">
        <v>0</v>
      </c>
      <c r="Q75" s="15">
        <v>0</v>
      </c>
      <c r="R75" s="13">
        <f t="shared" si="19"/>
        <v>3</v>
      </c>
    </row>
    <row r="76" spans="1:18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3">
        <f t="shared" si="19"/>
        <v>1</v>
      </c>
    </row>
    <row r="77" spans="1:18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2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3">
        <f t="shared" si="19"/>
        <v>2</v>
      </c>
    </row>
    <row r="78" spans="1:18" ht="12.75" customHeight="1" x14ac:dyDescent="0.4">
      <c r="A78" s="14"/>
      <c r="B78" s="27"/>
      <c r="C78" s="28" t="s">
        <v>67</v>
      </c>
      <c r="D78" s="29"/>
      <c r="E78" s="15">
        <v>13</v>
      </c>
      <c r="F78" s="15">
        <v>10</v>
      </c>
      <c r="G78" s="15">
        <v>9</v>
      </c>
      <c r="H78" s="15">
        <v>20</v>
      </c>
      <c r="I78" s="15">
        <v>31</v>
      </c>
      <c r="J78" s="15">
        <v>34</v>
      </c>
      <c r="K78" s="15">
        <v>1</v>
      </c>
      <c r="L78" s="15">
        <v>1</v>
      </c>
      <c r="M78" s="15">
        <v>9</v>
      </c>
      <c r="N78" s="15">
        <v>9</v>
      </c>
      <c r="O78" s="15">
        <v>20</v>
      </c>
      <c r="P78" s="15">
        <v>0</v>
      </c>
      <c r="Q78" s="15">
        <v>0</v>
      </c>
      <c r="R78" s="13">
        <f t="shared" si="19"/>
        <v>157</v>
      </c>
    </row>
    <row r="79" spans="1:18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Q79" si="20">SUM(E72:E78)</f>
        <v>42</v>
      </c>
      <c r="F79" s="13">
        <f t="shared" si="20"/>
        <v>23</v>
      </c>
      <c r="G79" s="13">
        <f t="shared" si="20"/>
        <v>61</v>
      </c>
      <c r="H79" s="13">
        <f t="shared" si="20"/>
        <v>62</v>
      </c>
      <c r="I79" s="13">
        <f t="shared" si="20"/>
        <v>59</v>
      </c>
      <c r="J79" s="13">
        <f t="shared" si="20"/>
        <v>66</v>
      </c>
      <c r="K79" s="13">
        <f t="shared" si="20"/>
        <v>43</v>
      </c>
      <c r="L79" s="13">
        <f t="shared" si="20"/>
        <v>19</v>
      </c>
      <c r="M79" s="13">
        <f t="shared" si="20"/>
        <v>37</v>
      </c>
      <c r="N79" s="13">
        <f t="shared" si="20"/>
        <v>14</v>
      </c>
      <c r="O79" s="13">
        <f t="shared" si="20"/>
        <v>54</v>
      </c>
      <c r="P79" s="13">
        <f t="shared" si="20"/>
        <v>0</v>
      </c>
      <c r="Q79" s="13">
        <f t="shared" si="20"/>
        <v>0</v>
      </c>
      <c r="R79" s="13">
        <f t="shared" si="19"/>
        <v>480</v>
      </c>
    </row>
    <row r="80" spans="1:18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3"/>
    </row>
    <row r="81" spans="1:18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0</v>
      </c>
      <c r="F81" s="15">
        <v>0</v>
      </c>
      <c r="G81" s="15">
        <v>1</v>
      </c>
      <c r="H81" s="15">
        <v>0</v>
      </c>
      <c r="I81" s="15">
        <v>0</v>
      </c>
      <c r="J81" s="15">
        <v>0</v>
      </c>
      <c r="K81" s="15">
        <v>1</v>
      </c>
      <c r="L81" s="15">
        <v>1</v>
      </c>
      <c r="M81" s="15">
        <v>3</v>
      </c>
      <c r="N81" s="15">
        <v>2</v>
      </c>
      <c r="O81" s="15">
        <v>1</v>
      </c>
      <c r="P81" s="15">
        <v>0</v>
      </c>
      <c r="Q81" s="15">
        <v>0</v>
      </c>
      <c r="R81" s="13">
        <f t="shared" ref="R81:R101" si="21">SUM(E81:Q81)</f>
        <v>9</v>
      </c>
    </row>
    <row r="82" spans="1:18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>
        <v>3</v>
      </c>
      <c r="M82" s="15">
        <v>2</v>
      </c>
      <c r="N82" s="15">
        <v>0</v>
      </c>
      <c r="O82" s="15">
        <v>0</v>
      </c>
      <c r="P82" s="15">
        <v>0</v>
      </c>
      <c r="Q82" s="15">
        <v>0</v>
      </c>
      <c r="R82" s="13">
        <f t="shared" si="21"/>
        <v>6</v>
      </c>
    </row>
    <row r="83" spans="1:18" ht="12.75" customHeight="1" x14ac:dyDescent="0.4">
      <c r="A83" s="14"/>
      <c r="B83" s="27"/>
      <c r="C83" s="28" t="s">
        <v>71</v>
      </c>
      <c r="D83" s="29"/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3">
        <f t="shared" si="21"/>
        <v>0</v>
      </c>
    </row>
    <row r="84" spans="1:18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3">
        <f t="shared" si="21"/>
        <v>0</v>
      </c>
    </row>
    <row r="85" spans="1:18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3">
        <f t="shared" si="21"/>
        <v>0</v>
      </c>
    </row>
    <row r="86" spans="1:18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1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1</v>
      </c>
      <c r="O86" s="15">
        <v>0</v>
      </c>
      <c r="P86" s="15">
        <v>0</v>
      </c>
      <c r="Q86" s="15">
        <v>0</v>
      </c>
      <c r="R86" s="13">
        <f t="shared" si="21"/>
        <v>2</v>
      </c>
    </row>
    <row r="87" spans="1:18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3">
        <f t="shared" si="21"/>
        <v>0</v>
      </c>
    </row>
    <row r="88" spans="1:18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Q88" si="22">SUM(E81:E87)</f>
        <v>0</v>
      </c>
      <c r="F88" s="13">
        <f t="shared" si="22"/>
        <v>0</v>
      </c>
      <c r="G88" s="13">
        <f t="shared" si="22"/>
        <v>2</v>
      </c>
      <c r="H88" s="13">
        <f t="shared" si="22"/>
        <v>0</v>
      </c>
      <c r="I88" s="13">
        <f t="shared" si="22"/>
        <v>1</v>
      </c>
      <c r="J88" s="13">
        <f t="shared" si="22"/>
        <v>0</v>
      </c>
      <c r="K88" s="13">
        <f t="shared" si="22"/>
        <v>1</v>
      </c>
      <c r="L88" s="13">
        <f t="shared" si="22"/>
        <v>4</v>
      </c>
      <c r="M88" s="13">
        <f t="shared" si="22"/>
        <v>5</v>
      </c>
      <c r="N88" s="13">
        <f t="shared" si="22"/>
        <v>3</v>
      </c>
      <c r="O88" s="13">
        <f t="shared" si="22"/>
        <v>1</v>
      </c>
      <c r="P88" s="13">
        <f t="shared" si="22"/>
        <v>0</v>
      </c>
      <c r="Q88" s="13">
        <f t="shared" si="22"/>
        <v>0</v>
      </c>
      <c r="R88" s="13">
        <f t="shared" si="21"/>
        <v>17</v>
      </c>
    </row>
    <row r="89" spans="1:18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3">
        <f t="shared" si="21"/>
        <v>0</v>
      </c>
    </row>
    <row r="90" spans="1:18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0</v>
      </c>
      <c r="H90" s="15">
        <v>0</v>
      </c>
      <c r="I90" s="15">
        <v>3</v>
      </c>
      <c r="J90" s="15">
        <v>2</v>
      </c>
      <c r="K90" s="15">
        <v>0</v>
      </c>
      <c r="L90" s="15">
        <v>1</v>
      </c>
      <c r="M90" s="15">
        <v>1</v>
      </c>
      <c r="N90" s="15">
        <v>1</v>
      </c>
      <c r="O90" s="15">
        <v>4</v>
      </c>
      <c r="P90" s="15">
        <v>0</v>
      </c>
      <c r="Q90" s="15">
        <v>0</v>
      </c>
      <c r="R90" s="13">
        <f t="shared" si="21"/>
        <v>12</v>
      </c>
    </row>
    <row r="91" spans="1:18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3">
        <f t="shared" si="21"/>
        <v>0</v>
      </c>
    </row>
    <row r="92" spans="1:18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Q92" si="23">SUM(E90:E91)</f>
        <v>0</v>
      </c>
      <c r="F92" s="36">
        <f t="shared" si="23"/>
        <v>0</v>
      </c>
      <c r="G92" s="36">
        <f t="shared" si="23"/>
        <v>0</v>
      </c>
      <c r="H92" s="36">
        <f t="shared" si="23"/>
        <v>0</v>
      </c>
      <c r="I92" s="36">
        <f t="shared" si="23"/>
        <v>3</v>
      </c>
      <c r="J92" s="36">
        <f t="shared" si="23"/>
        <v>2</v>
      </c>
      <c r="K92" s="36">
        <f t="shared" si="23"/>
        <v>0</v>
      </c>
      <c r="L92" s="36">
        <f t="shared" si="23"/>
        <v>1</v>
      </c>
      <c r="M92" s="36">
        <f t="shared" si="23"/>
        <v>1</v>
      </c>
      <c r="N92" s="36">
        <f t="shared" si="23"/>
        <v>1</v>
      </c>
      <c r="O92" s="36">
        <f t="shared" si="23"/>
        <v>4</v>
      </c>
      <c r="P92" s="36">
        <f t="shared" si="23"/>
        <v>0</v>
      </c>
      <c r="Q92" s="36">
        <f t="shared" si="23"/>
        <v>0</v>
      </c>
      <c r="R92" s="13">
        <f t="shared" si="21"/>
        <v>12</v>
      </c>
    </row>
    <row r="93" spans="1:18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3">
        <f t="shared" si="21"/>
        <v>0</v>
      </c>
    </row>
    <row r="94" spans="1:18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0</v>
      </c>
      <c r="F94" s="15">
        <v>0</v>
      </c>
      <c r="G94" s="15">
        <v>0</v>
      </c>
      <c r="H94" s="15">
        <v>1</v>
      </c>
      <c r="I94" s="15">
        <v>1</v>
      </c>
      <c r="J94" s="15">
        <v>0</v>
      </c>
      <c r="K94" s="15">
        <v>0</v>
      </c>
      <c r="L94" s="15">
        <v>0</v>
      </c>
      <c r="M94" s="15">
        <v>2</v>
      </c>
      <c r="N94" s="15">
        <v>0</v>
      </c>
      <c r="O94" s="15">
        <v>1</v>
      </c>
      <c r="P94" s="15">
        <v>0</v>
      </c>
      <c r="Q94" s="15">
        <v>0</v>
      </c>
      <c r="R94" s="13">
        <f t="shared" si="21"/>
        <v>5</v>
      </c>
    </row>
    <row r="95" spans="1:18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3">
        <f t="shared" si="21"/>
        <v>0</v>
      </c>
    </row>
    <row r="96" spans="1:18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3">
        <f t="shared" si="21"/>
        <v>1</v>
      </c>
    </row>
    <row r="97" spans="1:18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1</v>
      </c>
      <c r="N97" s="15">
        <v>0</v>
      </c>
      <c r="O97" s="15">
        <v>0</v>
      </c>
      <c r="P97" s="15">
        <v>0</v>
      </c>
      <c r="Q97" s="15">
        <v>0</v>
      </c>
      <c r="R97" s="13">
        <f t="shared" si="21"/>
        <v>1</v>
      </c>
    </row>
    <row r="98" spans="1:18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3">
        <f t="shared" si="21"/>
        <v>0</v>
      </c>
    </row>
    <row r="99" spans="1:18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3">
        <f t="shared" si="21"/>
        <v>0</v>
      </c>
    </row>
    <row r="100" spans="1:18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3">
        <f t="shared" si="21"/>
        <v>0</v>
      </c>
    </row>
    <row r="101" spans="1:18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Q101" si="24">SUM(E94:E100)</f>
        <v>0</v>
      </c>
      <c r="F101" s="13">
        <f t="shared" si="24"/>
        <v>0</v>
      </c>
      <c r="G101" s="13">
        <f t="shared" si="24"/>
        <v>0</v>
      </c>
      <c r="H101" s="13">
        <f t="shared" si="24"/>
        <v>1</v>
      </c>
      <c r="I101" s="13">
        <f t="shared" si="24"/>
        <v>1</v>
      </c>
      <c r="J101" s="13">
        <f t="shared" si="24"/>
        <v>1</v>
      </c>
      <c r="K101" s="13">
        <f t="shared" si="24"/>
        <v>0</v>
      </c>
      <c r="L101" s="13">
        <f t="shared" si="24"/>
        <v>0</v>
      </c>
      <c r="M101" s="13">
        <f t="shared" si="24"/>
        <v>3</v>
      </c>
      <c r="N101" s="13">
        <f t="shared" si="24"/>
        <v>0</v>
      </c>
      <c r="O101" s="13">
        <f t="shared" si="24"/>
        <v>1</v>
      </c>
      <c r="P101" s="13">
        <f t="shared" si="24"/>
        <v>0</v>
      </c>
      <c r="Q101" s="13">
        <f t="shared" si="24"/>
        <v>0</v>
      </c>
      <c r="R101" s="13">
        <f t="shared" si="21"/>
        <v>7</v>
      </c>
    </row>
    <row r="102" spans="1:18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3"/>
    </row>
    <row r="103" spans="1:18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</v>
      </c>
      <c r="M103" s="15">
        <v>1</v>
      </c>
      <c r="N103" s="15">
        <v>0</v>
      </c>
      <c r="O103" s="15">
        <v>1</v>
      </c>
      <c r="P103" s="15">
        <v>0</v>
      </c>
      <c r="Q103" s="15">
        <v>0</v>
      </c>
      <c r="R103" s="13">
        <f t="shared" ref="R103:R110" si="25">SUM(E103:Q103)</f>
        <v>5</v>
      </c>
    </row>
    <row r="104" spans="1:18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2</v>
      </c>
      <c r="G104" s="15">
        <v>1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5</v>
      </c>
      <c r="N104" s="15">
        <v>0</v>
      </c>
      <c r="O104" s="15">
        <v>0</v>
      </c>
      <c r="P104" s="15">
        <v>0</v>
      </c>
      <c r="Q104" s="15">
        <v>0</v>
      </c>
      <c r="R104" s="13">
        <f t="shared" si="25"/>
        <v>8</v>
      </c>
    </row>
    <row r="105" spans="1:18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1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3">
        <f t="shared" si="25"/>
        <v>1</v>
      </c>
    </row>
    <row r="106" spans="1:18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3">
        <f t="shared" si="25"/>
        <v>0</v>
      </c>
    </row>
    <row r="107" spans="1:18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1</v>
      </c>
      <c r="N107" s="15">
        <v>0</v>
      </c>
      <c r="O107" s="15">
        <v>0</v>
      </c>
      <c r="P107" s="15">
        <v>0</v>
      </c>
      <c r="Q107" s="15">
        <v>0</v>
      </c>
      <c r="R107" s="13">
        <f t="shared" si="25"/>
        <v>1</v>
      </c>
    </row>
    <row r="108" spans="1:18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3">
        <f t="shared" si="25"/>
        <v>0</v>
      </c>
    </row>
    <row r="109" spans="1:18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1</v>
      </c>
      <c r="N109" s="15">
        <v>0</v>
      </c>
      <c r="O109" s="15">
        <v>1</v>
      </c>
      <c r="P109" s="15">
        <v>0</v>
      </c>
      <c r="Q109" s="15">
        <v>0</v>
      </c>
      <c r="R109" s="13">
        <f t="shared" si="25"/>
        <v>2</v>
      </c>
    </row>
    <row r="110" spans="1:18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Q110" si="26">SUM(E103:E109)</f>
        <v>0</v>
      </c>
      <c r="F110" s="13">
        <f t="shared" si="26"/>
        <v>2</v>
      </c>
      <c r="G110" s="13">
        <f t="shared" si="26"/>
        <v>2</v>
      </c>
      <c r="H110" s="13">
        <f t="shared" si="26"/>
        <v>0</v>
      </c>
      <c r="I110" s="13">
        <f t="shared" si="26"/>
        <v>0</v>
      </c>
      <c r="J110" s="13">
        <f t="shared" si="26"/>
        <v>0</v>
      </c>
      <c r="K110" s="13">
        <f t="shared" si="26"/>
        <v>0</v>
      </c>
      <c r="L110" s="13">
        <f t="shared" si="26"/>
        <v>3</v>
      </c>
      <c r="M110" s="13">
        <f t="shared" si="26"/>
        <v>8</v>
      </c>
      <c r="N110" s="13">
        <f t="shared" si="26"/>
        <v>0</v>
      </c>
      <c r="O110" s="13">
        <f t="shared" si="26"/>
        <v>2</v>
      </c>
      <c r="P110" s="13">
        <f t="shared" si="26"/>
        <v>0</v>
      </c>
      <c r="Q110" s="13">
        <f t="shared" si="26"/>
        <v>0</v>
      </c>
      <c r="R110" s="13">
        <f t="shared" si="25"/>
        <v>17</v>
      </c>
    </row>
    <row r="111" spans="1:18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3"/>
    </row>
    <row r="112" spans="1:18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1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3">
        <f t="shared" ref="R112:R119" si="27">SUM(E112:Q112)</f>
        <v>1</v>
      </c>
    </row>
    <row r="113" spans="1:20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3">
        <f t="shared" si="27"/>
        <v>0</v>
      </c>
    </row>
    <row r="114" spans="1:20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3">
        <f t="shared" si="27"/>
        <v>0</v>
      </c>
    </row>
    <row r="115" spans="1:20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3">
        <f t="shared" si="27"/>
        <v>0</v>
      </c>
    </row>
    <row r="116" spans="1:20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3">
        <f t="shared" si="27"/>
        <v>0</v>
      </c>
    </row>
    <row r="117" spans="1:20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3">
        <f t="shared" si="27"/>
        <v>0</v>
      </c>
      <c r="S117" s="5"/>
      <c r="T117" s="5"/>
    </row>
    <row r="118" spans="1:20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3">
        <f t="shared" si="27"/>
        <v>0</v>
      </c>
      <c r="S118" s="5"/>
      <c r="T118" s="5"/>
    </row>
    <row r="119" spans="1:20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Q119" si="28">SUM(E112:E118)</f>
        <v>0</v>
      </c>
      <c r="F119" s="13">
        <f t="shared" si="28"/>
        <v>0</v>
      </c>
      <c r="G119" s="13">
        <f t="shared" si="28"/>
        <v>0</v>
      </c>
      <c r="H119" s="13">
        <f t="shared" si="28"/>
        <v>0</v>
      </c>
      <c r="I119" s="13">
        <f t="shared" si="28"/>
        <v>0</v>
      </c>
      <c r="J119" s="13">
        <f t="shared" si="28"/>
        <v>0</v>
      </c>
      <c r="K119" s="13">
        <f t="shared" si="28"/>
        <v>1</v>
      </c>
      <c r="L119" s="13">
        <f t="shared" si="28"/>
        <v>0</v>
      </c>
      <c r="M119" s="13">
        <f t="shared" si="28"/>
        <v>0</v>
      </c>
      <c r="N119" s="13">
        <f t="shared" si="28"/>
        <v>0</v>
      </c>
      <c r="O119" s="13">
        <f t="shared" si="28"/>
        <v>0</v>
      </c>
      <c r="P119" s="13">
        <f t="shared" si="28"/>
        <v>0</v>
      </c>
      <c r="Q119" s="13">
        <f t="shared" si="28"/>
        <v>0</v>
      </c>
      <c r="R119" s="13">
        <f t="shared" si="27"/>
        <v>1</v>
      </c>
      <c r="S119" s="5"/>
      <c r="T119" s="5"/>
    </row>
    <row r="120" spans="1:20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3"/>
      <c r="S120" s="5"/>
      <c r="T120" s="5"/>
    </row>
    <row r="121" spans="1:20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3">
        <f t="shared" ref="R121:R128" si="29">SUM(E121:Q121)</f>
        <v>1</v>
      </c>
      <c r="S121" s="5"/>
      <c r="T121" s="5"/>
    </row>
    <row r="122" spans="1:20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3">
        <f t="shared" si="29"/>
        <v>0</v>
      </c>
      <c r="S122" s="5"/>
      <c r="T122" s="5"/>
    </row>
    <row r="123" spans="1:20" ht="12.75" customHeight="1" x14ac:dyDescent="0.4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1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3">
        <f t="shared" si="29"/>
        <v>1</v>
      </c>
      <c r="S123" s="5"/>
      <c r="T123" s="5"/>
    </row>
    <row r="124" spans="1:20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3">
        <f t="shared" si="29"/>
        <v>0</v>
      </c>
      <c r="S124" s="5"/>
      <c r="T124" s="5"/>
    </row>
    <row r="125" spans="1:20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3">
        <f t="shared" si="29"/>
        <v>0</v>
      </c>
      <c r="S125" s="5"/>
      <c r="T125" s="5"/>
    </row>
    <row r="126" spans="1:20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3">
        <f t="shared" si="29"/>
        <v>0</v>
      </c>
      <c r="S126" s="5"/>
      <c r="T126" s="5"/>
    </row>
    <row r="127" spans="1:20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3">
        <f t="shared" si="29"/>
        <v>0</v>
      </c>
      <c r="S127" s="5"/>
      <c r="T127" s="5"/>
    </row>
    <row r="128" spans="1:20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Q128" si="30">SUM(E121:E127)</f>
        <v>0</v>
      </c>
      <c r="F128" s="13">
        <f t="shared" si="30"/>
        <v>0</v>
      </c>
      <c r="G128" s="13">
        <f t="shared" si="30"/>
        <v>0</v>
      </c>
      <c r="H128" s="13">
        <f t="shared" si="30"/>
        <v>0</v>
      </c>
      <c r="I128" s="13">
        <f t="shared" si="30"/>
        <v>0</v>
      </c>
      <c r="J128" s="13">
        <f t="shared" si="30"/>
        <v>0</v>
      </c>
      <c r="K128" s="13">
        <f t="shared" si="30"/>
        <v>1</v>
      </c>
      <c r="L128" s="13">
        <f t="shared" si="30"/>
        <v>1</v>
      </c>
      <c r="M128" s="13">
        <f t="shared" si="30"/>
        <v>0</v>
      </c>
      <c r="N128" s="13">
        <f t="shared" si="30"/>
        <v>0</v>
      </c>
      <c r="O128" s="13">
        <f t="shared" si="30"/>
        <v>0</v>
      </c>
      <c r="P128" s="13">
        <f t="shared" si="30"/>
        <v>0</v>
      </c>
      <c r="Q128" s="13">
        <f t="shared" si="30"/>
        <v>0</v>
      </c>
      <c r="R128" s="13">
        <f t="shared" si="29"/>
        <v>2</v>
      </c>
      <c r="S128" s="5"/>
      <c r="T128" s="5"/>
    </row>
    <row r="129" spans="1:20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3"/>
      <c r="S129" s="5"/>
      <c r="T129" s="5"/>
    </row>
    <row r="130" spans="1:20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1</v>
      </c>
      <c r="O130" s="15">
        <v>0</v>
      </c>
      <c r="P130" s="15">
        <v>0</v>
      </c>
      <c r="Q130" s="15">
        <v>0</v>
      </c>
      <c r="R130" s="13">
        <f t="shared" ref="R130:R150" si="31">SUM(E130:Q130)</f>
        <v>1</v>
      </c>
      <c r="S130" s="1"/>
      <c r="T130" s="1"/>
    </row>
    <row r="131" spans="1:20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3">
        <f t="shared" si="31"/>
        <v>0</v>
      </c>
      <c r="S131" s="31"/>
      <c r="T131" s="31"/>
    </row>
    <row r="132" spans="1:20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Q132" si="32">SUM(E130:E131)</f>
        <v>0</v>
      </c>
      <c r="F132" s="13">
        <f t="shared" si="32"/>
        <v>0</v>
      </c>
      <c r="G132" s="13">
        <f t="shared" si="32"/>
        <v>0</v>
      </c>
      <c r="H132" s="13">
        <f t="shared" si="32"/>
        <v>0</v>
      </c>
      <c r="I132" s="13">
        <f t="shared" si="32"/>
        <v>0</v>
      </c>
      <c r="J132" s="13">
        <f t="shared" si="32"/>
        <v>0</v>
      </c>
      <c r="K132" s="13">
        <f t="shared" si="32"/>
        <v>0</v>
      </c>
      <c r="L132" s="13">
        <f t="shared" si="32"/>
        <v>0</v>
      </c>
      <c r="M132" s="13">
        <f t="shared" si="32"/>
        <v>0</v>
      </c>
      <c r="N132" s="13">
        <f t="shared" si="32"/>
        <v>1</v>
      </c>
      <c r="O132" s="13">
        <f t="shared" si="32"/>
        <v>0</v>
      </c>
      <c r="P132" s="13">
        <f t="shared" si="32"/>
        <v>0</v>
      </c>
      <c r="Q132" s="13">
        <f t="shared" si="32"/>
        <v>0</v>
      </c>
      <c r="R132" s="13">
        <f t="shared" si="31"/>
        <v>1</v>
      </c>
      <c r="S132" s="5"/>
      <c r="T132" s="5"/>
    </row>
    <row r="133" spans="1:20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3">
        <f t="shared" si="31"/>
        <v>0</v>
      </c>
      <c r="S133" s="5"/>
      <c r="T133" s="5"/>
    </row>
    <row r="134" spans="1:20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2</v>
      </c>
      <c r="L134" s="15">
        <v>1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3">
        <f t="shared" si="31"/>
        <v>3</v>
      </c>
      <c r="S134" s="5"/>
      <c r="T134" s="5"/>
    </row>
    <row r="135" spans="1:20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</v>
      </c>
      <c r="O135" s="15">
        <v>0</v>
      </c>
      <c r="P135" s="15">
        <v>0</v>
      </c>
      <c r="Q135" s="15">
        <v>0</v>
      </c>
      <c r="R135" s="13">
        <f t="shared" si="31"/>
        <v>1</v>
      </c>
      <c r="S135" s="5"/>
      <c r="T135" s="5"/>
    </row>
    <row r="136" spans="1:20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1</v>
      </c>
      <c r="O136" s="15">
        <v>0</v>
      </c>
      <c r="P136" s="15">
        <v>0</v>
      </c>
      <c r="Q136" s="15">
        <v>0</v>
      </c>
      <c r="R136" s="13">
        <f t="shared" si="31"/>
        <v>1</v>
      </c>
      <c r="S136" s="5"/>
      <c r="T136" s="5"/>
    </row>
    <row r="137" spans="1:20" ht="12.75" customHeight="1" x14ac:dyDescent="0.4">
      <c r="A137" s="14"/>
      <c r="B137" s="27"/>
      <c r="C137" s="28" t="s">
        <v>118</v>
      </c>
      <c r="D137" s="29"/>
      <c r="E137" s="15">
        <v>1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1</v>
      </c>
      <c r="N137" s="15">
        <v>0</v>
      </c>
      <c r="O137" s="15">
        <v>0</v>
      </c>
      <c r="P137" s="15">
        <v>0</v>
      </c>
      <c r="Q137" s="15">
        <v>0</v>
      </c>
      <c r="R137" s="13">
        <f t="shared" si="31"/>
        <v>2</v>
      </c>
      <c r="S137" s="5"/>
      <c r="T137" s="5"/>
    </row>
    <row r="138" spans="1:20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3">
        <f t="shared" si="31"/>
        <v>0</v>
      </c>
      <c r="S138" s="5"/>
      <c r="T138" s="5"/>
    </row>
    <row r="139" spans="1:20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3">
        <f t="shared" si="31"/>
        <v>0</v>
      </c>
      <c r="S139" s="5"/>
      <c r="T139" s="5"/>
    </row>
    <row r="140" spans="1:20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1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3">
        <f t="shared" si="31"/>
        <v>1</v>
      </c>
      <c r="S140" s="5"/>
      <c r="T140" s="5"/>
    </row>
    <row r="141" spans="1:20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Q141" si="33">SUM(E134:E140)</f>
        <v>1</v>
      </c>
      <c r="F141" s="13">
        <f t="shared" si="33"/>
        <v>0</v>
      </c>
      <c r="G141" s="13">
        <f t="shared" si="33"/>
        <v>0</v>
      </c>
      <c r="H141" s="13">
        <f t="shared" si="33"/>
        <v>0</v>
      </c>
      <c r="I141" s="13">
        <f t="shared" si="33"/>
        <v>0</v>
      </c>
      <c r="J141" s="13">
        <f t="shared" si="33"/>
        <v>0</v>
      </c>
      <c r="K141" s="13">
        <f t="shared" si="33"/>
        <v>2</v>
      </c>
      <c r="L141" s="13">
        <f t="shared" si="33"/>
        <v>2</v>
      </c>
      <c r="M141" s="13">
        <f t="shared" si="33"/>
        <v>1</v>
      </c>
      <c r="N141" s="13">
        <f t="shared" si="33"/>
        <v>2</v>
      </c>
      <c r="O141" s="13">
        <f t="shared" si="33"/>
        <v>0</v>
      </c>
      <c r="P141" s="13">
        <f t="shared" si="33"/>
        <v>0</v>
      </c>
      <c r="Q141" s="13">
        <f t="shared" si="33"/>
        <v>0</v>
      </c>
      <c r="R141" s="13">
        <f t="shared" si="31"/>
        <v>8</v>
      </c>
      <c r="S141" s="1"/>
      <c r="T141" s="1"/>
    </row>
    <row r="142" spans="1:20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3">
        <f t="shared" si="31"/>
        <v>0</v>
      </c>
      <c r="S142" s="31"/>
      <c r="T142" s="31"/>
    </row>
    <row r="143" spans="1:20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1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3">
        <f t="shared" si="31"/>
        <v>1</v>
      </c>
      <c r="S143" s="5"/>
      <c r="T143" s="5"/>
    </row>
    <row r="144" spans="1:20" ht="12.75" customHeight="1" x14ac:dyDescent="0.4">
      <c r="A144" s="19" t="s">
        <v>39</v>
      </c>
      <c r="B144" s="27"/>
      <c r="C144" s="28" t="s">
        <v>124</v>
      </c>
      <c r="D144" s="29"/>
      <c r="E144" s="15">
        <v>1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3">
        <f t="shared" si="31"/>
        <v>1</v>
      </c>
      <c r="S144" s="5"/>
      <c r="T144" s="5"/>
    </row>
    <row r="145" spans="1:20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3">
        <f t="shared" si="31"/>
        <v>0</v>
      </c>
      <c r="S145" s="5"/>
      <c r="T145" s="5"/>
    </row>
    <row r="146" spans="1:20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3">
        <f t="shared" si="31"/>
        <v>1</v>
      </c>
      <c r="S146" s="5"/>
      <c r="T146" s="5"/>
    </row>
    <row r="147" spans="1:20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1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3">
        <f t="shared" si="31"/>
        <v>1</v>
      </c>
      <c r="S147" s="5"/>
      <c r="T147" s="5"/>
    </row>
    <row r="148" spans="1:20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3">
        <f t="shared" si="31"/>
        <v>0</v>
      </c>
      <c r="S148" s="5"/>
      <c r="T148" s="5"/>
    </row>
    <row r="149" spans="1:20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3">
        <f t="shared" si="31"/>
        <v>0</v>
      </c>
      <c r="S149" s="5"/>
      <c r="T149" s="5"/>
    </row>
    <row r="150" spans="1:20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Q150" si="34">SUM(E143:E149)</f>
        <v>1</v>
      </c>
      <c r="F150" s="13">
        <f t="shared" si="34"/>
        <v>0</v>
      </c>
      <c r="G150" s="13">
        <f t="shared" si="34"/>
        <v>1</v>
      </c>
      <c r="H150" s="13">
        <f t="shared" si="34"/>
        <v>0</v>
      </c>
      <c r="I150" s="13">
        <f t="shared" si="34"/>
        <v>0</v>
      </c>
      <c r="J150" s="13">
        <f t="shared" si="34"/>
        <v>0</v>
      </c>
      <c r="K150" s="13">
        <f t="shared" si="34"/>
        <v>0</v>
      </c>
      <c r="L150" s="13">
        <f t="shared" si="34"/>
        <v>2</v>
      </c>
      <c r="M150" s="13">
        <f t="shared" si="34"/>
        <v>0</v>
      </c>
      <c r="N150" s="13">
        <f t="shared" si="34"/>
        <v>0</v>
      </c>
      <c r="O150" s="13">
        <f t="shared" si="34"/>
        <v>0</v>
      </c>
      <c r="P150" s="13">
        <f t="shared" si="34"/>
        <v>0</v>
      </c>
      <c r="Q150" s="13">
        <f t="shared" si="34"/>
        <v>0</v>
      </c>
      <c r="R150" s="13">
        <f t="shared" si="31"/>
        <v>4</v>
      </c>
      <c r="S150" s="5"/>
      <c r="T150" s="5"/>
    </row>
    <row r="151" spans="1:20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3"/>
      <c r="S151" s="1"/>
      <c r="T151" s="1"/>
    </row>
    <row r="152" spans="1:20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2</v>
      </c>
      <c r="F152" s="15">
        <v>8</v>
      </c>
      <c r="G152" s="15">
        <v>4</v>
      </c>
      <c r="H152" s="15">
        <v>3</v>
      </c>
      <c r="I152" s="15">
        <v>9</v>
      </c>
      <c r="J152" s="15">
        <v>5</v>
      </c>
      <c r="K152" s="15">
        <v>2</v>
      </c>
      <c r="L152" s="15">
        <v>3</v>
      </c>
      <c r="M152" s="15">
        <v>7</v>
      </c>
      <c r="N152" s="15">
        <v>1</v>
      </c>
      <c r="O152" s="15">
        <v>1</v>
      </c>
      <c r="P152" s="15">
        <v>0</v>
      </c>
      <c r="Q152" s="15">
        <v>0</v>
      </c>
      <c r="R152" s="13">
        <f t="shared" ref="R152:R159" si="35">SUM(E152:Q152)</f>
        <v>45</v>
      </c>
      <c r="S152" s="31"/>
      <c r="T152" s="31"/>
    </row>
    <row r="153" spans="1:20" ht="12.75" customHeight="1" x14ac:dyDescent="0.4">
      <c r="A153" s="19" t="s">
        <v>39</v>
      </c>
      <c r="B153" s="27"/>
      <c r="C153" s="28" t="s">
        <v>132</v>
      </c>
      <c r="D153" s="29"/>
      <c r="E153" s="15">
        <v>5</v>
      </c>
      <c r="F153" s="15">
        <v>5</v>
      </c>
      <c r="G153" s="15">
        <v>9</v>
      </c>
      <c r="H153" s="15">
        <v>9</v>
      </c>
      <c r="I153" s="15">
        <v>2</v>
      </c>
      <c r="J153" s="15">
        <v>8</v>
      </c>
      <c r="K153" s="15">
        <v>3</v>
      </c>
      <c r="L153" s="15">
        <v>3</v>
      </c>
      <c r="M153" s="15">
        <v>0</v>
      </c>
      <c r="N153" s="15">
        <v>0</v>
      </c>
      <c r="O153" s="15">
        <v>3</v>
      </c>
      <c r="P153" s="15">
        <v>0</v>
      </c>
      <c r="Q153" s="15">
        <v>0</v>
      </c>
      <c r="R153" s="13">
        <f t="shared" si="35"/>
        <v>47</v>
      </c>
      <c r="S153" s="5"/>
      <c r="T153" s="5"/>
    </row>
    <row r="154" spans="1:20" ht="12.75" customHeight="1" x14ac:dyDescent="0.4">
      <c r="A154" s="14"/>
      <c r="B154" s="27"/>
      <c r="C154" s="28" t="s">
        <v>133</v>
      </c>
      <c r="D154" s="29"/>
      <c r="E154" s="15">
        <v>21</v>
      </c>
      <c r="F154" s="15">
        <v>53</v>
      </c>
      <c r="G154" s="15">
        <v>25</v>
      </c>
      <c r="H154" s="15">
        <v>13</v>
      </c>
      <c r="I154" s="15">
        <v>38</v>
      </c>
      <c r="J154" s="15">
        <v>43</v>
      </c>
      <c r="K154" s="15">
        <v>15</v>
      </c>
      <c r="L154" s="15">
        <v>28</v>
      </c>
      <c r="M154" s="15">
        <v>47</v>
      </c>
      <c r="N154" s="15">
        <v>27</v>
      </c>
      <c r="O154" s="15">
        <v>44</v>
      </c>
      <c r="P154" s="15">
        <v>0</v>
      </c>
      <c r="Q154" s="15">
        <v>0</v>
      </c>
      <c r="R154" s="13">
        <f t="shared" si="35"/>
        <v>354</v>
      </c>
      <c r="S154" s="5"/>
      <c r="T154" s="5"/>
    </row>
    <row r="155" spans="1:20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0</v>
      </c>
      <c r="H155" s="15">
        <v>2</v>
      </c>
      <c r="I155" s="15">
        <v>0</v>
      </c>
      <c r="J155" s="15">
        <v>0</v>
      </c>
      <c r="K155" s="15">
        <v>3</v>
      </c>
      <c r="L155" s="15">
        <v>1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3">
        <f t="shared" si="35"/>
        <v>6</v>
      </c>
      <c r="S155" s="5"/>
      <c r="T155" s="5"/>
    </row>
    <row r="156" spans="1:20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1</v>
      </c>
      <c r="Q156" s="15">
        <v>0</v>
      </c>
      <c r="R156" s="13">
        <f t="shared" si="35"/>
        <v>1</v>
      </c>
      <c r="S156" s="5"/>
      <c r="T156" s="5"/>
    </row>
    <row r="157" spans="1:20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3">
        <f t="shared" si="35"/>
        <v>0</v>
      </c>
      <c r="S157" s="5"/>
      <c r="T157" s="5"/>
    </row>
    <row r="158" spans="1:20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3">
        <f t="shared" si="35"/>
        <v>1</v>
      </c>
      <c r="S158" s="5"/>
      <c r="T158" s="5"/>
    </row>
    <row r="159" spans="1:20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Q159" si="36">SUM(E152:E158)</f>
        <v>28</v>
      </c>
      <c r="F159" s="13">
        <f t="shared" si="36"/>
        <v>66</v>
      </c>
      <c r="G159" s="13">
        <f t="shared" si="36"/>
        <v>38</v>
      </c>
      <c r="H159" s="13">
        <f t="shared" si="36"/>
        <v>27</v>
      </c>
      <c r="I159" s="13">
        <f t="shared" si="36"/>
        <v>49</v>
      </c>
      <c r="J159" s="13">
        <f t="shared" si="36"/>
        <v>56</v>
      </c>
      <c r="K159" s="13">
        <f t="shared" si="36"/>
        <v>24</v>
      </c>
      <c r="L159" s="13">
        <f t="shared" si="36"/>
        <v>35</v>
      </c>
      <c r="M159" s="13">
        <f t="shared" si="36"/>
        <v>54</v>
      </c>
      <c r="N159" s="13">
        <f t="shared" si="36"/>
        <v>28</v>
      </c>
      <c r="O159" s="13">
        <f t="shared" si="36"/>
        <v>48</v>
      </c>
      <c r="P159" s="13">
        <f t="shared" si="36"/>
        <v>1</v>
      </c>
      <c r="Q159" s="13">
        <f t="shared" si="36"/>
        <v>0</v>
      </c>
      <c r="R159" s="13">
        <f t="shared" si="35"/>
        <v>454</v>
      </c>
      <c r="S159" s="5"/>
      <c r="T159" s="5"/>
    </row>
    <row r="160" spans="1:20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3"/>
      <c r="S160" s="5"/>
      <c r="T160" s="5"/>
    </row>
    <row r="161" spans="1:20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1</v>
      </c>
      <c r="K161" s="46">
        <v>0</v>
      </c>
      <c r="L161" s="46">
        <v>0</v>
      </c>
      <c r="M161" s="46">
        <v>1</v>
      </c>
      <c r="N161" s="46">
        <v>2</v>
      </c>
      <c r="O161" s="46">
        <v>3</v>
      </c>
      <c r="P161" s="46">
        <v>0</v>
      </c>
      <c r="Q161" s="46">
        <v>0</v>
      </c>
      <c r="R161" s="13">
        <f t="shared" ref="R161:R186" si="37">SUM(E161:Q161)</f>
        <v>7</v>
      </c>
      <c r="S161" s="5"/>
      <c r="T161" s="5"/>
    </row>
    <row r="162" spans="1:20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2</v>
      </c>
      <c r="G162" s="46">
        <v>0</v>
      </c>
      <c r="H162" s="46">
        <v>0</v>
      </c>
      <c r="I162" s="46">
        <v>0</v>
      </c>
      <c r="J162" s="46">
        <v>0</v>
      </c>
      <c r="K162" s="46">
        <v>0</v>
      </c>
      <c r="L162" s="46">
        <v>0</v>
      </c>
      <c r="M162" s="46">
        <v>3</v>
      </c>
      <c r="N162" s="46">
        <v>0</v>
      </c>
      <c r="O162" s="46">
        <v>0</v>
      </c>
      <c r="P162" s="46">
        <v>0</v>
      </c>
      <c r="Q162" s="46">
        <v>0</v>
      </c>
      <c r="R162" s="13">
        <f t="shared" si="37"/>
        <v>5</v>
      </c>
      <c r="S162" s="5"/>
      <c r="T162" s="5"/>
    </row>
    <row r="163" spans="1:20" ht="12.75" customHeight="1" x14ac:dyDescent="0.4">
      <c r="A163" s="19"/>
      <c r="B163" s="27"/>
      <c r="C163" s="28" t="s">
        <v>141</v>
      </c>
      <c r="D163" s="29"/>
      <c r="E163" s="46">
        <v>1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13">
        <f t="shared" si="37"/>
        <v>1</v>
      </c>
      <c r="S163" s="5"/>
      <c r="T163" s="5"/>
    </row>
    <row r="164" spans="1:20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Q164" si="38">SUM(E161:E163)</f>
        <v>1</v>
      </c>
      <c r="F164" s="13">
        <f t="shared" si="38"/>
        <v>2</v>
      </c>
      <c r="G164" s="13">
        <f t="shared" si="38"/>
        <v>0</v>
      </c>
      <c r="H164" s="13">
        <f t="shared" si="38"/>
        <v>0</v>
      </c>
      <c r="I164" s="13">
        <f t="shared" si="38"/>
        <v>0</v>
      </c>
      <c r="J164" s="13">
        <f t="shared" si="38"/>
        <v>1</v>
      </c>
      <c r="K164" s="13">
        <f t="shared" si="38"/>
        <v>0</v>
      </c>
      <c r="L164" s="13">
        <f t="shared" si="38"/>
        <v>0</v>
      </c>
      <c r="M164" s="13">
        <f t="shared" si="38"/>
        <v>4</v>
      </c>
      <c r="N164" s="13">
        <f t="shared" si="38"/>
        <v>2</v>
      </c>
      <c r="O164" s="13">
        <f t="shared" si="38"/>
        <v>3</v>
      </c>
      <c r="P164" s="13">
        <f t="shared" si="38"/>
        <v>0</v>
      </c>
      <c r="Q164" s="13">
        <f t="shared" si="38"/>
        <v>0</v>
      </c>
      <c r="R164" s="13">
        <f t="shared" si="37"/>
        <v>13</v>
      </c>
      <c r="S164" s="5"/>
      <c r="T164" s="5"/>
    </row>
    <row r="165" spans="1:20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3">
        <f t="shared" si="37"/>
        <v>0</v>
      </c>
      <c r="S165" s="1"/>
      <c r="T165" s="1"/>
    </row>
    <row r="166" spans="1:20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3">
        <f t="shared" si="37"/>
        <v>0</v>
      </c>
      <c r="S166" s="31"/>
      <c r="T166" s="31"/>
    </row>
    <row r="167" spans="1:20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3">
        <f t="shared" si="37"/>
        <v>0</v>
      </c>
      <c r="S167" s="5"/>
      <c r="T167" s="5"/>
    </row>
    <row r="168" spans="1:20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3">
        <f t="shared" si="37"/>
        <v>0</v>
      </c>
      <c r="S168" s="5"/>
      <c r="T168" s="5"/>
    </row>
    <row r="169" spans="1:20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3">
        <f t="shared" si="37"/>
        <v>0</v>
      </c>
      <c r="S169" s="5"/>
      <c r="T169" s="5"/>
    </row>
    <row r="170" spans="1:20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3">
        <f t="shared" si="37"/>
        <v>0</v>
      </c>
      <c r="S170" s="5"/>
      <c r="T170" s="5"/>
    </row>
    <row r="171" spans="1:20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3">
        <f t="shared" si="37"/>
        <v>0</v>
      </c>
      <c r="S171" s="5"/>
      <c r="T171" s="5"/>
    </row>
    <row r="172" spans="1:20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3">
        <f t="shared" si="37"/>
        <v>0</v>
      </c>
      <c r="S172" s="5"/>
      <c r="T172" s="5"/>
    </row>
    <row r="173" spans="1:20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Q173" si="39">SUM(E166:E172)</f>
        <v>0</v>
      </c>
      <c r="F173" s="13">
        <f t="shared" si="39"/>
        <v>0</v>
      </c>
      <c r="G173" s="13">
        <f t="shared" si="39"/>
        <v>0</v>
      </c>
      <c r="H173" s="13">
        <f t="shared" si="39"/>
        <v>0</v>
      </c>
      <c r="I173" s="13">
        <f t="shared" si="39"/>
        <v>0</v>
      </c>
      <c r="J173" s="13">
        <f t="shared" si="39"/>
        <v>0</v>
      </c>
      <c r="K173" s="13">
        <f t="shared" si="39"/>
        <v>0</v>
      </c>
      <c r="L173" s="13">
        <f t="shared" si="39"/>
        <v>0</v>
      </c>
      <c r="M173" s="13">
        <f t="shared" si="39"/>
        <v>0</v>
      </c>
      <c r="N173" s="13">
        <f t="shared" si="39"/>
        <v>0</v>
      </c>
      <c r="O173" s="13">
        <f t="shared" si="39"/>
        <v>0</v>
      </c>
      <c r="P173" s="13">
        <f t="shared" si="39"/>
        <v>0</v>
      </c>
      <c r="Q173" s="13">
        <f t="shared" si="39"/>
        <v>0</v>
      </c>
      <c r="R173" s="13">
        <f t="shared" si="37"/>
        <v>0</v>
      </c>
      <c r="S173" s="5"/>
      <c r="T173" s="5"/>
    </row>
    <row r="174" spans="1:20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3">
        <f t="shared" si="37"/>
        <v>0</v>
      </c>
      <c r="S174" s="5"/>
      <c r="T174" s="5"/>
    </row>
    <row r="175" spans="1:20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3">
        <f t="shared" si="37"/>
        <v>2</v>
      </c>
      <c r="S175" s="5"/>
      <c r="T175" s="5"/>
    </row>
    <row r="176" spans="1:20" ht="12.75" customHeight="1" x14ac:dyDescent="0.4">
      <c r="A176" s="19" t="s">
        <v>39</v>
      </c>
      <c r="B176" s="27"/>
      <c r="C176" s="28" t="s">
        <v>152</v>
      </c>
      <c r="D176" s="29"/>
      <c r="E176" s="15">
        <v>1</v>
      </c>
      <c r="F176" s="15">
        <v>0</v>
      </c>
      <c r="G176" s="15">
        <v>1</v>
      </c>
      <c r="H176" s="15">
        <v>0</v>
      </c>
      <c r="I176" s="15">
        <v>0</v>
      </c>
      <c r="J176" s="15">
        <v>0</v>
      </c>
      <c r="K176" s="15">
        <v>1</v>
      </c>
      <c r="L176" s="15">
        <v>1</v>
      </c>
      <c r="M176" s="15">
        <v>0</v>
      </c>
      <c r="N176" s="15">
        <v>2</v>
      </c>
      <c r="O176" s="15">
        <v>0</v>
      </c>
      <c r="P176" s="15">
        <v>0</v>
      </c>
      <c r="Q176" s="15">
        <v>0</v>
      </c>
      <c r="R176" s="13">
        <f t="shared" si="37"/>
        <v>6</v>
      </c>
      <c r="S176" s="1"/>
      <c r="T176" s="1"/>
    </row>
    <row r="177" spans="1:20" ht="12.75" customHeight="1" x14ac:dyDescent="0.4">
      <c r="A177" s="14"/>
      <c r="B177" s="27"/>
      <c r="C177" s="28" t="s">
        <v>153</v>
      </c>
      <c r="D177" s="29"/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1</v>
      </c>
      <c r="L177" s="15">
        <v>24</v>
      </c>
      <c r="M177" s="15">
        <v>21</v>
      </c>
      <c r="N177" s="15">
        <v>5</v>
      </c>
      <c r="O177" s="15">
        <v>0</v>
      </c>
      <c r="P177" s="15">
        <v>0</v>
      </c>
      <c r="Q177" s="15">
        <v>0</v>
      </c>
      <c r="R177" s="13">
        <f t="shared" si="37"/>
        <v>51</v>
      </c>
    </row>
    <row r="178" spans="1:20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3">
        <f t="shared" si="37"/>
        <v>0</v>
      </c>
      <c r="S178" s="5"/>
      <c r="T178" s="5"/>
    </row>
    <row r="179" spans="1:20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3">
        <f t="shared" si="37"/>
        <v>0</v>
      </c>
      <c r="S179" s="5"/>
      <c r="T179" s="5"/>
    </row>
    <row r="180" spans="1:20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1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3">
        <f t="shared" si="37"/>
        <v>2</v>
      </c>
      <c r="S180" s="5"/>
      <c r="T180" s="5"/>
    </row>
    <row r="181" spans="1:20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0</v>
      </c>
      <c r="G181" s="15">
        <v>0</v>
      </c>
      <c r="H181" s="15">
        <v>1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3">
        <f t="shared" si="37"/>
        <v>1</v>
      </c>
      <c r="S181" s="5"/>
      <c r="T181" s="5"/>
    </row>
    <row r="182" spans="1:20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Q182" si="40">SUM(E175:E181)</f>
        <v>1</v>
      </c>
      <c r="F182" s="13">
        <f t="shared" si="40"/>
        <v>1</v>
      </c>
      <c r="G182" s="13">
        <f t="shared" si="40"/>
        <v>1</v>
      </c>
      <c r="H182" s="13">
        <f t="shared" si="40"/>
        <v>1</v>
      </c>
      <c r="I182" s="13">
        <f t="shared" si="40"/>
        <v>0</v>
      </c>
      <c r="J182" s="13">
        <f t="shared" si="40"/>
        <v>0</v>
      </c>
      <c r="K182" s="13">
        <f t="shared" si="40"/>
        <v>4</v>
      </c>
      <c r="L182" s="13">
        <f t="shared" si="40"/>
        <v>26</v>
      </c>
      <c r="M182" s="13">
        <f t="shared" si="40"/>
        <v>21</v>
      </c>
      <c r="N182" s="13">
        <f t="shared" si="40"/>
        <v>7</v>
      </c>
      <c r="O182" s="13">
        <f t="shared" si="40"/>
        <v>0</v>
      </c>
      <c r="P182" s="13">
        <f t="shared" si="40"/>
        <v>0</v>
      </c>
      <c r="Q182" s="13">
        <f t="shared" si="40"/>
        <v>0</v>
      </c>
      <c r="R182" s="13">
        <f t="shared" si="37"/>
        <v>62</v>
      </c>
      <c r="S182" s="5"/>
      <c r="T182" s="5"/>
    </row>
    <row r="183" spans="1:20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13">
        <f t="shared" si="37"/>
        <v>0</v>
      </c>
      <c r="S183" s="5"/>
      <c r="T183" s="5"/>
    </row>
    <row r="184" spans="1:20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3">
        <f t="shared" si="37"/>
        <v>1</v>
      </c>
      <c r="S184" s="5"/>
      <c r="T184" s="5"/>
    </row>
    <row r="185" spans="1:20" ht="12.75" customHeight="1" x14ac:dyDescent="0.4">
      <c r="A185" s="19" t="s">
        <v>39</v>
      </c>
      <c r="B185" s="27"/>
      <c r="C185" s="28" t="s">
        <v>160</v>
      </c>
      <c r="D185" s="29"/>
      <c r="E185" s="15">
        <v>0</v>
      </c>
      <c r="F185" s="15">
        <v>0</v>
      </c>
      <c r="G185" s="15">
        <v>0</v>
      </c>
      <c r="H185" s="15">
        <v>0</v>
      </c>
      <c r="I185" s="15">
        <v>2</v>
      </c>
      <c r="J185" s="15">
        <v>0</v>
      </c>
      <c r="K185" s="15">
        <v>1</v>
      </c>
      <c r="L185" s="15">
        <v>0</v>
      </c>
      <c r="M185" s="15">
        <v>5</v>
      </c>
      <c r="N185" s="15">
        <v>3</v>
      </c>
      <c r="O185" s="15">
        <v>0</v>
      </c>
      <c r="P185" s="15">
        <v>0</v>
      </c>
      <c r="Q185" s="15">
        <v>0</v>
      </c>
      <c r="R185" s="13">
        <f t="shared" si="37"/>
        <v>11</v>
      </c>
      <c r="S185" s="5"/>
      <c r="T185" s="5"/>
    </row>
    <row r="186" spans="1:20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Q186" si="41">SUM(E184:E185)</f>
        <v>0</v>
      </c>
      <c r="F186" s="13">
        <f t="shared" si="41"/>
        <v>0</v>
      </c>
      <c r="G186" s="13">
        <f t="shared" si="41"/>
        <v>0</v>
      </c>
      <c r="H186" s="13">
        <f t="shared" si="41"/>
        <v>0</v>
      </c>
      <c r="I186" s="13">
        <f t="shared" si="41"/>
        <v>2</v>
      </c>
      <c r="J186" s="13">
        <f t="shared" si="41"/>
        <v>0</v>
      </c>
      <c r="K186" s="13">
        <f t="shared" si="41"/>
        <v>2</v>
      </c>
      <c r="L186" s="13">
        <f t="shared" si="41"/>
        <v>0</v>
      </c>
      <c r="M186" s="13">
        <f t="shared" si="41"/>
        <v>5</v>
      </c>
      <c r="N186" s="13">
        <f t="shared" si="41"/>
        <v>3</v>
      </c>
      <c r="O186" s="13">
        <f t="shared" si="41"/>
        <v>0</v>
      </c>
      <c r="P186" s="13">
        <f t="shared" si="41"/>
        <v>0</v>
      </c>
      <c r="Q186" s="13">
        <f t="shared" si="41"/>
        <v>0</v>
      </c>
      <c r="R186" s="13">
        <f t="shared" si="37"/>
        <v>12</v>
      </c>
      <c r="S186" s="5"/>
      <c r="T186" s="5"/>
    </row>
    <row r="187" spans="1:20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"/>
      <c r="T187" s="1"/>
    </row>
    <row r="188" spans="1:20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13">
        <f t="shared" ref="R188:R192" si="42">SUM(E188:Q188)</f>
        <v>0</v>
      </c>
    </row>
    <row r="189" spans="1:20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13">
        <f t="shared" si="42"/>
        <v>0</v>
      </c>
      <c r="S189" s="5"/>
      <c r="T189" s="5"/>
    </row>
    <row r="190" spans="1:20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Q190" si="43">E186+E182+E173+E164+E159+E150+E141+E132+E128+E119+E110+E101+E92+E88+E79+E70+E61+E52</f>
        <v>168</v>
      </c>
      <c r="F190" s="15">
        <f t="shared" si="43"/>
        <v>183</v>
      </c>
      <c r="G190" s="15">
        <f t="shared" si="43"/>
        <v>187</v>
      </c>
      <c r="H190" s="15">
        <f t="shared" si="43"/>
        <v>206</v>
      </c>
      <c r="I190" s="15">
        <f t="shared" si="43"/>
        <v>235</v>
      </c>
      <c r="J190" s="15">
        <f t="shared" si="43"/>
        <v>205</v>
      </c>
      <c r="K190" s="15">
        <f t="shared" si="43"/>
        <v>173</v>
      </c>
      <c r="L190" s="15">
        <f t="shared" si="43"/>
        <v>174</v>
      </c>
      <c r="M190" s="15">
        <f t="shared" si="43"/>
        <v>203</v>
      </c>
      <c r="N190" s="15">
        <f t="shared" si="43"/>
        <v>208</v>
      </c>
      <c r="O190" s="15">
        <f t="shared" si="43"/>
        <v>200</v>
      </c>
      <c r="P190" s="15">
        <f t="shared" si="43"/>
        <v>1</v>
      </c>
      <c r="Q190" s="15">
        <f t="shared" si="43"/>
        <v>0</v>
      </c>
      <c r="R190" s="13">
        <f t="shared" si="42"/>
        <v>2143</v>
      </c>
      <c r="S190" s="5"/>
      <c r="T190" s="5"/>
    </row>
    <row r="191" spans="1:20" ht="12.75" customHeight="1" x14ac:dyDescent="0.4">
      <c r="A191" s="21"/>
      <c r="B191" s="39" t="s">
        <v>165</v>
      </c>
      <c r="C191" s="79" t="s">
        <v>166</v>
      </c>
      <c r="D191" s="55"/>
      <c r="E191" s="15">
        <v>7</v>
      </c>
      <c r="F191" s="15">
        <v>6</v>
      </c>
      <c r="G191" s="15">
        <v>7</v>
      </c>
      <c r="H191" s="15">
        <v>12</v>
      </c>
      <c r="I191" s="15">
        <v>9</v>
      </c>
      <c r="J191" s="15">
        <v>10</v>
      </c>
      <c r="K191" s="15">
        <v>12</v>
      </c>
      <c r="L191" s="15">
        <v>32</v>
      </c>
      <c r="M191" s="15">
        <v>22</v>
      </c>
      <c r="N191" s="15">
        <v>9</v>
      </c>
      <c r="O191" s="15">
        <v>12</v>
      </c>
      <c r="P191" s="15">
        <v>0</v>
      </c>
      <c r="Q191" s="15">
        <v>0</v>
      </c>
      <c r="R191" s="13">
        <f t="shared" si="42"/>
        <v>138</v>
      </c>
      <c r="S191" s="5"/>
      <c r="T191" s="5"/>
    </row>
    <row r="192" spans="1:20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Q192" si="44">E190+E191</f>
        <v>175</v>
      </c>
      <c r="F192" s="15">
        <f t="shared" si="44"/>
        <v>189</v>
      </c>
      <c r="G192" s="15">
        <f t="shared" si="44"/>
        <v>194</v>
      </c>
      <c r="H192" s="15">
        <f t="shared" si="44"/>
        <v>218</v>
      </c>
      <c r="I192" s="15">
        <f t="shared" si="44"/>
        <v>244</v>
      </c>
      <c r="J192" s="15">
        <f t="shared" si="44"/>
        <v>215</v>
      </c>
      <c r="K192" s="15">
        <f t="shared" si="44"/>
        <v>185</v>
      </c>
      <c r="L192" s="15">
        <f t="shared" si="44"/>
        <v>206</v>
      </c>
      <c r="M192" s="15">
        <f t="shared" si="44"/>
        <v>225</v>
      </c>
      <c r="N192" s="15">
        <f t="shared" si="44"/>
        <v>217</v>
      </c>
      <c r="O192" s="15">
        <f t="shared" si="44"/>
        <v>212</v>
      </c>
      <c r="P192" s="15">
        <f t="shared" si="44"/>
        <v>1</v>
      </c>
      <c r="Q192" s="15">
        <f t="shared" si="44"/>
        <v>0</v>
      </c>
      <c r="R192" s="13">
        <f t="shared" si="42"/>
        <v>2281</v>
      </c>
      <c r="S192" s="5"/>
      <c r="T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Q12"/>
    <mergeCell ref="R12:R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Q13">
    <cfRule type="expression" dxfId="221" priority="1">
      <formula>E30=E192</formula>
    </cfRule>
  </conditionalFormatting>
  <conditionalFormatting sqref="E14:Q15">
    <cfRule type="containsBlanks" dxfId="220" priority="2">
      <formula>LEN(TRIM(E14))=0</formula>
    </cfRule>
  </conditionalFormatting>
  <conditionalFormatting sqref="E19:Q20">
    <cfRule type="containsBlanks" dxfId="219" priority="3">
      <formula>LEN(TRIM(E19))=0</formula>
    </cfRule>
  </conditionalFormatting>
  <conditionalFormatting sqref="E22:Q23 E25:Q26 E33:Q33 E35:Q35 E39:Q40">
    <cfRule type="containsBlanks" dxfId="218" priority="4">
      <formula>LEN(TRIM(E22))=0</formula>
    </cfRule>
  </conditionalFormatting>
  <conditionalFormatting sqref="E30:Q30">
    <cfRule type="expression" dxfId="217" priority="5">
      <formula>E30&lt;&gt;E47</formula>
    </cfRule>
    <cfRule type="expression" dxfId="216" priority="6">
      <formula>E30&lt;&gt;E34</formula>
    </cfRule>
  </conditionalFormatting>
  <conditionalFormatting sqref="E34:Q34">
    <cfRule type="expression" dxfId="215" priority="7">
      <formula>E30&lt;&gt;E34</formula>
    </cfRule>
    <cfRule type="expression" dxfId="214" priority="8">
      <formula>E30=E34</formula>
    </cfRule>
    <cfRule type="expression" dxfId="213" priority="9">
      <formula>E34&lt;&gt;E30</formula>
    </cfRule>
    <cfRule type="expression" dxfId="212" priority="10">
      <formula>E34&lt;&gt;E64</formula>
    </cfRule>
  </conditionalFormatting>
  <conditionalFormatting sqref="E45:Q52 E54:Q61">
    <cfRule type="containsBlanks" dxfId="211" priority="11">
      <formula>LEN(TRIM(E45))=0</formula>
    </cfRule>
  </conditionalFormatting>
  <conditionalFormatting sqref="E63:Q70">
    <cfRule type="containsBlanks" dxfId="210" priority="12">
      <formula>LEN(TRIM(E63))=0</formula>
    </cfRule>
  </conditionalFormatting>
  <conditionalFormatting sqref="E72:Q79">
    <cfRule type="containsBlanks" dxfId="209" priority="13">
      <formula>LEN(TRIM(E72))=0</formula>
    </cfRule>
  </conditionalFormatting>
  <conditionalFormatting sqref="E81:Q88">
    <cfRule type="containsBlanks" dxfId="208" priority="14">
      <formula>LEN(TRIM(E81))=0</formula>
    </cfRule>
  </conditionalFormatting>
  <conditionalFormatting sqref="E90:Q91">
    <cfRule type="containsBlanks" dxfId="207" priority="15">
      <formula>LEN(TRIM(E90))=0</formula>
    </cfRule>
  </conditionalFormatting>
  <conditionalFormatting sqref="E94:Q101">
    <cfRule type="containsBlanks" dxfId="206" priority="16">
      <formula>LEN(TRIM(E94))=0</formula>
    </cfRule>
  </conditionalFormatting>
  <conditionalFormatting sqref="E103:Q110">
    <cfRule type="containsBlanks" dxfId="205" priority="17">
      <formula>LEN(TRIM(E103))=0</formula>
    </cfRule>
  </conditionalFormatting>
  <conditionalFormatting sqref="E112:Q119">
    <cfRule type="containsBlanks" dxfId="204" priority="18">
      <formula>LEN(TRIM(E112))=0</formula>
    </cfRule>
  </conditionalFormatting>
  <conditionalFormatting sqref="E121:Q128">
    <cfRule type="containsBlanks" dxfId="203" priority="19">
      <formula>LEN(TRIM(E121))=0</formula>
    </cfRule>
  </conditionalFormatting>
  <conditionalFormatting sqref="E130:Q132">
    <cfRule type="containsBlanks" dxfId="202" priority="20">
      <formula>LEN(TRIM(E130))=0</formula>
    </cfRule>
  </conditionalFormatting>
  <conditionalFormatting sqref="E134:Q141">
    <cfRule type="containsBlanks" dxfId="201" priority="21">
      <formula>LEN(TRIM(E134))=0</formula>
    </cfRule>
  </conditionalFormatting>
  <conditionalFormatting sqref="E143:Q150">
    <cfRule type="containsBlanks" dxfId="200" priority="22">
      <formula>LEN(TRIM(E143))=0</formula>
    </cfRule>
  </conditionalFormatting>
  <conditionalFormatting sqref="E152:Q159">
    <cfRule type="containsBlanks" dxfId="199" priority="23">
      <formula>LEN(TRIM(E152))=0</formula>
    </cfRule>
  </conditionalFormatting>
  <conditionalFormatting sqref="E161:Q163">
    <cfRule type="containsBlanks" dxfId="198" priority="24">
      <formula>LEN(TRIM(E161))=0</formula>
    </cfRule>
  </conditionalFormatting>
  <conditionalFormatting sqref="E166:Q173">
    <cfRule type="containsBlanks" dxfId="197" priority="25">
      <formula>LEN(TRIM(E166))=0</formula>
    </cfRule>
  </conditionalFormatting>
  <conditionalFormatting sqref="E175:Q182">
    <cfRule type="containsBlanks" dxfId="196" priority="26">
      <formula>LEN(TRIM(E175))=0</formula>
    </cfRule>
  </conditionalFormatting>
  <conditionalFormatting sqref="E184:Q186">
    <cfRule type="containsBlanks" dxfId="195" priority="27">
      <formula>LEN(TRIM(E184))=0</formula>
    </cfRule>
  </conditionalFormatting>
  <conditionalFormatting sqref="E190:Q192">
    <cfRule type="containsBlanks" dxfId="194" priority="28">
      <formula>LEN(TRIM(E190))=0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workbookViewId="0">
      <pane ySplit="13" topLeftCell="A14" activePane="bottomLeft" state="frozen"/>
      <selection pane="bottomLeft" activeCell="B15" sqref="B15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12" width="8.7109375" customWidth="1"/>
    <col min="13" max="13" width="13.28515625" customWidth="1"/>
    <col min="14" max="26" width="8.7109375" customWidth="1"/>
  </cols>
  <sheetData>
    <row r="1" spans="1:13" ht="12.75" customHeight="1" x14ac:dyDescent="0.4"/>
    <row r="2" spans="1:13" ht="12.75" customHeight="1" x14ac:dyDescent="0.4">
      <c r="C2" s="8" t="s">
        <v>0</v>
      </c>
      <c r="D2" s="8" t="s">
        <v>1</v>
      </c>
    </row>
    <row r="3" spans="1:13" ht="12.75" customHeight="1" x14ac:dyDescent="0.4">
      <c r="C3" s="8" t="s">
        <v>2</v>
      </c>
      <c r="D3" s="8" t="s">
        <v>3</v>
      </c>
    </row>
    <row r="4" spans="1:13" ht="12.75" customHeight="1" x14ac:dyDescent="0.4">
      <c r="C4" s="8" t="s">
        <v>4</v>
      </c>
      <c r="D4" s="8" t="s">
        <v>5</v>
      </c>
    </row>
    <row r="5" spans="1:13" ht="12.75" customHeight="1" x14ac:dyDescent="0.4">
      <c r="C5" s="8"/>
      <c r="D5" s="8"/>
    </row>
    <row r="6" spans="1:13" ht="12.75" customHeight="1" x14ac:dyDescent="0.4">
      <c r="C6" s="8"/>
      <c r="D6" s="8"/>
    </row>
    <row r="7" spans="1:13" ht="12.75" customHeight="1" x14ac:dyDescent="0.4">
      <c r="C7" s="8"/>
      <c r="D7" s="8"/>
    </row>
    <row r="8" spans="1:13" ht="12.75" customHeight="1" x14ac:dyDescent="0.4">
      <c r="C8" s="8"/>
      <c r="D8" s="8"/>
    </row>
    <row r="9" spans="1:13" ht="12.75" customHeight="1" x14ac:dyDescent="0.4">
      <c r="C9" s="8" t="s">
        <v>169</v>
      </c>
      <c r="D9" s="8" t="s">
        <v>199</v>
      </c>
    </row>
    <row r="10" spans="1:13" ht="12.75" customHeight="1" x14ac:dyDescent="0.4"/>
    <row r="11" spans="1:13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spans="1:13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81" t="s">
        <v>8</v>
      </c>
    </row>
    <row r="13" spans="1:13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69"/>
    </row>
    <row r="14" spans="1:13" ht="12.75" customHeight="1" x14ac:dyDescent="0.4">
      <c r="A14" s="14"/>
      <c r="B14" s="61" t="s">
        <v>11</v>
      </c>
      <c r="C14" s="62"/>
      <c r="D14" s="15" t="s">
        <v>12</v>
      </c>
      <c r="E14" s="47">
        <v>143</v>
      </c>
      <c r="F14" s="47">
        <v>142</v>
      </c>
      <c r="G14" s="47">
        <v>147</v>
      </c>
      <c r="H14" s="47">
        <v>115</v>
      </c>
      <c r="I14" s="47">
        <v>127</v>
      </c>
      <c r="J14" s="47">
        <v>132</v>
      </c>
      <c r="K14" s="47">
        <v>135</v>
      </c>
      <c r="L14" s="47">
        <v>139</v>
      </c>
      <c r="M14" s="13">
        <f t="shared" ref="M14:M16" si="0">SUM(E14:L14)</f>
        <v>1080</v>
      </c>
    </row>
    <row r="15" spans="1:13" ht="12.75" customHeight="1" x14ac:dyDescent="0.4">
      <c r="A15" s="14"/>
      <c r="B15" s="63"/>
      <c r="C15" s="64"/>
      <c r="D15" s="15" t="s">
        <v>13</v>
      </c>
      <c r="E15" s="47">
        <v>147</v>
      </c>
      <c r="F15" s="47">
        <v>139</v>
      </c>
      <c r="G15" s="47">
        <v>121</v>
      </c>
      <c r="H15" s="47">
        <v>123</v>
      </c>
      <c r="I15" s="47">
        <v>130</v>
      </c>
      <c r="J15" s="47">
        <v>136</v>
      </c>
      <c r="K15" s="47">
        <v>141</v>
      </c>
      <c r="L15" s="47">
        <v>148</v>
      </c>
      <c r="M15" s="13">
        <f t="shared" si="0"/>
        <v>1085</v>
      </c>
    </row>
    <row r="16" spans="1:13" ht="12.75" customHeight="1" x14ac:dyDescent="0.4">
      <c r="A16" s="17"/>
      <c r="B16" s="59"/>
      <c r="C16" s="65"/>
      <c r="D16" s="13" t="s">
        <v>14</v>
      </c>
      <c r="E16" s="48">
        <f t="shared" ref="E16:L16" si="1">SUM(E14:E15)</f>
        <v>290</v>
      </c>
      <c r="F16" s="48">
        <f t="shared" si="1"/>
        <v>281</v>
      </c>
      <c r="G16" s="48">
        <f t="shared" si="1"/>
        <v>268</v>
      </c>
      <c r="H16" s="48">
        <f t="shared" si="1"/>
        <v>238</v>
      </c>
      <c r="I16" s="48">
        <f t="shared" si="1"/>
        <v>257</v>
      </c>
      <c r="J16" s="48">
        <f t="shared" si="1"/>
        <v>268</v>
      </c>
      <c r="K16" s="48">
        <f t="shared" si="1"/>
        <v>276</v>
      </c>
      <c r="L16" s="48">
        <f t="shared" si="1"/>
        <v>287</v>
      </c>
      <c r="M16" s="13">
        <f t="shared" si="0"/>
        <v>2165</v>
      </c>
    </row>
    <row r="17" spans="1:13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3"/>
    </row>
    <row r="18" spans="1:13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3"/>
    </row>
    <row r="19" spans="1:13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117</v>
      </c>
      <c r="F19" s="47">
        <v>103</v>
      </c>
      <c r="G19" s="47">
        <v>125</v>
      </c>
      <c r="H19" s="47">
        <v>102</v>
      </c>
      <c r="I19" s="47">
        <v>110</v>
      </c>
      <c r="J19" s="47">
        <v>119</v>
      </c>
      <c r="K19" s="47">
        <v>109</v>
      </c>
      <c r="L19" s="47">
        <v>115</v>
      </c>
      <c r="M19" s="13">
        <f t="shared" ref="M19:M30" si="2">SUM(E19:L19)</f>
        <v>900</v>
      </c>
    </row>
    <row r="20" spans="1:13" ht="12.75" customHeight="1" x14ac:dyDescent="0.4">
      <c r="A20" s="20"/>
      <c r="B20" s="64"/>
      <c r="C20" s="68"/>
      <c r="D20" s="15" t="s">
        <v>13</v>
      </c>
      <c r="E20" s="47">
        <v>123</v>
      </c>
      <c r="F20" s="47">
        <v>111</v>
      </c>
      <c r="G20" s="47">
        <v>108</v>
      </c>
      <c r="H20" s="47">
        <v>102</v>
      </c>
      <c r="I20" s="47">
        <v>117</v>
      </c>
      <c r="J20" s="47">
        <v>99</v>
      </c>
      <c r="K20" s="47">
        <v>119</v>
      </c>
      <c r="L20" s="47">
        <v>127</v>
      </c>
      <c r="M20" s="13">
        <f t="shared" si="2"/>
        <v>906</v>
      </c>
    </row>
    <row r="21" spans="1:13" ht="12.75" customHeight="1" x14ac:dyDescent="0.4">
      <c r="A21" s="21"/>
      <c r="B21" s="65"/>
      <c r="C21" s="69"/>
      <c r="D21" s="13" t="s">
        <v>14</v>
      </c>
      <c r="E21" s="48">
        <f t="shared" ref="E21:L21" si="3">SUM(E19:E20)</f>
        <v>240</v>
      </c>
      <c r="F21" s="48">
        <f t="shared" si="3"/>
        <v>214</v>
      </c>
      <c r="G21" s="48">
        <f t="shared" si="3"/>
        <v>233</v>
      </c>
      <c r="H21" s="48">
        <f t="shared" si="3"/>
        <v>204</v>
      </c>
      <c r="I21" s="48">
        <f t="shared" si="3"/>
        <v>227</v>
      </c>
      <c r="J21" s="48">
        <f t="shared" si="3"/>
        <v>218</v>
      </c>
      <c r="K21" s="48">
        <f t="shared" si="3"/>
        <v>228</v>
      </c>
      <c r="L21" s="48">
        <f t="shared" si="3"/>
        <v>242</v>
      </c>
      <c r="M21" s="13">
        <f t="shared" si="2"/>
        <v>1806</v>
      </c>
    </row>
    <row r="22" spans="1:13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1</v>
      </c>
      <c r="G22" s="47">
        <v>0</v>
      </c>
      <c r="H22" s="47">
        <v>0</v>
      </c>
      <c r="I22" s="47">
        <v>0</v>
      </c>
      <c r="J22" s="47">
        <v>1</v>
      </c>
      <c r="K22" s="47">
        <v>1</v>
      </c>
      <c r="L22" s="47">
        <v>0</v>
      </c>
      <c r="M22" s="13">
        <f t="shared" si="2"/>
        <v>3</v>
      </c>
    </row>
    <row r="23" spans="1:13" ht="12.75" customHeight="1" x14ac:dyDescent="0.4">
      <c r="A23" s="20"/>
      <c r="B23" s="64"/>
      <c r="C23" s="68"/>
      <c r="D23" s="15" t="s">
        <v>13</v>
      </c>
      <c r="E23" s="47">
        <v>0</v>
      </c>
      <c r="F23" s="47">
        <v>1</v>
      </c>
      <c r="G23" s="47">
        <v>1</v>
      </c>
      <c r="H23" s="47">
        <v>0</v>
      </c>
      <c r="I23" s="47">
        <v>0</v>
      </c>
      <c r="J23" s="47">
        <v>0</v>
      </c>
      <c r="K23" s="47">
        <v>1</v>
      </c>
      <c r="L23" s="47">
        <v>0</v>
      </c>
      <c r="M23" s="13">
        <f t="shared" si="2"/>
        <v>3</v>
      </c>
    </row>
    <row r="24" spans="1:13" ht="12.75" customHeight="1" x14ac:dyDescent="0.4">
      <c r="A24" s="21"/>
      <c r="B24" s="65"/>
      <c r="C24" s="69"/>
      <c r="D24" s="13" t="s">
        <v>14</v>
      </c>
      <c r="E24" s="48">
        <f t="shared" ref="E24:L24" si="4">SUM(E22:E23)</f>
        <v>0</v>
      </c>
      <c r="F24" s="48">
        <f t="shared" si="4"/>
        <v>2</v>
      </c>
      <c r="G24" s="48">
        <f t="shared" si="4"/>
        <v>1</v>
      </c>
      <c r="H24" s="48">
        <f t="shared" si="4"/>
        <v>0</v>
      </c>
      <c r="I24" s="48">
        <f t="shared" si="4"/>
        <v>0</v>
      </c>
      <c r="J24" s="48">
        <f t="shared" si="4"/>
        <v>1</v>
      </c>
      <c r="K24" s="48">
        <f t="shared" si="4"/>
        <v>2</v>
      </c>
      <c r="L24" s="48">
        <f t="shared" si="4"/>
        <v>0</v>
      </c>
      <c r="M24" s="13">
        <f t="shared" si="2"/>
        <v>6</v>
      </c>
    </row>
    <row r="25" spans="1:13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1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13">
        <f t="shared" si="2"/>
        <v>1</v>
      </c>
    </row>
    <row r="26" spans="1:13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2</v>
      </c>
      <c r="G26" s="47">
        <v>0</v>
      </c>
      <c r="H26" s="47">
        <v>0</v>
      </c>
      <c r="I26" s="47">
        <v>0</v>
      </c>
      <c r="J26" s="47">
        <v>1</v>
      </c>
      <c r="K26" s="47">
        <v>0</v>
      </c>
      <c r="L26" s="47">
        <v>0</v>
      </c>
      <c r="M26" s="13">
        <f t="shared" si="2"/>
        <v>3</v>
      </c>
    </row>
    <row r="27" spans="1:13" ht="12.75" customHeight="1" x14ac:dyDescent="0.4">
      <c r="A27" s="21"/>
      <c r="B27" s="65"/>
      <c r="C27" s="69"/>
      <c r="D27" s="13" t="s">
        <v>14</v>
      </c>
      <c r="E27" s="48">
        <f t="shared" ref="E27:L27" si="5">SUM(E25:E26)</f>
        <v>0</v>
      </c>
      <c r="F27" s="48">
        <f t="shared" si="5"/>
        <v>3</v>
      </c>
      <c r="G27" s="48">
        <f t="shared" si="5"/>
        <v>0</v>
      </c>
      <c r="H27" s="48">
        <f t="shared" si="5"/>
        <v>0</v>
      </c>
      <c r="I27" s="48">
        <f t="shared" si="5"/>
        <v>0</v>
      </c>
      <c r="J27" s="48">
        <f t="shared" si="5"/>
        <v>1</v>
      </c>
      <c r="K27" s="48">
        <f t="shared" si="5"/>
        <v>0</v>
      </c>
      <c r="L27" s="48">
        <f t="shared" si="5"/>
        <v>0</v>
      </c>
      <c r="M27" s="13">
        <f t="shared" si="2"/>
        <v>4</v>
      </c>
    </row>
    <row r="28" spans="1:13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v>117</v>
      </c>
      <c r="F28" s="48">
        <v>105</v>
      </c>
      <c r="G28" s="48">
        <v>125</v>
      </c>
      <c r="H28" s="48">
        <v>102</v>
      </c>
      <c r="I28" s="48">
        <v>110</v>
      </c>
      <c r="J28" s="48">
        <v>120</v>
      </c>
      <c r="K28" s="48">
        <v>110</v>
      </c>
      <c r="L28" s="48">
        <v>115</v>
      </c>
      <c r="M28" s="13">
        <f t="shared" si="2"/>
        <v>904</v>
      </c>
    </row>
    <row r="29" spans="1:13" ht="12.75" customHeight="1" x14ac:dyDescent="0.4">
      <c r="A29" s="21"/>
      <c r="B29" s="64"/>
      <c r="C29" s="68"/>
      <c r="D29" s="13" t="s">
        <v>13</v>
      </c>
      <c r="E29" s="48">
        <v>123</v>
      </c>
      <c r="F29" s="48">
        <v>114</v>
      </c>
      <c r="G29" s="48">
        <v>109</v>
      </c>
      <c r="H29" s="48">
        <v>102</v>
      </c>
      <c r="I29" s="48">
        <v>117</v>
      </c>
      <c r="J29" s="48">
        <v>100</v>
      </c>
      <c r="K29" s="48">
        <v>120</v>
      </c>
      <c r="L29" s="48">
        <v>127</v>
      </c>
      <c r="M29" s="13">
        <f t="shared" si="2"/>
        <v>912</v>
      </c>
    </row>
    <row r="30" spans="1:13" ht="12.75" customHeight="1" x14ac:dyDescent="0.4">
      <c r="A30" s="21"/>
      <c r="B30" s="65"/>
      <c r="C30" s="69"/>
      <c r="D30" s="13" t="s">
        <v>14</v>
      </c>
      <c r="E30" s="50">
        <f t="shared" ref="E30:L30" si="6">SUM(E28:E29)</f>
        <v>240</v>
      </c>
      <c r="F30" s="50">
        <f t="shared" si="6"/>
        <v>219</v>
      </c>
      <c r="G30" s="50">
        <f t="shared" si="6"/>
        <v>234</v>
      </c>
      <c r="H30" s="50">
        <f t="shared" si="6"/>
        <v>204</v>
      </c>
      <c r="I30" s="50">
        <f t="shared" si="6"/>
        <v>227</v>
      </c>
      <c r="J30" s="50">
        <f t="shared" si="6"/>
        <v>220</v>
      </c>
      <c r="K30" s="50">
        <f t="shared" si="6"/>
        <v>230</v>
      </c>
      <c r="L30" s="50">
        <f t="shared" si="6"/>
        <v>242</v>
      </c>
      <c r="M30" s="13">
        <f t="shared" si="2"/>
        <v>1816</v>
      </c>
    </row>
    <row r="31" spans="1:13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3"/>
    </row>
    <row r="32" spans="1:13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3"/>
    </row>
    <row r="33" spans="1:13" ht="12.75" customHeight="1" x14ac:dyDescent="0.4">
      <c r="A33" s="15">
        <v>1</v>
      </c>
      <c r="B33" s="60" t="s">
        <v>27</v>
      </c>
      <c r="C33" s="54"/>
      <c r="D33" s="55"/>
      <c r="E33" s="47">
        <v>297</v>
      </c>
      <c r="F33" s="47">
        <v>287</v>
      </c>
      <c r="G33" s="47">
        <v>274</v>
      </c>
      <c r="H33" s="47">
        <v>243</v>
      </c>
      <c r="I33" s="47">
        <v>263</v>
      </c>
      <c r="J33" s="47">
        <v>274</v>
      </c>
      <c r="K33" s="47">
        <v>282</v>
      </c>
      <c r="L33" s="47">
        <v>293</v>
      </c>
      <c r="M33" s="13">
        <f t="shared" ref="M33:M36" si="7">SUM(E33:L33)</f>
        <v>2213</v>
      </c>
    </row>
    <row r="34" spans="1:13" ht="12.75" customHeight="1" x14ac:dyDescent="0.4">
      <c r="A34" s="15">
        <v>2</v>
      </c>
      <c r="B34" s="60" t="s">
        <v>28</v>
      </c>
      <c r="C34" s="54"/>
      <c r="D34" s="55"/>
      <c r="E34" s="51">
        <v>240</v>
      </c>
      <c r="F34" s="51">
        <v>219</v>
      </c>
      <c r="G34" s="51">
        <v>234</v>
      </c>
      <c r="H34" s="51">
        <v>204</v>
      </c>
      <c r="I34" s="51">
        <v>227</v>
      </c>
      <c r="J34" s="51">
        <v>220</v>
      </c>
      <c r="K34" s="51">
        <v>230</v>
      </c>
      <c r="L34" s="51">
        <v>242</v>
      </c>
      <c r="M34" s="13">
        <f t="shared" si="7"/>
        <v>1816</v>
      </c>
    </row>
    <row r="35" spans="1:13" ht="12.75" customHeight="1" x14ac:dyDescent="0.4">
      <c r="A35" s="15">
        <v>3</v>
      </c>
      <c r="B35" s="60" t="s">
        <v>29</v>
      </c>
      <c r="C35" s="54"/>
      <c r="D35" s="55"/>
      <c r="E35" s="47">
        <v>0</v>
      </c>
      <c r="F35" s="47">
        <v>0</v>
      </c>
      <c r="G35" s="47">
        <v>3</v>
      </c>
      <c r="H35" s="47">
        <v>0</v>
      </c>
      <c r="I35" s="47">
        <v>0</v>
      </c>
      <c r="J35" s="47">
        <v>2</v>
      </c>
      <c r="K35" s="47">
        <v>1</v>
      </c>
      <c r="L35" s="47">
        <v>1</v>
      </c>
      <c r="M35" s="13">
        <f t="shared" si="7"/>
        <v>7</v>
      </c>
    </row>
    <row r="36" spans="1:13" ht="12.75" customHeight="1" x14ac:dyDescent="0.4">
      <c r="A36" s="15">
        <v>4</v>
      </c>
      <c r="B36" s="60" t="s">
        <v>30</v>
      </c>
      <c r="C36" s="54"/>
      <c r="D36" s="55"/>
      <c r="E36" s="48">
        <f t="shared" ref="E36:L36" si="8">E33-(E34+E35)</f>
        <v>57</v>
      </c>
      <c r="F36" s="48">
        <f t="shared" si="8"/>
        <v>68</v>
      </c>
      <c r="G36" s="48">
        <f t="shared" si="8"/>
        <v>37</v>
      </c>
      <c r="H36" s="48">
        <f t="shared" si="8"/>
        <v>39</v>
      </c>
      <c r="I36" s="48">
        <f t="shared" si="8"/>
        <v>36</v>
      </c>
      <c r="J36" s="48">
        <f t="shared" si="8"/>
        <v>52</v>
      </c>
      <c r="K36" s="48">
        <f t="shared" si="8"/>
        <v>51</v>
      </c>
      <c r="L36" s="48">
        <f t="shared" si="8"/>
        <v>50</v>
      </c>
      <c r="M36" s="13">
        <f t="shared" si="7"/>
        <v>390</v>
      </c>
    </row>
    <row r="37" spans="1:13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3"/>
    </row>
    <row r="38" spans="1:13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3"/>
    </row>
    <row r="39" spans="1:13" ht="12.75" customHeight="1" x14ac:dyDescent="0.4">
      <c r="A39" s="19"/>
      <c r="B39" s="73" t="s">
        <v>33</v>
      </c>
      <c r="C39" s="62"/>
      <c r="D39" s="15" t="s">
        <v>12</v>
      </c>
      <c r="E39" s="47">
        <v>1</v>
      </c>
      <c r="F39" s="47">
        <v>0</v>
      </c>
      <c r="G39" s="47">
        <v>0</v>
      </c>
      <c r="H39" s="47">
        <v>1</v>
      </c>
      <c r="I39" s="47">
        <v>0</v>
      </c>
      <c r="J39" s="47">
        <v>0</v>
      </c>
      <c r="K39" s="47">
        <v>0</v>
      </c>
      <c r="L39" s="47">
        <v>1</v>
      </c>
      <c r="M39" s="13">
        <f t="shared" ref="M39:M41" si="9">SUM(E39:L39)</f>
        <v>3</v>
      </c>
    </row>
    <row r="40" spans="1:13" ht="12.75" customHeight="1" x14ac:dyDescent="0.4">
      <c r="A40" s="20"/>
      <c r="B40" s="74"/>
      <c r="C40" s="64"/>
      <c r="D40" s="15" t="s">
        <v>13</v>
      </c>
      <c r="E40" s="47">
        <v>0</v>
      </c>
      <c r="F40" s="47">
        <v>0</v>
      </c>
      <c r="G40" s="47">
        <v>0</v>
      </c>
      <c r="H40" s="47">
        <v>3</v>
      </c>
      <c r="I40" s="47">
        <v>0</v>
      </c>
      <c r="J40" s="47">
        <v>2</v>
      </c>
      <c r="K40" s="47">
        <v>1</v>
      </c>
      <c r="L40" s="47">
        <v>4</v>
      </c>
      <c r="M40" s="13">
        <f t="shared" si="9"/>
        <v>10</v>
      </c>
    </row>
    <row r="41" spans="1:13" ht="12.75" customHeight="1" x14ac:dyDescent="0.4">
      <c r="A41" s="24"/>
      <c r="B41" s="75"/>
      <c r="C41" s="65"/>
      <c r="D41" s="13" t="s">
        <v>14</v>
      </c>
      <c r="E41" s="13">
        <f t="shared" ref="E41:L41" si="10">SUM(E39:E40)</f>
        <v>1</v>
      </c>
      <c r="F41" s="13">
        <f t="shared" si="10"/>
        <v>0</v>
      </c>
      <c r="G41" s="13">
        <f t="shared" si="10"/>
        <v>0</v>
      </c>
      <c r="H41" s="13">
        <f t="shared" si="10"/>
        <v>4</v>
      </c>
      <c r="I41" s="13">
        <f t="shared" si="10"/>
        <v>0</v>
      </c>
      <c r="J41" s="13">
        <f t="shared" si="10"/>
        <v>2</v>
      </c>
      <c r="K41" s="13">
        <f t="shared" si="10"/>
        <v>1</v>
      </c>
      <c r="L41" s="13">
        <f t="shared" si="10"/>
        <v>5</v>
      </c>
      <c r="M41" s="13">
        <f t="shared" si="9"/>
        <v>13</v>
      </c>
    </row>
    <row r="42" spans="1:13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3"/>
    </row>
    <row r="43" spans="1:13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3"/>
    </row>
    <row r="44" spans="1:13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3"/>
    </row>
    <row r="45" spans="1:13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1</v>
      </c>
      <c r="F45" s="15">
        <v>4</v>
      </c>
      <c r="G45" s="15">
        <v>7</v>
      </c>
      <c r="H45" s="15">
        <v>3</v>
      </c>
      <c r="I45" s="15">
        <v>1</v>
      </c>
      <c r="J45" s="15">
        <v>8</v>
      </c>
      <c r="K45" s="15">
        <v>7</v>
      </c>
      <c r="L45" s="15">
        <v>7</v>
      </c>
      <c r="M45" s="13">
        <f t="shared" ref="M45:M79" si="11">SUM(E45:L45)</f>
        <v>38</v>
      </c>
    </row>
    <row r="46" spans="1:13" ht="12.75" customHeight="1" x14ac:dyDescent="0.4">
      <c r="A46" s="19" t="s">
        <v>39</v>
      </c>
      <c r="B46" s="27"/>
      <c r="C46" s="28" t="s">
        <v>40</v>
      </c>
      <c r="D46" s="29"/>
      <c r="E46" s="15">
        <v>24</v>
      </c>
      <c r="F46" s="15">
        <v>34</v>
      </c>
      <c r="G46" s="15">
        <v>33</v>
      </c>
      <c r="H46" s="15">
        <v>16</v>
      </c>
      <c r="I46" s="15">
        <v>5</v>
      </c>
      <c r="J46" s="15">
        <v>13</v>
      </c>
      <c r="K46" s="15">
        <v>12</v>
      </c>
      <c r="L46" s="15">
        <v>36</v>
      </c>
      <c r="M46" s="13">
        <f t="shared" si="11"/>
        <v>173</v>
      </c>
    </row>
    <row r="47" spans="1:13" ht="12.75" customHeight="1" x14ac:dyDescent="0.4">
      <c r="A47" s="14"/>
      <c r="B47" s="27"/>
      <c r="C47" s="28" t="s">
        <v>41</v>
      </c>
      <c r="D47" s="29"/>
      <c r="E47" s="15">
        <v>1</v>
      </c>
      <c r="F47" s="15">
        <v>0</v>
      </c>
      <c r="G47" s="15">
        <v>1</v>
      </c>
      <c r="H47" s="15">
        <v>1</v>
      </c>
      <c r="I47" s="15">
        <v>0</v>
      </c>
      <c r="J47" s="15">
        <v>1</v>
      </c>
      <c r="K47" s="15">
        <v>0</v>
      </c>
      <c r="L47" s="15"/>
      <c r="M47" s="13">
        <f t="shared" si="11"/>
        <v>4</v>
      </c>
    </row>
    <row r="48" spans="1:13" ht="12.75" customHeight="1" x14ac:dyDescent="0.4">
      <c r="A48" s="14"/>
      <c r="B48" s="27"/>
      <c r="C48" s="28" t="s">
        <v>42</v>
      </c>
      <c r="D48" s="29"/>
      <c r="E48" s="15">
        <v>2</v>
      </c>
      <c r="F48" s="15">
        <v>2</v>
      </c>
      <c r="G48" s="15">
        <v>0</v>
      </c>
      <c r="H48" s="15">
        <v>0</v>
      </c>
      <c r="I48" s="15">
        <v>0</v>
      </c>
      <c r="J48" s="15">
        <v>0</v>
      </c>
      <c r="K48" s="15">
        <v>1</v>
      </c>
      <c r="L48" s="15">
        <v>2</v>
      </c>
      <c r="M48" s="13">
        <f t="shared" si="11"/>
        <v>7</v>
      </c>
    </row>
    <row r="49" spans="1:13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/>
      <c r="L49" s="15">
        <v>1</v>
      </c>
      <c r="M49" s="13">
        <f t="shared" si="11"/>
        <v>1</v>
      </c>
    </row>
    <row r="50" spans="1:13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/>
      <c r="L50" s="15"/>
      <c r="M50" s="13">
        <f t="shared" si="11"/>
        <v>0</v>
      </c>
    </row>
    <row r="51" spans="1:13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1</v>
      </c>
      <c r="H51" s="15">
        <v>0</v>
      </c>
      <c r="I51" s="15">
        <v>0</v>
      </c>
      <c r="J51" s="15"/>
      <c r="K51" s="15"/>
      <c r="L51" s="15">
        <v>1</v>
      </c>
      <c r="M51" s="13">
        <f t="shared" si="11"/>
        <v>2</v>
      </c>
    </row>
    <row r="52" spans="1:13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L52" si="12">SUM(E45:E51)</f>
        <v>28</v>
      </c>
      <c r="F52" s="13">
        <f t="shared" si="12"/>
        <v>40</v>
      </c>
      <c r="G52" s="13">
        <f t="shared" si="12"/>
        <v>42</v>
      </c>
      <c r="H52" s="13">
        <f t="shared" si="12"/>
        <v>20</v>
      </c>
      <c r="I52" s="13">
        <f t="shared" si="12"/>
        <v>6</v>
      </c>
      <c r="J52" s="13">
        <f t="shared" si="12"/>
        <v>22</v>
      </c>
      <c r="K52" s="13">
        <f t="shared" si="12"/>
        <v>20</v>
      </c>
      <c r="L52" s="13">
        <f t="shared" si="12"/>
        <v>47</v>
      </c>
      <c r="M52" s="13">
        <f t="shared" si="11"/>
        <v>225</v>
      </c>
    </row>
    <row r="53" spans="1:13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3">
        <f t="shared" si="11"/>
        <v>0</v>
      </c>
    </row>
    <row r="54" spans="1:13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3</v>
      </c>
      <c r="F54" s="15">
        <v>1</v>
      </c>
      <c r="G54" s="15">
        <v>10</v>
      </c>
      <c r="H54" s="15">
        <v>2</v>
      </c>
      <c r="I54" s="15">
        <v>2</v>
      </c>
      <c r="J54" s="15">
        <v>1</v>
      </c>
      <c r="K54" s="15">
        <v>2</v>
      </c>
      <c r="L54" s="15">
        <v>3</v>
      </c>
      <c r="M54" s="13">
        <f t="shared" si="11"/>
        <v>24</v>
      </c>
    </row>
    <row r="55" spans="1:13" ht="12.75" customHeight="1" x14ac:dyDescent="0.4">
      <c r="A55" s="19" t="s">
        <v>39</v>
      </c>
      <c r="B55" s="27"/>
      <c r="C55" s="28" t="s">
        <v>48</v>
      </c>
      <c r="D55" s="29"/>
      <c r="E55" s="15">
        <v>1</v>
      </c>
      <c r="F55" s="15">
        <v>2</v>
      </c>
      <c r="G55" s="15">
        <v>0</v>
      </c>
      <c r="H55" s="15">
        <v>0</v>
      </c>
      <c r="I55" s="15">
        <v>0</v>
      </c>
      <c r="J55" s="15">
        <v>0</v>
      </c>
      <c r="K55" s="15">
        <v>1</v>
      </c>
      <c r="L55" s="15">
        <v>2</v>
      </c>
      <c r="M55" s="13">
        <f t="shared" si="11"/>
        <v>6</v>
      </c>
    </row>
    <row r="56" spans="1:13" ht="12.75" customHeight="1" x14ac:dyDescent="0.4">
      <c r="A56" s="14"/>
      <c r="B56" s="27"/>
      <c r="C56" s="28" t="s">
        <v>49</v>
      </c>
      <c r="D56" s="29"/>
      <c r="E56" s="15">
        <v>1</v>
      </c>
      <c r="F56" s="15">
        <v>2</v>
      </c>
      <c r="G56" s="15">
        <v>1</v>
      </c>
      <c r="H56" s="15">
        <v>0</v>
      </c>
      <c r="I56" s="15">
        <v>0</v>
      </c>
      <c r="J56" s="15">
        <v>2</v>
      </c>
      <c r="K56" s="15">
        <v>2</v>
      </c>
      <c r="L56" s="15"/>
      <c r="M56" s="13">
        <f t="shared" si="11"/>
        <v>8</v>
      </c>
    </row>
    <row r="57" spans="1:13" ht="12.75" customHeight="1" x14ac:dyDescent="0.4">
      <c r="A57" s="14"/>
      <c r="B57" s="27"/>
      <c r="C57" s="28" t="s">
        <v>50</v>
      </c>
      <c r="D57" s="29"/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/>
      <c r="K57" s="15"/>
      <c r="L57" s="15">
        <v>1</v>
      </c>
      <c r="M57" s="13">
        <f t="shared" si="11"/>
        <v>1</v>
      </c>
    </row>
    <row r="58" spans="1:13" ht="12.75" customHeight="1" x14ac:dyDescent="0.4">
      <c r="A58" s="14"/>
      <c r="B58" s="27"/>
      <c r="C58" s="28" t="s">
        <v>51</v>
      </c>
      <c r="D58" s="29"/>
      <c r="E58" s="15">
        <v>2</v>
      </c>
      <c r="F58" s="15">
        <v>0</v>
      </c>
      <c r="G58" s="15">
        <v>7</v>
      </c>
      <c r="H58" s="15">
        <v>0</v>
      </c>
      <c r="I58" s="15">
        <v>0</v>
      </c>
      <c r="J58" s="15">
        <v>3</v>
      </c>
      <c r="K58" s="15"/>
      <c r="L58" s="15"/>
      <c r="M58" s="13">
        <f t="shared" si="11"/>
        <v>12</v>
      </c>
    </row>
    <row r="59" spans="1:13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3">
        <f t="shared" si="11"/>
        <v>0</v>
      </c>
    </row>
    <row r="60" spans="1:13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1</v>
      </c>
      <c r="G60" s="15">
        <v>2</v>
      </c>
      <c r="H60" s="15">
        <v>5</v>
      </c>
      <c r="I60" s="15">
        <v>1</v>
      </c>
      <c r="J60" s="15">
        <v>0</v>
      </c>
      <c r="K60" s="15">
        <v>1</v>
      </c>
      <c r="L60" s="15">
        <v>2</v>
      </c>
      <c r="M60" s="13">
        <f t="shared" si="11"/>
        <v>12</v>
      </c>
    </row>
    <row r="61" spans="1:13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L61" si="13">SUM(E54:E60)</f>
        <v>7</v>
      </c>
      <c r="F61" s="13">
        <f t="shared" si="13"/>
        <v>6</v>
      </c>
      <c r="G61" s="13">
        <f t="shared" si="13"/>
        <v>20</v>
      </c>
      <c r="H61" s="13">
        <f t="shared" si="13"/>
        <v>7</v>
      </c>
      <c r="I61" s="13">
        <f t="shared" si="13"/>
        <v>3</v>
      </c>
      <c r="J61" s="13">
        <f t="shared" si="13"/>
        <v>6</v>
      </c>
      <c r="K61" s="13">
        <f t="shared" si="13"/>
        <v>6</v>
      </c>
      <c r="L61" s="13">
        <f t="shared" si="13"/>
        <v>8</v>
      </c>
      <c r="M61" s="13">
        <f t="shared" si="11"/>
        <v>63</v>
      </c>
    </row>
    <row r="62" spans="1:13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3">
        <f t="shared" si="11"/>
        <v>0</v>
      </c>
    </row>
    <row r="63" spans="1:13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1</v>
      </c>
      <c r="F63" s="15">
        <v>5</v>
      </c>
      <c r="G63" s="15">
        <v>6</v>
      </c>
      <c r="H63" s="15">
        <v>1</v>
      </c>
      <c r="I63" s="15">
        <v>0</v>
      </c>
      <c r="J63" s="15">
        <v>1</v>
      </c>
      <c r="K63" s="15">
        <v>7</v>
      </c>
      <c r="L63" s="15">
        <v>7</v>
      </c>
      <c r="M63" s="13">
        <f t="shared" si="11"/>
        <v>28</v>
      </c>
    </row>
    <row r="64" spans="1:13" ht="12.75" customHeight="1" x14ac:dyDescent="0.4">
      <c r="A64" s="19" t="s">
        <v>39</v>
      </c>
      <c r="B64" s="27"/>
      <c r="C64" s="28" t="s">
        <v>55</v>
      </c>
      <c r="D64" s="29"/>
      <c r="E64" s="15">
        <v>4</v>
      </c>
      <c r="F64" s="15">
        <v>1</v>
      </c>
      <c r="G64" s="15">
        <v>1</v>
      </c>
      <c r="H64" s="15">
        <v>1</v>
      </c>
      <c r="I64" s="15">
        <v>3</v>
      </c>
      <c r="J64" s="15">
        <v>1</v>
      </c>
      <c r="K64" s="15">
        <v>6</v>
      </c>
      <c r="L64" s="15">
        <v>7</v>
      </c>
      <c r="M64" s="13">
        <f t="shared" si="11"/>
        <v>24</v>
      </c>
    </row>
    <row r="65" spans="1:13" ht="12.75" customHeight="1" x14ac:dyDescent="0.4">
      <c r="A65" s="14"/>
      <c r="B65" s="27"/>
      <c r="C65" s="28" t="s">
        <v>56</v>
      </c>
      <c r="D65" s="29"/>
      <c r="E65" s="15">
        <v>1</v>
      </c>
      <c r="F65" s="15">
        <v>0</v>
      </c>
      <c r="G65" s="15">
        <v>0</v>
      </c>
      <c r="H65" s="15">
        <v>0</v>
      </c>
      <c r="I65" s="15">
        <v>0</v>
      </c>
      <c r="J65" s="15">
        <v>1</v>
      </c>
      <c r="K65" s="15"/>
      <c r="L65" s="15">
        <v>1</v>
      </c>
      <c r="M65" s="13">
        <f t="shared" si="11"/>
        <v>3</v>
      </c>
    </row>
    <row r="66" spans="1:13" ht="12.75" customHeight="1" x14ac:dyDescent="0.4">
      <c r="A66" s="14"/>
      <c r="B66" s="27"/>
      <c r="C66" s="28" t="s">
        <v>57</v>
      </c>
      <c r="D66" s="29"/>
      <c r="E66" s="15">
        <v>18</v>
      </c>
      <c r="F66" s="15">
        <v>8</v>
      </c>
      <c r="G66" s="15">
        <v>12</v>
      </c>
      <c r="H66" s="15">
        <v>10</v>
      </c>
      <c r="I66" s="15">
        <v>11</v>
      </c>
      <c r="J66" s="15">
        <v>20</v>
      </c>
      <c r="K66" s="15">
        <v>16</v>
      </c>
      <c r="L66" s="15">
        <v>51</v>
      </c>
      <c r="M66" s="13">
        <f t="shared" si="11"/>
        <v>146</v>
      </c>
    </row>
    <row r="67" spans="1:13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1</v>
      </c>
      <c r="H67" s="15">
        <v>0</v>
      </c>
      <c r="I67" s="15">
        <v>1</v>
      </c>
      <c r="J67" s="15">
        <v>1</v>
      </c>
      <c r="K67" s="15">
        <v>0</v>
      </c>
      <c r="L67" s="15"/>
      <c r="M67" s="13">
        <f t="shared" si="11"/>
        <v>3</v>
      </c>
    </row>
    <row r="68" spans="1:13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1</v>
      </c>
      <c r="K68" s="15">
        <v>1</v>
      </c>
      <c r="L68" s="15"/>
      <c r="M68" s="13">
        <f t="shared" si="11"/>
        <v>2</v>
      </c>
    </row>
    <row r="69" spans="1:13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1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3">
        <f t="shared" si="11"/>
        <v>1</v>
      </c>
    </row>
    <row r="70" spans="1:13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L70" si="14">SUM(E63:E69)</f>
        <v>24</v>
      </c>
      <c r="F70" s="13">
        <f t="shared" si="14"/>
        <v>15</v>
      </c>
      <c r="G70" s="13">
        <f t="shared" si="14"/>
        <v>20</v>
      </c>
      <c r="H70" s="13">
        <f t="shared" si="14"/>
        <v>12</v>
      </c>
      <c r="I70" s="13">
        <f t="shared" si="14"/>
        <v>15</v>
      </c>
      <c r="J70" s="13">
        <f t="shared" si="14"/>
        <v>25</v>
      </c>
      <c r="K70" s="13">
        <f t="shared" si="14"/>
        <v>30</v>
      </c>
      <c r="L70" s="13">
        <f t="shared" si="14"/>
        <v>66</v>
      </c>
      <c r="M70" s="13">
        <f t="shared" si="11"/>
        <v>207</v>
      </c>
    </row>
    <row r="71" spans="1:13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3">
        <f t="shared" si="11"/>
        <v>0</v>
      </c>
    </row>
    <row r="72" spans="1:13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13</v>
      </c>
      <c r="F72" s="15">
        <v>10</v>
      </c>
      <c r="G72" s="15">
        <v>10</v>
      </c>
      <c r="H72" s="15">
        <v>8</v>
      </c>
      <c r="I72" s="15">
        <v>5</v>
      </c>
      <c r="J72" s="15">
        <v>12</v>
      </c>
      <c r="K72" s="15">
        <v>16</v>
      </c>
      <c r="L72" s="15">
        <v>4</v>
      </c>
      <c r="M72" s="13">
        <f t="shared" si="11"/>
        <v>78</v>
      </c>
    </row>
    <row r="73" spans="1:13" ht="12.75" customHeight="1" x14ac:dyDescent="0.4">
      <c r="A73" s="19" t="s">
        <v>39</v>
      </c>
      <c r="B73" s="27"/>
      <c r="C73" s="28" t="s">
        <v>62</v>
      </c>
      <c r="D73" s="29"/>
      <c r="E73" s="15">
        <v>100</v>
      </c>
      <c r="F73" s="15">
        <v>80</v>
      </c>
      <c r="G73" s="15">
        <v>50</v>
      </c>
      <c r="H73" s="15">
        <v>91</v>
      </c>
      <c r="I73" s="15">
        <v>107</v>
      </c>
      <c r="J73" s="15">
        <v>129</v>
      </c>
      <c r="K73" s="15">
        <v>119</v>
      </c>
      <c r="L73" s="15">
        <v>83</v>
      </c>
      <c r="M73" s="13">
        <f t="shared" si="11"/>
        <v>759</v>
      </c>
    </row>
    <row r="74" spans="1:13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1</v>
      </c>
      <c r="G74" s="15">
        <v>0</v>
      </c>
      <c r="H74" s="15">
        <v>0</v>
      </c>
      <c r="I74" s="15">
        <v>0</v>
      </c>
      <c r="J74" s="15">
        <v>1</v>
      </c>
      <c r="K74" s="15"/>
      <c r="L74" s="15"/>
      <c r="M74" s="13">
        <f t="shared" si="11"/>
        <v>2</v>
      </c>
    </row>
    <row r="75" spans="1:13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1</v>
      </c>
      <c r="I75" s="15">
        <v>0</v>
      </c>
      <c r="J75" s="15">
        <v>0</v>
      </c>
      <c r="K75" s="15"/>
      <c r="L75" s="15">
        <v>2</v>
      </c>
      <c r="M75" s="13">
        <f t="shared" si="11"/>
        <v>3</v>
      </c>
    </row>
    <row r="76" spans="1:13" ht="12.75" customHeight="1" x14ac:dyDescent="0.4">
      <c r="A76" s="14"/>
      <c r="B76" s="27"/>
      <c r="C76" s="28" t="s">
        <v>65</v>
      </c>
      <c r="D76" s="29"/>
      <c r="E76" s="15">
        <v>0</v>
      </c>
      <c r="F76" s="15">
        <v>0</v>
      </c>
      <c r="G76" s="15">
        <v>0</v>
      </c>
      <c r="H76" s="15">
        <v>0</v>
      </c>
      <c r="I76" s="15">
        <v>1</v>
      </c>
      <c r="J76" s="15">
        <v>1</v>
      </c>
      <c r="K76" s="15"/>
      <c r="L76" s="15"/>
      <c r="M76" s="13">
        <f t="shared" si="11"/>
        <v>2</v>
      </c>
    </row>
    <row r="77" spans="1:13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3">
        <f t="shared" si="11"/>
        <v>0</v>
      </c>
    </row>
    <row r="78" spans="1:13" ht="12.75" customHeight="1" x14ac:dyDescent="0.4">
      <c r="A78" s="14"/>
      <c r="B78" s="27"/>
      <c r="C78" s="28" t="s">
        <v>67</v>
      </c>
      <c r="D78" s="29"/>
      <c r="E78" s="15">
        <v>0</v>
      </c>
      <c r="F78" s="15">
        <v>1</v>
      </c>
      <c r="G78" s="15">
        <v>0</v>
      </c>
      <c r="H78" s="15">
        <v>0</v>
      </c>
      <c r="I78" s="15">
        <v>1</v>
      </c>
      <c r="J78" s="15">
        <v>0</v>
      </c>
      <c r="K78" s="15">
        <v>1</v>
      </c>
      <c r="L78" s="15">
        <v>1</v>
      </c>
      <c r="M78" s="13">
        <f t="shared" si="11"/>
        <v>4</v>
      </c>
    </row>
    <row r="79" spans="1:13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L79" si="15">SUM(E72:E78)</f>
        <v>113</v>
      </c>
      <c r="F79" s="13">
        <f t="shared" si="15"/>
        <v>92</v>
      </c>
      <c r="G79" s="13">
        <f t="shared" si="15"/>
        <v>60</v>
      </c>
      <c r="H79" s="13">
        <f t="shared" si="15"/>
        <v>100</v>
      </c>
      <c r="I79" s="13">
        <f t="shared" si="15"/>
        <v>114</v>
      </c>
      <c r="J79" s="13">
        <f t="shared" si="15"/>
        <v>143</v>
      </c>
      <c r="K79" s="13">
        <f t="shared" si="15"/>
        <v>136</v>
      </c>
      <c r="L79" s="13">
        <f t="shared" si="15"/>
        <v>90</v>
      </c>
      <c r="M79" s="13">
        <f t="shared" si="11"/>
        <v>848</v>
      </c>
    </row>
    <row r="80" spans="1:13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3"/>
    </row>
    <row r="81" spans="1:13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1</v>
      </c>
      <c r="F81" s="15">
        <v>1</v>
      </c>
      <c r="G81" s="15">
        <v>1</v>
      </c>
      <c r="H81" s="15">
        <v>1</v>
      </c>
      <c r="I81" s="15">
        <v>1</v>
      </c>
      <c r="J81" s="15">
        <v>0</v>
      </c>
      <c r="K81" s="15">
        <v>0</v>
      </c>
      <c r="L81" s="15">
        <v>3</v>
      </c>
      <c r="M81" s="13">
        <f t="shared" ref="M81:M88" si="16">SUM(E81:L81)</f>
        <v>8</v>
      </c>
    </row>
    <row r="82" spans="1:13" ht="12.75" customHeight="1" x14ac:dyDescent="0.4">
      <c r="A82" s="19" t="s">
        <v>39</v>
      </c>
      <c r="B82" s="27"/>
      <c r="C82" s="28" t="s">
        <v>70</v>
      </c>
      <c r="D82" s="29"/>
      <c r="E82" s="15">
        <v>24</v>
      </c>
      <c r="F82" s="15">
        <v>9</v>
      </c>
      <c r="G82" s="15">
        <v>17</v>
      </c>
      <c r="H82" s="15">
        <v>33</v>
      </c>
      <c r="I82" s="15">
        <v>36</v>
      </c>
      <c r="J82" s="15">
        <v>0</v>
      </c>
      <c r="K82" s="15">
        <v>0</v>
      </c>
      <c r="L82" s="15"/>
      <c r="M82" s="13">
        <f t="shared" si="16"/>
        <v>119</v>
      </c>
    </row>
    <row r="83" spans="1:13" ht="12.75" customHeight="1" x14ac:dyDescent="0.4">
      <c r="A83" s="14"/>
      <c r="B83" s="27"/>
      <c r="C83" s="28" t="s">
        <v>71</v>
      </c>
      <c r="D83" s="29"/>
      <c r="E83" s="15">
        <v>1</v>
      </c>
      <c r="F83" s="15">
        <v>1</v>
      </c>
      <c r="G83" s="15">
        <v>0</v>
      </c>
      <c r="H83" s="15">
        <v>0</v>
      </c>
      <c r="I83" s="15">
        <v>1</v>
      </c>
      <c r="J83" s="15">
        <v>0</v>
      </c>
      <c r="K83" s="15">
        <v>0</v>
      </c>
      <c r="L83" s="15"/>
      <c r="M83" s="13">
        <f t="shared" si="16"/>
        <v>3</v>
      </c>
    </row>
    <row r="84" spans="1:13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/>
      <c r="K84" s="15"/>
      <c r="L84" s="15">
        <v>1</v>
      </c>
      <c r="M84" s="13">
        <f t="shared" si="16"/>
        <v>1</v>
      </c>
    </row>
    <row r="85" spans="1:13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/>
      <c r="K85" s="15"/>
      <c r="L85" s="15"/>
      <c r="M85" s="13">
        <f t="shared" si="16"/>
        <v>0</v>
      </c>
    </row>
    <row r="86" spans="1:13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>
        <v>2</v>
      </c>
      <c r="M86" s="13">
        <f t="shared" si="16"/>
        <v>3</v>
      </c>
    </row>
    <row r="87" spans="1:13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1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3">
        <f t="shared" si="16"/>
        <v>1</v>
      </c>
    </row>
    <row r="88" spans="1:13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L88" si="17">SUM(E81:E87)</f>
        <v>26</v>
      </c>
      <c r="F88" s="13">
        <f t="shared" si="17"/>
        <v>12</v>
      </c>
      <c r="G88" s="13">
        <f t="shared" si="17"/>
        <v>18</v>
      </c>
      <c r="H88" s="13">
        <f t="shared" si="17"/>
        <v>34</v>
      </c>
      <c r="I88" s="13">
        <f t="shared" si="17"/>
        <v>38</v>
      </c>
      <c r="J88" s="13">
        <f t="shared" si="17"/>
        <v>0</v>
      </c>
      <c r="K88" s="13">
        <f t="shared" si="17"/>
        <v>1</v>
      </c>
      <c r="L88" s="13">
        <f t="shared" si="17"/>
        <v>6</v>
      </c>
      <c r="M88" s="13">
        <f t="shared" si="16"/>
        <v>135</v>
      </c>
    </row>
    <row r="89" spans="1:13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3"/>
    </row>
    <row r="90" spans="1:13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1</v>
      </c>
      <c r="H90" s="15">
        <v>0</v>
      </c>
      <c r="I90" s="15">
        <v>0</v>
      </c>
      <c r="J90" s="15">
        <v>0</v>
      </c>
      <c r="K90" s="15">
        <v>1</v>
      </c>
      <c r="L90" s="15"/>
      <c r="M90" s="13">
        <f t="shared" ref="M90:M101" si="18">SUM(E90:L90)</f>
        <v>2</v>
      </c>
    </row>
    <row r="91" spans="1:13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3">
        <f t="shared" si="18"/>
        <v>0</v>
      </c>
    </row>
    <row r="92" spans="1:13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L92" si="19">SUM(E90:E91)</f>
        <v>0</v>
      </c>
      <c r="F92" s="36">
        <f t="shared" si="19"/>
        <v>0</v>
      </c>
      <c r="G92" s="36">
        <f t="shared" si="19"/>
        <v>1</v>
      </c>
      <c r="H92" s="36">
        <f t="shared" si="19"/>
        <v>0</v>
      </c>
      <c r="I92" s="36">
        <f t="shared" si="19"/>
        <v>0</v>
      </c>
      <c r="J92" s="36">
        <f t="shared" si="19"/>
        <v>0</v>
      </c>
      <c r="K92" s="36">
        <f t="shared" si="19"/>
        <v>1</v>
      </c>
      <c r="L92" s="36">
        <f t="shared" si="19"/>
        <v>0</v>
      </c>
      <c r="M92" s="13">
        <f t="shared" si="18"/>
        <v>2</v>
      </c>
    </row>
    <row r="93" spans="1:13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3">
        <f t="shared" si="18"/>
        <v>0</v>
      </c>
    </row>
    <row r="94" spans="1:13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0</v>
      </c>
      <c r="F94" s="15">
        <v>0</v>
      </c>
      <c r="G94" s="15">
        <v>2</v>
      </c>
      <c r="H94" s="15">
        <v>0</v>
      </c>
      <c r="I94" s="15">
        <v>0</v>
      </c>
      <c r="J94" s="15">
        <v>0</v>
      </c>
      <c r="K94" s="15"/>
      <c r="L94" s="15">
        <v>1</v>
      </c>
      <c r="M94" s="13">
        <f t="shared" si="18"/>
        <v>3</v>
      </c>
    </row>
    <row r="95" spans="1:13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1</v>
      </c>
      <c r="H95" s="15">
        <v>0</v>
      </c>
      <c r="I95" s="15">
        <v>0</v>
      </c>
      <c r="J95" s="15">
        <v>0</v>
      </c>
      <c r="K95" s="15"/>
      <c r="L95" s="15"/>
      <c r="M95" s="13">
        <f t="shared" si="18"/>
        <v>1</v>
      </c>
    </row>
    <row r="96" spans="1:13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/>
      <c r="L96" s="15"/>
      <c r="M96" s="13">
        <f t="shared" si="18"/>
        <v>0</v>
      </c>
    </row>
    <row r="97" spans="1:13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3">
        <f t="shared" si="18"/>
        <v>0</v>
      </c>
    </row>
    <row r="98" spans="1:13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/>
      <c r="L98" s="15"/>
      <c r="M98" s="13">
        <f t="shared" si="18"/>
        <v>0</v>
      </c>
    </row>
    <row r="99" spans="1:13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3">
        <f t="shared" si="18"/>
        <v>0</v>
      </c>
    </row>
    <row r="100" spans="1:13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/>
      <c r="L100" s="15"/>
      <c r="M100" s="13">
        <f t="shared" si="18"/>
        <v>0</v>
      </c>
    </row>
    <row r="101" spans="1:13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L101" si="20">SUM(E94:E100)</f>
        <v>0</v>
      </c>
      <c r="F101" s="13">
        <f t="shared" si="20"/>
        <v>0</v>
      </c>
      <c r="G101" s="13">
        <f t="shared" si="20"/>
        <v>3</v>
      </c>
      <c r="H101" s="13">
        <f t="shared" si="20"/>
        <v>0</v>
      </c>
      <c r="I101" s="13">
        <f t="shared" si="20"/>
        <v>0</v>
      </c>
      <c r="J101" s="13">
        <f t="shared" si="20"/>
        <v>0</v>
      </c>
      <c r="K101" s="13">
        <f t="shared" si="20"/>
        <v>0</v>
      </c>
      <c r="L101" s="13">
        <f t="shared" si="20"/>
        <v>1</v>
      </c>
      <c r="M101" s="13">
        <f t="shared" si="18"/>
        <v>4</v>
      </c>
    </row>
    <row r="102" spans="1:13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3"/>
    </row>
    <row r="103" spans="1:13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/>
      <c r="L103" s="15">
        <v>1</v>
      </c>
      <c r="M103" s="13">
        <f t="shared" ref="M103:M110" si="21">SUM(E103:L103)</f>
        <v>1</v>
      </c>
    </row>
    <row r="104" spans="1:13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1</v>
      </c>
      <c r="L104" s="15"/>
      <c r="M104" s="13">
        <f t="shared" si="21"/>
        <v>1</v>
      </c>
    </row>
    <row r="105" spans="1:13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3">
        <f t="shared" si="21"/>
        <v>0</v>
      </c>
    </row>
    <row r="106" spans="1:13" ht="12.75" customHeight="1" x14ac:dyDescent="0.4">
      <c r="A106" s="14"/>
      <c r="B106" s="27"/>
      <c r="C106" s="28" t="s">
        <v>91</v>
      </c>
      <c r="D106" s="29"/>
      <c r="E106" s="15">
        <v>5</v>
      </c>
      <c r="F106" s="15">
        <v>3</v>
      </c>
      <c r="G106" s="15">
        <v>0</v>
      </c>
      <c r="H106" s="15">
        <v>0</v>
      </c>
      <c r="I106" s="15">
        <v>0</v>
      </c>
      <c r="J106" s="15">
        <v>1</v>
      </c>
      <c r="K106" s="15"/>
      <c r="L106" s="15"/>
      <c r="M106" s="13">
        <f t="shared" si="21"/>
        <v>9</v>
      </c>
    </row>
    <row r="107" spans="1:13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3">
        <f t="shared" si="21"/>
        <v>0</v>
      </c>
    </row>
    <row r="108" spans="1:13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/>
      <c r="L108" s="15"/>
      <c r="M108" s="13">
        <f t="shared" si="21"/>
        <v>0</v>
      </c>
    </row>
    <row r="109" spans="1:13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1</v>
      </c>
      <c r="K109" s="15"/>
      <c r="L109" s="15">
        <v>2</v>
      </c>
      <c r="M109" s="13">
        <f t="shared" si="21"/>
        <v>3</v>
      </c>
    </row>
    <row r="110" spans="1:13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L110" si="22">SUM(E103:E109)</f>
        <v>5</v>
      </c>
      <c r="F110" s="13">
        <f t="shared" si="22"/>
        <v>3</v>
      </c>
      <c r="G110" s="13">
        <f t="shared" si="22"/>
        <v>0</v>
      </c>
      <c r="H110" s="13">
        <f t="shared" si="22"/>
        <v>0</v>
      </c>
      <c r="I110" s="13">
        <f t="shared" si="22"/>
        <v>0</v>
      </c>
      <c r="J110" s="13">
        <f t="shared" si="22"/>
        <v>2</v>
      </c>
      <c r="K110" s="13">
        <f t="shared" si="22"/>
        <v>1</v>
      </c>
      <c r="L110" s="13">
        <f t="shared" si="22"/>
        <v>3</v>
      </c>
      <c r="M110" s="13">
        <f t="shared" si="21"/>
        <v>14</v>
      </c>
    </row>
    <row r="111" spans="1:13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3"/>
    </row>
    <row r="112" spans="1:13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/>
      <c r="L112" s="15"/>
      <c r="M112" s="13">
        <f t="shared" ref="M112:M119" si="23">SUM(E112:L112)</f>
        <v>0</v>
      </c>
    </row>
    <row r="113" spans="1:15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3">
        <f t="shared" si="23"/>
        <v>0</v>
      </c>
    </row>
    <row r="114" spans="1:15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1</v>
      </c>
      <c r="I114" s="15">
        <v>0</v>
      </c>
      <c r="J114" s="15"/>
      <c r="K114" s="15"/>
      <c r="L114" s="15">
        <v>1</v>
      </c>
      <c r="M114" s="13">
        <f t="shared" si="23"/>
        <v>2</v>
      </c>
    </row>
    <row r="115" spans="1:15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3">
        <f t="shared" si="23"/>
        <v>0</v>
      </c>
    </row>
    <row r="116" spans="1:15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/>
      <c r="L116" s="15"/>
      <c r="M116" s="13">
        <f t="shared" si="23"/>
        <v>0</v>
      </c>
    </row>
    <row r="117" spans="1:15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/>
      <c r="L117" s="15"/>
      <c r="M117" s="13">
        <f t="shared" si="23"/>
        <v>0</v>
      </c>
      <c r="N117" s="5"/>
      <c r="O117" s="5"/>
    </row>
    <row r="118" spans="1:15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/>
      <c r="L118" s="15"/>
      <c r="M118" s="13">
        <f t="shared" si="23"/>
        <v>0</v>
      </c>
      <c r="N118" s="5"/>
      <c r="O118" s="5"/>
    </row>
    <row r="119" spans="1:15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L119" si="24">SUM(E112:E118)</f>
        <v>0</v>
      </c>
      <c r="F119" s="13">
        <f t="shared" si="24"/>
        <v>0</v>
      </c>
      <c r="G119" s="13">
        <f t="shared" si="24"/>
        <v>0</v>
      </c>
      <c r="H119" s="13">
        <f t="shared" si="24"/>
        <v>1</v>
      </c>
      <c r="I119" s="13">
        <f t="shared" si="24"/>
        <v>0</v>
      </c>
      <c r="J119" s="13">
        <f t="shared" si="24"/>
        <v>0</v>
      </c>
      <c r="K119" s="13">
        <f t="shared" si="24"/>
        <v>0</v>
      </c>
      <c r="L119" s="13">
        <f t="shared" si="24"/>
        <v>1</v>
      </c>
      <c r="M119" s="13">
        <f t="shared" si="23"/>
        <v>2</v>
      </c>
      <c r="N119" s="5"/>
      <c r="O119" s="5"/>
    </row>
    <row r="120" spans="1:15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3"/>
      <c r="N120" s="5"/>
      <c r="O120" s="5"/>
    </row>
    <row r="121" spans="1:15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/>
      <c r="L121" s="15"/>
      <c r="M121" s="13">
        <f t="shared" ref="M121:M128" si="25">SUM(E121:L121)</f>
        <v>0</v>
      </c>
      <c r="N121" s="5"/>
      <c r="O121" s="5"/>
    </row>
    <row r="122" spans="1:15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/>
      <c r="L122" s="15"/>
      <c r="M122" s="13">
        <f t="shared" si="25"/>
        <v>0</v>
      </c>
      <c r="N122" s="5"/>
      <c r="O122" s="5"/>
    </row>
    <row r="123" spans="1:15" ht="12.75" customHeight="1" x14ac:dyDescent="0.4">
      <c r="A123" s="14"/>
      <c r="B123" s="27"/>
      <c r="C123" s="28" t="s">
        <v>106</v>
      </c>
      <c r="D123" s="29"/>
      <c r="E123" s="15">
        <v>1</v>
      </c>
      <c r="F123" s="15">
        <v>7</v>
      </c>
      <c r="G123" s="15">
        <v>0</v>
      </c>
      <c r="H123" s="15">
        <v>0</v>
      </c>
      <c r="I123" s="15">
        <v>0</v>
      </c>
      <c r="J123" s="15">
        <v>1</v>
      </c>
      <c r="K123" s="15"/>
      <c r="L123" s="15"/>
      <c r="M123" s="13">
        <f t="shared" si="25"/>
        <v>9</v>
      </c>
      <c r="N123" s="5"/>
      <c r="O123" s="5"/>
    </row>
    <row r="124" spans="1:15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3">
        <f t="shared" si="25"/>
        <v>0</v>
      </c>
      <c r="N124" s="5"/>
      <c r="O124" s="5"/>
    </row>
    <row r="125" spans="1:15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/>
      <c r="L125" s="15"/>
      <c r="M125" s="13">
        <f t="shared" si="25"/>
        <v>0</v>
      </c>
      <c r="N125" s="5"/>
      <c r="O125" s="5"/>
    </row>
    <row r="126" spans="1:15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1</v>
      </c>
      <c r="I126" s="15">
        <v>0</v>
      </c>
      <c r="J126" s="15">
        <v>0</v>
      </c>
      <c r="K126" s="15"/>
      <c r="L126" s="15"/>
      <c r="M126" s="13">
        <f t="shared" si="25"/>
        <v>1</v>
      </c>
      <c r="N126" s="5"/>
      <c r="O126" s="5"/>
    </row>
    <row r="127" spans="1:15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/>
      <c r="L127" s="15"/>
      <c r="M127" s="13">
        <f t="shared" si="25"/>
        <v>0</v>
      </c>
      <c r="N127" s="5"/>
      <c r="O127" s="5"/>
    </row>
    <row r="128" spans="1:15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L128" si="26">SUM(E121:E127)</f>
        <v>1</v>
      </c>
      <c r="F128" s="13">
        <f t="shared" si="26"/>
        <v>7</v>
      </c>
      <c r="G128" s="13">
        <f t="shared" si="26"/>
        <v>0</v>
      </c>
      <c r="H128" s="13">
        <f t="shared" si="26"/>
        <v>1</v>
      </c>
      <c r="I128" s="13">
        <f t="shared" si="26"/>
        <v>0</v>
      </c>
      <c r="J128" s="13">
        <f t="shared" si="26"/>
        <v>1</v>
      </c>
      <c r="K128" s="13">
        <f t="shared" si="26"/>
        <v>0</v>
      </c>
      <c r="L128" s="13">
        <f t="shared" si="26"/>
        <v>0</v>
      </c>
      <c r="M128" s="13">
        <f t="shared" si="25"/>
        <v>10</v>
      </c>
      <c r="N128" s="5"/>
      <c r="O128" s="5"/>
    </row>
    <row r="129" spans="1:15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3"/>
      <c r="N129" s="5"/>
      <c r="O129" s="5"/>
    </row>
    <row r="130" spans="1:15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1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/>
      <c r="L130" s="15"/>
      <c r="M130" s="13">
        <f t="shared" ref="M130:M132" si="27">SUM(E130:L130)</f>
        <v>1</v>
      </c>
      <c r="N130" s="1"/>
      <c r="O130" s="1"/>
    </row>
    <row r="131" spans="1:15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3">
        <f t="shared" si="27"/>
        <v>0</v>
      </c>
      <c r="N131" s="31"/>
      <c r="O131" s="31"/>
    </row>
    <row r="132" spans="1:15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L132" si="28">SUM(E130:E131)</f>
        <v>1</v>
      </c>
      <c r="F132" s="13">
        <f t="shared" si="28"/>
        <v>0</v>
      </c>
      <c r="G132" s="13">
        <f t="shared" si="28"/>
        <v>0</v>
      </c>
      <c r="H132" s="13">
        <f t="shared" si="28"/>
        <v>0</v>
      </c>
      <c r="I132" s="13">
        <f t="shared" si="28"/>
        <v>0</v>
      </c>
      <c r="J132" s="13">
        <f t="shared" si="28"/>
        <v>0</v>
      </c>
      <c r="K132" s="13">
        <f t="shared" si="28"/>
        <v>0</v>
      </c>
      <c r="L132" s="13">
        <f t="shared" si="28"/>
        <v>0</v>
      </c>
      <c r="M132" s="13">
        <f t="shared" si="27"/>
        <v>1</v>
      </c>
      <c r="N132" s="5"/>
      <c r="O132" s="5"/>
    </row>
    <row r="133" spans="1:15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3"/>
      <c r="N133" s="5"/>
      <c r="O133" s="5"/>
    </row>
    <row r="134" spans="1:15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0</v>
      </c>
      <c r="G134" s="15">
        <v>0</v>
      </c>
      <c r="H134" s="15">
        <v>0</v>
      </c>
      <c r="I134" s="15">
        <v>1</v>
      </c>
      <c r="J134" s="15">
        <v>0</v>
      </c>
      <c r="K134" s="15"/>
      <c r="L134" s="15"/>
      <c r="M134" s="13">
        <f t="shared" ref="M134:M141" si="29">SUM(E134:L134)</f>
        <v>1</v>
      </c>
      <c r="N134" s="5"/>
      <c r="O134" s="5"/>
    </row>
    <row r="135" spans="1:15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/>
      <c r="L135" s="15"/>
      <c r="M135" s="13">
        <f t="shared" si="29"/>
        <v>0</v>
      </c>
      <c r="N135" s="5"/>
      <c r="O135" s="5"/>
    </row>
    <row r="136" spans="1:15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3">
        <f t="shared" si="29"/>
        <v>0</v>
      </c>
      <c r="N136" s="5"/>
      <c r="O136" s="5"/>
    </row>
    <row r="137" spans="1:15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2</v>
      </c>
      <c r="G137" s="15">
        <v>0</v>
      </c>
      <c r="H137" s="15">
        <v>0</v>
      </c>
      <c r="I137" s="15">
        <v>0</v>
      </c>
      <c r="J137" s="15"/>
      <c r="K137" s="15"/>
      <c r="L137" s="15">
        <v>1</v>
      </c>
      <c r="M137" s="13">
        <f t="shared" si="29"/>
        <v>3</v>
      </c>
      <c r="N137" s="5"/>
      <c r="O137" s="5"/>
    </row>
    <row r="138" spans="1:15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3">
        <f t="shared" si="29"/>
        <v>0</v>
      </c>
      <c r="N138" s="5"/>
      <c r="O138" s="5"/>
    </row>
    <row r="139" spans="1:15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/>
      <c r="L139" s="15"/>
      <c r="M139" s="13">
        <f t="shared" si="29"/>
        <v>0</v>
      </c>
      <c r="N139" s="5"/>
      <c r="O139" s="5"/>
    </row>
    <row r="140" spans="1:15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1</v>
      </c>
      <c r="H140" s="15">
        <v>0</v>
      </c>
      <c r="I140" s="15">
        <v>0</v>
      </c>
      <c r="J140" s="15"/>
      <c r="K140" s="15"/>
      <c r="L140" s="15"/>
      <c r="M140" s="13">
        <f t="shared" si="29"/>
        <v>1</v>
      </c>
      <c r="N140" s="5"/>
      <c r="O140" s="5"/>
    </row>
    <row r="141" spans="1:15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L141" si="30">SUM(E134:E140)</f>
        <v>0</v>
      </c>
      <c r="F141" s="13">
        <f t="shared" si="30"/>
        <v>2</v>
      </c>
      <c r="G141" s="13">
        <f t="shared" si="30"/>
        <v>1</v>
      </c>
      <c r="H141" s="13">
        <f t="shared" si="30"/>
        <v>0</v>
      </c>
      <c r="I141" s="13">
        <f t="shared" si="30"/>
        <v>1</v>
      </c>
      <c r="J141" s="13">
        <f t="shared" si="30"/>
        <v>0</v>
      </c>
      <c r="K141" s="13">
        <f t="shared" si="30"/>
        <v>0</v>
      </c>
      <c r="L141" s="13">
        <f t="shared" si="30"/>
        <v>1</v>
      </c>
      <c r="M141" s="13">
        <f t="shared" si="29"/>
        <v>5</v>
      </c>
      <c r="N141" s="1"/>
      <c r="O141" s="1"/>
    </row>
    <row r="142" spans="1:15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3"/>
      <c r="N142" s="31"/>
      <c r="O142" s="31"/>
    </row>
    <row r="143" spans="1:15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1</v>
      </c>
      <c r="I143" s="15">
        <v>0</v>
      </c>
      <c r="J143" s="15">
        <v>0</v>
      </c>
      <c r="K143" s="15"/>
      <c r="L143" s="15"/>
      <c r="M143" s="13">
        <f t="shared" ref="M143:M150" si="31">SUM(E143:L143)</f>
        <v>1</v>
      </c>
      <c r="N143" s="5"/>
      <c r="O143" s="5"/>
    </row>
    <row r="144" spans="1:15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3">
        <f t="shared" si="31"/>
        <v>0</v>
      </c>
      <c r="N144" s="5"/>
      <c r="O144" s="5"/>
    </row>
    <row r="145" spans="1:15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/>
      <c r="L145" s="15"/>
      <c r="M145" s="13">
        <f t="shared" si="31"/>
        <v>0</v>
      </c>
      <c r="N145" s="5"/>
      <c r="O145" s="5"/>
    </row>
    <row r="146" spans="1:15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/>
      <c r="L146" s="15"/>
      <c r="M146" s="13">
        <f t="shared" si="31"/>
        <v>0</v>
      </c>
      <c r="N146" s="5"/>
      <c r="O146" s="5"/>
    </row>
    <row r="147" spans="1:15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/>
      <c r="L147" s="15"/>
      <c r="M147" s="13">
        <f t="shared" si="31"/>
        <v>0</v>
      </c>
      <c r="N147" s="5"/>
      <c r="O147" s="5"/>
    </row>
    <row r="148" spans="1:15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3">
        <f t="shared" si="31"/>
        <v>0</v>
      </c>
      <c r="N148" s="5"/>
      <c r="O148" s="5"/>
    </row>
    <row r="149" spans="1:15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/>
      <c r="L149" s="15"/>
      <c r="M149" s="13">
        <f t="shared" si="31"/>
        <v>0</v>
      </c>
      <c r="N149" s="5"/>
      <c r="O149" s="5"/>
    </row>
    <row r="150" spans="1:15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L150" si="32">SUM(E143:E149)</f>
        <v>0</v>
      </c>
      <c r="F150" s="13">
        <f t="shared" si="32"/>
        <v>0</v>
      </c>
      <c r="G150" s="13">
        <f t="shared" si="32"/>
        <v>0</v>
      </c>
      <c r="H150" s="13">
        <f t="shared" si="32"/>
        <v>1</v>
      </c>
      <c r="I150" s="13">
        <f t="shared" si="32"/>
        <v>0</v>
      </c>
      <c r="J150" s="13">
        <f t="shared" si="32"/>
        <v>0</v>
      </c>
      <c r="K150" s="13">
        <f t="shared" si="32"/>
        <v>0</v>
      </c>
      <c r="L150" s="13">
        <f t="shared" si="32"/>
        <v>0</v>
      </c>
      <c r="M150" s="13">
        <f t="shared" si="31"/>
        <v>1</v>
      </c>
      <c r="N150" s="5"/>
      <c r="O150" s="5"/>
    </row>
    <row r="151" spans="1:15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3"/>
      <c r="N151" s="1"/>
      <c r="O151" s="1"/>
    </row>
    <row r="152" spans="1:15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2</v>
      </c>
      <c r="F152" s="15">
        <v>3</v>
      </c>
      <c r="G152" s="15">
        <v>4</v>
      </c>
      <c r="H152" s="15">
        <v>1</v>
      </c>
      <c r="I152" s="15">
        <v>1</v>
      </c>
      <c r="J152" s="15">
        <v>4</v>
      </c>
      <c r="K152" s="15">
        <v>1</v>
      </c>
      <c r="L152" s="15">
        <v>8</v>
      </c>
      <c r="M152" s="13">
        <f t="shared" ref="M152:M159" si="33">SUM(E152:L152)</f>
        <v>24</v>
      </c>
      <c r="N152" s="31"/>
      <c r="O152" s="31"/>
    </row>
    <row r="153" spans="1:15" ht="12.75" customHeight="1" x14ac:dyDescent="0.4">
      <c r="A153" s="19" t="s">
        <v>39</v>
      </c>
      <c r="B153" s="27"/>
      <c r="C153" s="28" t="s">
        <v>132</v>
      </c>
      <c r="D153" s="29"/>
      <c r="E153" s="15">
        <v>1</v>
      </c>
      <c r="F153" s="15">
        <v>2</v>
      </c>
      <c r="G153" s="15">
        <v>1</v>
      </c>
      <c r="H153" s="15">
        <v>1</v>
      </c>
      <c r="I153" s="15">
        <v>2</v>
      </c>
      <c r="J153" s="15">
        <v>0</v>
      </c>
      <c r="K153" s="15">
        <v>0</v>
      </c>
      <c r="L153" s="15">
        <v>1</v>
      </c>
      <c r="M153" s="13">
        <f t="shared" si="33"/>
        <v>8</v>
      </c>
      <c r="N153" s="5"/>
      <c r="O153" s="5"/>
    </row>
    <row r="154" spans="1:15" ht="12.75" customHeight="1" x14ac:dyDescent="0.4">
      <c r="A154" s="14"/>
      <c r="B154" s="27"/>
      <c r="C154" s="28" t="s">
        <v>133</v>
      </c>
      <c r="D154" s="29"/>
      <c r="E154" s="15">
        <v>16</v>
      </c>
      <c r="F154" s="15">
        <v>19</v>
      </c>
      <c r="G154" s="15">
        <v>19</v>
      </c>
      <c r="H154" s="15">
        <v>14</v>
      </c>
      <c r="I154" s="15">
        <v>26</v>
      </c>
      <c r="J154" s="15">
        <v>6</v>
      </c>
      <c r="K154" s="15">
        <v>15</v>
      </c>
      <c r="L154" s="15">
        <v>5</v>
      </c>
      <c r="M154" s="13">
        <f t="shared" si="33"/>
        <v>120</v>
      </c>
      <c r="N154" s="5"/>
      <c r="O154" s="5"/>
    </row>
    <row r="155" spans="1:15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0</v>
      </c>
      <c r="H155" s="15">
        <v>1</v>
      </c>
      <c r="I155" s="15">
        <v>0</v>
      </c>
      <c r="J155" s="15">
        <v>0</v>
      </c>
      <c r="K155" s="15">
        <v>1</v>
      </c>
      <c r="L155" s="15"/>
      <c r="M155" s="13">
        <f t="shared" si="33"/>
        <v>2</v>
      </c>
      <c r="N155" s="5"/>
      <c r="O155" s="5"/>
    </row>
    <row r="156" spans="1:15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3">
        <f t="shared" si="33"/>
        <v>0</v>
      </c>
      <c r="N156" s="5"/>
      <c r="O156" s="5"/>
    </row>
    <row r="157" spans="1:15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/>
      <c r="L157" s="15"/>
      <c r="M157" s="13">
        <f t="shared" si="33"/>
        <v>0</v>
      </c>
      <c r="N157" s="5"/>
      <c r="O157" s="5"/>
    </row>
    <row r="158" spans="1:15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3">
        <f t="shared" si="33"/>
        <v>0</v>
      </c>
      <c r="N158" s="5"/>
      <c r="O158" s="5"/>
    </row>
    <row r="159" spans="1:15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L159" si="34">SUM(E152:E158)</f>
        <v>19</v>
      </c>
      <c r="F159" s="13">
        <f t="shared" si="34"/>
        <v>24</v>
      </c>
      <c r="G159" s="13">
        <f t="shared" si="34"/>
        <v>24</v>
      </c>
      <c r="H159" s="13">
        <f t="shared" si="34"/>
        <v>17</v>
      </c>
      <c r="I159" s="13">
        <f t="shared" si="34"/>
        <v>29</v>
      </c>
      <c r="J159" s="13">
        <f t="shared" si="34"/>
        <v>10</v>
      </c>
      <c r="K159" s="13">
        <f t="shared" si="34"/>
        <v>17</v>
      </c>
      <c r="L159" s="13">
        <f t="shared" si="34"/>
        <v>14</v>
      </c>
      <c r="M159" s="13">
        <f t="shared" si="33"/>
        <v>154</v>
      </c>
      <c r="N159" s="5"/>
      <c r="O159" s="5"/>
    </row>
    <row r="160" spans="1:15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3"/>
      <c r="N160" s="5"/>
      <c r="O160" s="5"/>
    </row>
    <row r="161" spans="1:15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1</v>
      </c>
      <c r="F161" s="46">
        <v>0</v>
      </c>
      <c r="G161" s="46">
        <v>0</v>
      </c>
      <c r="H161" s="46">
        <v>1</v>
      </c>
      <c r="I161" s="46">
        <v>0</v>
      </c>
      <c r="J161" s="46">
        <v>0</v>
      </c>
      <c r="K161" s="46">
        <v>1</v>
      </c>
      <c r="L161" s="46">
        <v>1</v>
      </c>
      <c r="M161" s="13">
        <f t="shared" ref="M161:M164" si="35">SUM(E161:L161)</f>
        <v>4</v>
      </c>
      <c r="N161" s="5"/>
      <c r="O161" s="5"/>
    </row>
    <row r="162" spans="1:15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0</v>
      </c>
      <c r="G162" s="46">
        <v>0</v>
      </c>
      <c r="H162" s="46">
        <v>0</v>
      </c>
      <c r="I162" s="46">
        <v>1</v>
      </c>
      <c r="J162" s="46">
        <v>0</v>
      </c>
      <c r="K162" s="46">
        <v>0</v>
      </c>
      <c r="L162" s="46">
        <v>3</v>
      </c>
      <c r="M162" s="13">
        <f t="shared" si="35"/>
        <v>4</v>
      </c>
      <c r="N162" s="5"/>
      <c r="O162" s="5"/>
    </row>
    <row r="163" spans="1:15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1</v>
      </c>
      <c r="L163" s="46"/>
      <c r="M163" s="13">
        <f t="shared" si="35"/>
        <v>1</v>
      </c>
      <c r="N163" s="5"/>
      <c r="O163" s="5"/>
    </row>
    <row r="164" spans="1:15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L164" si="36">SUM(E161:E163)</f>
        <v>1</v>
      </c>
      <c r="F164" s="13">
        <f t="shared" si="36"/>
        <v>0</v>
      </c>
      <c r="G164" s="13">
        <f t="shared" si="36"/>
        <v>0</v>
      </c>
      <c r="H164" s="13">
        <f t="shared" si="36"/>
        <v>1</v>
      </c>
      <c r="I164" s="13">
        <f t="shared" si="36"/>
        <v>1</v>
      </c>
      <c r="J164" s="13">
        <f t="shared" si="36"/>
        <v>0</v>
      </c>
      <c r="K164" s="13">
        <f t="shared" si="36"/>
        <v>2</v>
      </c>
      <c r="L164" s="13">
        <f t="shared" si="36"/>
        <v>4</v>
      </c>
      <c r="M164" s="13">
        <f t="shared" si="35"/>
        <v>9</v>
      </c>
      <c r="N164" s="5"/>
      <c r="O164" s="5"/>
    </row>
    <row r="165" spans="1:15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3"/>
      <c r="N165" s="1"/>
      <c r="O165" s="1"/>
    </row>
    <row r="166" spans="1:15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/>
      <c r="L166" s="15"/>
      <c r="M166" s="13">
        <f t="shared" ref="M166:M173" si="37">SUM(E166:L166)</f>
        <v>0</v>
      </c>
      <c r="N166" s="31"/>
      <c r="O166" s="31"/>
    </row>
    <row r="167" spans="1:15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/>
      <c r="L167" s="15"/>
      <c r="M167" s="13">
        <f t="shared" si="37"/>
        <v>0</v>
      </c>
      <c r="N167" s="5"/>
      <c r="O167" s="5"/>
    </row>
    <row r="168" spans="1:15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/>
      <c r="L168" s="15"/>
      <c r="M168" s="13">
        <f t="shared" si="37"/>
        <v>0</v>
      </c>
      <c r="N168" s="5"/>
      <c r="O168" s="5"/>
    </row>
    <row r="169" spans="1:15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/>
      <c r="L169" s="15"/>
      <c r="M169" s="13">
        <f t="shared" si="37"/>
        <v>0</v>
      </c>
      <c r="N169" s="5"/>
      <c r="O169" s="5"/>
    </row>
    <row r="170" spans="1:15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/>
      <c r="L170" s="15"/>
      <c r="M170" s="13">
        <f t="shared" si="37"/>
        <v>0</v>
      </c>
      <c r="N170" s="5"/>
      <c r="O170" s="5"/>
    </row>
    <row r="171" spans="1:15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/>
      <c r="L171" s="15"/>
      <c r="M171" s="13">
        <f t="shared" si="37"/>
        <v>0</v>
      </c>
      <c r="N171" s="5"/>
      <c r="O171" s="5"/>
    </row>
    <row r="172" spans="1:15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/>
      <c r="L172" s="15"/>
      <c r="M172" s="13">
        <f t="shared" si="37"/>
        <v>0</v>
      </c>
      <c r="N172" s="5"/>
      <c r="O172" s="5"/>
    </row>
    <row r="173" spans="1:15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L173" si="38">SUM(E166:E172)</f>
        <v>0</v>
      </c>
      <c r="F173" s="13">
        <f t="shared" si="38"/>
        <v>0</v>
      </c>
      <c r="G173" s="13">
        <f t="shared" si="38"/>
        <v>0</v>
      </c>
      <c r="H173" s="13">
        <f t="shared" si="38"/>
        <v>0</v>
      </c>
      <c r="I173" s="13">
        <f t="shared" si="38"/>
        <v>0</v>
      </c>
      <c r="J173" s="13">
        <f t="shared" si="38"/>
        <v>0</v>
      </c>
      <c r="K173" s="13">
        <f t="shared" si="38"/>
        <v>0</v>
      </c>
      <c r="L173" s="13">
        <f t="shared" si="38"/>
        <v>0</v>
      </c>
      <c r="M173" s="13">
        <f t="shared" si="37"/>
        <v>0</v>
      </c>
      <c r="N173" s="5"/>
      <c r="O173" s="5"/>
    </row>
    <row r="174" spans="1:15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3"/>
      <c r="N174" s="5"/>
      <c r="O174" s="5"/>
    </row>
    <row r="175" spans="1:15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1</v>
      </c>
      <c r="F175" s="15">
        <v>0</v>
      </c>
      <c r="G175" s="15">
        <v>4</v>
      </c>
      <c r="H175" s="15">
        <v>1</v>
      </c>
      <c r="I175" s="15">
        <v>0</v>
      </c>
      <c r="J175" s="15">
        <v>0</v>
      </c>
      <c r="K175" s="15"/>
      <c r="L175" s="15"/>
      <c r="M175" s="13">
        <f t="shared" ref="M175:M182" si="39">SUM(E175:L175)</f>
        <v>6</v>
      </c>
      <c r="N175" s="5"/>
      <c r="O175" s="5"/>
    </row>
    <row r="176" spans="1:15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0</v>
      </c>
      <c r="G176" s="15">
        <v>1</v>
      </c>
      <c r="H176" s="15">
        <v>1</v>
      </c>
      <c r="I176" s="15">
        <v>0</v>
      </c>
      <c r="J176" s="15"/>
      <c r="K176" s="15"/>
      <c r="L176" s="15"/>
      <c r="M176" s="13">
        <f t="shared" si="39"/>
        <v>2</v>
      </c>
      <c r="N176" s="1"/>
      <c r="O176" s="1"/>
    </row>
    <row r="177" spans="1:15" ht="12.75" customHeight="1" x14ac:dyDescent="0.4">
      <c r="A177" s="14"/>
      <c r="B177" s="27"/>
      <c r="C177" s="28" t="s">
        <v>153</v>
      </c>
      <c r="D177" s="29"/>
      <c r="E177" s="15">
        <v>6</v>
      </c>
      <c r="F177" s="15">
        <v>11</v>
      </c>
      <c r="G177" s="15">
        <v>12</v>
      </c>
      <c r="H177" s="15">
        <v>0</v>
      </c>
      <c r="I177" s="15">
        <v>1</v>
      </c>
      <c r="J177" s="15">
        <v>0</v>
      </c>
      <c r="K177" s="15">
        <v>0</v>
      </c>
      <c r="L177" s="15"/>
      <c r="M177" s="13">
        <f t="shared" si="39"/>
        <v>30</v>
      </c>
    </row>
    <row r="178" spans="1:15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/>
      <c r="L178" s="15"/>
      <c r="M178" s="13">
        <f t="shared" si="39"/>
        <v>0</v>
      </c>
      <c r="N178" s="5"/>
      <c r="O178" s="5"/>
    </row>
    <row r="179" spans="1:15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/>
      <c r="L179" s="15"/>
      <c r="M179" s="13">
        <f t="shared" si="39"/>
        <v>0</v>
      </c>
      <c r="N179" s="5"/>
      <c r="O179" s="5"/>
    </row>
    <row r="180" spans="1:15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/>
      <c r="L180" s="15"/>
      <c r="M180" s="13">
        <f t="shared" si="39"/>
        <v>0</v>
      </c>
      <c r="N180" s="5"/>
      <c r="O180" s="5"/>
    </row>
    <row r="181" spans="1:15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1</v>
      </c>
      <c r="G181" s="15">
        <v>0</v>
      </c>
      <c r="H181" s="15">
        <v>0</v>
      </c>
      <c r="I181" s="15">
        <v>0</v>
      </c>
      <c r="J181" s="15"/>
      <c r="K181" s="15"/>
      <c r="L181" s="15">
        <v>0</v>
      </c>
      <c r="M181" s="13">
        <f t="shared" si="39"/>
        <v>1</v>
      </c>
      <c r="N181" s="5"/>
      <c r="O181" s="5"/>
    </row>
    <row r="182" spans="1:15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L182" si="40">SUM(E175:E181)</f>
        <v>7</v>
      </c>
      <c r="F182" s="13">
        <f t="shared" si="40"/>
        <v>12</v>
      </c>
      <c r="G182" s="13">
        <f t="shared" si="40"/>
        <v>17</v>
      </c>
      <c r="H182" s="13">
        <f t="shared" si="40"/>
        <v>2</v>
      </c>
      <c r="I182" s="13">
        <f t="shared" si="40"/>
        <v>1</v>
      </c>
      <c r="J182" s="13">
        <f t="shared" si="40"/>
        <v>0</v>
      </c>
      <c r="K182" s="13">
        <f t="shared" si="40"/>
        <v>0</v>
      </c>
      <c r="L182" s="13">
        <f t="shared" si="40"/>
        <v>0</v>
      </c>
      <c r="M182" s="13">
        <f t="shared" si="39"/>
        <v>39</v>
      </c>
      <c r="N182" s="5"/>
      <c r="O182" s="5"/>
    </row>
    <row r="183" spans="1:15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13"/>
      <c r="N183" s="5"/>
      <c r="O183" s="5"/>
    </row>
    <row r="184" spans="1:15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/>
      <c r="L184" s="15"/>
      <c r="M184" s="13">
        <f t="shared" ref="M184:M186" si="41">SUM(E184:L184)</f>
        <v>0</v>
      </c>
      <c r="N184" s="5"/>
      <c r="O184" s="5"/>
    </row>
    <row r="185" spans="1:15" ht="12.75" customHeight="1" x14ac:dyDescent="0.4">
      <c r="A185" s="19" t="s">
        <v>39</v>
      </c>
      <c r="B185" s="27"/>
      <c r="C185" s="28" t="s">
        <v>160</v>
      </c>
      <c r="D185" s="29"/>
      <c r="E185" s="15">
        <v>0</v>
      </c>
      <c r="F185" s="15">
        <v>1</v>
      </c>
      <c r="G185" s="15">
        <v>0</v>
      </c>
      <c r="H185" s="15">
        <v>1</v>
      </c>
      <c r="I185" s="15">
        <v>0</v>
      </c>
      <c r="J185" s="15"/>
      <c r="K185" s="15"/>
      <c r="L185" s="15">
        <v>1</v>
      </c>
      <c r="M185" s="13">
        <f t="shared" si="41"/>
        <v>3</v>
      </c>
      <c r="N185" s="5"/>
      <c r="O185" s="5"/>
    </row>
    <row r="186" spans="1:15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L186" si="42">SUM(E184:E185)</f>
        <v>0</v>
      </c>
      <c r="F186" s="13">
        <f t="shared" si="42"/>
        <v>1</v>
      </c>
      <c r="G186" s="13">
        <f t="shared" si="42"/>
        <v>0</v>
      </c>
      <c r="H186" s="13">
        <f t="shared" si="42"/>
        <v>1</v>
      </c>
      <c r="I186" s="13">
        <f t="shared" si="42"/>
        <v>0</v>
      </c>
      <c r="J186" s="13">
        <f t="shared" si="42"/>
        <v>0</v>
      </c>
      <c r="K186" s="13">
        <f t="shared" si="42"/>
        <v>0</v>
      </c>
      <c r="L186" s="13">
        <f t="shared" si="42"/>
        <v>1</v>
      </c>
      <c r="M186" s="13">
        <f t="shared" si="41"/>
        <v>3</v>
      </c>
      <c r="N186" s="5"/>
      <c r="O186" s="5"/>
    </row>
    <row r="187" spans="1:15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"/>
      <c r="O187" s="1"/>
    </row>
    <row r="188" spans="1:15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13"/>
    </row>
    <row r="189" spans="1:15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13"/>
      <c r="N189" s="5"/>
      <c r="O189" s="5"/>
    </row>
    <row r="190" spans="1:15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L190" si="43">E186+E182+E173+E164+E159+E150+E141+E132+E128+E119+E110+E101+E92+E88+E79+E70+E61+E52</f>
        <v>232</v>
      </c>
      <c r="F190" s="15">
        <f t="shared" si="43"/>
        <v>214</v>
      </c>
      <c r="G190" s="15">
        <f t="shared" si="43"/>
        <v>206</v>
      </c>
      <c r="H190" s="15">
        <f t="shared" si="43"/>
        <v>197</v>
      </c>
      <c r="I190" s="15">
        <f t="shared" si="43"/>
        <v>208</v>
      </c>
      <c r="J190" s="15">
        <f t="shared" si="43"/>
        <v>209</v>
      </c>
      <c r="K190" s="15">
        <f t="shared" si="43"/>
        <v>214</v>
      </c>
      <c r="L190" s="15">
        <f t="shared" si="43"/>
        <v>242</v>
      </c>
      <c r="M190" s="13">
        <f t="shared" ref="M190:M192" si="44">SUM(E190:L190)</f>
        <v>1722</v>
      </c>
      <c r="N190" s="5"/>
      <c r="O190" s="5"/>
    </row>
    <row r="191" spans="1:15" ht="12.75" customHeight="1" x14ac:dyDescent="0.4">
      <c r="A191" s="21"/>
      <c r="B191" s="39" t="s">
        <v>165</v>
      </c>
      <c r="C191" s="79" t="s">
        <v>166</v>
      </c>
      <c r="D191" s="55"/>
      <c r="E191" s="15">
        <v>8</v>
      </c>
      <c r="F191" s="15">
        <v>5</v>
      </c>
      <c r="G191" s="15">
        <v>28</v>
      </c>
      <c r="H191" s="15">
        <v>7</v>
      </c>
      <c r="I191" s="15">
        <v>19</v>
      </c>
      <c r="J191" s="15">
        <v>11</v>
      </c>
      <c r="K191" s="15">
        <v>16</v>
      </c>
      <c r="L191" s="15">
        <v>0</v>
      </c>
      <c r="M191" s="13">
        <f t="shared" si="44"/>
        <v>94</v>
      </c>
      <c r="N191" s="5"/>
      <c r="O191" s="5"/>
    </row>
    <row r="192" spans="1:15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L192" si="45">E190+E191</f>
        <v>240</v>
      </c>
      <c r="F192" s="15">
        <f t="shared" si="45"/>
        <v>219</v>
      </c>
      <c r="G192" s="15">
        <f t="shared" si="45"/>
        <v>234</v>
      </c>
      <c r="H192" s="15">
        <f t="shared" si="45"/>
        <v>204</v>
      </c>
      <c r="I192" s="15">
        <f t="shared" si="45"/>
        <v>227</v>
      </c>
      <c r="J192" s="15">
        <f t="shared" si="45"/>
        <v>220</v>
      </c>
      <c r="K192" s="15">
        <f t="shared" si="45"/>
        <v>230</v>
      </c>
      <c r="L192" s="15">
        <f t="shared" si="45"/>
        <v>242</v>
      </c>
      <c r="M192" s="13">
        <f t="shared" si="44"/>
        <v>1816</v>
      </c>
      <c r="N192" s="5"/>
      <c r="O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L12"/>
    <mergeCell ref="M12:M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L13">
    <cfRule type="expression" dxfId="193" priority="28">
      <formula>E30=E192</formula>
    </cfRule>
  </conditionalFormatting>
  <conditionalFormatting sqref="E14:L15">
    <cfRule type="containsBlanks" dxfId="192" priority="1">
      <formula>LEN(TRIM(E14))=0</formula>
    </cfRule>
  </conditionalFormatting>
  <conditionalFormatting sqref="E19:L20">
    <cfRule type="containsBlanks" dxfId="191" priority="2">
      <formula>LEN(TRIM(E19))=0</formula>
    </cfRule>
  </conditionalFormatting>
  <conditionalFormatting sqref="E22:L23 E25:L26 E33:L33 E35:L35 E39:L40">
    <cfRule type="containsBlanks" dxfId="190" priority="3">
      <formula>LEN(TRIM(E22))=0</formula>
    </cfRule>
  </conditionalFormatting>
  <conditionalFormatting sqref="E30:L30">
    <cfRule type="expression" dxfId="189" priority="4">
      <formula>E30&lt;&gt;E47</formula>
    </cfRule>
    <cfRule type="expression" dxfId="188" priority="5">
      <formula>E30&lt;&gt;E34</formula>
    </cfRule>
  </conditionalFormatting>
  <conditionalFormatting sqref="E34:L34">
    <cfRule type="expression" dxfId="187" priority="6">
      <formula>E30&lt;&gt;E34</formula>
    </cfRule>
    <cfRule type="expression" dxfId="186" priority="7">
      <formula>E30=E34</formula>
    </cfRule>
    <cfRule type="expression" dxfId="185" priority="8">
      <formula>E34&lt;&gt;E30</formula>
    </cfRule>
    <cfRule type="expression" dxfId="184" priority="9">
      <formula>E34&lt;&gt;E64</formula>
    </cfRule>
  </conditionalFormatting>
  <conditionalFormatting sqref="E45:L52 E54:L61">
    <cfRule type="containsBlanks" dxfId="183" priority="10">
      <formula>LEN(TRIM(E45))=0</formula>
    </cfRule>
  </conditionalFormatting>
  <conditionalFormatting sqref="E63:L70">
    <cfRule type="containsBlanks" dxfId="182" priority="11">
      <formula>LEN(TRIM(E63))=0</formula>
    </cfRule>
  </conditionalFormatting>
  <conditionalFormatting sqref="E72:L79">
    <cfRule type="containsBlanks" dxfId="181" priority="12">
      <formula>LEN(TRIM(E72))=0</formula>
    </cfRule>
  </conditionalFormatting>
  <conditionalFormatting sqref="E81:L88">
    <cfRule type="containsBlanks" dxfId="180" priority="13">
      <formula>LEN(TRIM(E81))=0</formula>
    </cfRule>
  </conditionalFormatting>
  <conditionalFormatting sqref="E90:L91">
    <cfRule type="containsBlanks" dxfId="179" priority="14">
      <formula>LEN(TRIM(E90))=0</formula>
    </cfRule>
  </conditionalFormatting>
  <conditionalFormatting sqref="E94:L101">
    <cfRule type="containsBlanks" dxfId="178" priority="15">
      <formula>LEN(TRIM(E94))=0</formula>
    </cfRule>
  </conditionalFormatting>
  <conditionalFormatting sqref="E103:L110">
    <cfRule type="containsBlanks" dxfId="177" priority="16">
      <formula>LEN(TRIM(E103))=0</formula>
    </cfRule>
  </conditionalFormatting>
  <conditionalFormatting sqref="E112:L119">
    <cfRule type="containsBlanks" dxfId="176" priority="17">
      <formula>LEN(TRIM(E112))=0</formula>
    </cfRule>
  </conditionalFormatting>
  <conditionalFormatting sqref="E121:L128">
    <cfRule type="containsBlanks" dxfId="175" priority="18">
      <formula>LEN(TRIM(E121))=0</formula>
    </cfRule>
  </conditionalFormatting>
  <conditionalFormatting sqref="E130:L132">
    <cfRule type="containsBlanks" dxfId="174" priority="19">
      <formula>LEN(TRIM(E130))=0</formula>
    </cfRule>
  </conditionalFormatting>
  <conditionalFormatting sqref="E134:L141">
    <cfRule type="containsBlanks" dxfId="173" priority="20">
      <formula>LEN(TRIM(E134))=0</formula>
    </cfRule>
  </conditionalFormatting>
  <conditionalFormatting sqref="E143:L150">
    <cfRule type="containsBlanks" dxfId="172" priority="21">
      <formula>LEN(TRIM(E143))=0</formula>
    </cfRule>
  </conditionalFormatting>
  <conditionalFormatting sqref="E152:L159">
    <cfRule type="containsBlanks" dxfId="171" priority="22">
      <formula>LEN(TRIM(E152))=0</formula>
    </cfRule>
  </conditionalFormatting>
  <conditionalFormatting sqref="E161:L163">
    <cfRule type="containsBlanks" dxfId="170" priority="23">
      <formula>LEN(TRIM(E161))=0</formula>
    </cfRule>
  </conditionalFormatting>
  <conditionalFormatting sqref="E166:L173">
    <cfRule type="containsBlanks" dxfId="169" priority="24">
      <formula>LEN(TRIM(E166))=0</formula>
    </cfRule>
  </conditionalFormatting>
  <conditionalFormatting sqref="E175:L182">
    <cfRule type="containsBlanks" dxfId="168" priority="25">
      <formula>LEN(TRIM(E175))=0</formula>
    </cfRule>
  </conditionalFormatting>
  <conditionalFormatting sqref="E184:L186">
    <cfRule type="containsBlanks" dxfId="167" priority="26">
      <formula>LEN(TRIM(E184))=0</formula>
    </cfRule>
  </conditionalFormatting>
  <conditionalFormatting sqref="E190:L192">
    <cfRule type="containsBlanks" dxfId="166" priority="27">
      <formula>LEN(TRIM(E190))=0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>
      <pane ySplit="13" topLeftCell="A14" activePane="bottomLeft" state="frozen"/>
      <selection pane="bottomLeft" activeCell="B15" sqref="B15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15" width="8.7109375" customWidth="1"/>
    <col min="16" max="16" width="13.28515625" customWidth="1"/>
    <col min="17" max="26" width="8.7109375" customWidth="1"/>
  </cols>
  <sheetData>
    <row r="1" spans="1:16" ht="12.75" customHeight="1" x14ac:dyDescent="0.4"/>
    <row r="2" spans="1:16" ht="12.75" customHeight="1" x14ac:dyDescent="0.4">
      <c r="C2" s="8" t="s">
        <v>0</v>
      </c>
      <c r="D2" s="8" t="s">
        <v>1</v>
      </c>
    </row>
    <row r="3" spans="1:16" ht="12.75" customHeight="1" x14ac:dyDescent="0.4">
      <c r="C3" s="8" t="s">
        <v>2</v>
      </c>
      <c r="D3" s="8" t="s">
        <v>3</v>
      </c>
    </row>
    <row r="4" spans="1:16" ht="12.75" customHeight="1" x14ac:dyDescent="0.4">
      <c r="C4" s="8" t="s">
        <v>4</v>
      </c>
      <c r="D4" s="8" t="s">
        <v>5</v>
      </c>
    </row>
    <row r="5" spans="1:16" ht="12.75" customHeight="1" x14ac:dyDescent="0.4">
      <c r="C5" s="8"/>
      <c r="D5" s="8"/>
    </row>
    <row r="6" spans="1:16" ht="12.75" customHeight="1" x14ac:dyDescent="0.4">
      <c r="C6" s="8"/>
      <c r="D6" s="8"/>
    </row>
    <row r="7" spans="1:16" ht="12.75" customHeight="1" x14ac:dyDescent="0.4">
      <c r="C7" s="8"/>
      <c r="D7" s="8"/>
    </row>
    <row r="8" spans="1:16" ht="12.75" customHeight="1" x14ac:dyDescent="0.4">
      <c r="C8" s="8"/>
      <c r="D8" s="8"/>
    </row>
    <row r="9" spans="1:16" ht="12.75" customHeight="1" x14ac:dyDescent="0.4">
      <c r="C9" s="8" t="s">
        <v>169</v>
      </c>
      <c r="D9" s="8" t="s">
        <v>200</v>
      </c>
    </row>
    <row r="10" spans="1:16" ht="12.75" customHeight="1" x14ac:dyDescent="0.4"/>
    <row r="11" spans="1:16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6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81" t="s">
        <v>8</v>
      </c>
    </row>
    <row r="13" spans="1:16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69"/>
    </row>
    <row r="14" spans="1:16" ht="12.75" customHeight="1" x14ac:dyDescent="0.4">
      <c r="A14" s="14"/>
      <c r="B14" s="61" t="s">
        <v>11</v>
      </c>
      <c r="C14" s="62"/>
      <c r="D14" s="15" t="s">
        <v>12</v>
      </c>
      <c r="E14" s="47">
        <v>116</v>
      </c>
      <c r="F14" s="47">
        <v>118</v>
      </c>
      <c r="G14" s="47">
        <v>141</v>
      </c>
      <c r="H14" s="47">
        <v>136</v>
      </c>
      <c r="I14" s="47">
        <v>143</v>
      </c>
      <c r="J14" s="47">
        <v>130</v>
      </c>
      <c r="K14" s="47">
        <v>131</v>
      </c>
      <c r="L14" s="47">
        <v>127</v>
      </c>
      <c r="M14" s="47">
        <v>127</v>
      </c>
      <c r="N14" s="47">
        <v>121</v>
      </c>
      <c r="O14" s="47">
        <v>116</v>
      </c>
      <c r="P14" s="13">
        <f t="shared" ref="P14:P16" si="0">SUM(E14:O14)</f>
        <v>1406</v>
      </c>
    </row>
    <row r="15" spans="1:16" ht="12.75" customHeight="1" x14ac:dyDescent="0.4">
      <c r="A15" s="14"/>
      <c r="B15" s="63"/>
      <c r="C15" s="64"/>
      <c r="D15" s="15" t="s">
        <v>13</v>
      </c>
      <c r="E15" s="47">
        <v>112</v>
      </c>
      <c r="F15" s="47">
        <v>113</v>
      </c>
      <c r="G15" s="47">
        <v>122</v>
      </c>
      <c r="H15" s="47">
        <v>150</v>
      </c>
      <c r="I15" s="47">
        <v>134</v>
      </c>
      <c r="J15" s="47">
        <v>139</v>
      </c>
      <c r="K15" s="47">
        <v>128</v>
      </c>
      <c r="L15" s="47">
        <v>133</v>
      </c>
      <c r="M15" s="47">
        <v>124</v>
      </c>
      <c r="N15" s="47">
        <v>131</v>
      </c>
      <c r="O15" s="47">
        <v>126</v>
      </c>
      <c r="P15" s="13">
        <f t="shared" si="0"/>
        <v>1412</v>
      </c>
    </row>
    <row r="16" spans="1:16" ht="12.75" customHeight="1" x14ac:dyDescent="0.4">
      <c r="A16" s="17"/>
      <c r="B16" s="59"/>
      <c r="C16" s="65"/>
      <c r="D16" s="13" t="s">
        <v>14</v>
      </c>
      <c r="E16" s="48">
        <f t="shared" ref="E16:O16" si="1">SUM(E14:E15)</f>
        <v>228</v>
      </c>
      <c r="F16" s="48">
        <f t="shared" si="1"/>
        <v>231</v>
      </c>
      <c r="G16" s="48">
        <f t="shared" si="1"/>
        <v>263</v>
      </c>
      <c r="H16" s="48">
        <f t="shared" si="1"/>
        <v>286</v>
      </c>
      <c r="I16" s="48">
        <f t="shared" si="1"/>
        <v>277</v>
      </c>
      <c r="J16" s="48">
        <f t="shared" si="1"/>
        <v>269</v>
      </c>
      <c r="K16" s="48">
        <f t="shared" si="1"/>
        <v>259</v>
      </c>
      <c r="L16" s="48">
        <f t="shared" si="1"/>
        <v>260</v>
      </c>
      <c r="M16" s="48">
        <f t="shared" si="1"/>
        <v>251</v>
      </c>
      <c r="N16" s="48">
        <f t="shared" si="1"/>
        <v>252</v>
      </c>
      <c r="O16" s="48">
        <f t="shared" si="1"/>
        <v>242</v>
      </c>
      <c r="P16" s="13">
        <f t="shared" si="0"/>
        <v>2818</v>
      </c>
    </row>
    <row r="17" spans="1:16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3"/>
    </row>
    <row r="18" spans="1:16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3"/>
    </row>
    <row r="19" spans="1:16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79</v>
      </c>
      <c r="F19" s="47">
        <v>73</v>
      </c>
      <c r="G19" s="47">
        <v>108</v>
      </c>
      <c r="H19" s="47">
        <v>104</v>
      </c>
      <c r="I19" s="47">
        <v>113</v>
      </c>
      <c r="J19" s="47">
        <v>99</v>
      </c>
      <c r="K19" s="47">
        <v>100</v>
      </c>
      <c r="L19" s="47">
        <v>103</v>
      </c>
      <c r="M19" s="47">
        <v>85</v>
      </c>
      <c r="N19" s="47">
        <v>79</v>
      </c>
      <c r="O19" s="47">
        <v>81</v>
      </c>
      <c r="P19" s="13">
        <f t="shared" ref="P19:P30" si="2">SUM(E19:O19)</f>
        <v>1024</v>
      </c>
    </row>
    <row r="20" spans="1:16" ht="12.75" customHeight="1" x14ac:dyDescent="0.4">
      <c r="A20" s="20"/>
      <c r="B20" s="64"/>
      <c r="C20" s="68"/>
      <c r="D20" s="15" t="s">
        <v>13</v>
      </c>
      <c r="E20" s="47">
        <v>85</v>
      </c>
      <c r="F20" s="47">
        <v>88</v>
      </c>
      <c r="G20" s="47">
        <v>105</v>
      </c>
      <c r="H20" s="47">
        <v>120</v>
      </c>
      <c r="I20" s="47">
        <v>114</v>
      </c>
      <c r="J20" s="47">
        <v>112</v>
      </c>
      <c r="K20" s="47">
        <v>101</v>
      </c>
      <c r="L20" s="47">
        <v>116</v>
      </c>
      <c r="M20" s="47">
        <v>101</v>
      </c>
      <c r="N20" s="47">
        <v>94</v>
      </c>
      <c r="O20" s="47">
        <v>97</v>
      </c>
      <c r="P20" s="13">
        <f t="shared" si="2"/>
        <v>1133</v>
      </c>
    </row>
    <row r="21" spans="1:16" ht="12.75" customHeight="1" x14ac:dyDescent="0.4">
      <c r="A21" s="21"/>
      <c r="B21" s="65"/>
      <c r="C21" s="69"/>
      <c r="D21" s="13" t="s">
        <v>14</v>
      </c>
      <c r="E21" s="48">
        <f t="shared" ref="E21:O21" si="3">SUM(E19:E20)</f>
        <v>164</v>
      </c>
      <c r="F21" s="48">
        <f t="shared" si="3"/>
        <v>161</v>
      </c>
      <c r="G21" s="48">
        <f t="shared" si="3"/>
        <v>213</v>
      </c>
      <c r="H21" s="48">
        <f t="shared" si="3"/>
        <v>224</v>
      </c>
      <c r="I21" s="48">
        <f t="shared" si="3"/>
        <v>227</v>
      </c>
      <c r="J21" s="48">
        <f t="shared" si="3"/>
        <v>211</v>
      </c>
      <c r="K21" s="48">
        <f t="shared" si="3"/>
        <v>201</v>
      </c>
      <c r="L21" s="48">
        <f t="shared" si="3"/>
        <v>219</v>
      </c>
      <c r="M21" s="48">
        <f t="shared" si="3"/>
        <v>186</v>
      </c>
      <c r="N21" s="48">
        <f t="shared" si="3"/>
        <v>173</v>
      </c>
      <c r="O21" s="48">
        <f t="shared" si="3"/>
        <v>178</v>
      </c>
      <c r="P21" s="13">
        <f t="shared" si="2"/>
        <v>2157</v>
      </c>
    </row>
    <row r="22" spans="1:16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2</v>
      </c>
      <c r="G22" s="47">
        <v>0</v>
      </c>
      <c r="H22" s="47">
        <v>2</v>
      </c>
      <c r="I22" s="47">
        <v>0</v>
      </c>
      <c r="J22" s="47">
        <v>0</v>
      </c>
      <c r="K22" s="47">
        <v>0</v>
      </c>
      <c r="L22" s="47">
        <v>0</v>
      </c>
      <c r="M22" s="47">
        <v>1</v>
      </c>
      <c r="N22" s="47">
        <v>0</v>
      </c>
      <c r="O22" s="47">
        <v>0</v>
      </c>
      <c r="P22" s="13">
        <f t="shared" si="2"/>
        <v>5</v>
      </c>
    </row>
    <row r="23" spans="1:16" ht="12.75" customHeight="1" x14ac:dyDescent="0.4">
      <c r="A23" s="20"/>
      <c r="B23" s="64"/>
      <c r="C23" s="68"/>
      <c r="D23" s="15" t="s">
        <v>13</v>
      </c>
      <c r="E23" s="47">
        <v>0</v>
      </c>
      <c r="F23" s="47">
        <v>0</v>
      </c>
      <c r="G23" s="47">
        <v>1</v>
      </c>
      <c r="H23" s="47">
        <v>1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1</v>
      </c>
      <c r="P23" s="13">
        <f t="shared" si="2"/>
        <v>3</v>
      </c>
    </row>
    <row r="24" spans="1:16" ht="12.75" customHeight="1" x14ac:dyDescent="0.4">
      <c r="A24" s="21"/>
      <c r="B24" s="65"/>
      <c r="C24" s="69"/>
      <c r="D24" s="13" t="s">
        <v>14</v>
      </c>
      <c r="E24" s="48">
        <f t="shared" ref="E24:O24" si="4">SUM(E22:E23)</f>
        <v>0</v>
      </c>
      <c r="F24" s="48">
        <f t="shared" si="4"/>
        <v>2</v>
      </c>
      <c r="G24" s="48">
        <f t="shared" si="4"/>
        <v>1</v>
      </c>
      <c r="H24" s="48">
        <f t="shared" si="4"/>
        <v>3</v>
      </c>
      <c r="I24" s="48">
        <f t="shared" si="4"/>
        <v>0</v>
      </c>
      <c r="J24" s="48">
        <f t="shared" si="4"/>
        <v>0</v>
      </c>
      <c r="K24" s="48">
        <f t="shared" si="4"/>
        <v>0</v>
      </c>
      <c r="L24" s="48">
        <f t="shared" si="4"/>
        <v>0</v>
      </c>
      <c r="M24" s="48">
        <f t="shared" si="4"/>
        <v>1</v>
      </c>
      <c r="N24" s="48">
        <f t="shared" si="4"/>
        <v>0</v>
      </c>
      <c r="O24" s="48">
        <f t="shared" si="4"/>
        <v>1</v>
      </c>
      <c r="P24" s="13">
        <f t="shared" si="2"/>
        <v>8</v>
      </c>
    </row>
    <row r="25" spans="1:16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0</v>
      </c>
      <c r="G25" s="47">
        <v>0</v>
      </c>
      <c r="H25" s="47">
        <v>1</v>
      </c>
      <c r="I25" s="47">
        <v>0</v>
      </c>
      <c r="J25" s="47">
        <v>0</v>
      </c>
      <c r="K25" s="47">
        <v>1</v>
      </c>
      <c r="L25" s="47">
        <v>1</v>
      </c>
      <c r="M25" s="47">
        <v>0</v>
      </c>
      <c r="N25" s="47">
        <v>0</v>
      </c>
      <c r="O25" s="47">
        <v>0</v>
      </c>
      <c r="P25" s="13">
        <f t="shared" si="2"/>
        <v>3</v>
      </c>
    </row>
    <row r="26" spans="1:16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0</v>
      </c>
      <c r="G26" s="47">
        <v>1</v>
      </c>
      <c r="H26" s="47">
        <v>1</v>
      </c>
      <c r="I26" s="47">
        <v>0</v>
      </c>
      <c r="J26" s="47">
        <v>0</v>
      </c>
      <c r="K26" s="47">
        <v>1</v>
      </c>
      <c r="L26" s="47">
        <v>2</v>
      </c>
      <c r="M26" s="47">
        <v>0</v>
      </c>
      <c r="N26" s="47">
        <v>1</v>
      </c>
      <c r="O26" s="47">
        <v>1</v>
      </c>
      <c r="P26" s="13">
        <f t="shared" si="2"/>
        <v>7</v>
      </c>
    </row>
    <row r="27" spans="1:16" ht="12.75" customHeight="1" x14ac:dyDescent="0.4">
      <c r="A27" s="21"/>
      <c r="B27" s="65"/>
      <c r="C27" s="69"/>
      <c r="D27" s="13" t="s">
        <v>14</v>
      </c>
      <c r="E27" s="48">
        <f t="shared" ref="E27:O27" si="5">SUM(E25:E26)</f>
        <v>0</v>
      </c>
      <c r="F27" s="48">
        <f t="shared" si="5"/>
        <v>0</v>
      </c>
      <c r="G27" s="48">
        <f t="shared" si="5"/>
        <v>1</v>
      </c>
      <c r="H27" s="48">
        <f t="shared" si="5"/>
        <v>2</v>
      </c>
      <c r="I27" s="48">
        <f t="shared" si="5"/>
        <v>0</v>
      </c>
      <c r="J27" s="48">
        <f t="shared" si="5"/>
        <v>0</v>
      </c>
      <c r="K27" s="48">
        <f t="shared" si="5"/>
        <v>2</v>
      </c>
      <c r="L27" s="48">
        <f t="shared" si="5"/>
        <v>3</v>
      </c>
      <c r="M27" s="48">
        <f t="shared" si="5"/>
        <v>0</v>
      </c>
      <c r="N27" s="48">
        <f t="shared" si="5"/>
        <v>1</v>
      </c>
      <c r="O27" s="48">
        <f t="shared" si="5"/>
        <v>1</v>
      </c>
      <c r="P27" s="13">
        <f t="shared" si="2"/>
        <v>10</v>
      </c>
    </row>
    <row r="28" spans="1:16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v>79</v>
      </c>
      <c r="F28" s="48">
        <v>75</v>
      </c>
      <c r="G28" s="48">
        <v>108</v>
      </c>
      <c r="H28" s="48">
        <v>107</v>
      </c>
      <c r="I28" s="48">
        <v>113</v>
      </c>
      <c r="J28" s="48">
        <v>99</v>
      </c>
      <c r="K28" s="48">
        <v>101</v>
      </c>
      <c r="L28" s="48">
        <v>104</v>
      </c>
      <c r="M28" s="48">
        <v>86</v>
      </c>
      <c r="N28" s="48">
        <v>79</v>
      </c>
      <c r="O28" s="48">
        <v>81</v>
      </c>
      <c r="P28" s="13">
        <f t="shared" si="2"/>
        <v>1032</v>
      </c>
    </row>
    <row r="29" spans="1:16" ht="12.75" customHeight="1" x14ac:dyDescent="0.4">
      <c r="A29" s="21"/>
      <c r="B29" s="64"/>
      <c r="C29" s="68"/>
      <c r="D29" s="13" t="s">
        <v>13</v>
      </c>
      <c r="E29" s="48">
        <v>85</v>
      </c>
      <c r="F29" s="48">
        <v>88</v>
      </c>
      <c r="G29" s="48">
        <v>107</v>
      </c>
      <c r="H29" s="48">
        <v>122</v>
      </c>
      <c r="I29" s="48">
        <v>114</v>
      </c>
      <c r="J29" s="48">
        <v>112</v>
      </c>
      <c r="K29" s="48">
        <v>102</v>
      </c>
      <c r="L29" s="48">
        <v>118</v>
      </c>
      <c r="M29" s="48">
        <v>101</v>
      </c>
      <c r="N29" s="48">
        <v>95</v>
      </c>
      <c r="O29" s="48">
        <v>99</v>
      </c>
      <c r="P29" s="13">
        <f t="shared" si="2"/>
        <v>1143</v>
      </c>
    </row>
    <row r="30" spans="1:16" ht="12.75" customHeight="1" x14ac:dyDescent="0.4">
      <c r="A30" s="21"/>
      <c r="B30" s="65"/>
      <c r="C30" s="69"/>
      <c r="D30" s="13" t="s">
        <v>14</v>
      </c>
      <c r="E30" s="50">
        <f t="shared" ref="E30:O30" si="6">SUM(E28:E29)</f>
        <v>164</v>
      </c>
      <c r="F30" s="50">
        <f t="shared" si="6"/>
        <v>163</v>
      </c>
      <c r="G30" s="50">
        <f t="shared" si="6"/>
        <v>215</v>
      </c>
      <c r="H30" s="50">
        <f t="shared" si="6"/>
        <v>229</v>
      </c>
      <c r="I30" s="50">
        <f t="shared" si="6"/>
        <v>227</v>
      </c>
      <c r="J30" s="50">
        <f t="shared" si="6"/>
        <v>211</v>
      </c>
      <c r="K30" s="50">
        <f t="shared" si="6"/>
        <v>203</v>
      </c>
      <c r="L30" s="50">
        <f t="shared" si="6"/>
        <v>222</v>
      </c>
      <c r="M30" s="50">
        <f t="shared" si="6"/>
        <v>187</v>
      </c>
      <c r="N30" s="50">
        <f t="shared" si="6"/>
        <v>174</v>
      </c>
      <c r="O30" s="50">
        <f t="shared" si="6"/>
        <v>180</v>
      </c>
      <c r="P30" s="13">
        <f t="shared" si="2"/>
        <v>2175</v>
      </c>
    </row>
    <row r="31" spans="1:16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3"/>
    </row>
    <row r="32" spans="1:16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3"/>
    </row>
    <row r="33" spans="1:16" ht="12.75" customHeight="1" x14ac:dyDescent="0.4">
      <c r="A33" s="15">
        <v>1</v>
      </c>
      <c r="B33" s="60" t="s">
        <v>27</v>
      </c>
      <c r="C33" s="54"/>
      <c r="D33" s="55"/>
      <c r="E33" s="47">
        <v>233</v>
      </c>
      <c r="F33" s="47">
        <v>236</v>
      </c>
      <c r="G33" s="47">
        <v>269</v>
      </c>
      <c r="H33" s="47">
        <v>292</v>
      </c>
      <c r="I33" s="47">
        <v>283</v>
      </c>
      <c r="J33" s="47">
        <v>275</v>
      </c>
      <c r="K33" s="47">
        <v>265</v>
      </c>
      <c r="L33" s="47">
        <v>266</v>
      </c>
      <c r="M33" s="47">
        <v>257</v>
      </c>
      <c r="N33" s="47">
        <v>258</v>
      </c>
      <c r="O33" s="47">
        <v>247</v>
      </c>
      <c r="P33" s="13">
        <f t="shared" ref="P33:P36" si="7">SUM(E33:O33)</f>
        <v>2881</v>
      </c>
    </row>
    <row r="34" spans="1:16" ht="12.75" customHeight="1" x14ac:dyDescent="0.4">
      <c r="A34" s="15">
        <v>2</v>
      </c>
      <c r="B34" s="60" t="s">
        <v>28</v>
      </c>
      <c r="C34" s="54"/>
      <c r="D34" s="55"/>
      <c r="E34" s="51">
        <v>164</v>
      </c>
      <c r="F34" s="51">
        <v>163</v>
      </c>
      <c r="G34" s="51">
        <v>215</v>
      </c>
      <c r="H34" s="51">
        <v>229</v>
      </c>
      <c r="I34" s="51">
        <v>227</v>
      </c>
      <c r="J34" s="51">
        <v>211</v>
      </c>
      <c r="K34" s="51">
        <v>203</v>
      </c>
      <c r="L34" s="51">
        <v>222</v>
      </c>
      <c r="M34" s="51">
        <v>187</v>
      </c>
      <c r="N34" s="51">
        <v>174</v>
      </c>
      <c r="O34" s="51">
        <v>180</v>
      </c>
      <c r="P34" s="13">
        <f t="shared" si="7"/>
        <v>2175</v>
      </c>
    </row>
    <row r="35" spans="1:16" ht="12.75" customHeight="1" x14ac:dyDescent="0.4">
      <c r="A35" s="15">
        <v>3</v>
      </c>
      <c r="B35" s="60" t="s">
        <v>29</v>
      </c>
      <c r="C35" s="54"/>
      <c r="D35" s="55"/>
      <c r="E35" s="47">
        <v>5</v>
      </c>
      <c r="F35" s="47">
        <v>0</v>
      </c>
      <c r="G35" s="47">
        <v>0</v>
      </c>
      <c r="H35" s="47">
        <v>3</v>
      </c>
      <c r="I35" s="47">
        <v>1</v>
      </c>
      <c r="J35" s="47">
        <v>19</v>
      </c>
      <c r="K35" s="47">
        <v>0</v>
      </c>
      <c r="L35" s="47">
        <v>1</v>
      </c>
      <c r="M35" s="47">
        <v>0</v>
      </c>
      <c r="N35" s="47">
        <v>1</v>
      </c>
      <c r="O35" s="47">
        <v>0</v>
      </c>
      <c r="P35" s="13">
        <f t="shared" si="7"/>
        <v>30</v>
      </c>
    </row>
    <row r="36" spans="1:16" ht="12.75" customHeight="1" x14ac:dyDescent="0.4">
      <c r="A36" s="15">
        <v>4</v>
      </c>
      <c r="B36" s="60" t="s">
        <v>30</v>
      </c>
      <c r="C36" s="54"/>
      <c r="D36" s="55"/>
      <c r="E36" s="48">
        <f t="shared" ref="E36:O36" si="8">E33-(E34+E35)</f>
        <v>64</v>
      </c>
      <c r="F36" s="48">
        <f t="shared" si="8"/>
        <v>73</v>
      </c>
      <c r="G36" s="48">
        <f t="shared" si="8"/>
        <v>54</v>
      </c>
      <c r="H36" s="48">
        <f t="shared" si="8"/>
        <v>60</v>
      </c>
      <c r="I36" s="48">
        <f t="shared" si="8"/>
        <v>55</v>
      </c>
      <c r="J36" s="48">
        <f t="shared" si="8"/>
        <v>45</v>
      </c>
      <c r="K36" s="48">
        <f t="shared" si="8"/>
        <v>62</v>
      </c>
      <c r="L36" s="48">
        <f t="shared" si="8"/>
        <v>43</v>
      </c>
      <c r="M36" s="48">
        <f t="shared" si="8"/>
        <v>70</v>
      </c>
      <c r="N36" s="48">
        <f t="shared" si="8"/>
        <v>83</v>
      </c>
      <c r="O36" s="48">
        <f t="shared" si="8"/>
        <v>67</v>
      </c>
      <c r="P36" s="13">
        <f t="shared" si="7"/>
        <v>676</v>
      </c>
    </row>
    <row r="37" spans="1:16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9"/>
      <c r="N37" s="49"/>
      <c r="O37" s="52"/>
      <c r="P37" s="43"/>
    </row>
    <row r="38" spans="1:16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3"/>
    </row>
    <row r="39" spans="1:16" ht="12.75" customHeight="1" x14ac:dyDescent="0.4">
      <c r="A39" s="19"/>
      <c r="B39" s="73" t="s">
        <v>33</v>
      </c>
      <c r="C39" s="62"/>
      <c r="D39" s="15" t="s">
        <v>12</v>
      </c>
      <c r="E39" s="47">
        <v>0</v>
      </c>
      <c r="F39" s="47">
        <v>1</v>
      </c>
      <c r="G39" s="47">
        <v>1</v>
      </c>
      <c r="H39" s="47">
        <v>3</v>
      </c>
      <c r="I39" s="47">
        <v>0</v>
      </c>
      <c r="J39" s="47">
        <v>0</v>
      </c>
      <c r="K39" s="47">
        <v>1</v>
      </c>
      <c r="L39" s="47">
        <v>1</v>
      </c>
      <c r="M39" s="47">
        <v>0</v>
      </c>
      <c r="N39" s="47">
        <v>0</v>
      </c>
      <c r="O39" s="47">
        <v>0</v>
      </c>
      <c r="P39" s="13">
        <f t="shared" ref="P39:P41" si="9">SUM(E39:O39)</f>
        <v>7</v>
      </c>
    </row>
    <row r="40" spans="1:16" ht="12.75" customHeight="1" x14ac:dyDescent="0.4">
      <c r="A40" s="20"/>
      <c r="B40" s="74"/>
      <c r="C40" s="64"/>
      <c r="D40" s="15" t="s">
        <v>13</v>
      </c>
      <c r="E40" s="47">
        <v>1</v>
      </c>
      <c r="F40" s="47">
        <v>1</v>
      </c>
      <c r="G40" s="47">
        <v>0</v>
      </c>
      <c r="H40" s="47">
        <v>1</v>
      </c>
      <c r="I40" s="47">
        <v>0</v>
      </c>
      <c r="J40" s="47">
        <v>0</v>
      </c>
      <c r="K40" s="47">
        <v>1</v>
      </c>
      <c r="L40" s="47">
        <v>1</v>
      </c>
      <c r="M40" s="47">
        <v>0</v>
      </c>
      <c r="N40" s="47">
        <v>0</v>
      </c>
      <c r="O40" s="47">
        <v>0</v>
      </c>
      <c r="P40" s="13">
        <f t="shared" si="9"/>
        <v>5</v>
      </c>
    </row>
    <row r="41" spans="1:16" ht="12.75" customHeight="1" x14ac:dyDescent="0.4">
      <c r="A41" s="24"/>
      <c r="B41" s="75"/>
      <c r="C41" s="65"/>
      <c r="D41" s="13" t="s">
        <v>14</v>
      </c>
      <c r="E41" s="13">
        <f t="shared" ref="E41:O41" si="10">SUM(E39:E40)</f>
        <v>1</v>
      </c>
      <c r="F41" s="13">
        <f t="shared" si="10"/>
        <v>2</v>
      </c>
      <c r="G41" s="13">
        <f t="shared" si="10"/>
        <v>1</v>
      </c>
      <c r="H41" s="13">
        <f t="shared" si="10"/>
        <v>4</v>
      </c>
      <c r="I41" s="13">
        <f t="shared" si="10"/>
        <v>0</v>
      </c>
      <c r="J41" s="13">
        <f t="shared" si="10"/>
        <v>0</v>
      </c>
      <c r="K41" s="13">
        <f t="shared" si="10"/>
        <v>2</v>
      </c>
      <c r="L41" s="13">
        <f t="shared" si="10"/>
        <v>2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9"/>
        <v>12</v>
      </c>
    </row>
    <row r="42" spans="1:16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13"/>
    </row>
    <row r="43" spans="1:16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3"/>
    </row>
    <row r="44" spans="1:16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</row>
    <row r="45" spans="1:16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11</v>
      </c>
      <c r="F45" s="15">
        <v>11</v>
      </c>
      <c r="G45" s="15">
        <v>7</v>
      </c>
      <c r="H45" s="15">
        <v>5</v>
      </c>
      <c r="I45" s="15">
        <v>8</v>
      </c>
      <c r="J45" s="15">
        <v>4</v>
      </c>
      <c r="K45" s="15">
        <v>3</v>
      </c>
      <c r="L45" s="15">
        <v>6</v>
      </c>
      <c r="M45" s="15">
        <v>1</v>
      </c>
      <c r="N45" s="15">
        <v>4</v>
      </c>
      <c r="O45" s="15">
        <v>2</v>
      </c>
      <c r="P45" s="13">
        <f t="shared" ref="P45:P192" si="11">SUM(E45:O45)</f>
        <v>62</v>
      </c>
    </row>
    <row r="46" spans="1:16" ht="12.75" customHeight="1" x14ac:dyDescent="0.4">
      <c r="A46" s="19" t="s">
        <v>39</v>
      </c>
      <c r="B46" s="27"/>
      <c r="C46" s="28" t="s">
        <v>40</v>
      </c>
      <c r="D46" s="29"/>
      <c r="E46" s="15">
        <v>47</v>
      </c>
      <c r="F46" s="15">
        <v>31</v>
      </c>
      <c r="G46" s="15">
        <v>34</v>
      </c>
      <c r="H46" s="15">
        <v>17</v>
      </c>
      <c r="I46" s="15">
        <v>28</v>
      </c>
      <c r="J46" s="15">
        <v>6</v>
      </c>
      <c r="K46" s="15">
        <v>16</v>
      </c>
      <c r="L46" s="15">
        <v>8</v>
      </c>
      <c r="M46" s="15">
        <v>1</v>
      </c>
      <c r="N46" s="15">
        <v>6</v>
      </c>
      <c r="O46" s="15">
        <v>4</v>
      </c>
      <c r="P46" s="13">
        <f t="shared" si="11"/>
        <v>198</v>
      </c>
    </row>
    <row r="47" spans="1:16" ht="12.75" customHeight="1" x14ac:dyDescent="0.4">
      <c r="A47" s="14"/>
      <c r="B47" s="27"/>
      <c r="C47" s="28" t="s">
        <v>41</v>
      </c>
      <c r="D47" s="29"/>
      <c r="E47" s="15">
        <v>1</v>
      </c>
      <c r="F47" s="15">
        <v>1</v>
      </c>
      <c r="G47" s="15">
        <v>0</v>
      </c>
      <c r="H47" s="15">
        <v>0</v>
      </c>
      <c r="I47" s="15">
        <v>2</v>
      </c>
      <c r="J47" s="15">
        <v>0</v>
      </c>
      <c r="K47" s="15">
        <v>0</v>
      </c>
      <c r="L47" s="15">
        <v>1</v>
      </c>
      <c r="M47" s="15">
        <v>1</v>
      </c>
      <c r="N47" s="15">
        <v>0</v>
      </c>
      <c r="O47" s="15">
        <v>0</v>
      </c>
      <c r="P47" s="13">
        <f t="shared" si="11"/>
        <v>6</v>
      </c>
    </row>
    <row r="48" spans="1:16" ht="12.75" customHeight="1" x14ac:dyDescent="0.4">
      <c r="A48" s="14"/>
      <c r="B48" s="27"/>
      <c r="C48" s="28" t="s">
        <v>42</v>
      </c>
      <c r="D48" s="29"/>
      <c r="E48" s="15">
        <v>2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1</v>
      </c>
      <c r="M48" s="15">
        <v>0</v>
      </c>
      <c r="N48" s="15">
        <v>0</v>
      </c>
      <c r="O48" s="15">
        <v>0</v>
      </c>
      <c r="P48" s="13">
        <f t="shared" si="11"/>
        <v>4</v>
      </c>
    </row>
    <row r="49" spans="1:16" ht="12.75" customHeight="1" x14ac:dyDescent="0.4">
      <c r="A49" s="14"/>
      <c r="B49" s="27"/>
      <c r="C49" s="28" t="s">
        <v>43</v>
      </c>
      <c r="D49" s="29"/>
      <c r="E49" s="15">
        <v>1</v>
      </c>
      <c r="F49" s="15">
        <v>0</v>
      </c>
      <c r="G49" s="15">
        <v>0</v>
      </c>
      <c r="H49" s="15">
        <v>1</v>
      </c>
      <c r="I49" s="15">
        <v>0</v>
      </c>
      <c r="J49" s="15">
        <v>0</v>
      </c>
      <c r="K49" s="15">
        <v>1</v>
      </c>
      <c r="L49" s="15">
        <v>0</v>
      </c>
      <c r="M49" s="15">
        <v>7</v>
      </c>
      <c r="N49" s="15">
        <v>7</v>
      </c>
      <c r="O49" s="15">
        <v>2</v>
      </c>
      <c r="P49" s="13">
        <f t="shared" si="11"/>
        <v>19</v>
      </c>
    </row>
    <row r="50" spans="1:16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3">
        <f t="shared" si="11"/>
        <v>0</v>
      </c>
    </row>
    <row r="51" spans="1:16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2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3">
        <f t="shared" si="11"/>
        <v>2</v>
      </c>
    </row>
    <row r="52" spans="1:16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O52" si="12">SUM(E45:E51)</f>
        <v>62</v>
      </c>
      <c r="F52" s="13">
        <f t="shared" si="12"/>
        <v>46</v>
      </c>
      <c r="G52" s="13">
        <f t="shared" si="12"/>
        <v>41</v>
      </c>
      <c r="H52" s="13">
        <f t="shared" si="12"/>
        <v>23</v>
      </c>
      <c r="I52" s="13">
        <f t="shared" si="12"/>
        <v>38</v>
      </c>
      <c r="J52" s="13">
        <f t="shared" si="12"/>
        <v>10</v>
      </c>
      <c r="K52" s="13">
        <f t="shared" si="12"/>
        <v>20</v>
      </c>
      <c r="L52" s="13">
        <f t="shared" si="12"/>
        <v>16</v>
      </c>
      <c r="M52" s="13">
        <f t="shared" si="12"/>
        <v>10</v>
      </c>
      <c r="N52" s="13">
        <f t="shared" si="12"/>
        <v>17</v>
      </c>
      <c r="O52" s="13">
        <f t="shared" si="12"/>
        <v>8</v>
      </c>
      <c r="P52" s="13">
        <f t="shared" si="11"/>
        <v>291</v>
      </c>
    </row>
    <row r="53" spans="1:16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3">
        <f t="shared" si="11"/>
        <v>0</v>
      </c>
    </row>
    <row r="54" spans="1:16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1</v>
      </c>
      <c r="F54" s="15">
        <v>4</v>
      </c>
      <c r="G54" s="15">
        <v>4</v>
      </c>
      <c r="H54" s="15">
        <v>3</v>
      </c>
      <c r="I54" s="15">
        <v>0</v>
      </c>
      <c r="J54" s="15">
        <v>10</v>
      </c>
      <c r="K54" s="15">
        <v>13</v>
      </c>
      <c r="L54" s="15">
        <v>6</v>
      </c>
      <c r="M54" s="15">
        <v>10</v>
      </c>
      <c r="N54" s="15">
        <v>9</v>
      </c>
      <c r="O54" s="15">
        <v>14</v>
      </c>
      <c r="P54" s="13">
        <f t="shared" si="11"/>
        <v>74</v>
      </c>
    </row>
    <row r="55" spans="1:16" ht="12.75" customHeight="1" x14ac:dyDescent="0.4">
      <c r="A55" s="19" t="s">
        <v>39</v>
      </c>
      <c r="B55" s="27"/>
      <c r="C55" s="28" t="s">
        <v>48</v>
      </c>
      <c r="D55" s="29"/>
      <c r="E55" s="15">
        <v>1</v>
      </c>
      <c r="F55" s="15">
        <v>0</v>
      </c>
      <c r="G55" s="15">
        <v>0</v>
      </c>
      <c r="H55" s="15">
        <v>1</v>
      </c>
      <c r="I55" s="15">
        <v>1</v>
      </c>
      <c r="J55" s="15">
        <v>6</v>
      </c>
      <c r="K55" s="15">
        <v>2</v>
      </c>
      <c r="L55" s="15">
        <v>1</v>
      </c>
      <c r="M55" s="15">
        <v>6</v>
      </c>
      <c r="N55" s="15">
        <v>5</v>
      </c>
      <c r="O55" s="15">
        <v>16</v>
      </c>
      <c r="P55" s="13">
        <f t="shared" si="11"/>
        <v>39</v>
      </c>
    </row>
    <row r="56" spans="1:16" ht="12.75" customHeight="1" x14ac:dyDescent="0.4">
      <c r="A56" s="14"/>
      <c r="B56" s="27"/>
      <c r="C56" s="28" t="s">
        <v>49</v>
      </c>
      <c r="D56" s="29"/>
      <c r="E56" s="15">
        <v>1</v>
      </c>
      <c r="F56" s="15">
        <v>0</v>
      </c>
      <c r="G56" s="15">
        <v>2</v>
      </c>
      <c r="H56" s="15">
        <v>1</v>
      </c>
      <c r="I56" s="15">
        <v>0</v>
      </c>
      <c r="J56" s="15">
        <v>0</v>
      </c>
      <c r="K56" s="15">
        <v>1</v>
      </c>
      <c r="L56" s="15">
        <v>0</v>
      </c>
      <c r="M56" s="15">
        <v>1</v>
      </c>
      <c r="N56" s="15">
        <v>0</v>
      </c>
      <c r="O56" s="15">
        <v>2</v>
      </c>
      <c r="P56" s="13">
        <f t="shared" si="11"/>
        <v>8</v>
      </c>
    </row>
    <row r="57" spans="1:16" ht="12.75" customHeight="1" x14ac:dyDescent="0.4">
      <c r="A57" s="14"/>
      <c r="B57" s="27"/>
      <c r="C57" s="28" t="s">
        <v>50</v>
      </c>
      <c r="D57" s="29"/>
      <c r="E57" s="15">
        <v>2</v>
      </c>
      <c r="F57" s="15">
        <v>0</v>
      </c>
      <c r="G57" s="15">
        <v>0</v>
      </c>
      <c r="H57" s="15">
        <v>0</v>
      </c>
      <c r="I57" s="15">
        <v>1</v>
      </c>
      <c r="J57" s="15">
        <v>0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3">
        <f t="shared" si="11"/>
        <v>4</v>
      </c>
    </row>
    <row r="58" spans="1:16" ht="12.75" customHeight="1" x14ac:dyDescent="0.4">
      <c r="A58" s="14"/>
      <c r="B58" s="27"/>
      <c r="C58" s="28" t="s">
        <v>51</v>
      </c>
      <c r="D58" s="29"/>
      <c r="E58" s="15">
        <v>2</v>
      </c>
      <c r="F58" s="15">
        <v>0</v>
      </c>
      <c r="G58" s="15">
        <v>0</v>
      </c>
      <c r="H58" s="15">
        <v>0</v>
      </c>
      <c r="I58" s="15">
        <v>3</v>
      </c>
      <c r="J58" s="15">
        <v>0</v>
      </c>
      <c r="K58" s="15">
        <v>2</v>
      </c>
      <c r="L58" s="15">
        <v>0</v>
      </c>
      <c r="M58" s="15">
        <v>3</v>
      </c>
      <c r="N58" s="15">
        <v>1</v>
      </c>
      <c r="O58" s="15">
        <v>0</v>
      </c>
      <c r="P58" s="13">
        <f t="shared" si="11"/>
        <v>11</v>
      </c>
    </row>
    <row r="59" spans="1:16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1</v>
      </c>
      <c r="M59" s="15">
        <v>0</v>
      </c>
      <c r="N59" s="15">
        <v>0</v>
      </c>
      <c r="O59" s="15">
        <v>0</v>
      </c>
      <c r="P59" s="13">
        <f t="shared" si="11"/>
        <v>1</v>
      </c>
    </row>
    <row r="60" spans="1:16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1</v>
      </c>
      <c r="G60" s="15">
        <v>1</v>
      </c>
      <c r="H60" s="15">
        <v>0</v>
      </c>
      <c r="I60" s="15">
        <v>2</v>
      </c>
      <c r="J60" s="15">
        <v>0</v>
      </c>
      <c r="K60" s="15">
        <v>0</v>
      </c>
      <c r="L60" s="15">
        <v>1</v>
      </c>
      <c r="M60" s="15">
        <v>0</v>
      </c>
      <c r="N60" s="15">
        <v>3</v>
      </c>
      <c r="O60" s="15">
        <v>0</v>
      </c>
      <c r="P60" s="13">
        <f t="shared" si="11"/>
        <v>8</v>
      </c>
    </row>
    <row r="61" spans="1:16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O61" si="13">SUM(E54:E60)</f>
        <v>7</v>
      </c>
      <c r="F61" s="13">
        <f t="shared" si="13"/>
        <v>5</v>
      </c>
      <c r="G61" s="13">
        <f t="shared" si="13"/>
        <v>7</v>
      </c>
      <c r="H61" s="13">
        <f t="shared" si="13"/>
        <v>5</v>
      </c>
      <c r="I61" s="13">
        <f t="shared" si="13"/>
        <v>7</v>
      </c>
      <c r="J61" s="13">
        <f t="shared" si="13"/>
        <v>16</v>
      </c>
      <c r="K61" s="13">
        <f t="shared" si="13"/>
        <v>19</v>
      </c>
      <c r="L61" s="13">
        <f t="shared" si="13"/>
        <v>9</v>
      </c>
      <c r="M61" s="13">
        <f t="shared" si="13"/>
        <v>20</v>
      </c>
      <c r="N61" s="13">
        <f t="shared" si="13"/>
        <v>18</v>
      </c>
      <c r="O61" s="13">
        <f t="shared" si="13"/>
        <v>32</v>
      </c>
      <c r="P61" s="13">
        <f t="shared" si="11"/>
        <v>145</v>
      </c>
    </row>
    <row r="62" spans="1:16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3">
        <f t="shared" si="11"/>
        <v>0</v>
      </c>
    </row>
    <row r="63" spans="1:16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4</v>
      </c>
      <c r="F63" s="15">
        <v>10</v>
      </c>
      <c r="G63" s="15">
        <v>9</v>
      </c>
      <c r="H63" s="15">
        <v>15</v>
      </c>
      <c r="I63" s="15">
        <v>14</v>
      </c>
      <c r="J63" s="15">
        <v>9</v>
      </c>
      <c r="K63" s="15">
        <v>18</v>
      </c>
      <c r="L63" s="15">
        <v>10</v>
      </c>
      <c r="M63" s="15">
        <v>6</v>
      </c>
      <c r="N63" s="15">
        <v>6</v>
      </c>
      <c r="O63" s="15">
        <v>7</v>
      </c>
      <c r="P63" s="13">
        <f t="shared" si="11"/>
        <v>108</v>
      </c>
    </row>
    <row r="64" spans="1:16" ht="12.75" customHeight="1" x14ac:dyDescent="0.4">
      <c r="A64" s="19" t="s">
        <v>39</v>
      </c>
      <c r="B64" s="27"/>
      <c r="C64" s="28" t="s">
        <v>55</v>
      </c>
      <c r="D64" s="29"/>
      <c r="E64" s="15">
        <v>8</v>
      </c>
      <c r="F64" s="15">
        <v>2</v>
      </c>
      <c r="G64" s="15">
        <v>23</v>
      </c>
      <c r="H64" s="15">
        <v>41</v>
      </c>
      <c r="I64" s="15">
        <v>33</v>
      </c>
      <c r="J64" s="15">
        <v>32</v>
      </c>
      <c r="K64" s="15">
        <v>58</v>
      </c>
      <c r="L64" s="15">
        <v>20</v>
      </c>
      <c r="M64" s="15">
        <v>6</v>
      </c>
      <c r="N64" s="15">
        <v>23</v>
      </c>
      <c r="O64" s="15">
        <v>14</v>
      </c>
      <c r="P64" s="13">
        <f t="shared" si="11"/>
        <v>260</v>
      </c>
    </row>
    <row r="65" spans="1:16" ht="12.75" customHeight="1" x14ac:dyDescent="0.4">
      <c r="A65" s="14"/>
      <c r="B65" s="27"/>
      <c r="C65" s="28" t="s">
        <v>56</v>
      </c>
      <c r="D65" s="29"/>
      <c r="E65" s="15">
        <v>0</v>
      </c>
      <c r="F65" s="15">
        <v>0</v>
      </c>
      <c r="G65" s="15">
        <v>2</v>
      </c>
      <c r="H65" s="15">
        <v>3</v>
      </c>
      <c r="I65" s="15">
        <v>0</v>
      </c>
      <c r="J65" s="15">
        <v>1</v>
      </c>
      <c r="K65" s="15">
        <v>0</v>
      </c>
      <c r="L65" s="15">
        <v>2</v>
      </c>
      <c r="M65" s="15">
        <v>1</v>
      </c>
      <c r="N65" s="15">
        <v>1</v>
      </c>
      <c r="O65" s="15">
        <v>2</v>
      </c>
      <c r="P65" s="13">
        <f t="shared" si="11"/>
        <v>12</v>
      </c>
    </row>
    <row r="66" spans="1:16" ht="12.75" customHeight="1" x14ac:dyDescent="0.4">
      <c r="A66" s="14"/>
      <c r="B66" s="27"/>
      <c r="C66" s="28" t="s">
        <v>57</v>
      </c>
      <c r="D66" s="29"/>
      <c r="E66" s="15">
        <v>6</v>
      </c>
      <c r="F66" s="15">
        <v>5</v>
      </c>
      <c r="G66" s="15">
        <v>11</v>
      </c>
      <c r="H66" s="15">
        <v>17</v>
      </c>
      <c r="I66" s="15">
        <v>9</v>
      </c>
      <c r="J66" s="15">
        <v>11</v>
      </c>
      <c r="K66" s="15">
        <v>10</v>
      </c>
      <c r="L66" s="15">
        <v>3</v>
      </c>
      <c r="M66" s="15">
        <v>11</v>
      </c>
      <c r="N66" s="15">
        <v>1</v>
      </c>
      <c r="O66" s="15">
        <v>1</v>
      </c>
      <c r="P66" s="13">
        <f t="shared" si="11"/>
        <v>85</v>
      </c>
    </row>
    <row r="67" spans="1:16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2</v>
      </c>
      <c r="G67" s="15">
        <v>3</v>
      </c>
      <c r="H67" s="15">
        <v>2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4</v>
      </c>
      <c r="O67" s="15">
        <v>0</v>
      </c>
      <c r="P67" s="13">
        <f t="shared" si="11"/>
        <v>12</v>
      </c>
    </row>
    <row r="68" spans="1:16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1</v>
      </c>
      <c r="L68" s="15">
        <v>0</v>
      </c>
      <c r="M68" s="15">
        <v>0</v>
      </c>
      <c r="N68" s="15">
        <v>1</v>
      </c>
      <c r="O68" s="15">
        <v>1</v>
      </c>
      <c r="P68" s="13">
        <f t="shared" si="11"/>
        <v>3</v>
      </c>
    </row>
    <row r="69" spans="1:16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1</v>
      </c>
      <c r="M69" s="15">
        <v>0</v>
      </c>
      <c r="N69" s="15">
        <v>0</v>
      </c>
      <c r="O69" s="15">
        <v>0</v>
      </c>
      <c r="P69" s="13">
        <f t="shared" si="11"/>
        <v>1</v>
      </c>
    </row>
    <row r="70" spans="1:16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O70" si="14">SUM(E63:E69)</f>
        <v>18</v>
      </c>
      <c r="F70" s="13">
        <f t="shared" si="14"/>
        <v>19</v>
      </c>
      <c r="G70" s="13">
        <f t="shared" si="14"/>
        <v>48</v>
      </c>
      <c r="H70" s="13">
        <f t="shared" si="14"/>
        <v>78</v>
      </c>
      <c r="I70" s="13">
        <f t="shared" si="14"/>
        <v>56</v>
      </c>
      <c r="J70" s="13">
        <f t="shared" si="14"/>
        <v>53</v>
      </c>
      <c r="K70" s="13">
        <f t="shared" si="14"/>
        <v>87</v>
      </c>
      <c r="L70" s="13">
        <f t="shared" si="14"/>
        <v>36</v>
      </c>
      <c r="M70" s="13">
        <f t="shared" si="14"/>
        <v>25</v>
      </c>
      <c r="N70" s="13">
        <f t="shared" si="14"/>
        <v>36</v>
      </c>
      <c r="O70" s="13">
        <f t="shared" si="14"/>
        <v>25</v>
      </c>
      <c r="P70" s="13">
        <f t="shared" si="11"/>
        <v>481</v>
      </c>
    </row>
    <row r="71" spans="1:16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3">
        <f t="shared" si="11"/>
        <v>0</v>
      </c>
    </row>
    <row r="72" spans="1:16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2</v>
      </c>
      <c r="F72" s="15">
        <v>6</v>
      </c>
      <c r="G72" s="15">
        <v>4</v>
      </c>
      <c r="H72" s="15">
        <v>6</v>
      </c>
      <c r="I72" s="15">
        <v>1</v>
      </c>
      <c r="J72" s="15">
        <v>11</v>
      </c>
      <c r="K72" s="15">
        <v>1</v>
      </c>
      <c r="L72" s="15">
        <v>10</v>
      </c>
      <c r="M72" s="15">
        <v>1</v>
      </c>
      <c r="N72" s="15">
        <v>4</v>
      </c>
      <c r="O72" s="15">
        <v>1</v>
      </c>
      <c r="P72" s="13">
        <f t="shared" si="11"/>
        <v>47</v>
      </c>
    </row>
    <row r="73" spans="1:16" ht="12.75" customHeight="1" x14ac:dyDescent="0.4">
      <c r="A73" s="19" t="s">
        <v>39</v>
      </c>
      <c r="B73" s="27"/>
      <c r="C73" s="28" t="s">
        <v>62</v>
      </c>
      <c r="D73" s="29"/>
      <c r="E73" s="15">
        <v>3</v>
      </c>
      <c r="F73" s="15">
        <v>1</v>
      </c>
      <c r="G73" s="15">
        <v>2</v>
      </c>
      <c r="H73" s="15">
        <v>7</v>
      </c>
      <c r="I73" s="15">
        <v>3</v>
      </c>
      <c r="J73" s="15">
        <v>24</v>
      </c>
      <c r="K73" s="15">
        <v>2</v>
      </c>
      <c r="L73" s="15">
        <v>1</v>
      </c>
      <c r="M73" s="15">
        <v>1</v>
      </c>
      <c r="N73" s="15">
        <v>2</v>
      </c>
      <c r="O73" s="15">
        <v>1</v>
      </c>
      <c r="P73" s="13">
        <f t="shared" si="11"/>
        <v>47</v>
      </c>
    </row>
    <row r="74" spans="1:16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3</v>
      </c>
      <c r="K74" s="15">
        <v>0</v>
      </c>
      <c r="L74" s="15">
        <v>0</v>
      </c>
      <c r="M74" s="15">
        <v>1</v>
      </c>
      <c r="N74" s="15">
        <v>0</v>
      </c>
      <c r="O74" s="15">
        <v>0</v>
      </c>
      <c r="P74" s="13">
        <f t="shared" si="11"/>
        <v>4</v>
      </c>
    </row>
    <row r="75" spans="1:16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1</v>
      </c>
      <c r="I75" s="15">
        <v>0</v>
      </c>
      <c r="J75" s="15">
        <v>1</v>
      </c>
      <c r="K75" s="15">
        <v>0</v>
      </c>
      <c r="L75" s="15">
        <v>1</v>
      </c>
      <c r="M75" s="15">
        <v>0</v>
      </c>
      <c r="N75" s="15">
        <v>1</v>
      </c>
      <c r="O75" s="15">
        <v>0</v>
      </c>
      <c r="P75" s="13">
        <f t="shared" si="11"/>
        <v>4</v>
      </c>
    </row>
    <row r="76" spans="1:16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3">
        <f t="shared" si="11"/>
        <v>1</v>
      </c>
    </row>
    <row r="77" spans="1:16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1</v>
      </c>
      <c r="P77" s="13">
        <f t="shared" si="11"/>
        <v>1</v>
      </c>
    </row>
    <row r="78" spans="1:16" ht="12.75" customHeight="1" x14ac:dyDescent="0.4">
      <c r="A78" s="14"/>
      <c r="B78" s="27"/>
      <c r="C78" s="28" t="s">
        <v>67</v>
      </c>
      <c r="D78" s="29"/>
      <c r="E78" s="15">
        <v>34</v>
      </c>
      <c r="F78" s="15">
        <v>47</v>
      </c>
      <c r="G78" s="15">
        <v>6</v>
      </c>
      <c r="H78" s="15">
        <v>15</v>
      </c>
      <c r="I78" s="15">
        <v>41</v>
      </c>
      <c r="J78" s="15">
        <v>32</v>
      </c>
      <c r="K78" s="15">
        <v>21</v>
      </c>
      <c r="L78" s="15">
        <v>86</v>
      </c>
      <c r="M78" s="15">
        <v>3</v>
      </c>
      <c r="N78" s="15">
        <v>14</v>
      </c>
      <c r="O78" s="15">
        <v>2</v>
      </c>
      <c r="P78" s="13">
        <f t="shared" si="11"/>
        <v>301</v>
      </c>
    </row>
    <row r="79" spans="1:16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O79" si="15">SUM(E72:E78)</f>
        <v>40</v>
      </c>
      <c r="F79" s="13">
        <f t="shared" si="15"/>
        <v>54</v>
      </c>
      <c r="G79" s="13">
        <f t="shared" si="15"/>
        <v>12</v>
      </c>
      <c r="H79" s="13">
        <f t="shared" si="15"/>
        <v>29</v>
      </c>
      <c r="I79" s="13">
        <f t="shared" si="15"/>
        <v>45</v>
      </c>
      <c r="J79" s="13">
        <f t="shared" si="15"/>
        <v>71</v>
      </c>
      <c r="K79" s="13">
        <f t="shared" si="15"/>
        <v>24</v>
      </c>
      <c r="L79" s="13">
        <f t="shared" si="15"/>
        <v>98</v>
      </c>
      <c r="M79" s="13">
        <f t="shared" si="15"/>
        <v>6</v>
      </c>
      <c r="N79" s="13">
        <f t="shared" si="15"/>
        <v>21</v>
      </c>
      <c r="O79" s="13">
        <f t="shared" si="15"/>
        <v>5</v>
      </c>
      <c r="P79" s="13">
        <f t="shared" si="11"/>
        <v>405</v>
      </c>
    </row>
    <row r="80" spans="1:16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3">
        <f t="shared" si="11"/>
        <v>0</v>
      </c>
    </row>
    <row r="81" spans="1:16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1</v>
      </c>
      <c r="F81" s="15">
        <v>0</v>
      </c>
      <c r="G81" s="15">
        <v>2</v>
      </c>
      <c r="H81" s="15">
        <v>2</v>
      </c>
      <c r="I81" s="15">
        <v>1</v>
      </c>
      <c r="J81" s="15">
        <v>0</v>
      </c>
      <c r="K81" s="15">
        <v>0</v>
      </c>
      <c r="L81" s="15">
        <v>0</v>
      </c>
      <c r="M81" s="15">
        <v>3</v>
      </c>
      <c r="N81" s="15">
        <v>1</v>
      </c>
      <c r="O81" s="15">
        <v>4</v>
      </c>
      <c r="P81" s="13">
        <f t="shared" si="11"/>
        <v>14</v>
      </c>
    </row>
    <row r="82" spans="1:16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1</v>
      </c>
      <c r="H82" s="15">
        <v>0</v>
      </c>
      <c r="I82" s="15">
        <v>0</v>
      </c>
      <c r="J82" s="15">
        <v>0</v>
      </c>
      <c r="K82" s="15">
        <v>1</v>
      </c>
      <c r="L82" s="15">
        <v>0</v>
      </c>
      <c r="M82" s="15">
        <v>0</v>
      </c>
      <c r="N82" s="15">
        <v>0</v>
      </c>
      <c r="O82" s="15">
        <v>0</v>
      </c>
      <c r="P82" s="13">
        <f t="shared" si="11"/>
        <v>2</v>
      </c>
    </row>
    <row r="83" spans="1:16" ht="12.75" customHeight="1" x14ac:dyDescent="0.4">
      <c r="A83" s="14"/>
      <c r="B83" s="27"/>
      <c r="C83" s="28" t="s">
        <v>71</v>
      </c>
      <c r="D83" s="29"/>
      <c r="E83" s="15">
        <v>6</v>
      </c>
      <c r="F83" s="15">
        <v>2</v>
      </c>
      <c r="G83" s="15">
        <v>10</v>
      </c>
      <c r="H83" s="15">
        <v>7</v>
      </c>
      <c r="I83" s="15">
        <v>16</v>
      </c>
      <c r="J83" s="15">
        <v>19</v>
      </c>
      <c r="K83" s="15">
        <v>7</v>
      </c>
      <c r="L83" s="15">
        <v>2</v>
      </c>
      <c r="M83" s="15">
        <v>30</v>
      </c>
      <c r="N83" s="15">
        <v>14</v>
      </c>
      <c r="O83" s="15">
        <v>28</v>
      </c>
      <c r="P83" s="13">
        <f t="shared" si="11"/>
        <v>141</v>
      </c>
    </row>
    <row r="84" spans="1:16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1</v>
      </c>
      <c r="K84" s="15">
        <v>0</v>
      </c>
      <c r="L84" s="15">
        <v>0</v>
      </c>
      <c r="M84" s="15">
        <v>1</v>
      </c>
      <c r="N84" s="15">
        <v>0</v>
      </c>
      <c r="O84" s="15">
        <v>2</v>
      </c>
      <c r="P84" s="13">
        <f t="shared" si="11"/>
        <v>4</v>
      </c>
    </row>
    <row r="85" spans="1:16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1</v>
      </c>
      <c r="O85" s="15">
        <v>0</v>
      </c>
      <c r="P85" s="13">
        <f t="shared" si="11"/>
        <v>1</v>
      </c>
    </row>
    <row r="86" spans="1:16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1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3">
        <f t="shared" si="11"/>
        <v>1</v>
      </c>
    </row>
    <row r="87" spans="1:16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1</v>
      </c>
      <c r="P87" s="13">
        <f t="shared" si="11"/>
        <v>1</v>
      </c>
    </row>
    <row r="88" spans="1:16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O88" si="16">SUM(E81:E87)</f>
        <v>7</v>
      </c>
      <c r="F88" s="13">
        <f t="shared" si="16"/>
        <v>2</v>
      </c>
      <c r="G88" s="13">
        <f t="shared" si="16"/>
        <v>14</v>
      </c>
      <c r="H88" s="13">
        <f t="shared" si="16"/>
        <v>9</v>
      </c>
      <c r="I88" s="13">
        <f t="shared" si="16"/>
        <v>17</v>
      </c>
      <c r="J88" s="13">
        <f t="shared" si="16"/>
        <v>20</v>
      </c>
      <c r="K88" s="13">
        <f t="shared" si="16"/>
        <v>8</v>
      </c>
      <c r="L88" s="13">
        <f t="shared" si="16"/>
        <v>2</v>
      </c>
      <c r="M88" s="13">
        <f t="shared" si="16"/>
        <v>34</v>
      </c>
      <c r="N88" s="13">
        <f t="shared" si="16"/>
        <v>16</v>
      </c>
      <c r="O88" s="13">
        <f t="shared" si="16"/>
        <v>35</v>
      </c>
      <c r="P88" s="13">
        <f t="shared" si="11"/>
        <v>164</v>
      </c>
    </row>
    <row r="89" spans="1:16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3">
        <f t="shared" si="11"/>
        <v>0</v>
      </c>
    </row>
    <row r="90" spans="1:16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1</v>
      </c>
      <c r="F90" s="15">
        <v>1</v>
      </c>
      <c r="G90" s="15">
        <v>0</v>
      </c>
      <c r="H90" s="15">
        <v>3</v>
      </c>
      <c r="I90" s="15">
        <v>2</v>
      </c>
      <c r="J90" s="15">
        <v>1</v>
      </c>
      <c r="K90" s="15">
        <v>0</v>
      </c>
      <c r="L90" s="15">
        <v>7</v>
      </c>
      <c r="M90" s="15">
        <v>0</v>
      </c>
      <c r="N90" s="15">
        <v>0</v>
      </c>
      <c r="O90" s="15">
        <v>1</v>
      </c>
      <c r="P90" s="13">
        <f t="shared" si="11"/>
        <v>16</v>
      </c>
    </row>
    <row r="91" spans="1:16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1</v>
      </c>
      <c r="G91" s="15">
        <v>1</v>
      </c>
      <c r="H91" s="15">
        <v>0</v>
      </c>
      <c r="I91" s="15">
        <v>1</v>
      </c>
      <c r="J91" s="15">
        <v>1</v>
      </c>
      <c r="K91" s="15">
        <v>0</v>
      </c>
      <c r="L91" s="15">
        <v>1</v>
      </c>
      <c r="M91" s="15">
        <v>0</v>
      </c>
      <c r="N91" s="15">
        <v>1</v>
      </c>
      <c r="O91" s="15">
        <v>0</v>
      </c>
      <c r="P91" s="13">
        <f t="shared" si="11"/>
        <v>6</v>
      </c>
    </row>
    <row r="92" spans="1:16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O92" si="17">SUM(E90:E91)</f>
        <v>1</v>
      </c>
      <c r="F92" s="36">
        <f t="shared" si="17"/>
        <v>2</v>
      </c>
      <c r="G92" s="36">
        <f t="shared" si="17"/>
        <v>1</v>
      </c>
      <c r="H92" s="36">
        <f t="shared" si="17"/>
        <v>3</v>
      </c>
      <c r="I92" s="36">
        <f t="shared" si="17"/>
        <v>3</v>
      </c>
      <c r="J92" s="36">
        <f t="shared" si="17"/>
        <v>2</v>
      </c>
      <c r="K92" s="36">
        <f t="shared" si="17"/>
        <v>0</v>
      </c>
      <c r="L92" s="36">
        <f t="shared" si="17"/>
        <v>8</v>
      </c>
      <c r="M92" s="36">
        <f t="shared" si="17"/>
        <v>0</v>
      </c>
      <c r="N92" s="36">
        <f t="shared" si="17"/>
        <v>1</v>
      </c>
      <c r="O92" s="36">
        <f t="shared" si="17"/>
        <v>1</v>
      </c>
      <c r="P92" s="13">
        <f t="shared" si="11"/>
        <v>22</v>
      </c>
    </row>
    <row r="93" spans="1:16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3">
        <f t="shared" si="11"/>
        <v>0</v>
      </c>
    </row>
    <row r="94" spans="1:16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1</v>
      </c>
      <c r="F94" s="15">
        <v>0</v>
      </c>
      <c r="G94" s="15">
        <v>0</v>
      </c>
      <c r="H94" s="15">
        <v>2</v>
      </c>
      <c r="I94" s="15">
        <v>0</v>
      </c>
      <c r="J94" s="15">
        <v>0</v>
      </c>
      <c r="K94" s="15">
        <v>0</v>
      </c>
      <c r="L94" s="15">
        <v>1</v>
      </c>
      <c r="M94" s="15">
        <v>2</v>
      </c>
      <c r="N94" s="15">
        <v>1</v>
      </c>
      <c r="O94" s="15">
        <v>0</v>
      </c>
      <c r="P94" s="13">
        <f t="shared" si="11"/>
        <v>7</v>
      </c>
    </row>
    <row r="95" spans="1:16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1</v>
      </c>
      <c r="O95" s="15">
        <v>0</v>
      </c>
      <c r="P95" s="13">
        <f t="shared" si="11"/>
        <v>1</v>
      </c>
    </row>
    <row r="96" spans="1:16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3">
        <f t="shared" si="11"/>
        <v>1</v>
      </c>
    </row>
    <row r="97" spans="1:16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3">
        <f t="shared" si="11"/>
        <v>0</v>
      </c>
    </row>
    <row r="98" spans="1:16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3">
        <f t="shared" si="11"/>
        <v>0</v>
      </c>
    </row>
    <row r="99" spans="1:16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3">
        <f t="shared" si="11"/>
        <v>0</v>
      </c>
    </row>
    <row r="100" spans="1:16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3">
        <f t="shared" si="11"/>
        <v>0</v>
      </c>
    </row>
    <row r="101" spans="1:16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O101" si="18">SUM(E94:E100)</f>
        <v>1</v>
      </c>
      <c r="F101" s="13">
        <f t="shared" si="18"/>
        <v>0</v>
      </c>
      <c r="G101" s="13">
        <f t="shared" si="18"/>
        <v>0</v>
      </c>
      <c r="H101" s="13">
        <f t="shared" si="18"/>
        <v>2</v>
      </c>
      <c r="I101" s="13">
        <f t="shared" si="18"/>
        <v>1</v>
      </c>
      <c r="J101" s="13">
        <f t="shared" si="18"/>
        <v>0</v>
      </c>
      <c r="K101" s="13">
        <f t="shared" si="18"/>
        <v>0</v>
      </c>
      <c r="L101" s="13">
        <f t="shared" si="18"/>
        <v>1</v>
      </c>
      <c r="M101" s="13">
        <f t="shared" si="18"/>
        <v>2</v>
      </c>
      <c r="N101" s="13">
        <f t="shared" si="18"/>
        <v>2</v>
      </c>
      <c r="O101" s="13">
        <f t="shared" si="18"/>
        <v>0</v>
      </c>
      <c r="P101" s="13">
        <f t="shared" si="11"/>
        <v>9</v>
      </c>
    </row>
    <row r="102" spans="1:16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3">
        <f t="shared" si="11"/>
        <v>0</v>
      </c>
    </row>
    <row r="103" spans="1:16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0</v>
      </c>
      <c r="F103" s="15">
        <v>0</v>
      </c>
      <c r="G103" s="15">
        <v>3</v>
      </c>
      <c r="H103" s="15">
        <v>1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3">
        <f t="shared" si="11"/>
        <v>4</v>
      </c>
    </row>
    <row r="104" spans="1:16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1</v>
      </c>
      <c r="I104" s="15">
        <v>0</v>
      </c>
      <c r="J104" s="15">
        <v>0</v>
      </c>
      <c r="K104" s="15">
        <v>1</v>
      </c>
      <c r="L104" s="15">
        <v>0</v>
      </c>
      <c r="M104" s="15">
        <v>0</v>
      </c>
      <c r="N104" s="15">
        <v>0</v>
      </c>
      <c r="O104" s="15">
        <v>0</v>
      </c>
      <c r="P104" s="13">
        <f t="shared" si="11"/>
        <v>2</v>
      </c>
    </row>
    <row r="105" spans="1:16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3">
        <f t="shared" si="11"/>
        <v>1</v>
      </c>
    </row>
    <row r="106" spans="1:16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3">
        <f t="shared" si="11"/>
        <v>0</v>
      </c>
    </row>
    <row r="107" spans="1:16" ht="12.75" customHeight="1" x14ac:dyDescent="0.4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3">
        <f t="shared" si="11"/>
        <v>0</v>
      </c>
    </row>
    <row r="108" spans="1:16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3">
        <f t="shared" si="11"/>
        <v>0</v>
      </c>
    </row>
    <row r="109" spans="1:16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1</v>
      </c>
      <c r="M109" s="15">
        <v>0</v>
      </c>
      <c r="N109" s="15">
        <v>0</v>
      </c>
      <c r="O109" s="15">
        <v>0</v>
      </c>
      <c r="P109" s="13">
        <f t="shared" si="11"/>
        <v>1</v>
      </c>
    </row>
    <row r="110" spans="1:16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O110" si="19">SUM(E103:E109)</f>
        <v>0</v>
      </c>
      <c r="F110" s="13">
        <f t="shared" si="19"/>
        <v>1</v>
      </c>
      <c r="G110" s="13">
        <f t="shared" si="19"/>
        <v>3</v>
      </c>
      <c r="H110" s="13">
        <f t="shared" si="19"/>
        <v>2</v>
      </c>
      <c r="I110" s="13">
        <f t="shared" si="19"/>
        <v>0</v>
      </c>
      <c r="J110" s="13">
        <f t="shared" si="19"/>
        <v>0</v>
      </c>
      <c r="K110" s="13">
        <f t="shared" si="19"/>
        <v>1</v>
      </c>
      <c r="L110" s="13">
        <f t="shared" si="19"/>
        <v>1</v>
      </c>
      <c r="M110" s="13">
        <f t="shared" si="19"/>
        <v>0</v>
      </c>
      <c r="N110" s="13">
        <f t="shared" si="19"/>
        <v>0</v>
      </c>
      <c r="O110" s="13">
        <f t="shared" si="19"/>
        <v>0</v>
      </c>
      <c r="P110" s="13">
        <f t="shared" si="11"/>
        <v>8</v>
      </c>
    </row>
    <row r="111" spans="1:16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3">
        <f t="shared" si="11"/>
        <v>0</v>
      </c>
    </row>
    <row r="112" spans="1:16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3">
        <f t="shared" si="11"/>
        <v>0</v>
      </c>
    </row>
    <row r="113" spans="1:18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3">
        <f t="shared" si="11"/>
        <v>0</v>
      </c>
    </row>
    <row r="114" spans="1:18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3">
        <f t="shared" si="11"/>
        <v>0</v>
      </c>
    </row>
    <row r="115" spans="1:18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3">
        <f t="shared" si="11"/>
        <v>0</v>
      </c>
    </row>
    <row r="116" spans="1:18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3">
        <f t="shared" si="11"/>
        <v>0</v>
      </c>
    </row>
    <row r="117" spans="1:18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3">
        <f t="shared" si="11"/>
        <v>0</v>
      </c>
      <c r="Q117" s="5"/>
      <c r="R117" s="5"/>
    </row>
    <row r="118" spans="1:18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3">
        <f t="shared" si="11"/>
        <v>0</v>
      </c>
      <c r="Q118" s="5"/>
      <c r="R118" s="5"/>
    </row>
    <row r="119" spans="1:18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O119" si="20">SUM(E112:E118)</f>
        <v>0</v>
      </c>
      <c r="F119" s="13">
        <f t="shared" si="20"/>
        <v>0</v>
      </c>
      <c r="G119" s="13">
        <f t="shared" si="20"/>
        <v>0</v>
      </c>
      <c r="H119" s="13">
        <f t="shared" si="20"/>
        <v>0</v>
      </c>
      <c r="I119" s="13">
        <f t="shared" si="20"/>
        <v>0</v>
      </c>
      <c r="J119" s="13">
        <f t="shared" si="20"/>
        <v>0</v>
      </c>
      <c r="K119" s="13">
        <f t="shared" si="20"/>
        <v>0</v>
      </c>
      <c r="L119" s="13">
        <f t="shared" si="20"/>
        <v>0</v>
      </c>
      <c r="M119" s="13">
        <f t="shared" si="20"/>
        <v>0</v>
      </c>
      <c r="N119" s="13">
        <f t="shared" si="20"/>
        <v>0</v>
      </c>
      <c r="O119" s="13">
        <f t="shared" si="20"/>
        <v>0</v>
      </c>
      <c r="P119" s="13">
        <f t="shared" si="11"/>
        <v>0</v>
      </c>
      <c r="Q119" s="5"/>
      <c r="R119" s="5"/>
    </row>
    <row r="120" spans="1:18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3">
        <f t="shared" si="11"/>
        <v>0</v>
      </c>
      <c r="Q120" s="5"/>
      <c r="R120" s="5"/>
    </row>
    <row r="121" spans="1:18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1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3">
        <f t="shared" si="11"/>
        <v>1</v>
      </c>
      <c r="Q121" s="5"/>
      <c r="R121" s="5"/>
    </row>
    <row r="122" spans="1:18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3">
        <f t="shared" si="11"/>
        <v>0</v>
      </c>
      <c r="Q122" s="5"/>
      <c r="R122" s="5"/>
    </row>
    <row r="123" spans="1:18" ht="12.75" customHeight="1" x14ac:dyDescent="0.4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3">
        <f t="shared" si="11"/>
        <v>0</v>
      </c>
      <c r="Q123" s="5"/>
      <c r="R123" s="5"/>
    </row>
    <row r="124" spans="1:18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1</v>
      </c>
      <c r="M124" s="15">
        <v>1</v>
      </c>
      <c r="N124" s="15">
        <v>0</v>
      </c>
      <c r="O124" s="15">
        <v>0</v>
      </c>
      <c r="P124" s="13">
        <f t="shared" si="11"/>
        <v>2</v>
      </c>
      <c r="Q124" s="5"/>
      <c r="R124" s="5"/>
    </row>
    <row r="125" spans="1:18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3">
        <f t="shared" si="11"/>
        <v>0</v>
      </c>
      <c r="Q125" s="5"/>
      <c r="R125" s="5"/>
    </row>
    <row r="126" spans="1:18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3">
        <f t="shared" si="11"/>
        <v>0</v>
      </c>
      <c r="Q126" s="5"/>
      <c r="R126" s="5"/>
    </row>
    <row r="127" spans="1:18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3">
        <f t="shared" si="11"/>
        <v>0</v>
      </c>
      <c r="Q127" s="5"/>
      <c r="R127" s="5"/>
    </row>
    <row r="128" spans="1:18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O128" si="21">SUM(E121:E127)</f>
        <v>0</v>
      </c>
      <c r="F128" s="13">
        <f t="shared" si="21"/>
        <v>0</v>
      </c>
      <c r="G128" s="13">
        <f t="shared" si="21"/>
        <v>1</v>
      </c>
      <c r="H128" s="13">
        <f t="shared" si="21"/>
        <v>0</v>
      </c>
      <c r="I128" s="13">
        <f t="shared" si="21"/>
        <v>0</v>
      </c>
      <c r="J128" s="13">
        <f t="shared" si="21"/>
        <v>0</v>
      </c>
      <c r="K128" s="13">
        <f t="shared" si="21"/>
        <v>0</v>
      </c>
      <c r="L128" s="13">
        <f t="shared" si="21"/>
        <v>1</v>
      </c>
      <c r="M128" s="13">
        <f t="shared" si="21"/>
        <v>1</v>
      </c>
      <c r="N128" s="13">
        <f t="shared" si="21"/>
        <v>0</v>
      </c>
      <c r="O128" s="13">
        <f t="shared" si="21"/>
        <v>0</v>
      </c>
      <c r="P128" s="13">
        <f t="shared" si="11"/>
        <v>3</v>
      </c>
      <c r="Q128" s="5"/>
      <c r="R128" s="5"/>
    </row>
    <row r="129" spans="1:18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3">
        <f t="shared" si="11"/>
        <v>0</v>
      </c>
      <c r="Q129" s="5"/>
      <c r="R129" s="5"/>
    </row>
    <row r="130" spans="1:18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1</v>
      </c>
      <c r="O130" s="15">
        <v>0</v>
      </c>
      <c r="P130" s="13">
        <f t="shared" si="11"/>
        <v>1</v>
      </c>
      <c r="Q130" s="1"/>
      <c r="R130" s="1"/>
    </row>
    <row r="131" spans="1:18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3">
        <f t="shared" si="11"/>
        <v>0</v>
      </c>
      <c r="Q131" s="31"/>
      <c r="R131" s="31"/>
    </row>
    <row r="132" spans="1:18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O132" si="22">SUM(E130:E131)</f>
        <v>0</v>
      </c>
      <c r="F132" s="13">
        <f t="shared" si="22"/>
        <v>0</v>
      </c>
      <c r="G132" s="13">
        <f t="shared" si="22"/>
        <v>0</v>
      </c>
      <c r="H132" s="13">
        <f t="shared" si="22"/>
        <v>0</v>
      </c>
      <c r="I132" s="13">
        <f t="shared" si="22"/>
        <v>0</v>
      </c>
      <c r="J132" s="13">
        <f t="shared" si="22"/>
        <v>0</v>
      </c>
      <c r="K132" s="13">
        <f t="shared" si="22"/>
        <v>0</v>
      </c>
      <c r="L132" s="13">
        <f t="shared" si="22"/>
        <v>0</v>
      </c>
      <c r="M132" s="13">
        <f t="shared" si="22"/>
        <v>0</v>
      </c>
      <c r="N132" s="13">
        <f t="shared" si="22"/>
        <v>1</v>
      </c>
      <c r="O132" s="13">
        <f t="shared" si="22"/>
        <v>0</v>
      </c>
      <c r="P132" s="13">
        <f t="shared" si="11"/>
        <v>1</v>
      </c>
      <c r="Q132" s="5"/>
      <c r="R132" s="5"/>
    </row>
    <row r="133" spans="1:18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3">
        <f t="shared" si="11"/>
        <v>0</v>
      </c>
      <c r="Q133" s="5"/>
      <c r="R133" s="5"/>
    </row>
    <row r="134" spans="1:18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3">
        <f t="shared" si="11"/>
        <v>1</v>
      </c>
      <c r="Q134" s="5"/>
      <c r="R134" s="5"/>
    </row>
    <row r="135" spans="1:18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3">
        <f t="shared" si="11"/>
        <v>0</v>
      </c>
      <c r="Q135" s="5"/>
      <c r="R135" s="5"/>
    </row>
    <row r="136" spans="1:18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4</v>
      </c>
      <c r="N136" s="15">
        <v>4</v>
      </c>
      <c r="O136" s="15">
        <v>0</v>
      </c>
      <c r="P136" s="13">
        <f t="shared" si="11"/>
        <v>8</v>
      </c>
      <c r="Q136" s="5"/>
      <c r="R136" s="5"/>
    </row>
    <row r="137" spans="1:18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3">
        <f t="shared" si="11"/>
        <v>1</v>
      </c>
      <c r="Q137" s="5"/>
      <c r="R137" s="5"/>
    </row>
    <row r="138" spans="1:18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3">
        <f t="shared" si="11"/>
        <v>0</v>
      </c>
      <c r="Q138" s="5"/>
      <c r="R138" s="5"/>
    </row>
    <row r="139" spans="1:18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3">
        <f t="shared" si="11"/>
        <v>0</v>
      </c>
      <c r="Q139" s="5"/>
      <c r="R139" s="5"/>
    </row>
    <row r="140" spans="1:18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1</v>
      </c>
      <c r="P140" s="13">
        <f t="shared" si="11"/>
        <v>1</v>
      </c>
      <c r="Q140" s="5"/>
      <c r="R140" s="5"/>
    </row>
    <row r="141" spans="1:18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O141" si="23">SUM(E134:E140)</f>
        <v>0</v>
      </c>
      <c r="F141" s="13">
        <f t="shared" si="23"/>
        <v>0</v>
      </c>
      <c r="G141" s="13">
        <f t="shared" si="23"/>
        <v>0</v>
      </c>
      <c r="H141" s="13">
        <f t="shared" si="23"/>
        <v>0</v>
      </c>
      <c r="I141" s="13">
        <f t="shared" si="23"/>
        <v>1</v>
      </c>
      <c r="J141" s="13">
        <f t="shared" si="23"/>
        <v>0</v>
      </c>
      <c r="K141" s="13">
        <f t="shared" si="23"/>
        <v>0</v>
      </c>
      <c r="L141" s="13">
        <f t="shared" si="23"/>
        <v>0</v>
      </c>
      <c r="M141" s="13">
        <f t="shared" si="23"/>
        <v>4</v>
      </c>
      <c r="N141" s="13">
        <f t="shared" si="23"/>
        <v>4</v>
      </c>
      <c r="O141" s="13">
        <f t="shared" si="23"/>
        <v>2</v>
      </c>
      <c r="P141" s="13">
        <f t="shared" si="11"/>
        <v>11</v>
      </c>
      <c r="Q141" s="1"/>
      <c r="R141" s="1"/>
    </row>
    <row r="142" spans="1:18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3">
        <f t="shared" si="11"/>
        <v>0</v>
      </c>
      <c r="Q142" s="31"/>
      <c r="R142" s="31"/>
    </row>
    <row r="143" spans="1:18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1</v>
      </c>
      <c r="L143" s="15">
        <v>0</v>
      </c>
      <c r="M143" s="15">
        <v>0</v>
      </c>
      <c r="N143" s="15">
        <v>0</v>
      </c>
      <c r="O143" s="15">
        <v>0</v>
      </c>
      <c r="P143" s="13">
        <f t="shared" si="11"/>
        <v>1</v>
      </c>
      <c r="Q143" s="5"/>
      <c r="R143" s="5"/>
    </row>
    <row r="144" spans="1:18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1</v>
      </c>
      <c r="O144" s="15">
        <v>0</v>
      </c>
      <c r="P144" s="13">
        <f t="shared" si="11"/>
        <v>1</v>
      </c>
      <c r="Q144" s="5"/>
      <c r="R144" s="5"/>
    </row>
    <row r="145" spans="1:18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2</v>
      </c>
      <c r="P145" s="13">
        <f t="shared" si="11"/>
        <v>2</v>
      </c>
      <c r="Q145" s="5"/>
      <c r="R145" s="5"/>
    </row>
    <row r="146" spans="1:18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3">
        <f t="shared" si="11"/>
        <v>0</v>
      </c>
      <c r="Q146" s="5"/>
      <c r="R146" s="5"/>
    </row>
    <row r="147" spans="1:18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3">
        <f t="shared" si="11"/>
        <v>0</v>
      </c>
      <c r="Q147" s="5"/>
      <c r="R147" s="5"/>
    </row>
    <row r="148" spans="1:18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3">
        <f t="shared" si="11"/>
        <v>0</v>
      </c>
      <c r="Q148" s="5"/>
      <c r="R148" s="5"/>
    </row>
    <row r="149" spans="1:18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3">
        <f t="shared" si="11"/>
        <v>0</v>
      </c>
      <c r="Q149" s="5"/>
      <c r="R149" s="5"/>
    </row>
    <row r="150" spans="1:18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O150" si="24">SUM(E143:E149)</f>
        <v>0</v>
      </c>
      <c r="F150" s="13">
        <f t="shared" si="24"/>
        <v>0</v>
      </c>
      <c r="G150" s="13">
        <f t="shared" si="24"/>
        <v>0</v>
      </c>
      <c r="H150" s="13">
        <f t="shared" si="24"/>
        <v>0</v>
      </c>
      <c r="I150" s="13">
        <f t="shared" si="24"/>
        <v>0</v>
      </c>
      <c r="J150" s="13">
        <f t="shared" si="24"/>
        <v>0</v>
      </c>
      <c r="K150" s="13">
        <f t="shared" si="24"/>
        <v>1</v>
      </c>
      <c r="L150" s="13">
        <f t="shared" si="24"/>
        <v>0</v>
      </c>
      <c r="M150" s="13">
        <f t="shared" si="24"/>
        <v>0</v>
      </c>
      <c r="N150" s="13">
        <f t="shared" si="24"/>
        <v>1</v>
      </c>
      <c r="O150" s="13">
        <f t="shared" si="24"/>
        <v>2</v>
      </c>
      <c r="P150" s="13">
        <f t="shared" si="11"/>
        <v>4</v>
      </c>
      <c r="Q150" s="5"/>
      <c r="R150" s="5"/>
    </row>
    <row r="151" spans="1:18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3">
        <f t="shared" si="11"/>
        <v>0</v>
      </c>
      <c r="Q151" s="1"/>
      <c r="R151" s="1"/>
    </row>
    <row r="152" spans="1:18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1</v>
      </c>
      <c r="F152" s="15">
        <v>4</v>
      </c>
      <c r="G152" s="15">
        <v>9</v>
      </c>
      <c r="H152" s="15">
        <v>4</v>
      </c>
      <c r="I152" s="15">
        <v>3</v>
      </c>
      <c r="J152" s="15">
        <v>2</v>
      </c>
      <c r="K152" s="15">
        <v>1</v>
      </c>
      <c r="L152" s="15">
        <v>1</v>
      </c>
      <c r="M152" s="15">
        <v>3</v>
      </c>
      <c r="N152" s="15">
        <v>5</v>
      </c>
      <c r="O152" s="15">
        <v>3</v>
      </c>
      <c r="P152" s="13">
        <f t="shared" si="11"/>
        <v>36</v>
      </c>
      <c r="Q152" s="31"/>
      <c r="R152" s="31"/>
    </row>
    <row r="153" spans="1:18" ht="12.75" customHeight="1" x14ac:dyDescent="0.4">
      <c r="A153" s="19" t="s">
        <v>39</v>
      </c>
      <c r="B153" s="27"/>
      <c r="C153" s="28" t="s">
        <v>132</v>
      </c>
      <c r="D153" s="29"/>
      <c r="E153" s="15">
        <v>1</v>
      </c>
      <c r="F153" s="15">
        <v>1</v>
      </c>
      <c r="G153" s="15">
        <v>4</v>
      </c>
      <c r="H153" s="15">
        <v>8</v>
      </c>
      <c r="I153" s="15">
        <v>2</v>
      </c>
      <c r="J153" s="15">
        <v>0</v>
      </c>
      <c r="K153" s="15">
        <v>1</v>
      </c>
      <c r="L153" s="15">
        <v>4</v>
      </c>
      <c r="M153" s="15">
        <v>2</v>
      </c>
      <c r="N153" s="15">
        <v>0</v>
      </c>
      <c r="O153" s="15">
        <v>0</v>
      </c>
      <c r="P153" s="13">
        <f t="shared" si="11"/>
        <v>23</v>
      </c>
      <c r="Q153" s="5"/>
      <c r="R153" s="5"/>
    </row>
    <row r="154" spans="1:18" ht="12.75" customHeight="1" x14ac:dyDescent="0.4">
      <c r="A154" s="14"/>
      <c r="B154" s="27"/>
      <c r="C154" s="28" t="s">
        <v>133</v>
      </c>
      <c r="D154" s="29"/>
      <c r="E154" s="15">
        <v>1</v>
      </c>
      <c r="F154" s="15">
        <v>2</v>
      </c>
      <c r="G154" s="15">
        <v>2</v>
      </c>
      <c r="H154" s="15">
        <v>0</v>
      </c>
      <c r="I154" s="15">
        <v>1</v>
      </c>
      <c r="J154" s="15">
        <v>0</v>
      </c>
      <c r="K154" s="15">
        <v>1</v>
      </c>
      <c r="L154" s="15">
        <v>1</v>
      </c>
      <c r="M154" s="15">
        <v>2</v>
      </c>
      <c r="N154" s="15">
        <v>2</v>
      </c>
      <c r="O154" s="15">
        <v>1</v>
      </c>
      <c r="P154" s="13">
        <f t="shared" si="11"/>
        <v>13</v>
      </c>
      <c r="Q154" s="5"/>
      <c r="R154" s="5"/>
    </row>
    <row r="155" spans="1:18" ht="12.75" customHeight="1" x14ac:dyDescent="0.4">
      <c r="A155" s="14"/>
      <c r="B155" s="27"/>
      <c r="C155" s="28" t="s">
        <v>134</v>
      </c>
      <c r="D155" s="29"/>
      <c r="E155" s="15">
        <v>5</v>
      </c>
      <c r="F155" s="15">
        <v>17</v>
      </c>
      <c r="G155" s="15">
        <v>57</v>
      </c>
      <c r="H155" s="15">
        <v>53</v>
      </c>
      <c r="I155" s="15">
        <v>34</v>
      </c>
      <c r="J155" s="15">
        <v>15</v>
      </c>
      <c r="K155" s="15">
        <v>18</v>
      </c>
      <c r="L155" s="15">
        <v>23</v>
      </c>
      <c r="M155" s="15">
        <v>46</v>
      </c>
      <c r="N155" s="15">
        <v>25</v>
      </c>
      <c r="O155" s="15">
        <v>49</v>
      </c>
      <c r="P155" s="13">
        <f t="shared" si="11"/>
        <v>342</v>
      </c>
      <c r="Q155" s="5"/>
      <c r="R155" s="5"/>
    </row>
    <row r="156" spans="1:18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0</v>
      </c>
      <c r="P156" s="13">
        <f t="shared" si="11"/>
        <v>1</v>
      </c>
      <c r="Q156" s="5"/>
      <c r="R156" s="5"/>
    </row>
    <row r="157" spans="1:18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3">
        <f t="shared" si="11"/>
        <v>0</v>
      </c>
      <c r="Q157" s="5"/>
      <c r="R157" s="5"/>
    </row>
    <row r="158" spans="1:18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3">
        <f t="shared" si="11"/>
        <v>0</v>
      </c>
      <c r="Q158" s="5"/>
      <c r="R158" s="5"/>
    </row>
    <row r="159" spans="1:18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O159" si="25">SUM(E152:E158)</f>
        <v>8</v>
      </c>
      <c r="F159" s="13">
        <f t="shared" si="25"/>
        <v>24</v>
      </c>
      <c r="G159" s="13">
        <f t="shared" si="25"/>
        <v>72</v>
      </c>
      <c r="H159" s="13">
        <f t="shared" si="25"/>
        <v>65</v>
      </c>
      <c r="I159" s="13">
        <f t="shared" si="25"/>
        <v>40</v>
      </c>
      <c r="J159" s="13">
        <f t="shared" si="25"/>
        <v>17</v>
      </c>
      <c r="K159" s="13">
        <f t="shared" si="25"/>
        <v>21</v>
      </c>
      <c r="L159" s="13">
        <f t="shared" si="25"/>
        <v>29</v>
      </c>
      <c r="M159" s="13">
        <f t="shared" si="25"/>
        <v>54</v>
      </c>
      <c r="N159" s="13">
        <f t="shared" si="25"/>
        <v>32</v>
      </c>
      <c r="O159" s="13">
        <f t="shared" si="25"/>
        <v>53</v>
      </c>
      <c r="P159" s="13">
        <f t="shared" si="11"/>
        <v>415</v>
      </c>
      <c r="Q159" s="5"/>
      <c r="R159" s="5"/>
    </row>
    <row r="160" spans="1:18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3">
        <f t="shared" si="11"/>
        <v>0</v>
      </c>
      <c r="Q160" s="5"/>
      <c r="R160" s="5"/>
    </row>
    <row r="161" spans="1:18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0</v>
      </c>
      <c r="G161" s="46">
        <v>1</v>
      </c>
      <c r="H161" s="46">
        <v>0</v>
      </c>
      <c r="I161" s="46">
        <v>0</v>
      </c>
      <c r="J161" s="46">
        <v>0</v>
      </c>
      <c r="K161" s="46">
        <v>1</v>
      </c>
      <c r="L161" s="46">
        <v>0</v>
      </c>
      <c r="M161" s="46">
        <v>0</v>
      </c>
      <c r="N161" s="46">
        <v>0</v>
      </c>
      <c r="O161" s="46">
        <v>0</v>
      </c>
      <c r="P161" s="13">
        <f t="shared" si="11"/>
        <v>2</v>
      </c>
      <c r="Q161" s="5"/>
      <c r="R161" s="5"/>
    </row>
    <row r="162" spans="1:18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0</v>
      </c>
      <c r="G162" s="46">
        <v>0</v>
      </c>
      <c r="H162" s="46">
        <v>1</v>
      </c>
      <c r="I162" s="46"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0</v>
      </c>
      <c r="O162" s="46">
        <v>0</v>
      </c>
      <c r="P162" s="13">
        <f t="shared" si="11"/>
        <v>1</v>
      </c>
      <c r="Q162" s="5"/>
      <c r="R162" s="5"/>
    </row>
    <row r="163" spans="1:18" ht="12.75" customHeight="1" x14ac:dyDescent="0.4">
      <c r="A163" s="19"/>
      <c r="B163" s="27"/>
      <c r="C163" s="28" t="s">
        <v>141</v>
      </c>
      <c r="D163" s="29"/>
      <c r="E163" s="46">
        <v>1</v>
      </c>
      <c r="F163" s="46">
        <v>0</v>
      </c>
      <c r="G163" s="46">
        <v>1</v>
      </c>
      <c r="H163" s="46">
        <v>0</v>
      </c>
      <c r="I163" s="46">
        <v>1</v>
      </c>
      <c r="J163" s="46">
        <v>2</v>
      </c>
      <c r="K163" s="46">
        <v>0</v>
      </c>
      <c r="L163" s="46">
        <v>1</v>
      </c>
      <c r="M163" s="46">
        <v>0</v>
      </c>
      <c r="N163" s="46">
        <v>0</v>
      </c>
      <c r="O163" s="46">
        <v>0</v>
      </c>
      <c r="P163" s="13">
        <f t="shared" si="11"/>
        <v>6</v>
      </c>
      <c r="Q163" s="5"/>
      <c r="R163" s="5"/>
    </row>
    <row r="164" spans="1:18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O164" si="26">SUM(E161:E163)</f>
        <v>1</v>
      </c>
      <c r="F164" s="13">
        <f t="shared" si="26"/>
        <v>0</v>
      </c>
      <c r="G164" s="13">
        <f t="shared" si="26"/>
        <v>2</v>
      </c>
      <c r="H164" s="13">
        <f t="shared" si="26"/>
        <v>1</v>
      </c>
      <c r="I164" s="13">
        <f t="shared" si="26"/>
        <v>1</v>
      </c>
      <c r="J164" s="13">
        <f t="shared" si="26"/>
        <v>2</v>
      </c>
      <c r="K164" s="13">
        <f t="shared" si="26"/>
        <v>1</v>
      </c>
      <c r="L164" s="13">
        <f t="shared" si="26"/>
        <v>1</v>
      </c>
      <c r="M164" s="13">
        <f t="shared" si="26"/>
        <v>0</v>
      </c>
      <c r="N164" s="13">
        <f t="shared" si="26"/>
        <v>0</v>
      </c>
      <c r="O164" s="13">
        <f t="shared" si="26"/>
        <v>0</v>
      </c>
      <c r="P164" s="13">
        <f t="shared" si="11"/>
        <v>9</v>
      </c>
      <c r="Q164" s="5"/>
      <c r="R164" s="5"/>
    </row>
    <row r="165" spans="1:18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3">
        <f t="shared" si="11"/>
        <v>0</v>
      </c>
      <c r="Q165" s="1"/>
      <c r="R165" s="1"/>
    </row>
    <row r="166" spans="1:18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1</v>
      </c>
      <c r="M166" s="15">
        <v>0</v>
      </c>
      <c r="N166" s="15">
        <v>0</v>
      </c>
      <c r="O166" s="15">
        <v>0</v>
      </c>
      <c r="P166" s="13">
        <f t="shared" si="11"/>
        <v>1</v>
      </c>
      <c r="Q166" s="31"/>
      <c r="R166" s="31"/>
    </row>
    <row r="167" spans="1:18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3">
        <f t="shared" si="11"/>
        <v>0</v>
      </c>
      <c r="Q167" s="5"/>
      <c r="R167" s="5"/>
    </row>
    <row r="168" spans="1:18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3">
        <f t="shared" si="11"/>
        <v>0</v>
      </c>
      <c r="Q168" s="5"/>
      <c r="R168" s="5"/>
    </row>
    <row r="169" spans="1:18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3">
        <f t="shared" si="11"/>
        <v>0</v>
      </c>
      <c r="Q169" s="5"/>
      <c r="R169" s="5"/>
    </row>
    <row r="170" spans="1:18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3">
        <f t="shared" si="11"/>
        <v>0</v>
      </c>
      <c r="Q170" s="5"/>
      <c r="R170" s="5"/>
    </row>
    <row r="171" spans="1:18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3">
        <f t="shared" si="11"/>
        <v>0</v>
      </c>
      <c r="Q171" s="5"/>
      <c r="R171" s="5"/>
    </row>
    <row r="172" spans="1:18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3">
        <f t="shared" si="11"/>
        <v>0</v>
      </c>
      <c r="Q172" s="5"/>
      <c r="R172" s="5"/>
    </row>
    <row r="173" spans="1:18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O173" si="27">SUM(E166:E172)</f>
        <v>0</v>
      </c>
      <c r="F173" s="13">
        <f t="shared" si="27"/>
        <v>0</v>
      </c>
      <c r="G173" s="13">
        <f t="shared" si="27"/>
        <v>0</v>
      </c>
      <c r="H173" s="13">
        <f t="shared" si="27"/>
        <v>0</v>
      </c>
      <c r="I173" s="13">
        <f t="shared" si="27"/>
        <v>0</v>
      </c>
      <c r="J173" s="13">
        <f t="shared" si="27"/>
        <v>0</v>
      </c>
      <c r="K173" s="13">
        <f t="shared" si="27"/>
        <v>0</v>
      </c>
      <c r="L173" s="13">
        <f t="shared" si="27"/>
        <v>1</v>
      </c>
      <c r="M173" s="13">
        <f t="shared" si="27"/>
        <v>0</v>
      </c>
      <c r="N173" s="13">
        <f t="shared" si="27"/>
        <v>0</v>
      </c>
      <c r="O173" s="13">
        <f t="shared" si="27"/>
        <v>0</v>
      </c>
      <c r="P173" s="13">
        <f t="shared" si="11"/>
        <v>1</v>
      </c>
      <c r="Q173" s="5"/>
      <c r="R173" s="5"/>
    </row>
    <row r="174" spans="1:18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3">
        <f t="shared" si="11"/>
        <v>0</v>
      </c>
      <c r="Q174" s="5"/>
      <c r="R174" s="5"/>
    </row>
    <row r="175" spans="1:18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2</v>
      </c>
      <c r="F175" s="15">
        <v>0</v>
      </c>
      <c r="G175" s="15">
        <v>1</v>
      </c>
      <c r="H175" s="15">
        <v>0</v>
      </c>
      <c r="I175" s="15">
        <v>1</v>
      </c>
      <c r="J175" s="15">
        <v>0</v>
      </c>
      <c r="K175" s="15">
        <v>0</v>
      </c>
      <c r="L175" s="15">
        <v>0</v>
      </c>
      <c r="M175" s="15">
        <v>3</v>
      </c>
      <c r="N175" s="15">
        <v>0</v>
      </c>
      <c r="O175" s="15">
        <v>2</v>
      </c>
      <c r="P175" s="13">
        <f t="shared" si="11"/>
        <v>9</v>
      </c>
      <c r="Q175" s="5"/>
      <c r="R175" s="5"/>
    </row>
    <row r="176" spans="1:18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1</v>
      </c>
      <c r="G176" s="15">
        <v>0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1</v>
      </c>
      <c r="O176" s="15">
        <v>0</v>
      </c>
      <c r="P176" s="13">
        <f t="shared" si="11"/>
        <v>3</v>
      </c>
      <c r="Q176" s="1"/>
      <c r="R176" s="1"/>
    </row>
    <row r="177" spans="1:18" ht="12.75" customHeight="1" x14ac:dyDescent="0.4">
      <c r="A177" s="14"/>
      <c r="B177" s="27"/>
      <c r="C177" s="28" t="s">
        <v>153</v>
      </c>
      <c r="D177" s="29"/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6</v>
      </c>
      <c r="L177" s="15">
        <v>0</v>
      </c>
      <c r="M177" s="15">
        <v>6</v>
      </c>
      <c r="N177" s="15">
        <v>10</v>
      </c>
      <c r="O177" s="15">
        <v>6</v>
      </c>
      <c r="P177" s="13">
        <f t="shared" si="11"/>
        <v>29</v>
      </c>
    </row>
    <row r="178" spans="1:18" ht="12.75" customHeight="1" x14ac:dyDescent="0.4">
      <c r="A178" s="14"/>
      <c r="B178" s="27"/>
      <c r="C178" s="28" t="s">
        <v>154</v>
      </c>
      <c r="D178" s="29"/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3">
        <f t="shared" si="11"/>
        <v>1</v>
      </c>
      <c r="Q178" s="5"/>
      <c r="R178" s="5"/>
    </row>
    <row r="179" spans="1:18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3">
        <f t="shared" si="11"/>
        <v>0</v>
      </c>
      <c r="Q179" s="5"/>
      <c r="R179" s="5"/>
    </row>
    <row r="180" spans="1:18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3">
        <f t="shared" si="11"/>
        <v>0</v>
      </c>
      <c r="Q180" s="5"/>
      <c r="R180" s="5"/>
    </row>
    <row r="181" spans="1:18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1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3">
        <f t="shared" si="11"/>
        <v>1</v>
      </c>
      <c r="Q181" s="5"/>
      <c r="R181" s="5"/>
    </row>
    <row r="182" spans="1:18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O182" si="28">SUM(E175:E181)</f>
        <v>3</v>
      </c>
      <c r="F182" s="13">
        <f t="shared" si="28"/>
        <v>2</v>
      </c>
      <c r="G182" s="13">
        <f t="shared" si="28"/>
        <v>1</v>
      </c>
      <c r="H182" s="13">
        <f t="shared" si="28"/>
        <v>0</v>
      </c>
      <c r="I182" s="13">
        <f t="shared" si="28"/>
        <v>2</v>
      </c>
      <c r="J182" s="13">
        <f t="shared" si="28"/>
        <v>1</v>
      </c>
      <c r="K182" s="13">
        <f t="shared" si="28"/>
        <v>6</v>
      </c>
      <c r="L182" s="13">
        <f t="shared" si="28"/>
        <v>0</v>
      </c>
      <c r="M182" s="13">
        <f t="shared" si="28"/>
        <v>9</v>
      </c>
      <c r="N182" s="13">
        <f t="shared" si="28"/>
        <v>11</v>
      </c>
      <c r="O182" s="13">
        <f t="shared" si="28"/>
        <v>8</v>
      </c>
      <c r="P182" s="13">
        <f t="shared" si="11"/>
        <v>43</v>
      </c>
      <c r="Q182" s="5"/>
      <c r="R182" s="5"/>
    </row>
    <row r="183" spans="1:18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13">
        <f t="shared" si="11"/>
        <v>0</v>
      </c>
      <c r="Q183" s="5"/>
      <c r="R183" s="5"/>
    </row>
    <row r="184" spans="1:18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 t="s">
        <v>201</v>
      </c>
      <c r="F184" s="15" t="s">
        <v>202</v>
      </c>
      <c r="G184" s="15" t="s">
        <v>202</v>
      </c>
      <c r="H184" s="15" t="s">
        <v>202</v>
      </c>
      <c r="I184" s="15" t="s">
        <v>202</v>
      </c>
      <c r="J184" s="15" t="s">
        <v>202</v>
      </c>
      <c r="K184" s="15" t="s">
        <v>202</v>
      </c>
      <c r="L184" s="15" t="s">
        <v>202</v>
      </c>
      <c r="M184" s="15" t="s">
        <v>202</v>
      </c>
      <c r="N184" s="15" t="s">
        <v>202</v>
      </c>
      <c r="O184" s="15" t="s">
        <v>202</v>
      </c>
      <c r="P184" s="13">
        <f t="shared" si="11"/>
        <v>0</v>
      </c>
      <c r="Q184" s="5"/>
      <c r="R184" s="5"/>
    </row>
    <row r="185" spans="1:18" ht="12.75" customHeight="1" x14ac:dyDescent="0.4">
      <c r="A185" s="19" t="s">
        <v>39</v>
      </c>
      <c r="B185" s="27"/>
      <c r="C185" s="28" t="s">
        <v>160</v>
      </c>
      <c r="D185" s="29"/>
      <c r="E185" s="15" t="s">
        <v>202</v>
      </c>
      <c r="F185" s="15" t="s">
        <v>202</v>
      </c>
      <c r="G185" s="15" t="s">
        <v>202</v>
      </c>
      <c r="H185" s="15" t="s">
        <v>202</v>
      </c>
      <c r="I185" s="15" t="s">
        <v>202</v>
      </c>
      <c r="J185" s="15" t="s">
        <v>202</v>
      </c>
      <c r="K185" s="15" t="s">
        <v>202</v>
      </c>
      <c r="L185" s="15" t="s">
        <v>202</v>
      </c>
      <c r="M185" s="15" t="s">
        <v>202</v>
      </c>
      <c r="N185" s="15" t="s">
        <v>202</v>
      </c>
      <c r="O185" s="15" t="s">
        <v>202</v>
      </c>
      <c r="P185" s="13">
        <f t="shared" si="11"/>
        <v>0</v>
      </c>
      <c r="Q185" s="5"/>
      <c r="R185" s="5"/>
    </row>
    <row r="186" spans="1:18" ht="12.75" customHeight="1" x14ac:dyDescent="0.4">
      <c r="A186" s="15" t="s">
        <v>15</v>
      </c>
      <c r="B186" s="53" t="s">
        <v>46</v>
      </c>
      <c r="C186" s="54"/>
      <c r="D186" s="55"/>
      <c r="E186" s="13">
        <v>1</v>
      </c>
      <c r="F186" s="13">
        <f t="shared" ref="F186:O186" si="29">SUM(F184:F185)</f>
        <v>0</v>
      </c>
      <c r="G186" s="13">
        <f t="shared" si="29"/>
        <v>0</v>
      </c>
      <c r="H186" s="13">
        <f t="shared" si="29"/>
        <v>0</v>
      </c>
      <c r="I186" s="13">
        <f t="shared" si="29"/>
        <v>0</v>
      </c>
      <c r="J186" s="13">
        <f t="shared" si="29"/>
        <v>0</v>
      </c>
      <c r="K186" s="13">
        <f t="shared" si="29"/>
        <v>0</v>
      </c>
      <c r="L186" s="13">
        <f t="shared" si="29"/>
        <v>0</v>
      </c>
      <c r="M186" s="13">
        <f t="shared" si="29"/>
        <v>0</v>
      </c>
      <c r="N186" s="13">
        <f t="shared" si="29"/>
        <v>0</v>
      </c>
      <c r="O186" s="13">
        <f t="shared" si="29"/>
        <v>0</v>
      </c>
      <c r="P186" s="13">
        <f t="shared" si="11"/>
        <v>1</v>
      </c>
      <c r="Q186" s="5"/>
      <c r="R186" s="5"/>
    </row>
    <row r="187" spans="1:18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f t="shared" si="11"/>
        <v>0</v>
      </c>
      <c r="Q187" s="1"/>
      <c r="R187" s="1"/>
    </row>
    <row r="188" spans="1:18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13">
        <f t="shared" si="11"/>
        <v>0</v>
      </c>
    </row>
    <row r="189" spans="1:18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13">
        <f t="shared" si="11"/>
        <v>0</v>
      </c>
      <c r="Q189" s="5"/>
      <c r="R189" s="5"/>
    </row>
    <row r="190" spans="1:18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O190" si="30">E186+E182+E173+E164+E159+E150+E141+E132+E128+E119+E110+E101+E92+E88+E79+E70+E61+E52</f>
        <v>149</v>
      </c>
      <c r="F190" s="15">
        <f t="shared" si="30"/>
        <v>155</v>
      </c>
      <c r="G190" s="15">
        <f t="shared" si="30"/>
        <v>202</v>
      </c>
      <c r="H190" s="15">
        <f t="shared" si="30"/>
        <v>217</v>
      </c>
      <c r="I190" s="15">
        <f t="shared" si="30"/>
        <v>211</v>
      </c>
      <c r="J190" s="15">
        <f t="shared" si="30"/>
        <v>192</v>
      </c>
      <c r="K190" s="15">
        <f t="shared" si="30"/>
        <v>188</v>
      </c>
      <c r="L190" s="15">
        <f t="shared" si="30"/>
        <v>203</v>
      </c>
      <c r="M190" s="15">
        <f t="shared" si="30"/>
        <v>165</v>
      </c>
      <c r="N190" s="15">
        <f t="shared" si="30"/>
        <v>160</v>
      </c>
      <c r="O190" s="15">
        <f t="shared" si="30"/>
        <v>171</v>
      </c>
      <c r="P190" s="13">
        <f t="shared" si="11"/>
        <v>2013</v>
      </c>
      <c r="Q190" s="5"/>
      <c r="R190" s="5"/>
    </row>
    <row r="191" spans="1:18" ht="12.75" customHeight="1" x14ac:dyDescent="0.4">
      <c r="A191" s="21"/>
      <c r="B191" s="39" t="s">
        <v>165</v>
      </c>
      <c r="C191" s="79" t="s">
        <v>166</v>
      </c>
      <c r="D191" s="55"/>
      <c r="E191" s="15">
        <v>15</v>
      </c>
      <c r="F191" s="15">
        <v>8</v>
      </c>
      <c r="G191" s="15">
        <v>13</v>
      </c>
      <c r="H191" s="15">
        <v>12</v>
      </c>
      <c r="I191" s="15">
        <v>16</v>
      </c>
      <c r="J191" s="15">
        <v>19</v>
      </c>
      <c r="K191" s="15">
        <v>15</v>
      </c>
      <c r="L191" s="15">
        <v>19</v>
      </c>
      <c r="M191" s="15">
        <v>22</v>
      </c>
      <c r="N191" s="15">
        <v>14</v>
      </c>
      <c r="O191" s="15">
        <v>9</v>
      </c>
      <c r="P191" s="13">
        <f t="shared" si="11"/>
        <v>162</v>
      </c>
      <c r="Q191" s="5"/>
      <c r="R191" s="5"/>
    </row>
    <row r="192" spans="1:18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O192" si="31">E190+E191</f>
        <v>164</v>
      </c>
      <c r="F192" s="15">
        <f t="shared" si="31"/>
        <v>163</v>
      </c>
      <c r="G192" s="15">
        <f t="shared" si="31"/>
        <v>215</v>
      </c>
      <c r="H192" s="15">
        <f t="shared" si="31"/>
        <v>229</v>
      </c>
      <c r="I192" s="15">
        <f t="shared" si="31"/>
        <v>227</v>
      </c>
      <c r="J192" s="15">
        <f t="shared" si="31"/>
        <v>211</v>
      </c>
      <c r="K192" s="15">
        <f t="shared" si="31"/>
        <v>203</v>
      </c>
      <c r="L192" s="15">
        <f t="shared" si="31"/>
        <v>222</v>
      </c>
      <c r="M192" s="15">
        <f t="shared" si="31"/>
        <v>187</v>
      </c>
      <c r="N192" s="15">
        <f t="shared" si="31"/>
        <v>174</v>
      </c>
      <c r="O192" s="15">
        <f t="shared" si="31"/>
        <v>180</v>
      </c>
      <c r="P192" s="13">
        <f t="shared" si="11"/>
        <v>2175</v>
      </c>
      <c r="Q192" s="5"/>
      <c r="R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O12"/>
    <mergeCell ref="P12:P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O13">
    <cfRule type="expression" dxfId="165" priority="28">
      <formula>E30=E192</formula>
    </cfRule>
  </conditionalFormatting>
  <conditionalFormatting sqref="E14:O15">
    <cfRule type="containsBlanks" dxfId="164" priority="1">
      <formula>LEN(TRIM(E14))=0</formula>
    </cfRule>
  </conditionalFormatting>
  <conditionalFormatting sqref="E19:O20">
    <cfRule type="containsBlanks" dxfId="163" priority="2">
      <formula>LEN(TRIM(E19))=0</formula>
    </cfRule>
  </conditionalFormatting>
  <conditionalFormatting sqref="E22:O23 E25:O26 E33:O33 E35:O35 E39:O40">
    <cfRule type="containsBlanks" dxfId="162" priority="3">
      <formula>LEN(TRIM(E22))=0</formula>
    </cfRule>
  </conditionalFormatting>
  <conditionalFormatting sqref="E30:O30">
    <cfRule type="expression" dxfId="161" priority="4">
      <formula>E30&lt;&gt;E47</formula>
    </cfRule>
    <cfRule type="expression" dxfId="160" priority="5">
      <formula>E30&lt;&gt;E34</formula>
    </cfRule>
  </conditionalFormatting>
  <conditionalFormatting sqref="E34:O34">
    <cfRule type="expression" dxfId="159" priority="6">
      <formula>E30&lt;&gt;E34</formula>
    </cfRule>
    <cfRule type="expression" dxfId="158" priority="7">
      <formula>E30=E34</formula>
    </cfRule>
    <cfRule type="expression" dxfId="157" priority="8">
      <formula>E34&lt;&gt;E30</formula>
    </cfRule>
    <cfRule type="expression" dxfId="156" priority="9">
      <formula>E34&lt;&gt;E64</formula>
    </cfRule>
  </conditionalFormatting>
  <conditionalFormatting sqref="E45:O52 E54:O61">
    <cfRule type="containsBlanks" dxfId="155" priority="10">
      <formula>LEN(TRIM(E45))=0</formula>
    </cfRule>
  </conditionalFormatting>
  <conditionalFormatting sqref="E63:O70">
    <cfRule type="containsBlanks" dxfId="154" priority="11">
      <formula>LEN(TRIM(E63))=0</formula>
    </cfRule>
  </conditionalFormatting>
  <conditionalFormatting sqref="E72:O79">
    <cfRule type="containsBlanks" dxfId="153" priority="12">
      <formula>LEN(TRIM(E72))=0</formula>
    </cfRule>
  </conditionalFormatting>
  <conditionalFormatting sqref="E81:O88">
    <cfRule type="containsBlanks" dxfId="152" priority="13">
      <formula>LEN(TRIM(E81))=0</formula>
    </cfRule>
  </conditionalFormatting>
  <conditionalFormatting sqref="E90:O91">
    <cfRule type="containsBlanks" dxfId="151" priority="14">
      <formula>LEN(TRIM(E90))=0</formula>
    </cfRule>
  </conditionalFormatting>
  <conditionalFormatting sqref="E94:O101">
    <cfRule type="containsBlanks" dxfId="150" priority="15">
      <formula>LEN(TRIM(E94))=0</formula>
    </cfRule>
  </conditionalFormatting>
  <conditionalFormatting sqref="E103:O110">
    <cfRule type="containsBlanks" dxfId="149" priority="16">
      <formula>LEN(TRIM(E103))=0</formula>
    </cfRule>
  </conditionalFormatting>
  <conditionalFormatting sqref="E112:O119">
    <cfRule type="containsBlanks" dxfId="148" priority="17">
      <formula>LEN(TRIM(E112))=0</formula>
    </cfRule>
  </conditionalFormatting>
  <conditionalFormatting sqref="E121:O128">
    <cfRule type="containsBlanks" dxfId="147" priority="18">
      <formula>LEN(TRIM(E121))=0</formula>
    </cfRule>
  </conditionalFormatting>
  <conditionalFormatting sqref="E130:O132">
    <cfRule type="containsBlanks" dxfId="146" priority="19">
      <formula>LEN(TRIM(E130))=0</formula>
    </cfRule>
  </conditionalFormatting>
  <conditionalFormatting sqref="E134:O141">
    <cfRule type="containsBlanks" dxfId="145" priority="20">
      <formula>LEN(TRIM(E134))=0</formula>
    </cfRule>
  </conditionalFormatting>
  <conditionalFormatting sqref="E143:O150">
    <cfRule type="containsBlanks" dxfId="144" priority="21">
      <formula>LEN(TRIM(E143))=0</formula>
    </cfRule>
  </conditionalFormatting>
  <conditionalFormatting sqref="E152:O159">
    <cfRule type="containsBlanks" dxfId="143" priority="22">
      <formula>LEN(TRIM(E152))=0</formula>
    </cfRule>
  </conditionalFormatting>
  <conditionalFormatting sqref="E161:O163">
    <cfRule type="containsBlanks" dxfId="142" priority="23">
      <formula>LEN(TRIM(E161))=0</formula>
    </cfRule>
  </conditionalFormatting>
  <conditionalFormatting sqref="E166:O173">
    <cfRule type="containsBlanks" dxfId="141" priority="24">
      <formula>LEN(TRIM(E166))=0</formula>
    </cfRule>
  </conditionalFormatting>
  <conditionalFormatting sqref="E175:O182">
    <cfRule type="containsBlanks" dxfId="140" priority="25">
      <formula>LEN(TRIM(E175))=0</formula>
    </cfRule>
  </conditionalFormatting>
  <conditionalFormatting sqref="E184:O186">
    <cfRule type="containsBlanks" dxfId="139" priority="26">
      <formula>LEN(TRIM(E184))=0</formula>
    </cfRule>
  </conditionalFormatting>
  <conditionalFormatting sqref="E190:O192">
    <cfRule type="containsBlanks" dxfId="138" priority="27">
      <formula>LEN(TRIM(E190))=0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topLeftCell="G1" zoomScale="72" workbookViewId="0">
      <pane ySplit="13" topLeftCell="A47" activePane="bottomLeft" state="frozen"/>
      <selection pane="bottomLeft" activeCell="T35" sqref="T35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19" width="8.7109375" customWidth="1"/>
    <col min="20" max="20" width="13.28515625" customWidth="1"/>
    <col min="21" max="23" width="8.7109375" customWidth="1"/>
  </cols>
  <sheetData>
    <row r="1" spans="1:20" ht="12.75" customHeight="1" x14ac:dyDescent="0.4"/>
    <row r="2" spans="1:20" ht="12.75" customHeight="1" x14ac:dyDescent="0.4">
      <c r="C2" s="8" t="s">
        <v>0</v>
      </c>
      <c r="D2" s="8" t="s">
        <v>1</v>
      </c>
    </row>
    <row r="3" spans="1:20" ht="12.75" customHeight="1" x14ac:dyDescent="0.4">
      <c r="C3" s="8" t="s">
        <v>2</v>
      </c>
      <c r="D3" s="8" t="s">
        <v>3</v>
      </c>
    </row>
    <row r="4" spans="1:20" ht="12.75" customHeight="1" x14ac:dyDescent="0.4">
      <c r="C4" s="8" t="s">
        <v>4</v>
      </c>
      <c r="D4" s="8" t="s">
        <v>5</v>
      </c>
    </row>
    <row r="5" spans="1:20" ht="12.75" customHeight="1" x14ac:dyDescent="0.4">
      <c r="C5" s="8"/>
      <c r="D5" s="8"/>
    </row>
    <row r="6" spans="1:20" ht="12.75" customHeight="1" x14ac:dyDescent="0.4">
      <c r="C6" s="8"/>
      <c r="D6" s="8"/>
    </row>
    <row r="7" spans="1:20" ht="12.75" customHeight="1" x14ac:dyDescent="0.4">
      <c r="C7" s="8"/>
      <c r="D7" s="8"/>
    </row>
    <row r="8" spans="1:20" ht="12.75" customHeight="1" x14ac:dyDescent="0.4">
      <c r="C8" s="8"/>
      <c r="D8" s="8"/>
    </row>
    <row r="9" spans="1:20" ht="12.75" customHeight="1" x14ac:dyDescent="0.4">
      <c r="C9" s="8" t="s">
        <v>169</v>
      </c>
      <c r="D9" s="8" t="s">
        <v>203</v>
      </c>
    </row>
    <row r="10" spans="1:20" ht="12.75" customHeight="1" x14ac:dyDescent="0.4"/>
    <row r="11" spans="1:20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0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81" t="s">
        <v>8</v>
      </c>
    </row>
    <row r="13" spans="1:20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69"/>
    </row>
    <row r="14" spans="1:20" ht="12.75" customHeight="1" x14ac:dyDescent="0.4">
      <c r="A14" s="14"/>
      <c r="B14" s="61" t="s">
        <v>11</v>
      </c>
      <c r="C14" s="62"/>
      <c r="D14" s="15" t="s">
        <v>12</v>
      </c>
      <c r="E14" s="47">
        <v>128</v>
      </c>
      <c r="F14" s="47">
        <v>137</v>
      </c>
      <c r="G14" s="47">
        <v>126</v>
      </c>
      <c r="H14" s="47">
        <v>121</v>
      </c>
      <c r="I14" s="47">
        <v>118</v>
      </c>
      <c r="J14" s="47">
        <v>134</v>
      </c>
      <c r="K14" s="47">
        <v>114</v>
      </c>
      <c r="L14" s="47">
        <v>126</v>
      </c>
      <c r="M14" s="47">
        <v>150</v>
      </c>
      <c r="N14" s="47">
        <v>147</v>
      </c>
      <c r="O14" s="47">
        <v>145</v>
      </c>
      <c r="P14" s="47">
        <v>123</v>
      </c>
      <c r="Q14" s="47">
        <v>137</v>
      </c>
      <c r="R14" s="47">
        <v>138</v>
      </c>
      <c r="S14" s="47">
        <v>144</v>
      </c>
      <c r="T14" s="13">
        <f t="shared" ref="T14:T16" si="0">SUM(E14:S14)</f>
        <v>1988</v>
      </c>
    </row>
    <row r="15" spans="1:20" ht="12.75" customHeight="1" x14ac:dyDescent="0.4">
      <c r="A15" s="14"/>
      <c r="B15" s="63"/>
      <c r="C15" s="64"/>
      <c r="D15" s="15" t="s">
        <v>13</v>
      </c>
      <c r="E15" s="47">
        <v>161</v>
      </c>
      <c r="F15" s="47">
        <v>147</v>
      </c>
      <c r="G15" s="47">
        <v>125</v>
      </c>
      <c r="H15" s="47">
        <v>118</v>
      </c>
      <c r="I15" s="47">
        <v>123</v>
      </c>
      <c r="J15" s="47">
        <v>133</v>
      </c>
      <c r="K15" s="47">
        <v>137</v>
      </c>
      <c r="L15" s="47">
        <v>132</v>
      </c>
      <c r="M15" s="47">
        <v>138</v>
      </c>
      <c r="N15" s="47">
        <v>147</v>
      </c>
      <c r="O15" s="47">
        <v>136</v>
      </c>
      <c r="P15" s="47">
        <v>125</v>
      </c>
      <c r="Q15" s="47">
        <v>147</v>
      </c>
      <c r="R15" s="47">
        <v>146</v>
      </c>
      <c r="S15" s="47">
        <v>147</v>
      </c>
      <c r="T15" s="13">
        <f t="shared" si="0"/>
        <v>2062</v>
      </c>
    </row>
    <row r="16" spans="1:20" ht="12.75" customHeight="1" x14ac:dyDescent="0.4">
      <c r="A16" s="17"/>
      <c r="B16" s="59"/>
      <c r="C16" s="65"/>
      <c r="D16" s="13" t="s">
        <v>14</v>
      </c>
      <c r="E16" s="48">
        <f t="shared" ref="E16:S16" si="1">SUM(E14:E15)</f>
        <v>289</v>
      </c>
      <c r="F16" s="48">
        <f t="shared" si="1"/>
        <v>284</v>
      </c>
      <c r="G16" s="48">
        <f t="shared" si="1"/>
        <v>251</v>
      </c>
      <c r="H16" s="48">
        <f t="shared" si="1"/>
        <v>239</v>
      </c>
      <c r="I16" s="48">
        <f t="shared" si="1"/>
        <v>241</v>
      </c>
      <c r="J16" s="48">
        <f t="shared" si="1"/>
        <v>267</v>
      </c>
      <c r="K16" s="48">
        <f t="shared" si="1"/>
        <v>251</v>
      </c>
      <c r="L16" s="48">
        <f t="shared" si="1"/>
        <v>258</v>
      </c>
      <c r="M16" s="48">
        <f t="shared" si="1"/>
        <v>288</v>
      </c>
      <c r="N16" s="48">
        <f t="shared" si="1"/>
        <v>294</v>
      </c>
      <c r="O16" s="48">
        <f t="shared" si="1"/>
        <v>281</v>
      </c>
      <c r="P16" s="48">
        <f t="shared" si="1"/>
        <v>248</v>
      </c>
      <c r="Q16" s="48">
        <f t="shared" si="1"/>
        <v>284</v>
      </c>
      <c r="R16" s="48">
        <f t="shared" si="1"/>
        <v>284</v>
      </c>
      <c r="S16" s="48">
        <f t="shared" si="1"/>
        <v>291</v>
      </c>
      <c r="T16" s="13">
        <f t="shared" si="0"/>
        <v>4050</v>
      </c>
    </row>
    <row r="17" spans="1:20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3"/>
    </row>
    <row r="18" spans="1:20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3"/>
    </row>
    <row r="19" spans="1:20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109</v>
      </c>
      <c r="F19" s="47">
        <v>111</v>
      </c>
      <c r="G19" s="47">
        <v>98</v>
      </c>
      <c r="H19" s="47">
        <v>109</v>
      </c>
      <c r="I19" s="47">
        <v>97</v>
      </c>
      <c r="J19" s="47">
        <v>95</v>
      </c>
      <c r="K19" s="47">
        <v>91</v>
      </c>
      <c r="L19" s="47">
        <v>94</v>
      </c>
      <c r="M19" s="47">
        <v>120</v>
      </c>
      <c r="N19" s="47">
        <v>111</v>
      </c>
      <c r="O19" s="47">
        <v>112</v>
      </c>
      <c r="P19" s="47">
        <v>92</v>
      </c>
      <c r="Q19" s="47">
        <v>107</v>
      </c>
      <c r="R19" s="47">
        <v>106</v>
      </c>
      <c r="S19" s="47">
        <v>107</v>
      </c>
      <c r="T19" s="13">
        <f t="shared" ref="T19:T30" si="2">SUM(E19:S19)</f>
        <v>1559</v>
      </c>
    </row>
    <row r="20" spans="1:20" ht="12.75" customHeight="1" x14ac:dyDescent="0.4">
      <c r="A20" s="20"/>
      <c r="B20" s="64"/>
      <c r="C20" s="68"/>
      <c r="D20" s="15" t="s">
        <v>13</v>
      </c>
      <c r="E20" s="47">
        <v>146</v>
      </c>
      <c r="F20" s="47">
        <v>120</v>
      </c>
      <c r="G20" s="47">
        <v>101</v>
      </c>
      <c r="H20" s="47">
        <v>104</v>
      </c>
      <c r="I20" s="47">
        <v>107</v>
      </c>
      <c r="J20" s="47">
        <v>110</v>
      </c>
      <c r="K20" s="47">
        <v>109</v>
      </c>
      <c r="L20" s="47">
        <v>105</v>
      </c>
      <c r="M20" s="47">
        <v>116</v>
      </c>
      <c r="N20" s="47">
        <v>118</v>
      </c>
      <c r="O20" s="47">
        <v>113</v>
      </c>
      <c r="P20" s="47">
        <v>98</v>
      </c>
      <c r="Q20" s="47">
        <v>121</v>
      </c>
      <c r="R20" s="47">
        <v>116</v>
      </c>
      <c r="S20" s="47">
        <v>109</v>
      </c>
      <c r="T20" s="13">
        <f t="shared" si="2"/>
        <v>1693</v>
      </c>
    </row>
    <row r="21" spans="1:20" ht="12.75" customHeight="1" x14ac:dyDescent="0.4">
      <c r="A21" s="21"/>
      <c r="B21" s="65"/>
      <c r="C21" s="69"/>
      <c r="D21" s="13" t="s">
        <v>14</v>
      </c>
      <c r="E21" s="48">
        <f t="shared" ref="E21:S21" si="3">SUM(E19:E20)</f>
        <v>255</v>
      </c>
      <c r="F21" s="48">
        <f t="shared" si="3"/>
        <v>231</v>
      </c>
      <c r="G21" s="48">
        <f t="shared" si="3"/>
        <v>199</v>
      </c>
      <c r="H21" s="48">
        <f t="shared" si="3"/>
        <v>213</v>
      </c>
      <c r="I21" s="48">
        <f t="shared" si="3"/>
        <v>204</v>
      </c>
      <c r="J21" s="48">
        <f t="shared" si="3"/>
        <v>205</v>
      </c>
      <c r="K21" s="48">
        <f t="shared" si="3"/>
        <v>200</v>
      </c>
      <c r="L21" s="48">
        <f t="shared" si="3"/>
        <v>199</v>
      </c>
      <c r="M21" s="48">
        <f t="shared" si="3"/>
        <v>236</v>
      </c>
      <c r="N21" s="48">
        <f t="shared" si="3"/>
        <v>229</v>
      </c>
      <c r="O21" s="48">
        <f t="shared" si="3"/>
        <v>225</v>
      </c>
      <c r="P21" s="48">
        <f t="shared" si="3"/>
        <v>190</v>
      </c>
      <c r="Q21" s="48">
        <f t="shared" si="3"/>
        <v>228</v>
      </c>
      <c r="R21" s="48">
        <f t="shared" si="3"/>
        <v>222</v>
      </c>
      <c r="S21" s="48">
        <f t="shared" si="3"/>
        <v>216</v>
      </c>
      <c r="T21" s="13">
        <f t="shared" si="2"/>
        <v>3252</v>
      </c>
    </row>
    <row r="22" spans="1:20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13">
        <f t="shared" si="2"/>
        <v>0</v>
      </c>
    </row>
    <row r="23" spans="1:20" ht="12.75" customHeight="1" x14ac:dyDescent="0.4">
      <c r="A23" s="20"/>
      <c r="B23" s="64"/>
      <c r="C23" s="68"/>
      <c r="D23" s="15" t="s">
        <v>13</v>
      </c>
      <c r="E23" s="47">
        <v>0</v>
      </c>
      <c r="F23" s="47">
        <v>0</v>
      </c>
      <c r="G23" s="47">
        <v>0</v>
      </c>
      <c r="H23" s="47">
        <v>1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13">
        <f t="shared" si="2"/>
        <v>1</v>
      </c>
    </row>
    <row r="24" spans="1:20" ht="12.75" customHeight="1" x14ac:dyDescent="0.4">
      <c r="A24" s="21"/>
      <c r="B24" s="65"/>
      <c r="C24" s="69"/>
      <c r="D24" s="13" t="s">
        <v>14</v>
      </c>
      <c r="E24" s="48">
        <v>0</v>
      </c>
      <c r="F24" s="48">
        <f t="shared" ref="F24:S24" si="4">SUM(F22:F23)</f>
        <v>0</v>
      </c>
      <c r="G24" s="48">
        <f t="shared" si="4"/>
        <v>0</v>
      </c>
      <c r="H24" s="48">
        <f t="shared" si="4"/>
        <v>1</v>
      </c>
      <c r="I24" s="48">
        <f t="shared" si="4"/>
        <v>0</v>
      </c>
      <c r="J24" s="48">
        <f t="shared" si="4"/>
        <v>0</v>
      </c>
      <c r="K24" s="48">
        <f t="shared" si="4"/>
        <v>0</v>
      </c>
      <c r="L24" s="48">
        <f t="shared" si="4"/>
        <v>0</v>
      </c>
      <c r="M24" s="48">
        <f t="shared" si="4"/>
        <v>0</v>
      </c>
      <c r="N24" s="48">
        <f t="shared" si="4"/>
        <v>0</v>
      </c>
      <c r="O24" s="48">
        <f t="shared" si="4"/>
        <v>0</v>
      </c>
      <c r="P24" s="48">
        <f t="shared" si="4"/>
        <v>0</v>
      </c>
      <c r="Q24" s="48">
        <f t="shared" si="4"/>
        <v>0</v>
      </c>
      <c r="R24" s="48">
        <f t="shared" si="4"/>
        <v>0</v>
      </c>
      <c r="S24" s="48">
        <f t="shared" si="4"/>
        <v>0</v>
      </c>
      <c r="T24" s="13">
        <f t="shared" si="2"/>
        <v>1</v>
      </c>
    </row>
    <row r="25" spans="1:20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2</v>
      </c>
      <c r="G25" s="47">
        <v>1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1</v>
      </c>
      <c r="N25" s="47">
        <v>1</v>
      </c>
      <c r="O25" s="47">
        <v>0</v>
      </c>
      <c r="P25" s="47">
        <v>0</v>
      </c>
      <c r="Q25" s="47">
        <v>1</v>
      </c>
      <c r="R25" s="47">
        <v>0</v>
      </c>
      <c r="S25" s="47">
        <v>0</v>
      </c>
      <c r="T25" s="13">
        <f t="shared" si="2"/>
        <v>6</v>
      </c>
    </row>
    <row r="26" spans="1:20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4</v>
      </c>
      <c r="G26" s="47">
        <v>1</v>
      </c>
      <c r="H26" s="47">
        <v>0</v>
      </c>
      <c r="I26" s="47">
        <v>0</v>
      </c>
      <c r="J26" s="47">
        <v>1</v>
      </c>
      <c r="K26" s="47">
        <v>0</v>
      </c>
      <c r="L26" s="47">
        <v>0</v>
      </c>
      <c r="M26" s="47">
        <v>1</v>
      </c>
      <c r="N26" s="47">
        <v>2</v>
      </c>
      <c r="O26" s="47">
        <v>0</v>
      </c>
      <c r="P26" s="47">
        <v>0</v>
      </c>
      <c r="Q26" s="47">
        <v>2</v>
      </c>
      <c r="R26" s="47">
        <v>0</v>
      </c>
      <c r="S26" s="47">
        <v>0</v>
      </c>
      <c r="T26" s="13">
        <f t="shared" si="2"/>
        <v>11</v>
      </c>
    </row>
    <row r="27" spans="1:20" ht="12.75" customHeight="1" x14ac:dyDescent="0.4">
      <c r="A27" s="21"/>
      <c r="B27" s="65"/>
      <c r="C27" s="69"/>
      <c r="D27" s="13" t="s">
        <v>14</v>
      </c>
      <c r="E27" s="48">
        <f t="shared" ref="E27:S27" si="5">SUM(E25:E26)</f>
        <v>0</v>
      </c>
      <c r="F27" s="48">
        <f t="shared" si="5"/>
        <v>6</v>
      </c>
      <c r="G27" s="48">
        <f t="shared" si="5"/>
        <v>2</v>
      </c>
      <c r="H27" s="48">
        <f t="shared" si="5"/>
        <v>0</v>
      </c>
      <c r="I27" s="48">
        <f t="shared" si="5"/>
        <v>0</v>
      </c>
      <c r="J27" s="48">
        <f t="shared" si="5"/>
        <v>1</v>
      </c>
      <c r="K27" s="48">
        <f t="shared" si="5"/>
        <v>0</v>
      </c>
      <c r="L27" s="48">
        <f t="shared" si="5"/>
        <v>0</v>
      </c>
      <c r="M27" s="48">
        <f t="shared" si="5"/>
        <v>2</v>
      </c>
      <c r="N27" s="48">
        <f t="shared" si="5"/>
        <v>3</v>
      </c>
      <c r="O27" s="48">
        <f t="shared" si="5"/>
        <v>0</v>
      </c>
      <c r="P27" s="48">
        <f t="shared" si="5"/>
        <v>0</v>
      </c>
      <c r="Q27" s="48">
        <f t="shared" si="5"/>
        <v>3</v>
      </c>
      <c r="R27" s="48">
        <f t="shared" si="5"/>
        <v>0</v>
      </c>
      <c r="S27" s="48">
        <f t="shared" si="5"/>
        <v>0</v>
      </c>
      <c r="T27" s="13">
        <f t="shared" si="2"/>
        <v>17</v>
      </c>
    </row>
    <row r="28" spans="1:20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v>109</v>
      </c>
      <c r="F28" s="48">
        <v>113</v>
      </c>
      <c r="G28" s="48">
        <v>99</v>
      </c>
      <c r="H28" s="48">
        <v>109</v>
      </c>
      <c r="I28" s="48">
        <v>97</v>
      </c>
      <c r="J28" s="48">
        <v>95</v>
      </c>
      <c r="K28" s="48">
        <v>91</v>
      </c>
      <c r="L28" s="48">
        <v>94</v>
      </c>
      <c r="M28" s="48">
        <v>121</v>
      </c>
      <c r="N28" s="48">
        <v>112</v>
      </c>
      <c r="O28" s="48">
        <v>112</v>
      </c>
      <c r="P28" s="48">
        <v>92</v>
      </c>
      <c r="Q28" s="48">
        <v>108</v>
      </c>
      <c r="R28" s="48">
        <v>106</v>
      </c>
      <c r="S28" s="48">
        <v>107</v>
      </c>
      <c r="T28" s="13">
        <f t="shared" si="2"/>
        <v>1565</v>
      </c>
    </row>
    <row r="29" spans="1:20" ht="12.75" customHeight="1" x14ac:dyDescent="0.4">
      <c r="A29" s="21"/>
      <c r="B29" s="64"/>
      <c r="C29" s="68"/>
      <c r="D29" s="13" t="s">
        <v>13</v>
      </c>
      <c r="E29" s="48">
        <v>146</v>
      </c>
      <c r="F29" s="48">
        <v>124</v>
      </c>
      <c r="G29" s="48">
        <v>102</v>
      </c>
      <c r="H29" s="48">
        <v>105</v>
      </c>
      <c r="I29" s="48">
        <v>107</v>
      </c>
      <c r="J29" s="48">
        <v>111</v>
      </c>
      <c r="K29" s="48">
        <v>109</v>
      </c>
      <c r="L29" s="48">
        <v>105</v>
      </c>
      <c r="M29" s="48">
        <v>117</v>
      </c>
      <c r="N29" s="48">
        <v>120</v>
      </c>
      <c r="O29" s="48">
        <v>113</v>
      </c>
      <c r="P29" s="48">
        <v>98</v>
      </c>
      <c r="Q29" s="48">
        <v>123</v>
      </c>
      <c r="R29" s="48">
        <v>116</v>
      </c>
      <c r="S29" s="48">
        <v>109</v>
      </c>
      <c r="T29" s="13">
        <f t="shared" si="2"/>
        <v>1705</v>
      </c>
    </row>
    <row r="30" spans="1:20" ht="12.75" customHeight="1" x14ac:dyDescent="0.4">
      <c r="A30" s="21"/>
      <c r="B30" s="65"/>
      <c r="C30" s="69"/>
      <c r="D30" s="13" t="s">
        <v>14</v>
      </c>
      <c r="E30" s="50">
        <f t="shared" ref="E30:S30" si="6">SUM(E28:E29)</f>
        <v>255</v>
      </c>
      <c r="F30" s="50">
        <f t="shared" si="6"/>
        <v>237</v>
      </c>
      <c r="G30" s="50">
        <f t="shared" si="6"/>
        <v>201</v>
      </c>
      <c r="H30" s="50">
        <f t="shared" si="6"/>
        <v>214</v>
      </c>
      <c r="I30" s="50">
        <f t="shared" si="6"/>
        <v>204</v>
      </c>
      <c r="J30" s="50">
        <f t="shared" si="6"/>
        <v>206</v>
      </c>
      <c r="K30" s="50">
        <f t="shared" si="6"/>
        <v>200</v>
      </c>
      <c r="L30" s="50">
        <f t="shared" si="6"/>
        <v>199</v>
      </c>
      <c r="M30" s="50">
        <f t="shared" si="6"/>
        <v>238</v>
      </c>
      <c r="N30" s="50">
        <f t="shared" si="6"/>
        <v>232</v>
      </c>
      <c r="O30" s="50">
        <f t="shared" si="6"/>
        <v>225</v>
      </c>
      <c r="P30" s="50">
        <f t="shared" si="6"/>
        <v>190</v>
      </c>
      <c r="Q30" s="50">
        <f t="shared" si="6"/>
        <v>231</v>
      </c>
      <c r="R30" s="50">
        <f t="shared" si="6"/>
        <v>222</v>
      </c>
      <c r="S30" s="50">
        <f t="shared" si="6"/>
        <v>216</v>
      </c>
      <c r="T30" s="13">
        <f t="shared" si="2"/>
        <v>3270</v>
      </c>
    </row>
    <row r="31" spans="1:20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3"/>
    </row>
    <row r="32" spans="1:20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3"/>
    </row>
    <row r="33" spans="1:20" ht="12.75" customHeight="1" x14ac:dyDescent="0.4">
      <c r="A33" s="15">
        <v>1</v>
      </c>
      <c r="B33" s="60" t="s">
        <v>27</v>
      </c>
      <c r="C33" s="54"/>
      <c r="D33" s="55"/>
      <c r="E33" s="47">
        <v>295</v>
      </c>
      <c r="F33" s="47">
        <v>290</v>
      </c>
      <c r="G33" s="47">
        <v>257</v>
      </c>
      <c r="H33" s="47">
        <v>244</v>
      </c>
      <c r="I33" s="47">
        <v>246</v>
      </c>
      <c r="J33" s="47">
        <v>273</v>
      </c>
      <c r="K33" s="47">
        <v>257</v>
      </c>
      <c r="L33" s="47">
        <v>264</v>
      </c>
      <c r="M33" s="47">
        <v>294</v>
      </c>
      <c r="N33" s="47">
        <v>300</v>
      </c>
      <c r="O33" s="47">
        <v>287</v>
      </c>
      <c r="P33" s="47">
        <v>253</v>
      </c>
      <c r="Q33" s="47">
        <v>290</v>
      </c>
      <c r="R33" s="47">
        <v>290</v>
      </c>
      <c r="S33" s="47">
        <v>297</v>
      </c>
      <c r="T33" s="13">
        <f t="shared" ref="T33:T36" si="7">SUM(E33:S33)</f>
        <v>4137</v>
      </c>
    </row>
    <row r="34" spans="1:20" ht="12.75" customHeight="1" x14ac:dyDescent="0.4">
      <c r="A34" s="15">
        <v>2</v>
      </c>
      <c r="B34" s="60" t="s">
        <v>28</v>
      </c>
      <c r="C34" s="54"/>
      <c r="D34" s="55"/>
      <c r="E34" s="51">
        <v>255</v>
      </c>
      <c r="F34" s="51">
        <v>237</v>
      </c>
      <c r="G34" s="51">
        <v>201</v>
      </c>
      <c r="H34" s="51">
        <v>214</v>
      </c>
      <c r="I34" s="51">
        <v>204</v>
      </c>
      <c r="J34" s="51">
        <v>206</v>
      </c>
      <c r="K34" s="51">
        <v>200</v>
      </c>
      <c r="L34" s="51">
        <v>199</v>
      </c>
      <c r="M34" s="51">
        <v>238</v>
      </c>
      <c r="N34" s="51">
        <v>232</v>
      </c>
      <c r="O34" s="51">
        <v>225</v>
      </c>
      <c r="P34" s="51">
        <v>190</v>
      </c>
      <c r="Q34" s="51">
        <v>231</v>
      </c>
      <c r="R34" s="51">
        <v>222</v>
      </c>
      <c r="S34" s="51">
        <v>216</v>
      </c>
      <c r="T34" s="13">
        <f t="shared" si="7"/>
        <v>3270</v>
      </c>
    </row>
    <row r="35" spans="1:20" ht="12.75" customHeight="1" x14ac:dyDescent="0.4">
      <c r="A35" s="15">
        <v>3</v>
      </c>
      <c r="B35" s="60" t="s">
        <v>29</v>
      </c>
      <c r="C35" s="54"/>
      <c r="D35" s="55"/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3</v>
      </c>
      <c r="K35" s="47">
        <v>0</v>
      </c>
      <c r="L35" s="47">
        <v>1</v>
      </c>
      <c r="M35" s="47">
        <v>0</v>
      </c>
      <c r="N35" s="47">
        <v>0</v>
      </c>
      <c r="O35" s="47">
        <v>0</v>
      </c>
      <c r="P35" s="47">
        <v>2</v>
      </c>
      <c r="Q35" s="47">
        <v>1</v>
      </c>
      <c r="R35" s="47">
        <v>0</v>
      </c>
      <c r="S35" s="47">
        <v>0</v>
      </c>
      <c r="T35" s="13">
        <f t="shared" si="7"/>
        <v>7</v>
      </c>
    </row>
    <row r="36" spans="1:20" ht="12.75" customHeight="1" x14ac:dyDescent="0.4">
      <c r="A36" s="15">
        <v>4</v>
      </c>
      <c r="B36" s="60" t="s">
        <v>30</v>
      </c>
      <c r="C36" s="54"/>
      <c r="D36" s="55"/>
      <c r="E36" s="48">
        <f t="shared" ref="E36:S36" si="8">E33-(E34+E35)</f>
        <v>40</v>
      </c>
      <c r="F36" s="48">
        <f t="shared" si="8"/>
        <v>53</v>
      </c>
      <c r="G36" s="48">
        <f t="shared" si="8"/>
        <v>56</v>
      </c>
      <c r="H36" s="48">
        <f t="shared" si="8"/>
        <v>30</v>
      </c>
      <c r="I36" s="48">
        <f t="shared" si="8"/>
        <v>42</v>
      </c>
      <c r="J36" s="48">
        <f t="shared" si="8"/>
        <v>64</v>
      </c>
      <c r="K36" s="48">
        <f t="shared" si="8"/>
        <v>57</v>
      </c>
      <c r="L36" s="48">
        <f t="shared" si="8"/>
        <v>64</v>
      </c>
      <c r="M36" s="48">
        <f t="shared" si="8"/>
        <v>56</v>
      </c>
      <c r="N36" s="48">
        <f t="shared" si="8"/>
        <v>68</v>
      </c>
      <c r="O36" s="48">
        <f t="shared" si="8"/>
        <v>62</v>
      </c>
      <c r="P36" s="48">
        <f t="shared" si="8"/>
        <v>61</v>
      </c>
      <c r="Q36" s="48">
        <f t="shared" si="8"/>
        <v>58</v>
      </c>
      <c r="R36" s="48">
        <f t="shared" si="8"/>
        <v>68</v>
      </c>
      <c r="S36" s="48">
        <f t="shared" si="8"/>
        <v>81</v>
      </c>
      <c r="T36" s="13">
        <f t="shared" si="7"/>
        <v>860</v>
      </c>
    </row>
    <row r="37" spans="1:20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9"/>
      <c r="N37" s="49"/>
      <c r="O37" s="49"/>
      <c r="P37" s="49"/>
      <c r="Q37" s="49"/>
      <c r="R37" s="49"/>
      <c r="S37" s="52"/>
      <c r="T37" s="43"/>
    </row>
    <row r="38" spans="1:20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3"/>
    </row>
    <row r="39" spans="1:20" ht="12.75" customHeight="1" x14ac:dyDescent="0.4">
      <c r="A39" s="19"/>
      <c r="B39" s="73" t="s">
        <v>33</v>
      </c>
      <c r="C39" s="62"/>
      <c r="D39" s="15" t="s">
        <v>12</v>
      </c>
      <c r="E39" s="47">
        <v>0</v>
      </c>
      <c r="F39" s="47">
        <v>0</v>
      </c>
      <c r="G39" s="47">
        <v>0</v>
      </c>
      <c r="H39" s="47">
        <v>0</v>
      </c>
      <c r="I39" s="47">
        <v>1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13">
        <f t="shared" ref="T39:T41" si="9">SUM(E39:S39)</f>
        <v>1</v>
      </c>
    </row>
    <row r="40" spans="1:20" ht="12.75" customHeight="1" x14ac:dyDescent="0.4">
      <c r="A40" s="20"/>
      <c r="B40" s="74"/>
      <c r="C40" s="64"/>
      <c r="D40" s="15" t="s">
        <v>13</v>
      </c>
      <c r="E40" s="47">
        <v>0</v>
      </c>
      <c r="F40" s="47">
        <v>0</v>
      </c>
      <c r="G40" s="47">
        <v>0</v>
      </c>
      <c r="H40" s="47">
        <v>0</v>
      </c>
      <c r="I40" s="47">
        <v>3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13">
        <f t="shared" si="9"/>
        <v>3</v>
      </c>
    </row>
    <row r="41" spans="1:20" ht="12.75" customHeight="1" x14ac:dyDescent="0.4">
      <c r="A41" s="24"/>
      <c r="B41" s="75"/>
      <c r="C41" s="65"/>
      <c r="D41" s="13" t="s">
        <v>14</v>
      </c>
      <c r="E41" s="13">
        <f t="shared" ref="E41:S41" si="10">SUM(E39:E40)</f>
        <v>0</v>
      </c>
      <c r="F41" s="13">
        <f t="shared" si="10"/>
        <v>0</v>
      </c>
      <c r="G41" s="13">
        <f t="shared" si="10"/>
        <v>0</v>
      </c>
      <c r="H41" s="13">
        <f t="shared" si="10"/>
        <v>0</v>
      </c>
      <c r="I41" s="13">
        <f t="shared" si="10"/>
        <v>4</v>
      </c>
      <c r="J41" s="13">
        <f t="shared" si="10"/>
        <v>0</v>
      </c>
      <c r="K41" s="13">
        <f t="shared" si="10"/>
        <v>0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0</v>
      </c>
      <c r="Q41" s="13">
        <f t="shared" si="10"/>
        <v>0</v>
      </c>
      <c r="R41" s="13">
        <f t="shared" si="10"/>
        <v>0</v>
      </c>
      <c r="S41" s="13">
        <f t="shared" si="10"/>
        <v>0</v>
      </c>
      <c r="T41" s="13">
        <f t="shared" si="9"/>
        <v>4</v>
      </c>
    </row>
    <row r="42" spans="1:20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13"/>
    </row>
    <row r="43" spans="1:20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3"/>
    </row>
    <row r="44" spans="1:20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3"/>
    </row>
    <row r="45" spans="1:20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6</v>
      </c>
      <c r="F45" s="15">
        <v>5</v>
      </c>
      <c r="G45" s="15">
        <v>11</v>
      </c>
      <c r="H45" s="15">
        <v>3</v>
      </c>
      <c r="I45" s="15">
        <v>3</v>
      </c>
      <c r="J45" s="15">
        <v>5</v>
      </c>
      <c r="K45" s="15">
        <v>5</v>
      </c>
      <c r="L45" s="15">
        <v>6</v>
      </c>
      <c r="M45" s="15">
        <v>6</v>
      </c>
      <c r="N45" s="15">
        <v>2</v>
      </c>
      <c r="O45" s="15">
        <v>0</v>
      </c>
      <c r="P45" s="15">
        <v>1</v>
      </c>
      <c r="Q45" s="15">
        <v>5</v>
      </c>
      <c r="R45" s="15">
        <v>8</v>
      </c>
      <c r="S45" s="15">
        <v>2</v>
      </c>
      <c r="T45" s="13">
        <f t="shared" ref="T45:T192" si="11">SUM(E45:S45)</f>
        <v>68</v>
      </c>
    </row>
    <row r="46" spans="1:20" ht="12.75" customHeight="1" x14ac:dyDescent="0.4">
      <c r="A46" s="19" t="s">
        <v>39</v>
      </c>
      <c r="B46" s="27"/>
      <c r="C46" s="28" t="s">
        <v>40</v>
      </c>
      <c r="D46" s="29"/>
      <c r="E46" s="15">
        <v>35</v>
      </c>
      <c r="F46" s="15">
        <v>31</v>
      </c>
      <c r="G46" s="15">
        <v>27</v>
      </c>
      <c r="H46" s="15">
        <v>13</v>
      </c>
      <c r="I46" s="15">
        <v>24</v>
      </c>
      <c r="J46" s="15">
        <v>21</v>
      </c>
      <c r="K46" s="15">
        <v>17</v>
      </c>
      <c r="L46" s="15">
        <v>22</v>
      </c>
      <c r="M46" s="15">
        <v>26</v>
      </c>
      <c r="N46" s="15">
        <v>21</v>
      </c>
      <c r="O46" s="15">
        <v>1</v>
      </c>
      <c r="P46" s="15"/>
      <c r="Q46" s="15">
        <v>16</v>
      </c>
      <c r="R46" s="15">
        <v>52</v>
      </c>
      <c r="S46" s="15">
        <v>24</v>
      </c>
      <c r="T46" s="13">
        <f t="shared" si="11"/>
        <v>330</v>
      </c>
    </row>
    <row r="47" spans="1:20" ht="12.75" customHeight="1" x14ac:dyDescent="0.4">
      <c r="A47" s="14"/>
      <c r="B47" s="27"/>
      <c r="C47" s="28" t="s">
        <v>41</v>
      </c>
      <c r="D47" s="29"/>
      <c r="E47" s="15">
        <v>2</v>
      </c>
      <c r="F47" s="15">
        <v>11</v>
      </c>
      <c r="G47" s="15">
        <v>1</v>
      </c>
      <c r="H47" s="15">
        <v>2</v>
      </c>
      <c r="I47" s="15">
        <v>2</v>
      </c>
      <c r="J47" s="15"/>
      <c r="K47" s="15">
        <v>12</v>
      </c>
      <c r="L47" s="15">
        <v>5</v>
      </c>
      <c r="M47" s="15"/>
      <c r="N47" s="15">
        <v>0</v>
      </c>
      <c r="O47" s="15"/>
      <c r="P47" s="15"/>
      <c r="Q47" s="15">
        <v>2</v>
      </c>
      <c r="R47" s="15">
        <v>4</v>
      </c>
      <c r="S47" s="15">
        <v>2</v>
      </c>
      <c r="T47" s="13">
        <f t="shared" si="11"/>
        <v>43</v>
      </c>
    </row>
    <row r="48" spans="1:20" ht="12.75" customHeight="1" x14ac:dyDescent="0.4">
      <c r="A48" s="14"/>
      <c r="B48" s="27"/>
      <c r="C48" s="28" t="s">
        <v>42</v>
      </c>
      <c r="D48" s="29"/>
      <c r="E48" s="15">
        <v>3</v>
      </c>
      <c r="F48" s="15">
        <v>0</v>
      </c>
      <c r="G48" s="15">
        <v>0</v>
      </c>
      <c r="H48" s="15">
        <v>1</v>
      </c>
      <c r="I48" s="15">
        <v>2</v>
      </c>
      <c r="J48" s="15">
        <v>1</v>
      </c>
      <c r="K48" s="15">
        <v>1</v>
      </c>
      <c r="L48" s="15">
        <v>0</v>
      </c>
      <c r="M48" s="15"/>
      <c r="N48" s="15">
        <v>1</v>
      </c>
      <c r="O48" s="15"/>
      <c r="P48" s="15"/>
      <c r="Q48" s="15">
        <v>4</v>
      </c>
      <c r="R48" s="15">
        <v>1</v>
      </c>
      <c r="S48" s="15">
        <v>1</v>
      </c>
      <c r="T48" s="13">
        <f t="shared" si="11"/>
        <v>15</v>
      </c>
    </row>
    <row r="49" spans="1:20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1</v>
      </c>
      <c r="G49" s="15"/>
      <c r="H49" s="15">
        <v>0</v>
      </c>
      <c r="I49" s="15"/>
      <c r="J49" s="15">
        <v>1</v>
      </c>
      <c r="K49" s="15">
        <v>0</v>
      </c>
      <c r="L49" s="15">
        <v>0</v>
      </c>
      <c r="M49" s="15"/>
      <c r="N49" s="15"/>
      <c r="O49" s="15"/>
      <c r="P49" s="15"/>
      <c r="Q49" s="15">
        <v>0</v>
      </c>
      <c r="R49" s="15">
        <v>0</v>
      </c>
      <c r="S49" s="15">
        <v>1</v>
      </c>
      <c r="T49" s="13">
        <f t="shared" si="11"/>
        <v>3</v>
      </c>
    </row>
    <row r="50" spans="1:20" ht="12.75" customHeight="1" x14ac:dyDescent="0.4">
      <c r="A50" s="14"/>
      <c r="B50" s="27"/>
      <c r="C50" s="28" t="s">
        <v>44</v>
      </c>
      <c r="D50" s="29"/>
      <c r="E50" s="15"/>
      <c r="F50" s="15"/>
      <c r="G50" s="15"/>
      <c r="H50" s="15">
        <v>1</v>
      </c>
      <c r="I50" s="15"/>
      <c r="J50" s="15">
        <v>1</v>
      </c>
      <c r="K50" s="15">
        <v>0</v>
      </c>
      <c r="L50" s="15">
        <v>0</v>
      </c>
      <c r="M50" s="15"/>
      <c r="N50" s="15"/>
      <c r="O50" s="15"/>
      <c r="P50" s="15"/>
      <c r="Q50" s="15">
        <v>0</v>
      </c>
      <c r="R50" s="15">
        <v>0</v>
      </c>
      <c r="S50" s="15">
        <v>0</v>
      </c>
      <c r="T50" s="13">
        <f t="shared" si="11"/>
        <v>2</v>
      </c>
    </row>
    <row r="51" spans="1:20" ht="12.75" customHeight="1" x14ac:dyDescent="0.4">
      <c r="A51" s="14"/>
      <c r="B51" s="27"/>
      <c r="C51" s="28" t="s">
        <v>45</v>
      </c>
      <c r="D51" s="29"/>
      <c r="E51" s="15"/>
      <c r="F51" s="15">
        <v>1</v>
      </c>
      <c r="G51" s="15">
        <v>1</v>
      </c>
      <c r="H51" s="15">
        <v>0</v>
      </c>
      <c r="I51" s="15"/>
      <c r="J51" s="15"/>
      <c r="K51" s="15">
        <v>19</v>
      </c>
      <c r="L51" s="15">
        <v>1</v>
      </c>
      <c r="M51" s="15">
        <v>2</v>
      </c>
      <c r="N51" s="15"/>
      <c r="O51" s="15"/>
      <c r="P51" s="15"/>
      <c r="Q51" s="15">
        <v>0</v>
      </c>
      <c r="R51" s="15">
        <v>0</v>
      </c>
      <c r="S51" s="15">
        <v>0</v>
      </c>
      <c r="T51" s="13">
        <f t="shared" si="11"/>
        <v>24</v>
      </c>
    </row>
    <row r="52" spans="1:20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S52" si="12">SUM(E45:E51)</f>
        <v>46</v>
      </c>
      <c r="F52" s="13">
        <f t="shared" si="12"/>
        <v>49</v>
      </c>
      <c r="G52" s="13">
        <f t="shared" si="12"/>
        <v>40</v>
      </c>
      <c r="H52" s="13">
        <f t="shared" si="12"/>
        <v>20</v>
      </c>
      <c r="I52" s="13">
        <f t="shared" si="12"/>
        <v>31</v>
      </c>
      <c r="J52" s="13">
        <f t="shared" si="12"/>
        <v>29</v>
      </c>
      <c r="K52" s="13">
        <f t="shared" si="12"/>
        <v>54</v>
      </c>
      <c r="L52" s="13">
        <f t="shared" si="12"/>
        <v>34</v>
      </c>
      <c r="M52" s="13">
        <f t="shared" si="12"/>
        <v>34</v>
      </c>
      <c r="N52" s="13">
        <f t="shared" si="12"/>
        <v>24</v>
      </c>
      <c r="O52" s="13">
        <f t="shared" si="12"/>
        <v>1</v>
      </c>
      <c r="P52" s="13">
        <f t="shared" si="12"/>
        <v>1</v>
      </c>
      <c r="Q52" s="13">
        <f t="shared" si="12"/>
        <v>27</v>
      </c>
      <c r="R52" s="13">
        <f t="shared" si="12"/>
        <v>65</v>
      </c>
      <c r="S52" s="13">
        <f t="shared" si="12"/>
        <v>30</v>
      </c>
      <c r="T52" s="13">
        <f t="shared" si="11"/>
        <v>485</v>
      </c>
    </row>
    <row r="53" spans="1:20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3">
        <f t="shared" si="11"/>
        <v>0</v>
      </c>
    </row>
    <row r="54" spans="1:20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4</v>
      </c>
      <c r="F54" s="15">
        <v>3</v>
      </c>
      <c r="G54" s="15">
        <v>3</v>
      </c>
      <c r="H54" s="15">
        <v>3</v>
      </c>
      <c r="I54" s="15">
        <v>0</v>
      </c>
      <c r="J54" s="15">
        <v>6</v>
      </c>
      <c r="K54" s="15">
        <v>3</v>
      </c>
      <c r="L54" s="15">
        <v>4</v>
      </c>
      <c r="M54" s="15">
        <v>3</v>
      </c>
      <c r="N54" s="15">
        <v>5</v>
      </c>
      <c r="O54" s="15">
        <v>5</v>
      </c>
      <c r="P54" s="15">
        <v>1</v>
      </c>
      <c r="Q54" s="15">
        <v>2</v>
      </c>
      <c r="R54" s="15">
        <v>7</v>
      </c>
      <c r="S54" s="15">
        <v>11</v>
      </c>
      <c r="T54" s="13">
        <f t="shared" si="11"/>
        <v>60</v>
      </c>
    </row>
    <row r="55" spans="1:20" ht="12.75" customHeight="1" x14ac:dyDescent="0.4">
      <c r="A55" s="19" t="s">
        <v>39</v>
      </c>
      <c r="B55" s="27"/>
      <c r="C55" s="28" t="s">
        <v>48</v>
      </c>
      <c r="D55" s="29"/>
      <c r="E55" s="15">
        <v>3</v>
      </c>
      <c r="F55" s="15"/>
      <c r="G55" s="15">
        <v>1</v>
      </c>
      <c r="H55" s="15">
        <v>1</v>
      </c>
      <c r="I55" s="15">
        <v>1</v>
      </c>
      <c r="J55" s="15">
        <v>2</v>
      </c>
      <c r="K55" s="15">
        <v>0</v>
      </c>
      <c r="L55" s="15">
        <v>0</v>
      </c>
      <c r="M55" s="15"/>
      <c r="N55" s="15">
        <v>3</v>
      </c>
      <c r="O55" s="15"/>
      <c r="P55" s="15"/>
      <c r="Q55" s="15">
        <v>0</v>
      </c>
      <c r="R55" s="15">
        <v>2</v>
      </c>
      <c r="S55" s="15">
        <v>2</v>
      </c>
      <c r="T55" s="13">
        <f t="shared" si="11"/>
        <v>15</v>
      </c>
    </row>
    <row r="56" spans="1:20" ht="12.75" customHeight="1" x14ac:dyDescent="0.4">
      <c r="A56" s="14"/>
      <c r="B56" s="27"/>
      <c r="C56" s="28" t="s">
        <v>49</v>
      </c>
      <c r="D56" s="29"/>
      <c r="E56" s="15">
        <v>4</v>
      </c>
      <c r="F56" s="15">
        <v>3</v>
      </c>
      <c r="G56" s="15">
        <v>1</v>
      </c>
      <c r="H56" s="15">
        <v>0</v>
      </c>
      <c r="I56" s="15"/>
      <c r="J56" s="15">
        <v>1</v>
      </c>
      <c r="K56" s="15">
        <v>0</v>
      </c>
      <c r="L56" s="15">
        <v>1</v>
      </c>
      <c r="M56" s="15">
        <v>3</v>
      </c>
      <c r="N56" s="15">
        <v>1</v>
      </c>
      <c r="O56" s="15"/>
      <c r="P56" s="15"/>
      <c r="Q56" s="15">
        <v>2</v>
      </c>
      <c r="R56" s="15">
        <v>0</v>
      </c>
      <c r="S56" s="15">
        <v>2</v>
      </c>
      <c r="T56" s="13">
        <f t="shared" si="11"/>
        <v>18</v>
      </c>
    </row>
    <row r="57" spans="1:20" ht="12.75" customHeight="1" x14ac:dyDescent="0.4">
      <c r="A57" s="14"/>
      <c r="B57" s="27"/>
      <c r="C57" s="28" t="s">
        <v>50</v>
      </c>
      <c r="D57" s="29"/>
      <c r="E57" s="15"/>
      <c r="F57" s="15"/>
      <c r="G57" s="15">
        <v>0</v>
      </c>
      <c r="H57" s="15">
        <v>0</v>
      </c>
      <c r="I57" s="15"/>
      <c r="J57" s="15">
        <v>1</v>
      </c>
      <c r="K57" s="15">
        <v>0</v>
      </c>
      <c r="L57" s="15">
        <v>0</v>
      </c>
      <c r="M57" s="15">
        <v>1</v>
      </c>
      <c r="N57" s="15">
        <v>2</v>
      </c>
      <c r="O57" s="15"/>
      <c r="P57" s="15"/>
      <c r="Q57" s="15">
        <v>0</v>
      </c>
      <c r="R57" s="15">
        <v>0</v>
      </c>
      <c r="S57" s="15">
        <v>1</v>
      </c>
      <c r="T57" s="13">
        <f t="shared" si="11"/>
        <v>5</v>
      </c>
    </row>
    <row r="58" spans="1:20" ht="12.75" customHeight="1" x14ac:dyDescent="0.4">
      <c r="A58" s="14"/>
      <c r="B58" s="27"/>
      <c r="C58" s="28" t="s">
        <v>51</v>
      </c>
      <c r="D58" s="29"/>
      <c r="E58" s="15">
        <v>1</v>
      </c>
      <c r="F58" s="15"/>
      <c r="G58" s="15">
        <v>3</v>
      </c>
      <c r="H58" s="15">
        <v>0</v>
      </c>
      <c r="I58" s="15">
        <v>1</v>
      </c>
      <c r="J58" s="15">
        <v>1</v>
      </c>
      <c r="K58" s="15">
        <v>0</v>
      </c>
      <c r="L58" s="15">
        <v>0</v>
      </c>
      <c r="M58" s="15">
        <v>1</v>
      </c>
      <c r="N58" s="15">
        <v>0</v>
      </c>
      <c r="O58" s="15">
        <v>3</v>
      </c>
      <c r="P58" s="15"/>
      <c r="Q58" s="15">
        <v>0</v>
      </c>
      <c r="R58" s="15">
        <v>0</v>
      </c>
      <c r="S58" s="15">
        <v>6</v>
      </c>
      <c r="T58" s="13">
        <f t="shared" si="11"/>
        <v>16</v>
      </c>
    </row>
    <row r="59" spans="1:20" ht="12.75" customHeight="1" x14ac:dyDescent="0.4">
      <c r="A59" s="14"/>
      <c r="B59" s="27"/>
      <c r="C59" s="28" t="s">
        <v>52</v>
      </c>
      <c r="D59" s="29"/>
      <c r="E59" s="15"/>
      <c r="F59" s="15"/>
      <c r="G59" s="15"/>
      <c r="H59" s="15">
        <v>0</v>
      </c>
      <c r="I59" s="15"/>
      <c r="J59" s="15"/>
      <c r="K59" s="15">
        <v>1</v>
      </c>
      <c r="L59" s="15">
        <v>0</v>
      </c>
      <c r="M59" s="15"/>
      <c r="N59" s="15">
        <v>0</v>
      </c>
      <c r="O59" s="15"/>
      <c r="P59" s="15"/>
      <c r="Q59" s="15">
        <v>0</v>
      </c>
      <c r="R59" s="15">
        <v>0</v>
      </c>
      <c r="S59" s="15">
        <v>0</v>
      </c>
      <c r="T59" s="13">
        <f t="shared" si="11"/>
        <v>1</v>
      </c>
    </row>
    <row r="60" spans="1:20" ht="12.75" customHeight="1" x14ac:dyDescent="0.4">
      <c r="A60" s="14"/>
      <c r="B60" s="27"/>
      <c r="C60" s="28" t="s">
        <v>53</v>
      </c>
      <c r="D60" s="29"/>
      <c r="E60" s="15"/>
      <c r="F60" s="15">
        <v>20</v>
      </c>
      <c r="G60" s="15"/>
      <c r="H60" s="15">
        <v>0</v>
      </c>
      <c r="I60" s="15">
        <v>4</v>
      </c>
      <c r="J60" s="15">
        <v>1</v>
      </c>
      <c r="K60" s="15">
        <v>0</v>
      </c>
      <c r="L60" s="15">
        <v>0</v>
      </c>
      <c r="M60" s="15"/>
      <c r="N60" s="15">
        <v>0</v>
      </c>
      <c r="O60" s="15">
        <v>9</v>
      </c>
      <c r="P60" s="15"/>
      <c r="Q60" s="15">
        <v>0</v>
      </c>
      <c r="R60" s="15">
        <v>5</v>
      </c>
      <c r="S60" s="15">
        <v>10</v>
      </c>
      <c r="T60" s="13">
        <f t="shared" si="11"/>
        <v>49</v>
      </c>
    </row>
    <row r="61" spans="1:20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S61" si="13">SUM(E54:E60)</f>
        <v>12</v>
      </c>
      <c r="F61" s="13">
        <f t="shared" si="13"/>
        <v>26</v>
      </c>
      <c r="G61" s="13">
        <f t="shared" si="13"/>
        <v>8</v>
      </c>
      <c r="H61" s="13">
        <f t="shared" si="13"/>
        <v>4</v>
      </c>
      <c r="I61" s="13">
        <f t="shared" si="13"/>
        <v>6</v>
      </c>
      <c r="J61" s="13">
        <f t="shared" si="13"/>
        <v>12</v>
      </c>
      <c r="K61" s="13">
        <f t="shared" si="13"/>
        <v>4</v>
      </c>
      <c r="L61" s="13">
        <f t="shared" si="13"/>
        <v>5</v>
      </c>
      <c r="M61" s="13">
        <f t="shared" si="13"/>
        <v>8</v>
      </c>
      <c r="N61" s="13">
        <f t="shared" si="13"/>
        <v>11</v>
      </c>
      <c r="O61" s="13">
        <f t="shared" si="13"/>
        <v>17</v>
      </c>
      <c r="P61" s="13">
        <f t="shared" si="13"/>
        <v>1</v>
      </c>
      <c r="Q61" s="13">
        <f t="shared" si="13"/>
        <v>4</v>
      </c>
      <c r="R61" s="13">
        <f t="shared" si="13"/>
        <v>14</v>
      </c>
      <c r="S61" s="13">
        <f t="shared" si="13"/>
        <v>32</v>
      </c>
      <c r="T61" s="13">
        <f t="shared" si="11"/>
        <v>164</v>
      </c>
    </row>
    <row r="62" spans="1:20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3">
        <f t="shared" si="11"/>
        <v>0</v>
      </c>
    </row>
    <row r="63" spans="1:20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5</v>
      </c>
      <c r="F63" s="15">
        <v>6</v>
      </c>
      <c r="G63" s="15">
        <v>4</v>
      </c>
      <c r="H63" s="15">
        <v>2</v>
      </c>
      <c r="I63" s="15">
        <v>7</v>
      </c>
      <c r="J63" s="15">
        <v>3</v>
      </c>
      <c r="K63" s="15">
        <v>4</v>
      </c>
      <c r="L63" s="15">
        <v>9</v>
      </c>
      <c r="M63" s="15">
        <v>10</v>
      </c>
      <c r="N63" s="15">
        <v>16</v>
      </c>
      <c r="O63" s="15">
        <v>17</v>
      </c>
      <c r="P63" s="15">
        <v>13</v>
      </c>
      <c r="Q63" s="15">
        <v>4</v>
      </c>
      <c r="R63" s="15">
        <v>8</v>
      </c>
      <c r="S63" s="15">
        <v>5</v>
      </c>
      <c r="T63" s="13">
        <f t="shared" si="11"/>
        <v>113</v>
      </c>
    </row>
    <row r="64" spans="1:20" ht="12.75" customHeight="1" x14ac:dyDescent="0.4">
      <c r="A64" s="19" t="s">
        <v>39</v>
      </c>
      <c r="B64" s="27"/>
      <c r="C64" s="28" t="s">
        <v>55</v>
      </c>
      <c r="D64" s="29"/>
      <c r="E64" s="15">
        <v>3</v>
      </c>
      <c r="F64" s="15">
        <v>5</v>
      </c>
      <c r="G64" s="15">
        <v>0</v>
      </c>
      <c r="H64" s="15">
        <v>1</v>
      </c>
      <c r="I64" s="15">
        <v>2</v>
      </c>
      <c r="J64" s="15">
        <v>0</v>
      </c>
      <c r="K64" s="15">
        <v>5</v>
      </c>
      <c r="L64" s="15">
        <v>25</v>
      </c>
      <c r="M64" s="15">
        <v>73</v>
      </c>
      <c r="N64" s="15">
        <v>8</v>
      </c>
      <c r="O64" s="15">
        <v>1</v>
      </c>
      <c r="P64" s="15">
        <v>1</v>
      </c>
      <c r="Q64" s="15">
        <v>3</v>
      </c>
      <c r="R64" s="15">
        <v>1</v>
      </c>
      <c r="S64" s="15">
        <v>0</v>
      </c>
      <c r="T64" s="13">
        <f t="shared" si="11"/>
        <v>128</v>
      </c>
    </row>
    <row r="65" spans="1:20" ht="12.75" customHeight="1" x14ac:dyDescent="0.4">
      <c r="A65" s="14"/>
      <c r="B65" s="27"/>
      <c r="C65" s="28" t="s">
        <v>56</v>
      </c>
      <c r="D65" s="29"/>
      <c r="E65" s="15">
        <v>2</v>
      </c>
      <c r="F65" s="15">
        <v>2</v>
      </c>
      <c r="G65" s="15">
        <v>2</v>
      </c>
      <c r="H65" s="15">
        <v>0</v>
      </c>
      <c r="I65" s="15"/>
      <c r="J65" s="15">
        <v>1</v>
      </c>
      <c r="K65" s="15">
        <v>4</v>
      </c>
      <c r="L65" s="15">
        <v>1</v>
      </c>
      <c r="M65" s="15">
        <v>8</v>
      </c>
      <c r="N65" s="15">
        <v>1</v>
      </c>
      <c r="O65" s="15">
        <v>1</v>
      </c>
      <c r="P65" s="15">
        <v>1</v>
      </c>
      <c r="Q65" s="15">
        <v>3</v>
      </c>
      <c r="R65" s="15">
        <v>6</v>
      </c>
      <c r="S65" s="15">
        <v>0</v>
      </c>
      <c r="T65" s="13">
        <f t="shared" si="11"/>
        <v>32</v>
      </c>
    </row>
    <row r="66" spans="1:20" ht="12.75" customHeight="1" x14ac:dyDescent="0.4">
      <c r="A66" s="14"/>
      <c r="B66" s="27"/>
      <c r="C66" s="28" t="s">
        <v>57</v>
      </c>
      <c r="D66" s="29"/>
      <c r="E66" s="15">
        <v>74</v>
      </c>
      <c r="F66" s="15">
        <v>52</v>
      </c>
      <c r="G66" s="15">
        <v>26</v>
      </c>
      <c r="H66" s="15">
        <v>32</v>
      </c>
      <c r="I66" s="15">
        <v>78</v>
      </c>
      <c r="J66" s="15">
        <v>5</v>
      </c>
      <c r="K66" s="15">
        <v>30</v>
      </c>
      <c r="L66" s="15">
        <v>58</v>
      </c>
      <c r="M66" s="15">
        <v>46</v>
      </c>
      <c r="N66" s="15">
        <v>73</v>
      </c>
      <c r="O66" s="15">
        <v>129</v>
      </c>
      <c r="P66" s="15">
        <v>134</v>
      </c>
      <c r="Q66" s="15">
        <v>73</v>
      </c>
      <c r="R66" s="15">
        <v>32</v>
      </c>
      <c r="S66" s="15">
        <v>10</v>
      </c>
      <c r="T66" s="13">
        <f t="shared" si="11"/>
        <v>852</v>
      </c>
    </row>
    <row r="67" spans="1:20" ht="12.75" customHeight="1" x14ac:dyDescent="0.4">
      <c r="A67" s="14"/>
      <c r="B67" s="27"/>
      <c r="C67" s="28" t="s">
        <v>58</v>
      </c>
      <c r="D67" s="29"/>
      <c r="E67" s="15">
        <v>3</v>
      </c>
      <c r="F67" s="15">
        <v>12</v>
      </c>
      <c r="G67" s="15">
        <v>1</v>
      </c>
      <c r="H67" s="15">
        <v>0</v>
      </c>
      <c r="I67" s="15"/>
      <c r="J67" s="15">
        <v>1</v>
      </c>
      <c r="K67" s="15">
        <v>0</v>
      </c>
      <c r="L67" s="15">
        <v>0</v>
      </c>
      <c r="M67" s="15">
        <v>1</v>
      </c>
      <c r="N67" s="15">
        <v>0</v>
      </c>
      <c r="O67" s="15">
        <v>0</v>
      </c>
      <c r="P67" s="15"/>
      <c r="Q67" s="15">
        <v>0</v>
      </c>
      <c r="R67" s="15">
        <v>1</v>
      </c>
      <c r="S67" s="15">
        <v>0</v>
      </c>
      <c r="T67" s="13">
        <f t="shared" si="11"/>
        <v>19</v>
      </c>
    </row>
    <row r="68" spans="1:20" ht="12.75" customHeight="1" x14ac:dyDescent="0.4">
      <c r="A68" s="14"/>
      <c r="B68" s="27"/>
      <c r="C68" s="28" t="s">
        <v>59</v>
      </c>
      <c r="D68" s="29"/>
      <c r="E68" s="15"/>
      <c r="F68" s="15">
        <v>0</v>
      </c>
      <c r="G68" s="15"/>
      <c r="H68" s="15">
        <v>0</v>
      </c>
      <c r="I68" s="15"/>
      <c r="J68" s="15"/>
      <c r="K68" s="15">
        <v>1</v>
      </c>
      <c r="L68" s="15">
        <v>0</v>
      </c>
      <c r="M68" s="15"/>
      <c r="N68" s="15">
        <v>0</v>
      </c>
      <c r="O68" s="15"/>
      <c r="P68" s="15"/>
      <c r="Q68" s="15">
        <v>0</v>
      </c>
      <c r="R68" s="15">
        <v>0</v>
      </c>
      <c r="S68" s="15">
        <v>0</v>
      </c>
      <c r="T68" s="13">
        <f t="shared" si="11"/>
        <v>1</v>
      </c>
    </row>
    <row r="69" spans="1:20" ht="12.75" customHeight="1" x14ac:dyDescent="0.4">
      <c r="A69" s="14"/>
      <c r="B69" s="27"/>
      <c r="C69" s="28" t="s">
        <v>60</v>
      </c>
      <c r="D69" s="29"/>
      <c r="E69" s="15"/>
      <c r="F69" s="15"/>
      <c r="G69" s="15"/>
      <c r="H69" s="15">
        <v>0</v>
      </c>
      <c r="I69" s="15"/>
      <c r="J69" s="15">
        <v>1</v>
      </c>
      <c r="K69" s="15">
        <v>0</v>
      </c>
      <c r="L69" s="15">
        <v>0</v>
      </c>
      <c r="M69" s="15"/>
      <c r="N69" s="15">
        <v>0</v>
      </c>
      <c r="O69" s="15"/>
      <c r="P69" s="15"/>
      <c r="Q69" s="15">
        <v>0</v>
      </c>
      <c r="R69" s="15">
        <v>0</v>
      </c>
      <c r="S69" s="15">
        <v>0</v>
      </c>
      <c r="T69" s="13">
        <f t="shared" si="11"/>
        <v>1</v>
      </c>
    </row>
    <row r="70" spans="1:20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S70" si="14">SUM(E63:E69)</f>
        <v>87</v>
      </c>
      <c r="F70" s="13">
        <f t="shared" si="14"/>
        <v>77</v>
      </c>
      <c r="G70" s="13">
        <f t="shared" si="14"/>
        <v>33</v>
      </c>
      <c r="H70" s="13">
        <f t="shared" si="14"/>
        <v>35</v>
      </c>
      <c r="I70" s="13">
        <f t="shared" si="14"/>
        <v>87</v>
      </c>
      <c r="J70" s="13">
        <f t="shared" si="14"/>
        <v>11</v>
      </c>
      <c r="K70" s="13">
        <f t="shared" si="14"/>
        <v>44</v>
      </c>
      <c r="L70" s="13">
        <f t="shared" si="14"/>
        <v>93</v>
      </c>
      <c r="M70" s="13">
        <f t="shared" si="14"/>
        <v>138</v>
      </c>
      <c r="N70" s="13">
        <f t="shared" si="14"/>
        <v>98</v>
      </c>
      <c r="O70" s="13">
        <f t="shared" si="14"/>
        <v>148</v>
      </c>
      <c r="P70" s="13">
        <f t="shared" si="14"/>
        <v>149</v>
      </c>
      <c r="Q70" s="13">
        <f t="shared" si="14"/>
        <v>83</v>
      </c>
      <c r="R70" s="13">
        <f t="shared" si="14"/>
        <v>48</v>
      </c>
      <c r="S70" s="13">
        <f t="shared" si="14"/>
        <v>15</v>
      </c>
      <c r="T70" s="13">
        <f t="shared" si="11"/>
        <v>1146</v>
      </c>
    </row>
    <row r="71" spans="1:20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3">
        <f t="shared" si="11"/>
        <v>0</v>
      </c>
    </row>
    <row r="72" spans="1:20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/>
      <c r="F72" s="15">
        <v>2</v>
      </c>
      <c r="G72" s="15">
        <v>2</v>
      </c>
      <c r="H72" s="15">
        <v>1</v>
      </c>
      <c r="I72" s="15">
        <v>1</v>
      </c>
      <c r="J72" s="15">
        <v>0</v>
      </c>
      <c r="K72" s="15">
        <v>0</v>
      </c>
      <c r="L72" s="15">
        <v>1</v>
      </c>
      <c r="M72" s="15">
        <v>1</v>
      </c>
      <c r="N72" s="15">
        <v>0</v>
      </c>
      <c r="O72" s="15">
        <v>0</v>
      </c>
      <c r="P72" s="15"/>
      <c r="Q72" s="15">
        <v>0</v>
      </c>
      <c r="R72" s="15">
        <v>0</v>
      </c>
      <c r="S72" s="15">
        <v>1</v>
      </c>
      <c r="T72" s="13">
        <f t="shared" si="11"/>
        <v>9</v>
      </c>
    </row>
    <row r="73" spans="1:20" ht="12.75" customHeight="1" x14ac:dyDescent="0.4">
      <c r="A73" s="19" t="s">
        <v>39</v>
      </c>
      <c r="B73" s="27"/>
      <c r="C73" s="28" t="s">
        <v>62</v>
      </c>
      <c r="D73" s="29"/>
      <c r="E73" s="15">
        <v>3</v>
      </c>
      <c r="F73" s="15">
        <v>1</v>
      </c>
      <c r="G73" s="15">
        <v>1</v>
      </c>
      <c r="H73" s="15">
        <v>0</v>
      </c>
      <c r="I73" s="15">
        <v>1</v>
      </c>
      <c r="J73" s="15"/>
      <c r="K73" s="15">
        <v>1</v>
      </c>
      <c r="L73" s="15">
        <v>3</v>
      </c>
      <c r="M73" s="15">
        <v>1</v>
      </c>
      <c r="N73" s="15">
        <v>1</v>
      </c>
      <c r="O73" s="15">
        <v>1</v>
      </c>
      <c r="P73" s="15"/>
      <c r="Q73" s="15">
        <v>4</v>
      </c>
      <c r="R73" s="15">
        <v>2</v>
      </c>
      <c r="S73" s="15">
        <v>5</v>
      </c>
      <c r="T73" s="13">
        <f t="shared" si="11"/>
        <v>24</v>
      </c>
    </row>
    <row r="74" spans="1:20" ht="12.75" customHeight="1" x14ac:dyDescent="0.4">
      <c r="A74" s="14"/>
      <c r="B74" s="27"/>
      <c r="C74" s="28" t="s">
        <v>63</v>
      </c>
      <c r="D74" s="29"/>
      <c r="E74" s="15"/>
      <c r="F74" s="15">
        <v>1</v>
      </c>
      <c r="G74" s="15"/>
      <c r="H74" s="15">
        <v>0</v>
      </c>
      <c r="I74" s="15"/>
      <c r="J74" s="15"/>
      <c r="K74" s="15">
        <v>0</v>
      </c>
      <c r="L74" s="15">
        <v>1</v>
      </c>
      <c r="M74" s="15"/>
      <c r="N74" s="15">
        <v>0</v>
      </c>
      <c r="O74" s="15"/>
      <c r="P74" s="15"/>
      <c r="Q74" s="15">
        <v>0</v>
      </c>
      <c r="R74" s="15">
        <v>0</v>
      </c>
      <c r="S74" s="15">
        <v>0</v>
      </c>
      <c r="T74" s="13">
        <f t="shared" si="11"/>
        <v>2</v>
      </c>
    </row>
    <row r="75" spans="1:20" ht="12.75" customHeight="1" x14ac:dyDescent="0.4">
      <c r="A75" s="14"/>
      <c r="B75" s="27"/>
      <c r="C75" s="28" t="s">
        <v>64</v>
      </c>
      <c r="D75" s="29"/>
      <c r="E75" s="15"/>
      <c r="F75" s="15">
        <v>2</v>
      </c>
      <c r="G75" s="15"/>
      <c r="H75" s="15">
        <v>0</v>
      </c>
      <c r="I75" s="15"/>
      <c r="J75" s="15"/>
      <c r="K75" s="15">
        <v>0</v>
      </c>
      <c r="L75" s="15">
        <v>0</v>
      </c>
      <c r="M75" s="15"/>
      <c r="N75" s="15">
        <v>0</v>
      </c>
      <c r="O75" s="15"/>
      <c r="P75" s="15"/>
      <c r="Q75" s="15">
        <v>0</v>
      </c>
      <c r="R75" s="15">
        <v>1</v>
      </c>
      <c r="S75" s="15">
        <v>0</v>
      </c>
      <c r="T75" s="13">
        <f t="shared" si="11"/>
        <v>3</v>
      </c>
    </row>
    <row r="76" spans="1:20" ht="12.75" customHeight="1" x14ac:dyDescent="0.4">
      <c r="A76" s="14"/>
      <c r="B76" s="27"/>
      <c r="C76" s="28" t="s">
        <v>65</v>
      </c>
      <c r="D76" s="29"/>
      <c r="E76" s="15"/>
      <c r="F76" s="15"/>
      <c r="G76" s="15"/>
      <c r="H76" s="15">
        <v>1</v>
      </c>
      <c r="I76" s="15"/>
      <c r="J76" s="15"/>
      <c r="K76" s="15">
        <v>0</v>
      </c>
      <c r="L76" s="15">
        <v>0</v>
      </c>
      <c r="M76" s="15"/>
      <c r="N76" s="15">
        <v>0</v>
      </c>
      <c r="O76" s="15">
        <v>1</v>
      </c>
      <c r="P76" s="15"/>
      <c r="Q76" s="15">
        <v>0</v>
      </c>
      <c r="R76" s="15">
        <v>0</v>
      </c>
      <c r="S76" s="15">
        <v>0</v>
      </c>
      <c r="T76" s="13">
        <f t="shared" si="11"/>
        <v>2</v>
      </c>
    </row>
    <row r="77" spans="1:20" ht="12.75" customHeight="1" x14ac:dyDescent="0.4">
      <c r="A77" s="14"/>
      <c r="B77" s="27"/>
      <c r="C77" s="28" t="s">
        <v>66</v>
      </c>
      <c r="D77" s="29"/>
      <c r="E77" s="15"/>
      <c r="F77" s="15"/>
      <c r="G77" s="15"/>
      <c r="H77" s="15">
        <v>0</v>
      </c>
      <c r="I77" s="15"/>
      <c r="J77" s="15"/>
      <c r="K77" s="15">
        <v>0</v>
      </c>
      <c r="L77" s="15">
        <v>0</v>
      </c>
      <c r="M77" s="15"/>
      <c r="N77" s="15">
        <v>0</v>
      </c>
      <c r="O77" s="15"/>
      <c r="P77" s="15"/>
      <c r="Q77" s="15">
        <v>0</v>
      </c>
      <c r="R77" s="15">
        <v>0</v>
      </c>
      <c r="S77" s="15">
        <v>0</v>
      </c>
      <c r="T77" s="13">
        <f t="shared" si="11"/>
        <v>0</v>
      </c>
    </row>
    <row r="78" spans="1:20" ht="12.75" customHeight="1" x14ac:dyDescent="0.4">
      <c r="A78" s="14"/>
      <c r="B78" s="27"/>
      <c r="C78" s="28" t="s">
        <v>67</v>
      </c>
      <c r="D78" s="29"/>
      <c r="E78" s="15"/>
      <c r="F78" s="15"/>
      <c r="G78" s="15"/>
      <c r="H78" s="15">
        <v>3</v>
      </c>
      <c r="I78" s="15">
        <v>1</v>
      </c>
      <c r="J78" s="15"/>
      <c r="K78" s="15">
        <v>1</v>
      </c>
      <c r="L78" s="15">
        <v>1</v>
      </c>
      <c r="M78" s="15">
        <v>1</v>
      </c>
      <c r="N78" s="15">
        <v>1</v>
      </c>
      <c r="O78" s="15"/>
      <c r="P78" s="15"/>
      <c r="Q78" s="15">
        <v>0</v>
      </c>
      <c r="R78" s="15">
        <v>0</v>
      </c>
      <c r="S78" s="15">
        <v>0</v>
      </c>
      <c r="T78" s="13">
        <f t="shared" si="11"/>
        <v>8</v>
      </c>
    </row>
    <row r="79" spans="1:20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S79" si="15">SUM(E72:E78)</f>
        <v>3</v>
      </c>
      <c r="F79" s="13">
        <f t="shared" si="15"/>
        <v>6</v>
      </c>
      <c r="G79" s="13">
        <f t="shared" si="15"/>
        <v>3</v>
      </c>
      <c r="H79" s="13">
        <f t="shared" si="15"/>
        <v>5</v>
      </c>
      <c r="I79" s="13">
        <f t="shared" si="15"/>
        <v>3</v>
      </c>
      <c r="J79" s="13">
        <f t="shared" si="15"/>
        <v>0</v>
      </c>
      <c r="K79" s="13">
        <f t="shared" si="15"/>
        <v>2</v>
      </c>
      <c r="L79" s="13">
        <f t="shared" si="15"/>
        <v>6</v>
      </c>
      <c r="M79" s="13">
        <f t="shared" si="15"/>
        <v>3</v>
      </c>
      <c r="N79" s="13">
        <f t="shared" si="15"/>
        <v>2</v>
      </c>
      <c r="O79" s="13">
        <f t="shared" si="15"/>
        <v>2</v>
      </c>
      <c r="P79" s="13">
        <f t="shared" si="15"/>
        <v>0</v>
      </c>
      <c r="Q79" s="13">
        <f t="shared" si="15"/>
        <v>4</v>
      </c>
      <c r="R79" s="13">
        <f t="shared" si="15"/>
        <v>3</v>
      </c>
      <c r="S79" s="13">
        <f t="shared" si="15"/>
        <v>6</v>
      </c>
      <c r="T79" s="13">
        <f t="shared" si="11"/>
        <v>48</v>
      </c>
    </row>
    <row r="80" spans="1:20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3">
        <f t="shared" si="11"/>
        <v>0</v>
      </c>
    </row>
    <row r="81" spans="1:20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4</v>
      </c>
      <c r="F81" s="15">
        <v>2</v>
      </c>
      <c r="G81" s="15">
        <v>1</v>
      </c>
      <c r="H81" s="15">
        <v>1</v>
      </c>
      <c r="I81" s="15">
        <v>0</v>
      </c>
      <c r="J81" s="15">
        <v>3</v>
      </c>
      <c r="K81" s="15">
        <v>1</v>
      </c>
      <c r="L81" s="15">
        <v>0</v>
      </c>
      <c r="M81" s="15"/>
      <c r="N81" s="15"/>
      <c r="O81" s="15"/>
      <c r="P81" s="15">
        <v>1</v>
      </c>
      <c r="Q81" s="15">
        <v>0</v>
      </c>
      <c r="R81" s="15">
        <v>2</v>
      </c>
      <c r="S81" s="15">
        <v>1</v>
      </c>
      <c r="T81" s="13">
        <f t="shared" si="11"/>
        <v>16</v>
      </c>
    </row>
    <row r="82" spans="1:20" ht="12.75" customHeight="1" x14ac:dyDescent="0.4">
      <c r="A82" s="19" t="s">
        <v>39</v>
      </c>
      <c r="B82" s="27"/>
      <c r="C82" s="28" t="s">
        <v>70</v>
      </c>
      <c r="D82" s="29"/>
      <c r="E82" s="15">
        <v>1</v>
      </c>
      <c r="F82" s="15">
        <v>0</v>
      </c>
      <c r="G82" s="15">
        <v>0</v>
      </c>
      <c r="H82" s="15">
        <v>0</v>
      </c>
      <c r="I82" s="15"/>
      <c r="J82" s="15"/>
      <c r="K82" s="15">
        <v>0</v>
      </c>
      <c r="L82" s="15">
        <v>0</v>
      </c>
      <c r="M82" s="15"/>
      <c r="N82" s="15"/>
      <c r="O82" s="15"/>
      <c r="P82" s="15">
        <v>1</v>
      </c>
      <c r="Q82" s="15">
        <v>1</v>
      </c>
      <c r="R82" s="15">
        <v>0</v>
      </c>
      <c r="S82" s="15">
        <v>0</v>
      </c>
      <c r="T82" s="13">
        <f t="shared" si="11"/>
        <v>3</v>
      </c>
    </row>
    <row r="83" spans="1:20" ht="12.75" customHeight="1" x14ac:dyDescent="0.4">
      <c r="A83" s="14"/>
      <c r="B83" s="27"/>
      <c r="C83" s="28" t="s">
        <v>71</v>
      </c>
      <c r="D83" s="29"/>
      <c r="E83" s="15">
        <v>61</v>
      </c>
      <c r="F83" s="15">
        <v>19</v>
      </c>
      <c r="G83" s="15">
        <v>1</v>
      </c>
      <c r="H83" s="15">
        <v>1</v>
      </c>
      <c r="I83" s="15">
        <v>3</v>
      </c>
      <c r="J83" s="15">
        <v>18</v>
      </c>
      <c r="K83" s="15">
        <v>15</v>
      </c>
      <c r="L83" s="15">
        <v>1</v>
      </c>
      <c r="M83" s="15"/>
      <c r="N83" s="15">
        <v>2</v>
      </c>
      <c r="O83" s="15">
        <v>43</v>
      </c>
      <c r="P83" s="15">
        <v>30</v>
      </c>
      <c r="Q83" s="15">
        <v>39</v>
      </c>
      <c r="R83" s="15">
        <v>28</v>
      </c>
      <c r="S83" s="15">
        <v>18</v>
      </c>
      <c r="T83" s="13">
        <f t="shared" si="11"/>
        <v>279</v>
      </c>
    </row>
    <row r="84" spans="1:20" ht="12.75" customHeight="1" x14ac:dyDescent="0.4">
      <c r="A84" s="14"/>
      <c r="B84" s="27"/>
      <c r="C84" s="28" t="s">
        <v>72</v>
      </c>
      <c r="D84" s="29"/>
      <c r="E84" s="15">
        <v>1</v>
      </c>
      <c r="F84" s="15"/>
      <c r="G84" s="15"/>
      <c r="H84" s="15">
        <v>0</v>
      </c>
      <c r="I84" s="15"/>
      <c r="J84" s="15"/>
      <c r="K84" s="15">
        <v>0</v>
      </c>
      <c r="L84" s="15">
        <v>0</v>
      </c>
      <c r="M84" s="15"/>
      <c r="N84" s="15"/>
      <c r="O84" s="15"/>
      <c r="P84" s="15">
        <v>1</v>
      </c>
      <c r="Q84" s="15">
        <v>0</v>
      </c>
      <c r="R84" s="15">
        <v>0</v>
      </c>
      <c r="S84" s="15">
        <v>0</v>
      </c>
      <c r="T84" s="13">
        <f t="shared" si="11"/>
        <v>2</v>
      </c>
    </row>
    <row r="85" spans="1:20" ht="12.75" customHeight="1" x14ac:dyDescent="0.4">
      <c r="A85" s="14"/>
      <c r="B85" s="27"/>
      <c r="C85" s="28" t="s">
        <v>73</v>
      </c>
      <c r="D85" s="29"/>
      <c r="E85" s="15"/>
      <c r="F85" s="15"/>
      <c r="G85" s="15"/>
      <c r="H85" s="15">
        <v>0</v>
      </c>
      <c r="I85" s="15"/>
      <c r="J85" s="15"/>
      <c r="K85" s="15">
        <v>0</v>
      </c>
      <c r="L85" s="15">
        <v>0</v>
      </c>
      <c r="M85" s="15"/>
      <c r="N85" s="15"/>
      <c r="O85" s="15"/>
      <c r="P85" s="15"/>
      <c r="Q85" s="15">
        <v>0</v>
      </c>
      <c r="R85" s="15">
        <v>0</v>
      </c>
      <c r="S85" s="15">
        <v>0</v>
      </c>
      <c r="T85" s="13">
        <f t="shared" si="11"/>
        <v>0</v>
      </c>
    </row>
    <row r="86" spans="1:20" ht="12.75" customHeight="1" x14ac:dyDescent="0.4">
      <c r="A86" s="14"/>
      <c r="B86" s="27"/>
      <c r="C86" s="28" t="s">
        <v>74</v>
      </c>
      <c r="D86" s="29"/>
      <c r="E86" s="15"/>
      <c r="F86" s="15"/>
      <c r="G86" s="15"/>
      <c r="H86" s="15">
        <v>0</v>
      </c>
      <c r="I86" s="15"/>
      <c r="J86" s="15"/>
      <c r="K86" s="15">
        <v>0</v>
      </c>
      <c r="L86" s="15">
        <v>0</v>
      </c>
      <c r="M86" s="15"/>
      <c r="N86" s="15"/>
      <c r="O86" s="15"/>
      <c r="P86" s="15"/>
      <c r="Q86" s="15">
        <v>0</v>
      </c>
      <c r="R86" s="15">
        <v>0</v>
      </c>
      <c r="S86" s="15">
        <v>0</v>
      </c>
      <c r="T86" s="13">
        <f t="shared" si="11"/>
        <v>0</v>
      </c>
    </row>
    <row r="87" spans="1:20" ht="12.75" customHeight="1" x14ac:dyDescent="0.4">
      <c r="A87" s="14"/>
      <c r="B87" s="27"/>
      <c r="C87" s="28" t="s">
        <v>75</v>
      </c>
      <c r="D87" s="29"/>
      <c r="E87" s="15"/>
      <c r="F87" s="15"/>
      <c r="G87" s="15"/>
      <c r="H87" s="15">
        <v>0</v>
      </c>
      <c r="I87" s="15"/>
      <c r="J87" s="15"/>
      <c r="K87" s="15">
        <v>0</v>
      </c>
      <c r="L87" s="15">
        <v>0</v>
      </c>
      <c r="M87" s="15"/>
      <c r="N87" s="15"/>
      <c r="O87" s="15"/>
      <c r="P87" s="15"/>
      <c r="Q87" s="15">
        <v>0</v>
      </c>
      <c r="R87" s="15">
        <v>0</v>
      </c>
      <c r="S87" s="15">
        <v>0</v>
      </c>
      <c r="T87" s="13">
        <f t="shared" si="11"/>
        <v>0</v>
      </c>
    </row>
    <row r="88" spans="1:20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S88" si="16">SUM(E81:E87)</f>
        <v>67</v>
      </c>
      <c r="F88" s="13">
        <f t="shared" si="16"/>
        <v>21</v>
      </c>
      <c r="G88" s="13">
        <f t="shared" si="16"/>
        <v>2</v>
      </c>
      <c r="H88" s="13">
        <f t="shared" si="16"/>
        <v>2</v>
      </c>
      <c r="I88" s="13">
        <f t="shared" si="16"/>
        <v>3</v>
      </c>
      <c r="J88" s="13">
        <f t="shared" si="16"/>
        <v>21</v>
      </c>
      <c r="K88" s="13">
        <f t="shared" si="16"/>
        <v>16</v>
      </c>
      <c r="L88" s="13">
        <f t="shared" si="16"/>
        <v>1</v>
      </c>
      <c r="M88" s="13">
        <f t="shared" si="16"/>
        <v>0</v>
      </c>
      <c r="N88" s="13">
        <f t="shared" si="16"/>
        <v>2</v>
      </c>
      <c r="O88" s="13">
        <f t="shared" si="16"/>
        <v>43</v>
      </c>
      <c r="P88" s="13">
        <f t="shared" si="16"/>
        <v>33</v>
      </c>
      <c r="Q88" s="13">
        <f t="shared" si="16"/>
        <v>40</v>
      </c>
      <c r="R88" s="13">
        <f t="shared" si="16"/>
        <v>30</v>
      </c>
      <c r="S88" s="13">
        <f t="shared" si="16"/>
        <v>19</v>
      </c>
      <c r="T88" s="13">
        <f t="shared" si="11"/>
        <v>300</v>
      </c>
    </row>
    <row r="89" spans="1:20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3">
        <f t="shared" si="11"/>
        <v>0</v>
      </c>
    </row>
    <row r="90" spans="1:20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/>
      <c r="F90" s="15"/>
      <c r="G90" s="15"/>
      <c r="H90" s="15">
        <v>0</v>
      </c>
      <c r="I90" s="15"/>
      <c r="J90" s="15"/>
      <c r="K90" s="15">
        <v>1</v>
      </c>
      <c r="L90" s="15">
        <v>0</v>
      </c>
      <c r="M90" s="15"/>
      <c r="N90" s="15">
        <v>0</v>
      </c>
      <c r="O90" s="15"/>
      <c r="P90" s="15"/>
      <c r="Q90" s="15">
        <v>0</v>
      </c>
      <c r="R90" s="15"/>
      <c r="S90" s="15">
        <v>0</v>
      </c>
      <c r="T90" s="13">
        <f t="shared" si="11"/>
        <v>1</v>
      </c>
    </row>
    <row r="91" spans="1:20" ht="12.75" customHeight="1" x14ac:dyDescent="0.4">
      <c r="A91" s="19" t="s">
        <v>39</v>
      </c>
      <c r="B91" s="27"/>
      <c r="C91" s="78" t="s">
        <v>78</v>
      </c>
      <c r="D91" s="55"/>
      <c r="E91" s="15"/>
      <c r="F91" s="15"/>
      <c r="G91" s="15"/>
      <c r="H91" s="15">
        <v>0</v>
      </c>
      <c r="I91" s="15"/>
      <c r="J91" s="15"/>
      <c r="K91" s="15">
        <v>1</v>
      </c>
      <c r="L91" s="15">
        <v>0</v>
      </c>
      <c r="M91" s="15"/>
      <c r="N91" s="15">
        <v>0</v>
      </c>
      <c r="O91" s="15"/>
      <c r="P91" s="15"/>
      <c r="Q91" s="15">
        <v>0</v>
      </c>
      <c r="R91" s="15"/>
      <c r="S91" s="15">
        <v>0</v>
      </c>
      <c r="T91" s="13">
        <f t="shared" si="11"/>
        <v>1</v>
      </c>
    </row>
    <row r="92" spans="1:20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S92" si="17">SUM(E90:E91)</f>
        <v>0</v>
      </c>
      <c r="F92" s="36">
        <f t="shared" si="17"/>
        <v>0</v>
      </c>
      <c r="G92" s="36">
        <f t="shared" si="17"/>
        <v>0</v>
      </c>
      <c r="H92" s="36">
        <f t="shared" si="17"/>
        <v>0</v>
      </c>
      <c r="I92" s="36">
        <f t="shared" si="17"/>
        <v>0</v>
      </c>
      <c r="J92" s="36">
        <f t="shared" si="17"/>
        <v>0</v>
      </c>
      <c r="K92" s="36">
        <f t="shared" si="17"/>
        <v>2</v>
      </c>
      <c r="L92" s="36">
        <f t="shared" si="17"/>
        <v>0</v>
      </c>
      <c r="M92" s="36">
        <f t="shared" si="17"/>
        <v>0</v>
      </c>
      <c r="N92" s="36">
        <f t="shared" si="17"/>
        <v>0</v>
      </c>
      <c r="O92" s="36">
        <f t="shared" si="17"/>
        <v>0</v>
      </c>
      <c r="P92" s="36">
        <f t="shared" si="17"/>
        <v>0</v>
      </c>
      <c r="Q92" s="36">
        <f t="shared" si="17"/>
        <v>0</v>
      </c>
      <c r="R92" s="36">
        <f t="shared" si="17"/>
        <v>0</v>
      </c>
      <c r="S92" s="36">
        <f t="shared" si="17"/>
        <v>0</v>
      </c>
      <c r="T92" s="13">
        <f t="shared" si="11"/>
        <v>2</v>
      </c>
    </row>
    <row r="93" spans="1:20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3">
        <f t="shared" si="11"/>
        <v>0</v>
      </c>
    </row>
    <row r="94" spans="1:20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1</v>
      </c>
      <c r="F94" s="15"/>
      <c r="G94" s="15">
        <v>2</v>
      </c>
      <c r="H94" s="15">
        <v>0</v>
      </c>
      <c r="I94" s="15"/>
      <c r="J94" s="15"/>
      <c r="K94" s="15">
        <v>0</v>
      </c>
      <c r="L94" s="15">
        <v>0</v>
      </c>
      <c r="M94" s="15"/>
      <c r="N94" s="15"/>
      <c r="O94" s="15"/>
      <c r="P94" s="15"/>
      <c r="Q94" s="15">
        <v>3</v>
      </c>
      <c r="R94" s="15"/>
      <c r="S94" s="15">
        <v>0</v>
      </c>
      <c r="T94" s="13">
        <f t="shared" si="11"/>
        <v>6</v>
      </c>
    </row>
    <row r="95" spans="1:20" ht="12.75" customHeight="1" x14ac:dyDescent="0.4">
      <c r="A95" s="19" t="s">
        <v>39</v>
      </c>
      <c r="B95" s="27"/>
      <c r="C95" s="28" t="s">
        <v>81</v>
      </c>
      <c r="D95" s="29"/>
      <c r="E95" s="15"/>
      <c r="F95" s="15"/>
      <c r="G95" s="15"/>
      <c r="H95" s="15">
        <v>0</v>
      </c>
      <c r="I95" s="15"/>
      <c r="J95" s="15"/>
      <c r="K95" s="15">
        <v>0</v>
      </c>
      <c r="L95" s="15">
        <v>0</v>
      </c>
      <c r="M95" s="15"/>
      <c r="N95" s="15">
        <v>1</v>
      </c>
      <c r="O95" s="15"/>
      <c r="P95" s="15"/>
      <c r="Q95" s="15">
        <v>0</v>
      </c>
      <c r="R95" s="15"/>
      <c r="S95" s="15">
        <v>1</v>
      </c>
      <c r="T95" s="13">
        <f t="shared" si="11"/>
        <v>2</v>
      </c>
    </row>
    <row r="96" spans="1:20" ht="12.75" customHeight="1" x14ac:dyDescent="0.4">
      <c r="A96" s="19"/>
      <c r="B96" s="27"/>
      <c r="C96" s="28" t="s">
        <v>82</v>
      </c>
      <c r="D96" s="29"/>
      <c r="E96" s="15">
        <v>1</v>
      </c>
      <c r="F96" s="15"/>
      <c r="G96" s="15"/>
      <c r="H96" s="15">
        <v>0</v>
      </c>
      <c r="I96" s="15">
        <v>2</v>
      </c>
      <c r="J96" s="15">
        <v>1</v>
      </c>
      <c r="K96" s="15">
        <v>0</v>
      </c>
      <c r="L96" s="15">
        <v>0</v>
      </c>
      <c r="M96" s="15"/>
      <c r="N96" s="15"/>
      <c r="O96" s="15"/>
      <c r="P96" s="15"/>
      <c r="Q96" s="15">
        <v>0</v>
      </c>
      <c r="R96" s="15"/>
      <c r="S96" s="15">
        <v>0</v>
      </c>
      <c r="T96" s="13">
        <f t="shared" si="11"/>
        <v>4</v>
      </c>
    </row>
    <row r="97" spans="1:20" ht="12.75" customHeight="1" x14ac:dyDescent="0.4">
      <c r="A97" s="19"/>
      <c r="B97" s="27"/>
      <c r="C97" s="28" t="s">
        <v>83</v>
      </c>
      <c r="D97" s="29"/>
      <c r="E97" s="15"/>
      <c r="F97" s="15"/>
      <c r="G97" s="15"/>
      <c r="H97" s="15">
        <v>0</v>
      </c>
      <c r="I97" s="15"/>
      <c r="J97" s="15"/>
      <c r="K97" s="15">
        <v>0</v>
      </c>
      <c r="L97" s="15">
        <v>0</v>
      </c>
      <c r="M97" s="15"/>
      <c r="N97" s="15"/>
      <c r="O97" s="15"/>
      <c r="P97" s="15"/>
      <c r="Q97" s="15">
        <v>0</v>
      </c>
      <c r="R97" s="15"/>
      <c r="S97" s="15">
        <v>0</v>
      </c>
      <c r="T97" s="13">
        <f t="shared" si="11"/>
        <v>0</v>
      </c>
    </row>
    <row r="98" spans="1:20" ht="12.75" customHeight="1" x14ac:dyDescent="0.4">
      <c r="A98" s="19"/>
      <c r="B98" s="27"/>
      <c r="C98" s="28" t="s">
        <v>84</v>
      </c>
      <c r="D98" s="29"/>
      <c r="E98" s="15"/>
      <c r="F98" s="15"/>
      <c r="G98" s="15"/>
      <c r="H98" s="15">
        <v>0</v>
      </c>
      <c r="I98" s="15"/>
      <c r="J98" s="15"/>
      <c r="K98" s="15">
        <v>0</v>
      </c>
      <c r="L98" s="15">
        <v>0</v>
      </c>
      <c r="M98" s="15"/>
      <c r="N98" s="15"/>
      <c r="O98" s="15"/>
      <c r="P98" s="15"/>
      <c r="Q98" s="15">
        <v>0</v>
      </c>
      <c r="R98" s="15"/>
      <c r="S98" s="15">
        <v>0</v>
      </c>
      <c r="T98" s="13">
        <f t="shared" si="11"/>
        <v>0</v>
      </c>
    </row>
    <row r="99" spans="1:20" ht="12.75" customHeight="1" x14ac:dyDescent="0.4">
      <c r="A99" s="19"/>
      <c r="B99" s="27"/>
      <c r="C99" s="28" t="s">
        <v>85</v>
      </c>
      <c r="D99" s="29"/>
      <c r="E99" s="15"/>
      <c r="F99" s="15"/>
      <c r="G99" s="15"/>
      <c r="H99" s="15">
        <v>0</v>
      </c>
      <c r="I99" s="15"/>
      <c r="J99" s="15"/>
      <c r="K99" s="15">
        <v>0</v>
      </c>
      <c r="L99" s="15">
        <v>0</v>
      </c>
      <c r="M99" s="15"/>
      <c r="N99" s="15"/>
      <c r="O99" s="15"/>
      <c r="P99" s="15"/>
      <c r="Q99" s="15">
        <v>0</v>
      </c>
      <c r="R99" s="15"/>
      <c r="S99" s="15">
        <v>0</v>
      </c>
      <c r="T99" s="13">
        <f t="shared" si="11"/>
        <v>0</v>
      </c>
    </row>
    <row r="100" spans="1:20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1</v>
      </c>
      <c r="G100" s="15"/>
      <c r="H100" s="15">
        <v>0</v>
      </c>
      <c r="I100" s="15"/>
      <c r="J100" s="15"/>
      <c r="K100" s="15">
        <v>0</v>
      </c>
      <c r="L100" s="15">
        <v>0</v>
      </c>
      <c r="M100" s="15"/>
      <c r="N100" s="15"/>
      <c r="O100" s="15"/>
      <c r="P100" s="15"/>
      <c r="Q100" s="15">
        <v>0</v>
      </c>
      <c r="R100" s="15"/>
      <c r="S100" s="15">
        <v>0</v>
      </c>
      <c r="T100" s="13">
        <f t="shared" si="11"/>
        <v>1</v>
      </c>
    </row>
    <row r="101" spans="1:20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S101" si="18">SUM(E94:E100)</f>
        <v>2</v>
      </c>
      <c r="F101" s="13">
        <f t="shared" si="18"/>
        <v>1</v>
      </c>
      <c r="G101" s="13">
        <f t="shared" si="18"/>
        <v>2</v>
      </c>
      <c r="H101" s="13">
        <f t="shared" si="18"/>
        <v>0</v>
      </c>
      <c r="I101" s="13">
        <f t="shared" si="18"/>
        <v>2</v>
      </c>
      <c r="J101" s="13">
        <f t="shared" si="18"/>
        <v>1</v>
      </c>
      <c r="K101" s="13">
        <f t="shared" si="18"/>
        <v>0</v>
      </c>
      <c r="L101" s="13">
        <f t="shared" si="18"/>
        <v>0</v>
      </c>
      <c r="M101" s="13">
        <f t="shared" si="18"/>
        <v>0</v>
      </c>
      <c r="N101" s="13">
        <f t="shared" si="18"/>
        <v>1</v>
      </c>
      <c r="O101" s="13">
        <f t="shared" si="18"/>
        <v>0</v>
      </c>
      <c r="P101" s="13">
        <f t="shared" si="18"/>
        <v>0</v>
      </c>
      <c r="Q101" s="13">
        <f t="shared" si="18"/>
        <v>3</v>
      </c>
      <c r="R101" s="13">
        <f t="shared" si="18"/>
        <v>0</v>
      </c>
      <c r="S101" s="13">
        <f t="shared" si="18"/>
        <v>1</v>
      </c>
      <c r="T101" s="13">
        <f t="shared" si="11"/>
        <v>13</v>
      </c>
    </row>
    <row r="102" spans="1:20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3">
        <f t="shared" si="11"/>
        <v>0</v>
      </c>
    </row>
    <row r="103" spans="1:20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/>
      <c r="F103" s="15"/>
      <c r="G103" s="15"/>
      <c r="H103" s="15">
        <v>0</v>
      </c>
      <c r="I103" s="15"/>
      <c r="J103" s="15"/>
      <c r="K103" s="15">
        <v>0</v>
      </c>
      <c r="L103" s="15">
        <v>0</v>
      </c>
      <c r="M103" s="15"/>
      <c r="N103" s="15">
        <v>0</v>
      </c>
      <c r="O103" s="15">
        <v>1</v>
      </c>
      <c r="P103" s="15"/>
      <c r="Q103" s="15">
        <v>1</v>
      </c>
      <c r="R103" s="15"/>
      <c r="S103" s="15">
        <v>0</v>
      </c>
      <c r="T103" s="13">
        <f t="shared" si="11"/>
        <v>2</v>
      </c>
    </row>
    <row r="104" spans="1:20" ht="12.75" customHeight="1" x14ac:dyDescent="0.4">
      <c r="A104" s="19" t="s">
        <v>39</v>
      </c>
      <c r="B104" s="27"/>
      <c r="C104" s="28" t="s">
        <v>89</v>
      </c>
      <c r="D104" s="29"/>
      <c r="E104" s="15">
        <v>1</v>
      </c>
      <c r="F104" s="15"/>
      <c r="G104" s="15"/>
      <c r="H104" s="15">
        <v>0</v>
      </c>
      <c r="I104" s="15"/>
      <c r="J104" s="15"/>
      <c r="K104" s="15">
        <v>0</v>
      </c>
      <c r="L104" s="15">
        <v>0</v>
      </c>
      <c r="M104" s="15"/>
      <c r="N104" s="15">
        <v>0</v>
      </c>
      <c r="O104" s="15">
        <v>0</v>
      </c>
      <c r="P104" s="15"/>
      <c r="Q104" s="15">
        <v>1</v>
      </c>
      <c r="R104" s="15"/>
      <c r="S104" s="15">
        <v>0</v>
      </c>
      <c r="T104" s="13">
        <f t="shared" si="11"/>
        <v>2</v>
      </c>
    </row>
    <row r="105" spans="1:20" ht="12.75" customHeight="1" x14ac:dyDescent="0.4">
      <c r="A105" s="14"/>
      <c r="B105" s="27"/>
      <c r="C105" s="28" t="s">
        <v>90</v>
      </c>
      <c r="D105" s="29"/>
      <c r="E105" s="15"/>
      <c r="F105" s="15"/>
      <c r="G105" s="15"/>
      <c r="H105" s="15">
        <v>0</v>
      </c>
      <c r="I105" s="15"/>
      <c r="J105" s="15"/>
      <c r="K105" s="15">
        <v>0</v>
      </c>
      <c r="L105" s="15">
        <v>0</v>
      </c>
      <c r="M105" s="15"/>
      <c r="N105" s="15">
        <v>0</v>
      </c>
      <c r="O105" s="15"/>
      <c r="P105" s="15"/>
      <c r="Q105" s="15">
        <v>0</v>
      </c>
      <c r="R105" s="15"/>
      <c r="S105" s="15">
        <v>0</v>
      </c>
      <c r="T105" s="13">
        <f t="shared" si="11"/>
        <v>0</v>
      </c>
    </row>
    <row r="106" spans="1:20" ht="12.75" customHeight="1" x14ac:dyDescent="0.4">
      <c r="A106" s="14"/>
      <c r="B106" s="27"/>
      <c r="C106" s="28" t="s">
        <v>91</v>
      </c>
      <c r="D106" s="29"/>
      <c r="E106" s="15"/>
      <c r="F106" s="15"/>
      <c r="G106" s="15"/>
      <c r="H106" s="15">
        <v>0</v>
      </c>
      <c r="I106" s="15"/>
      <c r="J106" s="15"/>
      <c r="K106" s="15">
        <v>0</v>
      </c>
      <c r="L106" s="15">
        <v>0</v>
      </c>
      <c r="M106" s="15"/>
      <c r="N106" s="15">
        <v>0</v>
      </c>
      <c r="O106" s="15"/>
      <c r="P106" s="15"/>
      <c r="Q106" s="15">
        <v>0</v>
      </c>
      <c r="R106" s="15"/>
      <c r="S106" s="15">
        <v>0</v>
      </c>
      <c r="T106" s="13">
        <f t="shared" si="11"/>
        <v>0</v>
      </c>
    </row>
    <row r="107" spans="1:20" ht="12.75" customHeight="1" x14ac:dyDescent="0.4">
      <c r="A107" s="14"/>
      <c r="B107" s="27"/>
      <c r="C107" s="28" t="s">
        <v>92</v>
      </c>
      <c r="D107" s="29"/>
      <c r="E107" s="15"/>
      <c r="F107" s="15"/>
      <c r="G107" s="15"/>
      <c r="H107" s="15">
        <v>0</v>
      </c>
      <c r="I107" s="15"/>
      <c r="J107" s="15"/>
      <c r="K107" s="15">
        <v>0</v>
      </c>
      <c r="L107" s="15">
        <v>0</v>
      </c>
      <c r="M107" s="15"/>
      <c r="N107" s="15">
        <v>0</v>
      </c>
      <c r="O107" s="15"/>
      <c r="P107" s="15"/>
      <c r="Q107" s="15">
        <v>0</v>
      </c>
      <c r="R107" s="15">
        <v>1</v>
      </c>
      <c r="S107" s="15">
        <v>0</v>
      </c>
      <c r="T107" s="13">
        <f t="shared" si="11"/>
        <v>1</v>
      </c>
    </row>
    <row r="108" spans="1:20" ht="12.75" customHeight="1" x14ac:dyDescent="0.4">
      <c r="A108" s="14"/>
      <c r="B108" s="27"/>
      <c r="C108" s="28" t="s">
        <v>93</v>
      </c>
      <c r="D108" s="29"/>
      <c r="E108" s="15"/>
      <c r="F108" s="15"/>
      <c r="G108" s="15"/>
      <c r="H108" s="15">
        <v>0</v>
      </c>
      <c r="I108" s="15"/>
      <c r="J108" s="15"/>
      <c r="K108" s="15">
        <v>0</v>
      </c>
      <c r="L108" s="15">
        <v>0</v>
      </c>
      <c r="M108" s="15"/>
      <c r="N108" s="15">
        <v>0</v>
      </c>
      <c r="O108" s="15"/>
      <c r="P108" s="15"/>
      <c r="Q108" s="15">
        <v>0</v>
      </c>
      <c r="R108" s="15"/>
      <c r="S108" s="15">
        <v>0</v>
      </c>
      <c r="T108" s="13">
        <f t="shared" si="11"/>
        <v>0</v>
      </c>
    </row>
    <row r="109" spans="1:20" ht="12.75" customHeight="1" x14ac:dyDescent="0.4">
      <c r="A109" s="14"/>
      <c r="B109" s="27"/>
      <c r="C109" s="28" t="s">
        <v>94</v>
      </c>
      <c r="D109" s="29"/>
      <c r="E109" s="15"/>
      <c r="F109" s="15"/>
      <c r="G109" s="15"/>
      <c r="H109" s="15">
        <v>0</v>
      </c>
      <c r="I109" s="15"/>
      <c r="J109" s="15"/>
      <c r="K109" s="15">
        <v>0</v>
      </c>
      <c r="L109" s="15">
        <v>0</v>
      </c>
      <c r="M109" s="15">
        <v>3</v>
      </c>
      <c r="N109" s="15">
        <v>0</v>
      </c>
      <c r="O109" s="15"/>
      <c r="P109" s="15"/>
      <c r="Q109" s="15">
        <v>0</v>
      </c>
      <c r="R109" s="15"/>
      <c r="S109" s="15">
        <v>0</v>
      </c>
      <c r="T109" s="13">
        <f t="shared" si="11"/>
        <v>3</v>
      </c>
    </row>
    <row r="110" spans="1:20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S110" si="19">SUM(E103:E109)</f>
        <v>1</v>
      </c>
      <c r="F110" s="13">
        <f t="shared" si="19"/>
        <v>0</v>
      </c>
      <c r="G110" s="13">
        <f t="shared" si="19"/>
        <v>0</v>
      </c>
      <c r="H110" s="13">
        <f t="shared" si="19"/>
        <v>0</v>
      </c>
      <c r="I110" s="13">
        <f t="shared" si="19"/>
        <v>0</v>
      </c>
      <c r="J110" s="13">
        <f t="shared" si="19"/>
        <v>0</v>
      </c>
      <c r="K110" s="13">
        <f t="shared" si="19"/>
        <v>0</v>
      </c>
      <c r="L110" s="13">
        <f t="shared" si="19"/>
        <v>0</v>
      </c>
      <c r="M110" s="13">
        <f t="shared" si="19"/>
        <v>3</v>
      </c>
      <c r="N110" s="13">
        <f t="shared" si="19"/>
        <v>0</v>
      </c>
      <c r="O110" s="13">
        <f t="shared" si="19"/>
        <v>1</v>
      </c>
      <c r="P110" s="13">
        <f t="shared" si="19"/>
        <v>0</v>
      </c>
      <c r="Q110" s="13">
        <f t="shared" si="19"/>
        <v>2</v>
      </c>
      <c r="R110" s="13">
        <f t="shared" si="19"/>
        <v>1</v>
      </c>
      <c r="S110" s="13">
        <f t="shared" si="19"/>
        <v>0</v>
      </c>
      <c r="T110" s="13">
        <f t="shared" si="11"/>
        <v>8</v>
      </c>
    </row>
    <row r="111" spans="1:20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3">
        <f t="shared" si="11"/>
        <v>0</v>
      </c>
    </row>
    <row r="112" spans="1:20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/>
      <c r="F112" s="15"/>
      <c r="G112" s="15"/>
      <c r="H112" s="15">
        <v>0</v>
      </c>
      <c r="I112" s="15"/>
      <c r="J112" s="15"/>
      <c r="K112" s="15">
        <v>0</v>
      </c>
      <c r="L112" s="15">
        <v>0</v>
      </c>
      <c r="M112" s="15"/>
      <c r="N112" s="15"/>
      <c r="O112" s="15"/>
      <c r="P112" s="15"/>
      <c r="Q112" s="15">
        <v>0</v>
      </c>
      <c r="R112" s="15">
        <v>1</v>
      </c>
      <c r="S112" s="15">
        <v>0</v>
      </c>
      <c r="T112" s="13">
        <f t="shared" si="11"/>
        <v>1</v>
      </c>
    </row>
    <row r="113" spans="1:22" ht="12.75" customHeight="1" x14ac:dyDescent="0.4">
      <c r="A113" s="19"/>
      <c r="B113" s="26"/>
      <c r="C113" s="28" t="s">
        <v>97</v>
      </c>
      <c r="D113" s="37"/>
      <c r="E113" s="15"/>
      <c r="F113" s="15"/>
      <c r="G113" s="15"/>
      <c r="H113" s="15">
        <v>0</v>
      </c>
      <c r="I113" s="15"/>
      <c r="J113" s="15"/>
      <c r="K113" s="15">
        <v>0</v>
      </c>
      <c r="L113" s="15">
        <v>0</v>
      </c>
      <c r="M113" s="15"/>
      <c r="N113" s="15"/>
      <c r="O113" s="15"/>
      <c r="P113" s="15"/>
      <c r="Q113" s="15">
        <v>0</v>
      </c>
      <c r="R113" s="15">
        <v>0</v>
      </c>
      <c r="S113" s="15">
        <v>1</v>
      </c>
      <c r="T113" s="13">
        <f t="shared" si="11"/>
        <v>1</v>
      </c>
    </row>
    <row r="114" spans="1:22" ht="12.75" customHeight="1" x14ac:dyDescent="0.4">
      <c r="A114" s="19"/>
      <c r="B114" s="26"/>
      <c r="C114" s="28" t="s">
        <v>98</v>
      </c>
      <c r="D114" s="37"/>
      <c r="E114" s="15"/>
      <c r="F114" s="15"/>
      <c r="G114" s="15"/>
      <c r="H114" s="15">
        <v>0</v>
      </c>
      <c r="I114" s="15"/>
      <c r="J114" s="15"/>
      <c r="K114" s="15">
        <v>0</v>
      </c>
      <c r="L114" s="15">
        <v>0</v>
      </c>
      <c r="M114" s="15"/>
      <c r="N114" s="15"/>
      <c r="O114" s="15"/>
      <c r="P114" s="15"/>
      <c r="Q114" s="15">
        <v>0</v>
      </c>
      <c r="R114" s="15">
        <v>0</v>
      </c>
      <c r="S114" s="15">
        <v>0</v>
      </c>
      <c r="T114" s="13">
        <f t="shared" si="11"/>
        <v>0</v>
      </c>
    </row>
    <row r="115" spans="1:22" ht="12.75" customHeight="1" x14ac:dyDescent="0.4">
      <c r="A115" s="19"/>
      <c r="B115" s="26"/>
      <c r="C115" s="28" t="s">
        <v>99</v>
      </c>
      <c r="D115" s="37"/>
      <c r="E115" s="15"/>
      <c r="F115" s="15"/>
      <c r="G115" s="15"/>
      <c r="H115" s="15">
        <v>0</v>
      </c>
      <c r="I115" s="15"/>
      <c r="J115" s="15"/>
      <c r="K115" s="15">
        <v>0</v>
      </c>
      <c r="L115" s="15">
        <v>0</v>
      </c>
      <c r="M115" s="15"/>
      <c r="N115" s="15"/>
      <c r="O115" s="15"/>
      <c r="P115" s="15"/>
      <c r="Q115" s="15">
        <v>0</v>
      </c>
      <c r="R115" s="15">
        <v>0</v>
      </c>
      <c r="S115" s="15">
        <v>0</v>
      </c>
      <c r="T115" s="13">
        <f t="shared" si="11"/>
        <v>0</v>
      </c>
    </row>
    <row r="116" spans="1:22" ht="12.75" customHeight="1" x14ac:dyDescent="0.4">
      <c r="A116" s="19" t="s">
        <v>39</v>
      </c>
      <c r="B116" s="27"/>
      <c r="C116" s="28" t="s">
        <v>100</v>
      </c>
      <c r="D116" s="29"/>
      <c r="E116" s="15">
        <v>1</v>
      </c>
      <c r="F116" s="15"/>
      <c r="G116" s="15"/>
      <c r="H116" s="15">
        <v>0</v>
      </c>
      <c r="I116" s="15"/>
      <c r="J116" s="15"/>
      <c r="K116" s="15">
        <v>0</v>
      </c>
      <c r="L116" s="15">
        <v>0</v>
      </c>
      <c r="M116" s="15"/>
      <c r="N116" s="15"/>
      <c r="O116" s="15"/>
      <c r="P116" s="15"/>
      <c r="Q116" s="15">
        <v>0</v>
      </c>
      <c r="R116" s="15">
        <v>0</v>
      </c>
      <c r="S116" s="15">
        <v>0</v>
      </c>
      <c r="T116" s="13">
        <f t="shared" si="11"/>
        <v>1</v>
      </c>
    </row>
    <row r="117" spans="1:22" ht="12.75" customHeight="1" x14ac:dyDescent="0.4">
      <c r="A117" s="14"/>
      <c r="B117" s="27"/>
      <c r="C117" s="28" t="s">
        <v>101</v>
      </c>
      <c r="D117" s="29"/>
      <c r="E117" s="15"/>
      <c r="F117" s="15"/>
      <c r="G117" s="15"/>
      <c r="H117" s="15">
        <v>0</v>
      </c>
      <c r="I117" s="15"/>
      <c r="J117" s="15"/>
      <c r="K117" s="15">
        <v>0</v>
      </c>
      <c r="L117" s="15">
        <v>0</v>
      </c>
      <c r="M117" s="15"/>
      <c r="N117" s="15"/>
      <c r="O117" s="15"/>
      <c r="P117" s="15"/>
      <c r="Q117" s="15">
        <v>0</v>
      </c>
      <c r="R117" s="15">
        <v>0</v>
      </c>
      <c r="S117" s="15">
        <v>0</v>
      </c>
      <c r="T117" s="13">
        <f t="shared" si="11"/>
        <v>0</v>
      </c>
      <c r="U117" s="5"/>
      <c r="V117" s="5"/>
    </row>
    <row r="118" spans="1:22" ht="12.75" customHeight="1" x14ac:dyDescent="0.4">
      <c r="A118" s="14"/>
      <c r="B118" s="27"/>
      <c r="C118" s="28" t="s">
        <v>102</v>
      </c>
      <c r="D118" s="29"/>
      <c r="E118" s="15"/>
      <c r="F118" s="15"/>
      <c r="G118" s="15"/>
      <c r="H118" s="15">
        <v>0</v>
      </c>
      <c r="I118" s="15"/>
      <c r="J118" s="15"/>
      <c r="K118" s="15">
        <v>0</v>
      </c>
      <c r="L118" s="15">
        <v>0</v>
      </c>
      <c r="M118" s="15"/>
      <c r="N118" s="15"/>
      <c r="O118" s="15"/>
      <c r="P118" s="15"/>
      <c r="Q118" s="15">
        <v>0</v>
      </c>
      <c r="R118" s="15">
        <v>0</v>
      </c>
      <c r="S118" s="15">
        <v>0</v>
      </c>
      <c r="T118" s="13">
        <f t="shared" si="11"/>
        <v>0</v>
      </c>
      <c r="U118" s="5"/>
      <c r="V118" s="5"/>
    </row>
    <row r="119" spans="1:22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S119" si="20">SUM(E112:E118)</f>
        <v>1</v>
      </c>
      <c r="F119" s="13">
        <f t="shared" si="20"/>
        <v>0</v>
      </c>
      <c r="G119" s="13">
        <f t="shared" si="20"/>
        <v>0</v>
      </c>
      <c r="H119" s="13">
        <f t="shared" si="20"/>
        <v>0</v>
      </c>
      <c r="I119" s="13">
        <f t="shared" si="20"/>
        <v>0</v>
      </c>
      <c r="J119" s="13">
        <f t="shared" si="20"/>
        <v>0</v>
      </c>
      <c r="K119" s="13">
        <f t="shared" si="20"/>
        <v>0</v>
      </c>
      <c r="L119" s="13">
        <f t="shared" si="20"/>
        <v>0</v>
      </c>
      <c r="M119" s="13">
        <f t="shared" si="20"/>
        <v>0</v>
      </c>
      <c r="N119" s="13">
        <f t="shared" si="20"/>
        <v>0</v>
      </c>
      <c r="O119" s="13">
        <f t="shared" si="20"/>
        <v>0</v>
      </c>
      <c r="P119" s="13">
        <f t="shared" si="20"/>
        <v>0</v>
      </c>
      <c r="Q119" s="13">
        <f t="shared" si="20"/>
        <v>0</v>
      </c>
      <c r="R119" s="13">
        <f t="shared" si="20"/>
        <v>1</v>
      </c>
      <c r="S119" s="13">
        <f t="shared" si="20"/>
        <v>1</v>
      </c>
      <c r="T119" s="13">
        <f t="shared" si="11"/>
        <v>3</v>
      </c>
      <c r="U119" s="5"/>
      <c r="V119" s="5"/>
    </row>
    <row r="120" spans="1:22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3">
        <f t="shared" si="11"/>
        <v>0</v>
      </c>
      <c r="U120" s="5"/>
      <c r="V120" s="5"/>
    </row>
    <row r="121" spans="1:22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/>
      <c r="F121" s="15"/>
      <c r="G121" s="15"/>
      <c r="H121" s="15">
        <v>0</v>
      </c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5"/>
      <c r="Q121" s="15">
        <v>0</v>
      </c>
      <c r="R121" s="15">
        <v>0</v>
      </c>
      <c r="S121" s="15">
        <v>2</v>
      </c>
      <c r="T121" s="13">
        <f t="shared" si="11"/>
        <v>2</v>
      </c>
      <c r="U121" s="5"/>
      <c r="V121" s="5"/>
    </row>
    <row r="122" spans="1:22" ht="12.75" customHeight="1" x14ac:dyDescent="0.4">
      <c r="A122" s="19" t="s">
        <v>39</v>
      </c>
      <c r="B122" s="27"/>
      <c r="C122" s="28" t="s">
        <v>105</v>
      </c>
      <c r="D122" s="29"/>
      <c r="E122" s="15"/>
      <c r="F122" s="15">
        <v>4</v>
      </c>
      <c r="G122" s="15"/>
      <c r="H122" s="15">
        <v>3</v>
      </c>
      <c r="I122" s="15"/>
      <c r="J122" s="15">
        <v>8</v>
      </c>
      <c r="K122" s="15">
        <v>3</v>
      </c>
      <c r="L122" s="15">
        <v>0</v>
      </c>
      <c r="M122" s="15">
        <v>7</v>
      </c>
      <c r="N122" s="15">
        <v>0</v>
      </c>
      <c r="O122" s="15"/>
      <c r="P122" s="15"/>
      <c r="Q122" s="15">
        <v>2</v>
      </c>
      <c r="R122" s="15">
        <v>2</v>
      </c>
      <c r="S122" s="15">
        <v>7</v>
      </c>
      <c r="T122" s="13">
        <f t="shared" si="11"/>
        <v>36</v>
      </c>
      <c r="U122" s="5"/>
      <c r="V122" s="5"/>
    </row>
    <row r="123" spans="1:22" ht="12.75" customHeight="1" x14ac:dyDescent="0.4">
      <c r="A123" s="14"/>
      <c r="B123" s="27"/>
      <c r="C123" s="28" t="s">
        <v>106</v>
      </c>
      <c r="D123" s="29"/>
      <c r="E123" s="15"/>
      <c r="F123" s="15"/>
      <c r="G123" s="15">
        <v>1</v>
      </c>
      <c r="H123" s="15">
        <v>0</v>
      </c>
      <c r="I123" s="15">
        <v>2</v>
      </c>
      <c r="J123" s="15"/>
      <c r="K123" s="15">
        <v>0</v>
      </c>
      <c r="L123" s="15">
        <v>0</v>
      </c>
      <c r="M123" s="15"/>
      <c r="N123" s="15">
        <v>0</v>
      </c>
      <c r="O123" s="15"/>
      <c r="P123" s="15"/>
      <c r="Q123" s="15">
        <v>0</v>
      </c>
      <c r="R123" s="15">
        <v>0</v>
      </c>
      <c r="S123" s="15">
        <v>0</v>
      </c>
      <c r="T123" s="13">
        <f t="shared" si="11"/>
        <v>3</v>
      </c>
      <c r="U123" s="5"/>
      <c r="V123" s="5"/>
    </row>
    <row r="124" spans="1:22" ht="12.75" customHeight="1" x14ac:dyDescent="0.4">
      <c r="A124" s="14"/>
      <c r="B124" s="27"/>
      <c r="C124" s="28" t="s">
        <v>107</v>
      </c>
      <c r="D124" s="29"/>
      <c r="E124" s="15"/>
      <c r="F124" s="15"/>
      <c r="G124" s="15">
        <v>0</v>
      </c>
      <c r="H124" s="15">
        <v>0</v>
      </c>
      <c r="I124" s="15">
        <v>1</v>
      </c>
      <c r="J124" s="15"/>
      <c r="K124" s="15">
        <v>0</v>
      </c>
      <c r="L124" s="15">
        <v>0</v>
      </c>
      <c r="M124" s="15"/>
      <c r="N124" s="15">
        <v>0</v>
      </c>
      <c r="O124" s="15">
        <v>0</v>
      </c>
      <c r="P124" s="15"/>
      <c r="Q124" s="15">
        <v>0</v>
      </c>
      <c r="R124" s="15">
        <v>0</v>
      </c>
      <c r="S124" s="15">
        <v>2</v>
      </c>
      <c r="T124" s="13">
        <f t="shared" si="11"/>
        <v>3</v>
      </c>
      <c r="U124" s="5"/>
      <c r="V124" s="5"/>
    </row>
    <row r="125" spans="1:22" ht="12.75" customHeight="1" x14ac:dyDescent="0.4">
      <c r="A125" s="14"/>
      <c r="B125" s="27"/>
      <c r="C125" s="28" t="s">
        <v>108</v>
      </c>
      <c r="D125" s="29"/>
      <c r="E125" s="15">
        <v>1</v>
      </c>
      <c r="F125" s="15">
        <v>3</v>
      </c>
      <c r="G125" s="15">
        <v>12</v>
      </c>
      <c r="H125" s="15">
        <v>4</v>
      </c>
      <c r="I125" s="15"/>
      <c r="J125" s="15">
        <v>3</v>
      </c>
      <c r="K125" s="15">
        <v>1</v>
      </c>
      <c r="L125" s="15">
        <v>0</v>
      </c>
      <c r="M125" s="15">
        <v>2</v>
      </c>
      <c r="N125" s="15">
        <v>0</v>
      </c>
      <c r="O125" s="15">
        <v>3</v>
      </c>
      <c r="P125" s="15"/>
      <c r="Q125" s="15">
        <v>0</v>
      </c>
      <c r="R125" s="15">
        <v>3</v>
      </c>
      <c r="S125" s="15">
        <v>0</v>
      </c>
      <c r="T125" s="13">
        <f t="shared" si="11"/>
        <v>32</v>
      </c>
      <c r="U125" s="5"/>
      <c r="V125" s="5"/>
    </row>
    <row r="126" spans="1:22" ht="12.75" customHeight="1" x14ac:dyDescent="0.4">
      <c r="A126" s="14"/>
      <c r="B126" s="27"/>
      <c r="C126" s="28" t="s">
        <v>109</v>
      </c>
      <c r="D126" s="29"/>
      <c r="E126" s="15"/>
      <c r="F126" s="15"/>
      <c r="G126" s="15"/>
      <c r="H126" s="15">
        <v>0</v>
      </c>
      <c r="I126" s="15"/>
      <c r="J126" s="15"/>
      <c r="K126" s="15">
        <v>0</v>
      </c>
      <c r="L126" s="15">
        <v>0</v>
      </c>
      <c r="M126" s="15"/>
      <c r="N126" s="15">
        <v>0</v>
      </c>
      <c r="O126" s="15"/>
      <c r="P126" s="15"/>
      <c r="Q126" s="15">
        <v>0</v>
      </c>
      <c r="R126" s="15">
        <v>0</v>
      </c>
      <c r="S126" s="15">
        <v>0</v>
      </c>
      <c r="T126" s="13">
        <f t="shared" si="11"/>
        <v>0</v>
      </c>
      <c r="U126" s="5"/>
      <c r="V126" s="5"/>
    </row>
    <row r="127" spans="1:22" ht="12.75" customHeight="1" x14ac:dyDescent="0.4">
      <c r="A127" s="14"/>
      <c r="B127" s="27"/>
      <c r="C127" s="28" t="s">
        <v>110</v>
      </c>
      <c r="D127" s="29"/>
      <c r="E127" s="15"/>
      <c r="F127" s="15"/>
      <c r="G127" s="15"/>
      <c r="H127" s="15">
        <v>0</v>
      </c>
      <c r="I127" s="15"/>
      <c r="J127" s="15"/>
      <c r="K127" s="15">
        <v>0</v>
      </c>
      <c r="L127" s="15">
        <v>0</v>
      </c>
      <c r="M127" s="15"/>
      <c r="N127" s="15">
        <v>0</v>
      </c>
      <c r="O127" s="15"/>
      <c r="P127" s="15"/>
      <c r="Q127" s="15">
        <v>0</v>
      </c>
      <c r="R127" s="15">
        <v>0</v>
      </c>
      <c r="S127" s="15">
        <v>0</v>
      </c>
      <c r="T127" s="13">
        <f t="shared" si="11"/>
        <v>0</v>
      </c>
      <c r="U127" s="5"/>
      <c r="V127" s="5"/>
    </row>
    <row r="128" spans="1:22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S128" si="21">SUM(E121:E127)</f>
        <v>1</v>
      </c>
      <c r="F128" s="13">
        <f t="shared" si="21"/>
        <v>7</v>
      </c>
      <c r="G128" s="13">
        <f t="shared" si="21"/>
        <v>13</v>
      </c>
      <c r="H128" s="13">
        <f t="shared" si="21"/>
        <v>7</v>
      </c>
      <c r="I128" s="13">
        <f t="shared" si="21"/>
        <v>3</v>
      </c>
      <c r="J128" s="13">
        <f t="shared" si="21"/>
        <v>11</v>
      </c>
      <c r="K128" s="13">
        <f t="shared" si="21"/>
        <v>4</v>
      </c>
      <c r="L128" s="13">
        <f t="shared" si="21"/>
        <v>0</v>
      </c>
      <c r="M128" s="13">
        <f t="shared" si="21"/>
        <v>9</v>
      </c>
      <c r="N128" s="13">
        <f t="shared" si="21"/>
        <v>0</v>
      </c>
      <c r="O128" s="13">
        <f t="shared" si="21"/>
        <v>3</v>
      </c>
      <c r="P128" s="13">
        <f t="shared" si="21"/>
        <v>0</v>
      </c>
      <c r="Q128" s="13">
        <f t="shared" si="21"/>
        <v>2</v>
      </c>
      <c r="R128" s="13">
        <f t="shared" si="21"/>
        <v>5</v>
      </c>
      <c r="S128" s="13">
        <f t="shared" si="21"/>
        <v>11</v>
      </c>
      <c r="T128" s="13">
        <f t="shared" si="11"/>
        <v>76</v>
      </c>
      <c r="U128" s="5"/>
      <c r="V128" s="5"/>
    </row>
    <row r="129" spans="1:22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3">
        <f t="shared" si="11"/>
        <v>0</v>
      </c>
      <c r="U129" s="5"/>
      <c r="V129" s="5"/>
    </row>
    <row r="130" spans="1:22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/>
      <c r="F130" s="15"/>
      <c r="G130" s="15"/>
      <c r="H130" s="15">
        <v>0</v>
      </c>
      <c r="I130" s="15"/>
      <c r="J130" s="15"/>
      <c r="K130" s="15">
        <v>0</v>
      </c>
      <c r="L130" s="15">
        <v>0</v>
      </c>
      <c r="M130" s="15"/>
      <c r="N130" s="15">
        <v>0</v>
      </c>
      <c r="O130" s="15"/>
      <c r="P130" s="15"/>
      <c r="Q130" s="15">
        <v>0</v>
      </c>
      <c r="R130" s="15">
        <v>0</v>
      </c>
      <c r="S130" s="15">
        <v>0</v>
      </c>
      <c r="T130" s="13">
        <f t="shared" si="11"/>
        <v>0</v>
      </c>
      <c r="U130" s="1"/>
      <c r="V130" s="1"/>
    </row>
    <row r="131" spans="1:22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3">
        <f t="shared" si="11"/>
        <v>0</v>
      </c>
      <c r="U131" s="31"/>
      <c r="V131" s="31"/>
    </row>
    <row r="132" spans="1:22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S132" si="22">SUM(E130:E131)</f>
        <v>0</v>
      </c>
      <c r="F132" s="13">
        <f t="shared" si="22"/>
        <v>0</v>
      </c>
      <c r="G132" s="13">
        <f t="shared" si="22"/>
        <v>0</v>
      </c>
      <c r="H132" s="13">
        <f t="shared" si="22"/>
        <v>0</v>
      </c>
      <c r="I132" s="13">
        <f t="shared" si="22"/>
        <v>0</v>
      </c>
      <c r="J132" s="13">
        <f t="shared" si="22"/>
        <v>0</v>
      </c>
      <c r="K132" s="13">
        <f t="shared" si="22"/>
        <v>0</v>
      </c>
      <c r="L132" s="13">
        <f t="shared" si="22"/>
        <v>0</v>
      </c>
      <c r="M132" s="13">
        <f t="shared" si="22"/>
        <v>0</v>
      </c>
      <c r="N132" s="13">
        <f t="shared" si="22"/>
        <v>0</v>
      </c>
      <c r="O132" s="13">
        <f t="shared" si="22"/>
        <v>0</v>
      </c>
      <c r="P132" s="13">
        <f t="shared" si="22"/>
        <v>0</v>
      </c>
      <c r="Q132" s="13">
        <f t="shared" si="22"/>
        <v>0</v>
      </c>
      <c r="R132" s="13">
        <f t="shared" si="22"/>
        <v>0</v>
      </c>
      <c r="S132" s="13">
        <f t="shared" si="22"/>
        <v>0</v>
      </c>
      <c r="T132" s="13">
        <f t="shared" si="11"/>
        <v>0</v>
      </c>
      <c r="U132" s="5"/>
      <c r="V132" s="5"/>
    </row>
    <row r="133" spans="1:22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3">
        <f t="shared" si="11"/>
        <v>0</v>
      </c>
      <c r="U133" s="5"/>
      <c r="V133" s="5"/>
    </row>
    <row r="134" spans="1:22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/>
      <c r="F134" s="15"/>
      <c r="G134" s="15"/>
      <c r="H134" s="15">
        <v>0</v>
      </c>
      <c r="I134" s="15"/>
      <c r="J134" s="15"/>
      <c r="K134" s="15">
        <v>0</v>
      </c>
      <c r="L134" s="15">
        <v>0</v>
      </c>
      <c r="M134" s="15"/>
      <c r="N134" s="15">
        <v>0</v>
      </c>
      <c r="O134" s="15"/>
      <c r="P134" s="15"/>
      <c r="Q134" s="15">
        <v>0</v>
      </c>
      <c r="R134" s="15">
        <v>1</v>
      </c>
      <c r="S134" s="15">
        <v>0</v>
      </c>
      <c r="T134" s="13">
        <f t="shared" si="11"/>
        <v>1</v>
      </c>
      <c r="U134" s="5"/>
      <c r="V134" s="5"/>
    </row>
    <row r="135" spans="1:22" ht="12.75" customHeight="1" x14ac:dyDescent="0.4">
      <c r="A135" s="19" t="s">
        <v>39</v>
      </c>
      <c r="B135" s="27"/>
      <c r="C135" s="28" t="s">
        <v>116</v>
      </c>
      <c r="D135" s="29"/>
      <c r="E135" s="15"/>
      <c r="F135" s="15">
        <v>1</v>
      </c>
      <c r="G135" s="15"/>
      <c r="H135" s="15">
        <v>0</v>
      </c>
      <c r="I135" s="15"/>
      <c r="J135" s="15"/>
      <c r="K135" s="15">
        <v>0</v>
      </c>
      <c r="L135" s="15">
        <v>0</v>
      </c>
      <c r="M135" s="15"/>
      <c r="N135" s="15">
        <v>0</v>
      </c>
      <c r="O135" s="15"/>
      <c r="P135" s="15"/>
      <c r="Q135" s="15">
        <v>0</v>
      </c>
      <c r="R135" s="15">
        <v>0</v>
      </c>
      <c r="S135" s="15">
        <v>0</v>
      </c>
      <c r="T135" s="13">
        <f t="shared" si="11"/>
        <v>1</v>
      </c>
      <c r="U135" s="5"/>
      <c r="V135" s="5"/>
    </row>
    <row r="136" spans="1:22" ht="12.75" customHeight="1" x14ac:dyDescent="0.4">
      <c r="A136" s="14"/>
      <c r="B136" s="27"/>
      <c r="C136" s="28" t="s">
        <v>117</v>
      </c>
      <c r="D136" s="29"/>
      <c r="E136" s="15"/>
      <c r="F136" s="15"/>
      <c r="G136" s="15"/>
      <c r="H136" s="15">
        <v>0</v>
      </c>
      <c r="I136" s="15"/>
      <c r="J136" s="15"/>
      <c r="K136" s="15">
        <v>0</v>
      </c>
      <c r="L136" s="15">
        <v>0</v>
      </c>
      <c r="M136" s="15"/>
      <c r="N136" s="15">
        <v>0</v>
      </c>
      <c r="O136" s="15"/>
      <c r="P136" s="15"/>
      <c r="Q136" s="15">
        <v>0</v>
      </c>
      <c r="R136" s="15">
        <v>0</v>
      </c>
      <c r="S136" s="15">
        <v>0</v>
      </c>
      <c r="T136" s="13">
        <f t="shared" si="11"/>
        <v>0</v>
      </c>
      <c r="U136" s="5"/>
      <c r="V136" s="5"/>
    </row>
    <row r="137" spans="1:22" ht="12.75" customHeight="1" x14ac:dyDescent="0.4">
      <c r="A137" s="14"/>
      <c r="B137" s="27"/>
      <c r="C137" s="28" t="s">
        <v>118</v>
      </c>
      <c r="D137" s="29"/>
      <c r="E137" s="15">
        <v>1</v>
      </c>
      <c r="F137" s="15"/>
      <c r="G137" s="15"/>
      <c r="H137" s="15">
        <v>0</v>
      </c>
      <c r="I137" s="15"/>
      <c r="J137" s="15"/>
      <c r="K137" s="15">
        <v>0</v>
      </c>
      <c r="L137" s="15">
        <v>0</v>
      </c>
      <c r="M137" s="15">
        <v>1</v>
      </c>
      <c r="N137" s="15">
        <v>0</v>
      </c>
      <c r="O137" s="15"/>
      <c r="P137" s="15"/>
      <c r="Q137" s="15">
        <v>0</v>
      </c>
      <c r="R137" s="15">
        <v>0</v>
      </c>
      <c r="S137" s="15">
        <v>0</v>
      </c>
      <c r="T137" s="13">
        <f t="shared" si="11"/>
        <v>2</v>
      </c>
      <c r="U137" s="5"/>
      <c r="V137" s="5"/>
    </row>
    <row r="138" spans="1:22" ht="12.75" customHeight="1" x14ac:dyDescent="0.4">
      <c r="A138" s="14"/>
      <c r="B138" s="27"/>
      <c r="C138" s="28" t="s">
        <v>119</v>
      </c>
      <c r="D138" s="29"/>
      <c r="E138" s="15"/>
      <c r="F138" s="15"/>
      <c r="G138" s="15"/>
      <c r="H138" s="15">
        <v>0</v>
      </c>
      <c r="I138" s="15"/>
      <c r="J138" s="15"/>
      <c r="K138" s="15">
        <v>0</v>
      </c>
      <c r="L138" s="15">
        <v>0</v>
      </c>
      <c r="M138" s="15"/>
      <c r="N138" s="15">
        <v>0</v>
      </c>
      <c r="O138" s="15"/>
      <c r="P138" s="15"/>
      <c r="Q138" s="15">
        <v>0</v>
      </c>
      <c r="R138" s="15">
        <v>0</v>
      </c>
      <c r="S138" s="15">
        <v>0</v>
      </c>
      <c r="T138" s="13">
        <f t="shared" si="11"/>
        <v>0</v>
      </c>
      <c r="U138" s="5"/>
      <c r="V138" s="5"/>
    </row>
    <row r="139" spans="1:22" ht="12.75" customHeight="1" x14ac:dyDescent="0.4">
      <c r="A139" s="14"/>
      <c r="B139" s="27"/>
      <c r="C139" s="28" t="s">
        <v>120</v>
      </c>
      <c r="D139" s="29"/>
      <c r="E139" s="15"/>
      <c r="F139" s="15"/>
      <c r="G139" s="15"/>
      <c r="H139" s="15">
        <v>0</v>
      </c>
      <c r="I139" s="15"/>
      <c r="J139" s="15"/>
      <c r="K139" s="15">
        <v>0</v>
      </c>
      <c r="L139" s="15">
        <v>0</v>
      </c>
      <c r="M139" s="15"/>
      <c r="N139" s="15">
        <v>0</v>
      </c>
      <c r="O139" s="15"/>
      <c r="P139" s="15"/>
      <c r="Q139" s="15">
        <v>0</v>
      </c>
      <c r="R139" s="15">
        <v>0</v>
      </c>
      <c r="S139" s="15">
        <v>0</v>
      </c>
      <c r="T139" s="13">
        <f t="shared" si="11"/>
        <v>0</v>
      </c>
      <c r="U139" s="5"/>
      <c r="V139" s="5"/>
    </row>
    <row r="140" spans="1:22" ht="12.75" customHeight="1" x14ac:dyDescent="0.4">
      <c r="A140" s="14"/>
      <c r="B140" s="27"/>
      <c r="C140" s="28" t="s">
        <v>121</v>
      </c>
      <c r="D140" s="29"/>
      <c r="E140" s="15"/>
      <c r="F140" s="15"/>
      <c r="G140" s="15"/>
      <c r="H140" s="15">
        <v>0</v>
      </c>
      <c r="I140" s="15"/>
      <c r="J140" s="15"/>
      <c r="K140" s="15">
        <v>0</v>
      </c>
      <c r="L140" s="15">
        <v>0</v>
      </c>
      <c r="M140" s="15">
        <v>1</v>
      </c>
      <c r="N140" s="15">
        <v>0</v>
      </c>
      <c r="O140" s="15"/>
      <c r="P140" s="15"/>
      <c r="Q140" s="15">
        <v>0</v>
      </c>
      <c r="R140" s="15">
        <v>0</v>
      </c>
      <c r="S140" s="15">
        <v>0</v>
      </c>
      <c r="T140" s="13">
        <f t="shared" si="11"/>
        <v>1</v>
      </c>
      <c r="U140" s="5"/>
      <c r="V140" s="5"/>
    </row>
    <row r="141" spans="1:22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S141" si="23">SUM(E134:E140)</f>
        <v>1</v>
      </c>
      <c r="F141" s="13">
        <f t="shared" si="23"/>
        <v>1</v>
      </c>
      <c r="G141" s="13">
        <f t="shared" si="23"/>
        <v>0</v>
      </c>
      <c r="H141" s="13">
        <f t="shared" si="23"/>
        <v>0</v>
      </c>
      <c r="I141" s="13">
        <f t="shared" si="23"/>
        <v>0</v>
      </c>
      <c r="J141" s="13">
        <f t="shared" si="23"/>
        <v>0</v>
      </c>
      <c r="K141" s="13">
        <f t="shared" si="23"/>
        <v>0</v>
      </c>
      <c r="L141" s="13">
        <f t="shared" si="23"/>
        <v>0</v>
      </c>
      <c r="M141" s="13">
        <f t="shared" si="23"/>
        <v>2</v>
      </c>
      <c r="N141" s="13">
        <f t="shared" si="23"/>
        <v>0</v>
      </c>
      <c r="O141" s="13">
        <f t="shared" si="23"/>
        <v>0</v>
      </c>
      <c r="P141" s="13">
        <f t="shared" si="23"/>
        <v>0</v>
      </c>
      <c r="Q141" s="13">
        <f t="shared" si="23"/>
        <v>0</v>
      </c>
      <c r="R141" s="13">
        <f t="shared" si="23"/>
        <v>1</v>
      </c>
      <c r="S141" s="13">
        <f t="shared" si="23"/>
        <v>0</v>
      </c>
      <c r="T141" s="13">
        <f t="shared" si="11"/>
        <v>5</v>
      </c>
      <c r="U141" s="1"/>
      <c r="V141" s="1"/>
    </row>
    <row r="142" spans="1:22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3">
        <f t="shared" si="11"/>
        <v>0</v>
      </c>
      <c r="U142" s="31"/>
      <c r="V142" s="31"/>
    </row>
    <row r="143" spans="1:22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/>
      <c r="F143" s="15"/>
      <c r="G143" s="15"/>
      <c r="H143" s="15">
        <v>0</v>
      </c>
      <c r="I143" s="15"/>
      <c r="J143" s="15"/>
      <c r="K143" s="15">
        <v>0</v>
      </c>
      <c r="L143" s="15">
        <v>0</v>
      </c>
      <c r="M143" s="15"/>
      <c r="N143" s="15">
        <v>0</v>
      </c>
      <c r="O143" s="15"/>
      <c r="P143" s="15"/>
      <c r="Q143" s="15">
        <v>0</v>
      </c>
      <c r="R143" s="15">
        <v>0</v>
      </c>
      <c r="S143" s="15">
        <v>0</v>
      </c>
      <c r="T143" s="13">
        <f t="shared" si="11"/>
        <v>0</v>
      </c>
      <c r="U143" s="5"/>
      <c r="V143" s="5"/>
    </row>
    <row r="144" spans="1:22" ht="12.75" customHeight="1" x14ac:dyDescent="0.4">
      <c r="A144" s="19" t="s">
        <v>39</v>
      </c>
      <c r="B144" s="27"/>
      <c r="C144" s="28" t="s">
        <v>124</v>
      </c>
      <c r="D144" s="29"/>
      <c r="E144" s="15"/>
      <c r="F144" s="15"/>
      <c r="G144" s="15"/>
      <c r="H144" s="15">
        <v>0</v>
      </c>
      <c r="I144" s="15"/>
      <c r="J144" s="15"/>
      <c r="K144" s="15">
        <v>0</v>
      </c>
      <c r="L144" s="15">
        <v>0</v>
      </c>
      <c r="M144" s="15"/>
      <c r="N144" s="15">
        <v>0</v>
      </c>
      <c r="O144" s="15"/>
      <c r="P144" s="15"/>
      <c r="Q144" s="15">
        <v>0</v>
      </c>
      <c r="R144" s="15">
        <v>0</v>
      </c>
      <c r="S144" s="15">
        <v>0</v>
      </c>
      <c r="T144" s="13">
        <f t="shared" si="11"/>
        <v>0</v>
      </c>
      <c r="U144" s="5"/>
      <c r="V144" s="5"/>
    </row>
    <row r="145" spans="1:22" ht="12.75" customHeight="1" x14ac:dyDescent="0.4">
      <c r="A145" s="14"/>
      <c r="B145" s="27"/>
      <c r="C145" s="28" t="s">
        <v>125</v>
      </c>
      <c r="D145" s="29"/>
      <c r="E145" s="15"/>
      <c r="F145" s="15"/>
      <c r="G145" s="15"/>
      <c r="H145" s="15">
        <v>0</v>
      </c>
      <c r="I145" s="15"/>
      <c r="J145" s="15"/>
      <c r="K145" s="15">
        <v>0</v>
      </c>
      <c r="L145" s="15">
        <v>0</v>
      </c>
      <c r="M145" s="15"/>
      <c r="N145" s="15">
        <v>0</v>
      </c>
      <c r="O145" s="15"/>
      <c r="P145" s="15"/>
      <c r="Q145" s="15">
        <v>0</v>
      </c>
      <c r="R145" s="15">
        <v>0</v>
      </c>
      <c r="S145" s="15">
        <v>0</v>
      </c>
      <c r="T145" s="13">
        <f t="shared" si="11"/>
        <v>0</v>
      </c>
      <c r="U145" s="5"/>
      <c r="V145" s="5"/>
    </row>
    <row r="146" spans="1:22" ht="12.75" customHeight="1" x14ac:dyDescent="0.4">
      <c r="A146" s="14"/>
      <c r="B146" s="27"/>
      <c r="C146" s="28" t="s">
        <v>126</v>
      </c>
      <c r="D146" s="29"/>
      <c r="E146" s="15"/>
      <c r="F146" s="15"/>
      <c r="G146" s="15"/>
      <c r="H146" s="15">
        <v>0</v>
      </c>
      <c r="I146" s="15"/>
      <c r="J146" s="15"/>
      <c r="K146" s="15">
        <v>0</v>
      </c>
      <c r="L146" s="15">
        <v>0</v>
      </c>
      <c r="M146" s="15"/>
      <c r="N146" s="15">
        <v>0</v>
      </c>
      <c r="O146" s="15"/>
      <c r="P146" s="15"/>
      <c r="Q146" s="15">
        <v>0</v>
      </c>
      <c r="R146" s="15">
        <v>0</v>
      </c>
      <c r="S146" s="15">
        <v>0</v>
      </c>
      <c r="T146" s="13">
        <f t="shared" si="11"/>
        <v>0</v>
      </c>
      <c r="U146" s="5"/>
      <c r="V146" s="5"/>
    </row>
    <row r="147" spans="1:22" ht="12.75" customHeight="1" x14ac:dyDescent="0.4">
      <c r="A147" s="14"/>
      <c r="B147" s="27"/>
      <c r="C147" s="28" t="s">
        <v>127</v>
      </c>
      <c r="D147" s="29"/>
      <c r="E147" s="15"/>
      <c r="F147" s="15"/>
      <c r="G147" s="15"/>
      <c r="H147" s="15">
        <v>0</v>
      </c>
      <c r="I147" s="15"/>
      <c r="J147" s="15"/>
      <c r="K147" s="15">
        <v>0</v>
      </c>
      <c r="L147" s="15">
        <v>0</v>
      </c>
      <c r="M147" s="15"/>
      <c r="N147" s="15">
        <v>0</v>
      </c>
      <c r="O147" s="15"/>
      <c r="P147" s="15"/>
      <c r="Q147" s="15">
        <v>0</v>
      </c>
      <c r="R147" s="15">
        <v>0</v>
      </c>
      <c r="S147" s="15">
        <v>0</v>
      </c>
      <c r="T147" s="13">
        <f t="shared" si="11"/>
        <v>0</v>
      </c>
      <c r="U147" s="5"/>
      <c r="V147" s="5"/>
    </row>
    <row r="148" spans="1:22" ht="12.75" customHeight="1" x14ac:dyDescent="0.4">
      <c r="A148" s="14"/>
      <c r="B148" s="27"/>
      <c r="C148" s="28" t="s">
        <v>128</v>
      </c>
      <c r="D148" s="29"/>
      <c r="E148" s="15"/>
      <c r="F148" s="15"/>
      <c r="G148" s="15"/>
      <c r="H148" s="15">
        <v>0</v>
      </c>
      <c r="I148" s="15"/>
      <c r="J148" s="15"/>
      <c r="K148" s="15">
        <v>0</v>
      </c>
      <c r="L148" s="15">
        <v>0</v>
      </c>
      <c r="M148" s="15"/>
      <c r="N148" s="15">
        <v>0</v>
      </c>
      <c r="O148" s="15"/>
      <c r="P148" s="15"/>
      <c r="Q148" s="15">
        <v>0</v>
      </c>
      <c r="R148" s="15">
        <v>0</v>
      </c>
      <c r="S148" s="15">
        <v>0</v>
      </c>
      <c r="T148" s="13">
        <f t="shared" si="11"/>
        <v>0</v>
      </c>
      <c r="U148" s="5"/>
      <c r="V148" s="5"/>
    </row>
    <row r="149" spans="1:22" ht="12.75" customHeight="1" x14ac:dyDescent="0.4">
      <c r="A149" s="14"/>
      <c r="B149" s="27"/>
      <c r="C149" s="28" t="s">
        <v>129</v>
      </c>
      <c r="D149" s="29"/>
      <c r="E149" s="15">
        <v>1</v>
      </c>
      <c r="F149" s="15"/>
      <c r="G149" s="15"/>
      <c r="H149" s="15">
        <v>0</v>
      </c>
      <c r="I149" s="15"/>
      <c r="J149" s="15">
        <v>1</v>
      </c>
      <c r="K149" s="15">
        <v>0</v>
      </c>
      <c r="L149" s="15">
        <v>0</v>
      </c>
      <c r="M149" s="15"/>
      <c r="N149" s="15">
        <v>0</v>
      </c>
      <c r="O149" s="15"/>
      <c r="P149" s="15"/>
      <c r="Q149" s="15">
        <v>0</v>
      </c>
      <c r="R149" s="15">
        <v>0</v>
      </c>
      <c r="S149" s="15">
        <v>0</v>
      </c>
      <c r="T149" s="13">
        <f t="shared" si="11"/>
        <v>2</v>
      </c>
      <c r="U149" s="5"/>
      <c r="V149" s="5"/>
    </row>
    <row r="150" spans="1:22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S150" si="24">SUM(E143:E149)</f>
        <v>1</v>
      </c>
      <c r="F150" s="13">
        <f t="shared" si="24"/>
        <v>0</v>
      </c>
      <c r="G150" s="13">
        <f t="shared" si="24"/>
        <v>0</v>
      </c>
      <c r="H150" s="13">
        <f t="shared" si="24"/>
        <v>0</v>
      </c>
      <c r="I150" s="13">
        <f t="shared" si="24"/>
        <v>0</v>
      </c>
      <c r="J150" s="13">
        <f t="shared" si="24"/>
        <v>1</v>
      </c>
      <c r="K150" s="13">
        <f t="shared" si="24"/>
        <v>0</v>
      </c>
      <c r="L150" s="13">
        <f t="shared" si="24"/>
        <v>0</v>
      </c>
      <c r="M150" s="13">
        <f t="shared" si="24"/>
        <v>0</v>
      </c>
      <c r="N150" s="13">
        <f t="shared" si="24"/>
        <v>0</v>
      </c>
      <c r="O150" s="13">
        <f t="shared" si="24"/>
        <v>0</v>
      </c>
      <c r="P150" s="13">
        <f t="shared" si="24"/>
        <v>0</v>
      </c>
      <c r="Q150" s="13">
        <f t="shared" si="24"/>
        <v>0</v>
      </c>
      <c r="R150" s="13">
        <f t="shared" si="24"/>
        <v>0</v>
      </c>
      <c r="S150" s="13">
        <f t="shared" si="24"/>
        <v>0</v>
      </c>
      <c r="T150" s="13">
        <f t="shared" si="11"/>
        <v>2</v>
      </c>
      <c r="U150" s="5"/>
      <c r="V150" s="5"/>
    </row>
    <row r="151" spans="1:22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3">
        <f t="shared" si="11"/>
        <v>0</v>
      </c>
      <c r="U151" s="1"/>
      <c r="V151" s="1"/>
    </row>
    <row r="152" spans="1:22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2</v>
      </c>
      <c r="F152" s="15">
        <v>0</v>
      </c>
      <c r="G152" s="15">
        <v>3</v>
      </c>
      <c r="H152" s="15">
        <v>2</v>
      </c>
      <c r="I152" s="15">
        <v>1</v>
      </c>
      <c r="J152" s="15">
        <v>4</v>
      </c>
      <c r="K152" s="15">
        <v>1</v>
      </c>
      <c r="L152" s="15">
        <v>3</v>
      </c>
      <c r="M152" s="15">
        <v>1</v>
      </c>
      <c r="N152" s="15">
        <v>3</v>
      </c>
      <c r="O152" s="15"/>
      <c r="P152" s="15">
        <v>1</v>
      </c>
      <c r="Q152" s="15">
        <v>1</v>
      </c>
      <c r="R152" s="15">
        <v>2</v>
      </c>
      <c r="S152" s="15">
        <v>6</v>
      </c>
      <c r="T152" s="13">
        <f t="shared" si="11"/>
        <v>30</v>
      </c>
      <c r="U152" s="31"/>
      <c r="V152" s="31"/>
    </row>
    <row r="153" spans="1:22" ht="12.75" customHeight="1" x14ac:dyDescent="0.4">
      <c r="A153" s="19" t="s">
        <v>39</v>
      </c>
      <c r="B153" s="27"/>
      <c r="C153" s="28" t="s">
        <v>132</v>
      </c>
      <c r="D153" s="29"/>
      <c r="E153" s="15"/>
      <c r="F153" s="15">
        <v>1</v>
      </c>
      <c r="G153" s="15">
        <v>0</v>
      </c>
      <c r="H153" s="15">
        <v>0</v>
      </c>
      <c r="I153" s="15">
        <v>1</v>
      </c>
      <c r="J153" s="15">
        <v>3</v>
      </c>
      <c r="K153" s="15">
        <v>0</v>
      </c>
      <c r="L153" s="15">
        <v>1</v>
      </c>
      <c r="M153" s="15">
        <v>3</v>
      </c>
      <c r="N153" s="15">
        <v>1</v>
      </c>
      <c r="O153" s="15"/>
      <c r="P153" s="15"/>
      <c r="Q153" s="15">
        <v>3</v>
      </c>
      <c r="R153" s="15">
        <v>3</v>
      </c>
      <c r="S153" s="15">
        <v>14</v>
      </c>
      <c r="T153" s="13">
        <f t="shared" si="11"/>
        <v>30</v>
      </c>
      <c r="U153" s="5"/>
      <c r="V153" s="5"/>
    </row>
    <row r="154" spans="1:22" ht="12.75" customHeight="1" x14ac:dyDescent="0.4">
      <c r="A154" s="14"/>
      <c r="B154" s="27"/>
      <c r="C154" s="28" t="s">
        <v>133</v>
      </c>
      <c r="D154" s="29"/>
      <c r="E154" s="15">
        <v>1</v>
      </c>
      <c r="F154" s="15">
        <v>2</v>
      </c>
      <c r="G154" s="15">
        <v>5</v>
      </c>
      <c r="H154" s="15">
        <v>7</v>
      </c>
      <c r="I154" s="15">
        <v>9</v>
      </c>
      <c r="J154" s="15">
        <v>9</v>
      </c>
      <c r="K154" s="15">
        <v>13</v>
      </c>
      <c r="L154" s="15">
        <v>0</v>
      </c>
      <c r="M154" s="15"/>
      <c r="N154" s="15">
        <v>2</v>
      </c>
      <c r="O154" s="15">
        <v>1</v>
      </c>
      <c r="P154" s="15"/>
      <c r="Q154" s="15">
        <v>2</v>
      </c>
      <c r="R154" s="15">
        <v>3</v>
      </c>
      <c r="S154" s="15">
        <v>3</v>
      </c>
      <c r="T154" s="13">
        <f t="shared" si="11"/>
        <v>57</v>
      </c>
      <c r="U154" s="5"/>
      <c r="V154" s="5"/>
    </row>
    <row r="155" spans="1:22" ht="12.75" customHeight="1" x14ac:dyDescent="0.4">
      <c r="A155" s="14"/>
      <c r="B155" s="27"/>
      <c r="C155" s="28" t="s">
        <v>134</v>
      </c>
      <c r="D155" s="29"/>
      <c r="E155" s="15">
        <v>8</v>
      </c>
      <c r="F155" s="15">
        <v>13</v>
      </c>
      <c r="G155" s="15">
        <v>64</v>
      </c>
      <c r="H155" s="15">
        <v>98</v>
      </c>
      <c r="I155" s="15">
        <v>9</v>
      </c>
      <c r="J155" s="15">
        <v>44</v>
      </c>
      <c r="K155" s="15">
        <v>25</v>
      </c>
      <c r="L155" s="15">
        <v>33</v>
      </c>
      <c r="M155" s="15">
        <v>9</v>
      </c>
      <c r="N155" s="15">
        <v>48</v>
      </c>
      <c r="O155" s="15"/>
      <c r="P155" s="15"/>
      <c r="Q155" s="15">
        <v>12</v>
      </c>
      <c r="R155" s="15">
        <v>14</v>
      </c>
      <c r="S155" s="15">
        <v>34</v>
      </c>
      <c r="T155" s="13">
        <f t="shared" si="11"/>
        <v>411</v>
      </c>
      <c r="U155" s="5"/>
      <c r="V155" s="5"/>
    </row>
    <row r="156" spans="1:22" ht="12.75" customHeight="1" x14ac:dyDescent="0.4">
      <c r="A156" s="14"/>
      <c r="B156" s="27"/>
      <c r="C156" s="28" t="s">
        <v>135</v>
      </c>
      <c r="D156" s="29"/>
      <c r="E156" s="15"/>
      <c r="F156" s="15">
        <v>0</v>
      </c>
      <c r="G156" s="15">
        <v>1</v>
      </c>
      <c r="H156" s="15">
        <v>1</v>
      </c>
      <c r="I156" s="15">
        <v>2</v>
      </c>
      <c r="J156" s="15">
        <v>2</v>
      </c>
      <c r="K156" s="15">
        <v>4</v>
      </c>
      <c r="L156" s="15">
        <v>1</v>
      </c>
      <c r="M156" s="15"/>
      <c r="N156" s="15">
        <v>0</v>
      </c>
      <c r="O156" s="15"/>
      <c r="P156" s="15"/>
      <c r="Q156" s="15">
        <v>0</v>
      </c>
      <c r="R156" s="15">
        <v>0</v>
      </c>
      <c r="S156" s="15">
        <v>0</v>
      </c>
      <c r="T156" s="13">
        <f t="shared" si="11"/>
        <v>11</v>
      </c>
      <c r="U156" s="5"/>
      <c r="V156" s="5"/>
    </row>
    <row r="157" spans="1:22" ht="12.75" customHeight="1" x14ac:dyDescent="0.4">
      <c r="A157" s="14"/>
      <c r="B157" s="27"/>
      <c r="C157" s="28" t="s">
        <v>136</v>
      </c>
      <c r="D157" s="29"/>
      <c r="E157" s="15"/>
      <c r="F157" s="15"/>
      <c r="G157" s="15"/>
      <c r="H157" s="15">
        <v>0</v>
      </c>
      <c r="I157" s="15"/>
      <c r="J157" s="15"/>
      <c r="K157" s="15">
        <v>0</v>
      </c>
      <c r="L157" s="15">
        <v>0</v>
      </c>
      <c r="M157" s="15"/>
      <c r="N157" s="15">
        <v>0</v>
      </c>
      <c r="O157" s="15"/>
      <c r="P157" s="15"/>
      <c r="Q157" s="15">
        <v>0</v>
      </c>
      <c r="R157" s="15">
        <v>0</v>
      </c>
      <c r="S157" s="15">
        <v>0</v>
      </c>
      <c r="T157" s="13">
        <f t="shared" si="11"/>
        <v>0</v>
      </c>
      <c r="U157" s="5"/>
      <c r="V157" s="5"/>
    </row>
    <row r="158" spans="1:22" ht="12.75" customHeight="1" x14ac:dyDescent="0.4">
      <c r="A158" s="14"/>
      <c r="B158" s="27"/>
      <c r="C158" s="28" t="s">
        <v>137</v>
      </c>
      <c r="D158" s="29"/>
      <c r="E158" s="15"/>
      <c r="F158" s="15"/>
      <c r="G158" s="15"/>
      <c r="H158" s="15">
        <v>0</v>
      </c>
      <c r="I158" s="15"/>
      <c r="J158" s="15"/>
      <c r="K158" s="15">
        <v>0</v>
      </c>
      <c r="L158" s="15">
        <v>0</v>
      </c>
      <c r="M158" s="15"/>
      <c r="N158" s="15">
        <v>0</v>
      </c>
      <c r="O158" s="15">
        <v>1</v>
      </c>
      <c r="P158" s="15"/>
      <c r="Q158" s="15">
        <v>0</v>
      </c>
      <c r="R158" s="15">
        <v>0</v>
      </c>
      <c r="S158" s="15">
        <v>0</v>
      </c>
      <c r="T158" s="13">
        <f t="shared" si="11"/>
        <v>1</v>
      </c>
      <c r="U158" s="5"/>
      <c r="V158" s="5"/>
    </row>
    <row r="159" spans="1:22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S159" si="25">SUM(E152:E158)</f>
        <v>11</v>
      </c>
      <c r="F159" s="13">
        <f t="shared" si="25"/>
        <v>16</v>
      </c>
      <c r="G159" s="13">
        <f t="shared" si="25"/>
        <v>73</v>
      </c>
      <c r="H159" s="13">
        <f t="shared" si="25"/>
        <v>108</v>
      </c>
      <c r="I159" s="13">
        <f t="shared" si="25"/>
        <v>22</v>
      </c>
      <c r="J159" s="13">
        <f t="shared" si="25"/>
        <v>62</v>
      </c>
      <c r="K159" s="13">
        <f t="shared" si="25"/>
        <v>43</v>
      </c>
      <c r="L159" s="13">
        <f t="shared" si="25"/>
        <v>38</v>
      </c>
      <c r="M159" s="13">
        <f t="shared" si="25"/>
        <v>13</v>
      </c>
      <c r="N159" s="13">
        <f t="shared" si="25"/>
        <v>54</v>
      </c>
      <c r="O159" s="13">
        <f t="shared" si="25"/>
        <v>2</v>
      </c>
      <c r="P159" s="13">
        <f t="shared" si="25"/>
        <v>1</v>
      </c>
      <c r="Q159" s="13">
        <f t="shared" si="25"/>
        <v>18</v>
      </c>
      <c r="R159" s="13">
        <f t="shared" si="25"/>
        <v>22</v>
      </c>
      <c r="S159" s="13">
        <f t="shared" si="25"/>
        <v>57</v>
      </c>
      <c r="T159" s="13">
        <f t="shared" si="11"/>
        <v>540</v>
      </c>
      <c r="U159" s="5"/>
      <c r="V159" s="5"/>
    </row>
    <row r="160" spans="1:22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3">
        <f t="shared" si="11"/>
        <v>0</v>
      </c>
      <c r="U160" s="5"/>
      <c r="V160" s="5"/>
    </row>
    <row r="161" spans="1:22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1</v>
      </c>
      <c r="F161" s="46"/>
      <c r="G161" s="46"/>
      <c r="H161" s="46">
        <v>0</v>
      </c>
      <c r="I161" s="46">
        <v>0</v>
      </c>
      <c r="J161" s="46">
        <v>0</v>
      </c>
      <c r="K161" s="46">
        <v>1</v>
      </c>
      <c r="L161" s="46">
        <v>0</v>
      </c>
      <c r="M161" s="46"/>
      <c r="N161" s="46">
        <v>0</v>
      </c>
      <c r="O161" s="46">
        <v>1</v>
      </c>
      <c r="P161" s="46"/>
      <c r="Q161" s="46">
        <v>0</v>
      </c>
      <c r="R161" s="46">
        <v>0</v>
      </c>
      <c r="S161" s="46">
        <v>0</v>
      </c>
      <c r="T161" s="13">
        <f t="shared" si="11"/>
        <v>3</v>
      </c>
      <c r="U161" s="5"/>
      <c r="V161" s="5"/>
    </row>
    <row r="162" spans="1:22" ht="12.75" customHeight="1" x14ac:dyDescent="0.4">
      <c r="A162" s="19" t="s">
        <v>39</v>
      </c>
      <c r="B162" s="27"/>
      <c r="C162" s="28" t="s">
        <v>140</v>
      </c>
      <c r="D162" s="29"/>
      <c r="E162" s="46"/>
      <c r="F162" s="46"/>
      <c r="G162" s="46">
        <v>1</v>
      </c>
      <c r="H162" s="46">
        <v>0</v>
      </c>
      <c r="I162" s="46">
        <v>1</v>
      </c>
      <c r="J162" s="46">
        <v>1</v>
      </c>
      <c r="K162" s="46">
        <v>1</v>
      </c>
      <c r="L162" s="46">
        <v>0</v>
      </c>
      <c r="M162" s="46"/>
      <c r="N162" s="46">
        <v>0</v>
      </c>
      <c r="O162" s="46">
        <v>0</v>
      </c>
      <c r="P162" s="46"/>
      <c r="Q162" s="46">
        <v>0</v>
      </c>
      <c r="R162" s="46">
        <v>0</v>
      </c>
      <c r="S162" s="46">
        <v>0</v>
      </c>
      <c r="T162" s="13">
        <f t="shared" si="11"/>
        <v>4</v>
      </c>
      <c r="U162" s="5"/>
      <c r="V162" s="5"/>
    </row>
    <row r="163" spans="1:22" ht="12.75" customHeight="1" x14ac:dyDescent="0.4">
      <c r="A163" s="19"/>
      <c r="B163" s="27"/>
      <c r="C163" s="28" t="s">
        <v>141</v>
      </c>
      <c r="D163" s="29"/>
      <c r="E163" s="46"/>
      <c r="F163" s="46"/>
      <c r="G163" s="46"/>
      <c r="H163" s="46">
        <v>1</v>
      </c>
      <c r="I163" s="46"/>
      <c r="J163" s="46"/>
      <c r="K163" s="46">
        <v>0</v>
      </c>
      <c r="L163" s="46">
        <v>0</v>
      </c>
      <c r="M163" s="46">
        <v>1</v>
      </c>
      <c r="N163" s="46">
        <v>0</v>
      </c>
      <c r="O163" s="46">
        <v>2</v>
      </c>
      <c r="P163" s="46"/>
      <c r="Q163" s="46">
        <v>0</v>
      </c>
      <c r="R163" s="46">
        <v>0</v>
      </c>
      <c r="S163" s="46">
        <v>0</v>
      </c>
      <c r="T163" s="13">
        <f t="shared" si="11"/>
        <v>4</v>
      </c>
      <c r="U163" s="5"/>
      <c r="V163" s="5"/>
    </row>
    <row r="164" spans="1:22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S164" si="26">SUM(E161:E163)</f>
        <v>1</v>
      </c>
      <c r="F164" s="13">
        <f t="shared" si="26"/>
        <v>0</v>
      </c>
      <c r="G164" s="13">
        <f t="shared" si="26"/>
        <v>1</v>
      </c>
      <c r="H164" s="13">
        <f t="shared" si="26"/>
        <v>1</v>
      </c>
      <c r="I164" s="13">
        <f t="shared" si="26"/>
        <v>1</v>
      </c>
      <c r="J164" s="13">
        <f t="shared" si="26"/>
        <v>1</v>
      </c>
      <c r="K164" s="13">
        <f t="shared" si="26"/>
        <v>2</v>
      </c>
      <c r="L164" s="13">
        <f t="shared" si="26"/>
        <v>0</v>
      </c>
      <c r="M164" s="13">
        <f t="shared" si="26"/>
        <v>1</v>
      </c>
      <c r="N164" s="13">
        <f t="shared" si="26"/>
        <v>0</v>
      </c>
      <c r="O164" s="13">
        <f t="shared" si="26"/>
        <v>3</v>
      </c>
      <c r="P164" s="13">
        <f t="shared" si="26"/>
        <v>0</v>
      </c>
      <c r="Q164" s="13">
        <f t="shared" si="26"/>
        <v>0</v>
      </c>
      <c r="R164" s="13">
        <f t="shared" si="26"/>
        <v>0</v>
      </c>
      <c r="S164" s="13">
        <f t="shared" si="26"/>
        <v>0</v>
      </c>
      <c r="T164" s="13">
        <f t="shared" si="11"/>
        <v>11</v>
      </c>
      <c r="U164" s="5"/>
      <c r="V164" s="5"/>
    </row>
    <row r="165" spans="1:22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3">
        <f t="shared" si="11"/>
        <v>0</v>
      </c>
      <c r="U165" s="1"/>
      <c r="V165" s="1"/>
    </row>
    <row r="166" spans="1:22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/>
      <c r="F166" s="15"/>
      <c r="G166" s="15">
        <v>0</v>
      </c>
      <c r="H166" s="15">
        <v>0</v>
      </c>
      <c r="I166" s="15"/>
      <c r="J166" s="15">
        <v>0</v>
      </c>
      <c r="K166" s="15">
        <v>0</v>
      </c>
      <c r="L166" s="15">
        <v>0</v>
      </c>
      <c r="M166" s="15"/>
      <c r="N166" s="15"/>
      <c r="O166" s="15"/>
      <c r="P166" s="15"/>
      <c r="Q166" s="15">
        <v>0</v>
      </c>
      <c r="R166" s="15"/>
      <c r="S166" s="15"/>
      <c r="T166" s="13">
        <f t="shared" si="11"/>
        <v>0</v>
      </c>
      <c r="U166" s="31"/>
      <c r="V166" s="31"/>
    </row>
    <row r="167" spans="1:22" ht="12.75" customHeight="1" x14ac:dyDescent="0.4">
      <c r="A167" s="19"/>
      <c r="B167" s="26"/>
      <c r="C167" s="28" t="s">
        <v>144</v>
      </c>
      <c r="D167" s="37"/>
      <c r="E167" s="15"/>
      <c r="F167" s="15"/>
      <c r="G167" s="15"/>
      <c r="H167" s="15">
        <v>0</v>
      </c>
      <c r="I167" s="15"/>
      <c r="J167" s="15"/>
      <c r="K167" s="15">
        <v>0</v>
      </c>
      <c r="L167" s="15">
        <v>0</v>
      </c>
      <c r="M167" s="15"/>
      <c r="N167" s="15">
        <v>1</v>
      </c>
      <c r="O167" s="15"/>
      <c r="P167" s="15"/>
      <c r="Q167" s="15">
        <v>0</v>
      </c>
      <c r="R167" s="15"/>
      <c r="S167" s="15"/>
      <c r="T167" s="13">
        <f t="shared" si="11"/>
        <v>1</v>
      </c>
      <c r="U167" s="5"/>
      <c r="V167" s="5"/>
    </row>
    <row r="168" spans="1:22" ht="12.75" customHeight="1" x14ac:dyDescent="0.4">
      <c r="A168" s="19"/>
      <c r="B168" s="26"/>
      <c r="C168" s="28" t="s">
        <v>145</v>
      </c>
      <c r="D168" s="37"/>
      <c r="E168" s="15"/>
      <c r="F168" s="15"/>
      <c r="G168" s="15"/>
      <c r="H168" s="15">
        <v>0</v>
      </c>
      <c r="I168" s="15"/>
      <c r="J168" s="15"/>
      <c r="K168" s="15">
        <v>0</v>
      </c>
      <c r="L168" s="15">
        <v>0</v>
      </c>
      <c r="M168" s="15"/>
      <c r="N168" s="15"/>
      <c r="O168" s="15"/>
      <c r="P168" s="15"/>
      <c r="Q168" s="15">
        <v>0</v>
      </c>
      <c r="R168" s="15"/>
      <c r="S168" s="15"/>
      <c r="T168" s="13">
        <f t="shared" si="11"/>
        <v>0</v>
      </c>
      <c r="U168" s="5"/>
      <c r="V168" s="5"/>
    </row>
    <row r="169" spans="1:22" ht="12.75" customHeight="1" x14ac:dyDescent="0.4">
      <c r="A169" s="19"/>
      <c r="B169" s="26"/>
      <c r="C169" s="28" t="s">
        <v>146</v>
      </c>
      <c r="D169" s="37"/>
      <c r="E169" s="15"/>
      <c r="F169" s="15"/>
      <c r="G169" s="15"/>
      <c r="H169" s="15">
        <v>0</v>
      </c>
      <c r="I169" s="15"/>
      <c r="J169" s="15"/>
      <c r="K169" s="15">
        <v>2</v>
      </c>
      <c r="L169" s="15">
        <v>0</v>
      </c>
      <c r="M169" s="15"/>
      <c r="N169" s="15"/>
      <c r="O169" s="15"/>
      <c r="P169" s="15"/>
      <c r="Q169" s="15">
        <v>0</v>
      </c>
      <c r="R169" s="15"/>
      <c r="S169" s="15"/>
      <c r="T169" s="13">
        <f t="shared" si="11"/>
        <v>2</v>
      </c>
      <c r="U169" s="5"/>
      <c r="V169" s="5"/>
    </row>
    <row r="170" spans="1:22" ht="12.75" customHeight="1" x14ac:dyDescent="0.4">
      <c r="A170" s="19" t="s">
        <v>39</v>
      </c>
      <c r="B170" s="27"/>
      <c r="C170" s="28" t="s">
        <v>147</v>
      </c>
      <c r="D170" s="29"/>
      <c r="E170" s="15"/>
      <c r="F170" s="15"/>
      <c r="G170" s="15"/>
      <c r="H170" s="15">
        <v>0</v>
      </c>
      <c r="I170" s="15"/>
      <c r="J170" s="15"/>
      <c r="K170" s="15">
        <v>0</v>
      </c>
      <c r="L170" s="15">
        <v>0</v>
      </c>
      <c r="M170" s="15"/>
      <c r="N170" s="15"/>
      <c r="O170" s="15"/>
      <c r="P170" s="15"/>
      <c r="Q170" s="15">
        <v>0</v>
      </c>
      <c r="R170" s="15"/>
      <c r="S170" s="15"/>
      <c r="T170" s="13">
        <f t="shared" si="11"/>
        <v>0</v>
      </c>
      <c r="U170" s="5"/>
      <c r="V170" s="5"/>
    </row>
    <row r="171" spans="1:22" ht="12.75" customHeight="1" x14ac:dyDescent="0.4">
      <c r="A171" s="14"/>
      <c r="B171" s="27"/>
      <c r="C171" s="28" t="s">
        <v>148</v>
      </c>
      <c r="D171" s="29"/>
      <c r="E171" s="15"/>
      <c r="F171" s="15"/>
      <c r="G171" s="15"/>
      <c r="H171" s="15">
        <v>0</v>
      </c>
      <c r="I171" s="15"/>
      <c r="J171" s="15"/>
      <c r="K171" s="15">
        <v>0</v>
      </c>
      <c r="L171" s="15">
        <v>0</v>
      </c>
      <c r="M171" s="15"/>
      <c r="N171" s="15"/>
      <c r="O171" s="15"/>
      <c r="P171" s="15"/>
      <c r="Q171" s="15">
        <v>0</v>
      </c>
      <c r="R171" s="15"/>
      <c r="S171" s="15"/>
      <c r="T171" s="13">
        <f t="shared" si="11"/>
        <v>0</v>
      </c>
      <c r="U171" s="5"/>
      <c r="V171" s="5"/>
    </row>
    <row r="172" spans="1:22" ht="12.75" customHeight="1" x14ac:dyDescent="0.4">
      <c r="A172" s="14"/>
      <c r="B172" s="27"/>
      <c r="C172" s="28" t="s">
        <v>149</v>
      </c>
      <c r="D172" s="29"/>
      <c r="E172" s="15"/>
      <c r="F172" s="15"/>
      <c r="G172" s="15"/>
      <c r="H172" s="15">
        <v>0</v>
      </c>
      <c r="I172" s="15"/>
      <c r="J172" s="15"/>
      <c r="K172" s="15">
        <v>0</v>
      </c>
      <c r="L172" s="15">
        <v>0</v>
      </c>
      <c r="M172" s="15"/>
      <c r="N172" s="15"/>
      <c r="O172" s="15"/>
      <c r="P172" s="15"/>
      <c r="Q172" s="15">
        <v>0</v>
      </c>
      <c r="R172" s="15"/>
      <c r="S172" s="15"/>
      <c r="T172" s="13">
        <f t="shared" si="11"/>
        <v>0</v>
      </c>
      <c r="U172" s="5"/>
      <c r="V172" s="5"/>
    </row>
    <row r="173" spans="1:22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S173" si="27">SUM(E166:E172)</f>
        <v>0</v>
      </c>
      <c r="F173" s="13">
        <f t="shared" si="27"/>
        <v>0</v>
      </c>
      <c r="G173" s="13">
        <f t="shared" si="27"/>
        <v>0</v>
      </c>
      <c r="H173" s="13">
        <f t="shared" si="27"/>
        <v>0</v>
      </c>
      <c r="I173" s="13">
        <f t="shared" si="27"/>
        <v>0</v>
      </c>
      <c r="J173" s="13">
        <f t="shared" si="27"/>
        <v>0</v>
      </c>
      <c r="K173" s="13">
        <f t="shared" si="27"/>
        <v>2</v>
      </c>
      <c r="L173" s="13">
        <f t="shared" si="27"/>
        <v>0</v>
      </c>
      <c r="M173" s="13">
        <f t="shared" si="27"/>
        <v>0</v>
      </c>
      <c r="N173" s="13">
        <f t="shared" si="27"/>
        <v>1</v>
      </c>
      <c r="O173" s="13">
        <f t="shared" si="27"/>
        <v>0</v>
      </c>
      <c r="P173" s="13">
        <f t="shared" si="27"/>
        <v>0</v>
      </c>
      <c r="Q173" s="13">
        <f t="shared" si="27"/>
        <v>0</v>
      </c>
      <c r="R173" s="13">
        <f t="shared" si="27"/>
        <v>0</v>
      </c>
      <c r="S173" s="13">
        <f t="shared" si="27"/>
        <v>0</v>
      </c>
      <c r="T173" s="13">
        <f t="shared" si="11"/>
        <v>3</v>
      </c>
      <c r="U173" s="5"/>
      <c r="V173" s="5"/>
    </row>
    <row r="174" spans="1:22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3">
        <f t="shared" si="11"/>
        <v>0</v>
      </c>
      <c r="U174" s="5"/>
      <c r="V174" s="5"/>
    </row>
    <row r="175" spans="1:22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/>
      <c r="F175" s="15">
        <v>2</v>
      </c>
      <c r="G175" s="15">
        <v>0</v>
      </c>
      <c r="H175" s="15">
        <v>2</v>
      </c>
      <c r="I175" s="15">
        <v>1</v>
      </c>
      <c r="J175" s="15">
        <v>4</v>
      </c>
      <c r="K175" s="15">
        <v>1</v>
      </c>
      <c r="L175" s="15">
        <v>0</v>
      </c>
      <c r="M175" s="15">
        <v>1</v>
      </c>
      <c r="N175" s="15">
        <v>5</v>
      </c>
      <c r="O175" s="15"/>
      <c r="P175" s="15"/>
      <c r="Q175" s="15">
        <v>5</v>
      </c>
      <c r="R175" s="15">
        <v>0</v>
      </c>
      <c r="S175" s="15">
        <v>6</v>
      </c>
      <c r="T175" s="13">
        <f t="shared" si="11"/>
        <v>27</v>
      </c>
      <c r="U175" s="5"/>
      <c r="V175" s="5"/>
    </row>
    <row r="176" spans="1:22" ht="12.75" customHeight="1" x14ac:dyDescent="0.4">
      <c r="A176" s="19" t="s">
        <v>39</v>
      </c>
      <c r="B176" s="27"/>
      <c r="C176" s="28" t="s">
        <v>152</v>
      </c>
      <c r="D176" s="29"/>
      <c r="E176" s="15"/>
      <c r="F176" s="15">
        <v>0</v>
      </c>
      <c r="G176" s="15">
        <v>1</v>
      </c>
      <c r="H176" s="15">
        <v>0</v>
      </c>
      <c r="I176" s="15"/>
      <c r="J176" s="15">
        <v>1</v>
      </c>
      <c r="K176" s="15">
        <v>1</v>
      </c>
      <c r="L176" s="15">
        <v>1</v>
      </c>
      <c r="M176" s="15"/>
      <c r="N176" s="15">
        <v>2</v>
      </c>
      <c r="O176" s="15"/>
      <c r="P176" s="15"/>
      <c r="Q176" s="15">
        <v>0</v>
      </c>
      <c r="R176" s="15">
        <v>1</v>
      </c>
      <c r="S176" s="15">
        <v>2</v>
      </c>
      <c r="T176" s="13">
        <f t="shared" si="11"/>
        <v>9</v>
      </c>
      <c r="U176" s="1"/>
      <c r="V176" s="1"/>
    </row>
    <row r="177" spans="1:22" ht="12.75" customHeight="1" x14ac:dyDescent="0.4">
      <c r="A177" s="14"/>
      <c r="B177" s="27"/>
      <c r="C177" s="28" t="s">
        <v>153</v>
      </c>
      <c r="D177" s="29"/>
      <c r="E177" s="15">
        <v>9</v>
      </c>
      <c r="F177" s="15">
        <v>17</v>
      </c>
      <c r="G177" s="15">
        <v>10</v>
      </c>
      <c r="H177" s="15">
        <v>22</v>
      </c>
      <c r="I177" s="15">
        <v>35</v>
      </c>
      <c r="J177" s="15">
        <v>42</v>
      </c>
      <c r="K177" s="15">
        <v>16</v>
      </c>
      <c r="L177" s="15">
        <v>10</v>
      </c>
      <c r="M177" s="15">
        <v>11</v>
      </c>
      <c r="N177" s="15">
        <v>22</v>
      </c>
      <c r="O177" s="15"/>
      <c r="P177" s="15">
        <v>1</v>
      </c>
      <c r="Q177" s="15">
        <v>28</v>
      </c>
      <c r="R177" s="15">
        <v>19</v>
      </c>
      <c r="S177" s="15">
        <v>20</v>
      </c>
      <c r="T177" s="13">
        <f t="shared" si="11"/>
        <v>262</v>
      </c>
    </row>
    <row r="178" spans="1:22" ht="12.75" customHeight="1" x14ac:dyDescent="0.4">
      <c r="A178" s="14"/>
      <c r="B178" s="27"/>
      <c r="C178" s="28" t="s">
        <v>154</v>
      </c>
      <c r="D178" s="29"/>
      <c r="E178" s="15"/>
      <c r="F178" s="15"/>
      <c r="G178" s="15"/>
      <c r="H178" s="15">
        <v>0</v>
      </c>
      <c r="I178" s="15"/>
      <c r="J178" s="15"/>
      <c r="K178" s="15">
        <v>0</v>
      </c>
      <c r="L178" s="15">
        <v>0</v>
      </c>
      <c r="M178" s="15"/>
      <c r="N178" s="15">
        <v>0</v>
      </c>
      <c r="O178" s="15"/>
      <c r="P178" s="15"/>
      <c r="Q178" s="15">
        <v>0</v>
      </c>
      <c r="R178" s="15">
        <v>1</v>
      </c>
      <c r="S178" s="15">
        <v>0</v>
      </c>
      <c r="T178" s="13">
        <f t="shared" si="11"/>
        <v>1</v>
      </c>
      <c r="U178" s="5"/>
      <c r="V178" s="5"/>
    </row>
    <row r="179" spans="1:22" ht="12.75" customHeight="1" x14ac:dyDescent="0.4">
      <c r="A179" s="14"/>
      <c r="B179" s="27"/>
      <c r="C179" s="28" t="s">
        <v>155</v>
      </c>
      <c r="D179" s="29"/>
      <c r="E179" s="15"/>
      <c r="F179" s="15"/>
      <c r="G179" s="15"/>
      <c r="H179" s="15">
        <v>0</v>
      </c>
      <c r="I179" s="15"/>
      <c r="J179" s="15">
        <v>1</v>
      </c>
      <c r="K179" s="15">
        <v>0</v>
      </c>
      <c r="L179" s="15">
        <v>0</v>
      </c>
      <c r="M179" s="15"/>
      <c r="N179" s="15">
        <v>0</v>
      </c>
      <c r="O179" s="15"/>
      <c r="P179" s="15"/>
      <c r="Q179" s="15">
        <v>1</v>
      </c>
      <c r="R179" s="15"/>
      <c r="S179" s="15">
        <v>0</v>
      </c>
      <c r="T179" s="13">
        <f t="shared" si="11"/>
        <v>2</v>
      </c>
      <c r="U179" s="5"/>
      <c r="V179" s="5"/>
    </row>
    <row r="180" spans="1:22" ht="12.75" customHeight="1" x14ac:dyDescent="0.4">
      <c r="A180" s="14"/>
      <c r="B180" s="27"/>
      <c r="C180" s="28" t="s">
        <v>156</v>
      </c>
      <c r="D180" s="29"/>
      <c r="E180" s="15"/>
      <c r="F180" s="15">
        <v>1</v>
      </c>
      <c r="G180" s="15"/>
      <c r="H180" s="15">
        <v>0</v>
      </c>
      <c r="I180" s="15"/>
      <c r="J180" s="15"/>
      <c r="K180" s="15">
        <v>2</v>
      </c>
      <c r="L180" s="15">
        <v>0</v>
      </c>
      <c r="M180" s="15"/>
      <c r="N180" s="15">
        <v>0</v>
      </c>
      <c r="O180" s="15"/>
      <c r="P180" s="15"/>
      <c r="Q180" s="15">
        <v>1</v>
      </c>
      <c r="R180" s="15"/>
      <c r="S180" s="15">
        <v>0</v>
      </c>
      <c r="T180" s="13">
        <f t="shared" si="11"/>
        <v>4</v>
      </c>
      <c r="U180" s="5"/>
      <c r="V180" s="5"/>
    </row>
    <row r="181" spans="1:22" ht="12.75" customHeight="1" x14ac:dyDescent="0.4">
      <c r="A181" s="14"/>
      <c r="B181" s="27"/>
      <c r="C181" s="28" t="s">
        <v>157</v>
      </c>
      <c r="D181" s="29"/>
      <c r="E181" s="15"/>
      <c r="F181" s="15"/>
      <c r="G181" s="15"/>
      <c r="H181" s="15">
        <v>0</v>
      </c>
      <c r="I181" s="15"/>
      <c r="J181" s="15"/>
      <c r="K181" s="15">
        <v>0</v>
      </c>
      <c r="L181" s="15">
        <v>0</v>
      </c>
      <c r="M181" s="15"/>
      <c r="N181" s="15">
        <v>0</v>
      </c>
      <c r="O181" s="15"/>
      <c r="P181" s="15"/>
      <c r="Q181" s="15">
        <v>0</v>
      </c>
      <c r="R181" s="15">
        <v>1</v>
      </c>
      <c r="S181" s="15">
        <v>0</v>
      </c>
      <c r="T181" s="13">
        <f t="shared" si="11"/>
        <v>1</v>
      </c>
      <c r="U181" s="5"/>
      <c r="V181" s="5"/>
    </row>
    <row r="182" spans="1:22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S182" si="28">SUM(E175:E181)</f>
        <v>9</v>
      </c>
      <c r="F182" s="13">
        <f t="shared" si="28"/>
        <v>20</v>
      </c>
      <c r="G182" s="13">
        <f t="shared" si="28"/>
        <v>11</v>
      </c>
      <c r="H182" s="13">
        <f t="shared" si="28"/>
        <v>24</v>
      </c>
      <c r="I182" s="13">
        <f t="shared" si="28"/>
        <v>36</v>
      </c>
      <c r="J182" s="13">
        <f t="shared" si="28"/>
        <v>48</v>
      </c>
      <c r="K182" s="13">
        <f t="shared" si="28"/>
        <v>20</v>
      </c>
      <c r="L182" s="13">
        <f t="shared" si="28"/>
        <v>11</v>
      </c>
      <c r="M182" s="13">
        <f t="shared" si="28"/>
        <v>12</v>
      </c>
      <c r="N182" s="13">
        <f t="shared" si="28"/>
        <v>29</v>
      </c>
      <c r="O182" s="13">
        <f t="shared" si="28"/>
        <v>0</v>
      </c>
      <c r="P182" s="13">
        <f t="shared" si="28"/>
        <v>1</v>
      </c>
      <c r="Q182" s="13">
        <f t="shared" si="28"/>
        <v>35</v>
      </c>
      <c r="R182" s="13">
        <f t="shared" si="28"/>
        <v>22</v>
      </c>
      <c r="S182" s="13">
        <f t="shared" si="28"/>
        <v>28</v>
      </c>
      <c r="T182" s="13">
        <f t="shared" si="11"/>
        <v>306</v>
      </c>
      <c r="U182" s="5"/>
      <c r="V182" s="5"/>
    </row>
    <row r="183" spans="1:22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13">
        <f t="shared" si="11"/>
        <v>0</v>
      </c>
      <c r="U183" s="5"/>
      <c r="V183" s="5"/>
    </row>
    <row r="184" spans="1:22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/>
      <c r="F184" s="15"/>
      <c r="G184" s="15"/>
      <c r="H184" s="15">
        <v>1</v>
      </c>
      <c r="I184" s="15"/>
      <c r="J184" s="15"/>
      <c r="K184" s="15">
        <v>0</v>
      </c>
      <c r="L184" s="15">
        <v>0</v>
      </c>
      <c r="M184" s="15"/>
      <c r="N184" s="15">
        <v>0</v>
      </c>
      <c r="O184" s="15"/>
      <c r="P184" s="15"/>
      <c r="Q184" s="15">
        <v>0</v>
      </c>
      <c r="R184" s="15">
        <v>0</v>
      </c>
      <c r="S184" s="15">
        <v>1</v>
      </c>
      <c r="T184" s="13">
        <f t="shared" si="11"/>
        <v>2</v>
      </c>
      <c r="U184" s="5"/>
      <c r="V184" s="5"/>
    </row>
    <row r="185" spans="1:22" ht="12.75" customHeight="1" x14ac:dyDescent="0.4">
      <c r="A185" s="19" t="s">
        <v>39</v>
      </c>
      <c r="B185" s="27"/>
      <c r="C185" s="28" t="s">
        <v>160</v>
      </c>
      <c r="D185" s="29"/>
      <c r="E185" s="15"/>
      <c r="F185" s="15">
        <v>1</v>
      </c>
      <c r="G185" s="15"/>
      <c r="H185" s="15">
        <v>0</v>
      </c>
      <c r="I185" s="15"/>
      <c r="J185" s="15"/>
      <c r="K185" s="15">
        <v>0</v>
      </c>
      <c r="L185" s="15">
        <v>0</v>
      </c>
      <c r="M185" s="15"/>
      <c r="N185" s="15">
        <v>0</v>
      </c>
      <c r="O185" s="15"/>
      <c r="P185" s="15"/>
      <c r="Q185" s="15">
        <v>0</v>
      </c>
      <c r="R185" s="15">
        <v>0</v>
      </c>
      <c r="S185" s="15">
        <v>0</v>
      </c>
      <c r="T185" s="13">
        <f t="shared" si="11"/>
        <v>1</v>
      </c>
      <c r="U185" s="5"/>
      <c r="V185" s="5"/>
    </row>
    <row r="186" spans="1:22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S186" si="29">SUM(E184:E185)</f>
        <v>0</v>
      </c>
      <c r="F186" s="13">
        <f t="shared" si="29"/>
        <v>1</v>
      </c>
      <c r="G186" s="13">
        <f t="shared" si="29"/>
        <v>0</v>
      </c>
      <c r="H186" s="13">
        <f t="shared" si="29"/>
        <v>1</v>
      </c>
      <c r="I186" s="13">
        <f t="shared" si="29"/>
        <v>0</v>
      </c>
      <c r="J186" s="13">
        <f t="shared" si="29"/>
        <v>0</v>
      </c>
      <c r="K186" s="13">
        <f t="shared" si="29"/>
        <v>0</v>
      </c>
      <c r="L186" s="13">
        <f t="shared" si="29"/>
        <v>0</v>
      </c>
      <c r="M186" s="13">
        <f t="shared" si="29"/>
        <v>0</v>
      </c>
      <c r="N186" s="13">
        <f t="shared" si="29"/>
        <v>0</v>
      </c>
      <c r="O186" s="13">
        <f t="shared" si="29"/>
        <v>0</v>
      </c>
      <c r="P186" s="13">
        <f t="shared" si="29"/>
        <v>0</v>
      </c>
      <c r="Q186" s="13">
        <f t="shared" si="29"/>
        <v>0</v>
      </c>
      <c r="R186" s="13">
        <f t="shared" si="29"/>
        <v>0</v>
      </c>
      <c r="S186" s="13">
        <f t="shared" si="29"/>
        <v>1</v>
      </c>
      <c r="T186" s="13">
        <f t="shared" si="11"/>
        <v>3</v>
      </c>
      <c r="U186" s="5"/>
      <c r="V186" s="5"/>
    </row>
    <row r="187" spans="1:22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>
        <f t="shared" si="11"/>
        <v>0</v>
      </c>
      <c r="U187" s="1"/>
      <c r="V187" s="1"/>
    </row>
    <row r="188" spans="1:22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13">
        <f t="shared" si="11"/>
        <v>0</v>
      </c>
    </row>
    <row r="189" spans="1:22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13">
        <f t="shared" si="11"/>
        <v>0</v>
      </c>
      <c r="U189" s="5"/>
      <c r="V189" s="5"/>
    </row>
    <row r="190" spans="1:22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S190" si="30">E186+E182+E173+E164+E159+E150+E141+E132+E128+E119+E110+E101+E92+E88+E79+E70+E61+E52</f>
        <v>243</v>
      </c>
      <c r="F190" s="15">
        <f t="shared" si="30"/>
        <v>225</v>
      </c>
      <c r="G190" s="15">
        <f t="shared" si="30"/>
        <v>186</v>
      </c>
      <c r="H190" s="15">
        <f t="shared" si="30"/>
        <v>207</v>
      </c>
      <c r="I190" s="15">
        <f t="shared" si="30"/>
        <v>194</v>
      </c>
      <c r="J190" s="15">
        <f t="shared" si="30"/>
        <v>197</v>
      </c>
      <c r="K190" s="15">
        <f t="shared" si="30"/>
        <v>193</v>
      </c>
      <c r="L190" s="15">
        <f t="shared" si="30"/>
        <v>188</v>
      </c>
      <c r="M190" s="15">
        <f t="shared" si="30"/>
        <v>223</v>
      </c>
      <c r="N190" s="15">
        <f t="shared" si="30"/>
        <v>222</v>
      </c>
      <c r="O190" s="15">
        <f t="shared" si="30"/>
        <v>220</v>
      </c>
      <c r="P190" s="15">
        <f t="shared" si="30"/>
        <v>186</v>
      </c>
      <c r="Q190" s="15">
        <f t="shared" si="30"/>
        <v>218</v>
      </c>
      <c r="R190" s="15">
        <f t="shared" si="30"/>
        <v>212</v>
      </c>
      <c r="S190" s="15">
        <f t="shared" si="30"/>
        <v>201</v>
      </c>
      <c r="T190" s="13">
        <f t="shared" si="11"/>
        <v>3115</v>
      </c>
      <c r="U190" s="5"/>
      <c r="V190" s="5"/>
    </row>
    <row r="191" spans="1:22" ht="12.75" customHeight="1" x14ac:dyDescent="0.4">
      <c r="A191" s="21"/>
      <c r="B191" s="39" t="s">
        <v>165</v>
      </c>
      <c r="C191" s="79" t="s">
        <v>166</v>
      </c>
      <c r="D191" s="55"/>
      <c r="E191" s="15">
        <v>12</v>
      </c>
      <c r="F191" s="15">
        <v>12</v>
      </c>
      <c r="G191" s="15">
        <v>15</v>
      </c>
      <c r="H191" s="15">
        <v>7</v>
      </c>
      <c r="I191" s="15">
        <v>10</v>
      </c>
      <c r="J191" s="15">
        <v>9</v>
      </c>
      <c r="K191" s="15">
        <v>7</v>
      </c>
      <c r="L191" s="15">
        <v>11</v>
      </c>
      <c r="M191" s="15">
        <v>15</v>
      </c>
      <c r="N191" s="15">
        <v>10</v>
      </c>
      <c r="O191" s="15">
        <v>5</v>
      </c>
      <c r="P191" s="15">
        <v>4</v>
      </c>
      <c r="Q191" s="15">
        <v>13</v>
      </c>
      <c r="R191" s="15">
        <v>10</v>
      </c>
      <c r="S191" s="15">
        <v>15</v>
      </c>
      <c r="T191" s="13">
        <f t="shared" si="11"/>
        <v>155</v>
      </c>
      <c r="U191" s="5"/>
      <c r="V191" s="5"/>
    </row>
    <row r="192" spans="1:22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S192" si="31">E190+E191</f>
        <v>255</v>
      </c>
      <c r="F192" s="15">
        <f t="shared" si="31"/>
        <v>237</v>
      </c>
      <c r="G192" s="15">
        <f t="shared" si="31"/>
        <v>201</v>
      </c>
      <c r="H192" s="15">
        <f t="shared" si="31"/>
        <v>214</v>
      </c>
      <c r="I192" s="15">
        <f t="shared" si="31"/>
        <v>204</v>
      </c>
      <c r="J192" s="15">
        <f t="shared" si="31"/>
        <v>206</v>
      </c>
      <c r="K192" s="15">
        <f t="shared" si="31"/>
        <v>200</v>
      </c>
      <c r="L192" s="15">
        <f t="shared" si="31"/>
        <v>199</v>
      </c>
      <c r="M192" s="15">
        <f t="shared" si="31"/>
        <v>238</v>
      </c>
      <c r="N192" s="15">
        <f t="shared" si="31"/>
        <v>232</v>
      </c>
      <c r="O192" s="15">
        <f t="shared" si="31"/>
        <v>225</v>
      </c>
      <c r="P192" s="15">
        <f t="shared" si="31"/>
        <v>190</v>
      </c>
      <c r="Q192" s="15">
        <f t="shared" si="31"/>
        <v>231</v>
      </c>
      <c r="R192" s="15">
        <f t="shared" si="31"/>
        <v>222</v>
      </c>
      <c r="S192" s="15">
        <f t="shared" si="31"/>
        <v>216</v>
      </c>
      <c r="T192" s="13">
        <f t="shared" si="11"/>
        <v>3270</v>
      </c>
      <c r="U192" s="5"/>
      <c r="V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S12"/>
    <mergeCell ref="T12:T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S13">
    <cfRule type="expression" dxfId="109" priority="28">
      <formula>E30=E192</formula>
    </cfRule>
  </conditionalFormatting>
  <conditionalFormatting sqref="E14:S15">
    <cfRule type="containsBlanks" dxfId="108" priority="2">
      <formula>LEN(TRIM(E14))=0</formula>
    </cfRule>
  </conditionalFormatting>
  <conditionalFormatting sqref="E19:S20">
    <cfRule type="containsBlanks" dxfId="107" priority="3">
      <formula>LEN(TRIM(E19))=0</formula>
    </cfRule>
  </conditionalFormatting>
  <conditionalFormatting sqref="E22:S23 E25:S26 E33:S33 E35:S35 E39:S40">
    <cfRule type="containsBlanks" dxfId="106" priority="4">
      <formula>LEN(TRIM(E22))=0</formula>
    </cfRule>
  </conditionalFormatting>
  <conditionalFormatting sqref="E30:S30">
    <cfRule type="expression" dxfId="105" priority="5">
      <formula>E30&lt;&gt;E47</formula>
    </cfRule>
    <cfRule type="expression" dxfId="104" priority="6">
      <formula>E30&lt;&gt;E34</formula>
    </cfRule>
  </conditionalFormatting>
  <conditionalFormatting sqref="E34:S34">
    <cfRule type="expression" dxfId="103" priority="7">
      <formula>E30&lt;&gt;E34</formula>
    </cfRule>
    <cfRule type="expression" dxfId="102" priority="8">
      <formula>E30=E34</formula>
    </cfRule>
  </conditionalFormatting>
  <conditionalFormatting sqref="E45:S52 E54:S61">
    <cfRule type="containsBlanks" dxfId="101" priority="10">
      <formula>LEN(TRIM(E45))=0</formula>
    </cfRule>
  </conditionalFormatting>
  <conditionalFormatting sqref="E63:S70">
    <cfRule type="containsBlanks" dxfId="100" priority="11">
      <formula>LEN(TRIM(E63))=0</formula>
    </cfRule>
  </conditionalFormatting>
  <conditionalFormatting sqref="E72:S79">
    <cfRule type="containsBlanks" dxfId="99" priority="12">
      <formula>LEN(TRIM(E72))=0</formula>
    </cfRule>
  </conditionalFormatting>
  <conditionalFormatting sqref="E81:S88">
    <cfRule type="containsBlanks" dxfId="98" priority="13">
      <formula>LEN(TRIM(E81))=0</formula>
    </cfRule>
  </conditionalFormatting>
  <conditionalFormatting sqref="E90:S91">
    <cfRule type="containsBlanks" dxfId="97" priority="14">
      <formula>LEN(TRIM(E90))=0</formula>
    </cfRule>
  </conditionalFormatting>
  <conditionalFormatting sqref="E94:S101">
    <cfRule type="containsBlanks" dxfId="96" priority="15">
      <formula>LEN(TRIM(E94))=0</formula>
    </cfRule>
  </conditionalFormatting>
  <conditionalFormatting sqref="E103:S110">
    <cfRule type="containsBlanks" dxfId="95" priority="16">
      <formula>LEN(TRIM(E103))=0</formula>
    </cfRule>
  </conditionalFormatting>
  <conditionalFormatting sqref="E112:S119">
    <cfRule type="containsBlanks" dxfId="94" priority="17">
      <formula>LEN(TRIM(E112))=0</formula>
    </cfRule>
  </conditionalFormatting>
  <conditionalFormatting sqref="E121:S128">
    <cfRule type="containsBlanks" dxfId="93" priority="18">
      <formula>LEN(TRIM(E121))=0</formula>
    </cfRule>
  </conditionalFormatting>
  <conditionalFormatting sqref="E130:S132">
    <cfRule type="containsBlanks" dxfId="92" priority="19">
      <formula>LEN(TRIM(E130))=0</formula>
    </cfRule>
  </conditionalFormatting>
  <conditionalFormatting sqref="E134:S141">
    <cfRule type="containsBlanks" dxfId="91" priority="20">
      <formula>LEN(TRIM(E134))=0</formula>
    </cfRule>
  </conditionalFormatting>
  <conditionalFormatting sqref="E143:S150">
    <cfRule type="containsBlanks" dxfId="90" priority="21">
      <formula>LEN(TRIM(E143))=0</formula>
    </cfRule>
  </conditionalFormatting>
  <conditionalFormatting sqref="E152:S159">
    <cfRule type="containsBlanks" dxfId="89" priority="22">
      <formula>LEN(TRIM(E152))=0</formula>
    </cfRule>
  </conditionalFormatting>
  <conditionalFormatting sqref="E161:S163">
    <cfRule type="containsBlanks" dxfId="88" priority="23">
      <formula>LEN(TRIM(E161))=0</formula>
    </cfRule>
  </conditionalFormatting>
  <conditionalFormatting sqref="E166:S173">
    <cfRule type="containsBlanks" dxfId="87" priority="24">
      <formula>LEN(TRIM(E166))=0</formula>
    </cfRule>
  </conditionalFormatting>
  <conditionalFormatting sqref="E175:S182">
    <cfRule type="containsBlanks" dxfId="86" priority="25">
      <formula>LEN(TRIM(E175))=0</formula>
    </cfRule>
  </conditionalFormatting>
  <conditionalFormatting sqref="E184:S186">
    <cfRule type="containsBlanks" dxfId="85" priority="26">
      <formula>LEN(TRIM(E184))=0</formula>
    </cfRule>
  </conditionalFormatting>
  <conditionalFormatting sqref="E190:S192">
    <cfRule type="containsBlanks" dxfId="84" priority="27">
      <formula>LEN(TRIM(E190))=0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workbookViewId="0">
      <pane ySplit="13" topLeftCell="A14" activePane="bottomLeft" state="frozen"/>
      <selection pane="bottomLeft" activeCell="B15" sqref="B15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15" width="8.7109375" customWidth="1"/>
    <col min="16" max="16" width="13.28515625" customWidth="1"/>
    <col min="17" max="26" width="8.7109375" customWidth="1"/>
  </cols>
  <sheetData>
    <row r="1" spans="1:16" ht="12.75" customHeight="1" x14ac:dyDescent="0.4"/>
    <row r="2" spans="1:16" ht="12.75" customHeight="1" x14ac:dyDescent="0.4">
      <c r="C2" s="8" t="s">
        <v>0</v>
      </c>
      <c r="D2" s="8" t="s">
        <v>1</v>
      </c>
    </row>
    <row r="3" spans="1:16" ht="12.75" customHeight="1" x14ac:dyDescent="0.4">
      <c r="C3" s="8" t="s">
        <v>2</v>
      </c>
      <c r="D3" s="8" t="s">
        <v>3</v>
      </c>
    </row>
    <row r="4" spans="1:16" ht="12.75" customHeight="1" x14ac:dyDescent="0.4">
      <c r="C4" s="8" t="s">
        <v>4</v>
      </c>
      <c r="D4" s="8" t="s">
        <v>5</v>
      </c>
    </row>
    <row r="5" spans="1:16" ht="12.75" customHeight="1" x14ac:dyDescent="0.4">
      <c r="C5" s="8"/>
      <c r="D5" s="8"/>
    </row>
    <row r="6" spans="1:16" ht="12.75" customHeight="1" x14ac:dyDescent="0.4">
      <c r="C6" s="8"/>
      <c r="D6" s="8"/>
    </row>
    <row r="7" spans="1:16" ht="12.75" customHeight="1" x14ac:dyDescent="0.4">
      <c r="C7" s="8"/>
      <c r="D7" s="8"/>
    </row>
    <row r="8" spans="1:16" ht="12.75" customHeight="1" x14ac:dyDescent="0.4">
      <c r="C8" s="8"/>
      <c r="D8" s="8"/>
    </row>
    <row r="9" spans="1:16" ht="12.75" customHeight="1" x14ac:dyDescent="0.4">
      <c r="C9" s="8" t="s">
        <v>169</v>
      </c>
      <c r="D9" s="8" t="s">
        <v>204</v>
      </c>
    </row>
    <row r="10" spans="1:16" ht="12.75" customHeight="1" x14ac:dyDescent="0.4"/>
    <row r="11" spans="1:16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6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81" t="s">
        <v>8</v>
      </c>
    </row>
    <row r="13" spans="1:16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69"/>
    </row>
    <row r="14" spans="1:16" ht="12.75" customHeight="1" x14ac:dyDescent="0.4">
      <c r="A14" s="14"/>
      <c r="B14" s="61" t="s">
        <v>11</v>
      </c>
      <c r="C14" s="62"/>
      <c r="D14" s="15" t="s">
        <v>12</v>
      </c>
      <c r="E14" s="47">
        <v>144</v>
      </c>
      <c r="F14" s="47">
        <v>103</v>
      </c>
      <c r="G14" s="47">
        <v>108</v>
      </c>
      <c r="H14" s="47">
        <v>112</v>
      </c>
      <c r="I14" s="47">
        <v>127</v>
      </c>
      <c r="J14" s="47">
        <v>153</v>
      </c>
      <c r="K14" s="47">
        <v>123</v>
      </c>
      <c r="L14" s="47">
        <v>145</v>
      </c>
      <c r="M14" s="47">
        <v>135</v>
      </c>
      <c r="N14" s="47">
        <v>118</v>
      </c>
      <c r="O14" s="47">
        <v>109</v>
      </c>
      <c r="P14" s="13">
        <f t="shared" ref="P14:P16" si="0">SUM(E14:O14)</f>
        <v>1377</v>
      </c>
    </row>
    <row r="15" spans="1:16" ht="12.75" customHeight="1" x14ac:dyDescent="0.4">
      <c r="A15" s="14"/>
      <c r="B15" s="63"/>
      <c r="C15" s="64"/>
      <c r="D15" s="15" t="s">
        <v>13</v>
      </c>
      <c r="E15" s="47">
        <v>130</v>
      </c>
      <c r="F15" s="47">
        <v>96</v>
      </c>
      <c r="G15" s="47">
        <v>103</v>
      </c>
      <c r="H15" s="47">
        <v>110</v>
      </c>
      <c r="I15" s="47">
        <v>120</v>
      </c>
      <c r="J15" s="47">
        <v>143</v>
      </c>
      <c r="K15" s="47">
        <v>123</v>
      </c>
      <c r="L15" s="47">
        <v>144</v>
      </c>
      <c r="M15" s="47">
        <v>137</v>
      </c>
      <c r="N15" s="47">
        <v>111</v>
      </c>
      <c r="O15" s="47">
        <v>116</v>
      </c>
      <c r="P15" s="13">
        <f t="shared" si="0"/>
        <v>1333</v>
      </c>
    </row>
    <row r="16" spans="1:16" ht="12.75" customHeight="1" x14ac:dyDescent="0.4">
      <c r="A16" s="17"/>
      <c r="B16" s="59"/>
      <c r="C16" s="65"/>
      <c r="D16" s="13" t="s">
        <v>14</v>
      </c>
      <c r="E16" s="48">
        <f t="shared" ref="E16:O16" si="1">SUM(E14:E15)</f>
        <v>274</v>
      </c>
      <c r="F16" s="48">
        <f t="shared" si="1"/>
        <v>199</v>
      </c>
      <c r="G16" s="48">
        <f t="shared" si="1"/>
        <v>211</v>
      </c>
      <c r="H16" s="48">
        <f t="shared" si="1"/>
        <v>222</v>
      </c>
      <c r="I16" s="48">
        <f t="shared" si="1"/>
        <v>247</v>
      </c>
      <c r="J16" s="48">
        <f t="shared" si="1"/>
        <v>296</v>
      </c>
      <c r="K16" s="48">
        <f t="shared" si="1"/>
        <v>246</v>
      </c>
      <c r="L16" s="48">
        <f t="shared" si="1"/>
        <v>289</v>
      </c>
      <c r="M16" s="48">
        <f t="shared" si="1"/>
        <v>272</v>
      </c>
      <c r="N16" s="48">
        <f t="shared" si="1"/>
        <v>229</v>
      </c>
      <c r="O16" s="48">
        <f t="shared" si="1"/>
        <v>225</v>
      </c>
      <c r="P16" s="13">
        <f t="shared" si="0"/>
        <v>2710</v>
      </c>
    </row>
    <row r="17" spans="1:16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3"/>
    </row>
    <row r="18" spans="1:16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3"/>
    </row>
    <row r="19" spans="1:16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117</v>
      </c>
      <c r="F19" s="47">
        <v>75</v>
      </c>
      <c r="G19" s="47">
        <v>75</v>
      </c>
      <c r="H19" s="47">
        <v>85</v>
      </c>
      <c r="I19" s="47">
        <v>98</v>
      </c>
      <c r="J19" s="47">
        <v>115</v>
      </c>
      <c r="K19" s="47">
        <v>92</v>
      </c>
      <c r="L19" s="47">
        <v>101</v>
      </c>
      <c r="M19" s="47">
        <v>89</v>
      </c>
      <c r="N19" s="47">
        <v>95</v>
      </c>
      <c r="O19" s="47">
        <v>81</v>
      </c>
      <c r="P19" s="13">
        <f t="shared" ref="P19:P30" si="2">SUM(E19:O19)</f>
        <v>1023</v>
      </c>
    </row>
    <row r="20" spans="1:16" ht="12.75" customHeight="1" x14ac:dyDescent="0.4">
      <c r="A20" s="20"/>
      <c r="B20" s="64"/>
      <c r="C20" s="68"/>
      <c r="D20" s="15" t="s">
        <v>13</v>
      </c>
      <c r="E20" s="47">
        <v>112</v>
      </c>
      <c r="F20" s="47">
        <v>79</v>
      </c>
      <c r="G20" s="47">
        <v>89</v>
      </c>
      <c r="H20" s="47">
        <v>92</v>
      </c>
      <c r="I20" s="47">
        <v>99</v>
      </c>
      <c r="J20" s="47">
        <v>118</v>
      </c>
      <c r="K20" s="47">
        <v>103</v>
      </c>
      <c r="L20" s="47">
        <v>120</v>
      </c>
      <c r="M20" s="47">
        <v>110</v>
      </c>
      <c r="N20" s="47">
        <v>93</v>
      </c>
      <c r="O20" s="47">
        <v>104</v>
      </c>
      <c r="P20" s="13">
        <f t="shared" si="2"/>
        <v>1119</v>
      </c>
    </row>
    <row r="21" spans="1:16" ht="12.75" customHeight="1" x14ac:dyDescent="0.4">
      <c r="A21" s="21"/>
      <c r="B21" s="65"/>
      <c r="C21" s="69"/>
      <c r="D21" s="13" t="s">
        <v>14</v>
      </c>
      <c r="E21" s="48">
        <f t="shared" ref="E21:O21" si="3">SUM(E19:E20)</f>
        <v>229</v>
      </c>
      <c r="F21" s="48">
        <f t="shared" si="3"/>
        <v>154</v>
      </c>
      <c r="G21" s="48">
        <f t="shared" si="3"/>
        <v>164</v>
      </c>
      <c r="H21" s="48">
        <f t="shared" si="3"/>
        <v>177</v>
      </c>
      <c r="I21" s="48">
        <f t="shared" si="3"/>
        <v>197</v>
      </c>
      <c r="J21" s="48">
        <f t="shared" si="3"/>
        <v>233</v>
      </c>
      <c r="K21" s="48">
        <f t="shared" si="3"/>
        <v>195</v>
      </c>
      <c r="L21" s="48">
        <f t="shared" si="3"/>
        <v>221</v>
      </c>
      <c r="M21" s="48">
        <f t="shared" si="3"/>
        <v>199</v>
      </c>
      <c r="N21" s="48">
        <f t="shared" si="3"/>
        <v>188</v>
      </c>
      <c r="O21" s="48">
        <f t="shared" si="3"/>
        <v>185</v>
      </c>
      <c r="P21" s="13">
        <f t="shared" si="2"/>
        <v>2142</v>
      </c>
    </row>
    <row r="22" spans="1:16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1</v>
      </c>
      <c r="G22" s="47">
        <v>0</v>
      </c>
      <c r="H22" s="47">
        <v>1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13">
        <f t="shared" si="2"/>
        <v>2</v>
      </c>
    </row>
    <row r="23" spans="1:16" ht="12.75" customHeight="1" x14ac:dyDescent="0.4">
      <c r="A23" s="20"/>
      <c r="B23" s="64"/>
      <c r="C23" s="68"/>
      <c r="D23" s="15" t="s">
        <v>13</v>
      </c>
      <c r="E23" s="47">
        <v>1</v>
      </c>
      <c r="F23" s="47">
        <v>1</v>
      </c>
      <c r="G23" s="47">
        <v>0</v>
      </c>
      <c r="H23" s="47">
        <v>0</v>
      </c>
      <c r="I23" s="47">
        <v>0</v>
      </c>
      <c r="J23" s="47">
        <v>1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13">
        <f t="shared" si="2"/>
        <v>3</v>
      </c>
    </row>
    <row r="24" spans="1:16" ht="12.75" customHeight="1" x14ac:dyDescent="0.4">
      <c r="A24" s="21"/>
      <c r="B24" s="65"/>
      <c r="C24" s="69"/>
      <c r="D24" s="13" t="s">
        <v>14</v>
      </c>
      <c r="E24" s="48">
        <f t="shared" ref="E24:O24" si="4">SUM(E22:E23)</f>
        <v>1</v>
      </c>
      <c r="F24" s="48">
        <f t="shared" si="4"/>
        <v>2</v>
      </c>
      <c r="G24" s="48">
        <f t="shared" si="4"/>
        <v>0</v>
      </c>
      <c r="H24" s="48">
        <f t="shared" si="4"/>
        <v>1</v>
      </c>
      <c r="I24" s="48">
        <f t="shared" si="4"/>
        <v>0</v>
      </c>
      <c r="J24" s="48">
        <f t="shared" si="4"/>
        <v>1</v>
      </c>
      <c r="K24" s="48">
        <f t="shared" si="4"/>
        <v>0</v>
      </c>
      <c r="L24" s="48">
        <f t="shared" si="4"/>
        <v>0</v>
      </c>
      <c r="M24" s="48">
        <f t="shared" si="4"/>
        <v>0</v>
      </c>
      <c r="N24" s="48">
        <f t="shared" si="4"/>
        <v>0</v>
      </c>
      <c r="O24" s="48">
        <f t="shared" si="4"/>
        <v>0</v>
      </c>
      <c r="P24" s="13">
        <f t="shared" si="2"/>
        <v>5</v>
      </c>
    </row>
    <row r="25" spans="1:16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0</v>
      </c>
      <c r="G25" s="47">
        <v>0</v>
      </c>
      <c r="H25" s="47">
        <v>1</v>
      </c>
      <c r="I25" s="47">
        <v>0</v>
      </c>
      <c r="J25" s="47">
        <v>1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13">
        <f t="shared" si="2"/>
        <v>2</v>
      </c>
    </row>
    <row r="26" spans="1:16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0</v>
      </c>
      <c r="G26" s="47">
        <v>1</v>
      </c>
      <c r="H26" s="47">
        <v>0</v>
      </c>
      <c r="I26" s="47">
        <v>1</v>
      </c>
      <c r="J26" s="47">
        <v>1</v>
      </c>
      <c r="K26" s="47">
        <v>0</v>
      </c>
      <c r="L26" s="47">
        <v>0</v>
      </c>
      <c r="M26" s="47">
        <v>1</v>
      </c>
      <c r="N26" s="47">
        <v>2</v>
      </c>
      <c r="O26" s="47">
        <v>0</v>
      </c>
      <c r="P26" s="13">
        <f t="shared" si="2"/>
        <v>6</v>
      </c>
    </row>
    <row r="27" spans="1:16" ht="12.75" customHeight="1" x14ac:dyDescent="0.4">
      <c r="A27" s="21"/>
      <c r="B27" s="65"/>
      <c r="C27" s="69"/>
      <c r="D27" s="13" t="s">
        <v>14</v>
      </c>
      <c r="E27" s="48">
        <f t="shared" ref="E27:O27" si="5">SUM(E25:E26)</f>
        <v>0</v>
      </c>
      <c r="F27" s="48">
        <f t="shared" si="5"/>
        <v>0</v>
      </c>
      <c r="G27" s="48">
        <f t="shared" si="5"/>
        <v>1</v>
      </c>
      <c r="H27" s="48">
        <f t="shared" si="5"/>
        <v>1</v>
      </c>
      <c r="I27" s="48">
        <f t="shared" si="5"/>
        <v>1</v>
      </c>
      <c r="J27" s="48">
        <f t="shared" si="5"/>
        <v>2</v>
      </c>
      <c r="K27" s="48">
        <f t="shared" si="5"/>
        <v>0</v>
      </c>
      <c r="L27" s="48">
        <f t="shared" si="5"/>
        <v>0</v>
      </c>
      <c r="M27" s="48">
        <f t="shared" si="5"/>
        <v>1</v>
      </c>
      <c r="N27" s="48">
        <f t="shared" si="5"/>
        <v>2</v>
      </c>
      <c r="O27" s="48">
        <f t="shared" si="5"/>
        <v>0</v>
      </c>
      <c r="P27" s="13">
        <f t="shared" si="2"/>
        <v>8</v>
      </c>
    </row>
    <row r="28" spans="1:16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v>117</v>
      </c>
      <c r="F28" s="48">
        <v>76</v>
      </c>
      <c r="G28" s="48">
        <v>75</v>
      </c>
      <c r="H28" s="48">
        <v>87</v>
      </c>
      <c r="I28" s="48">
        <v>98</v>
      </c>
      <c r="J28" s="48">
        <v>116</v>
      </c>
      <c r="K28" s="48">
        <v>92</v>
      </c>
      <c r="L28" s="48">
        <v>101</v>
      </c>
      <c r="M28" s="48">
        <v>89</v>
      </c>
      <c r="N28" s="48">
        <v>95</v>
      </c>
      <c r="O28" s="48">
        <v>81</v>
      </c>
      <c r="P28" s="13">
        <f t="shared" si="2"/>
        <v>1027</v>
      </c>
    </row>
    <row r="29" spans="1:16" ht="12.75" customHeight="1" x14ac:dyDescent="0.4">
      <c r="A29" s="21"/>
      <c r="B29" s="64"/>
      <c r="C29" s="68"/>
      <c r="D29" s="13" t="s">
        <v>13</v>
      </c>
      <c r="E29" s="48">
        <v>113</v>
      </c>
      <c r="F29" s="48">
        <v>80</v>
      </c>
      <c r="G29" s="48">
        <v>90</v>
      </c>
      <c r="H29" s="48">
        <v>92</v>
      </c>
      <c r="I29" s="48">
        <v>100</v>
      </c>
      <c r="J29" s="48">
        <v>120</v>
      </c>
      <c r="K29" s="48">
        <v>103</v>
      </c>
      <c r="L29" s="48">
        <v>120</v>
      </c>
      <c r="M29" s="48">
        <v>111</v>
      </c>
      <c r="N29" s="48">
        <v>95</v>
      </c>
      <c r="O29" s="48">
        <v>104</v>
      </c>
      <c r="P29" s="13">
        <f t="shared" si="2"/>
        <v>1128</v>
      </c>
    </row>
    <row r="30" spans="1:16" ht="12.75" customHeight="1" x14ac:dyDescent="0.4">
      <c r="A30" s="21"/>
      <c r="B30" s="65"/>
      <c r="C30" s="69"/>
      <c r="D30" s="13" t="s">
        <v>14</v>
      </c>
      <c r="E30" s="50">
        <f t="shared" ref="E30:O30" si="6">SUM(E28:E29)</f>
        <v>230</v>
      </c>
      <c r="F30" s="50">
        <f t="shared" si="6"/>
        <v>156</v>
      </c>
      <c r="G30" s="50">
        <f t="shared" si="6"/>
        <v>165</v>
      </c>
      <c r="H30" s="50">
        <f t="shared" si="6"/>
        <v>179</v>
      </c>
      <c r="I30" s="50">
        <f t="shared" si="6"/>
        <v>198</v>
      </c>
      <c r="J30" s="50">
        <f t="shared" si="6"/>
        <v>236</v>
      </c>
      <c r="K30" s="50">
        <f t="shared" si="6"/>
        <v>195</v>
      </c>
      <c r="L30" s="50">
        <f t="shared" si="6"/>
        <v>221</v>
      </c>
      <c r="M30" s="50">
        <f t="shared" si="6"/>
        <v>200</v>
      </c>
      <c r="N30" s="50">
        <f t="shared" si="6"/>
        <v>190</v>
      </c>
      <c r="O30" s="50">
        <f t="shared" si="6"/>
        <v>185</v>
      </c>
      <c r="P30" s="13">
        <f t="shared" si="2"/>
        <v>2155</v>
      </c>
    </row>
    <row r="31" spans="1:16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3"/>
    </row>
    <row r="32" spans="1:16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3"/>
    </row>
    <row r="33" spans="1:16" ht="12.75" customHeight="1" x14ac:dyDescent="0.4">
      <c r="A33" s="15">
        <v>1</v>
      </c>
      <c r="B33" s="60" t="s">
        <v>27</v>
      </c>
      <c r="C33" s="54"/>
      <c r="D33" s="55"/>
      <c r="E33" s="47">
        <v>280</v>
      </c>
      <c r="F33" s="47">
        <v>203</v>
      </c>
      <c r="G33" s="47">
        <v>216</v>
      </c>
      <c r="H33" s="47">
        <v>227</v>
      </c>
      <c r="I33" s="47">
        <v>252</v>
      </c>
      <c r="J33" s="47">
        <v>302</v>
      </c>
      <c r="K33" s="47">
        <v>251</v>
      </c>
      <c r="L33" s="47">
        <v>295</v>
      </c>
      <c r="M33" s="47">
        <v>278</v>
      </c>
      <c r="N33" s="47">
        <v>234</v>
      </c>
      <c r="O33" s="47">
        <v>230</v>
      </c>
      <c r="P33" s="13">
        <f t="shared" ref="P33:P36" si="7">SUM(E33:O33)</f>
        <v>2768</v>
      </c>
    </row>
    <row r="34" spans="1:16" ht="12.75" customHeight="1" x14ac:dyDescent="0.4">
      <c r="A34" s="15">
        <v>2</v>
      </c>
      <c r="B34" s="60" t="s">
        <v>28</v>
      </c>
      <c r="C34" s="54"/>
      <c r="D34" s="55"/>
      <c r="E34" s="51">
        <v>230</v>
      </c>
      <c r="F34" s="51">
        <v>156</v>
      </c>
      <c r="G34" s="51">
        <v>165</v>
      </c>
      <c r="H34" s="51">
        <v>179</v>
      </c>
      <c r="I34" s="51">
        <v>198</v>
      </c>
      <c r="J34" s="51">
        <v>236</v>
      </c>
      <c r="K34" s="51">
        <v>195</v>
      </c>
      <c r="L34" s="51">
        <v>221</v>
      </c>
      <c r="M34" s="51">
        <v>200</v>
      </c>
      <c r="N34" s="51">
        <v>190</v>
      </c>
      <c r="O34" s="51">
        <v>185</v>
      </c>
      <c r="P34" s="13">
        <f t="shared" si="7"/>
        <v>2155</v>
      </c>
    </row>
    <row r="35" spans="1:16" ht="12.75" customHeight="1" x14ac:dyDescent="0.4">
      <c r="A35" s="15">
        <v>3</v>
      </c>
      <c r="B35" s="60" t="s">
        <v>29</v>
      </c>
      <c r="C35" s="54"/>
      <c r="D35" s="55"/>
      <c r="E35" s="47">
        <v>2</v>
      </c>
      <c r="F35" s="47">
        <v>0</v>
      </c>
      <c r="G35" s="47">
        <v>0</v>
      </c>
      <c r="H35" s="47">
        <v>0</v>
      </c>
      <c r="I35" s="47">
        <v>0</v>
      </c>
      <c r="J35" s="47">
        <v>2</v>
      </c>
      <c r="K35" s="47">
        <v>0</v>
      </c>
      <c r="L35" s="47">
        <v>1</v>
      </c>
      <c r="M35" s="47">
        <v>0</v>
      </c>
      <c r="N35" s="47">
        <v>0</v>
      </c>
      <c r="O35" s="47">
        <v>0</v>
      </c>
      <c r="P35" s="13">
        <f t="shared" si="7"/>
        <v>5</v>
      </c>
    </row>
    <row r="36" spans="1:16" ht="12.75" customHeight="1" x14ac:dyDescent="0.4">
      <c r="A36" s="15">
        <v>4</v>
      </c>
      <c r="B36" s="60" t="s">
        <v>30</v>
      </c>
      <c r="C36" s="54"/>
      <c r="D36" s="55"/>
      <c r="E36" s="48">
        <f t="shared" ref="E36:O36" si="8">E33-(E34+E35)</f>
        <v>48</v>
      </c>
      <c r="F36" s="48">
        <f t="shared" si="8"/>
        <v>47</v>
      </c>
      <c r="G36" s="48">
        <f t="shared" si="8"/>
        <v>51</v>
      </c>
      <c r="H36" s="48">
        <f t="shared" si="8"/>
        <v>48</v>
      </c>
      <c r="I36" s="48">
        <f t="shared" si="8"/>
        <v>54</v>
      </c>
      <c r="J36" s="48">
        <f t="shared" si="8"/>
        <v>64</v>
      </c>
      <c r="K36" s="48">
        <f t="shared" si="8"/>
        <v>56</v>
      </c>
      <c r="L36" s="48">
        <f t="shared" si="8"/>
        <v>73</v>
      </c>
      <c r="M36" s="48">
        <f t="shared" si="8"/>
        <v>78</v>
      </c>
      <c r="N36" s="48">
        <f t="shared" si="8"/>
        <v>44</v>
      </c>
      <c r="O36" s="48">
        <f t="shared" si="8"/>
        <v>45</v>
      </c>
      <c r="P36" s="13">
        <f t="shared" si="7"/>
        <v>608</v>
      </c>
    </row>
    <row r="37" spans="1:16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5"/>
      <c r="J37" s="49"/>
      <c r="K37" s="49"/>
      <c r="L37" s="49"/>
      <c r="M37" s="49"/>
      <c r="N37" s="49"/>
      <c r="O37" s="49"/>
      <c r="P37" s="43"/>
    </row>
    <row r="38" spans="1:16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3"/>
    </row>
    <row r="39" spans="1:16" ht="12.75" customHeight="1" x14ac:dyDescent="0.4">
      <c r="A39" s="19"/>
      <c r="B39" s="73" t="s">
        <v>33</v>
      </c>
      <c r="C39" s="62"/>
      <c r="D39" s="15" t="s">
        <v>12</v>
      </c>
      <c r="E39" s="47">
        <v>0</v>
      </c>
      <c r="F39" s="47">
        <v>0</v>
      </c>
      <c r="G39" s="47">
        <v>0</v>
      </c>
      <c r="H39" s="47">
        <v>0</v>
      </c>
      <c r="I39" s="47">
        <v>1</v>
      </c>
      <c r="J39" s="47">
        <v>0</v>
      </c>
      <c r="K39" s="47">
        <v>0</v>
      </c>
      <c r="L39" s="47">
        <v>0</v>
      </c>
      <c r="M39" s="47">
        <v>0</v>
      </c>
      <c r="N39" s="47">
        <v>1</v>
      </c>
      <c r="O39" s="47">
        <v>1</v>
      </c>
      <c r="P39" s="13">
        <f t="shared" ref="P39:P41" si="9">SUM(E39:O39)</f>
        <v>3</v>
      </c>
    </row>
    <row r="40" spans="1:16" ht="12.75" customHeight="1" x14ac:dyDescent="0.4">
      <c r="A40" s="20"/>
      <c r="B40" s="74"/>
      <c r="C40" s="64"/>
      <c r="D40" s="15" t="s">
        <v>13</v>
      </c>
      <c r="E40" s="47">
        <v>1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1</v>
      </c>
      <c r="P40" s="13">
        <f t="shared" si="9"/>
        <v>2</v>
      </c>
    </row>
    <row r="41" spans="1:16" ht="12.75" customHeight="1" x14ac:dyDescent="0.4">
      <c r="A41" s="24"/>
      <c r="B41" s="75"/>
      <c r="C41" s="65"/>
      <c r="D41" s="13" t="s">
        <v>14</v>
      </c>
      <c r="E41" s="13">
        <f t="shared" ref="E41:O41" si="10">SUM(E39:E40)</f>
        <v>1</v>
      </c>
      <c r="F41" s="13">
        <f t="shared" si="10"/>
        <v>0</v>
      </c>
      <c r="G41" s="13">
        <f t="shared" si="10"/>
        <v>0</v>
      </c>
      <c r="H41" s="13">
        <f t="shared" si="10"/>
        <v>0</v>
      </c>
      <c r="I41" s="13">
        <f t="shared" si="10"/>
        <v>1</v>
      </c>
      <c r="J41" s="13">
        <f t="shared" si="10"/>
        <v>0</v>
      </c>
      <c r="K41" s="13">
        <f t="shared" si="10"/>
        <v>0</v>
      </c>
      <c r="L41" s="13">
        <f t="shared" si="10"/>
        <v>0</v>
      </c>
      <c r="M41" s="13">
        <f t="shared" si="10"/>
        <v>0</v>
      </c>
      <c r="N41" s="13">
        <f t="shared" si="10"/>
        <v>1</v>
      </c>
      <c r="O41" s="13">
        <f t="shared" si="10"/>
        <v>2</v>
      </c>
      <c r="P41" s="13">
        <f t="shared" si="9"/>
        <v>5</v>
      </c>
    </row>
    <row r="42" spans="1:16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5"/>
      <c r="J42" s="15"/>
      <c r="K42" s="15"/>
      <c r="L42" s="15"/>
      <c r="M42" s="15"/>
      <c r="N42" s="42"/>
      <c r="O42" s="15"/>
      <c r="P42" s="13"/>
    </row>
    <row r="43" spans="1:16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3"/>
    </row>
    <row r="44" spans="1:16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</row>
    <row r="45" spans="1:16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12</v>
      </c>
      <c r="F45" s="15">
        <v>6</v>
      </c>
      <c r="G45" s="15">
        <v>9</v>
      </c>
      <c r="H45" s="15">
        <v>9</v>
      </c>
      <c r="I45" s="15">
        <v>16</v>
      </c>
      <c r="J45" s="15">
        <v>9</v>
      </c>
      <c r="K45" s="15">
        <v>5</v>
      </c>
      <c r="L45" s="15">
        <v>12</v>
      </c>
      <c r="M45" s="15">
        <v>9</v>
      </c>
      <c r="N45" s="15">
        <v>9</v>
      </c>
      <c r="O45" s="15">
        <v>11</v>
      </c>
      <c r="P45" s="13">
        <f t="shared" ref="P45:P192" si="11">SUM(E45:O45)</f>
        <v>107</v>
      </c>
    </row>
    <row r="46" spans="1:16" ht="12.75" customHeight="1" x14ac:dyDescent="0.4">
      <c r="A46" s="19" t="s">
        <v>39</v>
      </c>
      <c r="B46" s="27"/>
      <c r="C46" s="28" t="s">
        <v>40</v>
      </c>
      <c r="D46" s="29"/>
      <c r="E46" s="15">
        <v>46</v>
      </c>
      <c r="F46" s="15">
        <v>12</v>
      </c>
      <c r="G46" s="15">
        <v>7</v>
      </c>
      <c r="H46" s="15">
        <v>24</v>
      </c>
      <c r="I46" s="15">
        <v>46</v>
      </c>
      <c r="J46" s="15">
        <v>32</v>
      </c>
      <c r="K46" s="15">
        <v>43</v>
      </c>
      <c r="L46" s="15">
        <v>70</v>
      </c>
      <c r="M46" s="15">
        <v>81</v>
      </c>
      <c r="N46" s="15">
        <v>57</v>
      </c>
      <c r="O46" s="15">
        <v>37</v>
      </c>
      <c r="P46" s="13">
        <f t="shared" si="11"/>
        <v>455</v>
      </c>
    </row>
    <row r="47" spans="1:16" ht="12.75" customHeight="1" x14ac:dyDescent="0.4">
      <c r="A47" s="14"/>
      <c r="B47" s="27"/>
      <c r="C47" s="28" t="s">
        <v>41</v>
      </c>
      <c r="D47" s="29"/>
      <c r="E47" s="15">
        <v>1</v>
      </c>
      <c r="F47" s="15">
        <v>0</v>
      </c>
      <c r="G47" s="15">
        <v>0</v>
      </c>
      <c r="H47" s="15">
        <v>2</v>
      </c>
      <c r="I47" s="15">
        <v>2</v>
      </c>
      <c r="J47" s="15">
        <v>1</v>
      </c>
      <c r="K47" s="15">
        <v>3</v>
      </c>
      <c r="L47" s="15">
        <v>2</v>
      </c>
      <c r="M47" s="15">
        <v>0</v>
      </c>
      <c r="N47" s="15">
        <v>2</v>
      </c>
      <c r="O47" s="15">
        <v>2</v>
      </c>
      <c r="P47" s="13">
        <f t="shared" si="11"/>
        <v>15</v>
      </c>
    </row>
    <row r="48" spans="1:16" ht="12.75" customHeight="1" x14ac:dyDescent="0.4">
      <c r="A48" s="14"/>
      <c r="B48" s="27"/>
      <c r="C48" s="28" t="s">
        <v>42</v>
      </c>
      <c r="D48" s="29"/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2</v>
      </c>
      <c r="M48" s="15">
        <v>0</v>
      </c>
      <c r="N48" s="15">
        <v>0</v>
      </c>
      <c r="O48" s="15">
        <v>0</v>
      </c>
      <c r="P48" s="13">
        <f t="shared" si="11"/>
        <v>2</v>
      </c>
    </row>
    <row r="49" spans="1:16" ht="12.75" customHeight="1" x14ac:dyDescent="0.4">
      <c r="A49" s="14"/>
      <c r="B49" s="27"/>
      <c r="C49" s="28" t="s">
        <v>43</v>
      </c>
      <c r="D49" s="29"/>
      <c r="E49" s="15">
        <v>1</v>
      </c>
      <c r="F49" s="15">
        <v>0</v>
      </c>
      <c r="G49" s="15">
        <v>0</v>
      </c>
      <c r="H49" s="15">
        <v>1</v>
      </c>
      <c r="I49" s="15">
        <v>0</v>
      </c>
      <c r="J49" s="15">
        <v>0</v>
      </c>
      <c r="K49" s="15">
        <v>1</v>
      </c>
      <c r="L49" s="15">
        <v>0</v>
      </c>
      <c r="M49" s="15">
        <v>0</v>
      </c>
      <c r="N49" s="15"/>
      <c r="O49" s="15">
        <v>0</v>
      </c>
      <c r="P49" s="13">
        <f t="shared" si="11"/>
        <v>3</v>
      </c>
    </row>
    <row r="50" spans="1:16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0</v>
      </c>
      <c r="L50" s="15">
        <v>2</v>
      </c>
      <c r="M50" s="15">
        <v>0</v>
      </c>
      <c r="N50" s="15"/>
      <c r="O50" s="15">
        <v>0</v>
      </c>
      <c r="P50" s="13">
        <f t="shared" si="11"/>
        <v>3</v>
      </c>
    </row>
    <row r="51" spans="1:16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/>
      <c r="O51" s="15">
        <v>0</v>
      </c>
      <c r="P51" s="13">
        <f t="shared" si="11"/>
        <v>1</v>
      </c>
    </row>
    <row r="52" spans="1:16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O52" si="12">SUM(E45:E51)</f>
        <v>60</v>
      </c>
      <c r="F52" s="13">
        <f t="shared" si="12"/>
        <v>18</v>
      </c>
      <c r="G52" s="13">
        <f t="shared" si="12"/>
        <v>17</v>
      </c>
      <c r="H52" s="13">
        <f t="shared" si="12"/>
        <v>37</v>
      </c>
      <c r="I52" s="13">
        <f t="shared" si="12"/>
        <v>64</v>
      </c>
      <c r="J52" s="13">
        <f t="shared" si="12"/>
        <v>42</v>
      </c>
      <c r="K52" s="13">
        <f t="shared" si="12"/>
        <v>52</v>
      </c>
      <c r="L52" s="13">
        <f t="shared" si="12"/>
        <v>88</v>
      </c>
      <c r="M52" s="13">
        <f t="shared" si="12"/>
        <v>90</v>
      </c>
      <c r="N52" s="13">
        <f t="shared" si="12"/>
        <v>68</v>
      </c>
      <c r="O52" s="13">
        <f t="shared" si="12"/>
        <v>50</v>
      </c>
      <c r="P52" s="13">
        <f t="shared" si="11"/>
        <v>586</v>
      </c>
    </row>
    <row r="53" spans="1:16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3">
        <f t="shared" si="11"/>
        <v>0</v>
      </c>
    </row>
    <row r="54" spans="1:16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4</v>
      </c>
      <c r="F54" s="15">
        <v>5</v>
      </c>
      <c r="G54" s="15">
        <v>5</v>
      </c>
      <c r="H54" s="15">
        <v>7</v>
      </c>
      <c r="I54" s="15">
        <v>5</v>
      </c>
      <c r="J54" s="15">
        <v>9</v>
      </c>
      <c r="K54" s="15">
        <v>8</v>
      </c>
      <c r="L54" s="15">
        <v>3</v>
      </c>
      <c r="M54" s="15">
        <v>6</v>
      </c>
      <c r="N54" s="15">
        <v>11</v>
      </c>
      <c r="O54" s="15">
        <v>8</v>
      </c>
      <c r="P54" s="13">
        <f t="shared" si="11"/>
        <v>71</v>
      </c>
    </row>
    <row r="55" spans="1:16" ht="12.75" customHeight="1" x14ac:dyDescent="0.4">
      <c r="A55" s="19" t="s">
        <v>39</v>
      </c>
      <c r="B55" s="27"/>
      <c r="C55" s="28" t="s">
        <v>48</v>
      </c>
      <c r="D55" s="29"/>
      <c r="E55" s="15">
        <v>2</v>
      </c>
      <c r="F55" s="15">
        <v>2</v>
      </c>
      <c r="G55" s="15">
        <v>1</v>
      </c>
      <c r="H55" s="15">
        <v>4</v>
      </c>
      <c r="I55" s="15">
        <v>6</v>
      </c>
      <c r="J55" s="15">
        <v>2</v>
      </c>
      <c r="K55" s="15">
        <v>4</v>
      </c>
      <c r="L55" s="15">
        <v>4</v>
      </c>
      <c r="M55" s="15">
        <v>5</v>
      </c>
      <c r="N55" s="15">
        <v>4</v>
      </c>
      <c r="O55" s="15">
        <v>4</v>
      </c>
      <c r="P55" s="13">
        <f t="shared" si="11"/>
        <v>38</v>
      </c>
    </row>
    <row r="56" spans="1:16" ht="12.75" customHeight="1" x14ac:dyDescent="0.4">
      <c r="A56" s="14"/>
      <c r="B56" s="27"/>
      <c r="C56" s="28" t="s">
        <v>49</v>
      </c>
      <c r="D56" s="29"/>
      <c r="E56" s="15">
        <v>2</v>
      </c>
      <c r="F56" s="15">
        <v>0</v>
      </c>
      <c r="G56" s="15">
        <v>5</v>
      </c>
      <c r="H56" s="15">
        <v>7</v>
      </c>
      <c r="I56" s="15">
        <v>0</v>
      </c>
      <c r="J56" s="15">
        <v>4</v>
      </c>
      <c r="K56" s="15">
        <v>3</v>
      </c>
      <c r="L56" s="15">
        <v>1</v>
      </c>
      <c r="M56" s="15">
        <v>1</v>
      </c>
      <c r="N56" s="15">
        <v>3</v>
      </c>
      <c r="O56" s="15">
        <v>2</v>
      </c>
      <c r="P56" s="13">
        <f t="shared" si="11"/>
        <v>28</v>
      </c>
    </row>
    <row r="57" spans="1:16" ht="12.75" customHeight="1" x14ac:dyDescent="0.4">
      <c r="A57" s="14"/>
      <c r="B57" s="27"/>
      <c r="C57" s="28" t="s">
        <v>50</v>
      </c>
      <c r="D57" s="29"/>
      <c r="E57" s="15">
        <v>0</v>
      </c>
      <c r="F57" s="15">
        <v>0</v>
      </c>
      <c r="G57" s="15">
        <v>1</v>
      </c>
      <c r="H57" s="15">
        <v>0</v>
      </c>
      <c r="I57" s="15">
        <v>1</v>
      </c>
      <c r="J57" s="15">
        <v>0</v>
      </c>
      <c r="K57" s="15">
        <v>2</v>
      </c>
      <c r="L57" s="15">
        <v>0</v>
      </c>
      <c r="M57" s="15">
        <v>7</v>
      </c>
      <c r="N57" s="15">
        <v>1</v>
      </c>
      <c r="O57" s="15">
        <v>1</v>
      </c>
      <c r="P57" s="13">
        <f t="shared" si="11"/>
        <v>13</v>
      </c>
    </row>
    <row r="58" spans="1:16" ht="12.75" customHeight="1" x14ac:dyDescent="0.4">
      <c r="A58" s="14"/>
      <c r="B58" s="27"/>
      <c r="C58" s="28" t="s">
        <v>51</v>
      </c>
      <c r="D58" s="29"/>
      <c r="E58" s="15">
        <v>1</v>
      </c>
      <c r="F58" s="15">
        <v>0</v>
      </c>
      <c r="G58" s="15">
        <v>1</v>
      </c>
      <c r="H58" s="15">
        <v>3</v>
      </c>
      <c r="I58" s="15">
        <v>6</v>
      </c>
      <c r="J58" s="15">
        <v>0</v>
      </c>
      <c r="K58" s="15">
        <v>0</v>
      </c>
      <c r="L58" s="15">
        <v>0</v>
      </c>
      <c r="M58" s="15">
        <v>0</v>
      </c>
      <c r="N58" s="15">
        <v>1</v>
      </c>
      <c r="O58" s="15">
        <v>0</v>
      </c>
      <c r="P58" s="13">
        <f t="shared" si="11"/>
        <v>12</v>
      </c>
    </row>
    <row r="59" spans="1:16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1</v>
      </c>
      <c r="K59" s="15">
        <v>1</v>
      </c>
      <c r="L59" s="15">
        <v>5</v>
      </c>
      <c r="M59" s="15">
        <v>9</v>
      </c>
      <c r="N59" s="15">
        <v>0</v>
      </c>
      <c r="O59" s="15">
        <v>4</v>
      </c>
      <c r="P59" s="13">
        <f t="shared" si="11"/>
        <v>20</v>
      </c>
    </row>
    <row r="60" spans="1:16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0</v>
      </c>
      <c r="G60" s="15">
        <v>0</v>
      </c>
      <c r="H60" s="15">
        <v>6</v>
      </c>
      <c r="I60" s="15">
        <v>4</v>
      </c>
      <c r="J60" s="15">
        <v>0</v>
      </c>
      <c r="K60" s="15">
        <v>0</v>
      </c>
      <c r="L60" s="15">
        <v>2</v>
      </c>
      <c r="M60" s="15">
        <v>2</v>
      </c>
      <c r="N60" s="15">
        <v>0</v>
      </c>
      <c r="O60" s="15">
        <v>0</v>
      </c>
      <c r="P60" s="13">
        <f t="shared" si="11"/>
        <v>14</v>
      </c>
    </row>
    <row r="61" spans="1:16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O61" si="13">SUM(E54:E60)</f>
        <v>9</v>
      </c>
      <c r="F61" s="13">
        <f t="shared" si="13"/>
        <v>7</v>
      </c>
      <c r="G61" s="13">
        <f t="shared" si="13"/>
        <v>13</v>
      </c>
      <c r="H61" s="13">
        <f t="shared" si="13"/>
        <v>27</v>
      </c>
      <c r="I61" s="13">
        <f t="shared" si="13"/>
        <v>22</v>
      </c>
      <c r="J61" s="13">
        <f t="shared" si="13"/>
        <v>16</v>
      </c>
      <c r="K61" s="13">
        <f t="shared" si="13"/>
        <v>18</v>
      </c>
      <c r="L61" s="13">
        <f t="shared" si="13"/>
        <v>15</v>
      </c>
      <c r="M61" s="13">
        <f t="shared" si="13"/>
        <v>30</v>
      </c>
      <c r="N61" s="13">
        <f t="shared" si="13"/>
        <v>20</v>
      </c>
      <c r="O61" s="13">
        <f t="shared" si="13"/>
        <v>19</v>
      </c>
      <c r="P61" s="13">
        <f t="shared" si="11"/>
        <v>196</v>
      </c>
    </row>
    <row r="62" spans="1:16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3">
        <f t="shared" si="11"/>
        <v>0</v>
      </c>
    </row>
    <row r="63" spans="1:16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4</v>
      </c>
      <c r="F63" s="15">
        <v>4</v>
      </c>
      <c r="G63" s="15">
        <v>0</v>
      </c>
      <c r="H63" s="15">
        <v>1</v>
      </c>
      <c r="I63" s="15">
        <v>3</v>
      </c>
      <c r="J63" s="15">
        <v>2</v>
      </c>
      <c r="K63" s="15">
        <v>3</v>
      </c>
      <c r="L63" s="15">
        <v>3</v>
      </c>
      <c r="M63" s="15">
        <v>5</v>
      </c>
      <c r="N63" s="15">
        <v>4</v>
      </c>
      <c r="O63" s="15">
        <v>4</v>
      </c>
      <c r="P63" s="13">
        <f t="shared" si="11"/>
        <v>33</v>
      </c>
    </row>
    <row r="64" spans="1:16" ht="12.75" customHeight="1" x14ac:dyDescent="0.4">
      <c r="A64" s="19" t="s">
        <v>39</v>
      </c>
      <c r="B64" s="27"/>
      <c r="C64" s="28" t="s">
        <v>55</v>
      </c>
      <c r="D64" s="29"/>
      <c r="E64" s="15">
        <v>2</v>
      </c>
      <c r="F64" s="15">
        <v>3</v>
      </c>
      <c r="G64" s="15">
        <v>0</v>
      </c>
      <c r="H64" s="15">
        <v>5</v>
      </c>
      <c r="I64" s="15">
        <v>1</v>
      </c>
      <c r="J64" s="15">
        <v>2</v>
      </c>
      <c r="K64" s="15">
        <v>4</v>
      </c>
      <c r="L64" s="15">
        <v>4</v>
      </c>
      <c r="M64" s="15">
        <v>5</v>
      </c>
      <c r="N64" s="15">
        <v>9</v>
      </c>
      <c r="O64" s="15">
        <v>6</v>
      </c>
      <c r="P64" s="13">
        <f t="shared" si="11"/>
        <v>41</v>
      </c>
    </row>
    <row r="65" spans="1:16" ht="12.75" customHeight="1" x14ac:dyDescent="0.4">
      <c r="A65" s="14"/>
      <c r="B65" s="27"/>
      <c r="C65" s="28" t="s">
        <v>56</v>
      </c>
      <c r="D65" s="29"/>
      <c r="E65" s="15">
        <v>1</v>
      </c>
      <c r="F65" s="15">
        <v>0</v>
      </c>
      <c r="G65" s="15">
        <v>1</v>
      </c>
      <c r="H65" s="15">
        <v>0</v>
      </c>
      <c r="I65" s="15">
        <v>2</v>
      </c>
      <c r="J65" s="15">
        <v>1</v>
      </c>
      <c r="K65" s="15">
        <v>0</v>
      </c>
      <c r="L65" s="15">
        <v>1</v>
      </c>
      <c r="M65" s="15">
        <v>1</v>
      </c>
      <c r="N65" s="15">
        <v>1</v>
      </c>
      <c r="O65" s="15">
        <v>2</v>
      </c>
      <c r="P65" s="13">
        <f t="shared" si="11"/>
        <v>10</v>
      </c>
    </row>
    <row r="66" spans="1:16" ht="12.75" customHeight="1" x14ac:dyDescent="0.4">
      <c r="A66" s="14"/>
      <c r="B66" s="27"/>
      <c r="C66" s="28" t="s">
        <v>57</v>
      </c>
      <c r="D66" s="29"/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5</v>
      </c>
      <c r="O66" s="15">
        <v>6</v>
      </c>
      <c r="P66" s="13">
        <f t="shared" si="11"/>
        <v>12</v>
      </c>
    </row>
    <row r="67" spans="1:16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1</v>
      </c>
      <c r="H67" s="15">
        <v>0</v>
      </c>
      <c r="I67" s="15">
        <v>1</v>
      </c>
      <c r="J67" s="15">
        <v>0</v>
      </c>
      <c r="K67" s="15">
        <v>2</v>
      </c>
      <c r="L67" s="15">
        <v>0</v>
      </c>
      <c r="M67" s="15">
        <v>2</v>
      </c>
      <c r="N67" s="15">
        <v>2</v>
      </c>
      <c r="O67" s="15">
        <v>0</v>
      </c>
      <c r="P67" s="13">
        <f t="shared" si="11"/>
        <v>8</v>
      </c>
    </row>
    <row r="68" spans="1:16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1</v>
      </c>
      <c r="K68" s="15">
        <v>0</v>
      </c>
      <c r="L68" s="15">
        <v>1</v>
      </c>
      <c r="M68" s="15">
        <v>1</v>
      </c>
      <c r="N68" s="15">
        <v>3</v>
      </c>
      <c r="O68" s="15">
        <v>0</v>
      </c>
      <c r="P68" s="13">
        <f t="shared" si="11"/>
        <v>6</v>
      </c>
    </row>
    <row r="69" spans="1:16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3">
        <f t="shared" si="11"/>
        <v>0</v>
      </c>
    </row>
    <row r="70" spans="1:16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O70" si="14">SUM(E63:E69)</f>
        <v>8</v>
      </c>
      <c r="F70" s="13">
        <f t="shared" si="14"/>
        <v>7</v>
      </c>
      <c r="G70" s="13">
        <f t="shared" si="14"/>
        <v>2</v>
      </c>
      <c r="H70" s="13">
        <f t="shared" si="14"/>
        <v>6</v>
      </c>
      <c r="I70" s="13">
        <f t="shared" si="14"/>
        <v>7</v>
      </c>
      <c r="J70" s="13">
        <f t="shared" si="14"/>
        <v>6</v>
      </c>
      <c r="K70" s="13">
        <f t="shared" si="14"/>
        <v>9</v>
      </c>
      <c r="L70" s="13">
        <f t="shared" si="14"/>
        <v>9</v>
      </c>
      <c r="M70" s="13">
        <f t="shared" si="14"/>
        <v>14</v>
      </c>
      <c r="N70" s="13">
        <f t="shared" si="14"/>
        <v>24</v>
      </c>
      <c r="O70" s="13">
        <f t="shared" si="14"/>
        <v>18</v>
      </c>
      <c r="P70" s="13">
        <f t="shared" si="11"/>
        <v>110</v>
      </c>
    </row>
    <row r="71" spans="1:16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3">
        <f t="shared" si="11"/>
        <v>0</v>
      </c>
    </row>
    <row r="72" spans="1:16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6</v>
      </c>
      <c r="F72" s="15">
        <v>6</v>
      </c>
      <c r="G72" s="15">
        <v>1</v>
      </c>
      <c r="H72" s="15">
        <v>3</v>
      </c>
      <c r="I72" s="15">
        <v>0</v>
      </c>
      <c r="J72" s="15">
        <v>4</v>
      </c>
      <c r="K72" s="15">
        <v>3</v>
      </c>
      <c r="L72" s="15">
        <v>2</v>
      </c>
      <c r="M72" s="15">
        <v>1</v>
      </c>
      <c r="N72" s="15">
        <v>0</v>
      </c>
      <c r="O72" s="15">
        <v>0</v>
      </c>
      <c r="P72" s="13">
        <f t="shared" si="11"/>
        <v>26</v>
      </c>
    </row>
    <row r="73" spans="1:16" ht="12.75" customHeight="1" x14ac:dyDescent="0.4">
      <c r="A73" s="19" t="s">
        <v>39</v>
      </c>
      <c r="B73" s="27"/>
      <c r="C73" s="28" t="s">
        <v>62</v>
      </c>
      <c r="D73" s="29"/>
      <c r="E73" s="15">
        <v>38</v>
      </c>
      <c r="F73" s="15">
        <v>31</v>
      </c>
      <c r="G73" s="15">
        <v>34</v>
      </c>
      <c r="H73" s="15">
        <v>7</v>
      </c>
      <c r="I73" s="15">
        <v>20</v>
      </c>
      <c r="J73" s="15">
        <v>34</v>
      </c>
      <c r="K73" s="15">
        <v>6</v>
      </c>
      <c r="L73" s="15">
        <v>3</v>
      </c>
      <c r="M73" s="15">
        <v>5</v>
      </c>
      <c r="N73" s="15">
        <v>1</v>
      </c>
      <c r="O73" s="15">
        <v>3</v>
      </c>
      <c r="P73" s="13">
        <f t="shared" si="11"/>
        <v>182</v>
      </c>
    </row>
    <row r="74" spans="1:16" ht="12.75" customHeight="1" x14ac:dyDescent="0.4">
      <c r="A74" s="14"/>
      <c r="B74" s="27"/>
      <c r="C74" s="28" t="s">
        <v>63</v>
      </c>
      <c r="D74" s="29"/>
      <c r="E74" s="15">
        <v>1</v>
      </c>
      <c r="F74" s="15">
        <v>1</v>
      </c>
      <c r="G74" s="15">
        <v>2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/>
      <c r="P74" s="13">
        <f t="shared" si="11"/>
        <v>4</v>
      </c>
    </row>
    <row r="75" spans="1:16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/>
      <c r="J75" s="15">
        <v>1</v>
      </c>
      <c r="K75" s="15">
        <v>0</v>
      </c>
      <c r="L75" s="15">
        <v>0</v>
      </c>
      <c r="M75" s="15">
        <v>0</v>
      </c>
      <c r="N75" s="15"/>
      <c r="O75" s="15"/>
      <c r="P75" s="13">
        <f t="shared" si="11"/>
        <v>1</v>
      </c>
    </row>
    <row r="76" spans="1:16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/>
      <c r="J76" s="15">
        <v>0</v>
      </c>
      <c r="K76" s="15">
        <v>0</v>
      </c>
      <c r="L76" s="15">
        <v>0</v>
      </c>
      <c r="M76" s="15">
        <v>0</v>
      </c>
      <c r="N76" s="15"/>
      <c r="O76" s="15"/>
      <c r="P76" s="13">
        <f t="shared" si="11"/>
        <v>1</v>
      </c>
    </row>
    <row r="77" spans="1:16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1</v>
      </c>
      <c r="G77" s="15">
        <v>0</v>
      </c>
      <c r="H77" s="15">
        <v>0</v>
      </c>
      <c r="I77" s="15"/>
      <c r="J77" s="15">
        <v>0</v>
      </c>
      <c r="K77" s="15">
        <v>0</v>
      </c>
      <c r="L77" s="15">
        <v>0</v>
      </c>
      <c r="M77" s="15">
        <v>0</v>
      </c>
      <c r="N77" s="15"/>
      <c r="O77" s="15"/>
      <c r="P77" s="13">
        <f t="shared" si="11"/>
        <v>1</v>
      </c>
    </row>
    <row r="78" spans="1:16" ht="12.75" customHeight="1" x14ac:dyDescent="0.4">
      <c r="A78" s="14"/>
      <c r="B78" s="27"/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2</v>
      </c>
      <c r="I78" s="15"/>
      <c r="J78" s="15">
        <v>2</v>
      </c>
      <c r="K78" s="15">
        <v>3</v>
      </c>
      <c r="L78" s="15">
        <v>13</v>
      </c>
      <c r="M78" s="15">
        <v>1</v>
      </c>
      <c r="N78" s="15"/>
      <c r="O78" s="15"/>
      <c r="P78" s="13">
        <f t="shared" si="11"/>
        <v>21</v>
      </c>
    </row>
    <row r="79" spans="1:16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O79" si="15">SUM(E72:E78)</f>
        <v>46</v>
      </c>
      <c r="F79" s="13">
        <f t="shared" si="15"/>
        <v>39</v>
      </c>
      <c r="G79" s="13">
        <f t="shared" si="15"/>
        <v>37</v>
      </c>
      <c r="H79" s="13">
        <f t="shared" si="15"/>
        <v>12</v>
      </c>
      <c r="I79" s="13">
        <f t="shared" si="15"/>
        <v>20</v>
      </c>
      <c r="J79" s="13">
        <f t="shared" si="15"/>
        <v>41</v>
      </c>
      <c r="K79" s="13">
        <f t="shared" si="15"/>
        <v>12</v>
      </c>
      <c r="L79" s="13">
        <f t="shared" si="15"/>
        <v>18</v>
      </c>
      <c r="M79" s="13">
        <f t="shared" si="15"/>
        <v>7</v>
      </c>
      <c r="N79" s="13">
        <f t="shared" si="15"/>
        <v>1</v>
      </c>
      <c r="O79" s="13">
        <f t="shared" si="15"/>
        <v>3</v>
      </c>
      <c r="P79" s="13">
        <f t="shared" si="11"/>
        <v>236</v>
      </c>
    </row>
    <row r="80" spans="1:16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3">
        <f t="shared" si="11"/>
        <v>0</v>
      </c>
    </row>
    <row r="81" spans="1:16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1</v>
      </c>
      <c r="F81" s="15">
        <v>1</v>
      </c>
      <c r="G81" s="15">
        <v>0</v>
      </c>
      <c r="H81" s="15">
        <v>0</v>
      </c>
      <c r="I81" s="15">
        <v>1</v>
      </c>
      <c r="J81" s="15">
        <v>1</v>
      </c>
      <c r="K81" s="15">
        <v>0</v>
      </c>
      <c r="L81" s="15">
        <v>0</v>
      </c>
      <c r="M81" s="15">
        <v>1</v>
      </c>
      <c r="N81" s="15">
        <v>0</v>
      </c>
      <c r="O81" s="15">
        <v>1</v>
      </c>
      <c r="P81" s="13">
        <f t="shared" si="11"/>
        <v>6</v>
      </c>
    </row>
    <row r="82" spans="1:16" ht="12.75" customHeight="1" x14ac:dyDescent="0.4">
      <c r="A82" s="19" t="s">
        <v>39</v>
      </c>
      <c r="B82" s="27"/>
      <c r="C82" s="28" t="s">
        <v>70</v>
      </c>
      <c r="D82" s="29"/>
      <c r="E82" s="15">
        <v>0</v>
      </c>
      <c r="F82" s="15">
        <v>0</v>
      </c>
      <c r="G82" s="15">
        <v>0</v>
      </c>
      <c r="H82" s="15">
        <v>1</v>
      </c>
      <c r="I82" s="15">
        <v>0</v>
      </c>
      <c r="J82" s="15">
        <v>1</v>
      </c>
      <c r="K82" s="15">
        <v>0</v>
      </c>
      <c r="L82" s="15">
        <v>1</v>
      </c>
      <c r="M82" s="15">
        <v>1</v>
      </c>
      <c r="N82" s="15">
        <v>0</v>
      </c>
      <c r="O82" s="15">
        <v>0</v>
      </c>
      <c r="P82" s="13">
        <f t="shared" si="11"/>
        <v>4</v>
      </c>
    </row>
    <row r="83" spans="1:16" ht="12.75" customHeight="1" x14ac:dyDescent="0.4">
      <c r="A83" s="14"/>
      <c r="B83" s="27"/>
      <c r="C83" s="28" t="s">
        <v>71</v>
      </c>
      <c r="D83" s="29"/>
      <c r="E83" s="15"/>
      <c r="F83" s="15">
        <v>1</v>
      </c>
      <c r="G83" s="15">
        <v>0</v>
      </c>
      <c r="H83" s="15">
        <v>1</v>
      </c>
      <c r="I83" s="15">
        <v>5</v>
      </c>
      <c r="J83" s="15">
        <v>6</v>
      </c>
      <c r="K83" s="15">
        <v>4</v>
      </c>
      <c r="L83" s="15">
        <v>5</v>
      </c>
      <c r="M83" s="15">
        <v>12</v>
      </c>
      <c r="N83" s="15">
        <v>6</v>
      </c>
      <c r="O83" s="15">
        <v>8</v>
      </c>
      <c r="P83" s="13">
        <f t="shared" si="11"/>
        <v>48</v>
      </c>
    </row>
    <row r="84" spans="1:16" ht="12.75" customHeight="1" x14ac:dyDescent="0.4">
      <c r="A84" s="14"/>
      <c r="B84" s="27"/>
      <c r="C84" s="28" t="s">
        <v>72</v>
      </c>
      <c r="D84" s="29"/>
      <c r="E84" s="15"/>
      <c r="F84" s="15">
        <v>0</v>
      </c>
      <c r="G84" s="15">
        <v>0</v>
      </c>
      <c r="H84" s="15">
        <v>0</v>
      </c>
      <c r="I84" s="15">
        <v>0</v>
      </c>
      <c r="J84" s="15">
        <v>1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3">
        <f t="shared" si="11"/>
        <v>1</v>
      </c>
    </row>
    <row r="85" spans="1:16" ht="12.75" customHeight="1" x14ac:dyDescent="0.4">
      <c r="A85" s="14"/>
      <c r="B85" s="27"/>
      <c r="C85" s="28" t="s">
        <v>73</v>
      </c>
      <c r="D85" s="29"/>
      <c r="E85" s="15"/>
      <c r="F85" s="15"/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/>
      <c r="M85" s="15">
        <v>0</v>
      </c>
      <c r="N85" s="15">
        <v>0</v>
      </c>
      <c r="O85" s="15">
        <v>0</v>
      </c>
      <c r="P85" s="13">
        <f t="shared" si="11"/>
        <v>0</v>
      </c>
    </row>
    <row r="86" spans="1:16" ht="12.75" customHeight="1" x14ac:dyDescent="0.4">
      <c r="A86" s="14"/>
      <c r="B86" s="27"/>
      <c r="C86" s="28" t="s">
        <v>74</v>
      </c>
      <c r="D86" s="29"/>
      <c r="E86" s="15"/>
      <c r="F86" s="15"/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/>
      <c r="M86" s="15">
        <v>0</v>
      </c>
      <c r="N86" s="15">
        <v>1</v>
      </c>
      <c r="O86" s="15">
        <v>0</v>
      </c>
      <c r="P86" s="13">
        <f t="shared" si="11"/>
        <v>1</v>
      </c>
    </row>
    <row r="87" spans="1:16" ht="12.75" customHeight="1" x14ac:dyDescent="0.4">
      <c r="A87" s="14"/>
      <c r="B87" s="27"/>
      <c r="C87" s="28" t="s">
        <v>75</v>
      </c>
      <c r="D87" s="29"/>
      <c r="E87" s="15"/>
      <c r="F87" s="15"/>
      <c r="G87" s="15">
        <v>0</v>
      </c>
      <c r="H87" s="15">
        <v>0</v>
      </c>
      <c r="I87" s="15">
        <v>0</v>
      </c>
      <c r="J87" s="15">
        <v>0</v>
      </c>
      <c r="K87" s="15">
        <v>1</v>
      </c>
      <c r="L87" s="15"/>
      <c r="M87" s="15">
        <v>0</v>
      </c>
      <c r="N87" s="15">
        <v>0</v>
      </c>
      <c r="O87" s="15">
        <v>0</v>
      </c>
      <c r="P87" s="13">
        <f t="shared" si="11"/>
        <v>1</v>
      </c>
    </row>
    <row r="88" spans="1:16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O88" si="16">SUM(E81:E87)</f>
        <v>1</v>
      </c>
      <c r="F88" s="13">
        <f t="shared" si="16"/>
        <v>2</v>
      </c>
      <c r="G88" s="13">
        <f t="shared" si="16"/>
        <v>0</v>
      </c>
      <c r="H88" s="13">
        <f t="shared" si="16"/>
        <v>2</v>
      </c>
      <c r="I88" s="13">
        <f t="shared" si="16"/>
        <v>6</v>
      </c>
      <c r="J88" s="13">
        <f t="shared" si="16"/>
        <v>9</v>
      </c>
      <c r="K88" s="13">
        <f t="shared" si="16"/>
        <v>5</v>
      </c>
      <c r="L88" s="13">
        <f t="shared" si="16"/>
        <v>6</v>
      </c>
      <c r="M88" s="13">
        <f t="shared" si="16"/>
        <v>14</v>
      </c>
      <c r="N88" s="13">
        <f t="shared" si="16"/>
        <v>7</v>
      </c>
      <c r="O88" s="13">
        <f t="shared" si="16"/>
        <v>9</v>
      </c>
      <c r="P88" s="13">
        <f t="shared" si="11"/>
        <v>61</v>
      </c>
    </row>
    <row r="89" spans="1:16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3">
        <f t="shared" si="11"/>
        <v>0</v>
      </c>
    </row>
    <row r="90" spans="1:16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/>
      <c r="F90" s="15"/>
      <c r="G90" s="15">
        <v>0</v>
      </c>
      <c r="H90" s="15">
        <v>0</v>
      </c>
      <c r="I90" s="15">
        <v>2</v>
      </c>
      <c r="J90" s="15">
        <v>0</v>
      </c>
      <c r="K90" s="15"/>
      <c r="L90" s="15">
        <v>1</v>
      </c>
      <c r="M90" s="15">
        <v>1</v>
      </c>
      <c r="N90" s="15"/>
      <c r="O90" s="15"/>
      <c r="P90" s="13">
        <f t="shared" si="11"/>
        <v>4</v>
      </c>
    </row>
    <row r="91" spans="1:16" ht="12.75" customHeight="1" x14ac:dyDescent="0.4">
      <c r="A91" s="19" t="s">
        <v>39</v>
      </c>
      <c r="B91" s="27"/>
      <c r="C91" s="78" t="s">
        <v>78</v>
      </c>
      <c r="D91" s="55"/>
      <c r="E91" s="15"/>
      <c r="F91" s="15"/>
      <c r="G91" s="15">
        <v>1</v>
      </c>
      <c r="H91" s="15">
        <v>0</v>
      </c>
      <c r="I91" s="15">
        <v>0</v>
      </c>
      <c r="J91" s="15">
        <v>0</v>
      </c>
      <c r="K91" s="15"/>
      <c r="L91" s="15">
        <v>0</v>
      </c>
      <c r="M91" s="15">
        <v>0</v>
      </c>
      <c r="N91" s="15"/>
      <c r="O91" s="15"/>
      <c r="P91" s="13">
        <f t="shared" si="11"/>
        <v>1</v>
      </c>
    </row>
    <row r="92" spans="1:16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O92" si="17">SUM(E90:E91)</f>
        <v>0</v>
      </c>
      <c r="F92" s="36">
        <f t="shared" si="17"/>
        <v>0</v>
      </c>
      <c r="G92" s="36">
        <f t="shared" si="17"/>
        <v>1</v>
      </c>
      <c r="H92" s="36">
        <f t="shared" si="17"/>
        <v>0</v>
      </c>
      <c r="I92" s="36">
        <f t="shared" si="17"/>
        <v>2</v>
      </c>
      <c r="J92" s="36">
        <f t="shared" si="17"/>
        <v>0</v>
      </c>
      <c r="K92" s="36">
        <f t="shared" si="17"/>
        <v>0</v>
      </c>
      <c r="L92" s="36">
        <f t="shared" si="17"/>
        <v>1</v>
      </c>
      <c r="M92" s="36">
        <f t="shared" si="17"/>
        <v>1</v>
      </c>
      <c r="N92" s="36">
        <f t="shared" si="17"/>
        <v>0</v>
      </c>
      <c r="O92" s="36">
        <f t="shared" si="17"/>
        <v>0</v>
      </c>
      <c r="P92" s="13">
        <f t="shared" si="11"/>
        <v>5</v>
      </c>
    </row>
    <row r="93" spans="1:16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3">
        <f t="shared" si="11"/>
        <v>0</v>
      </c>
    </row>
    <row r="94" spans="1:16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/>
      <c r="F94" s="15">
        <v>0</v>
      </c>
      <c r="G94" s="15">
        <v>0</v>
      </c>
      <c r="H94" s="15">
        <v>0</v>
      </c>
      <c r="I94" s="15">
        <v>0</v>
      </c>
      <c r="J94" s="15">
        <v>1</v>
      </c>
      <c r="K94" s="15">
        <v>2</v>
      </c>
      <c r="L94" s="15">
        <v>0</v>
      </c>
      <c r="M94" s="15">
        <v>0</v>
      </c>
      <c r="N94" s="15"/>
      <c r="O94" s="15">
        <v>0</v>
      </c>
      <c r="P94" s="13">
        <f t="shared" si="11"/>
        <v>3</v>
      </c>
    </row>
    <row r="95" spans="1:16" ht="12.75" customHeight="1" x14ac:dyDescent="0.4">
      <c r="A95" s="19" t="s">
        <v>39</v>
      </c>
      <c r="B95" s="27"/>
      <c r="C95" s="28" t="s">
        <v>81</v>
      </c>
      <c r="D95" s="29"/>
      <c r="E95" s="15"/>
      <c r="F95" s="15"/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3</v>
      </c>
      <c r="M95" s="15">
        <v>0</v>
      </c>
      <c r="N95" s="15"/>
      <c r="O95" s="15">
        <v>1</v>
      </c>
      <c r="P95" s="13">
        <f t="shared" si="11"/>
        <v>4</v>
      </c>
    </row>
    <row r="96" spans="1:16" ht="12.75" customHeight="1" x14ac:dyDescent="0.4">
      <c r="A96" s="19"/>
      <c r="B96" s="27"/>
      <c r="C96" s="28" t="s">
        <v>82</v>
      </c>
      <c r="D96" s="29"/>
      <c r="E96" s="15"/>
      <c r="F96" s="15"/>
      <c r="G96" s="15">
        <v>0</v>
      </c>
      <c r="H96" s="15">
        <v>0</v>
      </c>
      <c r="I96" s="15">
        <v>1</v>
      </c>
      <c r="J96" s="15">
        <v>1</v>
      </c>
      <c r="K96" s="15"/>
      <c r="L96" s="15">
        <v>1</v>
      </c>
      <c r="M96" s="15">
        <v>0</v>
      </c>
      <c r="N96" s="15"/>
      <c r="O96" s="15">
        <v>0</v>
      </c>
      <c r="P96" s="13">
        <f t="shared" si="11"/>
        <v>3</v>
      </c>
    </row>
    <row r="97" spans="1:16" ht="12.75" customHeight="1" x14ac:dyDescent="0.4">
      <c r="A97" s="19"/>
      <c r="B97" s="27"/>
      <c r="C97" s="28" t="s">
        <v>83</v>
      </c>
      <c r="D97" s="29"/>
      <c r="E97" s="15"/>
      <c r="F97" s="15"/>
      <c r="G97" s="15">
        <v>0</v>
      </c>
      <c r="H97" s="15">
        <v>0</v>
      </c>
      <c r="I97" s="15">
        <v>0</v>
      </c>
      <c r="J97" s="15">
        <v>0</v>
      </c>
      <c r="K97" s="15"/>
      <c r="L97" s="15">
        <v>0</v>
      </c>
      <c r="M97" s="15">
        <v>0</v>
      </c>
      <c r="N97" s="15"/>
      <c r="O97" s="15">
        <v>0</v>
      </c>
      <c r="P97" s="13">
        <f t="shared" si="11"/>
        <v>0</v>
      </c>
    </row>
    <row r="98" spans="1:16" ht="12.75" customHeight="1" x14ac:dyDescent="0.4">
      <c r="A98" s="19"/>
      <c r="B98" s="27"/>
      <c r="C98" s="28" t="s">
        <v>84</v>
      </c>
      <c r="D98" s="29"/>
      <c r="E98" s="15"/>
      <c r="F98" s="15"/>
      <c r="G98" s="15">
        <v>0</v>
      </c>
      <c r="H98" s="15">
        <v>0</v>
      </c>
      <c r="I98" s="15"/>
      <c r="J98" s="15">
        <v>0</v>
      </c>
      <c r="K98" s="15"/>
      <c r="L98" s="15">
        <v>0</v>
      </c>
      <c r="M98" s="15">
        <v>0</v>
      </c>
      <c r="N98" s="15"/>
      <c r="O98" s="15">
        <v>0</v>
      </c>
      <c r="P98" s="13">
        <f t="shared" si="11"/>
        <v>0</v>
      </c>
    </row>
    <row r="99" spans="1:16" ht="12.75" customHeight="1" x14ac:dyDescent="0.4">
      <c r="A99" s="19"/>
      <c r="B99" s="27"/>
      <c r="C99" s="28" t="s">
        <v>85</v>
      </c>
      <c r="D99" s="29"/>
      <c r="E99" s="15"/>
      <c r="F99" s="15"/>
      <c r="G99" s="15">
        <v>0</v>
      </c>
      <c r="H99" s="15">
        <v>0</v>
      </c>
      <c r="I99" s="15"/>
      <c r="J99" s="15">
        <v>0</v>
      </c>
      <c r="K99" s="15"/>
      <c r="L99" s="15">
        <v>0</v>
      </c>
      <c r="M99" s="15">
        <v>0</v>
      </c>
      <c r="N99" s="15"/>
      <c r="O99" s="15">
        <v>1</v>
      </c>
      <c r="P99" s="13">
        <f t="shared" si="11"/>
        <v>1</v>
      </c>
    </row>
    <row r="100" spans="1:16" ht="12.75" customHeight="1" x14ac:dyDescent="0.4">
      <c r="A100" s="19"/>
      <c r="B100" s="27"/>
      <c r="C100" s="28" t="s">
        <v>86</v>
      </c>
      <c r="D100" s="29"/>
      <c r="E100" s="15"/>
      <c r="F100" s="15"/>
      <c r="G100" s="15">
        <v>0</v>
      </c>
      <c r="H100" s="15">
        <v>0</v>
      </c>
      <c r="I100" s="15"/>
      <c r="J100" s="15">
        <v>0</v>
      </c>
      <c r="K100" s="15"/>
      <c r="L100" s="15">
        <v>0</v>
      </c>
      <c r="M100" s="15">
        <v>1</v>
      </c>
      <c r="N100" s="15"/>
      <c r="O100" s="15">
        <v>0</v>
      </c>
      <c r="P100" s="13">
        <f t="shared" si="11"/>
        <v>1</v>
      </c>
    </row>
    <row r="101" spans="1:16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O101" si="18">SUM(E94:E100)</f>
        <v>0</v>
      </c>
      <c r="F101" s="13">
        <f t="shared" si="18"/>
        <v>0</v>
      </c>
      <c r="G101" s="13">
        <f t="shared" si="18"/>
        <v>0</v>
      </c>
      <c r="H101" s="13">
        <f t="shared" si="18"/>
        <v>0</v>
      </c>
      <c r="I101" s="13">
        <f t="shared" si="18"/>
        <v>1</v>
      </c>
      <c r="J101" s="13">
        <f t="shared" si="18"/>
        <v>2</v>
      </c>
      <c r="K101" s="13">
        <f t="shared" si="18"/>
        <v>2</v>
      </c>
      <c r="L101" s="13">
        <f t="shared" si="18"/>
        <v>4</v>
      </c>
      <c r="M101" s="13">
        <f t="shared" si="18"/>
        <v>1</v>
      </c>
      <c r="N101" s="13">
        <f t="shared" si="18"/>
        <v>0</v>
      </c>
      <c r="O101" s="13">
        <f t="shared" si="18"/>
        <v>2</v>
      </c>
      <c r="P101" s="13">
        <f t="shared" si="11"/>
        <v>12</v>
      </c>
    </row>
    <row r="102" spans="1:16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3">
        <f t="shared" si="11"/>
        <v>0</v>
      </c>
    </row>
    <row r="103" spans="1:16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/>
      <c r="F103" s="15">
        <v>0</v>
      </c>
      <c r="G103" s="15">
        <v>0</v>
      </c>
      <c r="H103" s="15">
        <v>0</v>
      </c>
      <c r="I103" s="15">
        <v>1</v>
      </c>
      <c r="J103" s="15">
        <v>0</v>
      </c>
      <c r="K103" s="15"/>
      <c r="L103" s="15"/>
      <c r="M103" s="15">
        <v>0</v>
      </c>
      <c r="N103" s="15"/>
      <c r="O103" s="15">
        <v>0</v>
      </c>
      <c r="P103" s="13">
        <f t="shared" si="11"/>
        <v>1</v>
      </c>
    </row>
    <row r="104" spans="1:16" ht="12.75" customHeight="1" x14ac:dyDescent="0.4">
      <c r="A104" s="19" t="s">
        <v>39</v>
      </c>
      <c r="B104" s="27"/>
      <c r="C104" s="28" t="s">
        <v>89</v>
      </c>
      <c r="D104" s="29"/>
      <c r="E104" s="15"/>
      <c r="F104" s="15">
        <v>1</v>
      </c>
      <c r="G104" s="15">
        <v>1</v>
      </c>
      <c r="H104" s="15">
        <v>0</v>
      </c>
      <c r="I104" s="15">
        <v>0</v>
      </c>
      <c r="J104" s="15">
        <v>0</v>
      </c>
      <c r="K104" s="15"/>
      <c r="L104" s="15"/>
      <c r="M104" s="15">
        <v>0</v>
      </c>
      <c r="N104" s="15"/>
      <c r="O104" s="15">
        <v>0</v>
      </c>
      <c r="P104" s="13">
        <f t="shared" si="11"/>
        <v>2</v>
      </c>
    </row>
    <row r="105" spans="1:16" ht="12.75" customHeight="1" x14ac:dyDescent="0.4">
      <c r="A105" s="14"/>
      <c r="B105" s="27"/>
      <c r="C105" s="28" t="s">
        <v>90</v>
      </c>
      <c r="D105" s="29"/>
      <c r="E105" s="15"/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>
        <v>0</v>
      </c>
      <c r="N105" s="15"/>
      <c r="O105" s="15">
        <v>1</v>
      </c>
      <c r="P105" s="13">
        <f t="shared" si="11"/>
        <v>1</v>
      </c>
    </row>
    <row r="106" spans="1:16" ht="12.75" customHeight="1" x14ac:dyDescent="0.4">
      <c r="A106" s="14"/>
      <c r="B106" s="27"/>
      <c r="C106" s="28" t="s">
        <v>91</v>
      </c>
      <c r="D106" s="29"/>
      <c r="E106" s="15"/>
      <c r="F106" s="15"/>
      <c r="G106" s="15">
        <v>0</v>
      </c>
      <c r="H106" s="15">
        <v>1</v>
      </c>
      <c r="I106" s="15">
        <v>0</v>
      </c>
      <c r="J106" s="15">
        <v>0</v>
      </c>
      <c r="K106" s="15"/>
      <c r="L106" s="15"/>
      <c r="M106" s="15">
        <v>0</v>
      </c>
      <c r="N106" s="15"/>
      <c r="O106" s="15">
        <v>0</v>
      </c>
      <c r="P106" s="13">
        <f t="shared" si="11"/>
        <v>1</v>
      </c>
    </row>
    <row r="107" spans="1:16" ht="12.75" customHeight="1" x14ac:dyDescent="0.4">
      <c r="A107" s="14"/>
      <c r="B107" s="27"/>
      <c r="C107" s="28" t="s">
        <v>92</v>
      </c>
      <c r="D107" s="29"/>
      <c r="E107" s="15"/>
      <c r="F107" s="15"/>
      <c r="G107" s="15">
        <v>0</v>
      </c>
      <c r="H107" s="15">
        <v>0</v>
      </c>
      <c r="I107" s="15">
        <v>1</v>
      </c>
      <c r="J107" s="15">
        <v>0</v>
      </c>
      <c r="K107" s="15"/>
      <c r="L107" s="15"/>
      <c r="M107" s="15">
        <v>0</v>
      </c>
      <c r="N107" s="15"/>
      <c r="O107" s="15">
        <v>2</v>
      </c>
      <c r="P107" s="13">
        <f t="shared" si="11"/>
        <v>3</v>
      </c>
    </row>
    <row r="108" spans="1:16" ht="12.75" customHeight="1" x14ac:dyDescent="0.4">
      <c r="A108" s="14"/>
      <c r="B108" s="27"/>
      <c r="C108" s="28" t="s">
        <v>93</v>
      </c>
      <c r="D108" s="29"/>
      <c r="E108" s="15"/>
      <c r="F108" s="15"/>
      <c r="G108" s="15">
        <v>0</v>
      </c>
      <c r="H108" s="15">
        <v>0</v>
      </c>
      <c r="I108" s="15">
        <v>1</v>
      </c>
      <c r="J108" s="15">
        <v>0</v>
      </c>
      <c r="K108" s="15"/>
      <c r="L108" s="15"/>
      <c r="M108" s="15">
        <v>0</v>
      </c>
      <c r="N108" s="15"/>
      <c r="O108" s="15">
        <v>0</v>
      </c>
      <c r="P108" s="13">
        <f t="shared" si="11"/>
        <v>1</v>
      </c>
    </row>
    <row r="109" spans="1:16" ht="12.75" customHeight="1" x14ac:dyDescent="0.4">
      <c r="A109" s="14"/>
      <c r="B109" s="27"/>
      <c r="C109" s="28" t="s">
        <v>94</v>
      </c>
      <c r="D109" s="29"/>
      <c r="E109" s="15"/>
      <c r="F109" s="15"/>
      <c r="G109" s="15">
        <v>0</v>
      </c>
      <c r="H109" s="15">
        <v>1</v>
      </c>
      <c r="I109" s="15">
        <v>0</v>
      </c>
      <c r="J109" s="15">
        <v>0</v>
      </c>
      <c r="K109" s="15"/>
      <c r="L109" s="15"/>
      <c r="M109" s="15">
        <v>0</v>
      </c>
      <c r="N109" s="15"/>
      <c r="O109" s="15">
        <v>0</v>
      </c>
      <c r="P109" s="13">
        <f t="shared" si="11"/>
        <v>1</v>
      </c>
    </row>
    <row r="110" spans="1:16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O110" si="19">SUM(E103:E109)</f>
        <v>0</v>
      </c>
      <c r="F110" s="13">
        <f t="shared" si="19"/>
        <v>1</v>
      </c>
      <c r="G110" s="13">
        <f t="shared" si="19"/>
        <v>1</v>
      </c>
      <c r="H110" s="13">
        <f t="shared" si="19"/>
        <v>2</v>
      </c>
      <c r="I110" s="13">
        <f t="shared" si="19"/>
        <v>3</v>
      </c>
      <c r="J110" s="13">
        <f t="shared" si="19"/>
        <v>0</v>
      </c>
      <c r="K110" s="13">
        <f t="shared" si="19"/>
        <v>0</v>
      </c>
      <c r="L110" s="13">
        <f t="shared" si="19"/>
        <v>0</v>
      </c>
      <c r="M110" s="13">
        <f t="shared" si="19"/>
        <v>0</v>
      </c>
      <c r="N110" s="13">
        <f t="shared" si="19"/>
        <v>0</v>
      </c>
      <c r="O110" s="13">
        <f t="shared" si="19"/>
        <v>3</v>
      </c>
      <c r="P110" s="13">
        <f t="shared" si="11"/>
        <v>10</v>
      </c>
    </row>
    <row r="111" spans="1:16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3">
        <f t="shared" si="11"/>
        <v>0</v>
      </c>
    </row>
    <row r="112" spans="1:16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/>
      <c r="F112" s="15"/>
      <c r="G112" s="15">
        <v>0</v>
      </c>
      <c r="H112" s="15">
        <v>1</v>
      </c>
      <c r="I112" s="15"/>
      <c r="J112" s="15">
        <v>0</v>
      </c>
      <c r="K112" s="15"/>
      <c r="L112" s="15"/>
      <c r="M112" s="15">
        <v>0</v>
      </c>
      <c r="N112" s="15"/>
      <c r="O112" s="15"/>
      <c r="P112" s="13">
        <f t="shared" si="11"/>
        <v>1</v>
      </c>
    </row>
    <row r="113" spans="1:18" ht="12.75" customHeight="1" x14ac:dyDescent="0.4">
      <c r="A113" s="19"/>
      <c r="B113" s="26"/>
      <c r="C113" s="28" t="s">
        <v>97</v>
      </c>
      <c r="D113" s="37"/>
      <c r="E113" s="15"/>
      <c r="F113" s="15"/>
      <c r="G113" s="15">
        <v>0</v>
      </c>
      <c r="H113" s="15">
        <v>0</v>
      </c>
      <c r="I113" s="15"/>
      <c r="J113" s="15">
        <v>0</v>
      </c>
      <c r="K113" s="15"/>
      <c r="L113" s="15"/>
      <c r="M113" s="15">
        <v>0</v>
      </c>
      <c r="N113" s="15"/>
      <c r="O113" s="15"/>
      <c r="P113" s="13">
        <f t="shared" si="11"/>
        <v>0</v>
      </c>
    </row>
    <row r="114" spans="1:18" ht="12.75" customHeight="1" x14ac:dyDescent="0.4">
      <c r="A114" s="19"/>
      <c r="B114" s="26"/>
      <c r="C114" s="28" t="s">
        <v>98</v>
      </c>
      <c r="D114" s="37"/>
      <c r="E114" s="15"/>
      <c r="F114" s="15"/>
      <c r="G114" s="15">
        <v>0</v>
      </c>
      <c r="H114" s="15">
        <v>0</v>
      </c>
      <c r="I114" s="15"/>
      <c r="J114" s="15">
        <v>0</v>
      </c>
      <c r="K114" s="15"/>
      <c r="L114" s="15"/>
      <c r="M114" s="15">
        <v>0</v>
      </c>
      <c r="N114" s="15"/>
      <c r="O114" s="15"/>
      <c r="P114" s="13">
        <f t="shared" si="11"/>
        <v>0</v>
      </c>
    </row>
    <row r="115" spans="1:18" ht="12.75" customHeight="1" x14ac:dyDescent="0.4">
      <c r="A115" s="19"/>
      <c r="B115" s="26"/>
      <c r="C115" s="28" t="s">
        <v>99</v>
      </c>
      <c r="D115" s="37"/>
      <c r="E115" s="15"/>
      <c r="F115" s="15"/>
      <c r="G115" s="15">
        <v>0</v>
      </c>
      <c r="H115" s="15">
        <v>0</v>
      </c>
      <c r="I115" s="15"/>
      <c r="J115" s="15">
        <v>0</v>
      </c>
      <c r="K115" s="15"/>
      <c r="L115" s="15"/>
      <c r="M115" s="15">
        <v>0</v>
      </c>
      <c r="N115" s="15"/>
      <c r="O115" s="15"/>
      <c r="P115" s="13">
        <f t="shared" si="11"/>
        <v>0</v>
      </c>
    </row>
    <row r="116" spans="1:18" ht="12.75" customHeight="1" x14ac:dyDescent="0.4">
      <c r="A116" s="19" t="s">
        <v>39</v>
      </c>
      <c r="B116" s="27"/>
      <c r="C116" s="28" t="s">
        <v>100</v>
      </c>
      <c r="D116" s="29"/>
      <c r="E116" s="15"/>
      <c r="F116" s="15"/>
      <c r="G116" s="15">
        <v>0</v>
      </c>
      <c r="H116" s="15">
        <v>0</v>
      </c>
      <c r="I116" s="15"/>
      <c r="J116" s="15">
        <v>0</v>
      </c>
      <c r="K116" s="15"/>
      <c r="L116" s="15"/>
      <c r="M116" s="15">
        <v>0</v>
      </c>
      <c r="N116" s="15"/>
      <c r="O116" s="15"/>
      <c r="P116" s="13">
        <f t="shared" si="11"/>
        <v>0</v>
      </c>
    </row>
    <row r="117" spans="1:18" ht="12.75" customHeight="1" x14ac:dyDescent="0.4">
      <c r="A117" s="14"/>
      <c r="B117" s="27"/>
      <c r="C117" s="28" t="s">
        <v>101</v>
      </c>
      <c r="D117" s="29"/>
      <c r="E117" s="15"/>
      <c r="F117" s="15"/>
      <c r="G117" s="15">
        <v>0</v>
      </c>
      <c r="H117" s="15">
        <v>0</v>
      </c>
      <c r="I117" s="15"/>
      <c r="J117" s="15">
        <v>0</v>
      </c>
      <c r="K117" s="15"/>
      <c r="L117" s="15"/>
      <c r="M117" s="15">
        <v>0</v>
      </c>
      <c r="N117" s="15"/>
      <c r="O117" s="15"/>
      <c r="P117" s="13">
        <f t="shared" si="11"/>
        <v>0</v>
      </c>
      <c r="Q117" s="5"/>
      <c r="R117" s="5"/>
    </row>
    <row r="118" spans="1:18" ht="12.75" customHeight="1" x14ac:dyDescent="0.4">
      <c r="A118" s="14"/>
      <c r="B118" s="27"/>
      <c r="C118" s="28" t="s">
        <v>102</v>
      </c>
      <c r="D118" s="29"/>
      <c r="E118" s="15"/>
      <c r="F118" s="15"/>
      <c r="G118" s="15">
        <v>0</v>
      </c>
      <c r="H118" s="15">
        <v>0</v>
      </c>
      <c r="I118" s="15"/>
      <c r="J118" s="15">
        <v>0</v>
      </c>
      <c r="K118" s="15"/>
      <c r="L118" s="15"/>
      <c r="M118" s="15">
        <v>0</v>
      </c>
      <c r="N118" s="15"/>
      <c r="O118" s="15"/>
      <c r="P118" s="13">
        <f t="shared" si="11"/>
        <v>0</v>
      </c>
      <c r="Q118" s="5"/>
      <c r="R118" s="5"/>
    </row>
    <row r="119" spans="1:18" ht="12.75" customHeight="1" x14ac:dyDescent="0.4">
      <c r="A119" s="15" t="s">
        <v>15</v>
      </c>
      <c r="B119" s="53" t="s">
        <v>46</v>
      </c>
      <c r="C119" s="54"/>
      <c r="D119" s="55"/>
      <c r="E119" s="13">
        <f t="shared" ref="E119:O119" si="20">SUM(E112:E118)</f>
        <v>0</v>
      </c>
      <c r="F119" s="13">
        <f t="shared" si="20"/>
        <v>0</v>
      </c>
      <c r="G119" s="13">
        <f t="shared" si="20"/>
        <v>0</v>
      </c>
      <c r="H119" s="13">
        <f t="shared" si="20"/>
        <v>1</v>
      </c>
      <c r="I119" s="13">
        <f t="shared" si="20"/>
        <v>0</v>
      </c>
      <c r="J119" s="13">
        <f t="shared" si="20"/>
        <v>0</v>
      </c>
      <c r="K119" s="13">
        <f t="shared" si="20"/>
        <v>0</v>
      </c>
      <c r="L119" s="13">
        <f t="shared" si="20"/>
        <v>0</v>
      </c>
      <c r="M119" s="13">
        <f t="shared" si="20"/>
        <v>0</v>
      </c>
      <c r="N119" s="13">
        <f t="shared" si="20"/>
        <v>0</v>
      </c>
      <c r="O119" s="13">
        <f t="shared" si="20"/>
        <v>0</v>
      </c>
      <c r="P119" s="13">
        <f t="shared" si="11"/>
        <v>1</v>
      </c>
      <c r="Q119" s="5"/>
      <c r="R119" s="5"/>
    </row>
    <row r="120" spans="1:18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3">
        <f t="shared" si="11"/>
        <v>0</v>
      </c>
      <c r="Q120" s="5"/>
      <c r="R120" s="5"/>
    </row>
    <row r="121" spans="1:18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/>
      <c r="F121" s="15"/>
      <c r="G121" s="15">
        <v>0</v>
      </c>
      <c r="H121" s="15">
        <v>0</v>
      </c>
      <c r="I121" s="15"/>
      <c r="J121" s="15">
        <v>0</v>
      </c>
      <c r="K121" s="15"/>
      <c r="L121" s="15">
        <v>0</v>
      </c>
      <c r="M121" s="15">
        <v>0</v>
      </c>
      <c r="N121" s="15"/>
      <c r="O121" s="15">
        <v>1</v>
      </c>
      <c r="P121" s="13">
        <f t="shared" si="11"/>
        <v>1</v>
      </c>
      <c r="Q121" s="5"/>
      <c r="R121" s="5"/>
    </row>
    <row r="122" spans="1:18" ht="12.75" customHeight="1" x14ac:dyDescent="0.4">
      <c r="A122" s="19" t="s">
        <v>39</v>
      </c>
      <c r="B122" s="27"/>
      <c r="C122" s="28" t="s">
        <v>105</v>
      </c>
      <c r="D122" s="29"/>
      <c r="E122" s="15"/>
      <c r="F122" s="15"/>
      <c r="G122" s="15">
        <v>0</v>
      </c>
      <c r="H122" s="15">
        <v>0</v>
      </c>
      <c r="I122" s="15"/>
      <c r="J122" s="15">
        <v>0</v>
      </c>
      <c r="K122" s="15"/>
      <c r="L122" s="15">
        <v>1</v>
      </c>
      <c r="M122" s="15">
        <v>0</v>
      </c>
      <c r="N122" s="15"/>
      <c r="O122" s="15">
        <v>0</v>
      </c>
      <c r="P122" s="13">
        <f t="shared" si="11"/>
        <v>1</v>
      </c>
      <c r="Q122" s="5"/>
      <c r="R122" s="5"/>
    </row>
    <row r="123" spans="1:18" ht="12.75" customHeight="1" x14ac:dyDescent="0.4">
      <c r="A123" s="14"/>
      <c r="B123" s="27"/>
      <c r="C123" s="28" t="s">
        <v>106</v>
      </c>
      <c r="D123" s="29"/>
      <c r="E123" s="15"/>
      <c r="F123" s="15"/>
      <c r="G123" s="15">
        <v>0</v>
      </c>
      <c r="H123" s="15">
        <v>0</v>
      </c>
      <c r="I123" s="15"/>
      <c r="J123" s="15">
        <v>0</v>
      </c>
      <c r="K123" s="15"/>
      <c r="L123" s="15">
        <v>0</v>
      </c>
      <c r="M123" s="15">
        <v>0</v>
      </c>
      <c r="N123" s="15"/>
      <c r="O123" s="15"/>
      <c r="P123" s="13">
        <f t="shared" si="11"/>
        <v>0</v>
      </c>
      <c r="Q123" s="5"/>
      <c r="R123" s="5"/>
    </row>
    <row r="124" spans="1:18" ht="12.75" customHeight="1" x14ac:dyDescent="0.4">
      <c r="A124" s="14"/>
      <c r="B124" s="27"/>
      <c r="C124" s="28" t="s">
        <v>107</v>
      </c>
      <c r="D124" s="29"/>
      <c r="E124" s="15"/>
      <c r="F124" s="15"/>
      <c r="G124" s="15">
        <v>0</v>
      </c>
      <c r="H124" s="15">
        <v>0</v>
      </c>
      <c r="I124" s="15"/>
      <c r="J124" s="15">
        <v>0</v>
      </c>
      <c r="K124" s="15"/>
      <c r="L124" s="15">
        <v>0</v>
      </c>
      <c r="M124" s="15">
        <v>0</v>
      </c>
      <c r="N124" s="15"/>
      <c r="O124" s="15"/>
      <c r="P124" s="13">
        <f t="shared" si="11"/>
        <v>0</v>
      </c>
      <c r="Q124" s="5"/>
      <c r="R124" s="5"/>
    </row>
    <row r="125" spans="1:18" ht="12.75" customHeight="1" x14ac:dyDescent="0.4">
      <c r="A125" s="14"/>
      <c r="B125" s="27"/>
      <c r="C125" s="28" t="s">
        <v>108</v>
      </c>
      <c r="D125" s="29"/>
      <c r="E125" s="15"/>
      <c r="F125" s="15"/>
      <c r="G125" s="15">
        <v>0</v>
      </c>
      <c r="H125" s="15">
        <v>0</v>
      </c>
      <c r="I125" s="15"/>
      <c r="J125" s="15">
        <v>0</v>
      </c>
      <c r="K125" s="15"/>
      <c r="L125" s="15">
        <v>0</v>
      </c>
      <c r="M125" s="15">
        <v>0</v>
      </c>
      <c r="N125" s="15"/>
      <c r="O125" s="15"/>
      <c r="P125" s="13">
        <f t="shared" si="11"/>
        <v>0</v>
      </c>
      <c r="Q125" s="5"/>
      <c r="R125" s="5"/>
    </row>
    <row r="126" spans="1:18" ht="12.75" customHeight="1" x14ac:dyDescent="0.4">
      <c r="A126" s="14"/>
      <c r="B126" s="27"/>
      <c r="C126" s="28" t="s">
        <v>109</v>
      </c>
      <c r="D126" s="29"/>
      <c r="E126" s="15"/>
      <c r="F126" s="15"/>
      <c r="G126" s="15">
        <v>0</v>
      </c>
      <c r="H126" s="15">
        <v>0</v>
      </c>
      <c r="I126" s="15"/>
      <c r="J126" s="15">
        <v>0</v>
      </c>
      <c r="K126" s="15"/>
      <c r="L126" s="15">
        <v>1</v>
      </c>
      <c r="M126" s="15">
        <v>0</v>
      </c>
      <c r="N126" s="15"/>
      <c r="O126" s="15"/>
      <c r="P126" s="13">
        <f t="shared" si="11"/>
        <v>1</v>
      </c>
      <c r="Q126" s="5"/>
      <c r="R126" s="5"/>
    </row>
    <row r="127" spans="1:18" ht="12.75" customHeight="1" x14ac:dyDescent="0.4">
      <c r="A127" s="14"/>
      <c r="B127" s="27"/>
      <c r="C127" s="28" t="s">
        <v>110</v>
      </c>
      <c r="D127" s="29"/>
      <c r="E127" s="15"/>
      <c r="F127" s="15"/>
      <c r="G127" s="15">
        <v>0</v>
      </c>
      <c r="H127" s="15">
        <v>0</v>
      </c>
      <c r="I127" s="15"/>
      <c r="J127" s="15">
        <v>0</v>
      </c>
      <c r="K127" s="15"/>
      <c r="L127" s="15">
        <v>0</v>
      </c>
      <c r="M127" s="15">
        <v>0</v>
      </c>
      <c r="N127" s="15"/>
      <c r="O127" s="15"/>
      <c r="P127" s="13">
        <f t="shared" si="11"/>
        <v>0</v>
      </c>
      <c r="Q127" s="5"/>
      <c r="R127" s="5"/>
    </row>
    <row r="128" spans="1:18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O128" si="21">SUM(E121:E127)</f>
        <v>0</v>
      </c>
      <c r="F128" s="13">
        <f t="shared" si="21"/>
        <v>0</v>
      </c>
      <c r="G128" s="13">
        <f t="shared" si="21"/>
        <v>0</v>
      </c>
      <c r="H128" s="13">
        <f t="shared" si="21"/>
        <v>0</v>
      </c>
      <c r="I128" s="13">
        <f t="shared" si="21"/>
        <v>0</v>
      </c>
      <c r="J128" s="13">
        <f t="shared" si="21"/>
        <v>0</v>
      </c>
      <c r="K128" s="13">
        <f t="shared" si="21"/>
        <v>0</v>
      </c>
      <c r="L128" s="13">
        <f t="shared" si="21"/>
        <v>2</v>
      </c>
      <c r="M128" s="13">
        <f t="shared" si="21"/>
        <v>0</v>
      </c>
      <c r="N128" s="13">
        <f t="shared" si="21"/>
        <v>0</v>
      </c>
      <c r="O128" s="13">
        <f t="shared" si="21"/>
        <v>1</v>
      </c>
      <c r="P128" s="13">
        <f t="shared" si="11"/>
        <v>3</v>
      </c>
      <c r="Q128" s="5"/>
      <c r="R128" s="5"/>
    </row>
    <row r="129" spans="1:18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3">
        <f t="shared" si="11"/>
        <v>0</v>
      </c>
      <c r="Q129" s="5"/>
      <c r="R129" s="5"/>
    </row>
    <row r="130" spans="1:18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/>
      <c r="G130" s="15">
        <v>0</v>
      </c>
      <c r="H130" s="15">
        <v>1</v>
      </c>
      <c r="I130" s="15"/>
      <c r="J130" s="15">
        <v>0</v>
      </c>
      <c r="K130" s="15"/>
      <c r="L130" s="15"/>
      <c r="M130" s="15">
        <v>0</v>
      </c>
      <c r="N130" s="15"/>
      <c r="O130" s="15">
        <v>1</v>
      </c>
      <c r="P130" s="13">
        <f t="shared" si="11"/>
        <v>2</v>
      </c>
      <c r="Q130" s="1"/>
      <c r="R130" s="1"/>
    </row>
    <row r="131" spans="1:18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3">
        <f t="shared" si="11"/>
        <v>0</v>
      </c>
      <c r="Q131" s="31"/>
      <c r="R131" s="31"/>
    </row>
    <row r="132" spans="1:18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O132" si="22">SUM(E130:E131)</f>
        <v>0</v>
      </c>
      <c r="F132" s="13">
        <f t="shared" si="22"/>
        <v>0</v>
      </c>
      <c r="G132" s="13">
        <f t="shared" si="22"/>
        <v>0</v>
      </c>
      <c r="H132" s="13">
        <f t="shared" si="22"/>
        <v>1</v>
      </c>
      <c r="I132" s="13">
        <f t="shared" si="22"/>
        <v>0</v>
      </c>
      <c r="J132" s="13">
        <f t="shared" si="22"/>
        <v>0</v>
      </c>
      <c r="K132" s="13">
        <f t="shared" si="22"/>
        <v>0</v>
      </c>
      <c r="L132" s="13">
        <f t="shared" si="22"/>
        <v>0</v>
      </c>
      <c r="M132" s="13">
        <f t="shared" si="22"/>
        <v>0</v>
      </c>
      <c r="N132" s="13">
        <f t="shared" si="22"/>
        <v>0</v>
      </c>
      <c r="O132" s="13">
        <f t="shared" si="22"/>
        <v>1</v>
      </c>
      <c r="P132" s="13">
        <f t="shared" si="11"/>
        <v>2</v>
      </c>
      <c r="Q132" s="5"/>
      <c r="R132" s="5"/>
    </row>
    <row r="133" spans="1:18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3">
        <f t="shared" si="11"/>
        <v>0</v>
      </c>
      <c r="Q133" s="5"/>
      <c r="R133" s="5"/>
    </row>
    <row r="134" spans="1:18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/>
      <c r="F134" s="15"/>
      <c r="G134" s="15">
        <v>0</v>
      </c>
      <c r="H134" s="15">
        <v>0</v>
      </c>
      <c r="I134" s="15"/>
      <c r="J134" s="15">
        <v>0</v>
      </c>
      <c r="K134" s="15"/>
      <c r="L134" s="15"/>
      <c r="M134" s="15">
        <v>0</v>
      </c>
      <c r="N134" s="15"/>
      <c r="O134" s="15"/>
      <c r="P134" s="13">
        <f t="shared" si="11"/>
        <v>0</v>
      </c>
      <c r="Q134" s="5"/>
      <c r="R134" s="5"/>
    </row>
    <row r="135" spans="1:18" ht="12.75" customHeight="1" x14ac:dyDescent="0.4">
      <c r="A135" s="19" t="s">
        <v>39</v>
      </c>
      <c r="B135" s="27"/>
      <c r="C135" s="28" t="s">
        <v>116</v>
      </c>
      <c r="D135" s="29"/>
      <c r="E135" s="15"/>
      <c r="F135" s="15"/>
      <c r="G135" s="15">
        <v>0</v>
      </c>
      <c r="H135" s="15">
        <v>0</v>
      </c>
      <c r="I135" s="15"/>
      <c r="J135" s="15">
        <v>0</v>
      </c>
      <c r="K135" s="15"/>
      <c r="L135" s="15"/>
      <c r="M135" s="15">
        <v>0</v>
      </c>
      <c r="N135" s="15"/>
      <c r="O135" s="15"/>
      <c r="P135" s="13">
        <f t="shared" si="11"/>
        <v>0</v>
      </c>
      <c r="Q135" s="5"/>
      <c r="R135" s="5"/>
    </row>
    <row r="136" spans="1:18" ht="12.75" customHeight="1" x14ac:dyDescent="0.4">
      <c r="A136" s="14"/>
      <c r="B136" s="27"/>
      <c r="C136" s="28" t="s">
        <v>117</v>
      </c>
      <c r="D136" s="29"/>
      <c r="E136" s="15"/>
      <c r="F136" s="15"/>
      <c r="G136" s="15">
        <v>0</v>
      </c>
      <c r="H136" s="15">
        <v>0</v>
      </c>
      <c r="I136" s="15"/>
      <c r="J136" s="15">
        <v>0</v>
      </c>
      <c r="K136" s="15"/>
      <c r="L136" s="15"/>
      <c r="M136" s="15">
        <v>0</v>
      </c>
      <c r="N136" s="15"/>
      <c r="O136" s="15"/>
      <c r="P136" s="13">
        <f t="shared" si="11"/>
        <v>0</v>
      </c>
      <c r="Q136" s="5"/>
      <c r="R136" s="5"/>
    </row>
    <row r="137" spans="1:18" ht="12.75" customHeight="1" x14ac:dyDescent="0.4">
      <c r="A137" s="14"/>
      <c r="B137" s="27"/>
      <c r="C137" s="28" t="s">
        <v>118</v>
      </c>
      <c r="D137" s="29"/>
      <c r="E137" s="15"/>
      <c r="F137" s="15"/>
      <c r="G137" s="15">
        <v>0</v>
      </c>
      <c r="H137" s="15">
        <v>0</v>
      </c>
      <c r="I137" s="15"/>
      <c r="J137" s="15">
        <v>0</v>
      </c>
      <c r="K137" s="15"/>
      <c r="L137" s="15">
        <v>1</v>
      </c>
      <c r="M137" s="15">
        <v>1</v>
      </c>
      <c r="N137" s="15"/>
      <c r="O137" s="15"/>
      <c r="P137" s="13">
        <f t="shared" si="11"/>
        <v>2</v>
      </c>
      <c r="Q137" s="5"/>
      <c r="R137" s="5"/>
    </row>
    <row r="138" spans="1:18" ht="12.75" customHeight="1" x14ac:dyDescent="0.4">
      <c r="A138" s="14"/>
      <c r="B138" s="27"/>
      <c r="C138" s="28" t="s">
        <v>119</v>
      </c>
      <c r="D138" s="29"/>
      <c r="E138" s="15"/>
      <c r="F138" s="15"/>
      <c r="G138" s="15">
        <v>0</v>
      </c>
      <c r="H138" s="15">
        <v>0</v>
      </c>
      <c r="I138" s="15"/>
      <c r="J138" s="15">
        <v>0</v>
      </c>
      <c r="K138" s="15"/>
      <c r="L138" s="15"/>
      <c r="M138" s="15">
        <v>0</v>
      </c>
      <c r="N138" s="15"/>
      <c r="O138" s="15"/>
      <c r="P138" s="13">
        <f t="shared" si="11"/>
        <v>0</v>
      </c>
      <c r="Q138" s="5"/>
      <c r="R138" s="5"/>
    </row>
    <row r="139" spans="1:18" ht="12.75" customHeight="1" x14ac:dyDescent="0.4">
      <c r="A139" s="14"/>
      <c r="B139" s="27"/>
      <c r="C139" s="28" t="s">
        <v>120</v>
      </c>
      <c r="D139" s="29"/>
      <c r="E139" s="15"/>
      <c r="F139" s="15"/>
      <c r="G139" s="15">
        <v>0</v>
      </c>
      <c r="H139" s="15">
        <v>0</v>
      </c>
      <c r="I139" s="15"/>
      <c r="J139" s="15">
        <v>0</v>
      </c>
      <c r="K139" s="15"/>
      <c r="L139" s="15"/>
      <c r="M139" s="15">
        <v>0</v>
      </c>
      <c r="N139" s="15"/>
      <c r="O139" s="15"/>
      <c r="P139" s="13">
        <f t="shared" si="11"/>
        <v>0</v>
      </c>
      <c r="Q139" s="5"/>
      <c r="R139" s="5"/>
    </row>
    <row r="140" spans="1:18" ht="12.75" customHeight="1" x14ac:dyDescent="0.4">
      <c r="A140" s="14"/>
      <c r="B140" s="27"/>
      <c r="C140" s="28" t="s">
        <v>121</v>
      </c>
      <c r="D140" s="29"/>
      <c r="E140" s="15"/>
      <c r="F140" s="15"/>
      <c r="G140" s="15">
        <v>0</v>
      </c>
      <c r="H140" s="15">
        <v>0</v>
      </c>
      <c r="I140" s="15"/>
      <c r="J140" s="15">
        <v>0</v>
      </c>
      <c r="K140" s="15"/>
      <c r="L140" s="15"/>
      <c r="M140" s="15">
        <v>0</v>
      </c>
      <c r="N140" s="15"/>
      <c r="O140" s="15"/>
      <c r="P140" s="13">
        <f t="shared" si="11"/>
        <v>0</v>
      </c>
      <c r="Q140" s="5"/>
      <c r="R140" s="5"/>
    </row>
    <row r="141" spans="1:18" ht="12.75" customHeight="1" x14ac:dyDescent="0.4">
      <c r="A141" s="15" t="s">
        <v>15</v>
      </c>
      <c r="B141" s="53" t="s">
        <v>46</v>
      </c>
      <c r="C141" s="54"/>
      <c r="D141" s="55"/>
      <c r="E141" s="13">
        <f t="shared" ref="E141:O141" si="23">SUM(E134:E140)</f>
        <v>0</v>
      </c>
      <c r="F141" s="13">
        <f t="shared" si="23"/>
        <v>0</v>
      </c>
      <c r="G141" s="13">
        <f t="shared" si="23"/>
        <v>0</v>
      </c>
      <c r="H141" s="13">
        <f t="shared" si="23"/>
        <v>0</v>
      </c>
      <c r="I141" s="13">
        <f t="shared" si="23"/>
        <v>0</v>
      </c>
      <c r="J141" s="13">
        <f t="shared" si="23"/>
        <v>0</v>
      </c>
      <c r="K141" s="13">
        <f t="shared" si="23"/>
        <v>0</v>
      </c>
      <c r="L141" s="13">
        <f t="shared" si="23"/>
        <v>1</v>
      </c>
      <c r="M141" s="13">
        <f t="shared" si="23"/>
        <v>1</v>
      </c>
      <c r="N141" s="13">
        <f t="shared" si="23"/>
        <v>0</v>
      </c>
      <c r="O141" s="13">
        <f t="shared" si="23"/>
        <v>0</v>
      </c>
      <c r="P141" s="13">
        <f t="shared" si="11"/>
        <v>2</v>
      </c>
      <c r="Q141" s="1"/>
      <c r="R141" s="1"/>
    </row>
    <row r="142" spans="1:18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3">
        <f t="shared" si="11"/>
        <v>0</v>
      </c>
      <c r="Q142" s="31"/>
      <c r="R142" s="31"/>
    </row>
    <row r="143" spans="1:18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/>
      <c r="F143" s="15">
        <v>0</v>
      </c>
      <c r="G143" s="15">
        <v>0</v>
      </c>
      <c r="H143" s="15">
        <v>0</v>
      </c>
      <c r="I143" s="15"/>
      <c r="J143" s="15">
        <v>0</v>
      </c>
      <c r="K143" s="15">
        <v>0</v>
      </c>
      <c r="L143" s="15">
        <v>0</v>
      </c>
      <c r="M143" s="15">
        <v>0</v>
      </c>
      <c r="N143" s="15"/>
      <c r="O143" s="15">
        <v>1</v>
      </c>
      <c r="P143" s="13">
        <f t="shared" si="11"/>
        <v>1</v>
      </c>
      <c r="Q143" s="5"/>
      <c r="R143" s="5"/>
    </row>
    <row r="144" spans="1:18" ht="12.75" customHeight="1" x14ac:dyDescent="0.4">
      <c r="A144" s="19" t="s">
        <v>39</v>
      </c>
      <c r="B144" s="27"/>
      <c r="C144" s="28" t="s">
        <v>124</v>
      </c>
      <c r="D144" s="29"/>
      <c r="E144" s="15"/>
      <c r="F144" s="15">
        <v>3</v>
      </c>
      <c r="G144" s="15">
        <v>1</v>
      </c>
      <c r="H144" s="15">
        <v>0</v>
      </c>
      <c r="I144" s="15"/>
      <c r="J144" s="15">
        <v>0</v>
      </c>
      <c r="K144" s="15">
        <v>1</v>
      </c>
      <c r="L144" s="15"/>
      <c r="M144" s="15">
        <v>2</v>
      </c>
      <c r="N144" s="15"/>
      <c r="O144" s="15"/>
      <c r="P144" s="13">
        <f t="shared" si="11"/>
        <v>7</v>
      </c>
      <c r="Q144" s="5"/>
      <c r="R144" s="5"/>
    </row>
    <row r="145" spans="1:18" ht="12.75" customHeight="1" x14ac:dyDescent="0.4">
      <c r="A145" s="14"/>
      <c r="B145" s="27"/>
      <c r="C145" s="28" t="s">
        <v>125</v>
      </c>
      <c r="D145" s="29"/>
      <c r="E145" s="15"/>
      <c r="F145" s="15">
        <v>0</v>
      </c>
      <c r="G145" s="15">
        <v>0</v>
      </c>
      <c r="H145" s="15">
        <v>0</v>
      </c>
      <c r="I145" s="15"/>
      <c r="J145" s="15">
        <v>0</v>
      </c>
      <c r="K145" s="15">
        <v>0</v>
      </c>
      <c r="L145" s="15"/>
      <c r="M145" s="15">
        <v>0</v>
      </c>
      <c r="N145" s="15"/>
      <c r="O145" s="15"/>
      <c r="P145" s="13">
        <f t="shared" si="11"/>
        <v>0</v>
      </c>
      <c r="Q145" s="5"/>
      <c r="R145" s="5"/>
    </row>
    <row r="146" spans="1:18" ht="12.75" customHeight="1" x14ac:dyDescent="0.4">
      <c r="A146" s="14"/>
      <c r="B146" s="27"/>
      <c r="C146" s="28" t="s">
        <v>126</v>
      </c>
      <c r="D146" s="29"/>
      <c r="E146" s="15"/>
      <c r="F146" s="15"/>
      <c r="G146" s="15">
        <v>0</v>
      </c>
      <c r="H146" s="15">
        <v>0</v>
      </c>
      <c r="I146" s="15"/>
      <c r="J146" s="15">
        <v>0</v>
      </c>
      <c r="K146" s="15"/>
      <c r="L146" s="15"/>
      <c r="M146" s="15">
        <v>0</v>
      </c>
      <c r="N146" s="15"/>
      <c r="O146" s="15"/>
      <c r="P146" s="13">
        <f t="shared" si="11"/>
        <v>0</v>
      </c>
      <c r="Q146" s="5"/>
      <c r="R146" s="5"/>
    </row>
    <row r="147" spans="1:18" ht="12.75" customHeight="1" x14ac:dyDescent="0.4">
      <c r="A147" s="14"/>
      <c r="B147" s="27"/>
      <c r="C147" s="28" t="s">
        <v>127</v>
      </c>
      <c r="D147" s="29"/>
      <c r="E147" s="15"/>
      <c r="F147" s="15"/>
      <c r="G147" s="15">
        <v>0</v>
      </c>
      <c r="H147" s="15">
        <v>0</v>
      </c>
      <c r="I147" s="15"/>
      <c r="J147" s="15">
        <v>0</v>
      </c>
      <c r="K147" s="15"/>
      <c r="L147" s="15"/>
      <c r="M147" s="15">
        <v>0</v>
      </c>
      <c r="N147" s="15"/>
      <c r="O147" s="15"/>
      <c r="P147" s="13">
        <f t="shared" si="11"/>
        <v>0</v>
      </c>
      <c r="Q147" s="5"/>
      <c r="R147" s="5"/>
    </row>
    <row r="148" spans="1:18" ht="12.75" customHeight="1" x14ac:dyDescent="0.4">
      <c r="A148" s="14"/>
      <c r="B148" s="27"/>
      <c r="C148" s="28" t="s">
        <v>128</v>
      </c>
      <c r="D148" s="29"/>
      <c r="E148" s="15"/>
      <c r="F148" s="15"/>
      <c r="G148" s="15">
        <v>0</v>
      </c>
      <c r="H148" s="15">
        <v>0</v>
      </c>
      <c r="I148" s="15"/>
      <c r="J148" s="15">
        <v>0</v>
      </c>
      <c r="K148" s="15"/>
      <c r="L148" s="15"/>
      <c r="M148" s="15">
        <v>0</v>
      </c>
      <c r="N148" s="15"/>
      <c r="O148" s="15"/>
      <c r="P148" s="13">
        <f t="shared" si="11"/>
        <v>0</v>
      </c>
      <c r="Q148" s="5"/>
      <c r="R148" s="5"/>
    </row>
    <row r="149" spans="1:18" ht="12.75" customHeight="1" x14ac:dyDescent="0.4">
      <c r="A149" s="14"/>
      <c r="B149" s="27"/>
      <c r="C149" s="28" t="s">
        <v>129</v>
      </c>
      <c r="D149" s="29"/>
      <c r="E149" s="15"/>
      <c r="F149" s="15"/>
      <c r="G149" s="15">
        <v>0</v>
      </c>
      <c r="H149" s="15">
        <v>0</v>
      </c>
      <c r="I149" s="15"/>
      <c r="J149" s="15">
        <v>0</v>
      </c>
      <c r="K149" s="15"/>
      <c r="L149" s="15"/>
      <c r="M149" s="15">
        <v>0</v>
      </c>
      <c r="N149" s="15"/>
      <c r="O149" s="15"/>
      <c r="P149" s="13">
        <f t="shared" si="11"/>
        <v>0</v>
      </c>
      <c r="Q149" s="5"/>
      <c r="R149" s="5"/>
    </row>
    <row r="150" spans="1:18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O150" si="24">SUM(E143:E149)</f>
        <v>0</v>
      </c>
      <c r="F150" s="13">
        <f t="shared" si="24"/>
        <v>3</v>
      </c>
      <c r="G150" s="13">
        <f t="shared" si="24"/>
        <v>1</v>
      </c>
      <c r="H150" s="13">
        <f t="shared" si="24"/>
        <v>0</v>
      </c>
      <c r="I150" s="13">
        <f t="shared" si="24"/>
        <v>0</v>
      </c>
      <c r="J150" s="13">
        <f t="shared" si="24"/>
        <v>0</v>
      </c>
      <c r="K150" s="13">
        <f t="shared" si="24"/>
        <v>1</v>
      </c>
      <c r="L150" s="13">
        <f t="shared" si="24"/>
        <v>0</v>
      </c>
      <c r="M150" s="13">
        <f t="shared" si="24"/>
        <v>2</v>
      </c>
      <c r="N150" s="13">
        <f t="shared" si="24"/>
        <v>0</v>
      </c>
      <c r="O150" s="13">
        <f t="shared" si="24"/>
        <v>1</v>
      </c>
      <c r="P150" s="13">
        <f t="shared" si="11"/>
        <v>8</v>
      </c>
      <c r="Q150" s="5"/>
      <c r="R150" s="5"/>
    </row>
    <row r="151" spans="1:18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3">
        <f t="shared" si="11"/>
        <v>0</v>
      </c>
      <c r="Q151" s="1"/>
      <c r="R151" s="1"/>
    </row>
    <row r="152" spans="1:18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8</v>
      </c>
      <c r="F152" s="15">
        <v>7</v>
      </c>
      <c r="G152" s="15">
        <v>19</v>
      </c>
      <c r="H152" s="15">
        <v>8</v>
      </c>
      <c r="I152" s="15">
        <v>6</v>
      </c>
      <c r="J152" s="15">
        <v>17</v>
      </c>
      <c r="K152" s="15">
        <v>3</v>
      </c>
      <c r="L152" s="15">
        <v>7</v>
      </c>
      <c r="M152" s="15">
        <v>1</v>
      </c>
      <c r="N152" s="15">
        <v>10</v>
      </c>
      <c r="O152" s="15">
        <v>5</v>
      </c>
      <c r="P152" s="13">
        <f t="shared" si="11"/>
        <v>91</v>
      </c>
      <c r="Q152" s="31"/>
      <c r="R152" s="31"/>
    </row>
    <row r="153" spans="1:18" ht="12.75" customHeight="1" x14ac:dyDescent="0.4">
      <c r="A153" s="19" t="s">
        <v>39</v>
      </c>
      <c r="B153" s="27"/>
      <c r="C153" s="28" t="s">
        <v>132</v>
      </c>
      <c r="D153" s="29"/>
      <c r="E153" s="15">
        <v>4</v>
      </c>
      <c r="F153" s="15">
        <v>4</v>
      </c>
      <c r="G153" s="15">
        <v>1</v>
      </c>
      <c r="H153" s="15">
        <v>5</v>
      </c>
      <c r="I153" s="15">
        <v>3</v>
      </c>
      <c r="J153" s="15">
        <v>3</v>
      </c>
      <c r="K153" s="15">
        <v>1</v>
      </c>
      <c r="L153" s="15">
        <v>4</v>
      </c>
      <c r="M153" s="15">
        <v>1</v>
      </c>
      <c r="N153" s="15">
        <v>0</v>
      </c>
      <c r="O153" s="15">
        <v>0</v>
      </c>
      <c r="P153" s="13">
        <f t="shared" si="11"/>
        <v>26</v>
      </c>
      <c r="Q153" s="5"/>
      <c r="R153" s="5"/>
    </row>
    <row r="154" spans="1:18" ht="12.75" customHeight="1" x14ac:dyDescent="0.4">
      <c r="A154" s="14"/>
      <c r="B154" s="27"/>
      <c r="C154" s="28" t="s">
        <v>133</v>
      </c>
      <c r="D154" s="29"/>
      <c r="E154" s="15">
        <v>66</v>
      </c>
      <c r="F154" s="15">
        <v>50</v>
      </c>
      <c r="G154" s="15">
        <v>56</v>
      </c>
      <c r="H154" s="15">
        <v>47</v>
      </c>
      <c r="I154" s="15">
        <v>23</v>
      </c>
      <c r="J154" s="15">
        <v>73</v>
      </c>
      <c r="K154" s="15">
        <v>69</v>
      </c>
      <c r="L154" s="15">
        <v>50</v>
      </c>
      <c r="M154" s="15">
        <v>25</v>
      </c>
      <c r="N154" s="15">
        <v>37</v>
      </c>
      <c r="O154" s="15">
        <v>39</v>
      </c>
      <c r="P154" s="13">
        <f t="shared" si="11"/>
        <v>535</v>
      </c>
      <c r="Q154" s="5"/>
      <c r="R154" s="5"/>
    </row>
    <row r="155" spans="1:18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0</v>
      </c>
      <c r="G155" s="15">
        <v>0</v>
      </c>
      <c r="H155" s="15">
        <v>1</v>
      </c>
      <c r="I155" s="15">
        <v>1</v>
      </c>
      <c r="J155" s="15">
        <v>2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3">
        <f t="shared" si="11"/>
        <v>4</v>
      </c>
      <c r="Q155" s="5"/>
      <c r="R155" s="5"/>
    </row>
    <row r="156" spans="1:18" ht="12.75" customHeight="1" x14ac:dyDescent="0.4">
      <c r="A156" s="14"/>
      <c r="B156" s="27"/>
      <c r="C156" s="28" t="s">
        <v>135</v>
      </c>
      <c r="D156" s="29"/>
      <c r="E156" s="15">
        <v>0</v>
      </c>
      <c r="F156" s="15"/>
      <c r="G156" s="15">
        <v>0</v>
      </c>
      <c r="H156" s="15">
        <v>0</v>
      </c>
      <c r="I156" s="15">
        <v>0</v>
      </c>
      <c r="J156" s="15">
        <v>0</v>
      </c>
      <c r="K156" s="15">
        <v>1</v>
      </c>
      <c r="L156" s="15">
        <v>1</v>
      </c>
      <c r="M156" s="15">
        <v>1</v>
      </c>
      <c r="N156" s="15">
        <v>0</v>
      </c>
      <c r="O156" s="15">
        <v>0</v>
      </c>
      <c r="P156" s="13">
        <f t="shared" si="11"/>
        <v>3</v>
      </c>
      <c r="Q156" s="5"/>
      <c r="R156" s="5"/>
    </row>
    <row r="157" spans="1:18" ht="12.75" customHeight="1" x14ac:dyDescent="0.4">
      <c r="A157" s="14"/>
      <c r="B157" s="27"/>
      <c r="C157" s="28" t="s">
        <v>136</v>
      </c>
      <c r="D157" s="29"/>
      <c r="E157" s="15">
        <v>0</v>
      </c>
      <c r="F157" s="15"/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3">
        <f t="shared" si="11"/>
        <v>0</v>
      </c>
      <c r="Q157" s="5"/>
      <c r="R157" s="5"/>
    </row>
    <row r="158" spans="1:18" ht="12.75" customHeight="1" x14ac:dyDescent="0.4">
      <c r="A158" s="14"/>
      <c r="B158" s="27"/>
      <c r="C158" s="28" t="s">
        <v>137</v>
      </c>
      <c r="D158" s="29"/>
      <c r="E158" s="15">
        <v>1</v>
      </c>
      <c r="F158" s="15"/>
      <c r="G158" s="15">
        <v>0</v>
      </c>
      <c r="H158" s="15">
        <v>0</v>
      </c>
      <c r="I158" s="15">
        <v>0</v>
      </c>
      <c r="J158" s="15">
        <v>1</v>
      </c>
      <c r="K158" s="15">
        <v>0</v>
      </c>
      <c r="L158" s="15">
        <v>0</v>
      </c>
      <c r="M158" s="15">
        <v>3</v>
      </c>
      <c r="N158" s="15">
        <v>0</v>
      </c>
      <c r="O158" s="15">
        <v>2</v>
      </c>
      <c r="P158" s="13">
        <f t="shared" si="11"/>
        <v>7</v>
      </c>
      <c r="Q158" s="5"/>
      <c r="R158" s="5"/>
    </row>
    <row r="159" spans="1:18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O159" si="25">SUM(E152:E158)</f>
        <v>79</v>
      </c>
      <c r="F159" s="13">
        <f t="shared" si="25"/>
        <v>61</v>
      </c>
      <c r="G159" s="13">
        <f t="shared" si="25"/>
        <v>76</v>
      </c>
      <c r="H159" s="13">
        <f t="shared" si="25"/>
        <v>61</v>
      </c>
      <c r="I159" s="13">
        <f t="shared" si="25"/>
        <v>33</v>
      </c>
      <c r="J159" s="13">
        <f t="shared" si="25"/>
        <v>96</v>
      </c>
      <c r="K159" s="13">
        <f t="shared" si="25"/>
        <v>74</v>
      </c>
      <c r="L159" s="13">
        <f t="shared" si="25"/>
        <v>62</v>
      </c>
      <c r="M159" s="13">
        <f t="shared" si="25"/>
        <v>31</v>
      </c>
      <c r="N159" s="13">
        <f t="shared" si="25"/>
        <v>47</v>
      </c>
      <c r="O159" s="13">
        <f t="shared" si="25"/>
        <v>46</v>
      </c>
      <c r="P159" s="13">
        <f t="shared" si="11"/>
        <v>666</v>
      </c>
      <c r="Q159" s="5"/>
      <c r="R159" s="5"/>
    </row>
    <row r="160" spans="1:18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3">
        <f t="shared" si="11"/>
        <v>0</v>
      </c>
      <c r="Q160" s="5"/>
      <c r="R160" s="5"/>
    </row>
    <row r="161" spans="1:18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/>
      <c r="F161" s="46">
        <v>0</v>
      </c>
      <c r="G161" s="46">
        <v>0</v>
      </c>
      <c r="H161" s="46">
        <v>3</v>
      </c>
      <c r="I161" s="46">
        <v>1</v>
      </c>
      <c r="J161" s="46">
        <v>0</v>
      </c>
      <c r="K161" s="46">
        <v>1</v>
      </c>
      <c r="L161" s="46">
        <v>1</v>
      </c>
      <c r="M161" s="46">
        <v>0</v>
      </c>
      <c r="N161" s="46"/>
      <c r="O161" s="46">
        <v>1</v>
      </c>
      <c r="P161" s="13">
        <f t="shared" si="11"/>
        <v>7</v>
      </c>
      <c r="Q161" s="5"/>
      <c r="R161" s="5"/>
    </row>
    <row r="162" spans="1:18" ht="12.75" customHeight="1" x14ac:dyDescent="0.4">
      <c r="A162" s="19" t="s">
        <v>39</v>
      </c>
      <c r="B162" s="27"/>
      <c r="C162" s="28" t="s">
        <v>140</v>
      </c>
      <c r="D162" s="29"/>
      <c r="E162" s="46"/>
      <c r="F162" s="46">
        <v>2</v>
      </c>
      <c r="G162" s="46">
        <v>0</v>
      </c>
      <c r="H162" s="46">
        <v>0</v>
      </c>
      <c r="I162" s="46">
        <v>0</v>
      </c>
      <c r="J162" s="46">
        <v>0</v>
      </c>
      <c r="K162" s="46">
        <v>1</v>
      </c>
      <c r="L162" s="46">
        <v>0</v>
      </c>
      <c r="M162" s="46">
        <v>0</v>
      </c>
      <c r="N162" s="46"/>
      <c r="O162" s="46">
        <v>1</v>
      </c>
      <c r="P162" s="13">
        <f t="shared" si="11"/>
        <v>4</v>
      </c>
      <c r="Q162" s="5"/>
      <c r="R162" s="5"/>
    </row>
    <row r="163" spans="1:18" ht="12.75" customHeight="1" x14ac:dyDescent="0.4">
      <c r="A163" s="19"/>
      <c r="B163" s="27"/>
      <c r="C163" s="28" t="s">
        <v>141</v>
      </c>
      <c r="D163" s="29"/>
      <c r="E163" s="46"/>
      <c r="F163" s="46"/>
      <c r="G163" s="46"/>
      <c r="H163" s="46"/>
      <c r="I163" s="46">
        <v>1</v>
      </c>
      <c r="J163" s="46"/>
      <c r="K163" s="46"/>
      <c r="L163" s="46"/>
      <c r="M163" s="46"/>
      <c r="N163" s="46"/>
      <c r="O163" s="46">
        <v>1</v>
      </c>
      <c r="P163" s="13">
        <f t="shared" si="11"/>
        <v>2</v>
      </c>
      <c r="Q163" s="5"/>
      <c r="R163" s="5"/>
    </row>
    <row r="164" spans="1:18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O164" si="26">SUM(E161:E163)</f>
        <v>0</v>
      </c>
      <c r="F164" s="13">
        <f t="shared" si="26"/>
        <v>2</v>
      </c>
      <c r="G164" s="13">
        <f t="shared" si="26"/>
        <v>0</v>
      </c>
      <c r="H164" s="13">
        <f t="shared" si="26"/>
        <v>3</v>
      </c>
      <c r="I164" s="13">
        <f t="shared" si="26"/>
        <v>2</v>
      </c>
      <c r="J164" s="13">
        <f t="shared" si="26"/>
        <v>0</v>
      </c>
      <c r="K164" s="13">
        <f t="shared" si="26"/>
        <v>2</v>
      </c>
      <c r="L164" s="13">
        <f t="shared" si="26"/>
        <v>1</v>
      </c>
      <c r="M164" s="13">
        <f t="shared" si="26"/>
        <v>0</v>
      </c>
      <c r="N164" s="13">
        <f t="shared" si="26"/>
        <v>0</v>
      </c>
      <c r="O164" s="13">
        <f t="shared" si="26"/>
        <v>3</v>
      </c>
      <c r="P164" s="13">
        <f t="shared" si="11"/>
        <v>13</v>
      </c>
      <c r="Q164" s="5"/>
      <c r="R164" s="5"/>
    </row>
    <row r="165" spans="1:18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3">
        <f t="shared" si="11"/>
        <v>0</v>
      </c>
      <c r="Q165" s="1"/>
      <c r="R165" s="1"/>
    </row>
    <row r="166" spans="1:18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/>
      <c r="J166" s="15">
        <v>0</v>
      </c>
      <c r="K166" s="15"/>
      <c r="L166" s="15">
        <v>1</v>
      </c>
      <c r="M166" s="15">
        <v>0</v>
      </c>
      <c r="N166" s="15"/>
      <c r="O166" s="15"/>
      <c r="P166" s="13">
        <f t="shared" si="11"/>
        <v>1</v>
      </c>
      <c r="Q166" s="31"/>
      <c r="R166" s="31"/>
    </row>
    <row r="167" spans="1:18" ht="12.75" customHeight="1" x14ac:dyDescent="0.4">
      <c r="A167" s="19"/>
      <c r="B167" s="26"/>
      <c r="C167" s="28" t="s">
        <v>144</v>
      </c>
      <c r="D167" s="37"/>
      <c r="E167" s="15">
        <v>1</v>
      </c>
      <c r="F167" s="15">
        <v>1</v>
      </c>
      <c r="G167" s="15">
        <v>1</v>
      </c>
      <c r="H167" s="15">
        <v>0</v>
      </c>
      <c r="I167" s="15"/>
      <c r="J167" s="15">
        <v>0</v>
      </c>
      <c r="K167" s="15"/>
      <c r="L167" s="15">
        <v>0</v>
      </c>
      <c r="M167" s="15">
        <v>1</v>
      </c>
      <c r="N167" s="15"/>
      <c r="O167" s="15"/>
      <c r="P167" s="13">
        <f t="shared" si="11"/>
        <v>4</v>
      </c>
      <c r="Q167" s="5"/>
      <c r="R167" s="5"/>
    </row>
    <row r="168" spans="1:18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1</v>
      </c>
      <c r="G168" s="15">
        <v>0</v>
      </c>
      <c r="H168" s="15">
        <v>0</v>
      </c>
      <c r="I168" s="15"/>
      <c r="J168" s="15">
        <v>0</v>
      </c>
      <c r="K168" s="15"/>
      <c r="L168" s="15">
        <v>0</v>
      </c>
      <c r="M168" s="15">
        <v>0</v>
      </c>
      <c r="N168" s="15"/>
      <c r="O168" s="15"/>
      <c r="P168" s="13">
        <f t="shared" si="11"/>
        <v>1</v>
      </c>
      <c r="Q168" s="5"/>
      <c r="R168" s="5"/>
    </row>
    <row r="169" spans="1:18" ht="12.75" customHeight="1" x14ac:dyDescent="0.4">
      <c r="A169" s="19"/>
      <c r="B169" s="26"/>
      <c r="C169" s="28" t="s">
        <v>146</v>
      </c>
      <c r="D169" s="37"/>
      <c r="E169" s="15"/>
      <c r="F169" s="15">
        <v>0</v>
      </c>
      <c r="G169" s="15">
        <v>0</v>
      </c>
      <c r="H169" s="15">
        <v>0</v>
      </c>
      <c r="I169" s="15"/>
      <c r="J169" s="15">
        <v>0</v>
      </c>
      <c r="K169" s="15"/>
      <c r="L169" s="15">
        <v>0</v>
      </c>
      <c r="M169" s="15">
        <v>0</v>
      </c>
      <c r="N169" s="15"/>
      <c r="O169" s="15"/>
      <c r="P169" s="13">
        <f t="shared" si="11"/>
        <v>0</v>
      </c>
      <c r="Q169" s="5"/>
      <c r="R169" s="5"/>
    </row>
    <row r="170" spans="1:18" ht="12.75" customHeight="1" x14ac:dyDescent="0.4">
      <c r="A170" s="19" t="s">
        <v>39</v>
      </c>
      <c r="B170" s="27"/>
      <c r="C170" s="28" t="s">
        <v>147</v>
      </c>
      <c r="D170" s="29"/>
      <c r="E170" s="15"/>
      <c r="F170" s="15">
        <v>0</v>
      </c>
      <c r="G170" s="15">
        <v>0</v>
      </c>
      <c r="H170" s="15">
        <v>0</v>
      </c>
      <c r="I170" s="15"/>
      <c r="J170" s="15">
        <v>0</v>
      </c>
      <c r="K170" s="15"/>
      <c r="L170" s="15">
        <v>0</v>
      </c>
      <c r="M170" s="15">
        <v>0</v>
      </c>
      <c r="N170" s="15"/>
      <c r="O170" s="15"/>
      <c r="P170" s="13">
        <f t="shared" si="11"/>
        <v>0</v>
      </c>
      <c r="Q170" s="5"/>
      <c r="R170" s="5"/>
    </row>
    <row r="171" spans="1:18" ht="12.75" customHeight="1" x14ac:dyDescent="0.4">
      <c r="A171" s="14"/>
      <c r="B171" s="27"/>
      <c r="C171" s="28" t="s">
        <v>148</v>
      </c>
      <c r="D171" s="29"/>
      <c r="E171" s="15"/>
      <c r="F171" s="15">
        <v>0</v>
      </c>
      <c r="G171" s="15">
        <v>0</v>
      </c>
      <c r="H171" s="15">
        <v>0</v>
      </c>
      <c r="I171" s="15"/>
      <c r="J171" s="15">
        <v>0</v>
      </c>
      <c r="K171" s="15"/>
      <c r="L171" s="15">
        <v>0</v>
      </c>
      <c r="M171" s="15">
        <v>0</v>
      </c>
      <c r="N171" s="15"/>
      <c r="O171" s="15"/>
      <c r="P171" s="13">
        <f t="shared" si="11"/>
        <v>0</v>
      </c>
      <c r="Q171" s="5"/>
      <c r="R171" s="5"/>
    </row>
    <row r="172" spans="1:18" ht="12.75" customHeight="1" x14ac:dyDescent="0.4">
      <c r="A172" s="14"/>
      <c r="B172" s="27"/>
      <c r="C172" s="28" t="s">
        <v>149</v>
      </c>
      <c r="D172" s="29"/>
      <c r="E172" s="15"/>
      <c r="F172" s="15">
        <v>0</v>
      </c>
      <c r="G172" s="15">
        <v>0</v>
      </c>
      <c r="H172" s="15">
        <v>0</v>
      </c>
      <c r="I172" s="15"/>
      <c r="J172" s="15">
        <v>0</v>
      </c>
      <c r="K172" s="15"/>
      <c r="L172" s="15">
        <v>0</v>
      </c>
      <c r="M172" s="15">
        <v>0</v>
      </c>
      <c r="N172" s="15"/>
      <c r="O172" s="15"/>
      <c r="P172" s="13">
        <f t="shared" si="11"/>
        <v>0</v>
      </c>
      <c r="Q172" s="5"/>
      <c r="R172" s="5"/>
    </row>
    <row r="173" spans="1:18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O173" si="27">SUM(E166:E172)</f>
        <v>1</v>
      </c>
      <c r="F173" s="13">
        <f t="shared" si="27"/>
        <v>2</v>
      </c>
      <c r="G173" s="13">
        <f t="shared" si="27"/>
        <v>1</v>
      </c>
      <c r="H173" s="13">
        <f t="shared" si="27"/>
        <v>0</v>
      </c>
      <c r="I173" s="13">
        <f t="shared" si="27"/>
        <v>0</v>
      </c>
      <c r="J173" s="13">
        <f t="shared" si="27"/>
        <v>0</v>
      </c>
      <c r="K173" s="13">
        <f t="shared" si="27"/>
        <v>0</v>
      </c>
      <c r="L173" s="13">
        <f t="shared" si="27"/>
        <v>1</v>
      </c>
      <c r="M173" s="13">
        <f t="shared" si="27"/>
        <v>1</v>
      </c>
      <c r="N173" s="13">
        <f t="shared" si="27"/>
        <v>0</v>
      </c>
      <c r="O173" s="13">
        <f t="shared" si="27"/>
        <v>0</v>
      </c>
      <c r="P173" s="13">
        <f t="shared" si="11"/>
        <v>6</v>
      </c>
      <c r="Q173" s="5"/>
      <c r="R173" s="5"/>
    </row>
    <row r="174" spans="1:18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3">
        <f t="shared" si="11"/>
        <v>0</v>
      </c>
      <c r="Q174" s="5"/>
      <c r="R174" s="5"/>
    </row>
    <row r="175" spans="1:18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1</v>
      </c>
      <c r="F175" s="15"/>
      <c r="G175" s="15">
        <v>1</v>
      </c>
      <c r="H175" s="15">
        <v>0</v>
      </c>
      <c r="I175" s="15">
        <v>2</v>
      </c>
      <c r="J175" s="15">
        <v>2</v>
      </c>
      <c r="K175" s="15"/>
      <c r="L175" s="15">
        <v>1</v>
      </c>
      <c r="M175" s="15">
        <v>0</v>
      </c>
      <c r="N175" s="15">
        <v>0</v>
      </c>
      <c r="O175" s="15">
        <v>4</v>
      </c>
      <c r="P175" s="13">
        <f t="shared" si="11"/>
        <v>11</v>
      </c>
      <c r="Q175" s="5"/>
      <c r="R175" s="5"/>
    </row>
    <row r="176" spans="1:18" ht="12.75" customHeight="1" x14ac:dyDescent="0.4">
      <c r="A176" s="19" t="s">
        <v>39</v>
      </c>
      <c r="B176" s="27"/>
      <c r="C176" s="28" t="s">
        <v>152</v>
      </c>
      <c r="D176" s="29"/>
      <c r="E176" s="15">
        <v>1</v>
      </c>
      <c r="F176" s="15"/>
      <c r="G176" s="15">
        <v>0</v>
      </c>
      <c r="H176" s="15">
        <v>0</v>
      </c>
      <c r="I176" s="15">
        <v>0</v>
      </c>
      <c r="J176" s="15">
        <v>2</v>
      </c>
      <c r="K176" s="15"/>
      <c r="L176" s="15">
        <v>0</v>
      </c>
      <c r="M176" s="15">
        <v>0</v>
      </c>
      <c r="N176" s="15">
        <v>1</v>
      </c>
      <c r="O176" s="15">
        <v>1</v>
      </c>
      <c r="P176" s="13">
        <f t="shared" si="11"/>
        <v>5</v>
      </c>
      <c r="Q176" s="1"/>
      <c r="R176" s="1"/>
    </row>
    <row r="177" spans="1:18" ht="12.75" customHeight="1" x14ac:dyDescent="0.4">
      <c r="A177" s="14"/>
      <c r="B177" s="27"/>
      <c r="C177" s="28" t="s">
        <v>153</v>
      </c>
      <c r="D177" s="29"/>
      <c r="E177" s="15">
        <v>8</v>
      </c>
      <c r="F177" s="15"/>
      <c r="G177" s="15">
        <v>6</v>
      </c>
      <c r="H177" s="15">
        <v>12</v>
      </c>
      <c r="I177" s="15">
        <v>18</v>
      </c>
      <c r="J177" s="15">
        <v>3</v>
      </c>
      <c r="K177" s="15"/>
      <c r="L177" s="15">
        <v>2</v>
      </c>
      <c r="M177" s="15">
        <v>2</v>
      </c>
      <c r="N177" s="15">
        <v>8</v>
      </c>
      <c r="O177" s="15">
        <v>13</v>
      </c>
      <c r="P177" s="13">
        <f t="shared" si="11"/>
        <v>72</v>
      </c>
    </row>
    <row r="178" spans="1:18" ht="12.75" customHeight="1" x14ac:dyDescent="0.4">
      <c r="A178" s="14"/>
      <c r="B178" s="27"/>
      <c r="C178" s="28" t="s">
        <v>154</v>
      </c>
      <c r="D178" s="29"/>
      <c r="E178" s="15">
        <v>0</v>
      </c>
      <c r="F178" s="15"/>
      <c r="G178" s="15">
        <v>0</v>
      </c>
      <c r="H178" s="15">
        <v>0</v>
      </c>
      <c r="I178" s="15">
        <v>1</v>
      </c>
      <c r="J178" s="15">
        <v>0</v>
      </c>
      <c r="K178" s="15"/>
      <c r="L178" s="15">
        <v>0</v>
      </c>
      <c r="M178" s="15">
        <v>0</v>
      </c>
      <c r="N178" s="15">
        <v>0</v>
      </c>
      <c r="O178" s="15">
        <v>0</v>
      </c>
      <c r="P178" s="13">
        <f t="shared" si="11"/>
        <v>1</v>
      </c>
      <c r="Q178" s="5"/>
      <c r="R178" s="5"/>
    </row>
    <row r="179" spans="1:18" ht="12.75" customHeight="1" x14ac:dyDescent="0.4">
      <c r="A179" s="14"/>
      <c r="B179" s="27"/>
      <c r="C179" s="28" t="s">
        <v>155</v>
      </c>
      <c r="D179" s="29"/>
      <c r="E179" s="15"/>
      <c r="F179" s="15"/>
      <c r="G179" s="15">
        <v>0</v>
      </c>
      <c r="H179" s="15">
        <v>0</v>
      </c>
      <c r="I179" s="15">
        <v>0</v>
      </c>
      <c r="J179" s="15">
        <v>0</v>
      </c>
      <c r="K179" s="15"/>
      <c r="L179" s="15">
        <v>0</v>
      </c>
      <c r="M179" s="15">
        <v>0</v>
      </c>
      <c r="N179" s="15">
        <v>0</v>
      </c>
      <c r="O179" s="15">
        <v>0</v>
      </c>
      <c r="P179" s="13">
        <f t="shared" si="11"/>
        <v>0</v>
      </c>
      <c r="Q179" s="5"/>
      <c r="R179" s="5"/>
    </row>
    <row r="180" spans="1:18" ht="12.75" customHeight="1" x14ac:dyDescent="0.4">
      <c r="A180" s="14"/>
      <c r="B180" s="27"/>
      <c r="C180" s="28" t="s">
        <v>156</v>
      </c>
      <c r="D180" s="29"/>
      <c r="E180" s="15"/>
      <c r="F180" s="15"/>
      <c r="G180" s="15">
        <v>0</v>
      </c>
      <c r="H180" s="15">
        <v>0</v>
      </c>
      <c r="I180" s="15"/>
      <c r="J180" s="15">
        <v>0</v>
      </c>
      <c r="K180" s="15"/>
      <c r="L180" s="15">
        <v>2</v>
      </c>
      <c r="M180" s="15">
        <v>0</v>
      </c>
      <c r="N180" s="15">
        <v>0</v>
      </c>
      <c r="O180" s="15">
        <v>0</v>
      </c>
      <c r="P180" s="13">
        <f t="shared" si="11"/>
        <v>2</v>
      </c>
      <c r="Q180" s="5"/>
      <c r="R180" s="5"/>
    </row>
    <row r="181" spans="1:18" ht="12.75" customHeight="1" x14ac:dyDescent="0.4">
      <c r="A181" s="14"/>
      <c r="B181" s="27"/>
      <c r="C181" s="28" t="s">
        <v>157</v>
      </c>
      <c r="D181" s="29"/>
      <c r="E181" s="15"/>
      <c r="F181" s="15"/>
      <c r="G181" s="15">
        <v>0</v>
      </c>
      <c r="H181" s="15">
        <v>0</v>
      </c>
      <c r="I181" s="15"/>
      <c r="J181" s="15">
        <v>0</v>
      </c>
      <c r="K181" s="15"/>
      <c r="L181" s="15">
        <v>0</v>
      </c>
      <c r="M181" s="15">
        <v>0</v>
      </c>
      <c r="N181" s="15">
        <v>0</v>
      </c>
      <c r="O181" s="15">
        <v>0</v>
      </c>
      <c r="P181" s="13">
        <f t="shared" si="11"/>
        <v>0</v>
      </c>
      <c r="Q181" s="5"/>
      <c r="R181" s="5"/>
    </row>
    <row r="182" spans="1:18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O182" si="28">SUM(E175:E181)</f>
        <v>10</v>
      </c>
      <c r="F182" s="13">
        <f t="shared" si="28"/>
        <v>0</v>
      </c>
      <c r="G182" s="13">
        <f t="shared" si="28"/>
        <v>7</v>
      </c>
      <c r="H182" s="13">
        <f t="shared" si="28"/>
        <v>12</v>
      </c>
      <c r="I182" s="13">
        <f t="shared" si="28"/>
        <v>21</v>
      </c>
      <c r="J182" s="13">
        <f t="shared" si="28"/>
        <v>7</v>
      </c>
      <c r="K182" s="13">
        <f t="shared" si="28"/>
        <v>0</v>
      </c>
      <c r="L182" s="13">
        <f t="shared" si="28"/>
        <v>5</v>
      </c>
      <c r="M182" s="13">
        <f t="shared" si="28"/>
        <v>2</v>
      </c>
      <c r="N182" s="13">
        <f t="shared" si="28"/>
        <v>9</v>
      </c>
      <c r="O182" s="13">
        <f t="shared" si="28"/>
        <v>18</v>
      </c>
      <c r="P182" s="13">
        <f t="shared" si="11"/>
        <v>91</v>
      </c>
      <c r="Q182" s="5"/>
      <c r="R182" s="5"/>
    </row>
    <row r="183" spans="1:18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13">
        <f t="shared" si="11"/>
        <v>0</v>
      </c>
      <c r="Q183" s="5"/>
      <c r="R183" s="5"/>
    </row>
    <row r="184" spans="1:18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1</v>
      </c>
      <c r="F184" s="15"/>
      <c r="G184" s="15" t="s">
        <v>202</v>
      </c>
      <c r="H184" s="15" t="s">
        <v>202</v>
      </c>
      <c r="I184" s="15"/>
      <c r="J184" s="15" t="s">
        <v>202</v>
      </c>
      <c r="K184" s="15"/>
      <c r="L184" s="15"/>
      <c r="M184" s="15" t="s">
        <v>202</v>
      </c>
      <c r="N184" s="15">
        <v>1</v>
      </c>
      <c r="O184" s="15">
        <v>1</v>
      </c>
      <c r="P184" s="13">
        <f t="shared" si="11"/>
        <v>3</v>
      </c>
      <c r="Q184" s="5"/>
      <c r="R184" s="5"/>
    </row>
    <row r="185" spans="1:18" ht="12.75" customHeight="1" x14ac:dyDescent="0.4">
      <c r="A185" s="19" t="s">
        <v>39</v>
      </c>
      <c r="B185" s="27"/>
      <c r="C185" s="28" t="s">
        <v>160</v>
      </c>
      <c r="D185" s="29"/>
      <c r="E185" s="15" t="s">
        <v>202</v>
      </c>
      <c r="F185" s="15"/>
      <c r="G185" s="15" t="s">
        <v>202</v>
      </c>
      <c r="H185" s="15" t="s">
        <v>202</v>
      </c>
      <c r="I185" s="15"/>
      <c r="J185" s="15" t="s">
        <v>202</v>
      </c>
      <c r="K185" s="15"/>
      <c r="L185" s="15"/>
      <c r="M185" s="15" t="s">
        <v>202</v>
      </c>
      <c r="N185" s="15" t="s">
        <v>202</v>
      </c>
      <c r="O185" s="15" t="s">
        <v>202</v>
      </c>
      <c r="P185" s="13">
        <f t="shared" si="11"/>
        <v>0</v>
      </c>
      <c r="Q185" s="5"/>
      <c r="R185" s="5"/>
    </row>
    <row r="186" spans="1:18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O186" si="29">SUM(E184:E185)</f>
        <v>1</v>
      </c>
      <c r="F186" s="13">
        <f t="shared" si="29"/>
        <v>0</v>
      </c>
      <c r="G186" s="13">
        <f t="shared" si="29"/>
        <v>0</v>
      </c>
      <c r="H186" s="13">
        <f t="shared" si="29"/>
        <v>0</v>
      </c>
      <c r="I186" s="13">
        <f t="shared" si="29"/>
        <v>0</v>
      </c>
      <c r="J186" s="13">
        <f t="shared" si="29"/>
        <v>0</v>
      </c>
      <c r="K186" s="13">
        <f t="shared" si="29"/>
        <v>0</v>
      </c>
      <c r="L186" s="13">
        <f t="shared" si="29"/>
        <v>0</v>
      </c>
      <c r="M186" s="13">
        <f t="shared" si="29"/>
        <v>0</v>
      </c>
      <c r="N186" s="13">
        <f t="shared" si="29"/>
        <v>1</v>
      </c>
      <c r="O186" s="13">
        <f t="shared" si="29"/>
        <v>1</v>
      </c>
      <c r="P186" s="13">
        <f t="shared" si="11"/>
        <v>3</v>
      </c>
      <c r="Q186" s="5"/>
      <c r="R186" s="5"/>
    </row>
    <row r="187" spans="1:18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f t="shared" si="11"/>
        <v>0</v>
      </c>
      <c r="Q187" s="1"/>
      <c r="R187" s="1"/>
    </row>
    <row r="188" spans="1:18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13">
        <f t="shared" si="11"/>
        <v>0</v>
      </c>
    </row>
    <row r="189" spans="1:18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13">
        <f t="shared" si="11"/>
        <v>0</v>
      </c>
      <c r="Q189" s="5"/>
      <c r="R189" s="5"/>
    </row>
    <row r="190" spans="1:18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O190" si="30">E186+E182+E173+E164+E159+E150+E141+E132+E128+E119+E110+E101+E92+E88+E79+E70+E61+E52</f>
        <v>215</v>
      </c>
      <c r="F190" s="15">
        <f t="shared" si="30"/>
        <v>142</v>
      </c>
      <c r="G190" s="15">
        <f t="shared" si="30"/>
        <v>156</v>
      </c>
      <c r="H190" s="15">
        <f t="shared" si="30"/>
        <v>164</v>
      </c>
      <c r="I190" s="15">
        <f t="shared" si="30"/>
        <v>181</v>
      </c>
      <c r="J190" s="15">
        <f t="shared" si="30"/>
        <v>219</v>
      </c>
      <c r="K190" s="15">
        <f t="shared" si="30"/>
        <v>175</v>
      </c>
      <c r="L190" s="15">
        <f t="shared" si="30"/>
        <v>213</v>
      </c>
      <c r="M190" s="15">
        <f t="shared" si="30"/>
        <v>194</v>
      </c>
      <c r="N190" s="15">
        <f t="shared" si="30"/>
        <v>177</v>
      </c>
      <c r="O190" s="15">
        <f t="shared" si="30"/>
        <v>175</v>
      </c>
      <c r="P190" s="13">
        <f t="shared" si="11"/>
        <v>2011</v>
      </c>
      <c r="Q190" s="5"/>
      <c r="R190" s="5"/>
    </row>
    <row r="191" spans="1:18" ht="12.75" customHeight="1" x14ac:dyDescent="0.4">
      <c r="A191" s="21"/>
      <c r="B191" s="39" t="s">
        <v>165</v>
      </c>
      <c r="C191" s="79" t="s">
        <v>166</v>
      </c>
      <c r="D191" s="55"/>
      <c r="E191" s="15">
        <v>15</v>
      </c>
      <c r="F191" s="15">
        <v>14</v>
      </c>
      <c r="G191" s="15">
        <v>9</v>
      </c>
      <c r="H191" s="15">
        <v>15</v>
      </c>
      <c r="I191" s="15">
        <v>17</v>
      </c>
      <c r="J191" s="15">
        <v>17</v>
      </c>
      <c r="K191" s="15">
        <v>20</v>
      </c>
      <c r="L191" s="15">
        <v>8</v>
      </c>
      <c r="M191" s="15">
        <v>6</v>
      </c>
      <c r="N191" s="15">
        <v>13</v>
      </c>
      <c r="O191" s="15">
        <v>10</v>
      </c>
      <c r="P191" s="13">
        <f t="shared" si="11"/>
        <v>144</v>
      </c>
      <c r="Q191" s="5"/>
      <c r="R191" s="5"/>
    </row>
    <row r="192" spans="1:18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O192" si="31">E190+E191</f>
        <v>230</v>
      </c>
      <c r="F192" s="15">
        <f t="shared" si="31"/>
        <v>156</v>
      </c>
      <c r="G192" s="15">
        <f t="shared" si="31"/>
        <v>165</v>
      </c>
      <c r="H192" s="15">
        <f t="shared" si="31"/>
        <v>179</v>
      </c>
      <c r="I192" s="15">
        <f t="shared" si="31"/>
        <v>198</v>
      </c>
      <c r="J192" s="15">
        <f t="shared" si="31"/>
        <v>236</v>
      </c>
      <c r="K192" s="15">
        <f t="shared" si="31"/>
        <v>195</v>
      </c>
      <c r="L192" s="15">
        <f t="shared" si="31"/>
        <v>221</v>
      </c>
      <c r="M192" s="15">
        <f t="shared" si="31"/>
        <v>200</v>
      </c>
      <c r="N192" s="15">
        <f t="shared" si="31"/>
        <v>190</v>
      </c>
      <c r="O192" s="15">
        <f t="shared" si="31"/>
        <v>185</v>
      </c>
      <c r="P192" s="13">
        <f t="shared" si="11"/>
        <v>2155</v>
      </c>
      <c r="Q192" s="5"/>
      <c r="R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B101:D101"/>
    <mergeCell ref="B88:D88"/>
    <mergeCell ref="C90:D90"/>
    <mergeCell ref="C91:D91"/>
    <mergeCell ref="B92:D92"/>
    <mergeCell ref="C94:D94"/>
    <mergeCell ref="C63:D63"/>
    <mergeCell ref="B70:D70"/>
    <mergeCell ref="C72:D72"/>
    <mergeCell ref="B79:D79"/>
    <mergeCell ref="C81:D81"/>
    <mergeCell ref="A44:D44"/>
    <mergeCell ref="C45:D45"/>
    <mergeCell ref="B52:D52"/>
    <mergeCell ref="C54:D54"/>
    <mergeCell ref="B61:D61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A17:D17"/>
    <mergeCell ref="B18:D18"/>
    <mergeCell ref="B19:B21"/>
    <mergeCell ref="C19:C21"/>
    <mergeCell ref="B22:B24"/>
    <mergeCell ref="C22:C24"/>
    <mergeCell ref="B12:D12"/>
    <mergeCell ref="E12:O12"/>
    <mergeCell ref="P12:P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O13">
    <cfRule type="expression" dxfId="137" priority="28">
      <formula>E30=E192</formula>
    </cfRule>
  </conditionalFormatting>
  <conditionalFormatting sqref="E14:O15">
    <cfRule type="containsBlanks" dxfId="136" priority="1">
      <formula>LEN(TRIM(E14))=0</formula>
    </cfRule>
  </conditionalFormatting>
  <conditionalFormatting sqref="E19:O20">
    <cfRule type="containsBlanks" dxfId="135" priority="2">
      <formula>LEN(TRIM(E19))=0</formula>
    </cfRule>
  </conditionalFormatting>
  <conditionalFormatting sqref="E22:O23 E25:O26 E33:O33 E35:O35 E39:O40">
    <cfRule type="containsBlanks" dxfId="134" priority="3">
      <formula>LEN(TRIM(E22))=0</formula>
    </cfRule>
  </conditionalFormatting>
  <conditionalFormatting sqref="E30:O30">
    <cfRule type="expression" dxfId="133" priority="4">
      <formula>E30&lt;&gt;E47</formula>
    </cfRule>
    <cfRule type="expression" dxfId="132" priority="5">
      <formula>E30&lt;&gt;E34</formula>
    </cfRule>
  </conditionalFormatting>
  <conditionalFormatting sqref="E34:O34">
    <cfRule type="expression" dxfId="131" priority="6">
      <formula>E30&lt;&gt;E34</formula>
    </cfRule>
    <cfRule type="expression" dxfId="130" priority="7">
      <formula>E30=E34</formula>
    </cfRule>
    <cfRule type="expression" dxfId="129" priority="8">
      <formula>E34&lt;&gt;E30</formula>
    </cfRule>
    <cfRule type="expression" dxfId="128" priority="9">
      <formula>E34&lt;&gt;E64</formula>
    </cfRule>
  </conditionalFormatting>
  <conditionalFormatting sqref="E45:O52 E54:O61">
    <cfRule type="containsBlanks" dxfId="127" priority="10">
      <formula>LEN(TRIM(E45))=0</formula>
    </cfRule>
  </conditionalFormatting>
  <conditionalFormatting sqref="E63:O70">
    <cfRule type="containsBlanks" dxfId="126" priority="11">
      <formula>LEN(TRIM(E63))=0</formula>
    </cfRule>
  </conditionalFormatting>
  <conditionalFormatting sqref="E72:O79">
    <cfRule type="containsBlanks" dxfId="125" priority="12">
      <formula>LEN(TRIM(E72))=0</formula>
    </cfRule>
  </conditionalFormatting>
  <conditionalFormatting sqref="E81:O88">
    <cfRule type="containsBlanks" dxfId="124" priority="13">
      <formula>LEN(TRIM(E81))=0</formula>
    </cfRule>
  </conditionalFormatting>
  <conditionalFormatting sqref="E90:O91">
    <cfRule type="containsBlanks" dxfId="123" priority="14">
      <formula>LEN(TRIM(E90))=0</formula>
    </cfRule>
  </conditionalFormatting>
  <conditionalFormatting sqref="E94:O101">
    <cfRule type="containsBlanks" dxfId="122" priority="15">
      <formula>LEN(TRIM(E94))=0</formula>
    </cfRule>
  </conditionalFormatting>
  <conditionalFormatting sqref="E103:O110">
    <cfRule type="containsBlanks" dxfId="121" priority="16">
      <formula>LEN(TRIM(E103))=0</formula>
    </cfRule>
  </conditionalFormatting>
  <conditionalFormatting sqref="E112:O119">
    <cfRule type="containsBlanks" dxfId="120" priority="17">
      <formula>LEN(TRIM(E112))=0</formula>
    </cfRule>
  </conditionalFormatting>
  <conditionalFormatting sqref="E121:O128">
    <cfRule type="containsBlanks" dxfId="119" priority="18">
      <formula>LEN(TRIM(E121))=0</formula>
    </cfRule>
  </conditionalFormatting>
  <conditionalFormatting sqref="E130:O132">
    <cfRule type="containsBlanks" dxfId="118" priority="19">
      <formula>LEN(TRIM(E130))=0</formula>
    </cfRule>
  </conditionalFormatting>
  <conditionalFormatting sqref="E134:O141">
    <cfRule type="containsBlanks" dxfId="117" priority="20">
      <formula>LEN(TRIM(E134))=0</formula>
    </cfRule>
  </conditionalFormatting>
  <conditionalFormatting sqref="E143:O150">
    <cfRule type="containsBlanks" dxfId="116" priority="21">
      <formula>LEN(TRIM(E143))=0</formula>
    </cfRule>
  </conditionalFormatting>
  <conditionalFormatting sqref="E152:O159">
    <cfRule type="containsBlanks" dxfId="115" priority="22">
      <formula>LEN(TRIM(E152))=0</formula>
    </cfRule>
  </conditionalFormatting>
  <conditionalFormatting sqref="E161:O163">
    <cfRule type="containsBlanks" dxfId="114" priority="23">
      <formula>LEN(TRIM(E161))=0</formula>
    </cfRule>
  </conditionalFormatting>
  <conditionalFormatting sqref="E166:O173">
    <cfRule type="containsBlanks" dxfId="113" priority="24">
      <formula>LEN(TRIM(E166))=0</formula>
    </cfRule>
  </conditionalFormatting>
  <conditionalFormatting sqref="E175:O182">
    <cfRule type="containsBlanks" dxfId="112" priority="25">
      <formula>LEN(TRIM(E175))=0</formula>
    </cfRule>
  </conditionalFormatting>
  <conditionalFormatting sqref="E184:O186">
    <cfRule type="containsBlanks" dxfId="111" priority="26">
      <formula>LEN(TRIM(E184))=0</formula>
    </cfRule>
  </conditionalFormatting>
  <conditionalFormatting sqref="E190:O192">
    <cfRule type="containsBlanks" dxfId="110" priority="27">
      <formula>LEN(TRIM(E190))=0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00"/>
  <sheetViews>
    <sheetView tabSelected="1" topLeftCell="AC1" zoomScale="81" workbookViewId="0">
      <pane ySplit="13" topLeftCell="A24" activePane="bottomLeft" state="frozen"/>
      <selection pane="bottomLeft" activeCell="AH36" sqref="AH36"/>
    </sheetView>
  </sheetViews>
  <sheetFormatPr defaultColWidth="14.42578125" defaultRowHeight="15" customHeight="1" x14ac:dyDescent="0.4"/>
  <cols>
    <col min="1" max="2" width="8.7109375" customWidth="1"/>
    <col min="3" max="3" width="67.140625" customWidth="1"/>
    <col min="4" max="4" width="5.85546875" customWidth="1"/>
    <col min="5" max="36" width="8.7109375" customWidth="1"/>
    <col min="37" max="37" width="13.28515625" customWidth="1"/>
    <col min="38" max="39" width="8.7109375" customWidth="1"/>
  </cols>
  <sheetData>
    <row r="1" spans="1:37" ht="12.75" customHeight="1" x14ac:dyDescent="0.4"/>
    <row r="2" spans="1:37" ht="12.75" customHeight="1" x14ac:dyDescent="0.4">
      <c r="C2" s="8" t="s">
        <v>0</v>
      </c>
      <c r="D2" s="8" t="s">
        <v>1</v>
      </c>
    </row>
    <row r="3" spans="1:37" ht="12.75" customHeight="1" x14ac:dyDescent="0.4">
      <c r="C3" s="8" t="s">
        <v>2</v>
      </c>
      <c r="D3" s="8" t="s">
        <v>3</v>
      </c>
    </row>
    <row r="4" spans="1:37" ht="12.75" customHeight="1" x14ac:dyDescent="0.4">
      <c r="C4" s="8" t="s">
        <v>4</v>
      </c>
      <c r="D4" s="8" t="s">
        <v>5</v>
      </c>
    </row>
    <row r="5" spans="1:37" ht="12.75" customHeight="1" x14ac:dyDescent="0.4">
      <c r="C5" s="8"/>
      <c r="D5" s="8"/>
    </row>
    <row r="6" spans="1:37" ht="12.75" customHeight="1" x14ac:dyDescent="0.4">
      <c r="C6" s="8"/>
      <c r="D6" s="8"/>
    </row>
    <row r="7" spans="1:37" ht="12.75" customHeight="1" x14ac:dyDescent="0.4">
      <c r="C7" s="8"/>
      <c r="D7" s="8"/>
    </row>
    <row r="8" spans="1:37" ht="12.75" customHeight="1" x14ac:dyDescent="0.4">
      <c r="C8" s="8"/>
      <c r="D8" s="8"/>
    </row>
    <row r="9" spans="1:37" ht="12.75" customHeight="1" x14ac:dyDescent="0.4">
      <c r="C9" s="8" t="s">
        <v>169</v>
      </c>
      <c r="D9" s="8" t="s">
        <v>205</v>
      </c>
    </row>
    <row r="10" spans="1:37" ht="12.75" customHeight="1" x14ac:dyDescent="0.4"/>
    <row r="11" spans="1:37" ht="12.75" customHeight="1" x14ac:dyDescent="0.4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2"/>
    </row>
    <row r="12" spans="1:37" ht="12.75" customHeight="1" x14ac:dyDescent="0.4">
      <c r="A12" s="13" t="s">
        <v>6</v>
      </c>
      <c r="B12" s="57" t="s">
        <v>7</v>
      </c>
      <c r="C12" s="54"/>
      <c r="D12" s="55"/>
      <c r="E12" s="8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81" t="s">
        <v>8</v>
      </c>
    </row>
    <row r="13" spans="1:37" ht="12.75" customHeight="1" x14ac:dyDescent="0.4">
      <c r="A13" s="15" t="s">
        <v>9</v>
      </c>
      <c r="B13" s="60" t="s">
        <v>10</v>
      </c>
      <c r="C13" s="54"/>
      <c r="D13" s="55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206</v>
      </c>
      <c r="AC13" s="13" t="s">
        <v>207</v>
      </c>
      <c r="AD13" s="13" t="s">
        <v>208</v>
      </c>
      <c r="AE13" s="13" t="s">
        <v>209</v>
      </c>
      <c r="AF13" s="13" t="s">
        <v>210</v>
      </c>
      <c r="AG13" s="13" t="s">
        <v>211</v>
      </c>
      <c r="AH13" s="13" t="s">
        <v>212</v>
      </c>
      <c r="AI13" s="13" t="s">
        <v>213</v>
      </c>
      <c r="AJ13" s="13" t="s">
        <v>214</v>
      </c>
      <c r="AK13" s="69"/>
    </row>
    <row r="14" spans="1:37" ht="12.75" customHeight="1" x14ac:dyDescent="0.4">
      <c r="A14" s="14"/>
      <c r="B14" s="61" t="s">
        <v>11</v>
      </c>
      <c r="C14" s="62"/>
      <c r="D14" s="15" t="s">
        <v>12</v>
      </c>
      <c r="E14" s="47">
        <v>138</v>
      </c>
      <c r="F14" s="47">
        <v>123</v>
      </c>
      <c r="G14" s="47">
        <v>119</v>
      </c>
      <c r="H14" s="47">
        <v>144</v>
      </c>
      <c r="I14" s="47">
        <v>128</v>
      </c>
      <c r="J14" s="47">
        <v>138</v>
      </c>
      <c r="K14" s="47">
        <v>117</v>
      </c>
      <c r="L14" s="47">
        <v>143</v>
      </c>
      <c r="M14" s="47">
        <v>141</v>
      </c>
      <c r="N14" s="47">
        <v>141</v>
      </c>
      <c r="O14" s="47">
        <v>116</v>
      </c>
      <c r="P14" s="47">
        <v>135</v>
      </c>
      <c r="Q14" s="47">
        <v>122</v>
      </c>
      <c r="R14" s="47">
        <v>117</v>
      </c>
      <c r="S14" s="47">
        <v>136</v>
      </c>
      <c r="T14" s="47">
        <v>147</v>
      </c>
      <c r="U14" s="47">
        <v>112</v>
      </c>
      <c r="V14" s="47">
        <v>95</v>
      </c>
      <c r="W14" s="47">
        <v>116</v>
      </c>
      <c r="X14" s="47">
        <v>146</v>
      </c>
      <c r="Y14" s="47">
        <v>132</v>
      </c>
      <c r="Z14" s="47">
        <v>129</v>
      </c>
      <c r="AA14" s="47">
        <v>144</v>
      </c>
      <c r="AB14" s="47">
        <v>151</v>
      </c>
      <c r="AC14" s="47">
        <v>117</v>
      </c>
      <c r="AD14" s="47">
        <v>109</v>
      </c>
      <c r="AE14" s="47">
        <v>149</v>
      </c>
      <c r="AF14" s="47">
        <v>131</v>
      </c>
      <c r="AG14" s="47">
        <v>147</v>
      </c>
      <c r="AH14" s="47">
        <v>118</v>
      </c>
      <c r="AI14" s="47">
        <v>127</v>
      </c>
      <c r="AJ14" s="47">
        <v>108</v>
      </c>
      <c r="AK14" s="13">
        <f t="shared" ref="AK14:AK16" si="0">SUM(E14:AJ14)</f>
        <v>4136</v>
      </c>
    </row>
    <row r="15" spans="1:37" ht="12.75" customHeight="1" x14ac:dyDescent="0.4">
      <c r="A15" s="14"/>
      <c r="B15" s="63"/>
      <c r="C15" s="64"/>
      <c r="D15" s="15" t="s">
        <v>13</v>
      </c>
      <c r="E15" s="47">
        <v>139</v>
      </c>
      <c r="F15" s="47">
        <v>128</v>
      </c>
      <c r="G15" s="47">
        <v>134</v>
      </c>
      <c r="H15" s="47">
        <v>150</v>
      </c>
      <c r="I15" s="47">
        <v>132</v>
      </c>
      <c r="J15" s="47">
        <v>141</v>
      </c>
      <c r="K15" s="47">
        <v>132</v>
      </c>
      <c r="L15" s="47">
        <v>150</v>
      </c>
      <c r="M15" s="47">
        <v>151</v>
      </c>
      <c r="N15" s="47">
        <v>153</v>
      </c>
      <c r="O15" s="47">
        <v>117</v>
      </c>
      <c r="P15" s="47">
        <v>138</v>
      </c>
      <c r="Q15" s="47">
        <v>146</v>
      </c>
      <c r="R15" s="47">
        <v>148</v>
      </c>
      <c r="S15" s="47">
        <v>137</v>
      </c>
      <c r="T15" s="47">
        <v>143</v>
      </c>
      <c r="U15" s="47">
        <v>103</v>
      </c>
      <c r="V15" s="47">
        <v>90</v>
      </c>
      <c r="W15" s="47">
        <v>116</v>
      </c>
      <c r="X15" s="47">
        <v>141</v>
      </c>
      <c r="Y15" s="47">
        <v>134</v>
      </c>
      <c r="Z15" s="47">
        <v>138</v>
      </c>
      <c r="AA15" s="47">
        <v>144</v>
      </c>
      <c r="AB15" s="47">
        <v>137</v>
      </c>
      <c r="AC15" s="47">
        <v>112</v>
      </c>
      <c r="AD15" s="47">
        <v>136</v>
      </c>
      <c r="AE15" s="47">
        <v>140</v>
      </c>
      <c r="AF15" s="47">
        <v>130</v>
      </c>
      <c r="AG15" s="47">
        <v>149</v>
      </c>
      <c r="AH15" s="47">
        <v>128</v>
      </c>
      <c r="AI15" s="47">
        <v>124</v>
      </c>
      <c r="AJ15" s="47">
        <v>115</v>
      </c>
      <c r="AK15" s="13">
        <f t="shared" si="0"/>
        <v>4276</v>
      </c>
    </row>
    <row r="16" spans="1:37" ht="12.75" customHeight="1" x14ac:dyDescent="0.4">
      <c r="A16" s="17"/>
      <c r="B16" s="59"/>
      <c r="C16" s="65"/>
      <c r="D16" s="13" t="s">
        <v>14</v>
      </c>
      <c r="E16" s="48">
        <f t="shared" ref="E16:AJ16" si="1">SUM(E14:E15)</f>
        <v>277</v>
      </c>
      <c r="F16" s="48">
        <f t="shared" si="1"/>
        <v>251</v>
      </c>
      <c r="G16" s="48">
        <f t="shared" si="1"/>
        <v>253</v>
      </c>
      <c r="H16" s="48">
        <f t="shared" si="1"/>
        <v>294</v>
      </c>
      <c r="I16" s="48">
        <f t="shared" si="1"/>
        <v>260</v>
      </c>
      <c r="J16" s="48">
        <f t="shared" si="1"/>
        <v>279</v>
      </c>
      <c r="K16" s="48">
        <f t="shared" si="1"/>
        <v>249</v>
      </c>
      <c r="L16" s="48">
        <f t="shared" si="1"/>
        <v>293</v>
      </c>
      <c r="M16" s="48">
        <f t="shared" si="1"/>
        <v>292</v>
      </c>
      <c r="N16" s="48">
        <f t="shared" si="1"/>
        <v>294</v>
      </c>
      <c r="O16" s="48">
        <f t="shared" si="1"/>
        <v>233</v>
      </c>
      <c r="P16" s="48">
        <f t="shared" si="1"/>
        <v>273</v>
      </c>
      <c r="Q16" s="48">
        <f t="shared" si="1"/>
        <v>268</v>
      </c>
      <c r="R16" s="48">
        <f t="shared" si="1"/>
        <v>265</v>
      </c>
      <c r="S16" s="48">
        <f t="shared" si="1"/>
        <v>273</v>
      </c>
      <c r="T16" s="48">
        <f t="shared" si="1"/>
        <v>290</v>
      </c>
      <c r="U16" s="48">
        <f t="shared" si="1"/>
        <v>215</v>
      </c>
      <c r="V16" s="48">
        <f t="shared" si="1"/>
        <v>185</v>
      </c>
      <c r="W16" s="48">
        <f t="shared" si="1"/>
        <v>232</v>
      </c>
      <c r="X16" s="48">
        <f t="shared" si="1"/>
        <v>287</v>
      </c>
      <c r="Y16" s="48">
        <f t="shared" si="1"/>
        <v>266</v>
      </c>
      <c r="Z16" s="48">
        <f t="shared" si="1"/>
        <v>267</v>
      </c>
      <c r="AA16" s="48">
        <f t="shared" si="1"/>
        <v>288</v>
      </c>
      <c r="AB16" s="48">
        <f t="shared" si="1"/>
        <v>288</v>
      </c>
      <c r="AC16" s="48">
        <f t="shared" si="1"/>
        <v>229</v>
      </c>
      <c r="AD16" s="48">
        <f t="shared" si="1"/>
        <v>245</v>
      </c>
      <c r="AE16" s="48">
        <f t="shared" si="1"/>
        <v>289</v>
      </c>
      <c r="AF16" s="48">
        <f t="shared" si="1"/>
        <v>261</v>
      </c>
      <c r="AG16" s="48">
        <f t="shared" si="1"/>
        <v>296</v>
      </c>
      <c r="AH16" s="48">
        <f t="shared" si="1"/>
        <v>246</v>
      </c>
      <c r="AI16" s="48">
        <f t="shared" si="1"/>
        <v>251</v>
      </c>
      <c r="AJ16" s="48">
        <f t="shared" si="1"/>
        <v>223</v>
      </c>
      <c r="AK16" s="13">
        <f t="shared" si="0"/>
        <v>8412</v>
      </c>
    </row>
    <row r="17" spans="1:37" ht="12.75" customHeight="1" x14ac:dyDescent="0.4">
      <c r="A17" s="66"/>
      <c r="B17" s="54"/>
      <c r="C17" s="54"/>
      <c r="D17" s="55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3"/>
    </row>
    <row r="18" spans="1:37" ht="12.75" customHeight="1" x14ac:dyDescent="0.4">
      <c r="A18" s="19" t="s">
        <v>15</v>
      </c>
      <c r="B18" s="60" t="s">
        <v>16</v>
      </c>
      <c r="C18" s="54"/>
      <c r="D18" s="5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3"/>
    </row>
    <row r="19" spans="1:37" ht="12.75" customHeight="1" x14ac:dyDescent="0.4">
      <c r="A19" s="19"/>
      <c r="B19" s="70" t="s">
        <v>17</v>
      </c>
      <c r="C19" s="67" t="s">
        <v>18</v>
      </c>
      <c r="D19" s="15" t="s">
        <v>12</v>
      </c>
      <c r="E19" s="47">
        <v>117</v>
      </c>
      <c r="F19" s="47">
        <v>103</v>
      </c>
      <c r="G19" s="47">
        <v>100</v>
      </c>
      <c r="H19" s="47">
        <v>113</v>
      </c>
      <c r="I19" s="47">
        <v>109</v>
      </c>
      <c r="J19" s="47">
        <v>112</v>
      </c>
      <c r="K19" s="47">
        <v>90</v>
      </c>
      <c r="L19" s="47">
        <v>101</v>
      </c>
      <c r="M19" s="47">
        <v>114</v>
      </c>
      <c r="N19" s="47">
        <v>110</v>
      </c>
      <c r="O19" s="47">
        <v>82</v>
      </c>
      <c r="P19" s="47">
        <v>100</v>
      </c>
      <c r="Q19" s="47">
        <v>84</v>
      </c>
      <c r="R19" s="47">
        <v>85</v>
      </c>
      <c r="S19" s="47">
        <v>101</v>
      </c>
      <c r="T19" s="47">
        <v>106</v>
      </c>
      <c r="U19" s="47">
        <v>81</v>
      </c>
      <c r="V19" s="47">
        <v>76</v>
      </c>
      <c r="W19" s="47">
        <v>85</v>
      </c>
      <c r="X19" s="47">
        <v>115</v>
      </c>
      <c r="Y19" s="47">
        <v>90</v>
      </c>
      <c r="Z19" s="47">
        <v>101</v>
      </c>
      <c r="AA19" s="47">
        <v>115</v>
      </c>
      <c r="AB19" s="47">
        <v>125</v>
      </c>
      <c r="AC19" s="47">
        <v>86</v>
      </c>
      <c r="AD19" s="47">
        <v>93</v>
      </c>
      <c r="AE19" s="47">
        <v>108</v>
      </c>
      <c r="AF19" s="47">
        <v>93</v>
      </c>
      <c r="AG19" s="47">
        <v>120</v>
      </c>
      <c r="AH19" s="47">
        <v>118</v>
      </c>
      <c r="AI19" s="47">
        <v>96</v>
      </c>
      <c r="AJ19" s="47">
        <v>90</v>
      </c>
      <c r="AK19" s="13">
        <f t="shared" ref="AK19:AK30" si="2">SUM(E19:AJ19)</f>
        <v>3219</v>
      </c>
    </row>
    <row r="20" spans="1:37" ht="12.75" customHeight="1" x14ac:dyDescent="0.4">
      <c r="A20" s="20"/>
      <c r="B20" s="64"/>
      <c r="C20" s="68"/>
      <c r="D20" s="15" t="s">
        <v>13</v>
      </c>
      <c r="E20" s="47">
        <v>111</v>
      </c>
      <c r="F20" s="47">
        <v>106</v>
      </c>
      <c r="G20" s="47">
        <v>110</v>
      </c>
      <c r="H20" s="47">
        <v>126</v>
      </c>
      <c r="I20" s="47">
        <v>115</v>
      </c>
      <c r="J20" s="47">
        <v>116</v>
      </c>
      <c r="K20" s="47">
        <v>107</v>
      </c>
      <c r="L20" s="47">
        <v>120</v>
      </c>
      <c r="M20" s="47">
        <v>129</v>
      </c>
      <c r="N20" s="47">
        <v>132</v>
      </c>
      <c r="O20" s="47">
        <v>95</v>
      </c>
      <c r="P20" s="47">
        <v>117</v>
      </c>
      <c r="Q20" s="47">
        <v>109</v>
      </c>
      <c r="R20" s="47">
        <v>129</v>
      </c>
      <c r="S20" s="47">
        <v>124</v>
      </c>
      <c r="T20" s="47">
        <v>115</v>
      </c>
      <c r="U20" s="47">
        <v>74</v>
      </c>
      <c r="V20" s="47">
        <v>65</v>
      </c>
      <c r="W20" s="47">
        <v>85</v>
      </c>
      <c r="X20" s="47">
        <v>108</v>
      </c>
      <c r="Y20" s="47">
        <v>99</v>
      </c>
      <c r="Z20" s="47">
        <v>111</v>
      </c>
      <c r="AA20" s="47">
        <v>104</v>
      </c>
      <c r="AB20" s="47">
        <v>115</v>
      </c>
      <c r="AC20" s="47">
        <v>89</v>
      </c>
      <c r="AD20" s="47">
        <v>118</v>
      </c>
      <c r="AE20" s="47">
        <v>118</v>
      </c>
      <c r="AF20" s="47">
        <v>113</v>
      </c>
      <c r="AG20" s="47">
        <v>128</v>
      </c>
      <c r="AH20" s="47">
        <v>128</v>
      </c>
      <c r="AI20" s="47">
        <v>110</v>
      </c>
      <c r="AJ20" s="47">
        <v>95</v>
      </c>
      <c r="AK20" s="13">
        <f t="shared" si="2"/>
        <v>3521</v>
      </c>
    </row>
    <row r="21" spans="1:37" ht="12.75" customHeight="1" x14ac:dyDescent="0.4">
      <c r="A21" s="21"/>
      <c r="B21" s="65"/>
      <c r="C21" s="69"/>
      <c r="D21" s="13" t="s">
        <v>14</v>
      </c>
      <c r="E21" s="48">
        <v>228</v>
      </c>
      <c r="F21" s="48">
        <v>209</v>
      </c>
      <c r="G21" s="48">
        <v>210</v>
      </c>
      <c r="H21" s="48">
        <v>239</v>
      </c>
      <c r="I21" s="48">
        <v>224</v>
      </c>
      <c r="J21" s="48">
        <v>228</v>
      </c>
      <c r="K21" s="48">
        <v>197</v>
      </c>
      <c r="L21" s="48">
        <v>221</v>
      </c>
      <c r="M21" s="48">
        <v>243</v>
      </c>
      <c r="N21" s="48">
        <v>242</v>
      </c>
      <c r="O21" s="48">
        <v>177</v>
      </c>
      <c r="P21" s="48">
        <v>217</v>
      </c>
      <c r="Q21" s="48">
        <v>193</v>
      </c>
      <c r="R21" s="48">
        <v>214</v>
      </c>
      <c r="S21" s="48">
        <v>225</v>
      </c>
      <c r="T21" s="48">
        <v>221</v>
      </c>
      <c r="U21" s="48">
        <v>155</v>
      </c>
      <c r="V21" s="48">
        <v>141</v>
      </c>
      <c r="W21" s="48">
        <v>170</v>
      </c>
      <c r="X21" s="48">
        <v>223</v>
      </c>
      <c r="Y21" s="48">
        <v>189</v>
      </c>
      <c r="Z21" s="48">
        <v>212</v>
      </c>
      <c r="AA21" s="48">
        <v>219</v>
      </c>
      <c r="AB21" s="48">
        <v>240</v>
      </c>
      <c r="AC21" s="48">
        <v>175</v>
      </c>
      <c r="AD21" s="48">
        <v>211</v>
      </c>
      <c r="AE21" s="48">
        <v>226</v>
      </c>
      <c r="AF21" s="48">
        <v>206</v>
      </c>
      <c r="AG21" s="48">
        <v>248</v>
      </c>
      <c r="AH21" s="48">
        <v>246</v>
      </c>
      <c r="AI21" s="48">
        <v>206</v>
      </c>
      <c r="AJ21" s="48">
        <v>185</v>
      </c>
      <c r="AK21" s="13">
        <f t="shared" si="2"/>
        <v>6740</v>
      </c>
    </row>
    <row r="22" spans="1:37" ht="12.75" customHeight="1" x14ac:dyDescent="0.4">
      <c r="A22" s="20"/>
      <c r="B22" s="70" t="s">
        <v>19</v>
      </c>
      <c r="C22" s="67" t="s">
        <v>20</v>
      </c>
      <c r="D22" s="15" t="s">
        <v>12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13">
        <f t="shared" si="2"/>
        <v>0</v>
      </c>
    </row>
    <row r="23" spans="1:37" ht="12.75" customHeight="1" x14ac:dyDescent="0.4">
      <c r="A23" s="20"/>
      <c r="B23" s="64"/>
      <c r="C23" s="68"/>
      <c r="D23" s="15" t="s">
        <v>13</v>
      </c>
      <c r="E23" s="47">
        <v>0</v>
      </c>
      <c r="F23" s="47">
        <v>0</v>
      </c>
      <c r="G23" s="47">
        <v>0</v>
      </c>
      <c r="H23" s="47">
        <v>0</v>
      </c>
      <c r="I23" s="47">
        <v>1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13">
        <f t="shared" si="2"/>
        <v>1</v>
      </c>
    </row>
    <row r="24" spans="1:37" ht="12.75" customHeight="1" x14ac:dyDescent="0.4">
      <c r="A24" s="21"/>
      <c r="B24" s="65"/>
      <c r="C24" s="69"/>
      <c r="D24" s="13" t="s">
        <v>14</v>
      </c>
      <c r="E24" s="48">
        <v>0</v>
      </c>
      <c r="F24" s="48">
        <v>0</v>
      </c>
      <c r="G24" s="48">
        <v>0</v>
      </c>
      <c r="H24" s="48">
        <v>0</v>
      </c>
      <c r="I24" s="48">
        <v>1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13">
        <f t="shared" si="2"/>
        <v>1</v>
      </c>
    </row>
    <row r="25" spans="1:37" ht="12.75" customHeight="1" x14ac:dyDescent="0.4">
      <c r="A25" s="20"/>
      <c r="B25" s="70" t="s">
        <v>21</v>
      </c>
      <c r="C25" s="67" t="s">
        <v>22</v>
      </c>
      <c r="D25" s="15" t="s">
        <v>12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3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1</v>
      </c>
      <c r="V25" s="47">
        <v>0</v>
      </c>
      <c r="W25" s="47">
        <v>1</v>
      </c>
      <c r="X25" s="47">
        <v>2</v>
      </c>
      <c r="Y25" s="47">
        <v>1</v>
      </c>
      <c r="Z25" s="47">
        <v>2</v>
      </c>
      <c r="AA25" s="47">
        <v>0</v>
      </c>
      <c r="AB25" s="47">
        <v>0</v>
      </c>
      <c r="AC25" s="47">
        <v>1</v>
      </c>
      <c r="AD25" s="47">
        <v>0</v>
      </c>
      <c r="AE25" s="47">
        <v>1</v>
      </c>
      <c r="AF25" s="47">
        <v>1</v>
      </c>
      <c r="AG25" s="47">
        <v>1</v>
      </c>
      <c r="AH25" s="47">
        <v>1</v>
      </c>
      <c r="AI25" s="47">
        <v>0</v>
      </c>
      <c r="AJ25" s="47">
        <v>0</v>
      </c>
      <c r="AK25" s="13">
        <f t="shared" si="2"/>
        <v>15</v>
      </c>
    </row>
    <row r="26" spans="1:37" ht="12.75" customHeight="1" x14ac:dyDescent="0.4">
      <c r="A26" s="20"/>
      <c r="B26" s="64"/>
      <c r="C26" s="68"/>
      <c r="D26" s="15" t="s">
        <v>13</v>
      </c>
      <c r="E26" s="47">
        <v>0</v>
      </c>
      <c r="F26" s="47">
        <v>1</v>
      </c>
      <c r="G26" s="47">
        <v>0</v>
      </c>
      <c r="H26" s="47">
        <v>1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1</v>
      </c>
      <c r="P26" s="47">
        <v>1</v>
      </c>
      <c r="Q26" s="47">
        <v>0</v>
      </c>
      <c r="R26" s="47">
        <v>0</v>
      </c>
      <c r="S26" s="47">
        <v>2</v>
      </c>
      <c r="T26" s="47">
        <v>1</v>
      </c>
      <c r="U26" s="47">
        <v>0</v>
      </c>
      <c r="V26" s="47">
        <v>0</v>
      </c>
      <c r="W26" s="47">
        <v>1</v>
      </c>
      <c r="X26" s="47">
        <v>7</v>
      </c>
      <c r="Y26" s="47">
        <v>2</v>
      </c>
      <c r="Z26" s="47">
        <v>4</v>
      </c>
      <c r="AA26" s="47">
        <v>0</v>
      </c>
      <c r="AB26" s="47">
        <v>0</v>
      </c>
      <c r="AC26" s="47">
        <v>2</v>
      </c>
      <c r="AD26" s="47">
        <v>0</v>
      </c>
      <c r="AE26" s="47">
        <v>2</v>
      </c>
      <c r="AF26" s="47">
        <v>0</v>
      </c>
      <c r="AG26" s="47">
        <v>1</v>
      </c>
      <c r="AH26" s="47">
        <v>0</v>
      </c>
      <c r="AI26" s="47">
        <v>0</v>
      </c>
      <c r="AJ26" s="47">
        <v>0</v>
      </c>
      <c r="AK26" s="13">
        <f t="shared" si="2"/>
        <v>26</v>
      </c>
    </row>
    <row r="27" spans="1:37" ht="12.75" customHeight="1" x14ac:dyDescent="0.4">
      <c r="A27" s="21"/>
      <c r="B27" s="65"/>
      <c r="C27" s="69"/>
      <c r="D27" s="13" t="s">
        <v>14</v>
      </c>
      <c r="E27" s="48">
        <v>0</v>
      </c>
      <c r="F27" s="48">
        <v>1</v>
      </c>
      <c r="G27" s="48">
        <v>0</v>
      </c>
      <c r="H27" s="48">
        <v>1</v>
      </c>
      <c r="I27" s="48">
        <v>0</v>
      </c>
      <c r="J27" s="48">
        <v>0</v>
      </c>
      <c r="K27" s="48">
        <v>3</v>
      </c>
      <c r="L27" s="48">
        <v>0</v>
      </c>
      <c r="M27" s="48">
        <v>0</v>
      </c>
      <c r="N27" s="48">
        <v>0</v>
      </c>
      <c r="O27" s="48">
        <v>0</v>
      </c>
      <c r="P27" s="48">
        <v>1</v>
      </c>
      <c r="Q27" s="48">
        <v>1</v>
      </c>
      <c r="R27" s="48">
        <v>0</v>
      </c>
      <c r="S27" s="48">
        <v>0</v>
      </c>
      <c r="T27" s="48">
        <v>1</v>
      </c>
      <c r="U27" s="48">
        <v>0</v>
      </c>
      <c r="V27" s="48">
        <v>0</v>
      </c>
      <c r="W27" s="48">
        <v>2</v>
      </c>
      <c r="X27" s="48">
        <v>9</v>
      </c>
      <c r="Y27" s="48">
        <v>3</v>
      </c>
      <c r="Z27" s="48">
        <v>6</v>
      </c>
      <c r="AA27" s="48">
        <v>0</v>
      </c>
      <c r="AB27" s="48">
        <v>0</v>
      </c>
      <c r="AC27" s="48">
        <v>3</v>
      </c>
      <c r="AD27" s="48">
        <v>0</v>
      </c>
      <c r="AE27" s="48">
        <v>3</v>
      </c>
      <c r="AF27" s="48">
        <v>1</v>
      </c>
      <c r="AG27" s="48">
        <v>2</v>
      </c>
      <c r="AH27" s="48">
        <v>1</v>
      </c>
      <c r="AI27" s="48">
        <v>0</v>
      </c>
      <c r="AJ27" s="48">
        <v>0</v>
      </c>
      <c r="AK27" s="13">
        <f t="shared" si="2"/>
        <v>38</v>
      </c>
    </row>
    <row r="28" spans="1:37" ht="12.75" customHeight="1" x14ac:dyDescent="0.4">
      <c r="A28" s="21"/>
      <c r="B28" s="71" t="s">
        <v>23</v>
      </c>
      <c r="C28" s="72" t="s">
        <v>24</v>
      </c>
      <c r="D28" s="13" t="s">
        <v>12</v>
      </c>
      <c r="E28" s="48">
        <f>SUM(E19+E22+E25)</f>
        <v>117</v>
      </c>
      <c r="F28" s="48">
        <f t="shared" ref="F28:AJ28" si="3">SUM(F19+F22+F25)</f>
        <v>103</v>
      </c>
      <c r="G28" s="48">
        <f t="shared" si="3"/>
        <v>100</v>
      </c>
      <c r="H28" s="48">
        <f t="shared" si="3"/>
        <v>113</v>
      </c>
      <c r="I28" s="48">
        <f t="shared" si="3"/>
        <v>109</v>
      </c>
      <c r="J28" s="48">
        <f t="shared" si="3"/>
        <v>112</v>
      </c>
      <c r="K28" s="48">
        <f t="shared" si="3"/>
        <v>93</v>
      </c>
      <c r="L28" s="48">
        <f t="shared" si="3"/>
        <v>101</v>
      </c>
      <c r="M28" s="48">
        <f t="shared" si="3"/>
        <v>114</v>
      </c>
      <c r="N28" s="48">
        <f t="shared" si="3"/>
        <v>110</v>
      </c>
      <c r="O28" s="48">
        <f t="shared" si="3"/>
        <v>82</v>
      </c>
      <c r="P28" s="48">
        <f t="shared" si="3"/>
        <v>100</v>
      </c>
      <c r="Q28" s="48">
        <f t="shared" si="3"/>
        <v>84</v>
      </c>
      <c r="R28" s="48">
        <f t="shared" si="3"/>
        <v>85</v>
      </c>
      <c r="S28" s="48">
        <f t="shared" si="3"/>
        <v>101</v>
      </c>
      <c r="T28" s="48">
        <f t="shared" si="3"/>
        <v>106</v>
      </c>
      <c r="U28" s="48">
        <f t="shared" si="3"/>
        <v>82</v>
      </c>
      <c r="V28" s="48">
        <f t="shared" si="3"/>
        <v>76</v>
      </c>
      <c r="W28" s="48">
        <f t="shared" si="3"/>
        <v>86</v>
      </c>
      <c r="X28" s="48">
        <f t="shared" si="3"/>
        <v>117</v>
      </c>
      <c r="Y28" s="48">
        <f t="shared" si="3"/>
        <v>91</v>
      </c>
      <c r="Z28" s="48">
        <f t="shared" si="3"/>
        <v>103</v>
      </c>
      <c r="AA28" s="48">
        <f t="shared" si="3"/>
        <v>115</v>
      </c>
      <c r="AB28" s="48">
        <f t="shared" si="3"/>
        <v>125</v>
      </c>
      <c r="AC28" s="48">
        <f t="shared" si="3"/>
        <v>87</v>
      </c>
      <c r="AD28" s="48">
        <f t="shared" si="3"/>
        <v>93</v>
      </c>
      <c r="AE28" s="48">
        <f t="shared" si="3"/>
        <v>109</v>
      </c>
      <c r="AF28" s="48">
        <f t="shared" si="3"/>
        <v>94</v>
      </c>
      <c r="AG28" s="48">
        <f t="shared" si="3"/>
        <v>121</v>
      </c>
      <c r="AH28" s="48">
        <f t="shared" si="3"/>
        <v>119</v>
      </c>
      <c r="AI28" s="48">
        <f t="shared" si="3"/>
        <v>96</v>
      </c>
      <c r="AJ28" s="48">
        <f t="shared" si="3"/>
        <v>90</v>
      </c>
      <c r="AK28" s="13">
        <f t="shared" si="2"/>
        <v>3234</v>
      </c>
    </row>
    <row r="29" spans="1:37" ht="12.75" customHeight="1" x14ac:dyDescent="0.4">
      <c r="A29" s="21"/>
      <c r="B29" s="64"/>
      <c r="C29" s="68"/>
      <c r="D29" s="13" t="s">
        <v>13</v>
      </c>
      <c r="E29" s="48">
        <f>SUM(E20+E23+E26)</f>
        <v>111</v>
      </c>
      <c r="F29" s="48">
        <f t="shared" ref="F29:AJ29" si="4">SUM(F20+F23+F26)</f>
        <v>107</v>
      </c>
      <c r="G29" s="48">
        <f t="shared" si="4"/>
        <v>110</v>
      </c>
      <c r="H29" s="48">
        <f t="shared" si="4"/>
        <v>127</v>
      </c>
      <c r="I29" s="48">
        <f t="shared" si="4"/>
        <v>116</v>
      </c>
      <c r="J29" s="48">
        <f t="shared" si="4"/>
        <v>116</v>
      </c>
      <c r="K29" s="48">
        <f t="shared" si="4"/>
        <v>107</v>
      </c>
      <c r="L29" s="48">
        <f t="shared" si="4"/>
        <v>120</v>
      </c>
      <c r="M29" s="48">
        <f t="shared" si="4"/>
        <v>129</v>
      </c>
      <c r="N29" s="48">
        <f t="shared" si="4"/>
        <v>132</v>
      </c>
      <c r="O29" s="48">
        <f t="shared" si="4"/>
        <v>96</v>
      </c>
      <c r="P29" s="48">
        <f t="shared" si="4"/>
        <v>118</v>
      </c>
      <c r="Q29" s="48">
        <f t="shared" si="4"/>
        <v>109</v>
      </c>
      <c r="R29" s="48">
        <f t="shared" si="4"/>
        <v>129</v>
      </c>
      <c r="S29" s="48">
        <f t="shared" si="4"/>
        <v>126</v>
      </c>
      <c r="T29" s="48">
        <f t="shared" si="4"/>
        <v>116</v>
      </c>
      <c r="U29" s="48">
        <f t="shared" si="4"/>
        <v>74</v>
      </c>
      <c r="V29" s="48">
        <f t="shared" si="4"/>
        <v>65</v>
      </c>
      <c r="W29" s="48">
        <f t="shared" si="4"/>
        <v>86</v>
      </c>
      <c r="X29" s="48">
        <f t="shared" si="4"/>
        <v>115</v>
      </c>
      <c r="Y29" s="48">
        <f t="shared" si="4"/>
        <v>101</v>
      </c>
      <c r="Z29" s="48">
        <f t="shared" si="4"/>
        <v>115</v>
      </c>
      <c r="AA29" s="48">
        <f t="shared" si="4"/>
        <v>104</v>
      </c>
      <c r="AB29" s="48">
        <f t="shared" si="4"/>
        <v>115</v>
      </c>
      <c r="AC29" s="48">
        <f t="shared" si="4"/>
        <v>91</v>
      </c>
      <c r="AD29" s="48">
        <f t="shared" si="4"/>
        <v>118</v>
      </c>
      <c r="AE29" s="48">
        <f t="shared" si="4"/>
        <v>120</v>
      </c>
      <c r="AF29" s="48">
        <f t="shared" si="4"/>
        <v>113</v>
      </c>
      <c r="AG29" s="48">
        <f t="shared" si="4"/>
        <v>129</v>
      </c>
      <c r="AH29" s="48">
        <f t="shared" si="4"/>
        <v>128</v>
      </c>
      <c r="AI29" s="48">
        <f t="shared" si="4"/>
        <v>110</v>
      </c>
      <c r="AJ29" s="48">
        <f t="shared" si="4"/>
        <v>95</v>
      </c>
      <c r="AK29" s="13">
        <f t="shared" si="2"/>
        <v>3548</v>
      </c>
    </row>
    <row r="30" spans="1:37" ht="12.75" customHeight="1" x14ac:dyDescent="0.4">
      <c r="A30" s="21"/>
      <c r="B30" s="65"/>
      <c r="C30" s="69"/>
      <c r="D30" s="13" t="s">
        <v>14</v>
      </c>
      <c r="E30" s="50">
        <f>SUM(E28:E29)</f>
        <v>228</v>
      </c>
      <c r="F30" s="50">
        <f t="shared" ref="F30:AJ30" si="5">SUM(F28:F29)</f>
        <v>210</v>
      </c>
      <c r="G30" s="50">
        <f t="shared" si="5"/>
        <v>210</v>
      </c>
      <c r="H30" s="50">
        <f t="shared" si="5"/>
        <v>240</v>
      </c>
      <c r="I30" s="50">
        <f t="shared" si="5"/>
        <v>225</v>
      </c>
      <c r="J30" s="50">
        <f t="shared" si="5"/>
        <v>228</v>
      </c>
      <c r="K30" s="50">
        <f t="shared" si="5"/>
        <v>200</v>
      </c>
      <c r="L30" s="50">
        <f t="shared" si="5"/>
        <v>221</v>
      </c>
      <c r="M30" s="50">
        <f t="shared" si="5"/>
        <v>243</v>
      </c>
      <c r="N30" s="50">
        <f t="shared" si="5"/>
        <v>242</v>
      </c>
      <c r="O30" s="50">
        <f t="shared" si="5"/>
        <v>178</v>
      </c>
      <c r="P30" s="50">
        <f t="shared" si="5"/>
        <v>218</v>
      </c>
      <c r="Q30" s="50">
        <f t="shared" si="5"/>
        <v>193</v>
      </c>
      <c r="R30" s="50">
        <f t="shared" si="5"/>
        <v>214</v>
      </c>
      <c r="S30" s="50">
        <f t="shared" si="5"/>
        <v>227</v>
      </c>
      <c r="T30" s="50">
        <f t="shared" si="5"/>
        <v>222</v>
      </c>
      <c r="U30" s="50">
        <f t="shared" si="5"/>
        <v>156</v>
      </c>
      <c r="V30" s="50">
        <f t="shared" si="5"/>
        <v>141</v>
      </c>
      <c r="W30" s="50">
        <f t="shared" si="5"/>
        <v>172</v>
      </c>
      <c r="X30" s="50">
        <f t="shared" si="5"/>
        <v>232</v>
      </c>
      <c r="Y30" s="50">
        <f t="shared" si="5"/>
        <v>192</v>
      </c>
      <c r="Z30" s="50">
        <f t="shared" si="5"/>
        <v>218</v>
      </c>
      <c r="AA30" s="50">
        <f t="shared" si="5"/>
        <v>219</v>
      </c>
      <c r="AB30" s="50">
        <f t="shared" si="5"/>
        <v>240</v>
      </c>
      <c r="AC30" s="50">
        <f t="shared" si="5"/>
        <v>178</v>
      </c>
      <c r="AD30" s="50">
        <f t="shared" si="5"/>
        <v>211</v>
      </c>
      <c r="AE30" s="50">
        <f t="shared" si="5"/>
        <v>229</v>
      </c>
      <c r="AF30" s="50">
        <f t="shared" si="5"/>
        <v>207</v>
      </c>
      <c r="AG30" s="50">
        <f t="shared" si="5"/>
        <v>250</v>
      </c>
      <c r="AH30" s="50">
        <f t="shared" si="5"/>
        <v>247</v>
      </c>
      <c r="AI30" s="50">
        <f t="shared" si="5"/>
        <v>206</v>
      </c>
      <c r="AJ30" s="50">
        <f t="shared" si="5"/>
        <v>185</v>
      </c>
      <c r="AK30" s="13">
        <f>SUM(AK28:AK29)</f>
        <v>6782</v>
      </c>
    </row>
    <row r="31" spans="1:37" ht="12.75" customHeight="1" x14ac:dyDescent="0.4">
      <c r="A31" s="66"/>
      <c r="B31" s="54"/>
      <c r="C31" s="54"/>
      <c r="D31" s="55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3"/>
    </row>
    <row r="32" spans="1:37" ht="12.75" customHeight="1" x14ac:dyDescent="0.4">
      <c r="A32" s="24" t="s">
        <v>25</v>
      </c>
      <c r="B32" s="57" t="s">
        <v>26</v>
      </c>
      <c r="C32" s="54"/>
      <c r="D32" s="5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3"/>
    </row>
    <row r="33" spans="1:37" ht="12.75" customHeight="1" x14ac:dyDescent="0.4">
      <c r="A33" s="15">
        <v>1</v>
      </c>
      <c r="B33" s="60" t="s">
        <v>27</v>
      </c>
      <c r="C33" s="54"/>
      <c r="D33" s="55"/>
      <c r="E33" s="47">
        <v>283</v>
      </c>
      <c r="F33" s="47">
        <v>257</v>
      </c>
      <c r="G33" s="47">
        <v>259</v>
      </c>
      <c r="H33" s="47">
        <v>300</v>
      </c>
      <c r="I33" s="47">
        <v>266</v>
      </c>
      <c r="J33" s="47">
        <v>285</v>
      </c>
      <c r="K33" s="47">
        <v>254</v>
      </c>
      <c r="L33" s="47">
        <v>299</v>
      </c>
      <c r="M33" s="47">
        <v>298</v>
      </c>
      <c r="N33" s="47">
        <v>300</v>
      </c>
      <c r="O33" s="47">
        <v>238</v>
      </c>
      <c r="P33" s="47">
        <v>279</v>
      </c>
      <c r="Q33" s="47">
        <v>264</v>
      </c>
      <c r="R33" s="47">
        <v>273</v>
      </c>
      <c r="S33" s="47">
        <v>279</v>
      </c>
      <c r="T33" s="47">
        <v>296</v>
      </c>
      <c r="U33" s="47">
        <v>220</v>
      </c>
      <c r="V33" s="47">
        <v>189</v>
      </c>
      <c r="W33" s="47">
        <v>237</v>
      </c>
      <c r="X33" s="47">
        <v>293</v>
      </c>
      <c r="Y33" s="47">
        <v>272</v>
      </c>
      <c r="Z33" s="47">
        <v>273</v>
      </c>
      <c r="AA33" s="47">
        <v>294</v>
      </c>
      <c r="AB33" s="47">
        <v>294</v>
      </c>
      <c r="AC33" s="47">
        <v>234</v>
      </c>
      <c r="AD33" s="47">
        <v>250</v>
      </c>
      <c r="AE33" s="47">
        <v>295</v>
      </c>
      <c r="AF33" s="47">
        <v>267</v>
      </c>
      <c r="AG33" s="47">
        <v>302</v>
      </c>
      <c r="AH33" s="47">
        <v>251</v>
      </c>
      <c r="AI33" s="47">
        <v>257</v>
      </c>
      <c r="AJ33" s="47">
        <v>228</v>
      </c>
      <c r="AK33" s="13">
        <f t="shared" ref="AK33:AK36" si="6">SUM(E33:AJ33)</f>
        <v>8586</v>
      </c>
    </row>
    <row r="34" spans="1:37" ht="12.75" customHeight="1" x14ac:dyDescent="0.4">
      <c r="A34" s="15">
        <v>2</v>
      </c>
      <c r="B34" s="60" t="s">
        <v>28</v>
      </c>
      <c r="C34" s="54"/>
      <c r="D34" s="55"/>
      <c r="E34" s="51">
        <v>228</v>
      </c>
      <c r="F34" s="51">
        <v>210</v>
      </c>
      <c r="G34" s="51">
        <v>210</v>
      </c>
      <c r="H34" s="51">
        <v>240</v>
      </c>
      <c r="I34" s="51">
        <v>225</v>
      </c>
      <c r="J34" s="51">
        <v>228</v>
      </c>
      <c r="K34" s="51">
        <v>200</v>
      </c>
      <c r="L34" s="51">
        <v>221</v>
      </c>
      <c r="M34" s="51">
        <v>243</v>
      </c>
      <c r="N34" s="51">
        <v>242</v>
      </c>
      <c r="O34" s="51">
        <v>178</v>
      </c>
      <c r="P34" s="51">
        <v>218</v>
      </c>
      <c r="Q34" s="51">
        <v>193</v>
      </c>
      <c r="R34" s="51">
        <v>214</v>
      </c>
      <c r="S34" s="51">
        <v>227</v>
      </c>
      <c r="T34" s="51">
        <v>222</v>
      </c>
      <c r="U34" s="51">
        <v>156</v>
      </c>
      <c r="V34" s="51">
        <v>141</v>
      </c>
      <c r="W34" s="51">
        <v>172</v>
      </c>
      <c r="X34" s="51">
        <v>232</v>
      </c>
      <c r="Y34" s="51">
        <v>192</v>
      </c>
      <c r="Z34" s="51">
        <v>218</v>
      </c>
      <c r="AA34" s="51">
        <v>219</v>
      </c>
      <c r="AB34" s="51">
        <v>240</v>
      </c>
      <c r="AC34" s="51">
        <v>178</v>
      </c>
      <c r="AD34" s="51">
        <v>211</v>
      </c>
      <c r="AE34" s="51">
        <v>229</v>
      </c>
      <c r="AF34" s="51">
        <v>207</v>
      </c>
      <c r="AG34" s="51">
        <v>250</v>
      </c>
      <c r="AH34" s="51">
        <v>247</v>
      </c>
      <c r="AI34" s="51">
        <v>206</v>
      </c>
      <c r="AJ34" s="51">
        <v>185</v>
      </c>
      <c r="AK34" s="13">
        <f t="shared" si="6"/>
        <v>6782</v>
      </c>
    </row>
    <row r="35" spans="1:37" ht="12.75" customHeight="1" x14ac:dyDescent="0.4">
      <c r="A35" s="15">
        <v>3</v>
      </c>
      <c r="B35" s="60" t="s">
        <v>29</v>
      </c>
      <c r="C35" s="54"/>
      <c r="D35" s="55"/>
      <c r="E35" s="47">
        <v>0</v>
      </c>
      <c r="F35" s="47">
        <v>0</v>
      </c>
      <c r="G35" s="47">
        <v>0</v>
      </c>
      <c r="H35" s="47">
        <v>1</v>
      </c>
      <c r="I35" s="47">
        <v>0</v>
      </c>
      <c r="J35" s="47">
        <v>0</v>
      </c>
      <c r="K35" s="47">
        <v>1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1</v>
      </c>
      <c r="R35" s="47">
        <v>0</v>
      </c>
      <c r="S35" s="47">
        <v>0</v>
      </c>
      <c r="T35" s="47">
        <v>0</v>
      </c>
      <c r="U35" s="47">
        <v>2</v>
      </c>
      <c r="V35" s="47">
        <v>0</v>
      </c>
      <c r="W35" s="47">
        <v>0</v>
      </c>
      <c r="X35" s="47">
        <v>0</v>
      </c>
      <c r="Y35" s="47">
        <v>1</v>
      </c>
      <c r="Z35" s="47">
        <v>0</v>
      </c>
      <c r="AA35" s="47">
        <v>0</v>
      </c>
      <c r="AB35" s="47">
        <v>0</v>
      </c>
      <c r="AC35" s="47">
        <v>0</v>
      </c>
      <c r="AD35" s="47">
        <v>4</v>
      </c>
      <c r="AE35" s="47">
        <v>0</v>
      </c>
      <c r="AF35" s="47">
        <v>0</v>
      </c>
      <c r="AG35" s="47">
        <v>0</v>
      </c>
      <c r="AH35" s="47">
        <v>2</v>
      </c>
      <c r="AI35" s="47">
        <v>0</v>
      </c>
      <c r="AJ35" s="47">
        <v>1</v>
      </c>
      <c r="AK35" s="13">
        <f t="shared" si="6"/>
        <v>13</v>
      </c>
    </row>
    <row r="36" spans="1:37" ht="12.75" customHeight="1" x14ac:dyDescent="0.4">
      <c r="A36" s="15">
        <v>4</v>
      </c>
      <c r="B36" s="60" t="s">
        <v>30</v>
      </c>
      <c r="C36" s="54"/>
      <c r="D36" s="55"/>
      <c r="E36" s="48">
        <f t="shared" ref="E36:AJ36" si="7">E33-(E34+E35)</f>
        <v>55</v>
      </c>
      <c r="F36" s="48">
        <f t="shared" si="7"/>
        <v>47</v>
      </c>
      <c r="G36" s="48">
        <f t="shared" si="7"/>
        <v>49</v>
      </c>
      <c r="H36" s="48">
        <f t="shared" si="7"/>
        <v>59</v>
      </c>
      <c r="I36" s="48">
        <f t="shared" si="7"/>
        <v>41</v>
      </c>
      <c r="J36" s="48">
        <f t="shared" si="7"/>
        <v>57</v>
      </c>
      <c r="K36" s="48">
        <f t="shared" si="7"/>
        <v>53</v>
      </c>
      <c r="L36" s="48">
        <f t="shared" si="7"/>
        <v>78</v>
      </c>
      <c r="M36" s="48">
        <f t="shared" si="7"/>
        <v>55</v>
      </c>
      <c r="N36" s="48">
        <f t="shared" si="7"/>
        <v>58</v>
      </c>
      <c r="O36" s="48">
        <f t="shared" si="7"/>
        <v>60</v>
      </c>
      <c r="P36" s="48">
        <f t="shared" si="7"/>
        <v>61</v>
      </c>
      <c r="Q36" s="48">
        <f t="shared" si="7"/>
        <v>70</v>
      </c>
      <c r="R36" s="48">
        <f t="shared" si="7"/>
        <v>59</v>
      </c>
      <c r="S36" s="48">
        <f t="shared" si="7"/>
        <v>52</v>
      </c>
      <c r="T36" s="48">
        <f t="shared" si="7"/>
        <v>74</v>
      </c>
      <c r="U36" s="48">
        <f t="shared" si="7"/>
        <v>62</v>
      </c>
      <c r="V36" s="48">
        <f t="shared" si="7"/>
        <v>48</v>
      </c>
      <c r="W36" s="48">
        <f t="shared" si="7"/>
        <v>65</v>
      </c>
      <c r="X36" s="48">
        <f t="shared" si="7"/>
        <v>61</v>
      </c>
      <c r="Y36" s="48">
        <f t="shared" si="7"/>
        <v>79</v>
      </c>
      <c r="Z36" s="48">
        <f t="shared" si="7"/>
        <v>55</v>
      </c>
      <c r="AA36" s="48">
        <f t="shared" si="7"/>
        <v>75</v>
      </c>
      <c r="AB36" s="48">
        <f t="shared" si="7"/>
        <v>54</v>
      </c>
      <c r="AC36" s="48">
        <f t="shared" si="7"/>
        <v>56</v>
      </c>
      <c r="AD36" s="48">
        <f t="shared" si="7"/>
        <v>35</v>
      </c>
      <c r="AE36" s="48">
        <f t="shared" si="7"/>
        <v>66</v>
      </c>
      <c r="AF36" s="48">
        <f t="shared" si="7"/>
        <v>60</v>
      </c>
      <c r="AG36" s="48">
        <f t="shared" si="7"/>
        <v>52</v>
      </c>
      <c r="AH36" s="48">
        <f t="shared" si="7"/>
        <v>2</v>
      </c>
      <c r="AI36" s="48">
        <f t="shared" si="7"/>
        <v>51</v>
      </c>
      <c r="AJ36" s="48">
        <f t="shared" si="7"/>
        <v>42</v>
      </c>
      <c r="AK36" s="13">
        <f t="shared" si="6"/>
        <v>1791</v>
      </c>
    </row>
    <row r="37" spans="1:37" ht="12.75" customHeight="1" x14ac:dyDescent="0.4">
      <c r="A37" s="66"/>
      <c r="B37" s="54"/>
      <c r="C37" s="54"/>
      <c r="D37" s="54"/>
      <c r="E37" s="82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5"/>
      <c r="AE37" s="49"/>
      <c r="AF37" s="49"/>
      <c r="AG37" s="49"/>
      <c r="AH37" s="49"/>
      <c r="AI37" s="49"/>
      <c r="AJ37" s="49"/>
      <c r="AK37" s="43"/>
    </row>
    <row r="38" spans="1:37" ht="12.75" customHeight="1" x14ac:dyDescent="0.4">
      <c r="A38" s="25" t="s">
        <v>31</v>
      </c>
      <c r="B38" s="57" t="s">
        <v>32</v>
      </c>
      <c r="C38" s="54"/>
      <c r="D38" s="5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3"/>
    </row>
    <row r="39" spans="1:37" ht="12.75" customHeight="1" x14ac:dyDescent="0.4">
      <c r="A39" s="19"/>
      <c r="B39" s="73" t="s">
        <v>33</v>
      </c>
      <c r="C39" s="62"/>
      <c r="D39" s="15" t="s">
        <v>12</v>
      </c>
      <c r="E39" s="47">
        <v>1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1</v>
      </c>
      <c r="T39" s="47">
        <v>0</v>
      </c>
      <c r="U39" s="47">
        <v>2</v>
      </c>
      <c r="V39" s="47">
        <v>0</v>
      </c>
      <c r="W39" s="47">
        <v>0</v>
      </c>
      <c r="X39" s="47">
        <v>1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2</v>
      </c>
      <c r="AG39" s="47">
        <v>1</v>
      </c>
      <c r="AH39" s="47">
        <v>5</v>
      </c>
      <c r="AI39" s="47">
        <v>1</v>
      </c>
      <c r="AJ39" s="47">
        <v>0</v>
      </c>
      <c r="AK39" s="13">
        <f t="shared" ref="AK39:AK41" si="8">SUM(E39:AJ39)</f>
        <v>14</v>
      </c>
    </row>
    <row r="40" spans="1:37" ht="12.75" customHeight="1" x14ac:dyDescent="0.4">
      <c r="A40" s="20"/>
      <c r="B40" s="74"/>
      <c r="C40" s="64"/>
      <c r="D40" s="15" t="s">
        <v>13</v>
      </c>
      <c r="E40" s="47">
        <v>0</v>
      </c>
      <c r="F40" s="47">
        <v>0</v>
      </c>
      <c r="G40" s="47">
        <v>0</v>
      </c>
      <c r="H40" s="47">
        <v>0</v>
      </c>
      <c r="I40" s="47">
        <v>1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4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1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1</v>
      </c>
      <c r="AH40" s="47">
        <v>3</v>
      </c>
      <c r="AI40" s="47">
        <v>0</v>
      </c>
      <c r="AJ40" s="47">
        <v>0</v>
      </c>
      <c r="AK40" s="13">
        <f t="shared" si="8"/>
        <v>10</v>
      </c>
    </row>
    <row r="41" spans="1:37" ht="12.75" customHeight="1" x14ac:dyDescent="0.4">
      <c r="A41" s="24"/>
      <c r="B41" s="75"/>
      <c r="C41" s="65"/>
      <c r="D41" s="13" t="s">
        <v>14</v>
      </c>
      <c r="E41" s="13">
        <f t="shared" ref="E41:AJ41" si="9">SUM(E39:E40)</f>
        <v>1</v>
      </c>
      <c r="F41" s="13">
        <f t="shared" si="9"/>
        <v>0</v>
      </c>
      <c r="G41" s="13">
        <f t="shared" si="9"/>
        <v>0</v>
      </c>
      <c r="H41" s="13">
        <f t="shared" si="9"/>
        <v>0</v>
      </c>
      <c r="I41" s="13">
        <f t="shared" si="9"/>
        <v>1</v>
      </c>
      <c r="J41" s="13">
        <f t="shared" si="9"/>
        <v>0</v>
      </c>
      <c r="K41" s="13">
        <f t="shared" si="9"/>
        <v>0</v>
      </c>
      <c r="L41" s="13">
        <f t="shared" si="9"/>
        <v>0</v>
      </c>
      <c r="M41" s="13">
        <f t="shared" si="9"/>
        <v>0</v>
      </c>
      <c r="N41" s="13">
        <f t="shared" si="9"/>
        <v>0</v>
      </c>
      <c r="O41" s="13">
        <f t="shared" si="9"/>
        <v>0</v>
      </c>
      <c r="P41" s="13">
        <f t="shared" si="9"/>
        <v>0</v>
      </c>
      <c r="Q41" s="13">
        <f t="shared" si="9"/>
        <v>0</v>
      </c>
      <c r="R41" s="13">
        <f t="shared" si="9"/>
        <v>4</v>
      </c>
      <c r="S41" s="13">
        <f t="shared" si="9"/>
        <v>1</v>
      </c>
      <c r="T41" s="13">
        <f t="shared" si="9"/>
        <v>0</v>
      </c>
      <c r="U41" s="13">
        <f t="shared" si="9"/>
        <v>2</v>
      </c>
      <c r="V41" s="13">
        <f t="shared" si="9"/>
        <v>0</v>
      </c>
      <c r="W41" s="13">
        <f t="shared" si="9"/>
        <v>0</v>
      </c>
      <c r="X41" s="13">
        <f t="shared" si="9"/>
        <v>1</v>
      </c>
      <c r="Y41" s="13">
        <f t="shared" si="9"/>
        <v>0</v>
      </c>
      <c r="Z41" s="13">
        <f t="shared" si="9"/>
        <v>0</v>
      </c>
      <c r="AA41" s="13">
        <f t="shared" si="9"/>
        <v>1</v>
      </c>
      <c r="AB41" s="13">
        <f t="shared" si="9"/>
        <v>0</v>
      </c>
      <c r="AC41" s="13">
        <f t="shared" si="9"/>
        <v>0</v>
      </c>
      <c r="AD41" s="13">
        <f t="shared" si="9"/>
        <v>0</v>
      </c>
      <c r="AE41" s="13">
        <f t="shared" si="9"/>
        <v>0</v>
      </c>
      <c r="AF41" s="13">
        <f t="shared" si="9"/>
        <v>2</v>
      </c>
      <c r="AG41" s="13">
        <f t="shared" si="9"/>
        <v>2</v>
      </c>
      <c r="AH41" s="13">
        <f t="shared" si="9"/>
        <v>8</v>
      </c>
      <c r="AI41" s="13">
        <f t="shared" si="9"/>
        <v>1</v>
      </c>
      <c r="AJ41" s="13">
        <f t="shared" si="9"/>
        <v>0</v>
      </c>
      <c r="AK41" s="13">
        <f t="shared" si="8"/>
        <v>24</v>
      </c>
    </row>
    <row r="42" spans="1:37" ht="12.75" customHeight="1" x14ac:dyDescent="0.4">
      <c r="A42" s="76"/>
      <c r="B42" s="75"/>
      <c r="C42" s="75"/>
      <c r="D42" s="65"/>
      <c r="E42" s="66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5"/>
      <c r="X42" s="15"/>
      <c r="Y42" s="15"/>
      <c r="Z42" s="15"/>
      <c r="AA42" s="15"/>
      <c r="AB42" s="42"/>
      <c r="AC42" s="15"/>
      <c r="AD42" s="42"/>
      <c r="AE42" s="15"/>
      <c r="AF42" s="42"/>
      <c r="AG42" s="15"/>
      <c r="AH42" s="42"/>
      <c r="AI42" s="15"/>
      <c r="AJ42" s="42"/>
      <c r="AK42" s="13"/>
    </row>
    <row r="43" spans="1:37" ht="12.75" customHeight="1" x14ac:dyDescent="0.4">
      <c r="A43" s="25" t="s">
        <v>34</v>
      </c>
      <c r="B43" s="57" t="s">
        <v>35</v>
      </c>
      <c r="C43" s="54"/>
      <c r="D43" s="55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3"/>
    </row>
    <row r="44" spans="1:37" ht="12.75" customHeight="1" x14ac:dyDescent="0.4">
      <c r="A44" s="73" t="s">
        <v>36</v>
      </c>
      <c r="B44" s="77"/>
      <c r="C44" s="77"/>
      <c r="D44" s="6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3"/>
    </row>
    <row r="45" spans="1:37" ht="12.75" customHeight="1" x14ac:dyDescent="0.4">
      <c r="A45" s="19" t="s">
        <v>37</v>
      </c>
      <c r="B45" s="26" t="s">
        <v>17</v>
      </c>
      <c r="C45" s="56" t="s">
        <v>38</v>
      </c>
      <c r="D45" s="55"/>
      <c r="E45" s="15">
        <v>34</v>
      </c>
      <c r="F45" s="15">
        <v>12</v>
      </c>
      <c r="G45" s="15">
        <v>30</v>
      </c>
      <c r="H45" s="15">
        <v>17</v>
      </c>
      <c r="I45" s="15">
        <v>15</v>
      </c>
      <c r="J45" s="15">
        <v>17</v>
      </c>
      <c r="K45" s="15">
        <v>12</v>
      </c>
      <c r="L45" s="15">
        <v>28</v>
      </c>
      <c r="M45" s="15">
        <v>33</v>
      </c>
      <c r="N45" s="15">
        <v>29</v>
      </c>
      <c r="O45" s="15">
        <v>14</v>
      </c>
      <c r="P45" s="15">
        <v>12</v>
      </c>
      <c r="Q45" s="15">
        <v>10</v>
      </c>
      <c r="R45" s="15">
        <v>12</v>
      </c>
      <c r="S45" s="15">
        <v>15</v>
      </c>
      <c r="T45" s="15">
        <v>12</v>
      </c>
      <c r="U45" s="15">
        <v>9</v>
      </c>
      <c r="V45" s="15">
        <v>0</v>
      </c>
      <c r="W45" s="15">
        <v>0</v>
      </c>
      <c r="X45" s="15">
        <v>3</v>
      </c>
      <c r="Y45" s="15">
        <v>9</v>
      </c>
      <c r="Z45" s="15">
        <v>14</v>
      </c>
      <c r="AA45" s="15">
        <v>12</v>
      </c>
      <c r="AB45" s="15">
        <v>7</v>
      </c>
      <c r="AC45" s="15">
        <v>7</v>
      </c>
      <c r="AD45" s="15">
        <v>14</v>
      </c>
      <c r="AE45" s="15">
        <v>8</v>
      </c>
      <c r="AF45" s="15">
        <v>7</v>
      </c>
      <c r="AG45" s="15">
        <v>6</v>
      </c>
      <c r="AH45" s="15">
        <v>14</v>
      </c>
      <c r="AI45" s="15">
        <v>20</v>
      </c>
      <c r="AJ45" s="15">
        <v>9</v>
      </c>
      <c r="AK45" s="13">
        <f t="shared" ref="AK45:AK192" si="10">SUM(E45:AJ45)</f>
        <v>441</v>
      </c>
    </row>
    <row r="46" spans="1:37" ht="12.75" customHeight="1" x14ac:dyDescent="0.4">
      <c r="A46" s="19" t="s">
        <v>39</v>
      </c>
      <c r="B46" s="27"/>
      <c r="C46" s="28" t="s">
        <v>40</v>
      </c>
      <c r="D46" s="29"/>
      <c r="E46" s="15">
        <v>136</v>
      </c>
      <c r="F46" s="15">
        <v>163</v>
      </c>
      <c r="G46" s="15">
        <v>158</v>
      </c>
      <c r="H46" s="15">
        <v>189</v>
      </c>
      <c r="I46" s="15">
        <v>183</v>
      </c>
      <c r="J46" s="15">
        <v>96</v>
      </c>
      <c r="K46" s="15">
        <v>127</v>
      </c>
      <c r="L46" s="15">
        <v>126</v>
      </c>
      <c r="M46" s="15">
        <v>123</v>
      </c>
      <c r="N46" s="15">
        <v>126</v>
      </c>
      <c r="O46" s="15">
        <v>91</v>
      </c>
      <c r="P46" s="15">
        <v>76</v>
      </c>
      <c r="Q46" s="15">
        <v>72</v>
      </c>
      <c r="R46" s="15">
        <v>85</v>
      </c>
      <c r="S46" s="15">
        <v>141</v>
      </c>
      <c r="T46" s="15">
        <v>120</v>
      </c>
      <c r="U46" s="15">
        <v>111</v>
      </c>
      <c r="V46" s="15">
        <v>9</v>
      </c>
      <c r="W46" s="15">
        <v>4</v>
      </c>
      <c r="X46" s="15">
        <v>42</v>
      </c>
      <c r="Y46" s="15">
        <v>33</v>
      </c>
      <c r="Z46" s="15">
        <v>73</v>
      </c>
      <c r="AA46" s="15">
        <v>48</v>
      </c>
      <c r="AB46" s="15">
        <v>55</v>
      </c>
      <c r="AC46" s="15">
        <v>105</v>
      </c>
      <c r="AD46" s="15">
        <v>143</v>
      </c>
      <c r="AE46" s="15">
        <v>53</v>
      </c>
      <c r="AF46" s="15">
        <v>56</v>
      </c>
      <c r="AG46" s="15">
        <v>69</v>
      </c>
      <c r="AH46" s="15">
        <v>83</v>
      </c>
      <c r="AI46" s="15">
        <v>26</v>
      </c>
      <c r="AJ46" s="15">
        <v>71</v>
      </c>
      <c r="AK46" s="13">
        <f t="shared" si="10"/>
        <v>2993</v>
      </c>
    </row>
    <row r="47" spans="1:37" ht="12.75" customHeight="1" x14ac:dyDescent="0.4">
      <c r="A47" s="14"/>
      <c r="B47" s="27"/>
      <c r="C47" s="28" t="s">
        <v>41</v>
      </c>
      <c r="D47" s="29"/>
      <c r="E47" s="15">
        <v>3</v>
      </c>
      <c r="F47" s="15">
        <v>1</v>
      </c>
      <c r="G47" s="15">
        <v>3</v>
      </c>
      <c r="H47" s="15">
        <v>1</v>
      </c>
      <c r="I47" s="15">
        <v>1</v>
      </c>
      <c r="J47" s="15">
        <v>0</v>
      </c>
      <c r="K47" s="15">
        <v>0</v>
      </c>
      <c r="L47" s="15">
        <v>0</v>
      </c>
      <c r="M47" s="15">
        <v>1</v>
      </c>
      <c r="N47" s="15">
        <v>1</v>
      </c>
      <c r="O47" s="15">
        <v>0</v>
      </c>
      <c r="P47" s="15">
        <v>1</v>
      </c>
      <c r="Q47" s="15">
        <v>2</v>
      </c>
      <c r="R47" s="15">
        <v>6</v>
      </c>
      <c r="S47" s="15">
        <v>0</v>
      </c>
      <c r="T47" s="15">
        <v>4</v>
      </c>
      <c r="U47" s="15">
        <v>0</v>
      </c>
      <c r="V47" s="15">
        <v>0</v>
      </c>
      <c r="W47" s="15">
        <v>0</v>
      </c>
      <c r="X47" s="15">
        <v>0</v>
      </c>
      <c r="Y47" s="15">
        <v>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1</v>
      </c>
      <c r="AH47" s="15">
        <v>0</v>
      </c>
      <c r="AI47" s="15">
        <v>0</v>
      </c>
      <c r="AJ47" s="15">
        <v>0</v>
      </c>
      <c r="AK47" s="13">
        <f t="shared" si="10"/>
        <v>26</v>
      </c>
    </row>
    <row r="48" spans="1:37" ht="12.75" customHeight="1" x14ac:dyDescent="0.4">
      <c r="A48" s="14"/>
      <c r="B48" s="27"/>
      <c r="C48" s="28" t="s">
        <v>42</v>
      </c>
      <c r="D48" s="29"/>
      <c r="E48" s="15">
        <v>0</v>
      </c>
      <c r="F48" s="15">
        <v>0</v>
      </c>
      <c r="G48" s="15">
        <v>2</v>
      </c>
      <c r="H48" s="15">
        <v>1</v>
      </c>
      <c r="I48" s="15">
        <v>0</v>
      </c>
      <c r="J48" s="15">
        <v>0</v>
      </c>
      <c r="K48" s="15">
        <v>0</v>
      </c>
      <c r="L48" s="15">
        <v>1</v>
      </c>
      <c r="M48" s="15">
        <v>0</v>
      </c>
      <c r="N48" s="15">
        <v>1</v>
      </c>
      <c r="O48" s="15">
        <v>0</v>
      </c>
      <c r="P48" s="15">
        <v>0</v>
      </c>
      <c r="Q48" s="15">
        <v>1</v>
      </c>
      <c r="R48" s="15">
        <v>1</v>
      </c>
      <c r="S48" s="15">
        <v>0</v>
      </c>
      <c r="T48" s="15">
        <v>1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1</v>
      </c>
      <c r="AA48" s="15">
        <v>2</v>
      </c>
      <c r="AB48" s="15">
        <v>0</v>
      </c>
      <c r="AC48" s="15">
        <v>0</v>
      </c>
      <c r="AD48" s="15">
        <v>1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3">
        <f t="shared" si="10"/>
        <v>12</v>
      </c>
    </row>
    <row r="49" spans="1:37" ht="12.75" customHeight="1" x14ac:dyDescent="0.4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/>
      <c r="AI49" s="15">
        <v>0</v>
      </c>
      <c r="AJ49" s="15">
        <v>0</v>
      </c>
      <c r="AK49" s="13">
        <f t="shared" si="10"/>
        <v>2</v>
      </c>
    </row>
    <row r="50" spans="1:37" ht="12.75" customHeight="1" x14ac:dyDescent="0.4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2</v>
      </c>
      <c r="AE50" s="15">
        <v>0</v>
      </c>
      <c r="AF50" s="15">
        <v>0</v>
      </c>
      <c r="AG50" s="15">
        <v>0</v>
      </c>
      <c r="AH50" s="15"/>
      <c r="AI50" s="15">
        <v>0</v>
      </c>
      <c r="AJ50" s="15">
        <v>0</v>
      </c>
      <c r="AK50" s="13">
        <f t="shared" si="10"/>
        <v>3</v>
      </c>
    </row>
    <row r="51" spans="1:37" ht="12.75" customHeight="1" x14ac:dyDescent="0.4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1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1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/>
      <c r="AI51" s="15">
        <v>0</v>
      </c>
      <c r="AJ51" s="15">
        <v>0</v>
      </c>
      <c r="AK51" s="13">
        <f t="shared" si="10"/>
        <v>4</v>
      </c>
    </row>
    <row r="52" spans="1:37" ht="12.75" customHeight="1" x14ac:dyDescent="0.4">
      <c r="A52" s="15" t="s">
        <v>15</v>
      </c>
      <c r="B52" s="53" t="s">
        <v>46</v>
      </c>
      <c r="C52" s="54"/>
      <c r="D52" s="55"/>
      <c r="E52" s="13">
        <f t="shared" ref="E52:AJ52" si="11">SUM(E45:E51)</f>
        <v>173</v>
      </c>
      <c r="F52" s="13">
        <f t="shared" si="11"/>
        <v>176</v>
      </c>
      <c r="G52" s="13">
        <f t="shared" si="11"/>
        <v>193</v>
      </c>
      <c r="H52" s="13">
        <f t="shared" si="11"/>
        <v>208</v>
      </c>
      <c r="I52" s="13">
        <f t="shared" si="11"/>
        <v>199</v>
      </c>
      <c r="J52" s="13">
        <f t="shared" si="11"/>
        <v>113</v>
      </c>
      <c r="K52" s="13">
        <f t="shared" si="11"/>
        <v>139</v>
      </c>
      <c r="L52" s="13">
        <f t="shared" si="11"/>
        <v>155</v>
      </c>
      <c r="M52" s="13">
        <f t="shared" si="11"/>
        <v>157</v>
      </c>
      <c r="N52" s="13">
        <f t="shared" si="11"/>
        <v>157</v>
      </c>
      <c r="O52" s="13">
        <f t="shared" si="11"/>
        <v>106</v>
      </c>
      <c r="P52" s="13">
        <f t="shared" si="11"/>
        <v>91</v>
      </c>
      <c r="Q52" s="13">
        <f t="shared" si="11"/>
        <v>85</v>
      </c>
      <c r="R52" s="13">
        <f t="shared" si="11"/>
        <v>105</v>
      </c>
      <c r="S52" s="13">
        <f t="shared" si="11"/>
        <v>156</v>
      </c>
      <c r="T52" s="13">
        <f t="shared" si="11"/>
        <v>137</v>
      </c>
      <c r="U52" s="13">
        <f t="shared" si="11"/>
        <v>121</v>
      </c>
      <c r="V52" s="13">
        <f t="shared" si="11"/>
        <v>10</v>
      </c>
      <c r="W52" s="13">
        <f t="shared" si="11"/>
        <v>4</v>
      </c>
      <c r="X52" s="13">
        <f t="shared" si="11"/>
        <v>45</v>
      </c>
      <c r="Y52" s="13">
        <f t="shared" si="11"/>
        <v>43</v>
      </c>
      <c r="Z52" s="13">
        <f t="shared" si="11"/>
        <v>88</v>
      </c>
      <c r="AA52" s="13">
        <f t="shared" si="11"/>
        <v>63</v>
      </c>
      <c r="AB52" s="13">
        <f t="shared" si="11"/>
        <v>62</v>
      </c>
      <c r="AC52" s="13">
        <f t="shared" si="11"/>
        <v>112</v>
      </c>
      <c r="AD52" s="13">
        <f t="shared" si="11"/>
        <v>160</v>
      </c>
      <c r="AE52" s="13">
        <f t="shared" si="11"/>
        <v>61</v>
      </c>
      <c r="AF52" s="13">
        <f t="shared" si="11"/>
        <v>63</v>
      </c>
      <c r="AG52" s="13">
        <f t="shared" si="11"/>
        <v>76</v>
      </c>
      <c r="AH52" s="13">
        <f t="shared" si="11"/>
        <v>97</v>
      </c>
      <c r="AI52" s="13">
        <f t="shared" si="11"/>
        <v>46</v>
      </c>
      <c r="AJ52" s="13">
        <f t="shared" si="11"/>
        <v>80</v>
      </c>
      <c r="AK52" s="13">
        <f t="shared" si="10"/>
        <v>3481</v>
      </c>
    </row>
    <row r="53" spans="1:37" ht="12.75" customHeight="1" x14ac:dyDescent="0.4">
      <c r="A53" s="34"/>
      <c r="B53" s="35"/>
      <c r="C53" s="35"/>
      <c r="D53" s="3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3">
        <f t="shared" si="10"/>
        <v>0</v>
      </c>
    </row>
    <row r="54" spans="1:37" ht="12.75" customHeight="1" x14ac:dyDescent="0.4">
      <c r="A54" s="19" t="s">
        <v>37</v>
      </c>
      <c r="B54" s="26" t="s">
        <v>19</v>
      </c>
      <c r="C54" s="56" t="s">
        <v>47</v>
      </c>
      <c r="D54" s="55"/>
      <c r="E54" s="15">
        <v>7</v>
      </c>
      <c r="F54" s="15">
        <v>0</v>
      </c>
      <c r="G54" s="15">
        <v>2</v>
      </c>
      <c r="H54" s="15">
        <v>0</v>
      </c>
      <c r="I54" s="15">
        <v>3</v>
      </c>
      <c r="J54" s="15">
        <v>2</v>
      </c>
      <c r="K54" s="15">
        <v>2</v>
      </c>
      <c r="L54" s="15">
        <v>8</v>
      </c>
      <c r="M54" s="15">
        <v>3</v>
      </c>
      <c r="N54" s="15">
        <v>1</v>
      </c>
      <c r="O54" s="15">
        <v>3</v>
      </c>
      <c r="P54" s="15">
        <v>5</v>
      </c>
      <c r="Q54" s="15">
        <v>8</v>
      </c>
      <c r="R54" s="15">
        <v>4</v>
      </c>
      <c r="S54" s="15">
        <v>2</v>
      </c>
      <c r="T54" s="15">
        <v>3</v>
      </c>
      <c r="U54" s="15">
        <v>3</v>
      </c>
      <c r="V54" s="15">
        <v>0</v>
      </c>
      <c r="W54" s="15">
        <v>1</v>
      </c>
      <c r="X54" s="15">
        <v>0</v>
      </c>
      <c r="Y54" s="15">
        <v>8</v>
      </c>
      <c r="Z54" s="15">
        <v>2</v>
      </c>
      <c r="AA54" s="15">
        <v>6</v>
      </c>
      <c r="AB54" s="15">
        <v>0</v>
      </c>
      <c r="AC54" s="15">
        <v>0</v>
      </c>
      <c r="AD54" s="15">
        <v>3</v>
      </c>
      <c r="AE54" s="15">
        <v>2</v>
      </c>
      <c r="AF54" s="15">
        <v>1</v>
      </c>
      <c r="AG54" s="15">
        <v>2</v>
      </c>
      <c r="AH54" s="15">
        <v>7</v>
      </c>
      <c r="AI54" s="15">
        <v>7</v>
      </c>
      <c r="AJ54" s="15">
        <v>3</v>
      </c>
      <c r="AK54" s="13">
        <f t="shared" si="10"/>
        <v>98</v>
      </c>
    </row>
    <row r="55" spans="1:37" ht="12.75" customHeight="1" x14ac:dyDescent="0.4">
      <c r="A55" s="19" t="s">
        <v>39</v>
      </c>
      <c r="B55" s="27"/>
      <c r="C55" s="28" t="s">
        <v>48</v>
      </c>
      <c r="D55" s="29"/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1</v>
      </c>
      <c r="L55" s="15">
        <v>0</v>
      </c>
      <c r="M55" s="15">
        <v>0</v>
      </c>
      <c r="N55" s="15">
        <v>3</v>
      </c>
      <c r="O55" s="15">
        <v>1</v>
      </c>
      <c r="P55" s="15">
        <v>3</v>
      </c>
      <c r="Q55" s="15">
        <v>0</v>
      </c>
      <c r="R55" s="15">
        <v>2</v>
      </c>
      <c r="S55" s="15">
        <v>3</v>
      </c>
      <c r="T55" s="15">
        <v>2</v>
      </c>
      <c r="U55" s="15">
        <v>2</v>
      </c>
      <c r="V55" s="15">
        <v>0</v>
      </c>
      <c r="W55" s="15">
        <v>0</v>
      </c>
      <c r="X55" s="15">
        <v>0</v>
      </c>
      <c r="Y55" s="15">
        <v>0</v>
      </c>
      <c r="Z55" s="15">
        <v>1</v>
      </c>
      <c r="AA55" s="15">
        <v>0</v>
      </c>
      <c r="AB55" s="15">
        <v>0</v>
      </c>
      <c r="AC55" s="15">
        <v>0</v>
      </c>
      <c r="AD55" s="15">
        <v>0</v>
      </c>
      <c r="AE55" s="15">
        <v>3</v>
      </c>
      <c r="AF55" s="15">
        <v>0</v>
      </c>
      <c r="AG55" s="15">
        <v>4</v>
      </c>
      <c r="AH55" s="15">
        <v>1</v>
      </c>
      <c r="AI55" s="15">
        <v>1</v>
      </c>
      <c r="AJ55" s="15">
        <v>1</v>
      </c>
      <c r="AK55" s="13">
        <f t="shared" si="10"/>
        <v>28</v>
      </c>
    </row>
    <row r="56" spans="1:37" ht="12.75" customHeight="1" x14ac:dyDescent="0.4">
      <c r="A56" s="14"/>
      <c r="B56" s="27"/>
      <c r="C56" s="28" t="s">
        <v>49</v>
      </c>
      <c r="D56" s="29"/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1</v>
      </c>
      <c r="K56" s="15">
        <v>0</v>
      </c>
      <c r="L56" s="15">
        <v>0</v>
      </c>
      <c r="M56" s="15">
        <v>0</v>
      </c>
      <c r="N56" s="15">
        <v>1</v>
      </c>
      <c r="O56" s="15">
        <v>0</v>
      </c>
      <c r="P56" s="15">
        <v>0</v>
      </c>
      <c r="Q56" s="15">
        <v>0</v>
      </c>
      <c r="R56" s="15">
        <v>0</v>
      </c>
      <c r="S56" s="15">
        <v>1</v>
      </c>
      <c r="T56" s="15">
        <v>2</v>
      </c>
      <c r="U56" s="15">
        <v>0</v>
      </c>
      <c r="V56" s="15">
        <v>1</v>
      </c>
      <c r="W56" s="15">
        <v>0</v>
      </c>
      <c r="X56" s="15">
        <v>0</v>
      </c>
      <c r="Y56" s="15">
        <v>1</v>
      </c>
      <c r="Z56" s="15">
        <v>0</v>
      </c>
      <c r="AA56" s="15">
        <v>1</v>
      </c>
      <c r="AB56" s="15">
        <v>0</v>
      </c>
      <c r="AC56" s="15">
        <v>1</v>
      </c>
      <c r="AD56" s="15">
        <v>0</v>
      </c>
      <c r="AE56" s="15">
        <v>0</v>
      </c>
      <c r="AF56" s="15">
        <v>0</v>
      </c>
      <c r="AG56" s="15">
        <v>0</v>
      </c>
      <c r="AH56" s="15">
        <v>1</v>
      </c>
      <c r="AI56" s="15">
        <v>1</v>
      </c>
      <c r="AJ56" s="15">
        <v>0</v>
      </c>
      <c r="AK56" s="13">
        <f t="shared" si="10"/>
        <v>11</v>
      </c>
    </row>
    <row r="57" spans="1:37" ht="12.75" customHeight="1" x14ac:dyDescent="0.4">
      <c r="A57" s="14"/>
      <c r="B57" s="27"/>
      <c r="C57" s="28" t="s">
        <v>50</v>
      </c>
      <c r="D57" s="29"/>
      <c r="E57" s="15">
        <v>1</v>
      </c>
      <c r="F57" s="15">
        <v>1</v>
      </c>
      <c r="G57" s="15">
        <v>0</v>
      </c>
      <c r="H57" s="15">
        <v>1</v>
      </c>
      <c r="I57" s="15">
        <v>0</v>
      </c>
      <c r="J57" s="15">
        <v>1</v>
      </c>
      <c r="K57" s="15">
        <v>0</v>
      </c>
      <c r="L57" s="15">
        <v>0</v>
      </c>
      <c r="M57" s="15">
        <v>2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2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1</v>
      </c>
      <c r="AK57" s="13">
        <f t="shared" si="10"/>
        <v>10</v>
      </c>
    </row>
    <row r="58" spans="1:37" ht="12.75" customHeight="1" x14ac:dyDescent="0.4">
      <c r="A58" s="14"/>
      <c r="B58" s="27"/>
      <c r="C58" s="28" t="s">
        <v>51</v>
      </c>
      <c r="D58" s="29"/>
      <c r="E58" s="15">
        <v>0</v>
      </c>
      <c r="F58" s="15">
        <v>1</v>
      </c>
      <c r="G58" s="15">
        <v>0</v>
      </c>
      <c r="H58" s="15">
        <v>1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3</v>
      </c>
      <c r="Q58" s="15">
        <v>0</v>
      </c>
      <c r="R58" s="15">
        <v>3</v>
      </c>
      <c r="S58" s="15">
        <v>1</v>
      </c>
      <c r="T58" s="15">
        <v>2</v>
      </c>
      <c r="U58" s="15">
        <v>0</v>
      </c>
      <c r="V58" s="15">
        <v>0</v>
      </c>
      <c r="W58" s="15">
        <v>0</v>
      </c>
      <c r="X58" s="15">
        <v>2</v>
      </c>
      <c r="Y58" s="15">
        <v>1</v>
      </c>
      <c r="Z58" s="15">
        <v>0</v>
      </c>
      <c r="AA58" s="15">
        <v>0</v>
      </c>
      <c r="AB58" s="15">
        <v>0</v>
      </c>
      <c r="AC58" s="15">
        <v>2</v>
      </c>
      <c r="AD58" s="15">
        <v>0</v>
      </c>
      <c r="AE58" s="15">
        <v>0</v>
      </c>
      <c r="AF58" s="15">
        <v>4</v>
      </c>
      <c r="AG58" s="15">
        <v>3</v>
      </c>
      <c r="AH58" s="15">
        <v>1</v>
      </c>
      <c r="AI58" s="15">
        <v>2</v>
      </c>
      <c r="AJ58" s="15">
        <v>0</v>
      </c>
      <c r="AK58" s="13">
        <f t="shared" si="10"/>
        <v>27</v>
      </c>
    </row>
    <row r="59" spans="1:37" ht="12.75" customHeight="1" x14ac:dyDescent="0.4">
      <c r="A59" s="14"/>
      <c r="B59" s="27"/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1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3</v>
      </c>
      <c r="AH59" s="15">
        <v>1</v>
      </c>
      <c r="AI59" s="15">
        <v>0</v>
      </c>
      <c r="AJ59" s="15">
        <v>0</v>
      </c>
      <c r="AK59" s="13">
        <f t="shared" si="10"/>
        <v>5</v>
      </c>
    </row>
    <row r="60" spans="1:37" ht="12.75" customHeight="1" x14ac:dyDescent="0.4">
      <c r="A60" s="14"/>
      <c r="B60" s="27"/>
      <c r="C60" s="28" t="s">
        <v>53</v>
      </c>
      <c r="D60" s="29"/>
      <c r="E60" s="15">
        <v>0</v>
      </c>
      <c r="F60" s="15">
        <v>5</v>
      </c>
      <c r="G60" s="15">
        <v>0</v>
      </c>
      <c r="H60" s="15">
        <v>2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1</v>
      </c>
      <c r="O60" s="15">
        <v>0</v>
      </c>
      <c r="P60" s="15">
        <v>1</v>
      </c>
      <c r="Q60" s="15">
        <v>0</v>
      </c>
      <c r="R60" s="15">
        <v>1</v>
      </c>
      <c r="S60" s="15">
        <v>0</v>
      </c>
      <c r="T60" s="15">
        <v>4</v>
      </c>
      <c r="U60" s="15">
        <v>0</v>
      </c>
      <c r="V60" s="15">
        <v>0</v>
      </c>
      <c r="W60" s="15">
        <v>0</v>
      </c>
      <c r="X60" s="15">
        <v>6</v>
      </c>
      <c r="Y60" s="15">
        <v>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3">
        <f t="shared" si="10"/>
        <v>22</v>
      </c>
    </row>
    <row r="61" spans="1:37" ht="12.75" customHeight="1" x14ac:dyDescent="0.4">
      <c r="A61" s="15" t="s">
        <v>15</v>
      </c>
      <c r="B61" s="53" t="s">
        <v>46</v>
      </c>
      <c r="C61" s="54"/>
      <c r="D61" s="55"/>
      <c r="E61" s="13">
        <f t="shared" ref="E61:AJ61" si="12">SUM(E54:E60)</f>
        <v>8</v>
      </c>
      <c r="F61" s="13">
        <f t="shared" si="12"/>
        <v>7</v>
      </c>
      <c r="G61" s="13">
        <f t="shared" si="12"/>
        <v>2</v>
      </c>
      <c r="H61" s="13">
        <f t="shared" si="12"/>
        <v>4</v>
      </c>
      <c r="I61" s="13">
        <f t="shared" si="12"/>
        <v>3</v>
      </c>
      <c r="J61" s="13">
        <f t="shared" si="12"/>
        <v>6</v>
      </c>
      <c r="K61" s="13">
        <f t="shared" si="12"/>
        <v>3</v>
      </c>
      <c r="L61" s="13">
        <f t="shared" si="12"/>
        <v>8</v>
      </c>
      <c r="M61" s="13">
        <f t="shared" si="12"/>
        <v>5</v>
      </c>
      <c r="N61" s="13">
        <f t="shared" si="12"/>
        <v>6</v>
      </c>
      <c r="O61" s="13">
        <f t="shared" si="12"/>
        <v>4</v>
      </c>
      <c r="P61" s="13">
        <f t="shared" si="12"/>
        <v>12</v>
      </c>
      <c r="Q61" s="13">
        <f t="shared" si="12"/>
        <v>8</v>
      </c>
      <c r="R61" s="13">
        <f t="shared" si="12"/>
        <v>11</v>
      </c>
      <c r="S61" s="13">
        <f t="shared" si="12"/>
        <v>7</v>
      </c>
      <c r="T61" s="13">
        <f t="shared" si="12"/>
        <v>13</v>
      </c>
      <c r="U61" s="13">
        <f t="shared" si="12"/>
        <v>7</v>
      </c>
      <c r="V61" s="13">
        <f t="shared" si="12"/>
        <v>1</v>
      </c>
      <c r="W61" s="13">
        <f t="shared" si="12"/>
        <v>1</v>
      </c>
      <c r="X61" s="13">
        <f t="shared" si="12"/>
        <v>8</v>
      </c>
      <c r="Y61" s="13">
        <f t="shared" si="12"/>
        <v>11</v>
      </c>
      <c r="Z61" s="13">
        <f t="shared" si="12"/>
        <v>3</v>
      </c>
      <c r="AA61" s="13">
        <f t="shared" si="12"/>
        <v>8</v>
      </c>
      <c r="AB61" s="13">
        <f t="shared" si="12"/>
        <v>0</v>
      </c>
      <c r="AC61" s="13">
        <f t="shared" si="12"/>
        <v>3</v>
      </c>
      <c r="AD61" s="13">
        <f t="shared" si="12"/>
        <v>3</v>
      </c>
      <c r="AE61" s="13">
        <f t="shared" si="12"/>
        <v>5</v>
      </c>
      <c r="AF61" s="13">
        <f t="shared" si="12"/>
        <v>5</v>
      </c>
      <c r="AG61" s="13">
        <f t="shared" si="12"/>
        <v>12</v>
      </c>
      <c r="AH61" s="13">
        <f t="shared" si="12"/>
        <v>11</v>
      </c>
      <c r="AI61" s="13">
        <f t="shared" si="12"/>
        <v>11</v>
      </c>
      <c r="AJ61" s="13">
        <f t="shared" si="12"/>
        <v>5</v>
      </c>
      <c r="AK61" s="13">
        <f t="shared" si="10"/>
        <v>201</v>
      </c>
    </row>
    <row r="62" spans="1:37" ht="12.75" customHeight="1" x14ac:dyDescent="0.4">
      <c r="A62" s="34"/>
      <c r="B62" s="35"/>
      <c r="C62" s="35"/>
      <c r="D62" s="3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3">
        <f t="shared" si="10"/>
        <v>0</v>
      </c>
    </row>
    <row r="63" spans="1:37" ht="12.75" customHeight="1" x14ac:dyDescent="0.4">
      <c r="A63" s="19" t="s">
        <v>37</v>
      </c>
      <c r="B63" s="26" t="s">
        <v>21</v>
      </c>
      <c r="C63" s="56" t="s">
        <v>54</v>
      </c>
      <c r="D63" s="55"/>
      <c r="E63" s="15">
        <v>2</v>
      </c>
      <c r="F63" s="15">
        <v>2</v>
      </c>
      <c r="G63" s="15">
        <v>2</v>
      </c>
      <c r="H63" s="15">
        <v>0</v>
      </c>
      <c r="I63" s="15">
        <v>0</v>
      </c>
      <c r="J63" s="15">
        <v>1</v>
      </c>
      <c r="K63" s="15">
        <v>1</v>
      </c>
      <c r="L63" s="15">
        <v>4</v>
      </c>
      <c r="M63" s="15">
        <v>10</v>
      </c>
      <c r="N63" s="15">
        <v>2</v>
      </c>
      <c r="O63" s="15">
        <v>7</v>
      </c>
      <c r="P63" s="15">
        <v>6</v>
      </c>
      <c r="Q63" s="15">
        <v>5</v>
      </c>
      <c r="R63" s="15">
        <v>0</v>
      </c>
      <c r="S63" s="15">
        <v>1</v>
      </c>
      <c r="T63" s="15">
        <v>4</v>
      </c>
      <c r="U63" s="15">
        <v>1</v>
      </c>
      <c r="V63" s="15">
        <v>5</v>
      </c>
      <c r="W63" s="15">
        <v>1</v>
      </c>
      <c r="X63" s="15">
        <v>4</v>
      </c>
      <c r="Y63" s="15">
        <v>3</v>
      </c>
      <c r="Z63" s="15">
        <v>4</v>
      </c>
      <c r="AA63" s="15">
        <v>4</v>
      </c>
      <c r="AB63" s="15">
        <v>5</v>
      </c>
      <c r="AC63" s="15">
        <v>1</v>
      </c>
      <c r="AD63" s="15">
        <v>1</v>
      </c>
      <c r="AE63" s="15">
        <v>7</v>
      </c>
      <c r="AF63" s="15">
        <v>4</v>
      </c>
      <c r="AG63" s="15">
        <v>3</v>
      </c>
      <c r="AH63" s="15">
        <v>6</v>
      </c>
      <c r="AI63" s="15">
        <v>5</v>
      </c>
      <c r="AJ63" s="15">
        <v>4</v>
      </c>
      <c r="AK63" s="13">
        <f t="shared" si="10"/>
        <v>105</v>
      </c>
    </row>
    <row r="64" spans="1:37" ht="12.75" customHeight="1" x14ac:dyDescent="0.4">
      <c r="A64" s="19" t="s">
        <v>39</v>
      </c>
      <c r="B64" s="27"/>
      <c r="C64" s="28" t="s">
        <v>55</v>
      </c>
      <c r="D64" s="29"/>
      <c r="E64" s="15">
        <v>0</v>
      </c>
      <c r="F64" s="15">
        <v>2</v>
      </c>
      <c r="G64" s="15">
        <v>0</v>
      </c>
      <c r="H64" s="15">
        <v>1</v>
      </c>
      <c r="I64" s="15">
        <v>0</v>
      </c>
      <c r="J64" s="15">
        <v>0</v>
      </c>
      <c r="K64" s="15">
        <v>1</v>
      </c>
      <c r="L64" s="15">
        <v>7</v>
      </c>
      <c r="M64" s="15">
        <v>7</v>
      </c>
      <c r="N64" s="15">
        <v>5</v>
      </c>
      <c r="O64" s="15">
        <v>9</v>
      </c>
      <c r="P64" s="15">
        <v>2</v>
      </c>
      <c r="Q64" s="15">
        <v>2</v>
      </c>
      <c r="R64" s="15">
        <v>4</v>
      </c>
      <c r="S64" s="15">
        <v>3</v>
      </c>
      <c r="T64" s="15">
        <v>1</v>
      </c>
      <c r="U64" s="15">
        <v>1</v>
      </c>
      <c r="V64" s="15">
        <v>2</v>
      </c>
      <c r="W64" s="15">
        <v>3</v>
      </c>
      <c r="X64" s="15">
        <v>3</v>
      </c>
      <c r="Y64" s="15">
        <v>3</v>
      </c>
      <c r="Z64" s="15">
        <v>6</v>
      </c>
      <c r="AA64" s="15">
        <v>1</v>
      </c>
      <c r="AB64" s="15">
        <v>2</v>
      </c>
      <c r="AC64" s="15">
        <v>1</v>
      </c>
      <c r="AD64" s="15">
        <v>1</v>
      </c>
      <c r="AE64" s="15">
        <v>0</v>
      </c>
      <c r="AF64" s="15">
        <v>7</v>
      </c>
      <c r="AG64" s="15">
        <v>3</v>
      </c>
      <c r="AH64" s="15">
        <v>16</v>
      </c>
      <c r="AI64" s="15">
        <v>12</v>
      </c>
      <c r="AJ64" s="15">
        <v>21</v>
      </c>
      <c r="AK64" s="13">
        <f t="shared" si="10"/>
        <v>126</v>
      </c>
    </row>
    <row r="65" spans="1:37" ht="12.75" customHeight="1" x14ac:dyDescent="0.4">
      <c r="A65" s="14"/>
      <c r="B65" s="27"/>
      <c r="C65" s="28" t="s">
        <v>56</v>
      </c>
      <c r="D65" s="29"/>
      <c r="E65" s="15">
        <v>0</v>
      </c>
      <c r="F65" s="15">
        <v>0</v>
      </c>
      <c r="G65" s="15">
        <v>0</v>
      </c>
      <c r="H65" s="15">
        <v>1</v>
      </c>
      <c r="I65" s="15">
        <v>0</v>
      </c>
      <c r="J65" s="15">
        <v>1</v>
      </c>
      <c r="K65" s="15">
        <v>1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2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1</v>
      </c>
      <c r="AE65" s="15">
        <v>0</v>
      </c>
      <c r="AF65" s="15">
        <v>0</v>
      </c>
      <c r="AG65" s="15">
        <v>1</v>
      </c>
      <c r="AH65" s="15">
        <v>1</v>
      </c>
      <c r="AI65" s="15">
        <v>0</v>
      </c>
      <c r="AJ65" s="15">
        <v>0</v>
      </c>
      <c r="AK65" s="13">
        <f t="shared" si="10"/>
        <v>8</v>
      </c>
    </row>
    <row r="66" spans="1:37" ht="12.75" customHeight="1" x14ac:dyDescent="0.4">
      <c r="A66" s="14"/>
      <c r="B66" s="27"/>
      <c r="C66" s="28" t="s">
        <v>57</v>
      </c>
      <c r="D66" s="29"/>
      <c r="E66" s="15">
        <v>8</v>
      </c>
      <c r="F66" s="15">
        <v>5</v>
      </c>
      <c r="G66" s="15">
        <v>0</v>
      </c>
      <c r="H66" s="15">
        <v>2</v>
      </c>
      <c r="I66" s="15">
        <v>2</v>
      </c>
      <c r="J66" s="15">
        <v>2</v>
      </c>
      <c r="K66" s="15">
        <v>1</v>
      </c>
      <c r="L66" s="15">
        <v>6</v>
      </c>
      <c r="M66" s="15">
        <v>13</v>
      </c>
      <c r="N66" s="15">
        <v>11</v>
      </c>
      <c r="O66" s="15">
        <v>4</v>
      </c>
      <c r="P66" s="15">
        <v>4</v>
      </c>
      <c r="Q66" s="15">
        <v>7</v>
      </c>
      <c r="R66" s="15">
        <v>4</v>
      </c>
      <c r="S66" s="15">
        <v>0</v>
      </c>
      <c r="T66" s="15">
        <v>3</v>
      </c>
      <c r="U66" s="15">
        <v>1</v>
      </c>
      <c r="V66" s="15">
        <v>47</v>
      </c>
      <c r="W66" s="15">
        <v>13</v>
      </c>
      <c r="X66" s="15">
        <v>11</v>
      </c>
      <c r="Y66" s="15">
        <v>2</v>
      </c>
      <c r="Z66" s="15">
        <v>9</v>
      </c>
      <c r="AA66" s="15">
        <v>8</v>
      </c>
      <c r="AB66" s="15">
        <v>60</v>
      </c>
      <c r="AC66" s="15">
        <v>1</v>
      </c>
      <c r="AD66" s="15">
        <v>3</v>
      </c>
      <c r="AE66" s="15">
        <v>1</v>
      </c>
      <c r="AF66" s="15">
        <v>1</v>
      </c>
      <c r="AG66" s="15">
        <v>2</v>
      </c>
      <c r="AH66" s="15">
        <v>2</v>
      </c>
      <c r="AI66" s="15">
        <v>5</v>
      </c>
      <c r="AJ66" s="15">
        <v>0</v>
      </c>
      <c r="AK66" s="13">
        <f t="shared" si="10"/>
        <v>238</v>
      </c>
    </row>
    <row r="67" spans="1:37" ht="12.75" customHeight="1" x14ac:dyDescent="0.4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1</v>
      </c>
      <c r="H67" s="15">
        <v>0</v>
      </c>
      <c r="I67" s="15">
        <v>0</v>
      </c>
      <c r="J67" s="15">
        <v>0</v>
      </c>
      <c r="K67" s="15">
        <v>1</v>
      </c>
      <c r="L67" s="15">
        <v>1</v>
      </c>
      <c r="M67" s="15">
        <v>0</v>
      </c>
      <c r="N67" s="15">
        <v>0</v>
      </c>
      <c r="O67" s="15">
        <v>4</v>
      </c>
      <c r="P67" s="15">
        <v>1</v>
      </c>
      <c r="Q67" s="15">
        <v>0</v>
      </c>
      <c r="R67" s="15">
        <v>0</v>
      </c>
      <c r="S67" s="15">
        <v>1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1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2</v>
      </c>
      <c r="AI67" s="15">
        <v>0</v>
      </c>
      <c r="AJ67" s="15">
        <v>0</v>
      </c>
      <c r="AK67" s="13">
        <f t="shared" si="10"/>
        <v>12</v>
      </c>
    </row>
    <row r="68" spans="1:37" ht="12.75" customHeight="1" x14ac:dyDescent="0.4">
      <c r="A68" s="14"/>
      <c r="B68" s="27"/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3</v>
      </c>
      <c r="O68" s="15">
        <v>2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1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/>
      <c r="AI68" s="15">
        <v>0</v>
      </c>
      <c r="AJ68" s="15">
        <v>0</v>
      </c>
      <c r="AK68" s="13">
        <f t="shared" si="10"/>
        <v>8</v>
      </c>
    </row>
    <row r="69" spans="1:37" ht="12.75" customHeight="1" x14ac:dyDescent="0.4">
      <c r="A69" s="14"/>
      <c r="B69" s="27"/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1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1</v>
      </c>
      <c r="W69" s="15">
        <v>0</v>
      </c>
      <c r="X69" s="15">
        <v>0</v>
      </c>
      <c r="Y69" s="15">
        <v>0</v>
      </c>
      <c r="Z69" s="15">
        <v>1</v>
      </c>
      <c r="AA69" s="15">
        <v>0</v>
      </c>
      <c r="AB69" s="15">
        <v>0</v>
      </c>
      <c r="AC69" s="15">
        <v>2</v>
      </c>
      <c r="AD69" s="15">
        <v>0</v>
      </c>
      <c r="AE69" s="15">
        <v>0</v>
      </c>
      <c r="AF69" s="15">
        <v>0</v>
      </c>
      <c r="AG69" s="15">
        <v>0</v>
      </c>
      <c r="AH69" s="15"/>
      <c r="AI69" s="15">
        <v>0</v>
      </c>
      <c r="AJ69" s="15">
        <v>0</v>
      </c>
      <c r="AK69" s="13">
        <f t="shared" si="10"/>
        <v>5</v>
      </c>
    </row>
    <row r="70" spans="1:37" ht="12.75" customHeight="1" x14ac:dyDescent="0.4">
      <c r="A70" s="15" t="s">
        <v>15</v>
      </c>
      <c r="B70" s="53" t="s">
        <v>46</v>
      </c>
      <c r="C70" s="54"/>
      <c r="D70" s="55"/>
      <c r="E70" s="13">
        <f t="shared" ref="E70:AJ70" si="13">SUM(E63:E69)</f>
        <v>10</v>
      </c>
      <c r="F70" s="13">
        <f t="shared" si="13"/>
        <v>9</v>
      </c>
      <c r="G70" s="13">
        <f t="shared" si="13"/>
        <v>3</v>
      </c>
      <c r="H70" s="13">
        <f t="shared" si="13"/>
        <v>4</v>
      </c>
      <c r="I70" s="13">
        <f t="shared" si="13"/>
        <v>2</v>
      </c>
      <c r="J70" s="13">
        <f t="shared" si="13"/>
        <v>4</v>
      </c>
      <c r="K70" s="13">
        <f t="shared" si="13"/>
        <v>5</v>
      </c>
      <c r="L70" s="13">
        <f t="shared" si="13"/>
        <v>19</v>
      </c>
      <c r="M70" s="13">
        <f t="shared" si="13"/>
        <v>31</v>
      </c>
      <c r="N70" s="13">
        <f t="shared" si="13"/>
        <v>21</v>
      </c>
      <c r="O70" s="13">
        <f t="shared" si="13"/>
        <v>26</v>
      </c>
      <c r="P70" s="13">
        <f t="shared" si="13"/>
        <v>13</v>
      </c>
      <c r="Q70" s="13">
        <f t="shared" si="13"/>
        <v>14</v>
      </c>
      <c r="R70" s="13">
        <f t="shared" si="13"/>
        <v>8</v>
      </c>
      <c r="S70" s="13">
        <f t="shared" si="13"/>
        <v>5</v>
      </c>
      <c r="T70" s="13">
        <f t="shared" si="13"/>
        <v>10</v>
      </c>
      <c r="U70" s="13">
        <f t="shared" si="13"/>
        <v>3</v>
      </c>
      <c r="V70" s="13">
        <f t="shared" si="13"/>
        <v>55</v>
      </c>
      <c r="W70" s="13">
        <f t="shared" si="13"/>
        <v>17</v>
      </c>
      <c r="X70" s="13">
        <f t="shared" si="13"/>
        <v>18</v>
      </c>
      <c r="Y70" s="13">
        <f t="shared" si="13"/>
        <v>8</v>
      </c>
      <c r="Z70" s="13">
        <f t="shared" si="13"/>
        <v>20</v>
      </c>
      <c r="AA70" s="13">
        <f t="shared" si="13"/>
        <v>15</v>
      </c>
      <c r="AB70" s="13">
        <f t="shared" si="13"/>
        <v>68</v>
      </c>
      <c r="AC70" s="13">
        <f t="shared" si="13"/>
        <v>5</v>
      </c>
      <c r="AD70" s="13">
        <f t="shared" si="13"/>
        <v>6</v>
      </c>
      <c r="AE70" s="13">
        <f t="shared" si="13"/>
        <v>8</v>
      </c>
      <c r="AF70" s="13">
        <f t="shared" si="13"/>
        <v>12</v>
      </c>
      <c r="AG70" s="13">
        <f t="shared" si="13"/>
        <v>9</v>
      </c>
      <c r="AH70" s="13">
        <f t="shared" si="13"/>
        <v>27</v>
      </c>
      <c r="AI70" s="13">
        <f t="shared" si="13"/>
        <v>22</v>
      </c>
      <c r="AJ70" s="13">
        <f t="shared" si="13"/>
        <v>25</v>
      </c>
      <c r="AK70" s="13">
        <f t="shared" si="10"/>
        <v>502</v>
      </c>
    </row>
    <row r="71" spans="1:37" ht="12.75" customHeight="1" x14ac:dyDescent="0.4">
      <c r="A71" s="34"/>
      <c r="B71" s="35"/>
      <c r="C71" s="35"/>
      <c r="D71" s="3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3">
        <f t="shared" si="10"/>
        <v>0</v>
      </c>
    </row>
    <row r="72" spans="1:37" ht="12.75" customHeight="1" x14ac:dyDescent="0.4">
      <c r="A72" s="19" t="s">
        <v>37</v>
      </c>
      <c r="B72" s="26" t="s">
        <v>23</v>
      </c>
      <c r="C72" s="56" t="s">
        <v>61</v>
      </c>
      <c r="D72" s="55"/>
      <c r="E72" s="15">
        <v>0</v>
      </c>
      <c r="F72" s="15">
        <v>0</v>
      </c>
      <c r="G72" s="15">
        <v>0</v>
      </c>
      <c r="H72" s="15">
        <v>1</v>
      </c>
      <c r="I72" s="15">
        <v>1</v>
      </c>
      <c r="J72" s="15">
        <v>1</v>
      </c>
      <c r="K72" s="15">
        <v>5</v>
      </c>
      <c r="L72" s="15">
        <v>0</v>
      </c>
      <c r="M72" s="15">
        <v>0</v>
      </c>
      <c r="N72" s="15">
        <v>1</v>
      </c>
      <c r="O72" s="15">
        <v>4</v>
      </c>
      <c r="P72" s="15">
        <v>8</v>
      </c>
      <c r="Q72" s="15">
        <v>2</v>
      </c>
      <c r="R72" s="15">
        <v>1</v>
      </c>
      <c r="S72" s="15">
        <v>1</v>
      </c>
      <c r="T72" s="15">
        <v>1</v>
      </c>
      <c r="U72" s="15">
        <v>0</v>
      </c>
      <c r="V72" s="15">
        <v>1</v>
      </c>
      <c r="W72" s="15">
        <v>2</v>
      </c>
      <c r="X72" s="15">
        <v>2</v>
      </c>
      <c r="Y72" s="15">
        <v>10</v>
      </c>
      <c r="Z72" s="15">
        <v>7</v>
      </c>
      <c r="AA72" s="15">
        <v>6</v>
      </c>
      <c r="AB72" s="15">
        <v>1</v>
      </c>
      <c r="AC72" s="15">
        <v>3</v>
      </c>
      <c r="AD72" s="15">
        <v>1</v>
      </c>
      <c r="AE72" s="15">
        <v>0</v>
      </c>
      <c r="AF72" s="15">
        <v>2</v>
      </c>
      <c r="AG72" s="15">
        <v>1</v>
      </c>
      <c r="AH72" s="15">
        <v>1</v>
      </c>
      <c r="AI72" s="15">
        <v>0</v>
      </c>
      <c r="AJ72" s="15">
        <v>0</v>
      </c>
      <c r="AK72" s="13">
        <f t="shared" si="10"/>
        <v>63</v>
      </c>
    </row>
    <row r="73" spans="1:37" ht="12.75" customHeight="1" x14ac:dyDescent="0.4">
      <c r="A73" s="19" t="s">
        <v>39</v>
      </c>
      <c r="B73" s="27"/>
      <c r="C73" s="28" t="s">
        <v>62</v>
      </c>
      <c r="D73" s="29"/>
      <c r="E73" s="15">
        <v>5</v>
      </c>
      <c r="F73" s="15">
        <v>1</v>
      </c>
      <c r="G73" s="15">
        <v>3</v>
      </c>
      <c r="H73" s="15">
        <v>7</v>
      </c>
      <c r="I73" s="15">
        <v>8</v>
      </c>
      <c r="J73" s="15">
        <v>2</v>
      </c>
      <c r="K73" s="15">
        <v>16</v>
      </c>
      <c r="L73" s="15">
        <v>0</v>
      </c>
      <c r="M73" s="15">
        <v>0</v>
      </c>
      <c r="N73" s="15">
        <v>0</v>
      </c>
      <c r="O73" s="15">
        <v>4</v>
      </c>
      <c r="P73" s="15">
        <v>10</v>
      </c>
      <c r="Q73" s="15">
        <v>7</v>
      </c>
      <c r="R73" s="15">
        <v>7</v>
      </c>
      <c r="S73" s="15">
        <v>0</v>
      </c>
      <c r="T73" s="15">
        <v>5</v>
      </c>
      <c r="U73" s="15">
        <v>3</v>
      </c>
      <c r="V73" s="15">
        <v>11</v>
      </c>
      <c r="W73" s="15">
        <v>3</v>
      </c>
      <c r="X73" s="15">
        <v>32</v>
      </c>
      <c r="Y73" s="15">
        <v>44</v>
      </c>
      <c r="Z73" s="15">
        <v>38</v>
      </c>
      <c r="AA73" s="15">
        <v>23</v>
      </c>
      <c r="AB73" s="15">
        <v>12</v>
      </c>
      <c r="AC73" s="15">
        <v>2</v>
      </c>
      <c r="AD73" s="15">
        <v>1</v>
      </c>
      <c r="AE73" s="15">
        <v>3</v>
      </c>
      <c r="AF73" s="15">
        <v>7</v>
      </c>
      <c r="AG73" s="15">
        <v>75</v>
      </c>
      <c r="AH73" s="15">
        <v>13</v>
      </c>
      <c r="AI73" s="15">
        <v>1</v>
      </c>
      <c r="AJ73" s="15">
        <v>1</v>
      </c>
      <c r="AK73" s="13">
        <f t="shared" si="10"/>
        <v>344</v>
      </c>
    </row>
    <row r="74" spans="1:37" ht="12.75" customHeight="1" x14ac:dyDescent="0.4">
      <c r="A74" s="14"/>
      <c r="B74" s="27"/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2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2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1</v>
      </c>
      <c r="AI74" s="15">
        <v>1</v>
      </c>
      <c r="AJ74" s="15">
        <v>0</v>
      </c>
      <c r="AK74" s="13">
        <f t="shared" si="10"/>
        <v>8</v>
      </c>
    </row>
    <row r="75" spans="1:37" ht="12.75" customHeight="1" x14ac:dyDescent="0.4">
      <c r="A75" s="14"/>
      <c r="B75" s="27"/>
      <c r="C75" s="28" t="s">
        <v>64</v>
      </c>
      <c r="D75" s="29"/>
      <c r="E75" s="15">
        <v>0</v>
      </c>
      <c r="F75" s="15">
        <v>0</v>
      </c>
      <c r="G75" s="15">
        <v>1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1</v>
      </c>
      <c r="O75" s="15">
        <v>0</v>
      </c>
      <c r="P75" s="15">
        <v>0</v>
      </c>
      <c r="Q75" s="15">
        <v>1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3">
        <f t="shared" si="10"/>
        <v>4</v>
      </c>
    </row>
    <row r="76" spans="1:37" ht="12.75" customHeight="1" x14ac:dyDescent="0.4">
      <c r="A76" s="14"/>
      <c r="B76" s="27"/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3">
        <f t="shared" si="10"/>
        <v>3</v>
      </c>
    </row>
    <row r="77" spans="1:37" ht="12.75" customHeight="1" x14ac:dyDescent="0.4">
      <c r="A77" s="14"/>
      <c r="B77" s="27"/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1</v>
      </c>
      <c r="I77" s="15">
        <v>1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3">
        <f t="shared" si="10"/>
        <v>2</v>
      </c>
    </row>
    <row r="78" spans="1:37" ht="12.75" customHeight="1" x14ac:dyDescent="0.4">
      <c r="A78" s="14"/>
      <c r="B78" s="27"/>
      <c r="C78" s="28" t="s">
        <v>67</v>
      </c>
      <c r="D78" s="29"/>
      <c r="E78" s="15">
        <v>0</v>
      </c>
      <c r="F78" s="15">
        <v>2</v>
      </c>
      <c r="G78" s="15">
        <v>1</v>
      </c>
      <c r="H78" s="15">
        <v>2</v>
      </c>
      <c r="I78" s="15">
        <v>0</v>
      </c>
      <c r="J78" s="15">
        <v>2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3</v>
      </c>
      <c r="Q78" s="15">
        <v>4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2</v>
      </c>
      <c r="AG78" s="15">
        <v>15</v>
      </c>
      <c r="AH78" s="15">
        <v>0</v>
      </c>
      <c r="AI78" s="15">
        <v>3</v>
      </c>
      <c r="AJ78" s="15">
        <v>1</v>
      </c>
      <c r="AK78" s="13">
        <f t="shared" si="10"/>
        <v>36</v>
      </c>
    </row>
    <row r="79" spans="1:37" ht="12.75" customHeight="1" x14ac:dyDescent="0.4">
      <c r="A79" s="15" t="s">
        <v>15</v>
      </c>
      <c r="B79" s="53" t="s">
        <v>46</v>
      </c>
      <c r="C79" s="54"/>
      <c r="D79" s="55"/>
      <c r="E79" s="13">
        <f t="shared" ref="E79:AJ79" si="14">SUM(E72:E78)</f>
        <v>6</v>
      </c>
      <c r="F79" s="13">
        <f t="shared" si="14"/>
        <v>3</v>
      </c>
      <c r="G79" s="13">
        <f t="shared" si="14"/>
        <v>5</v>
      </c>
      <c r="H79" s="13">
        <f t="shared" si="14"/>
        <v>11</v>
      </c>
      <c r="I79" s="13">
        <f t="shared" si="14"/>
        <v>10</v>
      </c>
      <c r="J79" s="13">
        <f t="shared" si="14"/>
        <v>5</v>
      </c>
      <c r="K79" s="13">
        <f t="shared" si="14"/>
        <v>23</v>
      </c>
      <c r="L79" s="13">
        <f t="shared" si="14"/>
        <v>0</v>
      </c>
      <c r="M79" s="13">
        <f t="shared" si="14"/>
        <v>0</v>
      </c>
      <c r="N79" s="13">
        <f t="shared" si="14"/>
        <v>2</v>
      </c>
      <c r="O79" s="13">
        <f t="shared" si="14"/>
        <v>8</v>
      </c>
      <c r="P79" s="13">
        <f t="shared" si="14"/>
        <v>21</v>
      </c>
      <c r="Q79" s="13">
        <f t="shared" si="14"/>
        <v>16</v>
      </c>
      <c r="R79" s="13">
        <f t="shared" si="14"/>
        <v>8</v>
      </c>
      <c r="S79" s="13">
        <f t="shared" si="14"/>
        <v>2</v>
      </c>
      <c r="T79" s="13">
        <f t="shared" si="14"/>
        <v>7</v>
      </c>
      <c r="U79" s="13">
        <f t="shared" si="14"/>
        <v>3</v>
      </c>
      <c r="V79" s="13">
        <f t="shared" si="14"/>
        <v>12</v>
      </c>
      <c r="W79" s="13">
        <f t="shared" si="14"/>
        <v>5</v>
      </c>
      <c r="X79" s="13">
        <f t="shared" si="14"/>
        <v>34</v>
      </c>
      <c r="Y79" s="13">
        <f t="shared" si="14"/>
        <v>56</v>
      </c>
      <c r="Z79" s="13">
        <f t="shared" si="14"/>
        <v>46</v>
      </c>
      <c r="AA79" s="13">
        <f t="shared" si="14"/>
        <v>30</v>
      </c>
      <c r="AB79" s="13">
        <f t="shared" si="14"/>
        <v>13</v>
      </c>
      <c r="AC79" s="13">
        <f t="shared" si="14"/>
        <v>5</v>
      </c>
      <c r="AD79" s="13">
        <f t="shared" si="14"/>
        <v>2</v>
      </c>
      <c r="AE79" s="13">
        <f t="shared" si="14"/>
        <v>3</v>
      </c>
      <c r="AF79" s="13">
        <f t="shared" si="14"/>
        <v>11</v>
      </c>
      <c r="AG79" s="13">
        <f t="shared" si="14"/>
        <v>91</v>
      </c>
      <c r="AH79" s="13">
        <f t="shared" si="14"/>
        <v>15</v>
      </c>
      <c r="AI79" s="13">
        <f t="shared" si="14"/>
        <v>5</v>
      </c>
      <c r="AJ79" s="13">
        <f t="shared" si="14"/>
        <v>2</v>
      </c>
      <c r="AK79" s="13">
        <f t="shared" si="10"/>
        <v>460</v>
      </c>
    </row>
    <row r="80" spans="1:37" ht="12.75" customHeight="1" x14ac:dyDescent="0.4">
      <c r="A80" s="34"/>
      <c r="B80" s="35"/>
      <c r="C80" s="35"/>
      <c r="D80" s="3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3">
        <f t="shared" si="10"/>
        <v>0</v>
      </c>
    </row>
    <row r="81" spans="1:37" ht="12.75" customHeight="1" x14ac:dyDescent="0.4">
      <c r="A81" s="19" t="s">
        <v>37</v>
      </c>
      <c r="B81" s="26" t="s">
        <v>68</v>
      </c>
      <c r="C81" s="56" t="s">
        <v>69</v>
      </c>
      <c r="D81" s="55"/>
      <c r="E81" s="15">
        <v>1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1</v>
      </c>
      <c r="L81" s="15">
        <v>0</v>
      </c>
      <c r="M81" s="15">
        <v>0</v>
      </c>
      <c r="N81" s="15">
        <v>0</v>
      </c>
      <c r="O81" s="15">
        <v>2</v>
      </c>
      <c r="P81" s="15">
        <v>8</v>
      </c>
      <c r="Q81" s="15">
        <v>4</v>
      </c>
      <c r="R81" s="15">
        <v>6</v>
      </c>
      <c r="S81" s="15">
        <v>1</v>
      </c>
      <c r="T81" s="15">
        <v>1</v>
      </c>
      <c r="U81" s="15">
        <v>0</v>
      </c>
      <c r="V81" s="15">
        <v>0</v>
      </c>
      <c r="W81" s="15">
        <v>1</v>
      </c>
      <c r="X81" s="15">
        <v>4</v>
      </c>
      <c r="Y81" s="15">
        <v>2</v>
      </c>
      <c r="Z81" s="15">
        <v>0</v>
      </c>
      <c r="AA81" s="15">
        <v>0</v>
      </c>
      <c r="AB81" s="15">
        <v>0</v>
      </c>
      <c r="AC81" s="15">
        <v>2</v>
      </c>
      <c r="AD81" s="15">
        <v>1</v>
      </c>
      <c r="AE81" s="15">
        <v>8</v>
      </c>
      <c r="AF81" s="15">
        <v>4</v>
      </c>
      <c r="AG81" s="15">
        <v>2</v>
      </c>
      <c r="AH81" s="15">
        <v>2</v>
      </c>
      <c r="AI81" s="15">
        <v>0</v>
      </c>
      <c r="AJ81" s="15">
        <v>1</v>
      </c>
      <c r="AK81" s="13">
        <f t="shared" si="10"/>
        <v>51</v>
      </c>
    </row>
    <row r="82" spans="1:37" ht="12.75" customHeight="1" x14ac:dyDescent="0.4">
      <c r="A82" s="19" t="s">
        <v>39</v>
      </c>
      <c r="B82" s="27"/>
      <c r="C82" s="28" t="s">
        <v>70</v>
      </c>
      <c r="D82" s="29"/>
      <c r="E82" s="15">
        <v>1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1</v>
      </c>
      <c r="P82" s="15">
        <v>3</v>
      </c>
      <c r="Q82" s="15">
        <v>3</v>
      </c>
      <c r="R82" s="15">
        <v>1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1</v>
      </c>
      <c r="Y82" s="15">
        <v>1</v>
      </c>
      <c r="Z82" s="15">
        <v>1</v>
      </c>
      <c r="AA82" s="15">
        <v>0</v>
      </c>
      <c r="AB82" s="15">
        <v>0</v>
      </c>
      <c r="AC82" s="15">
        <v>0</v>
      </c>
      <c r="AD82" s="15">
        <v>3</v>
      </c>
      <c r="AE82" s="15">
        <v>2</v>
      </c>
      <c r="AF82" s="15">
        <v>1</v>
      </c>
      <c r="AG82" s="15">
        <v>0</v>
      </c>
      <c r="AH82" s="15">
        <v>0</v>
      </c>
      <c r="AI82" s="15">
        <v>0</v>
      </c>
      <c r="AJ82" s="15">
        <v>1</v>
      </c>
      <c r="AK82" s="13">
        <f t="shared" si="10"/>
        <v>19</v>
      </c>
    </row>
    <row r="83" spans="1:37" ht="12.75" customHeight="1" x14ac:dyDescent="0.4">
      <c r="A83" s="14"/>
      <c r="B83" s="27"/>
      <c r="C83" s="28" t="s">
        <v>71</v>
      </c>
      <c r="D83" s="29"/>
      <c r="E83" s="15">
        <v>0</v>
      </c>
      <c r="F83" s="15">
        <v>1</v>
      </c>
      <c r="G83" s="15">
        <v>0</v>
      </c>
      <c r="H83" s="15">
        <v>1</v>
      </c>
      <c r="I83" s="15">
        <v>0</v>
      </c>
      <c r="J83" s="15">
        <v>0</v>
      </c>
      <c r="K83" s="15">
        <v>2</v>
      </c>
      <c r="L83" s="15">
        <v>1</v>
      </c>
      <c r="M83" s="15">
        <v>0</v>
      </c>
      <c r="N83" s="15">
        <v>0</v>
      </c>
      <c r="O83" s="15">
        <v>10</v>
      </c>
      <c r="P83" s="15">
        <v>47</v>
      </c>
      <c r="Q83" s="15">
        <v>46</v>
      </c>
      <c r="R83" s="15">
        <v>54</v>
      </c>
      <c r="S83" s="15">
        <v>34</v>
      </c>
      <c r="T83" s="15">
        <v>29</v>
      </c>
      <c r="U83" s="15">
        <v>5</v>
      </c>
      <c r="V83" s="15">
        <v>47</v>
      </c>
      <c r="W83" s="15">
        <v>135</v>
      </c>
      <c r="X83" s="15">
        <v>101</v>
      </c>
      <c r="Y83" s="15">
        <v>8</v>
      </c>
      <c r="Z83" s="15">
        <v>13</v>
      </c>
      <c r="AA83" s="15">
        <v>10</v>
      </c>
      <c r="AB83" s="15">
        <v>11</v>
      </c>
      <c r="AC83" s="15">
        <v>39</v>
      </c>
      <c r="AD83" s="15">
        <v>29</v>
      </c>
      <c r="AE83" s="15">
        <v>127</v>
      </c>
      <c r="AF83" s="15">
        <v>89</v>
      </c>
      <c r="AG83" s="15">
        <v>46</v>
      </c>
      <c r="AH83" s="15">
        <v>27</v>
      </c>
      <c r="AI83" s="15">
        <v>70</v>
      </c>
      <c r="AJ83" s="15">
        <v>31</v>
      </c>
      <c r="AK83" s="13">
        <f t="shared" si="10"/>
        <v>1013</v>
      </c>
    </row>
    <row r="84" spans="1:37" ht="12.75" customHeight="1" x14ac:dyDescent="0.4">
      <c r="A84" s="14"/>
      <c r="B84" s="27"/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2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1</v>
      </c>
      <c r="AD84" s="15">
        <v>0</v>
      </c>
      <c r="AE84" s="15">
        <v>0</v>
      </c>
      <c r="AF84" s="15">
        <v>1</v>
      </c>
      <c r="AG84" s="15">
        <v>1</v>
      </c>
      <c r="AH84" s="15">
        <v>0</v>
      </c>
      <c r="AI84" s="15">
        <v>0</v>
      </c>
      <c r="AJ84" s="15">
        <v>0</v>
      </c>
      <c r="AK84" s="13">
        <f t="shared" si="10"/>
        <v>7</v>
      </c>
    </row>
    <row r="85" spans="1:37" ht="12.75" customHeight="1" x14ac:dyDescent="0.4">
      <c r="A85" s="14"/>
      <c r="B85" s="27"/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3">
        <f t="shared" si="10"/>
        <v>0</v>
      </c>
    </row>
    <row r="86" spans="1:37" ht="12.75" customHeight="1" x14ac:dyDescent="0.4">
      <c r="A86" s="14"/>
      <c r="B86" s="27"/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1</v>
      </c>
      <c r="J86" s="15">
        <v>1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1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1</v>
      </c>
      <c r="AG86" s="15">
        <v>0</v>
      </c>
      <c r="AH86" s="15">
        <v>0</v>
      </c>
      <c r="AI86" s="15">
        <v>1</v>
      </c>
      <c r="AJ86" s="15">
        <v>0</v>
      </c>
      <c r="AK86" s="13">
        <f t="shared" si="10"/>
        <v>5</v>
      </c>
    </row>
    <row r="87" spans="1:37" ht="12.75" customHeight="1" x14ac:dyDescent="0.4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3">
        <f t="shared" si="10"/>
        <v>0</v>
      </c>
    </row>
    <row r="88" spans="1:37" ht="12.75" customHeight="1" x14ac:dyDescent="0.4">
      <c r="A88" s="15" t="s">
        <v>15</v>
      </c>
      <c r="B88" s="53" t="s">
        <v>46</v>
      </c>
      <c r="C88" s="54"/>
      <c r="D88" s="55"/>
      <c r="E88" s="13">
        <f t="shared" ref="E88:AJ88" si="15">SUM(E81:E87)</f>
        <v>2</v>
      </c>
      <c r="F88" s="13">
        <f t="shared" si="15"/>
        <v>1</v>
      </c>
      <c r="G88" s="13">
        <f t="shared" si="15"/>
        <v>0</v>
      </c>
      <c r="H88" s="13">
        <f t="shared" si="15"/>
        <v>1</v>
      </c>
      <c r="I88" s="13">
        <f t="shared" si="15"/>
        <v>1</v>
      </c>
      <c r="J88" s="13">
        <f t="shared" si="15"/>
        <v>1</v>
      </c>
      <c r="K88" s="13">
        <f t="shared" si="15"/>
        <v>3</v>
      </c>
      <c r="L88" s="13">
        <f t="shared" si="15"/>
        <v>1</v>
      </c>
      <c r="M88" s="13">
        <f t="shared" si="15"/>
        <v>0</v>
      </c>
      <c r="N88" s="13">
        <f t="shared" si="15"/>
        <v>0</v>
      </c>
      <c r="O88" s="13">
        <f t="shared" si="15"/>
        <v>13</v>
      </c>
      <c r="P88" s="13">
        <f t="shared" si="15"/>
        <v>59</v>
      </c>
      <c r="Q88" s="13">
        <f t="shared" si="15"/>
        <v>54</v>
      </c>
      <c r="R88" s="13">
        <f t="shared" si="15"/>
        <v>63</v>
      </c>
      <c r="S88" s="13">
        <f t="shared" si="15"/>
        <v>36</v>
      </c>
      <c r="T88" s="13">
        <f t="shared" si="15"/>
        <v>30</v>
      </c>
      <c r="U88" s="13">
        <f t="shared" si="15"/>
        <v>5</v>
      </c>
      <c r="V88" s="13">
        <f t="shared" si="15"/>
        <v>47</v>
      </c>
      <c r="W88" s="13">
        <f t="shared" si="15"/>
        <v>136</v>
      </c>
      <c r="X88" s="13">
        <f t="shared" si="15"/>
        <v>106</v>
      </c>
      <c r="Y88" s="13">
        <f t="shared" si="15"/>
        <v>11</v>
      </c>
      <c r="Z88" s="13">
        <f t="shared" si="15"/>
        <v>14</v>
      </c>
      <c r="AA88" s="13">
        <f t="shared" si="15"/>
        <v>10</v>
      </c>
      <c r="AB88" s="13">
        <f t="shared" si="15"/>
        <v>11</v>
      </c>
      <c r="AC88" s="13">
        <f t="shared" si="15"/>
        <v>42</v>
      </c>
      <c r="AD88" s="13">
        <f t="shared" si="15"/>
        <v>33</v>
      </c>
      <c r="AE88" s="13">
        <f t="shared" si="15"/>
        <v>137</v>
      </c>
      <c r="AF88" s="13">
        <f t="shared" si="15"/>
        <v>96</v>
      </c>
      <c r="AG88" s="13">
        <f t="shared" si="15"/>
        <v>49</v>
      </c>
      <c r="AH88" s="13">
        <f t="shared" si="15"/>
        <v>29</v>
      </c>
      <c r="AI88" s="13">
        <f t="shared" si="15"/>
        <v>71</v>
      </c>
      <c r="AJ88" s="13">
        <f t="shared" si="15"/>
        <v>33</v>
      </c>
      <c r="AK88" s="13">
        <f t="shared" si="10"/>
        <v>1095</v>
      </c>
    </row>
    <row r="89" spans="1:37" ht="12.75" customHeight="1" x14ac:dyDescent="0.4">
      <c r="A89" s="34"/>
      <c r="B89" s="35"/>
      <c r="C89" s="35"/>
      <c r="D89" s="3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3">
        <f t="shared" si="10"/>
        <v>0</v>
      </c>
    </row>
    <row r="90" spans="1:37" ht="12.75" customHeight="1" x14ac:dyDescent="0.4">
      <c r="A90" s="19" t="s">
        <v>37</v>
      </c>
      <c r="B90" s="26" t="s">
        <v>76</v>
      </c>
      <c r="C90" s="56" t="s">
        <v>77</v>
      </c>
      <c r="D90" s="55"/>
      <c r="E90" s="15">
        <v>0</v>
      </c>
      <c r="F90" s="15">
        <v>0</v>
      </c>
      <c r="G90" s="15">
        <v>0</v>
      </c>
      <c r="H90" s="15">
        <v>1</v>
      </c>
      <c r="I90" s="15">
        <v>0</v>
      </c>
      <c r="J90" s="15">
        <v>0</v>
      </c>
      <c r="K90" s="15">
        <v>0</v>
      </c>
      <c r="L90" s="15">
        <v>0</v>
      </c>
      <c r="M90" s="15">
        <v>1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1</v>
      </c>
      <c r="Y90" s="15">
        <v>0</v>
      </c>
      <c r="Z90" s="15">
        <v>0</v>
      </c>
      <c r="AA90" s="15">
        <v>1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3">
        <f t="shared" si="10"/>
        <v>4</v>
      </c>
    </row>
    <row r="91" spans="1:37" ht="12.75" customHeight="1" x14ac:dyDescent="0.4">
      <c r="A91" s="19" t="s">
        <v>39</v>
      </c>
      <c r="B91" s="27"/>
      <c r="C91" s="78" t="s">
        <v>78</v>
      </c>
      <c r="D91" s="55"/>
      <c r="E91" s="15">
        <v>0</v>
      </c>
      <c r="F91" s="15">
        <v>0</v>
      </c>
      <c r="G91" s="15">
        <v>1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3">
        <f t="shared" si="10"/>
        <v>1</v>
      </c>
    </row>
    <row r="92" spans="1:37" ht="12.75" customHeight="1" x14ac:dyDescent="0.4">
      <c r="A92" s="15" t="s">
        <v>15</v>
      </c>
      <c r="B92" s="53" t="s">
        <v>46</v>
      </c>
      <c r="C92" s="54"/>
      <c r="D92" s="55"/>
      <c r="E92" s="36">
        <f t="shared" ref="E92:AJ92" si="16">SUM(E90:E91)</f>
        <v>0</v>
      </c>
      <c r="F92" s="36">
        <f t="shared" si="16"/>
        <v>0</v>
      </c>
      <c r="G92" s="36">
        <f t="shared" si="16"/>
        <v>1</v>
      </c>
      <c r="H92" s="36">
        <f t="shared" si="16"/>
        <v>1</v>
      </c>
      <c r="I92" s="36">
        <f t="shared" si="16"/>
        <v>0</v>
      </c>
      <c r="J92" s="36">
        <f t="shared" si="16"/>
        <v>0</v>
      </c>
      <c r="K92" s="36">
        <f t="shared" si="16"/>
        <v>0</v>
      </c>
      <c r="L92" s="36">
        <f t="shared" si="16"/>
        <v>0</v>
      </c>
      <c r="M92" s="36">
        <f t="shared" si="16"/>
        <v>1</v>
      </c>
      <c r="N92" s="36">
        <f t="shared" si="16"/>
        <v>0</v>
      </c>
      <c r="O92" s="36">
        <f t="shared" si="16"/>
        <v>0</v>
      </c>
      <c r="P92" s="36">
        <f t="shared" si="16"/>
        <v>0</v>
      </c>
      <c r="Q92" s="36">
        <f t="shared" si="16"/>
        <v>0</v>
      </c>
      <c r="R92" s="36">
        <f t="shared" si="16"/>
        <v>0</v>
      </c>
      <c r="S92" s="36">
        <f t="shared" si="16"/>
        <v>0</v>
      </c>
      <c r="T92" s="36">
        <f t="shared" si="16"/>
        <v>0</v>
      </c>
      <c r="U92" s="36">
        <f t="shared" si="16"/>
        <v>0</v>
      </c>
      <c r="V92" s="36">
        <f t="shared" si="16"/>
        <v>0</v>
      </c>
      <c r="W92" s="36">
        <f t="shared" si="16"/>
        <v>0</v>
      </c>
      <c r="X92" s="36">
        <f t="shared" si="16"/>
        <v>1</v>
      </c>
      <c r="Y92" s="36">
        <f t="shared" si="16"/>
        <v>0</v>
      </c>
      <c r="Z92" s="36">
        <f t="shared" si="16"/>
        <v>0</v>
      </c>
      <c r="AA92" s="36">
        <f t="shared" si="16"/>
        <v>1</v>
      </c>
      <c r="AB92" s="36">
        <f t="shared" si="16"/>
        <v>0</v>
      </c>
      <c r="AC92" s="36">
        <f t="shared" si="16"/>
        <v>0</v>
      </c>
      <c r="AD92" s="36">
        <f t="shared" si="16"/>
        <v>0</v>
      </c>
      <c r="AE92" s="36">
        <f t="shared" si="16"/>
        <v>0</v>
      </c>
      <c r="AF92" s="36">
        <f t="shared" si="16"/>
        <v>0</v>
      </c>
      <c r="AG92" s="36">
        <f t="shared" si="16"/>
        <v>0</v>
      </c>
      <c r="AH92" s="36">
        <f t="shared" si="16"/>
        <v>0</v>
      </c>
      <c r="AI92" s="36">
        <f t="shared" si="16"/>
        <v>0</v>
      </c>
      <c r="AJ92" s="36">
        <f t="shared" si="16"/>
        <v>0</v>
      </c>
      <c r="AK92" s="13">
        <f t="shared" si="10"/>
        <v>5</v>
      </c>
    </row>
    <row r="93" spans="1:37" ht="12.75" customHeight="1" x14ac:dyDescent="0.4">
      <c r="A93" s="34"/>
      <c r="B93" s="35"/>
      <c r="C93" s="35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3">
        <f t="shared" si="10"/>
        <v>0</v>
      </c>
    </row>
    <row r="94" spans="1:37" ht="12.75" customHeight="1" x14ac:dyDescent="0.4">
      <c r="A94" s="19" t="s">
        <v>37</v>
      </c>
      <c r="B94" s="26" t="s">
        <v>79</v>
      </c>
      <c r="C94" s="56" t="s">
        <v>80</v>
      </c>
      <c r="D94" s="55"/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1</v>
      </c>
      <c r="V94" s="15">
        <v>0</v>
      </c>
      <c r="W94" s="15">
        <v>0</v>
      </c>
      <c r="X94" s="15">
        <v>0</v>
      </c>
      <c r="Y94" s="15">
        <v>2</v>
      </c>
      <c r="Z94" s="15">
        <v>1</v>
      </c>
      <c r="AA94" s="15">
        <v>1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2</v>
      </c>
      <c r="AI94" s="15">
        <v>0</v>
      </c>
      <c r="AJ94" s="15">
        <v>1</v>
      </c>
      <c r="AK94" s="13">
        <f t="shared" si="10"/>
        <v>8</v>
      </c>
    </row>
    <row r="95" spans="1:37" ht="12.75" customHeight="1" x14ac:dyDescent="0.4">
      <c r="A95" s="19" t="s">
        <v>39</v>
      </c>
      <c r="B95" s="27"/>
      <c r="C95" s="28" t="s">
        <v>81</v>
      </c>
      <c r="D95" s="29"/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3">
        <f t="shared" si="10"/>
        <v>2</v>
      </c>
    </row>
    <row r="96" spans="1:37" ht="12.75" customHeight="1" x14ac:dyDescent="0.4">
      <c r="A96" s="19"/>
      <c r="B96" s="27"/>
      <c r="C96" s="28" t="s">
        <v>82</v>
      </c>
      <c r="D96" s="2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1</v>
      </c>
      <c r="Z96" s="15">
        <v>0</v>
      </c>
      <c r="AA96" s="15">
        <v>0</v>
      </c>
      <c r="AB96" s="15">
        <v>1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3">
        <f t="shared" si="10"/>
        <v>2</v>
      </c>
    </row>
    <row r="97" spans="1:37" ht="12.75" customHeight="1" x14ac:dyDescent="0.4">
      <c r="A97" s="19"/>
      <c r="B97" s="27"/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1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1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1</v>
      </c>
      <c r="AJ97" s="15">
        <v>0</v>
      </c>
      <c r="AK97" s="13">
        <f t="shared" si="10"/>
        <v>3</v>
      </c>
    </row>
    <row r="98" spans="1:37" ht="12.75" customHeight="1" x14ac:dyDescent="0.4">
      <c r="A98" s="19"/>
      <c r="B98" s="27"/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3">
        <f t="shared" si="10"/>
        <v>0</v>
      </c>
    </row>
    <row r="99" spans="1:37" ht="12.75" customHeight="1" x14ac:dyDescent="0.4">
      <c r="A99" s="19"/>
      <c r="B99" s="27"/>
      <c r="C99" s="28" t="s">
        <v>85</v>
      </c>
      <c r="D99" s="29"/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3">
        <f t="shared" si="10"/>
        <v>0</v>
      </c>
    </row>
    <row r="100" spans="1:37" ht="12.75" customHeight="1" x14ac:dyDescent="0.4">
      <c r="A100" s="19"/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3">
        <f t="shared" si="10"/>
        <v>0</v>
      </c>
    </row>
    <row r="101" spans="1:37" ht="12.75" customHeight="1" x14ac:dyDescent="0.4">
      <c r="A101" s="15" t="s">
        <v>15</v>
      </c>
      <c r="B101" s="53" t="s">
        <v>46</v>
      </c>
      <c r="C101" s="54"/>
      <c r="D101" s="55"/>
      <c r="E101" s="13">
        <f t="shared" ref="E101:AJ101" si="17">SUM(E94:E100)</f>
        <v>0</v>
      </c>
      <c r="F101" s="13">
        <f t="shared" si="17"/>
        <v>0</v>
      </c>
      <c r="G101" s="13">
        <f t="shared" si="17"/>
        <v>0</v>
      </c>
      <c r="H101" s="13">
        <f t="shared" si="17"/>
        <v>0</v>
      </c>
      <c r="I101" s="13">
        <f t="shared" si="17"/>
        <v>0</v>
      </c>
      <c r="J101" s="13">
        <f t="shared" si="17"/>
        <v>0</v>
      </c>
      <c r="K101" s="13">
        <f t="shared" si="17"/>
        <v>0</v>
      </c>
      <c r="L101" s="13">
        <f t="shared" si="17"/>
        <v>0</v>
      </c>
      <c r="M101" s="13">
        <f t="shared" si="17"/>
        <v>0</v>
      </c>
      <c r="N101" s="13">
        <f t="shared" si="17"/>
        <v>0</v>
      </c>
      <c r="O101" s="13">
        <f t="shared" si="17"/>
        <v>0</v>
      </c>
      <c r="P101" s="13">
        <f t="shared" si="17"/>
        <v>1</v>
      </c>
      <c r="Q101" s="13">
        <f t="shared" si="17"/>
        <v>0</v>
      </c>
      <c r="R101" s="13">
        <f t="shared" si="17"/>
        <v>0</v>
      </c>
      <c r="S101" s="13">
        <f t="shared" si="17"/>
        <v>0</v>
      </c>
      <c r="T101" s="13">
        <f t="shared" si="17"/>
        <v>0</v>
      </c>
      <c r="U101" s="13">
        <f t="shared" si="17"/>
        <v>1</v>
      </c>
      <c r="V101" s="13">
        <f t="shared" si="17"/>
        <v>1</v>
      </c>
      <c r="W101" s="13">
        <f t="shared" si="17"/>
        <v>0</v>
      </c>
      <c r="X101" s="13">
        <f t="shared" si="17"/>
        <v>0</v>
      </c>
      <c r="Y101" s="13">
        <f t="shared" si="17"/>
        <v>4</v>
      </c>
      <c r="Z101" s="13">
        <f t="shared" si="17"/>
        <v>1</v>
      </c>
      <c r="AA101" s="13">
        <f t="shared" si="17"/>
        <v>1</v>
      </c>
      <c r="AB101" s="13">
        <f t="shared" si="17"/>
        <v>2</v>
      </c>
      <c r="AC101" s="13">
        <f t="shared" si="17"/>
        <v>0</v>
      </c>
      <c r="AD101" s="13">
        <f t="shared" si="17"/>
        <v>0</v>
      </c>
      <c r="AE101" s="13">
        <f t="shared" si="17"/>
        <v>0</v>
      </c>
      <c r="AF101" s="13">
        <f t="shared" si="17"/>
        <v>0</v>
      </c>
      <c r="AG101" s="13">
        <f t="shared" si="17"/>
        <v>0</v>
      </c>
      <c r="AH101" s="13">
        <f t="shared" si="17"/>
        <v>2</v>
      </c>
      <c r="AI101" s="13">
        <f t="shared" si="17"/>
        <v>1</v>
      </c>
      <c r="AJ101" s="13">
        <f t="shared" si="17"/>
        <v>1</v>
      </c>
      <c r="AK101" s="13">
        <f t="shared" si="10"/>
        <v>15</v>
      </c>
    </row>
    <row r="102" spans="1:37" ht="12.75" customHeight="1" x14ac:dyDescent="0.4">
      <c r="A102" s="34"/>
      <c r="B102" s="35"/>
      <c r="C102" s="35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3">
        <f t="shared" si="10"/>
        <v>0</v>
      </c>
    </row>
    <row r="103" spans="1:37" ht="12.75" customHeight="1" x14ac:dyDescent="0.4">
      <c r="A103" s="19" t="s">
        <v>37</v>
      </c>
      <c r="B103" s="26" t="s">
        <v>87</v>
      </c>
      <c r="C103" s="56" t="s">
        <v>88</v>
      </c>
      <c r="D103" s="55"/>
      <c r="E103" s="15">
        <v>1</v>
      </c>
      <c r="F103" s="15">
        <v>0</v>
      </c>
      <c r="G103" s="15">
        <v>1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1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3">
        <f t="shared" si="10"/>
        <v>3</v>
      </c>
    </row>
    <row r="104" spans="1:37" ht="12.75" customHeight="1" x14ac:dyDescent="0.4">
      <c r="A104" s="19" t="s">
        <v>39</v>
      </c>
      <c r="B104" s="27"/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3">
        <f t="shared" si="10"/>
        <v>1</v>
      </c>
    </row>
    <row r="105" spans="1:37" ht="12.75" customHeight="1" x14ac:dyDescent="0.4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1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3">
        <f t="shared" si="10"/>
        <v>1</v>
      </c>
    </row>
    <row r="106" spans="1:37" ht="12.75" customHeight="1" x14ac:dyDescent="0.4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3">
        <f t="shared" si="10"/>
        <v>1</v>
      </c>
    </row>
    <row r="107" spans="1:37" ht="12.75" customHeight="1" x14ac:dyDescent="0.4">
      <c r="A107" s="14"/>
      <c r="B107" s="27"/>
      <c r="C107" s="28" t="s">
        <v>92</v>
      </c>
      <c r="D107" s="29"/>
      <c r="E107" s="15">
        <v>4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3">
        <f t="shared" si="10"/>
        <v>4</v>
      </c>
    </row>
    <row r="108" spans="1:37" ht="12.75" customHeight="1" x14ac:dyDescent="0.4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3">
        <f t="shared" si="10"/>
        <v>0</v>
      </c>
    </row>
    <row r="109" spans="1:37" ht="12.75" customHeight="1" x14ac:dyDescent="0.4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1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3">
        <f t="shared" si="10"/>
        <v>1</v>
      </c>
    </row>
    <row r="110" spans="1:37" ht="12.75" customHeight="1" x14ac:dyDescent="0.4">
      <c r="A110" s="15" t="s">
        <v>15</v>
      </c>
      <c r="B110" s="53" t="s">
        <v>46</v>
      </c>
      <c r="C110" s="54"/>
      <c r="D110" s="55"/>
      <c r="E110" s="13">
        <f t="shared" ref="E110:AJ110" si="18">SUM(E103:E109)</f>
        <v>5</v>
      </c>
      <c r="F110" s="13">
        <f t="shared" si="18"/>
        <v>0</v>
      </c>
      <c r="G110" s="13">
        <f t="shared" si="18"/>
        <v>1</v>
      </c>
      <c r="H110" s="13">
        <f t="shared" si="18"/>
        <v>1</v>
      </c>
      <c r="I110" s="13">
        <f t="shared" si="18"/>
        <v>0</v>
      </c>
      <c r="J110" s="13">
        <f t="shared" si="18"/>
        <v>1</v>
      </c>
      <c r="K110" s="13">
        <f t="shared" si="18"/>
        <v>0</v>
      </c>
      <c r="L110" s="13">
        <f t="shared" si="18"/>
        <v>0</v>
      </c>
      <c r="M110" s="13">
        <f t="shared" si="18"/>
        <v>0</v>
      </c>
      <c r="N110" s="13">
        <f t="shared" si="18"/>
        <v>0</v>
      </c>
      <c r="O110" s="13">
        <f t="shared" si="18"/>
        <v>0</v>
      </c>
      <c r="P110" s="13">
        <f t="shared" si="18"/>
        <v>0</v>
      </c>
      <c r="Q110" s="13">
        <f t="shared" si="18"/>
        <v>0</v>
      </c>
      <c r="R110" s="13">
        <f t="shared" si="18"/>
        <v>1</v>
      </c>
      <c r="S110" s="13">
        <f t="shared" si="18"/>
        <v>0</v>
      </c>
      <c r="T110" s="13">
        <f t="shared" si="18"/>
        <v>1</v>
      </c>
      <c r="U110" s="13">
        <f t="shared" si="18"/>
        <v>0</v>
      </c>
      <c r="V110" s="13">
        <f t="shared" si="18"/>
        <v>0</v>
      </c>
      <c r="W110" s="13">
        <f t="shared" si="18"/>
        <v>0</v>
      </c>
      <c r="X110" s="13">
        <f t="shared" si="18"/>
        <v>0</v>
      </c>
      <c r="Y110" s="13">
        <f t="shared" si="18"/>
        <v>0</v>
      </c>
      <c r="Z110" s="13">
        <f t="shared" si="18"/>
        <v>0</v>
      </c>
      <c r="AA110" s="13">
        <f t="shared" si="18"/>
        <v>0</v>
      </c>
      <c r="AB110" s="13">
        <f t="shared" si="18"/>
        <v>0</v>
      </c>
      <c r="AC110" s="13">
        <f t="shared" si="18"/>
        <v>1</v>
      </c>
      <c r="AD110" s="13">
        <f t="shared" si="18"/>
        <v>0</v>
      </c>
      <c r="AE110" s="13">
        <f t="shared" si="18"/>
        <v>0</v>
      </c>
      <c r="AF110" s="13">
        <f t="shared" si="18"/>
        <v>0</v>
      </c>
      <c r="AG110" s="13">
        <f t="shared" si="18"/>
        <v>0</v>
      </c>
      <c r="AH110" s="13">
        <f t="shared" si="18"/>
        <v>0</v>
      </c>
      <c r="AI110" s="13">
        <f t="shared" si="18"/>
        <v>0</v>
      </c>
      <c r="AJ110" s="13">
        <f t="shared" si="18"/>
        <v>0</v>
      </c>
      <c r="AK110" s="13">
        <f t="shared" si="10"/>
        <v>11</v>
      </c>
    </row>
    <row r="111" spans="1:37" ht="12.75" customHeight="1" x14ac:dyDescent="0.4">
      <c r="A111" s="34"/>
      <c r="B111" s="35"/>
      <c r="C111" s="35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3">
        <f t="shared" si="10"/>
        <v>0</v>
      </c>
    </row>
    <row r="112" spans="1:37" ht="12.75" customHeight="1" x14ac:dyDescent="0.4">
      <c r="A112" s="19" t="s">
        <v>37</v>
      </c>
      <c r="B112" s="26" t="s">
        <v>95</v>
      </c>
      <c r="C112" s="56" t="s">
        <v>96</v>
      </c>
      <c r="D112" s="55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3">
        <f t="shared" si="10"/>
        <v>0</v>
      </c>
    </row>
    <row r="113" spans="1:39" ht="12.75" customHeight="1" x14ac:dyDescent="0.4">
      <c r="A113" s="19"/>
      <c r="B113" s="26"/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3">
        <f t="shared" si="10"/>
        <v>1</v>
      </c>
    </row>
    <row r="114" spans="1:39" ht="12.75" customHeight="1" x14ac:dyDescent="0.4">
      <c r="A114" s="19"/>
      <c r="B114" s="26"/>
      <c r="C114" s="28" t="s">
        <v>98</v>
      </c>
      <c r="D114" s="37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3">
        <f t="shared" si="10"/>
        <v>2</v>
      </c>
    </row>
    <row r="115" spans="1:39" ht="12.75" customHeight="1" x14ac:dyDescent="0.4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3">
        <f t="shared" si="10"/>
        <v>0</v>
      </c>
    </row>
    <row r="116" spans="1:39" ht="12.75" customHeight="1" x14ac:dyDescent="0.4">
      <c r="A116" s="19" t="s">
        <v>39</v>
      </c>
      <c r="B116" s="27"/>
      <c r="C116" s="28" t="s">
        <v>100</v>
      </c>
      <c r="D116" s="29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1</v>
      </c>
      <c r="AH116" s="15">
        <v>0</v>
      </c>
      <c r="AI116" s="15">
        <v>0</v>
      </c>
      <c r="AJ116" s="15">
        <v>0</v>
      </c>
      <c r="AK116" s="13">
        <f t="shared" si="10"/>
        <v>1</v>
      </c>
    </row>
    <row r="117" spans="1:39" ht="12.75" customHeight="1" x14ac:dyDescent="0.4">
      <c r="A117" s="14"/>
      <c r="B117" s="27"/>
      <c r="C117" s="28" t="s">
        <v>101</v>
      </c>
      <c r="D117" s="2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3">
        <f t="shared" si="10"/>
        <v>0</v>
      </c>
      <c r="AL117" s="5"/>
      <c r="AM117" s="5"/>
    </row>
    <row r="118" spans="1:39" ht="12.75" customHeight="1" x14ac:dyDescent="0.4">
      <c r="A118" s="14"/>
      <c r="B118" s="27"/>
      <c r="C118" s="28" t="s">
        <v>102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3">
        <f t="shared" si="10"/>
        <v>0</v>
      </c>
      <c r="AL118" s="5"/>
      <c r="AM118" s="5"/>
    </row>
    <row r="119" spans="1:39" ht="12.75" customHeight="1" x14ac:dyDescent="0.4">
      <c r="A119" s="15" t="s">
        <v>15</v>
      </c>
      <c r="B119" s="53" t="s">
        <v>46</v>
      </c>
      <c r="C119" s="54"/>
      <c r="D119" s="55"/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1</v>
      </c>
      <c r="R119" s="13">
        <v>1</v>
      </c>
      <c r="S119" s="13">
        <v>0</v>
      </c>
      <c r="T119" s="13">
        <f t="shared" ref="T119:AJ119" si="19">SUM(T112:T118)</f>
        <v>0</v>
      </c>
      <c r="U119" s="13">
        <f t="shared" si="19"/>
        <v>0</v>
      </c>
      <c r="V119" s="13">
        <f t="shared" si="19"/>
        <v>0</v>
      </c>
      <c r="W119" s="13">
        <f t="shared" si="19"/>
        <v>0</v>
      </c>
      <c r="X119" s="13">
        <f t="shared" si="19"/>
        <v>0</v>
      </c>
      <c r="Y119" s="13">
        <f t="shared" si="19"/>
        <v>0</v>
      </c>
      <c r="Z119" s="13">
        <f t="shared" si="19"/>
        <v>0</v>
      </c>
      <c r="AA119" s="13">
        <f t="shared" si="19"/>
        <v>0</v>
      </c>
      <c r="AB119" s="13">
        <f t="shared" si="19"/>
        <v>0</v>
      </c>
      <c r="AC119" s="13">
        <f t="shared" si="19"/>
        <v>0</v>
      </c>
      <c r="AD119" s="13">
        <f t="shared" si="19"/>
        <v>0</v>
      </c>
      <c r="AE119" s="13">
        <f t="shared" si="19"/>
        <v>1</v>
      </c>
      <c r="AF119" s="13">
        <f t="shared" si="19"/>
        <v>0</v>
      </c>
      <c r="AG119" s="13">
        <f t="shared" si="19"/>
        <v>1</v>
      </c>
      <c r="AH119" s="13">
        <f t="shared" si="19"/>
        <v>0</v>
      </c>
      <c r="AI119" s="13">
        <f t="shared" si="19"/>
        <v>0</v>
      </c>
      <c r="AJ119" s="13">
        <f t="shared" si="19"/>
        <v>0</v>
      </c>
      <c r="AK119" s="13">
        <f t="shared" si="10"/>
        <v>4</v>
      </c>
      <c r="AL119" s="5"/>
      <c r="AM119" s="5"/>
    </row>
    <row r="120" spans="1:39" ht="12.75" customHeight="1" x14ac:dyDescent="0.4">
      <c r="A120" s="34"/>
      <c r="B120" s="35"/>
      <c r="C120" s="35"/>
      <c r="D120" s="3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3">
        <f t="shared" si="10"/>
        <v>0</v>
      </c>
      <c r="AL120" s="5"/>
      <c r="AM120" s="5"/>
    </row>
    <row r="121" spans="1:39" ht="12.75" customHeight="1" x14ac:dyDescent="0.4">
      <c r="A121" s="19" t="s">
        <v>37</v>
      </c>
      <c r="B121" s="26" t="s">
        <v>103</v>
      </c>
      <c r="C121" s="56" t="s">
        <v>104</v>
      </c>
      <c r="D121" s="55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</v>
      </c>
      <c r="L121" s="15">
        <v>1</v>
      </c>
      <c r="M121" s="15">
        <v>0</v>
      </c>
      <c r="N121" s="15">
        <v>1</v>
      </c>
      <c r="O121" s="15">
        <v>0</v>
      </c>
      <c r="P121" s="15">
        <v>0</v>
      </c>
      <c r="Q121" s="15">
        <v>0</v>
      </c>
      <c r="R121" s="15">
        <v>1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1</v>
      </c>
      <c r="Z121" s="15">
        <v>1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3">
        <f t="shared" si="10"/>
        <v>6</v>
      </c>
      <c r="AL121" s="5"/>
      <c r="AM121" s="5"/>
    </row>
    <row r="122" spans="1:39" ht="12.75" customHeight="1" x14ac:dyDescent="0.4">
      <c r="A122" s="19" t="s">
        <v>39</v>
      </c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2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3">
        <f t="shared" si="10"/>
        <v>2</v>
      </c>
      <c r="AL122" s="5"/>
      <c r="AM122" s="5"/>
    </row>
    <row r="123" spans="1:39" ht="12.75" customHeight="1" x14ac:dyDescent="0.4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3">
        <f t="shared" si="10"/>
        <v>0</v>
      </c>
      <c r="AL123" s="5"/>
      <c r="AM123" s="5"/>
    </row>
    <row r="124" spans="1:39" ht="12.75" customHeight="1" x14ac:dyDescent="0.4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3">
        <f t="shared" si="10"/>
        <v>0</v>
      </c>
      <c r="AL124" s="5"/>
      <c r="AM124" s="5"/>
    </row>
    <row r="125" spans="1:39" ht="12.75" customHeight="1" x14ac:dyDescent="0.4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3">
        <f t="shared" si="10"/>
        <v>0</v>
      </c>
      <c r="AL125" s="5"/>
      <c r="AM125" s="5"/>
    </row>
    <row r="126" spans="1:39" ht="12.75" customHeight="1" x14ac:dyDescent="0.4">
      <c r="A126" s="14"/>
      <c r="B126" s="27"/>
      <c r="C126" s="28" t="s">
        <v>109</v>
      </c>
      <c r="D126" s="2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3">
        <f t="shared" si="10"/>
        <v>0</v>
      </c>
      <c r="AL126" s="5"/>
      <c r="AM126" s="5"/>
    </row>
    <row r="127" spans="1:39" ht="12.75" customHeight="1" x14ac:dyDescent="0.4">
      <c r="A127" s="14"/>
      <c r="B127" s="27"/>
      <c r="C127" s="28" t="s">
        <v>110</v>
      </c>
      <c r="D127" s="29"/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3">
        <f t="shared" si="10"/>
        <v>0</v>
      </c>
      <c r="AL127" s="5"/>
      <c r="AM127" s="5"/>
    </row>
    <row r="128" spans="1:39" ht="12.75" customHeight="1" x14ac:dyDescent="0.4">
      <c r="A128" s="15" t="s">
        <v>15</v>
      </c>
      <c r="B128" s="53" t="s">
        <v>46</v>
      </c>
      <c r="C128" s="54"/>
      <c r="D128" s="55"/>
      <c r="E128" s="13">
        <f t="shared" ref="E128:AJ128" si="20">SUM(E121:E127)</f>
        <v>0</v>
      </c>
      <c r="F128" s="13">
        <f t="shared" si="20"/>
        <v>0</v>
      </c>
      <c r="G128" s="13">
        <f t="shared" si="20"/>
        <v>0</v>
      </c>
      <c r="H128" s="13">
        <f t="shared" si="20"/>
        <v>0</v>
      </c>
      <c r="I128" s="13">
        <f t="shared" si="20"/>
        <v>0</v>
      </c>
      <c r="J128" s="13">
        <f t="shared" si="20"/>
        <v>0</v>
      </c>
      <c r="K128" s="13">
        <f t="shared" si="20"/>
        <v>1</v>
      </c>
      <c r="L128" s="13">
        <f t="shared" si="20"/>
        <v>1</v>
      </c>
      <c r="M128" s="13">
        <f t="shared" si="20"/>
        <v>0</v>
      </c>
      <c r="N128" s="13">
        <f t="shared" si="20"/>
        <v>1</v>
      </c>
      <c r="O128" s="13">
        <f t="shared" si="20"/>
        <v>0</v>
      </c>
      <c r="P128" s="13">
        <f t="shared" si="20"/>
        <v>0</v>
      </c>
      <c r="Q128" s="13">
        <f t="shared" si="20"/>
        <v>0</v>
      </c>
      <c r="R128" s="13">
        <f t="shared" si="20"/>
        <v>1</v>
      </c>
      <c r="S128" s="13">
        <f t="shared" si="20"/>
        <v>0</v>
      </c>
      <c r="T128" s="13">
        <f t="shared" si="20"/>
        <v>0</v>
      </c>
      <c r="U128" s="13">
        <f t="shared" si="20"/>
        <v>0</v>
      </c>
      <c r="V128" s="13">
        <f t="shared" si="20"/>
        <v>2</v>
      </c>
      <c r="W128" s="13">
        <f t="shared" si="20"/>
        <v>0</v>
      </c>
      <c r="X128" s="13">
        <f t="shared" si="20"/>
        <v>0</v>
      </c>
      <c r="Y128" s="13">
        <f t="shared" si="20"/>
        <v>1</v>
      </c>
      <c r="Z128" s="13">
        <f t="shared" si="20"/>
        <v>1</v>
      </c>
      <c r="AA128" s="13">
        <f t="shared" si="20"/>
        <v>0</v>
      </c>
      <c r="AB128" s="13">
        <f t="shared" si="20"/>
        <v>0</v>
      </c>
      <c r="AC128" s="13">
        <f t="shared" si="20"/>
        <v>0</v>
      </c>
      <c r="AD128" s="13">
        <f t="shared" si="20"/>
        <v>0</v>
      </c>
      <c r="AE128" s="13">
        <f t="shared" si="20"/>
        <v>0</v>
      </c>
      <c r="AF128" s="13">
        <f t="shared" si="20"/>
        <v>0</v>
      </c>
      <c r="AG128" s="13">
        <f t="shared" si="20"/>
        <v>0</v>
      </c>
      <c r="AH128" s="13">
        <f t="shared" si="20"/>
        <v>0</v>
      </c>
      <c r="AI128" s="13">
        <f t="shared" si="20"/>
        <v>0</v>
      </c>
      <c r="AJ128" s="13">
        <f t="shared" si="20"/>
        <v>0</v>
      </c>
      <c r="AK128" s="13">
        <f t="shared" si="10"/>
        <v>8</v>
      </c>
      <c r="AL128" s="5"/>
      <c r="AM128" s="5"/>
    </row>
    <row r="129" spans="1:39" ht="12.75" customHeight="1" x14ac:dyDescent="0.4">
      <c r="A129" s="34"/>
      <c r="B129" s="35"/>
      <c r="C129" s="35"/>
      <c r="D129" s="3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3">
        <f t="shared" si="10"/>
        <v>0</v>
      </c>
      <c r="AL129" s="5"/>
      <c r="AM129" s="5"/>
    </row>
    <row r="130" spans="1:39" ht="12.75" customHeight="1" x14ac:dyDescent="0.4">
      <c r="A130" s="19" t="s">
        <v>37</v>
      </c>
      <c r="B130" s="26" t="s">
        <v>111</v>
      </c>
      <c r="C130" s="56" t="s">
        <v>112</v>
      </c>
      <c r="D130" s="55"/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3">
        <f t="shared" si="10"/>
        <v>0</v>
      </c>
      <c r="AL130" s="1"/>
      <c r="AM130" s="1"/>
    </row>
    <row r="131" spans="1:39" ht="12.75" customHeight="1" x14ac:dyDescent="0.4">
      <c r="A131" s="19" t="s">
        <v>39</v>
      </c>
      <c r="B131" s="27"/>
      <c r="C131" s="28" t="s">
        <v>113</v>
      </c>
      <c r="D131" s="2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3">
        <f t="shared" si="10"/>
        <v>0</v>
      </c>
      <c r="AL131" s="31"/>
      <c r="AM131" s="31"/>
    </row>
    <row r="132" spans="1:39" ht="12.75" customHeight="1" x14ac:dyDescent="0.4">
      <c r="A132" s="15" t="s">
        <v>15</v>
      </c>
      <c r="B132" s="53" t="s">
        <v>46</v>
      </c>
      <c r="C132" s="54"/>
      <c r="D132" s="55"/>
      <c r="E132" s="13">
        <f t="shared" ref="E132:AJ132" si="21">SUM(E130:E131)</f>
        <v>0</v>
      </c>
      <c r="F132" s="13">
        <f t="shared" si="21"/>
        <v>0</v>
      </c>
      <c r="G132" s="13">
        <f t="shared" si="21"/>
        <v>0</v>
      </c>
      <c r="H132" s="13">
        <f t="shared" si="21"/>
        <v>0</v>
      </c>
      <c r="I132" s="13">
        <f t="shared" si="21"/>
        <v>0</v>
      </c>
      <c r="J132" s="13">
        <f t="shared" si="21"/>
        <v>0</v>
      </c>
      <c r="K132" s="13">
        <f t="shared" si="21"/>
        <v>0</v>
      </c>
      <c r="L132" s="13">
        <f t="shared" si="21"/>
        <v>0</v>
      </c>
      <c r="M132" s="13">
        <f t="shared" si="21"/>
        <v>0</v>
      </c>
      <c r="N132" s="13">
        <f t="shared" si="21"/>
        <v>0</v>
      </c>
      <c r="O132" s="13">
        <f t="shared" si="21"/>
        <v>0</v>
      </c>
      <c r="P132" s="13">
        <f t="shared" si="21"/>
        <v>0</v>
      </c>
      <c r="Q132" s="13">
        <f t="shared" si="21"/>
        <v>0</v>
      </c>
      <c r="R132" s="13">
        <f t="shared" si="21"/>
        <v>0</v>
      </c>
      <c r="S132" s="13">
        <f t="shared" si="21"/>
        <v>0</v>
      </c>
      <c r="T132" s="13">
        <f t="shared" si="21"/>
        <v>0</v>
      </c>
      <c r="U132" s="13">
        <f t="shared" si="21"/>
        <v>0</v>
      </c>
      <c r="V132" s="13">
        <f t="shared" si="21"/>
        <v>0</v>
      </c>
      <c r="W132" s="13">
        <f t="shared" si="21"/>
        <v>0</v>
      </c>
      <c r="X132" s="13">
        <f t="shared" si="21"/>
        <v>0</v>
      </c>
      <c r="Y132" s="13">
        <f t="shared" si="21"/>
        <v>0</v>
      </c>
      <c r="Z132" s="13">
        <f t="shared" si="21"/>
        <v>0</v>
      </c>
      <c r="AA132" s="13">
        <f t="shared" si="21"/>
        <v>0</v>
      </c>
      <c r="AB132" s="13">
        <f t="shared" si="21"/>
        <v>0</v>
      </c>
      <c r="AC132" s="13">
        <f t="shared" si="21"/>
        <v>0</v>
      </c>
      <c r="AD132" s="13">
        <f t="shared" si="21"/>
        <v>0</v>
      </c>
      <c r="AE132" s="13">
        <f t="shared" si="21"/>
        <v>0</v>
      </c>
      <c r="AF132" s="13">
        <f t="shared" si="21"/>
        <v>0</v>
      </c>
      <c r="AG132" s="13">
        <f t="shared" si="21"/>
        <v>0</v>
      </c>
      <c r="AH132" s="13">
        <f t="shared" si="21"/>
        <v>0</v>
      </c>
      <c r="AI132" s="13">
        <f t="shared" si="21"/>
        <v>0</v>
      </c>
      <c r="AJ132" s="13">
        <f t="shared" si="21"/>
        <v>0</v>
      </c>
      <c r="AK132" s="13">
        <f t="shared" si="10"/>
        <v>0</v>
      </c>
      <c r="AL132" s="5"/>
      <c r="AM132" s="5"/>
    </row>
    <row r="133" spans="1:39" ht="12.75" customHeight="1" x14ac:dyDescent="0.4">
      <c r="A133" s="34"/>
      <c r="B133" s="35"/>
      <c r="C133" s="35"/>
      <c r="D133" s="3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3">
        <f t="shared" si="10"/>
        <v>0</v>
      </c>
      <c r="AL133" s="5"/>
      <c r="AM133" s="5"/>
    </row>
    <row r="134" spans="1:39" ht="12.75" customHeight="1" x14ac:dyDescent="0.4">
      <c r="A134" s="19" t="s">
        <v>37</v>
      </c>
      <c r="B134" s="26" t="s">
        <v>114</v>
      </c>
      <c r="C134" s="56" t="s">
        <v>115</v>
      </c>
      <c r="D134" s="55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0</v>
      </c>
      <c r="Q134" s="15">
        <v>0</v>
      </c>
      <c r="R134" s="15">
        <v>0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3">
        <f t="shared" si="10"/>
        <v>2</v>
      </c>
      <c r="AL134" s="5"/>
      <c r="AM134" s="5"/>
    </row>
    <row r="135" spans="1:39" ht="12.75" customHeight="1" x14ac:dyDescent="0.4">
      <c r="A135" s="19" t="s">
        <v>39</v>
      </c>
      <c r="B135" s="27"/>
      <c r="C135" s="28" t="s">
        <v>116</v>
      </c>
      <c r="D135" s="29"/>
      <c r="E135" s="15">
        <v>0</v>
      </c>
      <c r="F135" s="15">
        <v>0</v>
      </c>
      <c r="G135" s="15">
        <v>0</v>
      </c>
      <c r="H135" s="15">
        <v>1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1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1</v>
      </c>
      <c r="AJ135" s="15">
        <v>0</v>
      </c>
      <c r="AK135" s="13">
        <f t="shared" si="10"/>
        <v>3</v>
      </c>
      <c r="AL135" s="5"/>
      <c r="AM135" s="5"/>
    </row>
    <row r="136" spans="1:39" ht="12.75" customHeight="1" x14ac:dyDescent="0.4">
      <c r="A136" s="14"/>
      <c r="B136" s="27"/>
      <c r="C136" s="28" t="s">
        <v>117</v>
      </c>
      <c r="D136" s="29"/>
      <c r="E136" s="15">
        <v>0</v>
      </c>
      <c r="F136" s="15">
        <v>0</v>
      </c>
      <c r="G136" s="15">
        <v>0</v>
      </c>
      <c r="H136" s="15">
        <v>1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1</v>
      </c>
      <c r="AJ136" s="15">
        <v>0</v>
      </c>
      <c r="AK136" s="13">
        <f t="shared" si="10"/>
        <v>2</v>
      </c>
      <c r="AL136" s="5"/>
      <c r="AM136" s="5"/>
    </row>
    <row r="137" spans="1:39" ht="12.75" customHeight="1" x14ac:dyDescent="0.4">
      <c r="A137" s="14"/>
      <c r="B137" s="27"/>
      <c r="C137" s="28" t="s">
        <v>118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3">
        <f t="shared" si="10"/>
        <v>1</v>
      </c>
      <c r="AL137" s="5"/>
      <c r="AM137" s="5"/>
    </row>
    <row r="138" spans="1:39" ht="12.75" customHeight="1" x14ac:dyDescent="0.4">
      <c r="A138" s="14"/>
      <c r="B138" s="27"/>
      <c r="C138" s="28" t="s">
        <v>119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3">
        <f t="shared" si="10"/>
        <v>0</v>
      </c>
      <c r="AL138" s="5"/>
      <c r="AM138" s="5"/>
    </row>
    <row r="139" spans="1:39" ht="12.75" customHeight="1" x14ac:dyDescent="0.4">
      <c r="A139" s="14"/>
      <c r="B139" s="27"/>
      <c r="C139" s="28" t="s">
        <v>120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3">
        <f t="shared" si="10"/>
        <v>0</v>
      </c>
      <c r="AL139" s="5"/>
      <c r="AM139" s="5"/>
    </row>
    <row r="140" spans="1:39" ht="12.75" customHeight="1" x14ac:dyDescent="0.4">
      <c r="A140" s="14"/>
      <c r="B140" s="27"/>
      <c r="C140" s="28" t="s">
        <v>121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1</v>
      </c>
      <c r="AK140" s="13">
        <f t="shared" si="10"/>
        <v>1</v>
      </c>
      <c r="AL140" s="5"/>
      <c r="AM140" s="5"/>
    </row>
    <row r="141" spans="1:39" ht="12.75" customHeight="1" x14ac:dyDescent="0.4">
      <c r="A141" s="15" t="s">
        <v>15</v>
      </c>
      <c r="B141" s="53" t="s">
        <v>46</v>
      </c>
      <c r="C141" s="54"/>
      <c r="D141" s="55"/>
      <c r="E141" s="13">
        <v>0</v>
      </c>
      <c r="F141" s="13">
        <v>0</v>
      </c>
      <c r="G141" s="13">
        <v>0</v>
      </c>
      <c r="H141" s="13">
        <v>2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1</v>
      </c>
      <c r="P141" s="13">
        <v>0</v>
      </c>
      <c r="Q141" s="13">
        <v>1</v>
      </c>
      <c r="R141" s="13">
        <v>0</v>
      </c>
      <c r="S141" s="13">
        <v>1</v>
      </c>
      <c r="T141" s="13">
        <f t="shared" ref="T141:AJ141" si="22">SUM(T134:T140)</f>
        <v>0</v>
      </c>
      <c r="U141" s="13">
        <f t="shared" si="22"/>
        <v>0</v>
      </c>
      <c r="V141" s="13">
        <f t="shared" si="22"/>
        <v>0</v>
      </c>
      <c r="W141" s="13">
        <f t="shared" si="22"/>
        <v>0</v>
      </c>
      <c r="X141" s="13">
        <f t="shared" si="22"/>
        <v>0</v>
      </c>
      <c r="Y141" s="13">
        <f t="shared" si="22"/>
        <v>0</v>
      </c>
      <c r="Z141" s="13">
        <f t="shared" si="22"/>
        <v>0</v>
      </c>
      <c r="AA141" s="13">
        <f t="shared" si="22"/>
        <v>0</v>
      </c>
      <c r="AB141" s="13">
        <f t="shared" si="22"/>
        <v>0</v>
      </c>
      <c r="AC141" s="13">
        <f t="shared" si="22"/>
        <v>0</v>
      </c>
      <c r="AD141" s="13">
        <f t="shared" si="22"/>
        <v>0</v>
      </c>
      <c r="AE141" s="13">
        <f t="shared" si="22"/>
        <v>1</v>
      </c>
      <c r="AF141" s="13">
        <f t="shared" si="22"/>
        <v>0</v>
      </c>
      <c r="AG141" s="13">
        <f t="shared" si="22"/>
        <v>0</v>
      </c>
      <c r="AH141" s="13">
        <f t="shared" si="22"/>
        <v>0</v>
      </c>
      <c r="AI141" s="13">
        <f t="shared" si="22"/>
        <v>2</v>
      </c>
      <c r="AJ141" s="13">
        <f t="shared" si="22"/>
        <v>1</v>
      </c>
      <c r="AK141" s="13">
        <f t="shared" si="10"/>
        <v>9</v>
      </c>
      <c r="AL141" s="1"/>
      <c r="AM141" s="1"/>
    </row>
    <row r="142" spans="1:39" ht="12.75" customHeight="1" x14ac:dyDescent="0.4">
      <c r="A142" s="34"/>
      <c r="B142" s="35"/>
      <c r="C142" s="35"/>
      <c r="D142" s="3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3">
        <f t="shared" si="10"/>
        <v>0</v>
      </c>
      <c r="AL142" s="31"/>
      <c r="AM142" s="31"/>
    </row>
    <row r="143" spans="1:39" ht="12.75" customHeight="1" x14ac:dyDescent="0.4">
      <c r="A143" s="19" t="s">
        <v>37</v>
      </c>
      <c r="B143" s="26" t="s">
        <v>122</v>
      </c>
      <c r="C143" s="56" t="s">
        <v>123</v>
      </c>
      <c r="D143" s="55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3">
        <f t="shared" si="10"/>
        <v>1</v>
      </c>
      <c r="AL143" s="5"/>
      <c r="AM143" s="5"/>
    </row>
    <row r="144" spans="1:39" ht="12.75" customHeight="1" x14ac:dyDescent="0.4">
      <c r="A144" s="19" t="s">
        <v>39</v>
      </c>
      <c r="B144" s="27"/>
      <c r="C144" s="28" t="s">
        <v>124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1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3">
        <f t="shared" si="10"/>
        <v>1</v>
      </c>
      <c r="AL144" s="5"/>
      <c r="AM144" s="5"/>
    </row>
    <row r="145" spans="1:39" ht="12.75" customHeight="1" x14ac:dyDescent="0.4">
      <c r="A145" s="14"/>
      <c r="B145" s="27"/>
      <c r="C145" s="28" t="s">
        <v>125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3">
        <f t="shared" si="10"/>
        <v>0</v>
      </c>
      <c r="AL145" s="5"/>
      <c r="AM145" s="5"/>
    </row>
    <row r="146" spans="1:39" ht="12.75" customHeight="1" x14ac:dyDescent="0.4">
      <c r="A146" s="14"/>
      <c r="B146" s="27"/>
      <c r="C146" s="28" t="s">
        <v>126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3">
        <f t="shared" si="10"/>
        <v>0</v>
      </c>
      <c r="AL146" s="5"/>
      <c r="AM146" s="5"/>
    </row>
    <row r="147" spans="1:39" ht="12.75" customHeight="1" x14ac:dyDescent="0.4">
      <c r="A147" s="14"/>
      <c r="B147" s="27"/>
      <c r="C147" s="28" t="s">
        <v>127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3">
        <f t="shared" si="10"/>
        <v>0</v>
      </c>
      <c r="AL147" s="5"/>
      <c r="AM147" s="5"/>
    </row>
    <row r="148" spans="1:39" ht="12.75" customHeight="1" x14ac:dyDescent="0.4">
      <c r="A148" s="14"/>
      <c r="B148" s="27"/>
      <c r="C148" s="28" t="s">
        <v>128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3">
        <f t="shared" si="10"/>
        <v>0</v>
      </c>
      <c r="AL148" s="5"/>
      <c r="AM148" s="5"/>
    </row>
    <row r="149" spans="1:39" ht="12.75" customHeight="1" x14ac:dyDescent="0.4">
      <c r="A149" s="14"/>
      <c r="B149" s="27"/>
      <c r="C149" s="28" t="s">
        <v>129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3">
        <f t="shared" si="10"/>
        <v>0</v>
      </c>
      <c r="AL149" s="5"/>
      <c r="AM149" s="5"/>
    </row>
    <row r="150" spans="1:39" ht="12.75" customHeight="1" x14ac:dyDescent="0.4">
      <c r="A150" s="15" t="s">
        <v>15</v>
      </c>
      <c r="B150" s="53" t="s">
        <v>46</v>
      </c>
      <c r="C150" s="54"/>
      <c r="D150" s="55"/>
      <c r="E150" s="13">
        <f t="shared" ref="E150:AJ150" si="23">SUM(E143:E149)</f>
        <v>0</v>
      </c>
      <c r="F150" s="13">
        <f t="shared" si="23"/>
        <v>0</v>
      </c>
      <c r="G150" s="13">
        <f t="shared" si="23"/>
        <v>0</v>
      </c>
      <c r="H150" s="13">
        <f t="shared" si="23"/>
        <v>0</v>
      </c>
      <c r="I150" s="13">
        <f t="shared" si="23"/>
        <v>0</v>
      </c>
      <c r="J150" s="13">
        <f t="shared" si="23"/>
        <v>0</v>
      </c>
      <c r="K150" s="13">
        <f t="shared" si="23"/>
        <v>0</v>
      </c>
      <c r="L150" s="13">
        <f t="shared" si="23"/>
        <v>0</v>
      </c>
      <c r="M150" s="13">
        <f t="shared" si="23"/>
        <v>0</v>
      </c>
      <c r="N150" s="13">
        <f t="shared" si="23"/>
        <v>0</v>
      </c>
      <c r="O150" s="13">
        <f t="shared" si="23"/>
        <v>0</v>
      </c>
      <c r="P150" s="13">
        <f t="shared" si="23"/>
        <v>1</v>
      </c>
      <c r="Q150" s="13">
        <f t="shared" si="23"/>
        <v>0</v>
      </c>
      <c r="R150" s="13">
        <f t="shared" si="23"/>
        <v>0</v>
      </c>
      <c r="S150" s="13">
        <f t="shared" si="23"/>
        <v>0</v>
      </c>
      <c r="T150" s="13">
        <f t="shared" si="23"/>
        <v>1</v>
      </c>
      <c r="U150" s="13">
        <f t="shared" si="23"/>
        <v>0</v>
      </c>
      <c r="V150" s="13">
        <f t="shared" si="23"/>
        <v>0</v>
      </c>
      <c r="W150" s="13">
        <f t="shared" si="23"/>
        <v>0</v>
      </c>
      <c r="X150" s="13">
        <f t="shared" si="23"/>
        <v>0</v>
      </c>
      <c r="Y150" s="13">
        <f t="shared" si="23"/>
        <v>0</v>
      </c>
      <c r="Z150" s="13">
        <f t="shared" si="23"/>
        <v>0</v>
      </c>
      <c r="AA150" s="13">
        <f t="shared" si="23"/>
        <v>0</v>
      </c>
      <c r="AB150" s="13">
        <f t="shared" si="23"/>
        <v>0</v>
      </c>
      <c r="AC150" s="13">
        <f t="shared" si="23"/>
        <v>0</v>
      </c>
      <c r="AD150" s="13">
        <f t="shared" si="23"/>
        <v>0</v>
      </c>
      <c r="AE150" s="13">
        <f t="shared" si="23"/>
        <v>0</v>
      </c>
      <c r="AF150" s="13">
        <f t="shared" si="23"/>
        <v>0</v>
      </c>
      <c r="AG150" s="13">
        <f t="shared" si="23"/>
        <v>0</v>
      </c>
      <c r="AH150" s="13">
        <f t="shared" si="23"/>
        <v>0</v>
      </c>
      <c r="AI150" s="13">
        <f t="shared" si="23"/>
        <v>0</v>
      </c>
      <c r="AJ150" s="13">
        <f t="shared" si="23"/>
        <v>0</v>
      </c>
      <c r="AK150" s="13">
        <f t="shared" si="10"/>
        <v>2</v>
      </c>
      <c r="AL150" s="5"/>
      <c r="AM150" s="5"/>
    </row>
    <row r="151" spans="1:39" ht="12.75" customHeight="1" x14ac:dyDescent="0.4">
      <c r="A151" s="34"/>
      <c r="B151" s="35"/>
      <c r="C151" s="35"/>
      <c r="D151" s="3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3">
        <f t="shared" si="10"/>
        <v>0</v>
      </c>
      <c r="AL151" s="1"/>
      <c r="AM151" s="1"/>
    </row>
    <row r="152" spans="1:39" ht="12.75" customHeight="1" x14ac:dyDescent="0.4">
      <c r="A152" s="19" t="s">
        <v>37</v>
      </c>
      <c r="B152" s="26" t="s">
        <v>130</v>
      </c>
      <c r="C152" s="56" t="s">
        <v>131</v>
      </c>
      <c r="D152" s="55"/>
      <c r="E152" s="15">
        <v>1</v>
      </c>
      <c r="F152" s="15">
        <v>0</v>
      </c>
      <c r="G152" s="15">
        <v>0</v>
      </c>
      <c r="H152" s="15">
        <v>2</v>
      </c>
      <c r="I152" s="15">
        <v>1</v>
      </c>
      <c r="J152" s="15">
        <v>12</v>
      </c>
      <c r="K152" s="15">
        <v>4</v>
      </c>
      <c r="L152" s="15">
        <v>3</v>
      </c>
      <c r="M152" s="15">
        <v>9</v>
      </c>
      <c r="N152" s="15">
        <v>9</v>
      </c>
      <c r="O152" s="15">
        <v>0</v>
      </c>
      <c r="P152" s="15">
        <v>0</v>
      </c>
      <c r="Q152" s="15">
        <v>0</v>
      </c>
      <c r="R152" s="15">
        <v>2</v>
      </c>
      <c r="S152" s="15">
        <v>1</v>
      </c>
      <c r="T152" s="15">
        <v>1</v>
      </c>
      <c r="U152" s="15">
        <v>1</v>
      </c>
      <c r="V152" s="15">
        <v>1</v>
      </c>
      <c r="W152" s="15">
        <v>1</v>
      </c>
      <c r="X152" s="15">
        <v>0</v>
      </c>
      <c r="Y152" s="15">
        <v>12</v>
      </c>
      <c r="Z152" s="15">
        <v>2</v>
      </c>
      <c r="AA152" s="15">
        <v>4</v>
      </c>
      <c r="AB152" s="15">
        <v>2</v>
      </c>
      <c r="AC152" s="15">
        <v>0</v>
      </c>
      <c r="AD152" s="15">
        <v>0</v>
      </c>
      <c r="AE152" s="15">
        <v>1</v>
      </c>
      <c r="AF152" s="15">
        <v>0</v>
      </c>
      <c r="AG152" s="15">
        <v>1</v>
      </c>
      <c r="AH152" s="15">
        <v>3</v>
      </c>
      <c r="AI152" s="15">
        <v>2</v>
      </c>
      <c r="AJ152" s="15">
        <v>2</v>
      </c>
      <c r="AK152" s="13">
        <f t="shared" si="10"/>
        <v>77</v>
      </c>
      <c r="AL152" s="31"/>
      <c r="AM152" s="31"/>
    </row>
    <row r="153" spans="1:39" ht="12.75" customHeight="1" x14ac:dyDescent="0.4">
      <c r="A153" s="19" t="s">
        <v>39</v>
      </c>
      <c r="B153" s="27"/>
      <c r="C153" s="28" t="s">
        <v>132</v>
      </c>
      <c r="D153" s="29"/>
      <c r="E153" s="15">
        <v>1</v>
      </c>
      <c r="F153" s="15">
        <v>0</v>
      </c>
      <c r="G153" s="15">
        <v>0</v>
      </c>
      <c r="H153" s="15">
        <v>0</v>
      </c>
      <c r="I153" s="15">
        <v>1</v>
      </c>
      <c r="J153" s="15">
        <v>6</v>
      </c>
      <c r="K153" s="15">
        <v>1</v>
      </c>
      <c r="L153" s="15">
        <v>1</v>
      </c>
      <c r="M153" s="15">
        <v>1</v>
      </c>
      <c r="N153" s="15">
        <v>0</v>
      </c>
      <c r="O153" s="15">
        <v>0</v>
      </c>
      <c r="P153" s="15">
        <v>1</v>
      </c>
      <c r="Q153" s="15">
        <v>1</v>
      </c>
      <c r="R153" s="15">
        <v>0</v>
      </c>
      <c r="S153" s="15">
        <v>0</v>
      </c>
      <c r="T153" s="15">
        <v>1</v>
      </c>
      <c r="U153" s="15">
        <v>0</v>
      </c>
      <c r="V153" s="15">
        <v>0</v>
      </c>
      <c r="W153" s="15">
        <v>4</v>
      </c>
      <c r="X153" s="15">
        <v>0</v>
      </c>
      <c r="Y153" s="15">
        <v>1</v>
      </c>
      <c r="Z153" s="15">
        <v>0</v>
      </c>
      <c r="AA153" s="15">
        <v>15</v>
      </c>
      <c r="AB153" s="15">
        <v>12</v>
      </c>
      <c r="AC153" s="15">
        <v>0</v>
      </c>
      <c r="AD153" s="15">
        <v>0</v>
      </c>
      <c r="AE153" s="15">
        <v>0</v>
      </c>
      <c r="AF153" s="15">
        <v>0</v>
      </c>
      <c r="AG153" s="15">
        <v>2</v>
      </c>
      <c r="AH153" s="15">
        <v>1</v>
      </c>
      <c r="AI153" s="15">
        <v>1</v>
      </c>
      <c r="AJ153" s="15">
        <v>0</v>
      </c>
      <c r="AK153" s="13">
        <f t="shared" si="10"/>
        <v>50</v>
      </c>
      <c r="AL153" s="5"/>
      <c r="AM153" s="5"/>
    </row>
    <row r="154" spans="1:39" ht="12.75" customHeight="1" x14ac:dyDescent="0.4">
      <c r="A154" s="14"/>
      <c r="B154" s="27"/>
      <c r="C154" s="28" t="s">
        <v>133</v>
      </c>
      <c r="D154" s="29"/>
      <c r="E154" s="15">
        <v>6</v>
      </c>
      <c r="F154" s="15">
        <v>4</v>
      </c>
      <c r="G154" s="15">
        <v>0</v>
      </c>
      <c r="H154" s="15">
        <v>1</v>
      </c>
      <c r="I154" s="15">
        <v>0</v>
      </c>
      <c r="J154" s="15">
        <v>65</v>
      </c>
      <c r="K154" s="15">
        <v>10</v>
      </c>
      <c r="L154" s="15">
        <v>7</v>
      </c>
      <c r="M154" s="15">
        <v>25</v>
      </c>
      <c r="N154" s="15">
        <v>33</v>
      </c>
      <c r="O154" s="15">
        <v>1</v>
      </c>
      <c r="P154" s="15">
        <v>1</v>
      </c>
      <c r="Q154" s="15">
        <v>3</v>
      </c>
      <c r="R154" s="15">
        <v>4</v>
      </c>
      <c r="S154" s="15">
        <v>9</v>
      </c>
      <c r="T154" s="15">
        <v>0</v>
      </c>
      <c r="U154" s="15">
        <v>2</v>
      </c>
      <c r="V154" s="15">
        <v>8</v>
      </c>
      <c r="W154" s="15">
        <v>0</v>
      </c>
      <c r="X154" s="15">
        <v>8</v>
      </c>
      <c r="Y154" s="15">
        <v>34</v>
      </c>
      <c r="Z154" s="15">
        <v>29</v>
      </c>
      <c r="AA154" s="15">
        <v>56</v>
      </c>
      <c r="AB154" s="15">
        <v>58</v>
      </c>
      <c r="AC154" s="15">
        <v>3</v>
      </c>
      <c r="AD154" s="15">
        <v>3</v>
      </c>
      <c r="AE154" s="15">
        <v>3</v>
      </c>
      <c r="AF154" s="15">
        <v>4</v>
      </c>
      <c r="AG154" s="15">
        <v>4</v>
      </c>
      <c r="AH154" s="15">
        <v>13</v>
      </c>
      <c r="AI154" s="15">
        <v>29</v>
      </c>
      <c r="AJ154" s="15">
        <v>24</v>
      </c>
      <c r="AK154" s="13">
        <f t="shared" si="10"/>
        <v>447</v>
      </c>
      <c r="AL154" s="5"/>
      <c r="AM154" s="5"/>
    </row>
    <row r="155" spans="1:39" ht="12.75" customHeight="1" x14ac:dyDescent="0.4">
      <c r="A155" s="14"/>
      <c r="B155" s="27"/>
      <c r="C155" s="28" t="s">
        <v>134</v>
      </c>
      <c r="D155" s="29"/>
      <c r="E155" s="15">
        <v>0</v>
      </c>
      <c r="F155" s="15">
        <v>2</v>
      </c>
      <c r="G155" s="15">
        <v>0</v>
      </c>
      <c r="H155" s="15">
        <v>0</v>
      </c>
      <c r="I155" s="15">
        <v>0</v>
      </c>
      <c r="J155" s="15">
        <v>1</v>
      </c>
      <c r="K155" s="15">
        <v>0</v>
      </c>
      <c r="L155" s="15">
        <v>1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1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  <c r="AA155" s="15">
        <v>1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1</v>
      </c>
      <c r="AH155" s="15">
        <v>1</v>
      </c>
      <c r="AI155" s="15">
        <v>0</v>
      </c>
      <c r="AJ155" s="15">
        <v>0</v>
      </c>
      <c r="AK155" s="13">
        <f t="shared" si="10"/>
        <v>9</v>
      </c>
      <c r="AL155" s="5"/>
      <c r="AM155" s="5"/>
    </row>
    <row r="156" spans="1:39" ht="12.75" customHeight="1" x14ac:dyDescent="0.4">
      <c r="A156" s="14"/>
      <c r="B156" s="27"/>
      <c r="C156" s="28" t="s">
        <v>135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3">
        <f t="shared" si="10"/>
        <v>1</v>
      </c>
      <c r="AL156" s="5"/>
      <c r="AM156" s="5"/>
    </row>
    <row r="157" spans="1:39" ht="12.75" customHeight="1" x14ac:dyDescent="0.4">
      <c r="A157" s="14"/>
      <c r="B157" s="27"/>
      <c r="C157" s="28" t="s">
        <v>136</v>
      </c>
      <c r="D157" s="29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3">
        <f t="shared" si="10"/>
        <v>0</v>
      </c>
      <c r="AL157" s="5"/>
      <c r="AM157" s="5"/>
    </row>
    <row r="158" spans="1:39" ht="12.75" customHeight="1" x14ac:dyDescent="0.4">
      <c r="A158" s="14"/>
      <c r="B158" s="27"/>
      <c r="C158" s="28" t="s">
        <v>137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1</v>
      </c>
      <c r="K158" s="15">
        <v>0</v>
      </c>
      <c r="L158" s="15">
        <v>0</v>
      </c>
      <c r="M158" s="15">
        <v>0</v>
      </c>
      <c r="N158" s="15">
        <v>0</v>
      </c>
      <c r="O158" s="15">
        <v>1</v>
      </c>
      <c r="P158" s="15">
        <v>0</v>
      </c>
      <c r="Q158" s="15">
        <v>0</v>
      </c>
      <c r="R158" s="15">
        <v>0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3">
        <f t="shared" si="10"/>
        <v>3</v>
      </c>
      <c r="AL158" s="5"/>
      <c r="AM158" s="5"/>
    </row>
    <row r="159" spans="1:39" ht="12.75" customHeight="1" x14ac:dyDescent="0.4">
      <c r="A159" s="15" t="s">
        <v>15</v>
      </c>
      <c r="B159" s="53" t="s">
        <v>46</v>
      </c>
      <c r="C159" s="54"/>
      <c r="D159" s="55"/>
      <c r="E159" s="13">
        <f t="shared" ref="E159:AJ159" si="24">SUM(E152:E158)</f>
        <v>8</v>
      </c>
      <c r="F159" s="13">
        <f t="shared" si="24"/>
        <v>6</v>
      </c>
      <c r="G159" s="13">
        <f t="shared" si="24"/>
        <v>0</v>
      </c>
      <c r="H159" s="13">
        <f t="shared" si="24"/>
        <v>3</v>
      </c>
      <c r="I159" s="13">
        <f t="shared" si="24"/>
        <v>2</v>
      </c>
      <c r="J159" s="13">
        <f t="shared" si="24"/>
        <v>85</v>
      </c>
      <c r="K159" s="13">
        <f t="shared" si="24"/>
        <v>15</v>
      </c>
      <c r="L159" s="13">
        <f t="shared" si="24"/>
        <v>12</v>
      </c>
      <c r="M159" s="13">
        <f t="shared" si="24"/>
        <v>35</v>
      </c>
      <c r="N159" s="13">
        <f t="shared" si="24"/>
        <v>42</v>
      </c>
      <c r="O159" s="13">
        <f t="shared" si="24"/>
        <v>2</v>
      </c>
      <c r="P159" s="13">
        <f t="shared" si="24"/>
        <v>2</v>
      </c>
      <c r="Q159" s="13">
        <f t="shared" si="24"/>
        <v>4</v>
      </c>
      <c r="R159" s="13">
        <f t="shared" si="24"/>
        <v>7</v>
      </c>
      <c r="S159" s="13">
        <f t="shared" si="24"/>
        <v>11</v>
      </c>
      <c r="T159" s="13">
        <f t="shared" si="24"/>
        <v>2</v>
      </c>
      <c r="U159" s="13">
        <f t="shared" si="24"/>
        <v>4</v>
      </c>
      <c r="V159" s="13">
        <f t="shared" si="24"/>
        <v>10</v>
      </c>
      <c r="W159" s="13">
        <f t="shared" si="24"/>
        <v>5</v>
      </c>
      <c r="X159" s="13">
        <f t="shared" si="24"/>
        <v>8</v>
      </c>
      <c r="Y159" s="13">
        <f t="shared" si="24"/>
        <v>47</v>
      </c>
      <c r="Z159" s="13">
        <f t="shared" si="24"/>
        <v>31</v>
      </c>
      <c r="AA159" s="13">
        <f t="shared" si="24"/>
        <v>76</v>
      </c>
      <c r="AB159" s="13">
        <f t="shared" si="24"/>
        <v>72</v>
      </c>
      <c r="AC159" s="13">
        <f t="shared" si="24"/>
        <v>3</v>
      </c>
      <c r="AD159" s="13">
        <f t="shared" si="24"/>
        <v>3</v>
      </c>
      <c r="AE159" s="13">
        <f t="shared" si="24"/>
        <v>4</v>
      </c>
      <c r="AF159" s="13">
        <f t="shared" si="24"/>
        <v>4</v>
      </c>
      <c r="AG159" s="13">
        <f t="shared" si="24"/>
        <v>8</v>
      </c>
      <c r="AH159" s="13">
        <f t="shared" si="24"/>
        <v>18</v>
      </c>
      <c r="AI159" s="13">
        <f t="shared" si="24"/>
        <v>32</v>
      </c>
      <c r="AJ159" s="13">
        <f t="shared" si="24"/>
        <v>26</v>
      </c>
      <c r="AK159" s="13">
        <f t="shared" si="10"/>
        <v>587</v>
      </c>
      <c r="AL159" s="5"/>
      <c r="AM159" s="5"/>
    </row>
    <row r="160" spans="1:39" ht="12.75" customHeight="1" x14ac:dyDescent="0.4">
      <c r="A160" s="34"/>
      <c r="B160" s="35"/>
      <c r="C160" s="35"/>
      <c r="D160" s="3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3">
        <f t="shared" si="10"/>
        <v>0</v>
      </c>
      <c r="AL160" s="5"/>
      <c r="AM160" s="5"/>
    </row>
    <row r="161" spans="1:39" ht="12.75" customHeight="1" x14ac:dyDescent="0.4">
      <c r="A161" s="19" t="s">
        <v>37</v>
      </c>
      <c r="B161" s="26" t="s">
        <v>138</v>
      </c>
      <c r="C161" s="56" t="s">
        <v>139</v>
      </c>
      <c r="D161" s="55"/>
      <c r="E161" s="46">
        <v>0</v>
      </c>
      <c r="F161" s="46">
        <v>1</v>
      </c>
      <c r="G161" s="46">
        <v>1</v>
      </c>
      <c r="H161" s="46">
        <v>0</v>
      </c>
      <c r="I161" s="46">
        <v>0</v>
      </c>
      <c r="J161" s="46">
        <v>0</v>
      </c>
      <c r="K161" s="46">
        <v>0</v>
      </c>
      <c r="L161" s="46">
        <v>0</v>
      </c>
      <c r="M161" s="46">
        <v>1</v>
      </c>
      <c r="N161" s="46">
        <v>1</v>
      </c>
      <c r="O161" s="46">
        <v>1</v>
      </c>
      <c r="P161" s="46">
        <v>1</v>
      </c>
      <c r="Q161" s="46">
        <v>0</v>
      </c>
      <c r="R161" s="46">
        <v>1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1</v>
      </c>
      <c r="Z161" s="46">
        <v>0</v>
      </c>
      <c r="AA161" s="46">
        <v>1</v>
      </c>
      <c r="AB161" s="46">
        <v>0</v>
      </c>
      <c r="AC161" s="46">
        <v>1</v>
      </c>
      <c r="AD161" s="46">
        <v>0</v>
      </c>
      <c r="AE161" s="46">
        <v>1</v>
      </c>
      <c r="AF161" s="46">
        <v>0</v>
      </c>
      <c r="AG161" s="46">
        <v>0</v>
      </c>
      <c r="AH161" s="46">
        <v>0</v>
      </c>
      <c r="AI161" s="46">
        <v>0</v>
      </c>
      <c r="AJ161" s="46">
        <v>0</v>
      </c>
      <c r="AK161" s="13">
        <f t="shared" si="10"/>
        <v>11</v>
      </c>
      <c r="AL161" s="5"/>
      <c r="AM161" s="5"/>
    </row>
    <row r="162" spans="1:39" ht="12.75" customHeight="1" x14ac:dyDescent="0.4">
      <c r="A162" s="19" t="s">
        <v>39</v>
      </c>
      <c r="B162" s="27"/>
      <c r="C162" s="28" t="s">
        <v>140</v>
      </c>
      <c r="D162" s="29"/>
      <c r="E162" s="46">
        <v>0</v>
      </c>
      <c r="F162" s="46">
        <v>0</v>
      </c>
      <c r="G162" s="46">
        <v>0</v>
      </c>
      <c r="H162" s="46">
        <v>0</v>
      </c>
      <c r="I162" s="46">
        <v>0</v>
      </c>
      <c r="J162" s="46">
        <v>2</v>
      </c>
      <c r="K162" s="46">
        <v>0</v>
      </c>
      <c r="L162" s="46">
        <v>0</v>
      </c>
      <c r="M162" s="46">
        <v>0</v>
      </c>
      <c r="N162" s="46">
        <v>0</v>
      </c>
      <c r="O162" s="46">
        <v>1</v>
      </c>
      <c r="P162" s="46">
        <v>1</v>
      </c>
      <c r="Q162" s="46">
        <v>0</v>
      </c>
      <c r="R162" s="46">
        <v>0</v>
      </c>
      <c r="S162" s="46">
        <v>0</v>
      </c>
      <c r="T162" s="46">
        <v>1</v>
      </c>
      <c r="U162" s="46">
        <v>0</v>
      </c>
      <c r="V162" s="46">
        <v>0</v>
      </c>
      <c r="W162" s="46">
        <v>0</v>
      </c>
      <c r="X162" s="46">
        <v>1</v>
      </c>
      <c r="Y162" s="46">
        <v>0</v>
      </c>
      <c r="Z162" s="46">
        <v>0</v>
      </c>
      <c r="AA162" s="46">
        <v>0</v>
      </c>
      <c r="AB162" s="46">
        <v>0</v>
      </c>
      <c r="AC162" s="46">
        <v>0</v>
      </c>
      <c r="AD162" s="46">
        <v>0</v>
      </c>
      <c r="AE162" s="46">
        <v>0</v>
      </c>
      <c r="AF162" s="46">
        <v>0</v>
      </c>
      <c r="AG162" s="46">
        <v>0</v>
      </c>
      <c r="AH162" s="46">
        <v>0</v>
      </c>
      <c r="AI162" s="46">
        <v>0</v>
      </c>
      <c r="AJ162" s="46">
        <v>0</v>
      </c>
      <c r="AK162" s="13">
        <f t="shared" si="10"/>
        <v>6</v>
      </c>
      <c r="AL162" s="5"/>
      <c r="AM162" s="5"/>
    </row>
    <row r="163" spans="1:39" ht="12.75" customHeight="1" x14ac:dyDescent="0.4">
      <c r="A163" s="19"/>
      <c r="B163" s="27"/>
      <c r="C163" s="28" t="s">
        <v>141</v>
      </c>
      <c r="D163" s="29"/>
      <c r="E163" s="46">
        <v>0</v>
      </c>
      <c r="F163" s="46">
        <v>1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1</v>
      </c>
      <c r="T163" s="46">
        <v>0</v>
      </c>
      <c r="U163" s="46">
        <v>0</v>
      </c>
      <c r="V163" s="46">
        <v>0</v>
      </c>
      <c r="W163" s="46">
        <v>0</v>
      </c>
      <c r="X163" s="46">
        <v>0</v>
      </c>
      <c r="Y163" s="46">
        <v>0</v>
      </c>
      <c r="Z163" s="46">
        <v>0</v>
      </c>
      <c r="AA163" s="46">
        <v>0</v>
      </c>
      <c r="AB163" s="46">
        <v>0</v>
      </c>
      <c r="AC163" s="46">
        <v>0</v>
      </c>
      <c r="AD163" s="46">
        <v>0</v>
      </c>
      <c r="AE163" s="46">
        <v>0</v>
      </c>
      <c r="AF163" s="46">
        <v>1</v>
      </c>
      <c r="AG163" s="46">
        <v>0</v>
      </c>
      <c r="AH163" s="46">
        <v>0</v>
      </c>
      <c r="AI163" s="46">
        <v>0</v>
      </c>
      <c r="AJ163" s="46">
        <v>0</v>
      </c>
      <c r="AK163" s="13">
        <f t="shared" si="10"/>
        <v>3</v>
      </c>
      <c r="AL163" s="5"/>
      <c r="AM163" s="5"/>
    </row>
    <row r="164" spans="1:39" ht="12.75" customHeight="1" x14ac:dyDescent="0.4">
      <c r="A164" s="15" t="s">
        <v>15</v>
      </c>
      <c r="B164" s="53" t="s">
        <v>46</v>
      </c>
      <c r="C164" s="54"/>
      <c r="D164" s="55"/>
      <c r="E164" s="13">
        <f t="shared" ref="E164:AJ164" si="25">SUM(E161:E163)</f>
        <v>0</v>
      </c>
      <c r="F164" s="13">
        <f t="shared" si="25"/>
        <v>2</v>
      </c>
      <c r="G164" s="13">
        <f t="shared" si="25"/>
        <v>1</v>
      </c>
      <c r="H164" s="13">
        <f t="shared" si="25"/>
        <v>0</v>
      </c>
      <c r="I164" s="13">
        <f t="shared" si="25"/>
        <v>0</v>
      </c>
      <c r="J164" s="13">
        <f t="shared" si="25"/>
        <v>2</v>
      </c>
      <c r="K164" s="13">
        <f t="shared" si="25"/>
        <v>0</v>
      </c>
      <c r="L164" s="13">
        <f t="shared" si="25"/>
        <v>0</v>
      </c>
      <c r="M164" s="13">
        <f t="shared" si="25"/>
        <v>1</v>
      </c>
      <c r="N164" s="13">
        <f t="shared" si="25"/>
        <v>1</v>
      </c>
      <c r="O164" s="13">
        <f t="shared" si="25"/>
        <v>2</v>
      </c>
      <c r="P164" s="13">
        <f t="shared" si="25"/>
        <v>2</v>
      </c>
      <c r="Q164" s="13">
        <f t="shared" si="25"/>
        <v>0</v>
      </c>
      <c r="R164" s="13">
        <f t="shared" si="25"/>
        <v>1</v>
      </c>
      <c r="S164" s="13">
        <f t="shared" si="25"/>
        <v>1</v>
      </c>
      <c r="T164" s="13">
        <f t="shared" si="25"/>
        <v>1</v>
      </c>
      <c r="U164" s="13">
        <f t="shared" si="25"/>
        <v>0</v>
      </c>
      <c r="V164" s="13">
        <f t="shared" si="25"/>
        <v>0</v>
      </c>
      <c r="W164" s="13">
        <f t="shared" si="25"/>
        <v>0</v>
      </c>
      <c r="X164" s="13">
        <f t="shared" si="25"/>
        <v>1</v>
      </c>
      <c r="Y164" s="13">
        <f t="shared" si="25"/>
        <v>1</v>
      </c>
      <c r="Z164" s="13">
        <f t="shared" si="25"/>
        <v>0</v>
      </c>
      <c r="AA164" s="13">
        <f t="shared" si="25"/>
        <v>1</v>
      </c>
      <c r="AB164" s="13">
        <f t="shared" si="25"/>
        <v>0</v>
      </c>
      <c r="AC164" s="13">
        <f t="shared" si="25"/>
        <v>1</v>
      </c>
      <c r="AD164" s="13">
        <f t="shared" si="25"/>
        <v>0</v>
      </c>
      <c r="AE164" s="13">
        <f t="shared" si="25"/>
        <v>1</v>
      </c>
      <c r="AF164" s="13">
        <f t="shared" si="25"/>
        <v>1</v>
      </c>
      <c r="AG164" s="13">
        <f t="shared" si="25"/>
        <v>0</v>
      </c>
      <c r="AH164" s="13">
        <f t="shared" si="25"/>
        <v>0</v>
      </c>
      <c r="AI164" s="13">
        <f t="shared" si="25"/>
        <v>0</v>
      </c>
      <c r="AJ164" s="13">
        <f t="shared" si="25"/>
        <v>0</v>
      </c>
      <c r="AK164" s="13">
        <f t="shared" si="10"/>
        <v>20</v>
      </c>
      <c r="AL164" s="5"/>
      <c r="AM164" s="5"/>
    </row>
    <row r="165" spans="1:39" ht="12.75" customHeight="1" x14ac:dyDescent="0.4">
      <c r="A165" s="34"/>
      <c r="B165" s="35"/>
      <c r="C165" s="35"/>
      <c r="D165" s="3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3">
        <f t="shared" si="10"/>
        <v>0</v>
      </c>
      <c r="AL165" s="1"/>
      <c r="AM165" s="1"/>
    </row>
    <row r="166" spans="1:39" ht="12.75" customHeight="1" x14ac:dyDescent="0.4">
      <c r="A166" s="19" t="s">
        <v>37</v>
      </c>
      <c r="B166" s="26" t="s">
        <v>142</v>
      </c>
      <c r="C166" s="56" t="s">
        <v>143</v>
      </c>
      <c r="D166" s="55"/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3">
        <f t="shared" si="10"/>
        <v>0</v>
      </c>
      <c r="AL166" s="31"/>
      <c r="AM166" s="31"/>
    </row>
    <row r="167" spans="1:39" ht="12.75" customHeight="1" x14ac:dyDescent="0.4">
      <c r="A167" s="19"/>
      <c r="B167" s="26"/>
      <c r="C167" s="28" t="s">
        <v>144</v>
      </c>
      <c r="D167" s="37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1</v>
      </c>
      <c r="L167" s="15">
        <v>2</v>
      </c>
      <c r="M167" s="15">
        <v>1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2</v>
      </c>
      <c r="Y167" s="15">
        <v>0</v>
      </c>
      <c r="Z167" s="15">
        <v>0</v>
      </c>
      <c r="AA167" s="15">
        <v>0</v>
      </c>
      <c r="AB167" s="15">
        <v>0</v>
      </c>
      <c r="AC167" s="15">
        <v>1</v>
      </c>
      <c r="AD167" s="15">
        <v>1</v>
      </c>
      <c r="AE167" s="15">
        <v>0</v>
      </c>
      <c r="AF167" s="15">
        <v>0</v>
      </c>
      <c r="AG167" s="15">
        <v>0</v>
      </c>
      <c r="AH167" s="15">
        <v>0</v>
      </c>
      <c r="AI167" s="15">
        <v>1</v>
      </c>
      <c r="AJ167" s="15">
        <v>1</v>
      </c>
      <c r="AK167" s="13">
        <f t="shared" si="10"/>
        <v>11</v>
      </c>
      <c r="AL167" s="5"/>
      <c r="AM167" s="5"/>
    </row>
    <row r="168" spans="1:39" ht="12.75" customHeight="1" x14ac:dyDescent="0.4">
      <c r="A168" s="19"/>
      <c r="B168" s="26"/>
      <c r="C168" s="28" t="s">
        <v>145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1</v>
      </c>
      <c r="V168" s="15">
        <v>0</v>
      </c>
      <c r="W168" s="15">
        <v>0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3">
        <f t="shared" si="10"/>
        <v>2</v>
      </c>
      <c r="AL168" s="5"/>
      <c r="AM168" s="5"/>
    </row>
    <row r="169" spans="1:39" ht="12.75" customHeight="1" x14ac:dyDescent="0.4">
      <c r="A169" s="19"/>
      <c r="B169" s="26"/>
      <c r="C169" s="28" t="s">
        <v>146</v>
      </c>
      <c r="D169" s="37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1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3">
        <f t="shared" si="10"/>
        <v>1</v>
      </c>
      <c r="AL169" s="5"/>
      <c r="AM169" s="5"/>
    </row>
    <row r="170" spans="1:39" ht="12.75" customHeight="1" x14ac:dyDescent="0.4">
      <c r="A170" s="19" t="s">
        <v>39</v>
      </c>
      <c r="B170" s="27"/>
      <c r="C170" s="28" t="s">
        <v>147</v>
      </c>
      <c r="D170" s="29"/>
      <c r="E170" s="15">
        <v>0</v>
      </c>
      <c r="F170" s="15">
        <v>0</v>
      </c>
      <c r="G170" s="15">
        <v>0</v>
      </c>
      <c r="H170" s="15">
        <v>1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3">
        <f t="shared" si="10"/>
        <v>1</v>
      </c>
      <c r="AL170" s="5"/>
      <c r="AM170" s="5"/>
    </row>
    <row r="171" spans="1:39" ht="12.75" customHeight="1" x14ac:dyDescent="0.4">
      <c r="A171" s="14"/>
      <c r="B171" s="27"/>
      <c r="C171" s="28" t="s">
        <v>148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1</v>
      </c>
      <c r="U171" s="15">
        <v>0</v>
      </c>
      <c r="V171" s="15">
        <v>0</v>
      </c>
      <c r="W171" s="15">
        <v>0</v>
      </c>
      <c r="X171" s="15">
        <v>1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3">
        <f t="shared" si="10"/>
        <v>3</v>
      </c>
      <c r="AL171" s="5"/>
      <c r="AM171" s="5"/>
    </row>
    <row r="172" spans="1:39" ht="12.75" customHeight="1" x14ac:dyDescent="0.4">
      <c r="A172" s="14"/>
      <c r="B172" s="27"/>
      <c r="C172" s="28" t="s">
        <v>149</v>
      </c>
      <c r="D172" s="29"/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1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3">
        <f t="shared" si="10"/>
        <v>1</v>
      </c>
      <c r="AL172" s="5"/>
      <c r="AM172" s="5"/>
    </row>
    <row r="173" spans="1:39" ht="12.75" customHeight="1" x14ac:dyDescent="0.4">
      <c r="A173" s="15" t="s">
        <v>15</v>
      </c>
      <c r="B173" s="53" t="s">
        <v>46</v>
      </c>
      <c r="C173" s="54"/>
      <c r="D173" s="55"/>
      <c r="E173" s="13">
        <f t="shared" ref="E173:AJ173" si="26">SUM(E166:E172)</f>
        <v>0</v>
      </c>
      <c r="F173" s="13">
        <f t="shared" si="26"/>
        <v>0</v>
      </c>
      <c r="G173" s="13">
        <f t="shared" si="26"/>
        <v>0</v>
      </c>
      <c r="H173" s="13">
        <f t="shared" si="26"/>
        <v>1</v>
      </c>
      <c r="I173" s="13">
        <f t="shared" si="26"/>
        <v>0</v>
      </c>
      <c r="J173" s="13">
        <f t="shared" si="26"/>
        <v>0</v>
      </c>
      <c r="K173" s="13">
        <f t="shared" si="26"/>
        <v>1</v>
      </c>
      <c r="L173" s="13">
        <f t="shared" si="26"/>
        <v>2</v>
      </c>
      <c r="M173" s="13">
        <f t="shared" si="26"/>
        <v>1</v>
      </c>
      <c r="N173" s="13">
        <f t="shared" si="26"/>
        <v>1</v>
      </c>
      <c r="O173" s="13">
        <f t="shared" si="26"/>
        <v>0</v>
      </c>
      <c r="P173" s="13">
        <f t="shared" si="26"/>
        <v>0</v>
      </c>
      <c r="Q173" s="13">
        <f t="shared" si="26"/>
        <v>0</v>
      </c>
      <c r="R173" s="13">
        <f t="shared" si="26"/>
        <v>0</v>
      </c>
      <c r="S173" s="13">
        <f t="shared" si="26"/>
        <v>0</v>
      </c>
      <c r="T173" s="13">
        <f t="shared" si="26"/>
        <v>2</v>
      </c>
      <c r="U173" s="13">
        <f t="shared" si="26"/>
        <v>1</v>
      </c>
      <c r="V173" s="13">
        <f t="shared" si="26"/>
        <v>0</v>
      </c>
      <c r="W173" s="13">
        <f t="shared" si="26"/>
        <v>0</v>
      </c>
      <c r="X173" s="13">
        <f t="shared" si="26"/>
        <v>4</v>
      </c>
      <c r="Y173" s="13">
        <f t="shared" si="26"/>
        <v>0</v>
      </c>
      <c r="Z173" s="13">
        <f t="shared" si="26"/>
        <v>1</v>
      </c>
      <c r="AA173" s="13">
        <f t="shared" si="26"/>
        <v>0</v>
      </c>
      <c r="AB173" s="13">
        <f t="shared" si="26"/>
        <v>0</v>
      </c>
      <c r="AC173" s="13">
        <f t="shared" si="26"/>
        <v>2</v>
      </c>
      <c r="AD173" s="13">
        <f t="shared" si="26"/>
        <v>1</v>
      </c>
      <c r="AE173" s="13">
        <f t="shared" si="26"/>
        <v>0</v>
      </c>
      <c r="AF173" s="13">
        <f t="shared" si="26"/>
        <v>0</v>
      </c>
      <c r="AG173" s="13">
        <f t="shared" si="26"/>
        <v>0</v>
      </c>
      <c r="AH173" s="13">
        <f t="shared" si="26"/>
        <v>0</v>
      </c>
      <c r="AI173" s="13">
        <f t="shared" si="26"/>
        <v>1</v>
      </c>
      <c r="AJ173" s="13">
        <f t="shared" si="26"/>
        <v>1</v>
      </c>
      <c r="AK173" s="13">
        <f t="shared" si="10"/>
        <v>19</v>
      </c>
      <c r="AL173" s="5"/>
      <c r="AM173" s="5"/>
    </row>
    <row r="174" spans="1:39" ht="12.75" customHeight="1" x14ac:dyDescent="0.4">
      <c r="A174" s="34"/>
      <c r="B174" s="35"/>
      <c r="C174" s="35"/>
      <c r="D174" s="3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3">
        <f t="shared" si="10"/>
        <v>0</v>
      </c>
      <c r="AL174" s="5"/>
      <c r="AM174" s="5"/>
    </row>
    <row r="175" spans="1:39" ht="12.75" customHeight="1" x14ac:dyDescent="0.4">
      <c r="A175" s="19" t="s">
        <v>37</v>
      </c>
      <c r="B175" s="26" t="s">
        <v>150</v>
      </c>
      <c r="C175" s="56" t="s">
        <v>151</v>
      </c>
      <c r="D175" s="55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1</v>
      </c>
      <c r="AE175" s="15">
        <v>0</v>
      </c>
      <c r="AF175" s="15">
        <v>0</v>
      </c>
      <c r="AG175" s="15">
        <v>0</v>
      </c>
      <c r="AH175" s="15">
        <v>0</v>
      </c>
      <c r="AI175" s="15">
        <v>1</v>
      </c>
      <c r="AJ175" s="15">
        <v>0</v>
      </c>
      <c r="AK175" s="13">
        <f t="shared" si="10"/>
        <v>4</v>
      </c>
      <c r="AL175" s="5"/>
      <c r="AM175" s="5"/>
    </row>
    <row r="176" spans="1:39" ht="12.75" customHeight="1" x14ac:dyDescent="0.4">
      <c r="A176" s="19" t="s">
        <v>39</v>
      </c>
      <c r="B176" s="27"/>
      <c r="C176" s="28" t="s">
        <v>152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1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1</v>
      </c>
      <c r="AI176" s="15">
        <v>0</v>
      </c>
      <c r="AJ176" s="15">
        <v>0</v>
      </c>
      <c r="AK176" s="13">
        <f t="shared" si="10"/>
        <v>3</v>
      </c>
      <c r="AL176" s="1"/>
      <c r="AM176" s="1"/>
    </row>
    <row r="177" spans="1:39" ht="12.75" customHeight="1" x14ac:dyDescent="0.4">
      <c r="A177" s="14"/>
      <c r="B177" s="27"/>
      <c r="C177" s="28" t="s">
        <v>153</v>
      </c>
      <c r="D177" s="29"/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2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  <c r="AE177" s="15">
        <v>0</v>
      </c>
      <c r="AF177" s="15">
        <v>1</v>
      </c>
      <c r="AG177" s="15">
        <v>1</v>
      </c>
      <c r="AH177" s="15">
        <v>0</v>
      </c>
      <c r="AI177" s="15">
        <v>2</v>
      </c>
      <c r="AJ177" s="15">
        <v>2</v>
      </c>
      <c r="AK177" s="13">
        <f t="shared" si="10"/>
        <v>12</v>
      </c>
    </row>
    <row r="178" spans="1:39" ht="12.75" customHeight="1" x14ac:dyDescent="0.4">
      <c r="A178" s="14"/>
      <c r="B178" s="27"/>
      <c r="C178" s="28" t="s">
        <v>154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3">
        <f t="shared" si="10"/>
        <v>0</v>
      </c>
      <c r="AL178" s="5"/>
      <c r="AM178" s="5"/>
    </row>
    <row r="179" spans="1:39" ht="12.75" customHeight="1" x14ac:dyDescent="0.4">
      <c r="A179" s="14"/>
      <c r="B179" s="27"/>
      <c r="C179" s="28" t="s">
        <v>155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3">
        <f t="shared" si="10"/>
        <v>0</v>
      </c>
      <c r="AL179" s="5"/>
      <c r="AM179" s="5"/>
    </row>
    <row r="180" spans="1:39" ht="12.75" customHeight="1" x14ac:dyDescent="0.4">
      <c r="A180" s="14"/>
      <c r="B180" s="27"/>
      <c r="C180" s="28" t="s">
        <v>156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3">
        <f t="shared" si="10"/>
        <v>0</v>
      </c>
      <c r="AL180" s="5"/>
      <c r="AM180" s="5"/>
    </row>
    <row r="181" spans="1:39" ht="12.75" customHeight="1" x14ac:dyDescent="0.4">
      <c r="A181" s="14"/>
      <c r="B181" s="27"/>
      <c r="C181" s="28" t="s">
        <v>157</v>
      </c>
      <c r="D181" s="29"/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1</v>
      </c>
      <c r="M181" s="15">
        <v>0</v>
      </c>
      <c r="N181" s="15">
        <v>0</v>
      </c>
      <c r="O181" s="15">
        <v>1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1</v>
      </c>
      <c r="AG181" s="15">
        <v>0</v>
      </c>
      <c r="AH181" s="15">
        <v>0</v>
      </c>
      <c r="AI181" s="15">
        <v>0</v>
      </c>
      <c r="AJ181" s="15">
        <v>0</v>
      </c>
      <c r="AK181" s="13">
        <f t="shared" si="10"/>
        <v>3</v>
      </c>
      <c r="AL181" s="5"/>
      <c r="AM181" s="5"/>
    </row>
    <row r="182" spans="1:39" ht="12.75" customHeight="1" x14ac:dyDescent="0.4">
      <c r="A182" s="15" t="s">
        <v>15</v>
      </c>
      <c r="B182" s="53" t="s">
        <v>46</v>
      </c>
      <c r="C182" s="54"/>
      <c r="D182" s="55"/>
      <c r="E182" s="13">
        <f t="shared" ref="E182:AJ182" si="27">SUM(E175:E181)</f>
        <v>0</v>
      </c>
      <c r="F182" s="13">
        <f t="shared" si="27"/>
        <v>0</v>
      </c>
      <c r="G182" s="13">
        <f t="shared" si="27"/>
        <v>0</v>
      </c>
      <c r="H182" s="13">
        <f t="shared" si="27"/>
        <v>0</v>
      </c>
      <c r="I182" s="13">
        <f t="shared" si="27"/>
        <v>0</v>
      </c>
      <c r="J182" s="13">
        <f t="shared" si="27"/>
        <v>1</v>
      </c>
      <c r="K182" s="13">
        <f t="shared" si="27"/>
        <v>0</v>
      </c>
      <c r="L182" s="13">
        <f t="shared" si="27"/>
        <v>2</v>
      </c>
      <c r="M182" s="13">
        <f t="shared" si="27"/>
        <v>0</v>
      </c>
      <c r="N182" s="13">
        <f t="shared" si="27"/>
        <v>0</v>
      </c>
      <c r="O182" s="13">
        <f t="shared" si="27"/>
        <v>1</v>
      </c>
      <c r="P182" s="13">
        <f t="shared" si="27"/>
        <v>2</v>
      </c>
      <c r="Q182" s="13">
        <f t="shared" si="27"/>
        <v>0</v>
      </c>
      <c r="R182" s="13">
        <f t="shared" si="27"/>
        <v>0</v>
      </c>
      <c r="S182" s="13">
        <f t="shared" si="27"/>
        <v>1</v>
      </c>
      <c r="T182" s="13">
        <f t="shared" si="27"/>
        <v>1</v>
      </c>
      <c r="U182" s="13">
        <f t="shared" si="27"/>
        <v>2</v>
      </c>
      <c r="V182" s="13">
        <f t="shared" si="27"/>
        <v>0</v>
      </c>
      <c r="W182" s="13">
        <f t="shared" si="27"/>
        <v>0</v>
      </c>
      <c r="X182" s="13">
        <f t="shared" si="27"/>
        <v>0</v>
      </c>
      <c r="Y182" s="13">
        <f t="shared" si="27"/>
        <v>0</v>
      </c>
      <c r="Z182" s="13">
        <f t="shared" si="27"/>
        <v>0</v>
      </c>
      <c r="AA182" s="13">
        <f t="shared" si="27"/>
        <v>1</v>
      </c>
      <c r="AB182" s="13">
        <f t="shared" si="27"/>
        <v>0</v>
      </c>
      <c r="AC182" s="13">
        <f t="shared" si="27"/>
        <v>1</v>
      </c>
      <c r="AD182" s="13">
        <f t="shared" si="27"/>
        <v>1</v>
      </c>
      <c r="AE182" s="13">
        <f t="shared" si="27"/>
        <v>0</v>
      </c>
      <c r="AF182" s="13">
        <f t="shared" si="27"/>
        <v>2</v>
      </c>
      <c r="AG182" s="13">
        <f t="shared" si="27"/>
        <v>1</v>
      </c>
      <c r="AH182" s="13">
        <f t="shared" si="27"/>
        <v>1</v>
      </c>
      <c r="AI182" s="13">
        <f t="shared" si="27"/>
        <v>3</v>
      </c>
      <c r="AJ182" s="13">
        <f t="shared" si="27"/>
        <v>2</v>
      </c>
      <c r="AK182" s="13">
        <f t="shared" si="10"/>
        <v>22</v>
      </c>
      <c r="AL182" s="5"/>
      <c r="AM182" s="5"/>
    </row>
    <row r="183" spans="1:39" ht="12.75" customHeight="1" x14ac:dyDescent="0.4">
      <c r="A183" s="34"/>
      <c r="B183" s="35"/>
      <c r="C183" s="35"/>
      <c r="D183" s="35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13">
        <f t="shared" si="10"/>
        <v>0</v>
      </c>
      <c r="AL183" s="5"/>
      <c r="AM183" s="5"/>
    </row>
    <row r="184" spans="1:39" ht="12.75" customHeight="1" x14ac:dyDescent="0.4">
      <c r="A184" s="19" t="s">
        <v>37</v>
      </c>
      <c r="B184" s="26" t="s">
        <v>158</v>
      </c>
      <c r="C184" s="56" t="s">
        <v>159</v>
      </c>
      <c r="D184" s="55"/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1</v>
      </c>
      <c r="N184" s="15">
        <v>0</v>
      </c>
      <c r="O184" s="15">
        <v>1</v>
      </c>
      <c r="P184" s="15">
        <v>0</v>
      </c>
      <c r="Q184" s="15">
        <v>1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2</v>
      </c>
      <c r="Y184" s="15">
        <v>0</v>
      </c>
      <c r="Z184" s="15">
        <v>0</v>
      </c>
      <c r="AA184" s="15">
        <v>0</v>
      </c>
      <c r="AB184" s="15">
        <v>1</v>
      </c>
      <c r="AC184" s="15">
        <v>0</v>
      </c>
      <c r="AD184" s="15">
        <v>0</v>
      </c>
      <c r="AE184" s="15">
        <v>0</v>
      </c>
      <c r="AF184" s="15">
        <v>2</v>
      </c>
      <c r="AG184" s="15">
        <v>0</v>
      </c>
      <c r="AH184" s="15">
        <v>0</v>
      </c>
      <c r="AI184" s="15">
        <v>0</v>
      </c>
      <c r="AJ184" s="15">
        <v>0</v>
      </c>
      <c r="AK184" s="13">
        <f t="shared" si="10"/>
        <v>8</v>
      </c>
      <c r="AL184" s="5"/>
      <c r="AM184" s="5"/>
    </row>
    <row r="185" spans="1:39" ht="12.75" customHeight="1" x14ac:dyDescent="0.4">
      <c r="A185" s="19" t="s">
        <v>39</v>
      </c>
      <c r="B185" s="27"/>
      <c r="C185" s="28" t="s">
        <v>160</v>
      </c>
      <c r="D185" s="29"/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2</v>
      </c>
      <c r="Q185" s="15">
        <v>2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1</v>
      </c>
      <c r="Z185" s="15">
        <v>0</v>
      </c>
      <c r="AA185" s="15">
        <v>1</v>
      </c>
      <c r="AB185" s="15">
        <v>0</v>
      </c>
      <c r="AC185" s="15">
        <v>0</v>
      </c>
      <c r="AD185" s="15">
        <v>0</v>
      </c>
      <c r="AE185" s="15">
        <v>1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3">
        <f t="shared" si="10"/>
        <v>7</v>
      </c>
      <c r="AL185" s="5"/>
      <c r="AM185" s="5"/>
    </row>
    <row r="186" spans="1:39" ht="12.75" customHeight="1" x14ac:dyDescent="0.4">
      <c r="A186" s="15" t="s">
        <v>15</v>
      </c>
      <c r="B186" s="53" t="s">
        <v>46</v>
      </c>
      <c r="C186" s="54"/>
      <c r="D186" s="55"/>
      <c r="E186" s="13">
        <f t="shared" ref="E186:AJ186" si="28">SUM(E184:E185)</f>
        <v>0</v>
      </c>
      <c r="F186" s="13">
        <f t="shared" si="28"/>
        <v>0</v>
      </c>
      <c r="G186" s="13">
        <f t="shared" si="28"/>
        <v>0</v>
      </c>
      <c r="H186" s="13">
        <f t="shared" si="28"/>
        <v>0</v>
      </c>
      <c r="I186" s="13">
        <f t="shared" si="28"/>
        <v>0</v>
      </c>
      <c r="J186" s="13">
        <f t="shared" si="28"/>
        <v>0</v>
      </c>
      <c r="K186" s="13">
        <f t="shared" si="28"/>
        <v>0</v>
      </c>
      <c r="L186" s="13">
        <f t="shared" si="28"/>
        <v>0</v>
      </c>
      <c r="M186" s="13">
        <f t="shared" si="28"/>
        <v>1</v>
      </c>
      <c r="N186" s="13">
        <f t="shared" si="28"/>
        <v>0</v>
      </c>
      <c r="O186" s="13">
        <f t="shared" si="28"/>
        <v>1</v>
      </c>
      <c r="P186" s="13">
        <f t="shared" si="28"/>
        <v>2</v>
      </c>
      <c r="Q186" s="13">
        <f t="shared" si="28"/>
        <v>3</v>
      </c>
      <c r="R186" s="13">
        <f t="shared" si="28"/>
        <v>0</v>
      </c>
      <c r="S186" s="13">
        <f t="shared" si="28"/>
        <v>0</v>
      </c>
      <c r="T186" s="13">
        <f t="shared" si="28"/>
        <v>0</v>
      </c>
      <c r="U186" s="13">
        <f t="shared" si="28"/>
        <v>0</v>
      </c>
      <c r="V186" s="13">
        <f t="shared" si="28"/>
        <v>0</v>
      </c>
      <c r="W186" s="13">
        <f t="shared" si="28"/>
        <v>0</v>
      </c>
      <c r="X186" s="13">
        <f t="shared" si="28"/>
        <v>2</v>
      </c>
      <c r="Y186" s="13">
        <f t="shared" si="28"/>
        <v>1</v>
      </c>
      <c r="Z186" s="13">
        <f t="shared" si="28"/>
        <v>0</v>
      </c>
      <c r="AA186" s="13">
        <f t="shared" si="28"/>
        <v>1</v>
      </c>
      <c r="AB186" s="13">
        <f t="shared" si="28"/>
        <v>1</v>
      </c>
      <c r="AC186" s="13">
        <f t="shared" si="28"/>
        <v>0</v>
      </c>
      <c r="AD186" s="13">
        <f t="shared" si="28"/>
        <v>0</v>
      </c>
      <c r="AE186" s="13">
        <f t="shared" si="28"/>
        <v>1</v>
      </c>
      <c r="AF186" s="13">
        <f t="shared" si="28"/>
        <v>2</v>
      </c>
      <c r="AG186" s="13">
        <f t="shared" si="28"/>
        <v>0</v>
      </c>
      <c r="AH186" s="13">
        <f t="shared" si="28"/>
        <v>0</v>
      </c>
      <c r="AI186" s="13">
        <f t="shared" si="28"/>
        <v>0</v>
      </c>
      <c r="AJ186" s="13">
        <f t="shared" si="28"/>
        <v>0</v>
      </c>
      <c r="AK186" s="13">
        <f t="shared" si="10"/>
        <v>15</v>
      </c>
      <c r="AL186" s="5"/>
      <c r="AM186" s="5"/>
    </row>
    <row r="187" spans="1:39" ht="12.75" customHeight="1" x14ac:dyDescent="0.4">
      <c r="A187" s="66"/>
      <c r="B187" s="54"/>
      <c r="C187" s="54"/>
      <c r="D187" s="5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>
        <f t="shared" si="10"/>
        <v>0</v>
      </c>
      <c r="AL187" s="1"/>
      <c r="AM187" s="1"/>
    </row>
    <row r="188" spans="1:39" ht="12.75" customHeight="1" x14ac:dyDescent="0.4">
      <c r="A188" s="76"/>
      <c r="B188" s="75"/>
      <c r="C188" s="75"/>
      <c r="D188" s="65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13">
        <f t="shared" si="10"/>
        <v>0</v>
      </c>
    </row>
    <row r="189" spans="1:39" ht="12.75" customHeight="1" x14ac:dyDescent="0.4">
      <c r="A189" s="25" t="s">
        <v>161</v>
      </c>
      <c r="B189" s="57" t="s">
        <v>162</v>
      </c>
      <c r="C189" s="54"/>
      <c r="D189" s="55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13">
        <f t="shared" si="10"/>
        <v>0</v>
      </c>
      <c r="AL189" s="5"/>
      <c r="AM189" s="5"/>
    </row>
    <row r="190" spans="1:39" ht="12.75" customHeight="1" x14ac:dyDescent="0.4">
      <c r="A190" s="25"/>
      <c r="B190" s="39" t="s">
        <v>163</v>
      </c>
      <c r="C190" s="79" t="s">
        <v>164</v>
      </c>
      <c r="D190" s="55"/>
      <c r="E190" s="15">
        <f t="shared" ref="E190:AJ190" si="29">E186+E182+E173+E164+E159+E150+E141+E132+E128+E119+E110+E101+E92+E88+E79+E70+E61+E52</f>
        <v>212</v>
      </c>
      <c r="F190" s="15">
        <f t="shared" si="29"/>
        <v>204</v>
      </c>
      <c r="G190" s="15">
        <f t="shared" si="29"/>
        <v>206</v>
      </c>
      <c r="H190" s="15">
        <f t="shared" si="29"/>
        <v>236</v>
      </c>
      <c r="I190" s="15">
        <f t="shared" si="29"/>
        <v>217</v>
      </c>
      <c r="J190" s="15">
        <f t="shared" si="29"/>
        <v>218</v>
      </c>
      <c r="K190" s="15">
        <f t="shared" si="29"/>
        <v>190</v>
      </c>
      <c r="L190" s="15">
        <f t="shared" si="29"/>
        <v>200</v>
      </c>
      <c r="M190" s="15">
        <f t="shared" si="29"/>
        <v>232</v>
      </c>
      <c r="N190" s="15">
        <f t="shared" si="29"/>
        <v>231</v>
      </c>
      <c r="O190" s="15">
        <f t="shared" si="29"/>
        <v>164</v>
      </c>
      <c r="P190" s="15">
        <f t="shared" si="29"/>
        <v>206</v>
      </c>
      <c r="Q190" s="15">
        <f t="shared" si="29"/>
        <v>186</v>
      </c>
      <c r="R190" s="15">
        <f t="shared" si="29"/>
        <v>206</v>
      </c>
      <c r="S190" s="15">
        <f t="shared" si="29"/>
        <v>220</v>
      </c>
      <c r="T190" s="15">
        <f t="shared" si="29"/>
        <v>205</v>
      </c>
      <c r="U190" s="15">
        <f t="shared" si="29"/>
        <v>147</v>
      </c>
      <c r="V190" s="15">
        <f t="shared" si="29"/>
        <v>138</v>
      </c>
      <c r="W190" s="15">
        <f t="shared" si="29"/>
        <v>168</v>
      </c>
      <c r="X190" s="15">
        <f t="shared" si="29"/>
        <v>227</v>
      </c>
      <c r="Y190" s="15">
        <f t="shared" si="29"/>
        <v>183</v>
      </c>
      <c r="Z190" s="15">
        <f t="shared" si="29"/>
        <v>205</v>
      </c>
      <c r="AA190" s="15">
        <f t="shared" si="29"/>
        <v>207</v>
      </c>
      <c r="AB190" s="15">
        <f t="shared" si="29"/>
        <v>229</v>
      </c>
      <c r="AC190" s="15">
        <f t="shared" si="29"/>
        <v>175</v>
      </c>
      <c r="AD190" s="15">
        <f t="shared" si="29"/>
        <v>209</v>
      </c>
      <c r="AE190" s="15">
        <f t="shared" si="29"/>
        <v>222</v>
      </c>
      <c r="AF190" s="15">
        <f t="shared" si="29"/>
        <v>196</v>
      </c>
      <c r="AG190" s="15">
        <f t="shared" si="29"/>
        <v>247</v>
      </c>
      <c r="AH190" s="15">
        <f t="shared" si="29"/>
        <v>200</v>
      </c>
      <c r="AI190" s="15">
        <f t="shared" si="29"/>
        <v>194</v>
      </c>
      <c r="AJ190" s="15">
        <f t="shared" si="29"/>
        <v>176</v>
      </c>
      <c r="AK190" s="13">
        <f t="shared" si="10"/>
        <v>6456</v>
      </c>
      <c r="AL190" s="5"/>
      <c r="AM190" s="5"/>
    </row>
    <row r="191" spans="1:39" ht="12.75" customHeight="1" x14ac:dyDescent="0.4">
      <c r="A191" s="21"/>
      <c r="B191" s="39" t="s">
        <v>165</v>
      </c>
      <c r="C191" s="79" t="s">
        <v>166</v>
      </c>
      <c r="D191" s="55"/>
      <c r="E191" s="15">
        <v>16</v>
      </c>
      <c r="F191" s="15">
        <v>6</v>
      </c>
      <c r="G191" s="15">
        <v>4</v>
      </c>
      <c r="H191" s="15">
        <v>4</v>
      </c>
      <c r="I191" s="15">
        <v>8</v>
      </c>
      <c r="J191" s="15">
        <v>10</v>
      </c>
      <c r="K191" s="15">
        <v>10</v>
      </c>
      <c r="L191" s="15">
        <v>21</v>
      </c>
      <c r="M191" s="15">
        <v>11</v>
      </c>
      <c r="N191" s="15">
        <v>11</v>
      </c>
      <c r="O191" s="15">
        <v>14</v>
      </c>
      <c r="P191" s="15">
        <v>12</v>
      </c>
      <c r="Q191" s="15">
        <v>7</v>
      </c>
      <c r="R191" s="15">
        <v>8</v>
      </c>
      <c r="S191" s="15">
        <v>7</v>
      </c>
      <c r="T191" s="15">
        <v>17</v>
      </c>
      <c r="U191" s="15">
        <v>9</v>
      </c>
      <c r="V191" s="15">
        <v>3</v>
      </c>
      <c r="W191" s="15">
        <v>4</v>
      </c>
      <c r="X191" s="15">
        <v>5</v>
      </c>
      <c r="Y191" s="15">
        <v>9</v>
      </c>
      <c r="Z191" s="15">
        <v>13</v>
      </c>
      <c r="AA191" s="15">
        <v>12</v>
      </c>
      <c r="AB191" s="15">
        <v>11</v>
      </c>
      <c r="AC191" s="15">
        <v>3</v>
      </c>
      <c r="AD191" s="15">
        <v>2</v>
      </c>
      <c r="AE191" s="15">
        <v>7</v>
      </c>
      <c r="AF191" s="15">
        <v>11</v>
      </c>
      <c r="AG191" s="15">
        <v>3</v>
      </c>
      <c r="AH191" s="15">
        <v>47</v>
      </c>
      <c r="AI191" s="15">
        <v>12</v>
      </c>
      <c r="AJ191" s="15">
        <v>9</v>
      </c>
      <c r="AK191" s="13">
        <f t="shared" si="10"/>
        <v>326</v>
      </c>
      <c r="AL191" s="5"/>
      <c r="AM191" s="5"/>
    </row>
    <row r="192" spans="1:39" ht="12.75" customHeight="1" x14ac:dyDescent="0.4">
      <c r="A192" s="24"/>
      <c r="B192" s="39" t="s">
        <v>167</v>
      </c>
      <c r="C192" s="79" t="s">
        <v>168</v>
      </c>
      <c r="D192" s="55"/>
      <c r="E192" s="15">
        <f t="shared" ref="E192:AJ192" si="30">E190+E191</f>
        <v>228</v>
      </c>
      <c r="F192" s="15">
        <f t="shared" si="30"/>
        <v>210</v>
      </c>
      <c r="G192" s="15">
        <f t="shared" si="30"/>
        <v>210</v>
      </c>
      <c r="H192" s="15">
        <f t="shared" si="30"/>
        <v>240</v>
      </c>
      <c r="I192" s="15">
        <f t="shared" si="30"/>
        <v>225</v>
      </c>
      <c r="J192" s="15">
        <f t="shared" si="30"/>
        <v>228</v>
      </c>
      <c r="K192" s="15">
        <f t="shared" si="30"/>
        <v>200</v>
      </c>
      <c r="L192" s="15">
        <f t="shared" si="30"/>
        <v>221</v>
      </c>
      <c r="M192" s="15">
        <f t="shared" si="30"/>
        <v>243</v>
      </c>
      <c r="N192" s="15">
        <f t="shared" si="30"/>
        <v>242</v>
      </c>
      <c r="O192" s="15">
        <f t="shared" si="30"/>
        <v>178</v>
      </c>
      <c r="P192" s="15">
        <f t="shared" si="30"/>
        <v>218</v>
      </c>
      <c r="Q192" s="15">
        <f t="shared" si="30"/>
        <v>193</v>
      </c>
      <c r="R192" s="15">
        <f t="shared" si="30"/>
        <v>214</v>
      </c>
      <c r="S192" s="15">
        <f t="shared" si="30"/>
        <v>227</v>
      </c>
      <c r="T192" s="15">
        <f t="shared" si="30"/>
        <v>222</v>
      </c>
      <c r="U192" s="15">
        <f t="shared" si="30"/>
        <v>156</v>
      </c>
      <c r="V192" s="15">
        <f t="shared" si="30"/>
        <v>141</v>
      </c>
      <c r="W192" s="15">
        <f t="shared" si="30"/>
        <v>172</v>
      </c>
      <c r="X192" s="15">
        <f t="shared" si="30"/>
        <v>232</v>
      </c>
      <c r="Y192" s="15">
        <f t="shared" si="30"/>
        <v>192</v>
      </c>
      <c r="Z192" s="15">
        <f t="shared" si="30"/>
        <v>218</v>
      </c>
      <c r="AA192" s="15">
        <f t="shared" si="30"/>
        <v>219</v>
      </c>
      <c r="AB192" s="15">
        <f t="shared" si="30"/>
        <v>240</v>
      </c>
      <c r="AC192" s="15">
        <f t="shared" si="30"/>
        <v>178</v>
      </c>
      <c r="AD192" s="15">
        <f t="shared" si="30"/>
        <v>211</v>
      </c>
      <c r="AE192" s="15">
        <f t="shared" si="30"/>
        <v>229</v>
      </c>
      <c r="AF192" s="15">
        <f t="shared" si="30"/>
        <v>207</v>
      </c>
      <c r="AG192" s="15">
        <f t="shared" si="30"/>
        <v>250</v>
      </c>
      <c r="AH192" s="15">
        <f t="shared" si="30"/>
        <v>247</v>
      </c>
      <c r="AI192" s="15">
        <f t="shared" si="30"/>
        <v>206</v>
      </c>
      <c r="AJ192" s="15">
        <f t="shared" si="30"/>
        <v>185</v>
      </c>
      <c r="AK192" s="13">
        <f t="shared" si="10"/>
        <v>6782</v>
      </c>
      <c r="AL192" s="5"/>
      <c r="AM192" s="5"/>
    </row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mergeCells count="72">
    <mergeCell ref="C91:D91"/>
    <mergeCell ref="B92:D92"/>
    <mergeCell ref="C94:D94"/>
    <mergeCell ref="B101:D101"/>
    <mergeCell ref="C72:D72"/>
    <mergeCell ref="B79:D79"/>
    <mergeCell ref="C81:D81"/>
    <mergeCell ref="B88:D88"/>
    <mergeCell ref="C90:D90"/>
    <mergeCell ref="B52:D52"/>
    <mergeCell ref="C54:D54"/>
    <mergeCell ref="B61:D61"/>
    <mergeCell ref="C63:D63"/>
    <mergeCell ref="B70:D70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B25:B27"/>
    <mergeCell ref="C25:C27"/>
    <mergeCell ref="B28:B30"/>
    <mergeCell ref="A37:D37"/>
    <mergeCell ref="E37:AD37"/>
    <mergeCell ref="A17:D17"/>
    <mergeCell ref="B18:D18"/>
    <mergeCell ref="B19:B21"/>
    <mergeCell ref="C19:C21"/>
    <mergeCell ref="B22:B24"/>
    <mergeCell ref="C22:C24"/>
    <mergeCell ref="B12:D12"/>
    <mergeCell ref="E12:AJ12"/>
    <mergeCell ref="AK12:AK13"/>
    <mergeCell ref="B13:D13"/>
    <mergeCell ref="B14:C16"/>
    <mergeCell ref="C192:D192"/>
    <mergeCell ref="C161:D161"/>
    <mergeCell ref="B164:D164"/>
    <mergeCell ref="C166:D166"/>
    <mergeCell ref="B173:D173"/>
    <mergeCell ref="C175:D175"/>
    <mergeCell ref="B182:D182"/>
    <mergeCell ref="C184:D184"/>
    <mergeCell ref="A187:D187"/>
    <mergeCell ref="A188:D188"/>
    <mergeCell ref="B189:D189"/>
    <mergeCell ref="C190:D190"/>
    <mergeCell ref="C191:D191"/>
    <mergeCell ref="C143:D143"/>
    <mergeCell ref="B150:D150"/>
    <mergeCell ref="C152:D152"/>
    <mergeCell ref="B159:D159"/>
    <mergeCell ref="B186:D186"/>
    <mergeCell ref="B128:D128"/>
    <mergeCell ref="C130:D130"/>
    <mergeCell ref="B132:D132"/>
    <mergeCell ref="C134:D134"/>
    <mergeCell ref="B141:D141"/>
    <mergeCell ref="C103:D103"/>
    <mergeCell ref="B110:D110"/>
    <mergeCell ref="C112:D112"/>
    <mergeCell ref="B119:D119"/>
    <mergeCell ref="C121:D121"/>
  </mergeCells>
  <conditionalFormatting sqref="E13:AJ13">
    <cfRule type="expression" dxfId="55" priority="30">
      <formula>E30=E192</formula>
    </cfRule>
  </conditionalFormatting>
  <conditionalFormatting sqref="E14:AJ15">
    <cfRule type="containsBlanks" dxfId="54" priority="2">
      <formula>LEN(TRIM(E14))=0</formula>
    </cfRule>
  </conditionalFormatting>
  <conditionalFormatting sqref="E19:AJ20">
    <cfRule type="containsBlanks" dxfId="53" priority="3">
      <formula>LEN(TRIM(E19))=0</formula>
    </cfRule>
  </conditionalFormatting>
  <conditionalFormatting sqref="E22:AJ23 E25:AJ26 E33:AJ33 E35:AJ35 E39:AJ40">
    <cfRule type="containsBlanks" dxfId="52" priority="4">
      <formula>LEN(TRIM(E22))=0</formula>
    </cfRule>
  </conditionalFormatting>
  <conditionalFormatting sqref="E30:AJ30">
    <cfRule type="expression" dxfId="51" priority="5">
      <formula>E30&lt;&gt;E47</formula>
    </cfRule>
    <cfRule type="expression" dxfId="50" priority="6">
      <formula>E30&lt;&gt;E34</formula>
    </cfRule>
  </conditionalFormatting>
  <conditionalFormatting sqref="E34:AJ34">
    <cfRule type="expression" dxfId="49" priority="7">
      <formula>E30&lt;&gt;E34</formula>
    </cfRule>
    <cfRule type="expression" dxfId="48" priority="8">
      <formula>E30=E34</formula>
    </cfRule>
  </conditionalFormatting>
  <conditionalFormatting sqref="E45:AJ52 E54:AJ61">
    <cfRule type="containsBlanks" dxfId="47" priority="10">
      <formula>LEN(TRIM(E45))=0</formula>
    </cfRule>
  </conditionalFormatting>
  <conditionalFormatting sqref="E63:AJ70">
    <cfRule type="containsBlanks" dxfId="46" priority="11">
      <formula>LEN(TRIM(E63))=0</formula>
    </cfRule>
  </conditionalFormatting>
  <conditionalFormatting sqref="E72:AJ79">
    <cfRule type="containsBlanks" dxfId="45" priority="12">
      <formula>LEN(TRIM(E72))=0</formula>
    </cfRule>
  </conditionalFormatting>
  <conditionalFormatting sqref="E81:AJ88">
    <cfRule type="containsBlanks" dxfId="44" priority="13">
      <formula>LEN(TRIM(E81))=0</formula>
    </cfRule>
  </conditionalFormatting>
  <conditionalFormatting sqref="E90:AJ91">
    <cfRule type="containsBlanks" dxfId="43" priority="14">
      <formula>LEN(TRIM(E90))=0</formula>
    </cfRule>
  </conditionalFormatting>
  <conditionalFormatting sqref="E94:AJ101">
    <cfRule type="containsBlanks" dxfId="42" priority="15">
      <formula>LEN(TRIM(E94))=0</formula>
    </cfRule>
  </conditionalFormatting>
  <conditionalFormatting sqref="E103:AJ110">
    <cfRule type="containsBlanks" dxfId="41" priority="16">
      <formula>LEN(TRIM(E103))=0</formula>
    </cfRule>
  </conditionalFormatting>
  <conditionalFormatting sqref="E112:AJ119">
    <cfRule type="containsBlanks" dxfId="40" priority="17">
      <formula>LEN(TRIM(E112))=0</formula>
    </cfRule>
  </conditionalFormatting>
  <conditionalFormatting sqref="E130:AJ132">
    <cfRule type="containsBlanks" dxfId="39" priority="18">
      <formula>LEN(TRIM(E130))=0</formula>
    </cfRule>
  </conditionalFormatting>
  <conditionalFormatting sqref="E134:AJ141">
    <cfRule type="containsBlanks" dxfId="38" priority="19">
      <formula>LEN(TRIM(E134))=0</formula>
    </cfRule>
  </conditionalFormatting>
  <conditionalFormatting sqref="E143:AJ150">
    <cfRule type="containsBlanks" dxfId="37" priority="20">
      <formula>LEN(TRIM(E143))=0</formula>
    </cfRule>
  </conditionalFormatting>
  <conditionalFormatting sqref="E152:AJ159">
    <cfRule type="containsBlanks" dxfId="36" priority="21">
      <formula>LEN(TRIM(E152))=0</formula>
    </cfRule>
  </conditionalFormatting>
  <conditionalFormatting sqref="E161:AJ163">
    <cfRule type="containsBlanks" dxfId="35" priority="22">
      <formula>LEN(TRIM(E161))=0</formula>
    </cfRule>
  </conditionalFormatting>
  <conditionalFormatting sqref="E166:AJ173">
    <cfRule type="containsBlanks" dxfId="34" priority="23">
      <formula>LEN(TRIM(E166))=0</formula>
    </cfRule>
  </conditionalFormatting>
  <conditionalFormatting sqref="E175:AJ182">
    <cfRule type="containsBlanks" dxfId="33" priority="24">
      <formula>LEN(TRIM(E175))=0</formula>
    </cfRule>
  </conditionalFormatting>
  <conditionalFormatting sqref="E184:AJ186">
    <cfRule type="containsBlanks" dxfId="32" priority="25">
      <formula>LEN(TRIM(E184))=0</formula>
    </cfRule>
  </conditionalFormatting>
  <conditionalFormatting sqref="E190:AJ192">
    <cfRule type="containsBlanks" dxfId="31" priority="26">
      <formula>LEN(TRIM(E190))=0</formula>
    </cfRule>
  </conditionalFormatting>
  <conditionalFormatting sqref="AI112:AJ118 E121:AJ128">
    <cfRule type="containsBlanks" dxfId="30" priority="29">
      <formula>LEN(TRIM(E121))=0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DPRD KAB</vt:lpstr>
      <vt:lpstr>BADEAN</vt:lpstr>
      <vt:lpstr>BLIMBINGSARI</vt:lpstr>
      <vt:lpstr>BOMO</vt:lpstr>
      <vt:lpstr>GINTANGAN</vt:lpstr>
      <vt:lpstr>KALIGUNG</vt:lpstr>
      <vt:lpstr>KAOTAN</vt:lpstr>
      <vt:lpstr>KARANGREJO</vt:lpstr>
      <vt:lpstr>PATOMAN</vt:lpstr>
      <vt:lpstr>SUKOJATI</vt:lpstr>
      <vt:lpstr>WATUKEBO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mas ambon</cp:lastModifiedBy>
  <dcterms:created xsi:type="dcterms:W3CDTF">2026-01-14T02:26:01Z</dcterms:created>
  <dcterms:modified xsi:type="dcterms:W3CDTF">2026-07-15T09:03:41Z</dcterms:modified>
</cp:coreProperties>
</file>