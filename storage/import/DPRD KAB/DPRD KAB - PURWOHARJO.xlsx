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RD KAB" sheetId="1" r:id="rId4"/>
    <sheet state="visible" name="GRAJAGAN" sheetId="2" r:id="rId5"/>
    <sheet state="visible" name="SUMBERASRI" sheetId="3" r:id="rId6"/>
    <sheet state="visible" name="GLAGAHAGUNG" sheetId="4" r:id="rId7"/>
    <sheet state="visible" name="SIDOREJO" sheetId="5" r:id="rId8"/>
    <sheet state="visible" name="PURWOHARJO" sheetId="6" r:id="rId9"/>
    <sheet state="visible" name="BULUREJO" sheetId="7" r:id="rId10"/>
    <sheet state="visible" name="KRADENAN" sheetId="8" r:id="rId11"/>
    <sheet state="visible" name="KARETAN" sheetId="9" r:id="rId12"/>
  </sheets>
  <definedNames/>
  <calcPr/>
  <extLst>
    <ext uri="GoogleSheetsCustomDataVersion2">
      <go:sheetsCustomData xmlns:go="http://customooxmlschemas.google.com/" r:id="rId13" roundtripDataChecksum="C3oc5I7YGkNiJXq8FogZksrOM874hQpw76fVAKtLtD0="/>
    </ext>
  </extLst>
</workbook>
</file>

<file path=xl/sharedStrings.xml><?xml version="1.0" encoding="utf-8"?>
<sst xmlns="http://schemas.openxmlformats.org/spreadsheetml/2006/main" count="2491" uniqueCount="214">
  <si>
    <t>Kecamatan</t>
  </si>
  <si>
    <t>PURWOHARJO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</si>
  <si>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</si>
  <si>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</si>
  <si>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</si>
  <si>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</si>
  <si>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</si>
  <si>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</si>
  <si>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</si>
  <si>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</si>
  <si>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</si>
  <si>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</si>
  <si>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</si>
  <si>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</si>
  <si>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</si>
  <si>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</si>
  <si>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</si>
  <si>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</si>
  <si>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</si>
  <si>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</si>
  <si>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</si>
  <si>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</si>
  <si>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</si>
  <si>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</si>
  <si>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</si>
  <si>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</si>
  <si>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</si>
  <si>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</si>
  <si>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</si>
  <si>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</si>
  <si>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</si>
  <si>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</si>
  <si>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</si>
  <si>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</si>
  <si>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</si>
  <si>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</si>
  <si>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</si>
  <si>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</si>
  <si>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</si>
  <si>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</si>
  <si>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MUKHTAR NABALI MUFAUWIQ</t>
  </si>
  <si>
    <t>2. H. SUSIYANTO</t>
  </si>
  <si>
    <t>3. DUWI HASTRENI, S.H.</t>
  </si>
  <si>
    <t>4. MIFTAKHODIN</t>
  </si>
  <si>
    <t>5. SITI MUSTIKAH</t>
  </si>
  <si>
    <t>6. ABDUL GHOFUR</t>
  </si>
  <si>
    <t>7. ABDUL ROHMAN, S.Pd.</t>
  </si>
  <si>
    <t>JUMLAH SUARA SAH PARTAI POLITIK DAN CALON (A1 + A2)</t>
  </si>
  <si>
    <t>Partai Gerakan Indonesia Raya</t>
  </si>
  <si>
    <t>1. Drs. H. SUPRAYOGIN</t>
  </si>
  <si>
    <t>2. MAHFUD SYAMSUL HADI</t>
  </si>
  <si>
    <t>3. NUR AINI</t>
  </si>
  <si>
    <t>4. ACHMAD ALI WAFFA</t>
  </si>
  <si>
    <t>5. SRI HARTATIK</t>
  </si>
  <si>
    <t>6. MAKIK SIHOMBING</t>
  </si>
  <si>
    <t>7. LIDYA OKTAVIANA</t>
  </si>
  <si>
    <t>Partai Demokrasi Indonesia Perjuangan</t>
  </si>
  <si>
    <t>1. PATEMO</t>
  </si>
  <si>
    <t>2. EKO HARIYONO</t>
  </si>
  <si>
    <t>3. SRI RUSMAWATI</t>
  </si>
  <si>
    <t>4. SUGIYANTO</t>
  </si>
  <si>
    <t>5. DHEA SARTIKA</t>
  </si>
  <si>
    <t>6. WIDIAWATI</t>
  </si>
  <si>
    <t>7. ARIF NUR CAHYO</t>
  </si>
  <si>
    <t>Partai Golongan Karya</t>
  </si>
  <si>
    <t>1. MOCHAMMAD ZAENUL ARIFIN, S.M.</t>
  </si>
  <si>
    <t>2. NANANG EDY SUPRIYONO</t>
  </si>
  <si>
    <t>3. SITI MUNAWAROH</t>
  </si>
  <si>
    <t>4. SINUNG TEGUH SANTOSO, S.H., M.H.</t>
  </si>
  <si>
    <t>5. Drs. ALI MUKHSIN</t>
  </si>
  <si>
    <t>6. JUMIA KAMSISKA</t>
  </si>
  <si>
    <t>7. Dra. DYAH PURWANINGSIH</t>
  </si>
  <si>
    <t>5.</t>
  </si>
  <si>
    <t>Partai NasDem</t>
  </si>
  <si>
    <t>1. AGUNG SETYO WIBOWO, S.E.</t>
  </si>
  <si>
    <t>2. M. AGHISTNI MAULANA S.</t>
  </si>
  <si>
    <t>3. MUJIATI</t>
  </si>
  <si>
    <t>4. MOH. ALI MAGHFUR, S.S., M.Si.</t>
  </si>
  <si>
    <t>5. NUR HIDAYAH, S.H.</t>
  </si>
  <si>
    <t>6. NUR FATMAWATI</t>
  </si>
  <si>
    <t>7. BAMBANG AGUS SANTOSO</t>
  </si>
  <si>
    <t>6.</t>
  </si>
  <si>
    <t>Partai Buruh</t>
  </si>
  <si>
    <t>1. YULIANTO</t>
  </si>
  <si>
    <t>7.</t>
  </si>
  <si>
    <t>Partai Gelombang Rakyat Indonesia</t>
  </si>
  <si>
    <t>1. AGUNG TUTUKO</t>
  </si>
  <si>
    <t>8.</t>
  </si>
  <si>
    <t>Partai Keadilan Sejahtera</t>
  </si>
  <si>
    <t>1. IMRON EFFENDI, S.Pd.I.</t>
  </si>
  <si>
    <t>2. RIYANTO</t>
  </si>
  <si>
    <t>3. DYAH RATNAWATI, S.P.</t>
  </si>
  <si>
    <t>4. SLAMET EFENDI, S.Pd.I.</t>
  </si>
  <si>
    <t>5. NIDA'UL A'DILAH</t>
  </si>
  <si>
    <t>6. FUJI ARIANTI, S.Pd.</t>
  </si>
  <si>
    <t>7. PUJI LEGA CAHYONO</t>
  </si>
  <si>
    <t>9.</t>
  </si>
  <si>
    <t>Partai Kebangkitan Nusantara</t>
  </si>
  <si>
    <t>1. NANIN LINDYAWATI</t>
  </si>
  <si>
    <t>10.</t>
  </si>
  <si>
    <t>Partai Hati Nurani Rakyat</t>
  </si>
  <si>
    <t>1. WAWAN KRISDIANTO, S.T.</t>
  </si>
  <si>
    <t>2. Drs. SUGIYO</t>
  </si>
  <si>
    <t>3. AGUS WIJAYANTI, S.T.</t>
  </si>
  <si>
    <t>4. IMAM SIBAWEH, S.Pd.I., M.H.</t>
  </si>
  <si>
    <t>5. AGUS SANTOSO</t>
  </si>
  <si>
    <t>6. SYLVIA INDAH SETYOWATI, S.Farm.</t>
  </si>
  <si>
    <t>7. JON ADI BATAM</t>
  </si>
  <si>
    <t>11.</t>
  </si>
  <si>
    <t>Partai Garda Republik Indonesia</t>
  </si>
  <si>
    <t>12.</t>
  </si>
  <si>
    <t>Partai Amanat Nasional</t>
  </si>
  <si>
    <t>1. M. MAFTUH AHNAN</t>
  </si>
  <si>
    <t>2. KHUSNUL KHOTIMAH</t>
  </si>
  <si>
    <t>3. SUBANDRIYO</t>
  </si>
  <si>
    <t>4. HANI HANDINI</t>
  </si>
  <si>
    <t>13.</t>
  </si>
  <si>
    <t>Partai Bulan Bintang</t>
  </si>
  <si>
    <t>1. FITRI HIDAYATUL MAULIDA</t>
  </si>
  <si>
    <t>2. SITI MUSALAMAH</t>
  </si>
  <si>
    <t>3. MUHAMAD SOIM</t>
  </si>
  <si>
    <t>4. SITA NUR AZIZAH</t>
  </si>
  <si>
    <t>5. MOCH RIZQIAN ROMADHON</t>
  </si>
  <si>
    <t>6. SAMA'I</t>
  </si>
  <si>
    <t>7. NAHARINA ULFATIN</t>
  </si>
  <si>
    <t>14.</t>
  </si>
  <si>
    <t>Partai Demokrat</t>
  </si>
  <si>
    <t>1. NILUH EKA AGUSTINA</t>
  </si>
  <si>
    <t>2. IWAN RUDIYANTO, S.H.</t>
  </si>
  <si>
    <t>3. NOVIANTO SANJAYA, S.Tr.Pel.</t>
  </si>
  <si>
    <t>4. YANCE WATTIMURY, S.T., MACM.</t>
  </si>
  <si>
    <t>5. REZA EKA INDRIANI</t>
  </si>
  <si>
    <t>6. WAHYUDI</t>
  </si>
  <si>
    <t>7. YUSIENI</t>
  </si>
  <si>
    <t>15.</t>
  </si>
  <si>
    <t>Partai Solidaritas Indonesia</t>
  </si>
  <si>
    <t>1. ALLING ANDINI, S.Si.</t>
  </si>
  <si>
    <t>2. FURRY AKHWAN HADI</t>
  </si>
  <si>
    <t>16.</t>
  </si>
  <si>
    <t>PARTAI PERINDO</t>
  </si>
  <si>
    <t>1. MADRUS</t>
  </si>
  <si>
    <t>17.</t>
  </si>
  <si>
    <t>Partai Persatuan Pembangunan</t>
  </si>
  <si>
    <t>1. Dr. H. ABDUL KADIR, M.Si.</t>
  </si>
  <si>
    <t>2. MISBAHUL ULUM</t>
  </si>
  <si>
    <t>3. NOVIA ANGGI ALVIONITA SARI</t>
  </si>
  <si>
    <t>4. M. MUNIF HASBALLAH A'LA</t>
  </si>
  <si>
    <t>5. MOH. RISYAFAI SAID AL AZHAR, S.Pd.</t>
  </si>
  <si>
    <t>6. SRI WEDARI</t>
  </si>
  <si>
    <t>7. CELVIN M FAIZAL</t>
  </si>
  <si>
    <t>18.</t>
  </si>
  <si>
    <t>Partai Ummat</t>
  </si>
  <si>
    <t>1. SIGIT PURNOMO</t>
  </si>
  <si>
    <t>2. NURKOMARIA INDAH</t>
  </si>
  <si>
    <t>3. Drs. UBAID FATHONI, M.M.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</si>
  <si>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</si>
  <si>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</si>
  <si>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</si>
  <si>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</si>
  <si>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</si>
  <si>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</si>
  <si>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</si>
  <si>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</si>
  <si>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</si>
  <si>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GRAJAGAN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</si>
  <si>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</si>
  <si>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</si>
  <si>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</si>
  <si>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</si>
  <si>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</si>
  <si>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</si>
  <si>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</si>
  <si>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</si>
  <si>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</si>
  <si>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</si>
  <si>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</si>
  <si>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</si>
  <si>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</si>
  <si>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</si>
  <si>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</si>
  <si>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</si>
  <si>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</si>
  <si>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</si>
  <si>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</si>
  <si>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</si>
  <si>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</si>
  <si>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</si>
  <si>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</si>
  <si>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</si>
  <si>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</si>
  <si>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</si>
  <si>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</si>
  <si>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</si>
  <si>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</si>
  <si>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</si>
  <si>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</si>
  <si>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</si>
  <si>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</si>
  <si>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</si>
  <si>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</si>
  <si>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</si>
  <si>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</si>
  <si>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</si>
  <si>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</si>
  <si>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</si>
  <si>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</si>
  <si>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</si>
  <si>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</si>
  <si>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SUMBERSARI</t>
  </si>
  <si>
    <t>GLAGAHAGUNG</t>
  </si>
  <si>
    <t>SIDOREJO</t>
  </si>
  <si>
    <t>BULUREJO</t>
  </si>
  <si>
    <t>KRADENAN</t>
  </si>
  <si>
    <t>KARETAN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</si>
</sst>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3" fillId="0" fontId="1" numFmtId="0" xfId="0" applyAlignment="1" applyBorder="1" applyFont="1">
      <alignment horizontal="center" vertical="center"/>
    </xf>
    <xf borderId="7" fillId="0" fontId="3" numFmtId="0" xfId="0" applyAlignment="1" applyBorder="1" applyFont="1">
      <alignment vertical="center"/>
    </xf>
    <xf borderId="15" fillId="0" fontId="2" numFmtId="0" xfId="0" applyBorder="1" applyFont="1"/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4" fillId="0" fontId="2" numFmtId="0" xfId="0" applyBorder="1" applyFont="1"/>
    <xf borderId="10" fillId="0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BULUREJO!AF14+GLAGAHAGUNG!AA14+GRAJAGAN!AV14+KARETAN!O14+KRADENAN!AK14+PURWOHARJO!AK14+SIDOREJO!AA14+SUMBERASRI!X14</f>
        <v>27886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BULUREJO!AF15+GLAGAHAGUNG!AA15+GRAJAGAN!AV15+KARETAN!O15+KRADENAN!AK15+PURWOHARJO!AK15+SIDOREJO!AA15+SUMBERASRI!X15</f>
        <v>27699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55585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BULUREJO!AF19+GLAGAHAGUNG!AA19+GRAJAGAN!AV19+KARETAN!O19+KRADENAN!AK19+PURWOHARJO!AK19+SIDOREJO!AA19+SUMBERASRI!X19</f>
        <v>21193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BULUREJO!AF20+GLAGAHAGUNG!AA20+GRAJAGAN!AV20+KARETAN!O20+KRADENAN!AK20+PURWOHARJO!AK20+SIDOREJO!AA20+SUMBERASRI!X20</f>
        <v>21906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43099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BULUREJO!AF22+GLAGAHAGUNG!AA22+GRAJAGAN!AV22+KARETAN!O22+KRADENAN!AK22+PURWOHARJO!AK22+SIDOREJO!AA22+SUMBERASRI!X22</f>
        <v>22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BULUREJO!AF23+GLAGAHAGUNG!AA23+GRAJAGAN!AV23+KARETAN!O23+KRADENAN!AK23+PURWOHARJO!AK23+SIDOREJO!AA23+SUMBERASRI!X23</f>
        <v>13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35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BULUREJO!AF25+GLAGAHAGUNG!AA25+GRAJAGAN!AV25+KARETAN!O25+KRADENAN!AK25+PURWOHARJO!AK25+SIDOREJO!AA25+SUMBERASRI!X25</f>
        <v>225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BULUREJO!AF26+GLAGAHAGUNG!AA26+GRAJAGAN!AV26+KARETAN!O26+KRADENAN!AK26+PURWOHARJO!AK26+SIDOREJO!AA26+SUMBERASRI!X26</f>
        <v>277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502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21440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22196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43636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BULUREJO!AF33+GLAGAHAGUNG!AA33+GRAJAGAN!AV33+KARETAN!O33+KRADENAN!AK33+PURWOHARJO!AK33+SIDOREJO!AA33+SUMBERASRI!X33</f>
        <v>56890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BULUREJO!AF34+GLAGAHAGUNG!AA34+GRAJAGAN!AV34+KARETAN!O34+KRADENAN!AK34+PURWOHARJO!AK34+SIDOREJO!AA34+SUMBERASRI!X34</f>
        <v>43636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BULUREJO!AF35+GLAGAHAGUNG!AA35+GRAJAGAN!AV35+KARETAN!O35+KRADENAN!AK35+PURWOHARJO!AK35+SIDOREJO!AA35+SUMBERASRI!X35</f>
        <v>111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13143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BULUREJO!AF39+GLAGAHAGUNG!AA39+GRAJAGAN!AV39+KARETAN!O39+KRADENAN!AK39+PURWOHARJO!AK39+SIDOREJO!AA39+SUMBERASRI!X39</f>
        <v>19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BULUREJO!AF40+GLAGAHAGUNG!AA40+GRAJAGAN!AV40+KARETAN!O40+KRADENAN!AK40+PURWOHARJO!AK40+SIDOREJO!AA40+SUMBERASRI!X40</f>
        <v>20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39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BULUREJO!AF45+GLAGAHAGUNG!AA45+GRAJAGAN!AV45+KARETAN!O45+KRADENAN!AK45+PURWOHARJO!AK45+SIDOREJO!AA45+SUMBERASRI!X45</f>
        <v>984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/>
      <c r="C46" s="50" t="s">
        <v>40</v>
      </c>
      <c r="D46" s="51"/>
      <c r="E46" s="24">
        <f>BULUREJO!AF46+GLAGAHAGUNG!AA46+GRAJAGAN!AV46+KARETAN!O46+KRADENAN!AK46+PURWOHARJO!AK46+SIDOREJO!AA46+SUMBERASRI!X46</f>
        <v>877</v>
      </c>
      <c r="F46" s="52"/>
      <c r="G46" s="53"/>
      <c r="H46" s="53"/>
      <c r="I46" s="53"/>
      <c r="J46" s="53"/>
      <c r="K46" s="53"/>
      <c r="L46" s="53"/>
      <c r="M46" s="53"/>
      <c r="N46" s="53"/>
      <c r="O46" s="53"/>
      <c r="P46" s="54"/>
      <c r="Q46" s="3"/>
      <c r="R46" s="3"/>
      <c r="S46" s="3"/>
      <c r="T46" s="3"/>
      <c r="U46" s="3"/>
      <c r="V46" s="3"/>
      <c r="W46" s="55"/>
      <c r="X46" s="3"/>
      <c r="Y46" s="3"/>
      <c r="Z46" s="3"/>
    </row>
    <row r="47" ht="15.75" customHeight="1">
      <c r="A47" s="18"/>
      <c r="B47" s="49"/>
      <c r="C47" s="50" t="s">
        <v>41</v>
      </c>
      <c r="D47" s="51"/>
      <c r="E47" s="24">
        <f>BULUREJO!AF47+GLAGAHAGUNG!AA47+GRAJAGAN!AV47+KARETAN!O47+KRADENAN!AK47+PURWOHARJO!AK47+SIDOREJO!AA47+SUMBERASRI!X47</f>
        <v>6637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9"/>
      <c r="C48" s="50" t="s">
        <v>42</v>
      </c>
      <c r="D48" s="51"/>
      <c r="E48" s="24">
        <f>BULUREJO!AF48+GLAGAHAGUNG!AA48+GRAJAGAN!AV48+KARETAN!O48+KRADENAN!AK48+PURWOHARJO!AK48+SIDOREJO!AA48+SUMBERASRI!X48</f>
        <v>877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9"/>
      <c r="C49" s="50" t="s">
        <v>43</v>
      </c>
      <c r="D49" s="51"/>
      <c r="E49" s="24">
        <f>BULUREJO!AF49+GLAGAHAGUNG!AA49+GRAJAGAN!AV49+KARETAN!O49+KRADENAN!AK49+PURWOHARJO!AK49+SIDOREJO!AA49+SUMBERASRI!X49</f>
        <v>22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9"/>
      <c r="C50" s="50" t="s">
        <v>44</v>
      </c>
      <c r="D50" s="51"/>
      <c r="E50" s="24">
        <f>BULUREJO!AF50+GLAGAHAGUNG!AA50+GRAJAGAN!AV50+KARETAN!O50+KRADENAN!AK50+PURWOHARJO!AK50+SIDOREJO!AA50+SUMBERASRI!X50</f>
        <v>50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9"/>
      <c r="C51" s="50" t="s">
        <v>45</v>
      </c>
      <c r="D51" s="51"/>
      <c r="E51" s="24">
        <f>BULUREJO!AF51+GLAGAHAGUNG!AA51+GRAJAGAN!AV51+KARETAN!O51+KRADENAN!AK51+PURWOHARJO!AK51+SIDOREJO!AA51+SUMBERASRI!X51</f>
        <v>31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49"/>
      <c r="C52" s="50" t="s">
        <v>46</v>
      </c>
      <c r="D52" s="51"/>
      <c r="E52" s="24">
        <f>BULUREJO!AF52+GLAGAHAGUNG!AA52+GRAJAGAN!AV52+KARETAN!O52+KRADENAN!AK52+PURWOHARJO!AK52+SIDOREJO!AA52+SUMBERASRI!X52</f>
        <v>421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9" t="s">
        <v>15</v>
      </c>
      <c r="B53" s="47" t="s">
        <v>47</v>
      </c>
      <c r="C53" s="15"/>
      <c r="D53" s="16"/>
      <c r="E53" s="56">
        <f>SUM(E45:E52)</f>
        <v>9899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7"/>
      <c r="B54" s="58"/>
      <c r="C54" s="58"/>
      <c r="D54" s="58"/>
      <c r="E54" s="58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30" t="s">
        <v>37</v>
      </c>
      <c r="B55" s="47" t="s">
        <v>19</v>
      </c>
      <c r="C55" s="48" t="s">
        <v>48</v>
      </c>
      <c r="D55" s="16"/>
      <c r="E55" s="24">
        <f>BULUREJO!AF55+GLAGAHAGUNG!AA55+GRAJAGAN!AV55+KARETAN!O55+KRADENAN!AK55+PURWOHARJO!AK55+SIDOREJO!AA55+SUMBERASRI!X55</f>
        <v>1575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30" t="s">
        <v>39</v>
      </c>
      <c r="B56" s="49"/>
      <c r="C56" s="50" t="s">
        <v>49</v>
      </c>
      <c r="D56" s="51"/>
      <c r="E56" s="24">
        <f>BULUREJO!AF56+GLAGAHAGUNG!AA56+GRAJAGAN!AV56+KARETAN!O56+KRADENAN!AK56+PURWOHARJO!AK56+SIDOREJO!AA56+SUMBERASRI!X56</f>
        <v>4294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49"/>
      <c r="C57" s="50" t="s">
        <v>50</v>
      </c>
      <c r="D57" s="51"/>
      <c r="E57" s="24">
        <f>BULUREJO!AF57+GLAGAHAGUNG!AA57+GRAJAGAN!AV57+KARETAN!O57+KRADENAN!AK57+PURWOHARJO!AK57+SIDOREJO!AA57+SUMBERASRI!X57</f>
        <v>537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8"/>
      <c r="B58" s="49"/>
      <c r="C58" s="50" t="s">
        <v>51</v>
      </c>
      <c r="D58" s="51"/>
      <c r="E58" s="24">
        <f>BULUREJO!AF58+GLAGAHAGUNG!AA58+GRAJAGAN!AV58+KARETAN!O58+KRADENAN!AK58+PURWOHARJO!AK58+SIDOREJO!AA58+SUMBERASRI!X58</f>
        <v>301</v>
      </c>
      <c r="F58" s="52"/>
      <c r="G58" s="53"/>
      <c r="H58" s="53"/>
      <c r="I58" s="53"/>
      <c r="J58" s="53"/>
      <c r="K58" s="53"/>
      <c r="L58" s="53"/>
      <c r="M58" s="53"/>
      <c r="N58" s="53"/>
      <c r="O58" s="53"/>
      <c r="P58" s="54"/>
      <c r="Q58" s="3"/>
      <c r="R58" s="3"/>
      <c r="S58" s="3"/>
      <c r="T58" s="3"/>
      <c r="U58" s="3"/>
      <c r="V58" s="3"/>
      <c r="W58" s="55"/>
      <c r="X58" s="3"/>
      <c r="Y58" s="3"/>
      <c r="Z58" s="3"/>
    </row>
    <row r="59" ht="15.75" customHeight="1">
      <c r="A59" s="18"/>
      <c r="B59" s="49"/>
      <c r="C59" s="50" t="s">
        <v>52</v>
      </c>
      <c r="D59" s="51"/>
      <c r="E59" s="24">
        <f>BULUREJO!AF59+GLAGAHAGUNG!AA59+GRAJAGAN!AV59+KARETAN!O59+KRADENAN!AK59+PURWOHARJO!AK59+SIDOREJO!AA59+SUMBERASRI!X59</f>
        <v>100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49"/>
      <c r="C60" s="50" t="s">
        <v>53</v>
      </c>
      <c r="D60" s="51"/>
      <c r="E60" s="24">
        <f>BULUREJO!AF60+GLAGAHAGUNG!AA60+GRAJAGAN!AV60+KARETAN!O60+KRADENAN!AK60+PURWOHARJO!AK60+SIDOREJO!AA60+SUMBERASRI!X60</f>
        <v>38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49"/>
      <c r="C61" s="50" t="s">
        <v>54</v>
      </c>
      <c r="D61" s="51"/>
      <c r="E61" s="24">
        <f>BULUREJO!AF61+GLAGAHAGUNG!AA61+GRAJAGAN!AV61+KARETAN!O61+KRADENAN!AK61+PURWOHARJO!AK61+SIDOREJO!AA61+SUMBERASRI!X61</f>
        <v>7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49"/>
      <c r="C62" s="50" t="s">
        <v>55</v>
      </c>
      <c r="D62" s="51"/>
      <c r="E62" s="24">
        <f>BULUREJO!AF62+GLAGAHAGUNG!AA62+GRAJAGAN!AV62+KARETAN!O62+KRADENAN!AK62+PURWOHARJO!AK62+SIDOREJO!AA62+SUMBERASRI!X62</f>
        <v>40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9" t="s">
        <v>15</v>
      </c>
      <c r="B63" s="47" t="s">
        <v>47</v>
      </c>
      <c r="C63" s="15"/>
      <c r="D63" s="16"/>
      <c r="E63" s="56">
        <f>SUM(E55:E62)</f>
        <v>6892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9"/>
      <c r="B64" s="60"/>
      <c r="C64" s="60"/>
      <c r="D64" s="60"/>
      <c r="E64" s="61"/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30" t="s">
        <v>37</v>
      </c>
      <c r="B65" s="47" t="s">
        <v>21</v>
      </c>
      <c r="C65" s="48" t="s">
        <v>56</v>
      </c>
      <c r="D65" s="16"/>
      <c r="E65" s="24">
        <f>BULUREJO!AF65+GLAGAHAGUNG!AA65+GRAJAGAN!AV65+KARETAN!O65+KRADENAN!AK65+PURWOHARJO!AK65+SIDOREJO!AA65+SUMBERASRI!X65</f>
        <v>926</v>
      </c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30" t="s">
        <v>39</v>
      </c>
      <c r="B66" s="49"/>
      <c r="C66" s="50" t="s">
        <v>57</v>
      </c>
      <c r="D66" s="51"/>
      <c r="E66" s="24">
        <f>BULUREJO!AF66+GLAGAHAGUNG!AA66+GRAJAGAN!AV66+KARETAN!O66+KRADENAN!AK66+PURWOHARJO!AK66+SIDOREJO!AA66+SUMBERASRI!X66</f>
        <v>770</v>
      </c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8"/>
      <c r="B67" s="49"/>
      <c r="C67" s="50" t="s">
        <v>58</v>
      </c>
      <c r="D67" s="51"/>
      <c r="E67" s="24">
        <f>BULUREJO!AF67+GLAGAHAGUNG!AA67+GRAJAGAN!AV67+KARETAN!O67+KRADENAN!AK67+PURWOHARJO!AK67+SIDOREJO!AA67+SUMBERASRI!X67</f>
        <v>1288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18"/>
      <c r="B68" s="49"/>
      <c r="C68" s="50" t="s">
        <v>59</v>
      </c>
      <c r="D68" s="51"/>
      <c r="E68" s="24">
        <f>BULUREJO!AF68+GLAGAHAGUNG!AA68+GRAJAGAN!AV68+KARETAN!O68+KRADENAN!AK68+PURWOHARJO!AK68+SIDOREJO!AA68+SUMBERASRI!X68</f>
        <v>114</v>
      </c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18"/>
      <c r="B69" s="49"/>
      <c r="C69" s="50" t="s">
        <v>60</v>
      </c>
      <c r="D69" s="51"/>
      <c r="E69" s="24">
        <f>BULUREJO!AF69+GLAGAHAGUNG!AA69+GRAJAGAN!AV69+KARETAN!O69+KRADENAN!AK69+PURWOHARJO!AK69+SIDOREJO!AA69+SUMBERASRI!X69</f>
        <v>68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8"/>
      <c r="B70" s="49"/>
      <c r="C70" s="50" t="s">
        <v>61</v>
      </c>
      <c r="D70" s="51"/>
      <c r="E70" s="24">
        <f>BULUREJO!AF70+GLAGAHAGUNG!AA70+GRAJAGAN!AV70+KARETAN!O70+KRADENAN!AK70+PURWOHARJO!AK70+SIDOREJO!AA70+SUMBERASRI!X70</f>
        <v>665</v>
      </c>
      <c r="F70" s="52"/>
      <c r="G70" s="53"/>
      <c r="H70" s="53"/>
      <c r="I70" s="53"/>
      <c r="J70" s="53"/>
      <c r="K70" s="53"/>
      <c r="L70" s="53"/>
      <c r="M70" s="53"/>
      <c r="N70" s="53"/>
      <c r="O70" s="53"/>
      <c r="P70" s="54"/>
      <c r="Q70" s="3"/>
      <c r="R70" s="3"/>
      <c r="S70" s="3"/>
      <c r="T70" s="3"/>
      <c r="U70" s="3"/>
      <c r="V70" s="3"/>
      <c r="W70" s="55"/>
      <c r="X70" s="3"/>
      <c r="Y70" s="3"/>
      <c r="Z70" s="3"/>
    </row>
    <row r="71" ht="15.75" customHeight="1">
      <c r="A71" s="18"/>
      <c r="B71" s="49"/>
      <c r="C71" s="50" t="s">
        <v>62</v>
      </c>
      <c r="D71" s="51"/>
      <c r="E71" s="24">
        <f>BULUREJO!AF71+GLAGAHAGUNG!AA71+GRAJAGAN!AV71+KARETAN!O71+KRADENAN!AK71+PURWOHARJO!AK71+SIDOREJO!AA71+SUMBERASRI!X71</f>
        <v>774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49"/>
      <c r="C72" s="50" t="s">
        <v>63</v>
      </c>
      <c r="D72" s="51"/>
      <c r="E72" s="24">
        <f>BULUREJO!AF72+GLAGAHAGUNG!AA72+GRAJAGAN!AV72+KARETAN!O72+KRADENAN!AK72+PURWOHARJO!AK72+SIDOREJO!AA72+SUMBERASRI!X72</f>
        <v>835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9" t="s">
        <v>15</v>
      </c>
      <c r="B73" s="47" t="s">
        <v>47</v>
      </c>
      <c r="C73" s="15"/>
      <c r="D73" s="16"/>
      <c r="E73" s="56">
        <f>SUM(E65:E72)</f>
        <v>5440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57"/>
      <c r="B74" s="58"/>
      <c r="C74" s="58"/>
      <c r="D74" s="58"/>
      <c r="E74" s="58"/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30" t="s">
        <v>37</v>
      </c>
      <c r="B75" s="47" t="s">
        <v>23</v>
      </c>
      <c r="C75" s="48" t="s">
        <v>64</v>
      </c>
      <c r="D75" s="16"/>
      <c r="E75" s="24">
        <f>BULUREJO!AF75+GLAGAHAGUNG!AA75+GRAJAGAN!AV75+KARETAN!O75+KRADENAN!AK75+PURWOHARJO!AK75+SIDOREJO!AA75+SUMBERASRI!X75</f>
        <v>377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30" t="s">
        <v>39</v>
      </c>
      <c r="B76" s="49"/>
      <c r="C76" s="50" t="s">
        <v>65</v>
      </c>
      <c r="D76" s="51"/>
      <c r="E76" s="24">
        <f>BULUREJO!AF76+GLAGAHAGUNG!AA76+GRAJAGAN!AV76+KARETAN!O76+KRADENAN!AK76+PURWOHARJO!AK76+SIDOREJO!AA76+SUMBERASRI!X76</f>
        <v>562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49"/>
      <c r="C77" s="50" t="s">
        <v>66</v>
      </c>
      <c r="D77" s="51"/>
      <c r="E77" s="24">
        <f>BULUREJO!AF77+GLAGAHAGUNG!AA77+GRAJAGAN!AV77+KARETAN!O77+KRADENAN!AK77+PURWOHARJO!AK77+SIDOREJO!AA77+SUMBERASRI!X77</f>
        <v>279</v>
      </c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49"/>
      <c r="C78" s="50" t="s">
        <v>67</v>
      </c>
      <c r="D78" s="51"/>
      <c r="E78" s="24">
        <f>BULUREJO!AF78+GLAGAHAGUNG!AA78+GRAJAGAN!AV78+KARETAN!O78+KRADENAN!AK78+PURWOHARJO!AK78+SIDOREJO!AA78+SUMBERASRI!X78</f>
        <v>49</v>
      </c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8"/>
      <c r="B79" s="49"/>
      <c r="C79" s="50" t="s">
        <v>68</v>
      </c>
      <c r="D79" s="51"/>
      <c r="E79" s="24">
        <f>BULUREJO!AF79+GLAGAHAGUNG!AA79+GRAJAGAN!AV79+KARETAN!O79+KRADENAN!AK79+PURWOHARJO!AK79+SIDOREJO!AA79+SUMBERASRI!X79</f>
        <v>53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18"/>
      <c r="B80" s="49"/>
      <c r="C80" s="50" t="s">
        <v>69</v>
      </c>
      <c r="D80" s="51"/>
      <c r="E80" s="24">
        <f>BULUREJO!AF80+GLAGAHAGUNG!AA80+GRAJAGAN!AV80+KARETAN!O80+KRADENAN!AK80+PURWOHARJO!AK80+SIDOREJO!AA80+SUMBERASRI!X80</f>
        <v>19</v>
      </c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8"/>
      <c r="B81" s="49"/>
      <c r="C81" s="50" t="s">
        <v>70</v>
      </c>
      <c r="D81" s="51"/>
      <c r="E81" s="24">
        <f>BULUREJO!AF81+GLAGAHAGUNG!AA81+GRAJAGAN!AV81+KARETAN!O81+KRADENAN!AK81+PURWOHARJO!AK81+SIDOREJO!AA81+SUMBERASRI!X81</f>
        <v>8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8"/>
      <c r="B82" s="49"/>
      <c r="C82" s="50" t="s">
        <v>71</v>
      </c>
      <c r="D82" s="51"/>
      <c r="E82" s="24">
        <f>BULUREJO!AF82+GLAGAHAGUNG!AA82+GRAJAGAN!AV82+KARETAN!O82+KRADENAN!AK82+PURWOHARJO!AK82+SIDOREJO!AA82+SUMBERASRI!X82</f>
        <v>493</v>
      </c>
      <c r="F82" s="52"/>
      <c r="G82" s="53"/>
      <c r="H82" s="53"/>
      <c r="I82" s="53"/>
      <c r="J82" s="53"/>
      <c r="K82" s="53"/>
      <c r="L82" s="53"/>
      <c r="M82" s="53"/>
      <c r="N82" s="53"/>
      <c r="O82" s="53"/>
      <c r="P82" s="54"/>
      <c r="Q82" s="3"/>
      <c r="R82" s="3"/>
      <c r="S82" s="3"/>
      <c r="T82" s="3"/>
      <c r="U82" s="3"/>
      <c r="V82" s="3"/>
      <c r="W82" s="55"/>
      <c r="X82" s="3"/>
      <c r="Y82" s="3"/>
      <c r="Z82" s="3"/>
    </row>
    <row r="83" ht="15.75" customHeight="1">
      <c r="A83" s="19" t="s">
        <v>15</v>
      </c>
      <c r="B83" s="47" t="s">
        <v>47</v>
      </c>
      <c r="C83" s="15"/>
      <c r="D83" s="16"/>
      <c r="E83" s="56">
        <f>SUM(E75:E82)</f>
        <v>1840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57"/>
      <c r="B84" s="58"/>
      <c r="C84" s="58"/>
      <c r="D84" s="58"/>
      <c r="E84" s="58"/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30" t="s">
        <v>37</v>
      </c>
      <c r="B85" s="47" t="s">
        <v>72</v>
      </c>
      <c r="C85" s="48" t="s">
        <v>73</v>
      </c>
      <c r="D85" s="16"/>
      <c r="E85" s="24">
        <f>BULUREJO!AF85+GLAGAHAGUNG!AA85+GRAJAGAN!AV85+KARETAN!O85+KRADENAN!AK85+PURWOHARJO!AK85+SIDOREJO!AA85+SUMBERASRI!X85</f>
        <v>443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30" t="s">
        <v>39</v>
      </c>
      <c r="B86" s="49"/>
      <c r="C86" s="50" t="s">
        <v>74</v>
      </c>
      <c r="D86" s="51"/>
      <c r="E86" s="24">
        <f>BULUREJO!AF86+GLAGAHAGUNG!AA86+GRAJAGAN!AV86+KARETAN!O86+KRADENAN!AK86+PURWOHARJO!AK86+SIDOREJO!AA86+SUMBERASRI!X86</f>
        <v>1171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49"/>
      <c r="C87" s="50" t="s">
        <v>75</v>
      </c>
      <c r="D87" s="51"/>
      <c r="E87" s="24">
        <f>BULUREJO!AF87+GLAGAHAGUNG!AA87+GRAJAGAN!AV87+KARETAN!O87+KRADENAN!AK87+PURWOHARJO!AK87+SIDOREJO!AA87+SUMBERASRI!X87</f>
        <v>6526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49"/>
      <c r="C88" s="50" t="s">
        <v>76</v>
      </c>
      <c r="D88" s="51"/>
      <c r="E88" s="24">
        <f>BULUREJO!AF88+GLAGAHAGUNG!AA88+GRAJAGAN!AV88+KARETAN!O88+KRADENAN!AK88+PURWOHARJO!AK88+SIDOREJO!AA88+SUMBERASRI!X88</f>
        <v>23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49"/>
      <c r="C89" s="50" t="s">
        <v>77</v>
      </c>
      <c r="D89" s="51"/>
      <c r="E89" s="24">
        <f>BULUREJO!AF89+GLAGAHAGUNG!AA89+GRAJAGAN!AV89+KARETAN!O89+KRADENAN!AK89+PURWOHARJO!AK89+SIDOREJO!AA89+SUMBERASRI!X89</f>
        <v>39</v>
      </c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49"/>
      <c r="C90" s="50" t="s">
        <v>78</v>
      </c>
      <c r="D90" s="51"/>
      <c r="E90" s="24">
        <f>BULUREJO!AF90+GLAGAHAGUNG!AA90+GRAJAGAN!AV90+KARETAN!O90+KRADENAN!AK90+PURWOHARJO!AK90+SIDOREJO!AA90+SUMBERASRI!X90</f>
        <v>558</v>
      </c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8"/>
      <c r="B91" s="49"/>
      <c r="C91" s="50" t="s">
        <v>79</v>
      </c>
      <c r="D91" s="51"/>
      <c r="E91" s="24">
        <f>BULUREJO!AF91+GLAGAHAGUNG!AA91+GRAJAGAN!AV91+KARETAN!O91+KRADENAN!AK91+PURWOHARJO!AK91+SIDOREJO!AA91+SUMBERASRI!X91</f>
        <v>4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18"/>
      <c r="B92" s="49"/>
      <c r="C92" s="50" t="s">
        <v>80</v>
      </c>
      <c r="D92" s="51"/>
      <c r="E92" s="24">
        <f>BULUREJO!AF92+GLAGAHAGUNG!AA92+GRAJAGAN!AV92+KARETAN!O92+KRADENAN!AK92+PURWOHARJO!AK92+SIDOREJO!AA92+SUMBERASRI!X92</f>
        <v>25</v>
      </c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19" t="s">
        <v>15</v>
      </c>
      <c r="B93" s="47" t="s">
        <v>47</v>
      </c>
      <c r="C93" s="15"/>
      <c r="D93" s="16"/>
      <c r="E93" s="56">
        <f>SUM(E85:E92)</f>
        <v>8789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7"/>
      <c r="B94" s="58"/>
      <c r="C94" s="58"/>
      <c r="D94" s="58"/>
      <c r="E94" s="58"/>
      <c r="F94" s="52"/>
      <c r="G94" s="53"/>
      <c r="H94" s="53"/>
      <c r="I94" s="53"/>
      <c r="J94" s="53"/>
      <c r="K94" s="53"/>
      <c r="L94" s="53"/>
      <c r="M94" s="53"/>
      <c r="N94" s="53"/>
      <c r="O94" s="53"/>
      <c r="P94" s="54"/>
      <c r="Q94" s="3"/>
      <c r="R94" s="3"/>
      <c r="S94" s="3"/>
      <c r="T94" s="3"/>
      <c r="U94" s="3"/>
      <c r="V94" s="3"/>
      <c r="W94" s="55"/>
      <c r="X94" s="3"/>
      <c r="Y94" s="3"/>
      <c r="Z94" s="3"/>
    </row>
    <row r="95" ht="15.75" customHeight="1">
      <c r="A95" s="30" t="s">
        <v>37</v>
      </c>
      <c r="B95" s="47" t="s">
        <v>81</v>
      </c>
      <c r="C95" s="48" t="s">
        <v>82</v>
      </c>
      <c r="D95" s="16"/>
      <c r="E95" s="24">
        <f>BULUREJO!AF95+GLAGAHAGUNG!AA95+GRAJAGAN!AV95+KARETAN!O95+KRADENAN!AK95+PURWOHARJO!AK95+SIDOREJO!AA95+SUMBERASRI!X95</f>
        <v>59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30" t="s">
        <v>39</v>
      </c>
      <c r="B96" s="49"/>
      <c r="C96" s="50" t="s">
        <v>83</v>
      </c>
      <c r="D96" s="62"/>
      <c r="E96" s="24">
        <f>BULUREJO!AF96+GLAGAHAGUNG!AA96+GRAJAGAN!AV96+KARETAN!O96+KRADENAN!AK96+PURWOHARJO!AK96+SIDOREJO!AA96+SUMBERASRI!X96</f>
        <v>23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9" t="s">
        <v>15</v>
      </c>
      <c r="B97" s="47" t="s">
        <v>47</v>
      </c>
      <c r="C97" s="15"/>
      <c r="D97" s="16"/>
      <c r="E97" s="56">
        <f>SUM(E95:E96)</f>
        <v>82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57"/>
      <c r="B98" s="58"/>
      <c r="C98" s="58"/>
      <c r="D98" s="58"/>
      <c r="E98" s="58"/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30" t="s">
        <v>37</v>
      </c>
      <c r="B99" s="47" t="s">
        <v>84</v>
      </c>
      <c r="C99" s="48" t="s">
        <v>85</v>
      </c>
      <c r="D99" s="16"/>
      <c r="E99" s="24">
        <f>BULUREJO!AF99+GLAGAHAGUNG!AA99+GRAJAGAN!AV99+KARETAN!O99+KRADENAN!AK99+PURWOHARJO!AK99+SIDOREJO!AA99+SUMBERASRI!X99</f>
        <v>263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30" t="s">
        <v>39</v>
      </c>
      <c r="B100" s="49"/>
      <c r="C100" s="50" t="s">
        <v>86</v>
      </c>
      <c r="D100" s="51"/>
      <c r="E100" s="24">
        <f>BULUREJO!AF100+GLAGAHAGUNG!AA100+GRAJAGAN!AV100+KARETAN!O100+KRADENAN!AK100+PURWOHARJO!AK100+SIDOREJO!AA100+SUMBERASRI!X100</f>
        <v>45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9" t="s">
        <v>15</v>
      </c>
      <c r="B101" s="47" t="s">
        <v>47</v>
      </c>
      <c r="C101" s="15"/>
      <c r="D101" s="16"/>
      <c r="E101" s="56">
        <f>SUM(E99:E100)</f>
        <v>308</v>
      </c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57"/>
      <c r="B102" s="58"/>
      <c r="C102" s="58"/>
      <c r="D102" s="58"/>
      <c r="E102" s="58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30" t="s">
        <v>37</v>
      </c>
      <c r="B103" s="47" t="s">
        <v>87</v>
      </c>
      <c r="C103" s="48" t="s">
        <v>88</v>
      </c>
      <c r="D103" s="16"/>
      <c r="E103" s="24">
        <f>BULUREJO!AF103+GLAGAHAGUNG!AA103+GRAJAGAN!AV103+KARETAN!O103+KRADENAN!AK103+PURWOHARJO!AK103+SIDOREJO!AA103+SUMBERASRI!X103</f>
        <v>76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30" t="s">
        <v>39</v>
      </c>
      <c r="B104" s="49"/>
      <c r="C104" s="50" t="s">
        <v>89</v>
      </c>
      <c r="D104" s="51"/>
      <c r="E104" s="24">
        <f>BULUREJO!AF104+GLAGAHAGUNG!AA104+GRAJAGAN!AV104+KARETAN!O104+KRADENAN!AK104+PURWOHARJO!AK104+SIDOREJO!AA104+SUMBERASRI!X104</f>
        <v>521</v>
      </c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18"/>
      <c r="B105" s="49"/>
      <c r="C105" s="50" t="s">
        <v>90</v>
      </c>
      <c r="D105" s="51"/>
      <c r="E105" s="24">
        <f>BULUREJO!AF105+GLAGAHAGUNG!AA105+GRAJAGAN!AV105+KARETAN!O105+KRADENAN!AK105+PURWOHARJO!AK105+SIDOREJO!AA105+SUMBERASRI!X105</f>
        <v>18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8"/>
      <c r="B106" s="49"/>
      <c r="C106" s="50" t="s">
        <v>91</v>
      </c>
      <c r="D106" s="51"/>
      <c r="E106" s="24">
        <f>BULUREJO!AF106+GLAGAHAGUNG!AA106+GRAJAGAN!AV106+KARETAN!O106+KRADENAN!AK106+PURWOHARJO!AK106+SIDOREJO!AA106+SUMBERASRI!X106</f>
        <v>18</v>
      </c>
      <c r="F106" s="52"/>
      <c r="G106" s="53"/>
      <c r="H106" s="53"/>
      <c r="I106" s="53"/>
      <c r="J106" s="53"/>
      <c r="K106" s="53"/>
      <c r="L106" s="53"/>
      <c r="M106" s="53"/>
      <c r="N106" s="53"/>
      <c r="O106" s="53"/>
      <c r="P106" s="54"/>
      <c r="Q106" s="3"/>
      <c r="R106" s="3"/>
      <c r="S106" s="3"/>
      <c r="T106" s="3"/>
      <c r="U106" s="3"/>
      <c r="V106" s="3"/>
      <c r="W106" s="55"/>
      <c r="X106" s="3"/>
      <c r="Y106" s="3"/>
      <c r="Z106" s="3"/>
    </row>
    <row r="107" ht="15.75" customHeight="1">
      <c r="A107" s="18"/>
      <c r="B107" s="49"/>
      <c r="C107" s="50" t="s">
        <v>92</v>
      </c>
      <c r="D107" s="51"/>
      <c r="E107" s="24">
        <f>BULUREJO!AF107+GLAGAHAGUNG!AA107+GRAJAGAN!AV107+KARETAN!O107+KRADENAN!AK107+PURWOHARJO!AK107+SIDOREJO!AA107+SUMBERASRI!X107</f>
        <v>11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49"/>
      <c r="C108" s="50" t="s">
        <v>93</v>
      </c>
      <c r="D108" s="51"/>
      <c r="E108" s="24">
        <f>BULUREJO!AF108+GLAGAHAGUNG!AA108+GRAJAGAN!AV108+KARETAN!O108+KRADENAN!AK108+PURWOHARJO!AK108+SIDOREJO!AA108+SUMBERASRI!X108</f>
        <v>0</v>
      </c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49"/>
      <c r="C109" s="50" t="s">
        <v>94</v>
      </c>
      <c r="D109" s="51"/>
      <c r="E109" s="24">
        <f>BULUREJO!AF109+GLAGAHAGUNG!AA109+GRAJAGAN!AV109+KARETAN!O109+KRADENAN!AK109+PURWOHARJO!AK109+SIDOREJO!AA109+SUMBERASRI!X109</f>
        <v>7</v>
      </c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49"/>
      <c r="C110" s="50" t="s">
        <v>95</v>
      </c>
      <c r="D110" s="51"/>
      <c r="E110" s="24">
        <f>BULUREJO!AF110+GLAGAHAGUNG!AA110+GRAJAGAN!AV110+KARETAN!O110+KRADENAN!AK110+PURWOHARJO!AK110+SIDOREJO!AA110+SUMBERASRI!X110</f>
        <v>0</v>
      </c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9" t="s">
        <v>15</v>
      </c>
      <c r="B111" s="47" t="s">
        <v>47</v>
      </c>
      <c r="C111" s="15"/>
      <c r="D111" s="16"/>
      <c r="E111" s="56">
        <f>SUM(E103:E110)</f>
        <v>651</v>
      </c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57"/>
      <c r="B112" s="58"/>
      <c r="C112" s="58"/>
      <c r="D112" s="58"/>
      <c r="E112" s="58"/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0" t="s">
        <v>37</v>
      </c>
      <c r="B113" s="47" t="s">
        <v>96</v>
      </c>
      <c r="C113" s="48" t="s">
        <v>97</v>
      </c>
      <c r="D113" s="16"/>
      <c r="E113" s="24">
        <f>BULUREJO!AF113+GLAGAHAGUNG!AA113+GRAJAGAN!AV113+KARETAN!O113+KRADENAN!AK113+PURWOHARJO!AK113+SIDOREJO!AA113+SUMBERASRI!X113</f>
        <v>8</v>
      </c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0" t="s">
        <v>39</v>
      </c>
      <c r="B114" s="47"/>
      <c r="C114" s="50" t="s">
        <v>98</v>
      </c>
      <c r="D114" s="62"/>
      <c r="E114" s="24">
        <f>BULUREJO!AF114+GLAGAHAGUNG!AA114+GRAJAGAN!AV114+KARETAN!O114+KRADENAN!AK114+PURWOHARJO!AK114+SIDOREJO!AA114+SUMBERASRI!X114</f>
        <v>6</v>
      </c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47</v>
      </c>
      <c r="C115" s="15"/>
      <c r="D115" s="16"/>
      <c r="E115" s="56">
        <f>SUM(E113:E114)</f>
        <v>14</v>
      </c>
      <c r="F115" s="52"/>
      <c r="G115" s="53"/>
      <c r="H115" s="53"/>
      <c r="I115" s="53"/>
      <c r="J115" s="53"/>
      <c r="K115" s="53"/>
      <c r="L115" s="53"/>
      <c r="M115" s="53"/>
      <c r="N115" s="53"/>
      <c r="O115" s="53"/>
      <c r="P115" s="54"/>
      <c r="Q115" s="3"/>
      <c r="R115" s="3"/>
      <c r="S115" s="3"/>
      <c r="T115" s="3"/>
      <c r="U115" s="3"/>
      <c r="V115" s="3"/>
      <c r="W115" s="55"/>
      <c r="X115" s="3"/>
      <c r="Y115" s="3"/>
      <c r="Z115" s="3"/>
    </row>
    <row r="116" ht="15.75" customHeight="1">
      <c r="A116" s="57"/>
      <c r="B116" s="58"/>
      <c r="C116" s="58"/>
      <c r="D116" s="58"/>
      <c r="E116" s="58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99</v>
      </c>
      <c r="C117" s="48" t="s">
        <v>100</v>
      </c>
      <c r="D117" s="16"/>
      <c r="E117" s="24">
        <f>BULUREJO!AF117+GLAGAHAGUNG!AA117+GRAJAGAN!AV117+KARETAN!O117+KRADENAN!AK117+PURWOHARJO!AK117+SIDOREJO!AA117+SUMBERASRI!X117</f>
        <v>11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49" t="s">
        <v>39</v>
      </c>
      <c r="C118" s="50" t="s">
        <v>101</v>
      </c>
      <c r="D118" s="51"/>
      <c r="E118" s="24">
        <f>BULUREJO!AF118+GLAGAHAGUNG!AA118+GRAJAGAN!AV118+KARETAN!O118+KRADENAN!AK118+PURWOHARJO!AK118+SIDOREJO!AA118+SUMBERASRI!X118</f>
        <v>9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49"/>
      <c r="C119" s="50" t="s">
        <v>102</v>
      </c>
      <c r="D119" s="51"/>
      <c r="E119" s="24">
        <f>BULUREJO!AF119+GLAGAHAGUNG!AA119+GRAJAGAN!AV119+KARETAN!O119+KRADENAN!AK119+PURWOHARJO!AK119+SIDOREJO!AA119+SUMBERASRI!X119</f>
        <v>9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49"/>
      <c r="C120" s="50" t="s">
        <v>103</v>
      </c>
      <c r="D120" s="51"/>
      <c r="E120" s="24">
        <f>BULUREJO!AF120+GLAGAHAGUNG!AA120+GRAJAGAN!AV120+KARETAN!O120+KRADENAN!AK120+PURWOHARJO!AK120+SIDOREJO!AA120+SUMBERASRI!X120</f>
        <v>16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49"/>
      <c r="C121" s="50" t="s">
        <v>104</v>
      </c>
      <c r="D121" s="51"/>
      <c r="E121" s="24">
        <f>BULUREJO!AF121+GLAGAHAGUNG!AA121+GRAJAGAN!AV121+KARETAN!O121+KRADENAN!AK121+PURWOHARJO!AK121+SIDOREJO!AA121+SUMBERASRI!X121</f>
        <v>37</v>
      </c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49"/>
      <c r="C122" s="50" t="s">
        <v>105</v>
      </c>
      <c r="D122" s="51"/>
      <c r="E122" s="24">
        <f>BULUREJO!AF122+GLAGAHAGUNG!AA122+GRAJAGAN!AV122+KARETAN!O122+KRADENAN!AK122+PURWOHARJO!AK122+SIDOREJO!AA122+SUMBERASRI!X122</f>
        <v>5</v>
      </c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49"/>
      <c r="C123" s="50" t="s">
        <v>106</v>
      </c>
      <c r="D123" s="51"/>
      <c r="E123" s="24">
        <f>BULUREJO!AF123+GLAGAHAGUNG!AA123+GRAJAGAN!AV123+KARETAN!O123+KRADENAN!AK123+PURWOHARJO!AK123+SIDOREJO!AA123+SUMBERASRI!X123</f>
        <v>6</v>
      </c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49"/>
      <c r="C124" s="50" t="s">
        <v>107</v>
      </c>
      <c r="D124" s="51"/>
      <c r="E124" s="24">
        <f>BULUREJO!AF124+GLAGAHAGUNG!AA124+GRAJAGAN!AV124+KARETAN!O124+KRADENAN!AK124+PURWOHARJO!AK124+SIDOREJO!AA124+SUMBERASRI!X124</f>
        <v>5</v>
      </c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9" t="s">
        <v>15</v>
      </c>
      <c r="B125" s="47" t="s">
        <v>47</v>
      </c>
      <c r="C125" s="15"/>
      <c r="D125" s="16"/>
      <c r="E125" s="56">
        <f>SUM(E117:E124)</f>
        <v>98</v>
      </c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57"/>
      <c r="B126" s="58"/>
      <c r="C126" s="58"/>
      <c r="D126" s="58"/>
      <c r="E126" s="58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30" t="s">
        <v>37</v>
      </c>
      <c r="B127" s="47" t="s">
        <v>108</v>
      </c>
      <c r="C127" s="48" t="s">
        <v>109</v>
      </c>
      <c r="D127" s="16"/>
      <c r="E127" s="24">
        <f>BULUREJO!AF127+GLAGAHAGUNG!AA127+GRAJAGAN!AV127+KARETAN!O127+KRADENAN!AK127+PURWOHARJO!AK127+SIDOREJO!AA127+SUMBERASRI!X127</f>
        <v>40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30" t="s">
        <v>39</v>
      </c>
      <c r="B128" s="49"/>
      <c r="C128" s="50"/>
      <c r="D128" s="51"/>
      <c r="E128" s="24">
        <f>BULUREJO!AF128+GLAGAHAGUNG!AA128+GRAJAGAN!AV128+KARETAN!O128+KRADENAN!AK128+PURWOHARJO!AK128+SIDOREJO!AA128+SUMBERASRI!X128</f>
        <v>0</v>
      </c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19" t="s">
        <v>15</v>
      </c>
      <c r="B129" s="47" t="s">
        <v>47</v>
      </c>
      <c r="C129" s="15"/>
      <c r="D129" s="16"/>
      <c r="E129" s="56">
        <f>SUM(E127:E128)</f>
        <v>40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7"/>
      <c r="B130" s="58"/>
      <c r="C130" s="58"/>
      <c r="D130" s="58"/>
      <c r="E130" s="58"/>
      <c r="F130" s="52"/>
      <c r="G130" s="53"/>
      <c r="H130" s="53"/>
      <c r="I130" s="53"/>
      <c r="J130" s="53"/>
      <c r="K130" s="53"/>
      <c r="L130" s="53"/>
      <c r="M130" s="53"/>
      <c r="N130" s="53"/>
      <c r="O130" s="53"/>
      <c r="P130" s="54"/>
      <c r="Q130" s="3"/>
      <c r="R130" s="3"/>
      <c r="S130" s="3"/>
      <c r="T130" s="3"/>
      <c r="U130" s="3"/>
      <c r="V130" s="3"/>
      <c r="W130" s="55"/>
      <c r="X130" s="3"/>
      <c r="Y130" s="3"/>
      <c r="Z130" s="3"/>
    </row>
    <row r="131" ht="15.75" customHeight="1">
      <c r="A131" s="30" t="s">
        <v>37</v>
      </c>
      <c r="B131" s="47" t="s">
        <v>110</v>
      </c>
      <c r="C131" s="48" t="s">
        <v>111</v>
      </c>
      <c r="D131" s="16"/>
      <c r="E131" s="24">
        <f>BULUREJO!AF131+GLAGAHAGUNG!AA131+GRAJAGAN!AV131+KARETAN!O131+KRADENAN!AK131+PURWOHARJO!AK131+SIDOREJO!AA131+SUMBERASRI!X131</f>
        <v>78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30" t="s">
        <v>39</v>
      </c>
      <c r="B132" s="49"/>
      <c r="C132" s="50" t="s">
        <v>112</v>
      </c>
      <c r="D132" s="51"/>
      <c r="E132" s="24">
        <f>BULUREJO!AF132+GLAGAHAGUNG!AA132+GRAJAGAN!AV132+KARETAN!O132+KRADENAN!AK132+PURWOHARJO!AK132+SIDOREJO!AA132+SUMBERASRI!X132</f>
        <v>54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49"/>
      <c r="C133" s="50" t="s">
        <v>113</v>
      </c>
      <c r="D133" s="51"/>
      <c r="E133" s="24">
        <f>BULUREJO!AF133+GLAGAHAGUNG!AA133+GRAJAGAN!AV133+KARETAN!O133+KRADENAN!AK133+PURWOHARJO!AK133+SIDOREJO!AA133+SUMBERASRI!X133</f>
        <v>64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49"/>
      <c r="C134" s="50" t="s">
        <v>114</v>
      </c>
      <c r="D134" s="51"/>
      <c r="E134" s="24">
        <f>BULUREJO!AF134+GLAGAHAGUNG!AA134+GRAJAGAN!AV134+KARETAN!O134+KRADENAN!AK134+PURWOHARJO!AK134+SIDOREJO!AA134+SUMBERASRI!X134</f>
        <v>6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49"/>
      <c r="C135" s="50" t="s">
        <v>115</v>
      </c>
      <c r="D135" s="51"/>
      <c r="E135" s="24">
        <f>BULUREJO!AF135+GLAGAHAGUNG!AA135+GRAJAGAN!AV135+KARETAN!O135+KRADENAN!AK135+PURWOHARJO!AK135+SIDOREJO!AA135+SUMBERASRI!X135</f>
        <v>4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9" t="s">
        <v>15</v>
      </c>
      <c r="B136" s="47" t="s">
        <v>47</v>
      </c>
      <c r="C136" s="15"/>
      <c r="D136" s="16"/>
      <c r="E136" s="56">
        <f>SUM(E131:E135)</f>
        <v>206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57"/>
      <c r="B137" s="58"/>
      <c r="C137" s="58"/>
      <c r="D137" s="58"/>
      <c r="E137" s="58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30" t="s">
        <v>37</v>
      </c>
      <c r="B138" s="47" t="s">
        <v>116</v>
      </c>
      <c r="C138" s="48" t="s">
        <v>117</v>
      </c>
      <c r="D138" s="16"/>
      <c r="E138" s="24">
        <f>BULUREJO!AF138+GLAGAHAGUNG!AA138+GRAJAGAN!AV138+KARETAN!O138+KRADENAN!AK138+PURWOHARJO!AK138+SIDOREJO!AA138+SUMBERASRI!X138</f>
        <v>2</v>
      </c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30" t="s">
        <v>39</v>
      </c>
      <c r="B139" s="49"/>
      <c r="C139" s="50" t="s">
        <v>118</v>
      </c>
      <c r="D139" s="51"/>
      <c r="E139" s="24">
        <f>BULUREJO!AF139+GLAGAHAGUNG!AA139+GRAJAGAN!AV139+KARETAN!O139+KRADENAN!AK139+PURWOHARJO!AK139+SIDOREJO!AA139+SUMBERASRI!X139</f>
        <v>2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18"/>
      <c r="B140" s="49"/>
      <c r="C140" s="50" t="s">
        <v>119</v>
      </c>
      <c r="D140" s="51"/>
      <c r="E140" s="24">
        <f>BULUREJO!AF140+GLAGAHAGUNG!AA140+GRAJAGAN!AV140+KARETAN!O140+KRADENAN!AK140+PURWOHARJO!AK140+SIDOREJO!AA140+SUMBERASRI!X140</f>
        <v>9</v>
      </c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18"/>
      <c r="B141" s="49"/>
      <c r="C141" s="50" t="s">
        <v>120</v>
      </c>
      <c r="D141" s="51"/>
      <c r="E141" s="24">
        <f>BULUREJO!AF141+GLAGAHAGUNG!AA141+GRAJAGAN!AV141+KARETAN!O141+KRADENAN!AK141+PURWOHARJO!AK141+SIDOREJO!AA141+SUMBERASRI!X141</f>
        <v>4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8"/>
      <c r="B142" s="49"/>
      <c r="C142" s="50" t="s">
        <v>121</v>
      </c>
      <c r="D142" s="51"/>
      <c r="E142" s="24">
        <f>BULUREJO!AF142+GLAGAHAGUNG!AA142+GRAJAGAN!AV142+KARETAN!O142+KRADENAN!AK142+PURWOHARJO!AK142+SIDOREJO!AA142+SUMBERASRI!X142</f>
        <v>0</v>
      </c>
      <c r="F142" s="52"/>
      <c r="G142" s="53"/>
      <c r="H142" s="53"/>
      <c r="I142" s="53"/>
      <c r="J142" s="53"/>
      <c r="K142" s="53"/>
      <c r="L142" s="53"/>
      <c r="M142" s="53"/>
      <c r="N142" s="53"/>
      <c r="O142" s="53"/>
      <c r="P142" s="54"/>
      <c r="Q142" s="3"/>
      <c r="R142" s="3"/>
      <c r="S142" s="3"/>
      <c r="T142" s="3"/>
      <c r="U142" s="3"/>
      <c r="V142" s="3"/>
      <c r="W142" s="55"/>
      <c r="X142" s="3"/>
      <c r="Y142" s="3"/>
      <c r="Z142" s="3"/>
    </row>
    <row r="143" ht="15.75" customHeight="1">
      <c r="A143" s="18"/>
      <c r="B143" s="49"/>
      <c r="C143" s="50" t="s">
        <v>122</v>
      </c>
      <c r="D143" s="51"/>
      <c r="E143" s="24">
        <f>BULUREJO!AF143+GLAGAHAGUNG!AA143+GRAJAGAN!AV143+KARETAN!O143+KRADENAN!AK143+PURWOHARJO!AK143+SIDOREJO!AA143+SUMBERASRI!X143</f>
        <v>1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49"/>
      <c r="C144" s="50" t="s">
        <v>123</v>
      </c>
      <c r="D144" s="51"/>
      <c r="E144" s="24">
        <f>BULUREJO!AF144+GLAGAHAGUNG!AA144+GRAJAGAN!AV144+KARETAN!O144+KRADENAN!AK144+PURWOHARJO!AK144+SIDOREJO!AA144+SUMBERASRI!X144</f>
        <v>2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49"/>
      <c r="C145" s="50" t="s">
        <v>124</v>
      </c>
      <c r="D145" s="51"/>
      <c r="E145" s="24">
        <f>BULUREJO!AF145+GLAGAHAGUNG!AA145+GRAJAGAN!AV145+KARETAN!O145+KRADENAN!AK145+PURWOHARJO!AK145+SIDOREJO!AA145+SUMBERASRI!X145</f>
        <v>1</v>
      </c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9" t="s">
        <v>15</v>
      </c>
      <c r="B146" s="47" t="s">
        <v>47</v>
      </c>
      <c r="C146" s="15"/>
      <c r="D146" s="16"/>
      <c r="E146" s="56">
        <f>SUM(E138:E145)</f>
        <v>21</v>
      </c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57"/>
      <c r="B147" s="58"/>
      <c r="C147" s="58"/>
      <c r="D147" s="58"/>
      <c r="E147" s="58"/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30" t="s">
        <v>37</v>
      </c>
      <c r="B148" s="47" t="s">
        <v>125</v>
      </c>
      <c r="C148" s="48" t="s">
        <v>126</v>
      </c>
      <c r="D148" s="16"/>
      <c r="E148" s="24">
        <f>BULUREJO!AF148+GLAGAHAGUNG!AA148+GRAJAGAN!AV148+KARETAN!O148+KRADENAN!AK148+PURWOHARJO!AK148+SIDOREJO!AA148+SUMBERASRI!X148</f>
        <v>437</v>
      </c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30" t="s">
        <v>39</v>
      </c>
      <c r="B149" s="49"/>
      <c r="C149" s="50" t="s">
        <v>127</v>
      </c>
      <c r="D149" s="51"/>
      <c r="E149" s="24">
        <f>BULUREJO!AF149+GLAGAHAGUNG!AA149+GRAJAGAN!AV149+KARETAN!O149+KRADENAN!AK149+PURWOHARJO!AK149+SIDOREJO!AA149+SUMBERASRI!X149</f>
        <v>147</v>
      </c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49"/>
      <c r="C150" s="50" t="s">
        <v>128</v>
      </c>
      <c r="D150" s="51"/>
      <c r="E150" s="24">
        <f>BULUREJO!AF150+GLAGAHAGUNG!AA150+GRAJAGAN!AV150+KARETAN!O150+KRADENAN!AK150+PURWOHARJO!AK150+SIDOREJO!AA150+SUMBERASRI!X150</f>
        <v>79</v>
      </c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8"/>
      <c r="B151" s="49"/>
      <c r="C151" s="50" t="s">
        <v>129</v>
      </c>
      <c r="D151" s="51"/>
      <c r="E151" s="24">
        <f>BULUREJO!AF151+GLAGAHAGUNG!AA151+GRAJAGAN!AV151+KARETAN!O151+KRADENAN!AK151+PURWOHARJO!AK151+SIDOREJO!AA151+SUMBERASRI!X151</f>
        <v>70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18"/>
      <c r="B152" s="49"/>
      <c r="C152" s="50" t="s">
        <v>130</v>
      </c>
      <c r="D152" s="51"/>
      <c r="E152" s="24">
        <f>BULUREJO!AF152+GLAGAHAGUNG!AA152+GRAJAGAN!AV152+KARETAN!O152+KRADENAN!AK152+PURWOHARJO!AK152+SIDOREJO!AA152+SUMBERASRI!X152</f>
        <v>158</v>
      </c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8"/>
      <c r="B153" s="49"/>
      <c r="C153" s="50" t="s">
        <v>131</v>
      </c>
      <c r="D153" s="51"/>
      <c r="E153" s="24">
        <f>BULUREJO!AF153+GLAGAHAGUNG!AA153+GRAJAGAN!AV153+KARETAN!O153+KRADENAN!AK153+PURWOHARJO!AK153+SIDOREJO!AA153+SUMBERASRI!X153</f>
        <v>23</v>
      </c>
      <c r="F153" s="52"/>
      <c r="G153" s="53"/>
      <c r="H153" s="53"/>
      <c r="I153" s="53"/>
      <c r="J153" s="53"/>
      <c r="K153" s="53"/>
      <c r="L153" s="53"/>
      <c r="M153" s="53"/>
      <c r="N153" s="53"/>
      <c r="O153" s="53"/>
      <c r="P153" s="54"/>
      <c r="Q153" s="3"/>
      <c r="R153" s="3"/>
      <c r="S153" s="3"/>
      <c r="T153" s="3"/>
      <c r="U153" s="3"/>
      <c r="V153" s="3"/>
      <c r="W153" s="55"/>
      <c r="X153" s="3"/>
      <c r="Y153" s="3"/>
      <c r="Z153" s="3"/>
    </row>
    <row r="154" ht="15.75" customHeight="1">
      <c r="A154" s="18"/>
      <c r="B154" s="49"/>
      <c r="C154" s="50" t="s">
        <v>132</v>
      </c>
      <c r="D154" s="51"/>
      <c r="E154" s="24">
        <f>BULUREJO!AF154+GLAGAHAGUNG!AA154+GRAJAGAN!AV154+KARETAN!O154+KRADENAN!AK154+PURWOHARJO!AK154+SIDOREJO!AA154+SUMBERASRI!X154</f>
        <v>20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49"/>
      <c r="C155" s="50" t="s">
        <v>133</v>
      </c>
      <c r="D155" s="51"/>
      <c r="E155" s="24">
        <f>BULUREJO!AF155+GLAGAHAGUNG!AA155+GRAJAGAN!AV155+KARETAN!O155+KRADENAN!AK155+PURWOHARJO!AK155+SIDOREJO!AA155+SUMBERASRI!X155</f>
        <v>5510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9" t="s">
        <v>15</v>
      </c>
      <c r="B156" s="47" t="s">
        <v>47</v>
      </c>
      <c r="C156" s="15"/>
      <c r="D156" s="16"/>
      <c r="E156" s="56">
        <f>SUM(E148:E155)</f>
        <v>6444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57"/>
      <c r="B157" s="58"/>
      <c r="C157" s="58"/>
      <c r="D157" s="58"/>
      <c r="E157" s="58"/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30" t="s">
        <v>37</v>
      </c>
      <c r="B158" s="47" t="s">
        <v>134</v>
      </c>
      <c r="C158" s="48" t="s">
        <v>135</v>
      </c>
      <c r="D158" s="16"/>
      <c r="E158" s="24">
        <f>BULUREJO!AF158+GLAGAHAGUNG!AA158+GRAJAGAN!AV158+KARETAN!O158+KRADENAN!AK158+PURWOHARJO!AK158+SIDOREJO!AA158+SUMBERASRI!X158</f>
        <v>137</v>
      </c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30" t="s">
        <v>39</v>
      </c>
      <c r="B159" s="49"/>
      <c r="C159" s="50" t="s">
        <v>136</v>
      </c>
      <c r="D159" s="51"/>
      <c r="E159" s="24">
        <f>BULUREJO!AF159+GLAGAHAGUNG!AA159+GRAJAGAN!AV159+KARETAN!O159+KRADENAN!AK159+PURWOHARJO!AK159+SIDOREJO!AA159+SUMBERASRI!X159</f>
        <v>115</v>
      </c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30"/>
      <c r="B160" s="49"/>
      <c r="C160" s="50" t="s">
        <v>137</v>
      </c>
      <c r="D160" s="51"/>
      <c r="E160" s="24">
        <f>BULUREJO!AF160+GLAGAHAGUNG!AA160+GRAJAGAN!AV160+KARETAN!O160+KRADENAN!AK160+PURWOHARJO!AK160+SIDOREJO!AA160+SUMBERASRI!X160</f>
        <v>40</v>
      </c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9" t="s">
        <v>15</v>
      </c>
      <c r="B161" s="47" t="s">
        <v>47</v>
      </c>
      <c r="C161" s="15"/>
      <c r="D161" s="16"/>
      <c r="E161" s="56">
        <f>SUM(E158:E160)</f>
        <v>292</v>
      </c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57"/>
      <c r="B162" s="58"/>
      <c r="C162" s="58"/>
      <c r="D162" s="58"/>
      <c r="E162" s="58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30" t="s">
        <v>37</v>
      </c>
      <c r="B163" s="47" t="s">
        <v>138</v>
      </c>
      <c r="C163" s="48" t="s">
        <v>139</v>
      </c>
      <c r="D163" s="16"/>
      <c r="E163" s="24">
        <f>BULUREJO!AF163+GLAGAHAGUNG!AA163+GRAJAGAN!AV163+KARETAN!O163+KRADENAN!AK163+PURWOHARJO!AK163+SIDOREJO!AA163+SUMBERASRI!X163</f>
        <v>21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30" t="s">
        <v>39</v>
      </c>
      <c r="B164" s="47"/>
      <c r="C164" s="50" t="s">
        <v>140</v>
      </c>
      <c r="D164" s="62"/>
      <c r="E164" s="24">
        <f>BULUREJO!AF164+GLAGAHAGUNG!AA164+GRAJAGAN!AV164+KARETAN!O164+KRADENAN!AK164+PURWOHARJO!AK164+SIDOREJO!AA164+SUMBERASRI!X164</f>
        <v>52</v>
      </c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19" t="s">
        <v>15</v>
      </c>
      <c r="B165" s="47" t="s">
        <v>47</v>
      </c>
      <c r="C165" s="15"/>
      <c r="D165" s="16"/>
      <c r="E165" s="56">
        <f>SUM(E163:E164)</f>
        <v>73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7"/>
      <c r="B166" s="58"/>
      <c r="C166" s="58"/>
      <c r="D166" s="58"/>
      <c r="E166" s="58"/>
      <c r="F166" s="52"/>
      <c r="G166" s="53"/>
      <c r="H166" s="53"/>
      <c r="I166" s="53"/>
      <c r="J166" s="53"/>
      <c r="K166" s="53"/>
      <c r="L166" s="53"/>
      <c r="M166" s="53"/>
      <c r="N166" s="53"/>
      <c r="O166" s="53"/>
      <c r="P166" s="54"/>
      <c r="Q166" s="3"/>
      <c r="R166" s="3"/>
      <c r="S166" s="3"/>
      <c r="T166" s="3"/>
      <c r="U166" s="3"/>
      <c r="V166" s="3"/>
      <c r="W166" s="55"/>
      <c r="X166" s="3"/>
      <c r="Y166" s="3"/>
      <c r="Z166" s="3"/>
    </row>
    <row r="167" ht="15.75" customHeight="1">
      <c r="A167" s="30" t="s">
        <v>37</v>
      </c>
      <c r="B167" s="47" t="s">
        <v>141</v>
      </c>
      <c r="C167" s="48" t="s">
        <v>142</v>
      </c>
      <c r="D167" s="16"/>
      <c r="E167" s="24">
        <f>BULUREJO!AF167+GLAGAHAGUNG!AA167+GRAJAGAN!AV167+KARETAN!O167+KRADENAN!AK167+PURWOHARJO!AK167+SIDOREJO!AA167+SUMBERASRI!X167</f>
        <v>69</v>
      </c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30" t="s">
        <v>39</v>
      </c>
      <c r="B168" s="49"/>
      <c r="C168" s="50" t="s">
        <v>143</v>
      </c>
      <c r="D168" s="51"/>
      <c r="E168" s="24">
        <f>BULUREJO!AF168+GLAGAHAGUNG!AA168+GRAJAGAN!AV168+KARETAN!O168+KRADENAN!AK168+PURWOHARJO!AK168+SIDOREJO!AA168+SUMBERASRI!X168</f>
        <v>167</v>
      </c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49"/>
      <c r="C169" s="50" t="s">
        <v>144</v>
      </c>
      <c r="D169" s="51"/>
      <c r="E169" s="24">
        <f>BULUREJO!AF169+GLAGAHAGUNG!AA169+GRAJAGAN!AV169+KARETAN!O169+KRADENAN!AK169+PURWOHARJO!AK169+SIDOREJO!AA169+SUMBERASRI!X169</f>
        <v>18</v>
      </c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49"/>
      <c r="C170" s="50" t="s">
        <v>145</v>
      </c>
      <c r="D170" s="51"/>
      <c r="E170" s="24">
        <f>BULUREJO!AF170+GLAGAHAGUNG!AA170+GRAJAGAN!AV170+KARETAN!O170+KRADENAN!AK170+PURWOHARJO!AK170+SIDOREJO!AA170+SUMBERASRI!X170</f>
        <v>13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49"/>
      <c r="C171" s="50" t="s">
        <v>146</v>
      </c>
      <c r="D171" s="51"/>
      <c r="E171" s="24">
        <f>BULUREJO!AF171+GLAGAHAGUNG!AA171+GRAJAGAN!AV171+KARETAN!O171+KRADENAN!AK171+PURWOHARJO!AK171+SIDOREJO!AA171+SUMBERASRI!X171</f>
        <v>9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49"/>
      <c r="C172" s="50" t="s">
        <v>147</v>
      </c>
      <c r="D172" s="51"/>
      <c r="E172" s="24">
        <f>BULUREJO!AF172+GLAGAHAGUNG!AA172+GRAJAGAN!AV172+KARETAN!O172+KRADENAN!AK172+PURWOHARJO!AK172+SIDOREJO!AA172+SUMBERASRI!X172</f>
        <v>5</v>
      </c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49"/>
      <c r="C173" s="50" t="s">
        <v>148</v>
      </c>
      <c r="D173" s="51"/>
      <c r="E173" s="24">
        <f>BULUREJO!AF173+GLAGAHAGUNG!AA173+GRAJAGAN!AV173+KARETAN!O173+KRADENAN!AK173+PURWOHARJO!AK173+SIDOREJO!AA173+SUMBERASRI!X173</f>
        <v>14</v>
      </c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49"/>
      <c r="C174" s="50" t="s">
        <v>149</v>
      </c>
      <c r="D174" s="51"/>
      <c r="E174" s="24">
        <f>BULUREJO!AF174+GLAGAHAGUNG!AA174+GRAJAGAN!AV174+KARETAN!O174+KRADENAN!AK174+PURWOHARJO!AK174+SIDOREJO!AA174+SUMBERASRI!X174</f>
        <v>20</v>
      </c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47</v>
      </c>
      <c r="C175" s="15"/>
      <c r="D175" s="16"/>
      <c r="E175" s="56">
        <f>SUM(E167:E174)</f>
        <v>315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57"/>
      <c r="B176" s="58"/>
      <c r="C176" s="58"/>
      <c r="D176" s="58"/>
      <c r="E176" s="58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150</v>
      </c>
      <c r="C177" s="48" t="s">
        <v>151</v>
      </c>
      <c r="D177" s="16"/>
      <c r="E177" s="24">
        <f>BULUREJO!AF177+GLAGAHAGUNG!AA177+GRAJAGAN!AV177+KARETAN!O177+KRADENAN!AK177+PURWOHARJO!AK177+SIDOREJO!AA177+SUMBERASRI!X177</f>
        <v>37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/>
      <c r="B178" s="47"/>
      <c r="C178" s="50" t="s">
        <v>152</v>
      </c>
      <c r="D178" s="62"/>
      <c r="E178" s="24">
        <f>BULUREJO!AF178+GLAGAHAGUNG!AA178+GRAJAGAN!AV178+KARETAN!O178+KRADENAN!AK178+PURWOHARJO!AK178+SIDOREJO!AA178+SUMBERASRI!X178</f>
        <v>33</v>
      </c>
      <c r="F178" s="52"/>
      <c r="G178" s="53"/>
      <c r="H178" s="53"/>
      <c r="I178" s="53"/>
      <c r="J178" s="53"/>
      <c r="K178" s="53"/>
      <c r="L178" s="53"/>
      <c r="M178" s="53"/>
      <c r="N178" s="53"/>
      <c r="O178" s="53"/>
      <c r="P178" s="54"/>
      <c r="Q178" s="3"/>
      <c r="R178" s="3"/>
      <c r="S178" s="3"/>
      <c r="T178" s="3"/>
      <c r="U178" s="3"/>
      <c r="V178" s="3"/>
      <c r="W178" s="55"/>
      <c r="X178" s="3"/>
      <c r="Y178" s="3"/>
      <c r="Z178" s="3"/>
    </row>
    <row r="179" ht="15.75" customHeight="1">
      <c r="A179" s="30"/>
      <c r="B179" s="47"/>
      <c r="C179" s="50" t="s">
        <v>153</v>
      </c>
      <c r="D179" s="62"/>
      <c r="E179" s="24">
        <f>BULUREJO!AF179+GLAGAHAGUNG!AA179+GRAJAGAN!AV179+KARETAN!O179+KRADENAN!AK179+PURWOHARJO!AK179+SIDOREJO!AA179+SUMBERASRI!X179</f>
        <v>48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30" t="s">
        <v>39</v>
      </c>
      <c r="B180" s="49"/>
      <c r="C180" s="50" t="s">
        <v>154</v>
      </c>
      <c r="D180" s="51"/>
      <c r="E180" s="24">
        <f>BULUREJO!AF180+GLAGAHAGUNG!AA180+GRAJAGAN!AV180+KARETAN!O180+KRADENAN!AK180+PURWOHARJO!AK180+SIDOREJO!AA180+SUMBERASRI!X180</f>
        <v>5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9" t="s">
        <v>15</v>
      </c>
      <c r="B181" s="47" t="s">
        <v>47</v>
      </c>
      <c r="C181" s="15"/>
      <c r="D181" s="16"/>
      <c r="E181" s="56">
        <f>SUM(E177:E180)</f>
        <v>123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57"/>
      <c r="B182" s="58"/>
      <c r="C182" s="58"/>
      <c r="D182" s="63"/>
      <c r="E182" s="24"/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42" t="s">
        <v>155</v>
      </c>
      <c r="B183" s="14" t="s">
        <v>156</v>
      </c>
      <c r="C183" s="15"/>
      <c r="D183" s="16"/>
      <c r="E183" s="13"/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42"/>
      <c r="B184" s="64" t="s">
        <v>157</v>
      </c>
      <c r="C184" s="65" t="s">
        <v>158</v>
      </c>
      <c r="D184" s="16"/>
      <c r="E184" s="24">
        <f>BULUREJO!AF184+GLAGAHAGUNG!AA184+GRAJAGAN!AV184+KARETAN!O184+KRADENAN!AK184+PURWOHARJO!AK184+SIDOREJO!AA184+SUMBERASRI!X184</f>
        <v>41527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35"/>
      <c r="B185" s="64" t="s">
        <v>159</v>
      </c>
      <c r="C185" s="65" t="s">
        <v>160</v>
      </c>
      <c r="D185" s="16"/>
      <c r="E185" s="24">
        <f>BULUREJO!AF185+GLAGAHAGUNG!AA185+GRAJAGAN!AV185+KARETAN!O185+KRADENAN!AK185+PURWOHARJO!AK185+SIDOREJO!AA185+SUMBERASRI!X185</f>
        <v>2109</v>
      </c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41"/>
      <c r="B186" s="64" t="s">
        <v>161</v>
      </c>
      <c r="C186" s="65" t="s">
        <v>162</v>
      </c>
      <c r="D186" s="16"/>
      <c r="E186" s="13">
        <f>SUM(E184:E185)</f>
        <v>43636</v>
      </c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5"/>
      <c r="B187" s="66"/>
      <c r="C187" s="6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5"/>
      <c r="B188" s="66"/>
      <c r="C188" s="6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66"/>
      <c r="C189" s="6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66"/>
      <c r="C190" s="6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66"/>
      <c r="C191" s="6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66"/>
      <c r="C192" s="6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66"/>
      <c r="C193" s="6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66"/>
      <c r="C194" s="6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66"/>
      <c r="C195" s="6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66"/>
      <c r="C196" s="6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66"/>
      <c r="C197" s="6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66"/>
      <c r="C198" s="6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66"/>
      <c r="C199" s="6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66"/>
      <c r="C200" s="6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66"/>
      <c r="C201" s="6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66"/>
      <c r="C202" s="6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66"/>
      <c r="C203" s="6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66"/>
      <c r="C204" s="6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66"/>
      <c r="C205" s="6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66"/>
      <c r="C206" s="6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66"/>
      <c r="C207" s="6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66"/>
      <c r="C208" s="6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66"/>
      <c r="C209" s="6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66"/>
      <c r="C210" s="6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66"/>
      <c r="C211" s="6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66"/>
      <c r="C212" s="6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66"/>
      <c r="C213" s="6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66"/>
      <c r="C214" s="6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66"/>
      <c r="C215" s="6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66"/>
      <c r="C216" s="6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66"/>
      <c r="C217" s="6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66"/>
      <c r="C218" s="6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66"/>
      <c r="C219" s="6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66"/>
      <c r="C220" s="6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66"/>
      <c r="C221" s="6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66"/>
      <c r="C222" s="6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66"/>
      <c r="C223" s="6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66"/>
      <c r="C224" s="6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66"/>
      <c r="C225" s="6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66"/>
      <c r="C226" s="6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66"/>
      <c r="C227" s="6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66"/>
      <c r="C228" s="6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66"/>
      <c r="C229" s="6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66"/>
      <c r="C230" s="6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66"/>
      <c r="C231" s="6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66"/>
      <c r="C232" s="6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66"/>
      <c r="C233" s="6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66"/>
      <c r="C234" s="6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66"/>
      <c r="C235" s="6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66"/>
      <c r="C236" s="6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66"/>
      <c r="C237" s="6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66"/>
      <c r="C238" s="6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66"/>
      <c r="C239" s="6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66"/>
      <c r="C240" s="6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66"/>
      <c r="C241" s="6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66"/>
      <c r="C242" s="6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66"/>
      <c r="C243" s="6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66"/>
      <c r="C244" s="6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66"/>
      <c r="C245" s="6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66"/>
      <c r="C246" s="6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66"/>
      <c r="C247" s="6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66"/>
      <c r="C248" s="6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66"/>
      <c r="C249" s="6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66"/>
      <c r="C250" s="6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66"/>
      <c r="C251" s="6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66"/>
      <c r="C252" s="6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66"/>
      <c r="C253" s="6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66"/>
      <c r="C254" s="6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66"/>
      <c r="C255" s="6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66"/>
      <c r="C256" s="6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66"/>
      <c r="C257" s="6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66"/>
      <c r="C258" s="6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66"/>
      <c r="C259" s="6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66"/>
      <c r="C260" s="6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10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66"/>
      <c r="C261" s="6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10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66"/>
      <c r="C262" s="6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hidden="1" customHeight="1">
      <c r="A263" s="5"/>
      <c r="B263" s="66"/>
      <c r="C263" s="6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hidden="1" customHeight="1">
      <c r="A264" s="5"/>
      <c r="B264" s="66"/>
      <c r="C264" s="6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hidden="1" customHeight="1">
      <c r="A265" s="5"/>
      <c r="B265" s="66"/>
      <c r="C265" s="6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hidden="1" customHeight="1">
      <c r="A266" s="5"/>
      <c r="B266" s="66"/>
      <c r="C266" s="6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hidden="1" customHeight="1">
      <c r="A267" s="5"/>
      <c r="B267" s="66"/>
      <c r="C267" s="6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66"/>
      <c r="C268" s="6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66"/>
      <c r="C269" s="6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66"/>
      <c r="C270" s="6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66"/>
      <c r="C271" s="6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66"/>
      <c r="C272" s="6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66"/>
      <c r="C273" s="6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66"/>
      <c r="C274" s="6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66"/>
      <c r="C275" s="6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66"/>
      <c r="C276" s="6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66"/>
      <c r="C277" s="6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66"/>
      <c r="C278" s="6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66"/>
      <c r="C279" s="6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66"/>
      <c r="C280" s="6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66"/>
      <c r="C281" s="6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66"/>
      <c r="C282" s="6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66"/>
      <c r="C283" s="6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66"/>
      <c r="C284" s="6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66"/>
      <c r="C285" s="6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66"/>
      <c r="C286" s="6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66"/>
      <c r="C287" s="6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66"/>
      <c r="C288" s="6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66"/>
      <c r="C289" s="6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66"/>
      <c r="C290" s="6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66"/>
      <c r="C291" s="6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66"/>
      <c r="C292" s="6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66"/>
      <c r="C293" s="6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66"/>
      <c r="C294" s="6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66"/>
      <c r="C295" s="6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66"/>
      <c r="C296" s="6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66"/>
      <c r="C297" s="6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66"/>
      <c r="C298" s="6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66"/>
      <c r="C299" s="6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66"/>
      <c r="C300" s="6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66"/>
      <c r="C301" s="6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66"/>
      <c r="C302" s="6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66"/>
      <c r="C303" s="6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66"/>
      <c r="C304" s="6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66"/>
      <c r="C305" s="6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66"/>
      <c r="C306" s="6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66"/>
      <c r="C307" s="6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66"/>
      <c r="C308" s="6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66"/>
      <c r="C309" s="6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66"/>
      <c r="C310" s="6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66"/>
      <c r="C311" s="6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66"/>
      <c r="C312" s="6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66"/>
      <c r="C313" s="6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66"/>
      <c r="C314" s="6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66"/>
      <c r="C315" s="6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66"/>
      <c r="C316" s="6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66"/>
      <c r="C317" s="6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66"/>
      <c r="C318" s="6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66"/>
      <c r="C319" s="6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66"/>
      <c r="C320" s="6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66"/>
      <c r="C321" s="6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66"/>
      <c r="C322" s="6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66"/>
      <c r="C323" s="6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66"/>
      <c r="C324" s="6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66"/>
      <c r="C325" s="6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66"/>
      <c r="C326" s="6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66"/>
      <c r="C327" s="6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66"/>
      <c r="C328" s="6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66"/>
      <c r="C329" s="6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66"/>
      <c r="C330" s="6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66"/>
      <c r="C331" s="6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66"/>
      <c r="C332" s="6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66"/>
      <c r="C333" s="6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66"/>
      <c r="C334" s="6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66"/>
      <c r="C335" s="6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66"/>
      <c r="C336" s="6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66"/>
      <c r="C337" s="6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66"/>
      <c r="C338" s="6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66"/>
      <c r="C339" s="6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66"/>
      <c r="C340" s="6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66"/>
      <c r="C341" s="6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66"/>
      <c r="C342" s="6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66"/>
      <c r="C343" s="6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66"/>
      <c r="C344" s="6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66"/>
      <c r="C345" s="6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66"/>
      <c r="C346" s="6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66"/>
      <c r="C347" s="6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66"/>
      <c r="C348" s="6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66"/>
      <c r="C349" s="6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66"/>
      <c r="C350" s="6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66"/>
      <c r="C351" s="6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66"/>
      <c r="C352" s="6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66"/>
      <c r="C353" s="6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66"/>
      <c r="C354" s="6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66"/>
      <c r="C355" s="6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66"/>
      <c r="C356" s="6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66"/>
      <c r="C357" s="6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66"/>
      <c r="C358" s="6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66"/>
      <c r="C359" s="6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66"/>
      <c r="C360" s="6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66"/>
      <c r="C361" s="6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66"/>
      <c r="C362" s="6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66"/>
      <c r="C363" s="6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66"/>
      <c r="C364" s="6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66"/>
      <c r="C365" s="6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66"/>
      <c r="C366" s="6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66"/>
      <c r="C367" s="6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66"/>
      <c r="C368" s="6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66"/>
      <c r="C369" s="6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66"/>
      <c r="C370" s="6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66"/>
      <c r="C371" s="6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66"/>
      <c r="C372" s="6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66"/>
      <c r="C373" s="6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66"/>
      <c r="C374" s="6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66"/>
      <c r="C375" s="6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66"/>
      <c r="C376" s="6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66"/>
      <c r="C377" s="6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66"/>
      <c r="C378" s="6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66"/>
      <c r="C379" s="6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66"/>
      <c r="C380" s="6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66"/>
      <c r="C381" s="6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66"/>
      <c r="C382" s="6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66"/>
      <c r="C383" s="67"/>
      <c r="D383" s="5"/>
      <c r="E383" s="5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66"/>
      <c r="C384" s="67"/>
      <c r="D384" s="5"/>
      <c r="E384" s="5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66"/>
      <c r="C385" s="67"/>
      <c r="D385" s="5"/>
      <c r="E385" s="5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66"/>
      <c r="C386" s="67"/>
      <c r="D386" s="5"/>
      <c r="E386" s="5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B136:D136"/>
    <mergeCell ref="C138:D138"/>
    <mergeCell ref="B146:D146"/>
    <mergeCell ref="C148:D148"/>
    <mergeCell ref="B156:D156"/>
    <mergeCell ref="C158:D158"/>
    <mergeCell ref="B161:D161"/>
    <mergeCell ref="C184:D184"/>
    <mergeCell ref="C185:D185"/>
    <mergeCell ref="C186:D186"/>
    <mergeCell ref="C163:D163"/>
    <mergeCell ref="B165:D165"/>
    <mergeCell ref="C167:D167"/>
    <mergeCell ref="B175:D175"/>
    <mergeCell ref="C177:D177"/>
    <mergeCell ref="B181:D181"/>
    <mergeCell ref="B183:D183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B53:D53"/>
    <mergeCell ref="C55:D55"/>
    <mergeCell ref="B63:D63"/>
    <mergeCell ref="C65:D65"/>
    <mergeCell ref="B73:D73"/>
    <mergeCell ref="C75:D75"/>
    <mergeCell ref="B83:D83"/>
    <mergeCell ref="C85:D85"/>
    <mergeCell ref="B93:D93"/>
    <mergeCell ref="C95:D95"/>
    <mergeCell ref="B97:D97"/>
    <mergeCell ref="C99:D99"/>
    <mergeCell ref="B101:D101"/>
    <mergeCell ref="C103:D103"/>
    <mergeCell ref="B111:D111"/>
    <mergeCell ref="C113:D113"/>
    <mergeCell ref="B115:D115"/>
    <mergeCell ref="C117:D117"/>
    <mergeCell ref="B125:D125"/>
    <mergeCell ref="C127:D127"/>
    <mergeCell ref="B129:D129"/>
    <mergeCell ref="C131:D131"/>
  </mergeCells>
  <conditionalFormatting sqref="E186">
    <cfRule type="expression" dxfId="0" priority="1">
      <formula>E186&lt;&gt;#REF!</formula>
    </cfRule>
  </conditionalFormatting>
  <conditionalFormatting sqref="E186">
    <cfRule type="expression" dxfId="1" priority="2">
      <formula>#REF!&lt;&gt;E186</formula>
    </cfRule>
  </conditionalFormatting>
  <conditionalFormatting sqref="E186">
    <cfRule type="expression" dxfId="2" priority="3">
      <formula>#REF!=E186</formula>
    </cfRule>
  </conditionalFormatting>
  <conditionalFormatting sqref="E30">
    <cfRule type="expression" dxfId="0" priority="4">
      <formula>E30&lt;&gt;#REF!</formula>
    </cfRule>
  </conditionalFormatting>
  <conditionalFormatting sqref="E30">
    <cfRule type="expression" dxfId="0" priority="5">
      <formula>E30&lt;&gt;E34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7" width="8.71"/>
    <col customWidth="1" min="48" max="48" width="13.29"/>
    <col customWidth="1" min="49" max="5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163</v>
      </c>
      <c r="D9" s="8" t="s">
        <v>164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/>
      <c r="AJ11" s="1"/>
      <c r="AK11" s="1"/>
      <c r="AL11" s="1"/>
      <c r="AM11" s="1"/>
      <c r="AN11" s="2"/>
      <c r="AO11" s="1"/>
      <c r="AP11" s="1"/>
      <c r="AQ11" s="1"/>
      <c r="AR11" s="1"/>
      <c r="AS11" s="2"/>
      <c r="AT11" s="1"/>
      <c r="AU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165</v>
      </c>
      <c r="F13" s="13" t="s">
        <v>166</v>
      </c>
      <c r="G13" s="13" t="s">
        <v>167</v>
      </c>
      <c r="H13" s="13" t="s">
        <v>168</v>
      </c>
      <c r="I13" s="13" t="s">
        <v>169</v>
      </c>
      <c r="J13" s="13" t="s">
        <v>170</v>
      </c>
      <c r="K13" s="13" t="s">
        <v>171</v>
      </c>
      <c r="L13" s="13" t="s">
        <v>172</v>
      </c>
      <c r="M13" s="13" t="s">
        <v>173</v>
      </c>
      <c r="N13" s="13" t="s">
        <v>174</v>
      </c>
      <c r="O13" s="13" t="s">
        <v>175</v>
      </c>
      <c r="P13" s="13" t="s">
        <v>176</v>
      </c>
      <c r="Q13" s="13" t="s">
        <v>177</v>
      </c>
      <c r="R13" s="13" t="s">
        <v>178</v>
      </c>
      <c r="S13" s="13" t="s">
        <v>179</v>
      </c>
      <c r="T13" s="13" t="s">
        <v>180</v>
      </c>
      <c r="U13" s="13" t="s">
        <v>181</v>
      </c>
      <c r="V13" s="13" t="s">
        <v>182</v>
      </c>
      <c r="W13" s="13" t="s">
        <v>183</v>
      </c>
      <c r="X13" s="13" t="s">
        <v>184</v>
      </c>
      <c r="Y13" s="13" t="s">
        <v>185</v>
      </c>
      <c r="Z13" s="13" t="s">
        <v>186</v>
      </c>
      <c r="AA13" s="13" t="s">
        <v>187</v>
      </c>
      <c r="AB13" s="13" t="s">
        <v>188</v>
      </c>
      <c r="AC13" s="13" t="s">
        <v>189</v>
      </c>
      <c r="AD13" s="13" t="s">
        <v>190</v>
      </c>
      <c r="AE13" s="13" t="s">
        <v>191</v>
      </c>
      <c r="AF13" s="13" t="s">
        <v>192</v>
      </c>
      <c r="AG13" s="13" t="s">
        <v>193</v>
      </c>
      <c r="AH13" s="13" t="s">
        <v>194</v>
      </c>
      <c r="AI13" s="13" t="s">
        <v>195</v>
      </c>
      <c r="AJ13" s="13" t="s">
        <v>196</v>
      </c>
      <c r="AK13" s="13" t="s">
        <v>197</v>
      </c>
      <c r="AL13" s="13" t="s">
        <v>198</v>
      </c>
      <c r="AM13" s="13" t="s">
        <v>199</v>
      </c>
      <c r="AN13" s="13" t="s">
        <v>200</v>
      </c>
      <c r="AO13" s="13" t="s">
        <v>201</v>
      </c>
      <c r="AP13" s="13" t="s">
        <v>202</v>
      </c>
      <c r="AQ13" s="13" t="s">
        <v>203</v>
      </c>
      <c r="AR13" s="13" t="s">
        <v>204</v>
      </c>
      <c r="AS13" s="13" t="s">
        <v>205</v>
      </c>
      <c r="AT13" s="13" t="s">
        <v>206</v>
      </c>
      <c r="AU13" s="13" t="s">
        <v>207</v>
      </c>
      <c r="AV13" s="36"/>
    </row>
    <row r="14" ht="12.75" customHeight="1">
      <c r="A14" s="18"/>
      <c r="B14" s="22" t="s">
        <v>11</v>
      </c>
      <c r="C14" s="23"/>
      <c r="D14" s="19" t="s">
        <v>12</v>
      </c>
      <c r="E14" s="69">
        <v>133.0</v>
      </c>
      <c r="F14" s="69">
        <v>134.0</v>
      </c>
      <c r="G14" s="69">
        <v>131.0</v>
      </c>
      <c r="H14" s="69">
        <v>125.0</v>
      </c>
      <c r="I14" s="69">
        <v>129.0</v>
      </c>
      <c r="J14" s="69">
        <v>128.0</v>
      </c>
      <c r="K14" s="69">
        <v>127.0</v>
      </c>
      <c r="L14" s="69">
        <v>128.0</v>
      </c>
      <c r="M14" s="69">
        <v>131.0</v>
      </c>
      <c r="N14" s="69">
        <v>133.0</v>
      </c>
      <c r="O14" s="69">
        <v>130.0</v>
      </c>
      <c r="P14" s="69">
        <v>142.0</v>
      </c>
      <c r="Q14" s="69">
        <v>127.0</v>
      </c>
      <c r="R14" s="69">
        <v>133.0</v>
      </c>
      <c r="S14" s="69">
        <v>135.0</v>
      </c>
      <c r="T14" s="69">
        <v>131.0</v>
      </c>
      <c r="U14" s="69">
        <v>136.0</v>
      </c>
      <c r="V14" s="69">
        <v>131.0</v>
      </c>
      <c r="W14" s="69">
        <v>143.0</v>
      </c>
      <c r="X14" s="69">
        <v>129.0</v>
      </c>
      <c r="Y14" s="69">
        <v>127.0</v>
      </c>
      <c r="Z14" s="69">
        <v>131.0</v>
      </c>
      <c r="AA14" s="69">
        <v>137.0</v>
      </c>
      <c r="AB14" s="69">
        <v>134.0</v>
      </c>
      <c r="AC14" s="69">
        <v>141.0</v>
      </c>
      <c r="AD14" s="69">
        <v>130.0</v>
      </c>
      <c r="AE14" s="69">
        <v>131.0</v>
      </c>
      <c r="AF14" s="69">
        <v>138.0</v>
      </c>
      <c r="AG14" s="69">
        <v>138.0</v>
      </c>
      <c r="AH14" s="69">
        <v>142.0</v>
      </c>
      <c r="AI14" s="69">
        <v>133.0</v>
      </c>
      <c r="AJ14" s="69">
        <v>139.0</v>
      </c>
      <c r="AK14" s="69">
        <v>129.0</v>
      </c>
      <c r="AL14" s="69">
        <v>125.0</v>
      </c>
      <c r="AM14" s="69">
        <v>132.0</v>
      </c>
      <c r="AN14" s="69">
        <v>133.0</v>
      </c>
      <c r="AO14" s="69">
        <v>128.0</v>
      </c>
      <c r="AP14" s="69">
        <v>149.0</v>
      </c>
      <c r="AQ14" s="69">
        <v>130.0</v>
      </c>
      <c r="AR14" s="69">
        <v>143.0</v>
      </c>
      <c r="AS14" s="69">
        <v>130.0</v>
      </c>
      <c r="AT14" s="69">
        <v>136.0</v>
      </c>
      <c r="AU14" s="69">
        <v>141.0</v>
      </c>
      <c r="AV14" s="13">
        <f t="shared" ref="AV14:AV16" si="1">SUM(E14:AU14)</f>
        <v>5733</v>
      </c>
    </row>
    <row r="15" ht="12.75" customHeight="1">
      <c r="A15" s="18"/>
      <c r="B15" s="26"/>
      <c r="C15" s="27"/>
      <c r="D15" s="19" t="s">
        <v>13</v>
      </c>
      <c r="E15" s="69">
        <v>131.0</v>
      </c>
      <c r="F15" s="69">
        <v>127.0</v>
      </c>
      <c r="G15" s="69">
        <v>135.0</v>
      </c>
      <c r="H15" s="69">
        <v>127.0</v>
      </c>
      <c r="I15" s="69">
        <v>141.0</v>
      </c>
      <c r="J15" s="69">
        <v>136.0</v>
      </c>
      <c r="K15" s="69">
        <v>136.0</v>
      </c>
      <c r="L15" s="69">
        <v>139.0</v>
      </c>
      <c r="M15" s="69">
        <v>138.0</v>
      </c>
      <c r="N15" s="69">
        <v>132.0</v>
      </c>
      <c r="O15" s="69">
        <v>137.0</v>
      </c>
      <c r="P15" s="69">
        <v>121.0</v>
      </c>
      <c r="Q15" s="69">
        <v>130.0</v>
      </c>
      <c r="R15" s="69">
        <v>130.0</v>
      </c>
      <c r="S15" s="69">
        <v>134.0</v>
      </c>
      <c r="T15" s="69">
        <v>127.0</v>
      </c>
      <c r="U15" s="69">
        <v>129.0</v>
      </c>
      <c r="V15" s="69">
        <v>125.0</v>
      </c>
      <c r="W15" s="69">
        <v>124.0</v>
      </c>
      <c r="X15" s="69">
        <v>124.0</v>
      </c>
      <c r="Y15" s="69">
        <v>134.0</v>
      </c>
      <c r="Z15" s="69">
        <v>138.0</v>
      </c>
      <c r="AA15" s="69">
        <v>140.0</v>
      </c>
      <c r="AB15" s="69">
        <v>138.0</v>
      </c>
      <c r="AC15" s="69">
        <v>138.0</v>
      </c>
      <c r="AD15" s="69">
        <v>128.0</v>
      </c>
      <c r="AE15" s="69">
        <v>140.0</v>
      </c>
      <c r="AF15" s="69">
        <v>139.0</v>
      </c>
      <c r="AG15" s="69">
        <v>134.0</v>
      </c>
      <c r="AH15" s="69">
        <v>128.0</v>
      </c>
      <c r="AI15" s="69">
        <v>115.0</v>
      </c>
      <c r="AJ15" s="69">
        <v>122.0</v>
      </c>
      <c r="AK15" s="69">
        <v>138.0</v>
      </c>
      <c r="AL15" s="69">
        <v>124.0</v>
      </c>
      <c r="AM15" s="69">
        <v>133.0</v>
      </c>
      <c r="AN15" s="69">
        <v>124.0</v>
      </c>
      <c r="AO15" s="69">
        <v>141.0</v>
      </c>
      <c r="AP15" s="69">
        <v>117.0</v>
      </c>
      <c r="AQ15" s="69">
        <v>126.0</v>
      </c>
      <c r="AR15" s="69">
        <v>121.0</v>
      </c>
      <c r="AS15" s="69">
        <v>130.0</v>
      </c>
      <c r="AT15" s="69">
        <v>135.0</v>
      </c>
      <c r="AU15" s="69">
        <v>133.0</v>
      </c>
      <c r="AV15" s="13">
        <f t="shared" si="1"/>
        <v>5639</v>
      </c>
    </row>
    <row r="16" ht="12.75" customHeight="1">
      <c r="A16" s="25"/>
      <c r="B16" s="21"/>
      <c r="C16" s="28"/>
      <c r="D16" s="13" t="s">
        <v>14</v>
      </c>
      <c r="E16" s="13">
        <f t="shared" ref="E16:AU16" si="2">SUM(E14:E15)</f>
        <v>264</v>
      </c>
      <c r="F16" s="13">
        <f t="shared" si="2"/>
        <v>261</v>
      </c>
      <c r="G16" s="13">
        <f t="shared" si="2"/>
        <v>266</v>
      </c>
      <c r="H16" s="13">
        <f t="shared" si="2"/>
        <v>252</v>
      </c>
      <c r="I16" s="13">
        <f t="shared" si="2"/>
        <v>270</v>
      </c>
      <c r="J16" s="13">
        <f t="shared" si="2"/>
        <v>264</v>
      </c>
      <c r="K16" s="13">
        <f t="shared" si="2"/>
        <v>263</v>
      </c>
      <c r="L16" s="13">
        <f t="shared" si="2"/>
        <v>267</v>
      </c>
      <c r="M16" s="13">
        <f t="shared" si="2"/>
        <v>269</v>
      </c>
      <c r="N16" s="13">
        <f t="shared" si="2"/>
        <v>265</v>
      </c>
      <c r="O16" s="13">
        <f t="shared" si="2"/>
        <v>267</v>
      </c>
      <c r="P16" s="13">
        <f t="shared" si="2"/>
        <v>263</v>
      </c>
      <c r="Q16" s="13">
        <f t="shared" si="2"/>
        <v>257</v>
      </c>
      <c r="R16" s="13">
        <f t="shared" si="2"/>
        <v>263</v>
      </c>
      <c r="S16" s="13">
        <f t="shared" si="2"/>
        <v>269</v>
      </c>
      <c r="T16" s="13">
        <f t="shared" si="2"/>
        <v>258</v>
      </c>
      <c r="U16" s="13">
        <f t="shared" si="2"/>
        <v>265</v>
      </c>
      <c r="V16" s="13">
        <f t="shared" si="2"/>
        <v>256</v>
      </c>
      <c r="W16" s="13">
        <f t="shared" si="2"/>
        <v>267</v>
      </c>
      <c r="X16" s="13">
        <f t="shared" si="2"/>
        <v>253</v>
      </c>
      <c r="Y16" s="13">
        <f t="shared" si="2"/>
        <v>261</v>
      </c>
      <c r="Z16" s="13">
        <f t="shared" si="2"/>
        <v>269</v>
      </c>
      <c r="AA16" s="13">
        <f t="shared" si="2"/>
        <v>277</v>
      </c>
      <c r="AB16" s="13">
        <f t="shared" si="2"/>
        <v>272</v>
      </c>
      <c r="AC16" s="13">
        <f t="shared" si="2"/>
        <v>279</v>
      </c>
      <c r="AD16" s="13">
        <f t="shared" si="2"/>
        <v>258</v>
      </c>
      <c r="AE16" s="13">
        <f t="shared" si="2"/>
        <v>271</v>
      </c>
      <c r="AF16" s="13">
        <f t="shared" si="2"/>
        <v>277</v>
      </c>
      <c r="AG16" s="13">
        <f t="shared" si="2"/>
        <v>272</v>
      </c>
      <c r="AH16" s="13">
        <f t="shared" si="2"/>
        <v>270</v>
      </c>
      <c r="AI16" s="13">
        <f t="shared" si="2"/>
        <v>248</v>
      </c>
      <c r="AJ16" s="13">
        <f t="shared" si="2"/>
        <v>261</v>
      </c>
      <c r="AK16" s="13">
        <f t="shared" si="2"/>
        <v>267</v>
      </c>
      <c r="AL16" s="13">
        <f t="shared" si="2"/>
        <v>249</v>
      </c>
      <c r="AM16" s="13">
        <f t="shared" si="2"/>
        <v>265</v>
      </c>
      <c r="AN16" s="13">
        <f t="shared" si="2"/>
        <v>257</v>
      </c>
      <c r="AO16" s="13">
        <f t="shared" si="2"/>
        <v>269</v>
      </c>
      <c r="AP16" s="13">
        <f t="shared" si="2"/>
        <v>266</v>
      </c>
      <c r="AQ16" s="13">
        <f t="shared" si="2"/>
        <v>256</v>
      </c>
      <c r="AR16" s="13">
        <f t="shared" si="2"/>
        <v>264</v>
      </c>
      <c r="AS16" s="13">
        <f t="shared" si="2"/>
        <v>260</v>
      </c>
      <c r="AT16" s="13">
        <f t="shared" si="2"/>
        <v>271</v>
      </c>
      <c r="AU16" s="13">
        <f t="shared" si="2"/>
        <v>274</v>
      </c>
      <c r="AV16" s="13">
        <f t="shared" si="1"/>
        <v>11372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0"/>
      <c r="O17" s="19"/>
      <c r="P17" s="19"/>
      <c r="Q17" s="19"/>
      <c r="R17" s="19"/>
      <c r="S17" s="70"/>
      <c r="T17" s="19"/>
      <c r="U17" s="19"/>
      <c r="V17" s="19"/>
      <c r="W17" s="19"/>
      <c r="X17" s="70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70"/>
      <c r="AJ17" s="19"/>
      <c r="AK17" s="19"/>
      <c r="AL17" s="19"/>
      <c r="AM17" s="19"/>
      <c r="AN17" s="70"/>
      <c r="AO17" s="19"/>
      <c r="AP17" s="19"/>
      <c r="AQ17" s="19"/>
      <c r="AR17" s="19"/>
      <c r="AS17" s="70"/>
      <c r="AT17" s="19"/>
      <c r="AU17" s="19"/>
      <c r="AV17" s="71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0"/>
      <c r="O18" s="19"/>
      <c r="P18" s="19"/>
      <c r="Q18" s="19"/>
      <c r="R18" s="19"/>
      <c r="S18" s="70"/>
      <c r="T18" s="19"/>
      <c r="U18" s="19"/>
      <c r="V18" s="19"/>
      <c r="W18" s="19"/>
      <c r="X18" s="70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70"/>
      <c r="AJ18" s="19"/>
      <c r="AK18" s="19"/>
      <c r="AL18" s="19"/>
      <c r="AM18" s="19"/>
      <c r="AN18" s="70"/>
      <c r="AO18" s="19"/>
      <c r="AP18" s="19"/>
      <c r="AQ18" s="19"/>
      <c r="AR18" s="19"/>
      <c r="AS18" s="70"/>
      <c r="AT18" s="19"/>
      <c r="AU18" s="19"/>
      <c r="AV18" s="71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69">
        <v>90.0</v>
      </c>
      <c r="F19" s="69">
        <v>97.0</v>
      </c>
      <c r="G19" s="69">
        <v>95.0</v>
      </c>
      <c r="H19" s="69">
        <v>92.0</v>
      </c>
      <c r="I19" s="69">
        <v>89.0</v>
      </c>
      <c r="J19" s="69">
        <v>92.0</v>
      </c>
      <c r="K19" s="69">
        <v>88.0</v>
      </c>
      <c r="L19" s="69">
        <v>95.0</v>
      </c>
      <c r="M19" s="69">
        <v>95.0</v>
      </c>
      <c r="N19" s="69">
        <v>96.0</v>
      </c>
      <c r="O19" s="69">
        <v>93.0</v>
      </c>
      <c r="P19" s="69">
        <v>99.0</v>
      </c>
      <c r="Q19" s="69">
        <v>93.0</v>
      </c>
      <c r="R19" s="69">
        <v>90.0</v>
      </c>
      <c r="S19" s="69">
        <v>97.0</v>
      </c>
      <c r="T19" s="69">
        <v>88.0</v>
      </c>
      <c r="U19" s="69">
        <v>102.0</v>
      </c>
      <c r="V19" s="69">
        <v>110.0</v>
      </c>
      <c r="W19" s="69">
        <v>106.0</v>
      </c>
      <c r="X19" s="69">
        <v>95.0</v>
      </c>
      <c r="Y19" s="69">
        <v>108.0</v>
      </c>
      <c r="Z19" s="69">
        <v>104.0</v>
      </c>
      <c r="AA19" s="69">
        <v>97.0</v>
      </c>
      <c r="AB19" s="69">
        <v>106.0</v>
      </c>
      <c r="AC19" s="69">
        <v>108.0</v>
      </c>
      <c r="AD19" s="69">
        <v>89.0</v>
      </c>
      <c r="AE19" s="69">
        <v>101.0</v>
      </c>
      <c r="AF19" s="69">
        <v>99.0</v>
      </c>
      <c r="AG19" s="69">
        <v>101.0</v>
      </c>
      <c r="AH19" s="69">
        <v>105.0</v>
      </c>
      <c r="AI19" s="69">
        <v>84.0</v>
      </c>
      <c r="AJ19" s="69">
        <v>113.0</v>
      </c>
      <c r="AK19" s="69">
        <v>96.0</v>
      </c>
      <c r="AL19" s="69">
        <v>86.0</v>
      </c>
      <c r="AM19" s="69">
        <v>97.0</v>
      </c>
      <c r="AN19" s="69">
        <v>85.0</v>
      </c>
      <c r="AO19" s="69">
        <v>98.0</v>
      </c>
      <c r="AP19" s="69">
        <v>117.0</v>
      </c>
      <c r="AQ19" s="69">
        <v>91.0</v>
      </c>
      <c r="AR19" s="69">
        <v>109.0</v>
      </c>
      <c r="AS19" s="69">
        <v>100.0</v>
      </c>
      <c r="AT19" s="69">
        <v>102.0</v>
      </c>
      <c r="AU19" s="69">
        <v>114.0</v>
      </c>
      <c r="AV19" s="13">
        <f t="shared" ref="AV19:AV30" si="3">SUM(E19:AU19)</f>
        <v>4212</v>
      </c>
    </row>
    <row r="20" ht="12.75" customHeight="1">
      <c r="A20" s="33"/>
      <c r="B20" s="27"/>
      <c r="C20" s="34"/>
      <c r="D20" s="19" t="s">
        <v>13</v>
      </c>
      <c r="E20" s="69">
        <v>104.0</v>
      </c>
      <c r="F20" s="69">
        <v>99.0</v>
      </c>
      <c r="G20" s="69">
        <v>110.0</v>
      </c>
      <c r="H20" s="69">
        <v>94.0</v>
      </c>
      <c r="I20" s="69">
        <v>98.0</v>
      </c>
      <c r="J20" s="69">
        <v>98.0</v>
      </c>
      <c r="K20" s="69">
        <v>106.0</v>
      </c>
      <c r="L20" s="69">
        <v>110.0</v>
      </c>
      <c r="M20" s="69">
        <v>99.0</v>
      </c>
      <c r="N20" s="69">
        <v>96.0</v>
      </c>
      <c r="O20" s="69">
        <v>108.0</v>
      </c>
      <c r="P20" s="69">
        <v>95.0</v>
      </c>
      <c r="Q20" s="69">
        <v>91.0</v>
      </c>
      <c r="R20" s="69">
        <v>84.0</v>
      </c>
      <c r="S20" s="69">
        <v>100.0</v>
      </c>
      <c r="T20" s="69">
        <v>94.0</v>
      </c>
      <c r="U20" s="69">
        <v>94.0</v>
      </c>
      <c r="V20" s="69">
        <v>108.0</v>
      </c>
      <c r="W20" s="69">
        <v>101.0</v>
      </c>
      <c r="X20" s="69">
        <v>98.0</v>
      </c>
      <c r="Y20" s="69">
        <v>113.0</v>
      </c>
      <c r="Z20" s="69">
        <v>117.0</v>
      </c>
      <c r="AA20" s="69">
        <v>109.0</v>
      </c>
      <c r="AB20" s="69">
        <v>107.0</v>
      </c>
      <c r="AC20" s="69">
        <v>112.0</v>
      </c>
      <c r="AD20" s="69">
        <v>98.0</v>
      </c>
      <c r="AE20" s="69">
        <v>104.0</v>
      </c>
      <c r="AF20" s="69">
        <v>113.0</v>
      </c>
      <c r="AG20" s="69">
        <v>96.0</v>
      </c>
      <c r="AH20" s="69">
        <v>105.0</v>
      </c>
      <c r="AI20" s="69">
        <v>81.0</v>
      </c>
      <c r="AJ20" s="69">
        <v>88.0</v>
      </c>
      <c r="AK20" s="69">
        <v>93.0</v>
      </c>
      <c r="AL20" s="69">
        <v>89.0</v>
      </c>
      <c r="AM20" s="69">
        <v>94.0</v>
      </c>
      <c r="AN20" s="69">
        <v>76.0</v>
      </c>
      <c r="AO20" s="69">
        <v>103.0</v>
      </c>
      <c r="AP20" s="69">
        <v>93.0</v>
      </c>
      <c r="AQ20" s="69">
        <v>96.0</v>
      </c>
      <c r="AR20" s="69">
        <v>89.0</v>
      </c>
      <c r="AS20" s="69">
        <v>103.0</v>
      </c>
      <c r="AT20" s="69">
        <v>105.0</v>
      </c>
      <c r="AU20" s="69">
        <v>104.0</v>
      </c>
      <c r="AV20" s="13">
        <f t="shared" si="3"/>
        <v>4275</v>
      </c>
    </row>
    <row r="21" ht="12.75" customHeight="1">
      <c r="A21" s="35"/>
      <c r="B21" s="28"/>
      <c r="C21" s="36"/>
      <c r="D21" s="13" t="s">
        <v>14</v>
      </c>
      <c r="E21" s="13">
        <f t="shared" ref="E21:AU21" si="4">SUM(E19:E20)</f>
        <v>194</v>
      </c>
      <c r="F21" s="13">
        <f t="shared" si="4"/>
        <v>196</v>
      </c>
      <c r="G21" s="13">
        <f t="shared" si="4"/>
        <v>205</v>
      </c>
      <c r="H21" s="13">
        <f t="shared" si="4"/>
        <v>186</v>
      </c>
      <c r="I21" s="13">
        <f t="shared" si="4"/>
        <v>187</v>
      </c>
      <c r="J21" s="13">
        <f t="shared" si="4"/>
        <v>190</v>
      </c>
      <c r="K21" s="13">
        <f t="shared" si="4"/>
        <v>194</v>
      </c>
      <c r="L21" s="13">
        <f t="shared" si="4"/>
        <v>205</v>
      </c>
      <c r="M21" s="13">
        <f t="shared" si="4"/>
        <v>194</v>
      </c>
      <c r="N21" s="13">
        <f t="shared" si="4"/>
        <v>192</v>
      </c>
      <c r="O21" s="13">
        <f t="shared" si="4"/>
        <v>201</v>
      </c>
      <c r="P21" s="13">
        <f t="shared" si="4"/>
        <v>194</v>
      </c>
      <c r="Q21" s="13">
        <f t="shared" si="4"/>
        <v>184</v>
      </c>
      <c r="R21" s="13">
        <f t="shared" si="4"/>
        <v>174</v>
      </c>
      <c r="S21" s="13">
        <f t="shared" si="4"/>
        <v>197</v>
      </c>
      <c r="T21" s="13">
        <f t="shared" si="4"/>
        <v>182</v>
      </c>
      <c r="U21" s="13">
        <f t="shared" si="4"/>
        <v>196</v>
      </c>
      <c r="V21" s="13">
        <f t="shared" si="4"/>
        <v>218</v>
      </c>
      <c r="W21" s="13">
        <f t="shared" si="4"/>
        <v>207</v>
      </c>
      <c r="X21" s="13">
        <f t="shared" si="4"/>
        <v>193</v>
      </c>
      <c r="Y21" s="13">
        <f t="shared" si="4"/>
        <v>221</v>
      </c>
      <c r="Z21" s="13">
        <f t="shared" si="4"/>
        <v>221</v>
      </c>
      <c r="AA21" s="13">
        <f t="shared" si="4"/>
        <v>206</v>
      </c>
      <c r="AB21" s="13">
        <f t="shared" si="4"/>
        <v>213</v>
      </c>
      <c r="AC21" s="13">
        <f t="shared" si="4"/>
        <v>220</v>
      </c>
      <c r="AD21" s="13">
        <f t="shared" si="4"/>
        <v>187</v>
      </c>
      <c r="AE21" s="13">
        <f t="shared" si="4"/>
        <v>205</v>
      </c>
      <c r="AF21" s="13">
        <f t="shared" si="4"/>
        <v>212</v>
      </c>
      <c r="AG21" s="13">
        <f t="shared" si="4"/>
        <v>197</v>
      </c>
      <c r="AH21" s="13">
        <f t="shared" si="4"/>
        <v>210</v>
      </c>
      <c r="AI21" s="13">
        <f t="shared" si="4"/>
        <v>165</v>
      </c>
      <c r="AJ21" s="13">
        <f t="shared" si="4"/>
        <v>201</v>
      </c>
      <c r="AK21" s="13">
        <f t="shared" si="4"/>
        <v>189</v>
      </c>
      <c r="AL21" s="13">
        <f t="shared" si="4"/>
        <v>175</v>
      </c>
      <c r="AM21" s="13">
        <f t="shared" si="4"/>
        <v>191</v>
      </c>
      <c r="AN21" s="13">
        <f t="shared" si="4"/>
        <v>161</v>
      </c>
      <c r="AO21" s="13">
        <f t="shared" si="4"/>
        <v>201</v>
      </c>
      <c r="AP21" s="13">
        <f t="shared" si="4"/>
        <v>210</v>
      </c>
      <c r="AQ21" s="13">
        <f t="shared" si="4"/>
        <v>187</v>
      </c>
      <c r="AR21" s="13">
        <f t="shared" si="4"/>
        <v>198</v>
      </c>
      <c r="AS21" s="13">
        <f t="shared" si="4"/>
        <v>203</v>
      </c>
      <c r="AT21" s="13">
        <f t="shared" si="4"/>
        <v>207</v>
      </c>
      <c r="AU21" s="13">
        <f t="shared" si="4"/>
        <v>218</v>
      </c>
      <c r="AV21" s="13">
        <f t="shared" si="3"/>
        <v>8487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69">
        <v>0.0</v>
      </c>
      <c r="F22" s="69">
        <v>0.0</v>
      </c>
      <c r="G22" s="69">
        <v>0.0</v>
      </c>
      <c r="H22" s="69">
        <v>0.0</v>
      </c>
      <c r="I22" s="69">
        <v>0.0</v>
      </c>
      <c r="J22" s="69">
        <v>0.0</v>
      </c>
      <c r="K22" s="69">
        <v>0.0</v>
      </c>
      <c r="L22" s="69">
        <v>0.0</v>
      </c>
      <c r="M22" s="69">
        <v>0.0</v>
      </c>
      <c r="N22" s="69">
        <v>0.0</v>
      </c>
      <c r="O22" s="69">
        <v>0.0</v>
      </c>
      <c r="P22" s="69">
        <v>0.0</v>
      </c>
      <c r="Q22" s="69">
        <v>0.0</v>
      </c>
      <c r="R22" s="69">
        <v>0.0</v>
      </c>
      <c r="S22" s="69">
        <v>0.0</v>
      </c>
      <c r="T22" s="69">
        <v>0.0</v>
      </c>
      <c r="U22" s="69">
        <v>0.0</v>
      </c>
      <c r="V22" s="69">
        <v>0.0</v>
      </c>
      <c r="W22" s="69">
        <v>0.0</v>
      </c>
      <c r="X22" s="69">
        <v>0.0</v>
      </c>
      <c r="Y22" s="69">
        <v>0.0</v>
      </c>
      <c r="Z22" s="69">
        <v>0.0</v>
      </c>
      <c r="AA22" s="69">
        <v>0.0</v>
      </c>
      <c r="AB22" s="69">
        <v>0.0</v>
      </c>
      <c r="AC22" s="69">
        <v>0.0</v>
      </c>
      <c r="AD22" s="69">
        <v>0.0</v>
      </c>
      <c r="AE22" s="69">
        <v>0.0</v>
      </c>
      <c r="AF22" s="69">
        <v>0.0</v>
      </c>
      <c r="AG22" s="69">
        <v>0.0</v>
      </c>
      <c r="AH22" s="69">
        <v>0.0</v>
      </c>
      <c r="AI22" s="69">
        <v>0.0</v>
      </c>
      <c r="AJ22" s="69">
        <v>0.0</v>
      </c>
      <c r="AK22" s="69">
        <v>0.0</v>
      </c>
      <c r="AL22" s="69">
        <v>0.0</v>
      </c>
      <c r="AM22" s="69">
        <v>1.0</v>
      </c>
      <c r="AN22" s="69">
        <v>0.0</v>
      </c>
      <c r="AO22" s="69">
        <v>0.0</v>
      </c>
      <c r="AP22" s="69">
        <v>0.0</v>
      </c>
      <c r="AQ22" s="69">
        <v>0.0</v>
      </c>
      <c r="AR22" s="69">
        <v>0.0</v>
      </c>
      <c r="AS22" s="69">
        <v>0.0</v>
      </c>
      <c r="AT22" s="69">
        <v>0.0</v>
      </c>
      <c r="AU22" s="69">
        <v>0.0</v>
      </c>
      <c r="AV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69">
        <v>0.0</v>
      </c>
      <c r="F23" s="69">
        <v>0.0</v>
      </c>
      <c r="G23" s="69">
        <v>0.0</v>
      </c>
      <c r="H23" s="69">
        <v>0.0</v>
      </c>
      <c r="I23" s="69">
        <v>0.0</v>
      </c>
      <c r="J23" s="69">
        <v>0.0</v>
      </c>
      <c r="K23" s="69">
        <v>0.0</v>
      </c>
      <c r="L23" s="69">
        <v>0.0</v>
      </c>
      <c r="M23" s="69">
        <v>0.0</v>
      </c>
      <c r="N23" s="69">
        <v>0.0</v>
      </c>
      <c r="O23" s="69">
        <v>0.0</v>
      </c>
      <c r="P23" s="69">
        <v>0.0</v>
      </c>
      <c r="Q23" s="69">
        <v>0.0</v>
      </c>
      <c r="R23" s="69">
        <v>0.0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69">
        <v>0.0</v>
      </c>
      <c r="Y23" s="69">
        <v>0.0</v>
      </c>
      <c r="Z23" s="69">
        <v>0.0</v>
      </c>
      <c r="AA23" s="69">
        <v>0.0</v>
      </c>
      <c r="AB23" s="69">
        <v>0.0</v>
      </c>
      <c r="AC23" s="69">
        <v>0.0</v>
      </c>
      <c r="AD23" s="69">
        <v>0.0</v>
      </c>
      <c r="AE23" s="69">
        <v>0.0</v>
      </c>
      <c r="AF23" s="69">
        <v>0.0</v>
      </c>
      <c r="AG23" s="69">
        <v>0.0</v>
      </c>
      <c r="AH23" s="69">
        <v>0.0</v>
      </c>
      <c r="AI23" s="69">
        <v>0.0</v>
      </c>
      <c r="AJ23" s="69">
        <v>0.0</v>
      </c>
      <c r="AK23" s="69">
        <v>0.0</v>
      </c>
      <c r="AL23" s="69">
        <v>0.0</v>
      </c>
      <c r="AM23" s="69">
        <v>0.0</v>
      </c>
      <c r="AN23" s="69">
        <v>0.0</v>
      </c>
      <c r="AO23" s="69">
        <v>0.0</v>
      </c>
      <c r="AP23" s="69">
        <v>0.0</v>
      </c>
      <c r="AQ23" s="69">
        <v>0.0</v>
      </c>
      <c r="AR23" s="69">
        <v>0.0</v>
      </c>
      <c r="AS23" s="69">
        <v>0.0</v>
      </c>
      <c r="AT23" s="69">
        <v>0.0</v>
      </c>
      <c r="AU23" s="69">
        <v>0.0</v>
      </c>
      <c r="AV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U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1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69">
        <v>2.0</v>
      </c>
      <c r="F25" s="69">
        <v>3.0</v>
      </c>
      <c r="G25" s="69">
        <v>2.0</v>
      </c>
      <c r="H25" s="69">
        <v>3.0</v>
      </c>
      <c r="I25" s="69">
        <v>1.0</v>
      </c>
      <c r="J25" s="69">
        <v>5.0</v>
      </c>
      <c r="K25" s="69">
        <v>0.0</v>
      </c>
      <c r="L25" s="69">
        <v>1.0</v>
      </c>
      <c r="M25" s="69">
        <v>2.0</v>
      </c>
      <c r="N25" s="69">
        <v>3.0</v>
      </c>
      <c r="O25" s="69">
        <v>0.0</v>
      </c>
      <c r="P25" s="69">
        <v>0.0</v>
      </c>
      <c r="Q25" s="69">
        <v>0.0</v>
      </c>
      <c r="R25" s="69">
        <v>1.0</v>
      </c>
      <c r="S25" s="69">
        <v>0.0</v>
      </c>
      <c r="T25" s="69">
        <v>1.0</v>
      </c>
      <c r="U25" s="69">
        <v>0.0</v>
      </c>
      <c r="V25" s="69">
        <v>0.0</v>
      </c>
      <c r="W25" s="69">
        <v>3.0</v>
      </c>
      <c r="X25" s="69">
        <v>4.0</v>
      </c>
      <c r="Y25" s="69">
        <v>0.0</v>
      </c>
      <c r="Z25" s="69">
        <v>1.0</v>
      </c>
      <c r="AA25" s="69">
        <v>0.0</v>
      </c>
      <c r="AB25" s="69">
        <v>3.0</v>
      </c>
      <c r="AC25" s="69">
        <v>0.0</v>
      </c>
      <c r="AD25" s="69">
        <v>0.0</v>
      </c>
      <c r="AE25" s="69">
        <v>1.0</v>
      </c>
      <c r="AF25" s="69">
        <v>2.0</v>
      </c>
      <c r="AG25" s="69">
        <v>2.0</v>
      </c>
      <c r="AH25" s="69">
        <v>0.0</v>
      </c>
      <c r="AI25" s="69">
        <v>2.0</v>
      </c>
      <c r="AJ25" s="69">
        <v>1.0</v>
      </c>
      <c r="AK25" s="69">
        <v>0.0</v>
      </c>
      <c r="AL25" s="69">
        <v>7.0</v>
      </c>
      <c r="AM25" s="69">
        <v>0.0</v>
      </c>
      <c r="AN25" s="69">
        <v>6.0</v>
      </c>
      <c r="AO25" s="69">
        <v>1.0</v>
      </c>
      <c r="AP25" s="69">
        <v>1.0</v>
      </c>
      <c r="AQ25" s="69">
        <v>2.0</v>
      </c>
      <c r="AR25" s="69">
        <v>3.0</v>
      </c>
      <c r="AS25" s="69">
        <v>2.0</v>
      </c>
      <c r="AT25" s="69">
        <v>0.0</v>
      </c>
      <c r="AU25" s="69">
        <v>0.0</v>
      </c>
      <c r="AV25" s="13">
        <f t="shared" si="3"/>
        <v>65</v>
      </c>
    </row>
    <row r="26" ht="12.75" customHeight="1">
      <c r="A26" s="33"/>
      <c r="B26" s="27"/>
      <c r="C26" s="34"/>
      <c r="D26" s="19" t="s">
        <v>13</v>
      </c>
      <c r="E26" s="69">
        <v>4.0</v>
      </c>
      <c r="F26" s="69">
        <v>4.0</v>
      </c>
      <c r="G26" s="69">
        <v>1.0</v>
      </c>
      <c r="H26" s="69">
        <v>5.0</v>
      </c>
      <c r="I26" s="69">
        <v>1.0</v>
      </c>
      <c r="J26" s="69">
        <v>9.0</v>
      </c>
      <c r="K26" s="69">
        <v>0.0</v>
      </c>
      <c r="L26" s="69">
        <v>1.0</v>
      </c>
      <c r="M26" s="69">
        <v>1.0</v>
      </c>
      <c r="N26" s="69">
        <v>1.0</v>
      </c>
      <c r="O26" s="69">
        <v>1.0</v>
      </c>
      <c r="P26" s="69">
        <v>0.0</v>
      </c>
      <c r="Q26" s="69">
        <v>1.0</v>
      </c>
      <c r="R26" s="69">
        <v>1.0</v>
      </c>
      <c r="S26" s="69">
        <v>0.0</v>
      </c>
      <c r="T26" s="69">
        <v>4.0</v>
      </c>
      <c r="U26" s="69">
        <v>1.0</v>
      </c>
      <c r="V26" s="69">
        <v>0.0</v>
      </c>
      <c r="W26" s="69">
        <v>4.0</v>
      </c>
      <c r="X26" s="69">
        <v>4.0</v>
      </c>
      <c r="Y26" s="69">
        <v>0.0</v>
      </c>
      <c r="Z26" s="69">
        <v>2.0</v>
      </c>
      <c r="AA26" s="69">
        <v>0.0</v>
      </c>
      <c r="AB26" s="69">
        <v>2.0</v>
      </c>
      <c r="AC26" s="69">
        <v>0.0</v>
      </c>
      <c r="AD26" s="69">
        <v>1.0</v>
      </c>
      <c r="AE26" s="69">
        <v>1.0</v>
      </c>
      <c r="AF26" s="69">
        <v>1.0</v>
      </c>
      <c r="AG26" s="69">
        <v>2.0</v>
      </c>
      <c r="AH26" s="69">
        <v>1.0</v>
      </c>
      <c r="AI26" s="69">
        <v>2.0</v>
      </c>
      <c r="AJ26" s="69">
        <v>2.0</v>
      </c>
      <c r="AK26" s="69">
        <v>0.0</v>
      </c>
      <c r="AL26" s="69">
        <v>12.0</v>
      </c>
      <c r="AM26" s="69">
        <v>0.0</v>
      </c>
      <c r="AN26" s="69">
        <v>7.0</v>
      </c>
      <c r="AO26" s="69">
        <v>2.0</v>
      </c>
      <c r="AP26" s="69">
        <v>2.0</v>
      </c>
      <c r="AQ26" s="69">
        <v>2.0</v>
      </c>
      <c r="AR26" s="69">
        <v>1.0</v>
      </c>
      <c r="AS26" s="69">
        <v>0.0</v>
      </c>
      <c r="AT26" s="69">
        <v>1.0</v>
      </c>
      <c r="AU26" s="69">
        <v>0.0</v>
      </c>
      <c r="AV26" s="13">
        <f t="shared" si="3"/>
        <v>84</v>
      </c>
    </row>
    <row r="27" ht="12.75" customHeight="1">
      <c r="A27" s="35"/>
      <c r="B27" s="28"/>
      <c r="C27" s="36"/>
      <c r="D27" s="13" t="s">
        <v>14</v>
      </c>
      <c r="E27" s="13">
        <f t="shared" ref="E27:AU27" si="6">SUM(E25:E26)</f>
        <v>6</v>
      </c>
      <c r="F27" s="13">
        <f t="shared" si="6"/>
        <v>7</v>
      </c>
      <c r="G27" s="13">
        <f t="shared" si="6"/>
        <v>3</v>
      </c>
      <c r="H27" s="13">
        <f t="shared" si="6"/>
        <v>8</v>
      </c>
      <c r="I27" s="13">
        <f t="shared" si="6"/>
        <v>2</v>
      </c>
      <c r="J27" s="13">
        <f t="shared" si="6"/>
        <v>14</v>
      </c>
      <c r="K27" s="13">
        <f t="shared" si="6"/>
        <v>0</v>
      </c>
      <c r="L27" s="13">
        <f t="shared" si="6"/>
        <v>2</v>
      </c>
      <c r="M27" s="13">
        <f t="shared" si="6"/>
        <v>3</v>
      </c>
      <c r="N27" s="13">
        <f t="shared" si="6"/>
        <v>4</v>
      </c>
      <c r="O27" s="13">
        <f t="shared" si="6"/>
        <v>1</v>
      </c>
      <c r="P27" s="13">
        <f t="shared" si="6"/>
        <v>0</v>
      </c>
      <c r="Q27" s="13">
        <f t="shared" si="6"/>
        <v>1</v>
      </c>
      <c r="R27" s="13">
        <f t="shared" si="6"/>
        <v>2</v>
      </c>
      <c r="S27" s="13">
        <f t="shared" si="6"/>
        <v>0</v>
      </c>
      <c r="T27" s="13">
        <f t="shared" si="6"/>
        <v>5</v>
      </c>
      <c r="U27" s="13">
        <f t="shared" si="6"/>
        <v>1</v>
      </c>
      <c r="V27" s="13">
        <f t="shared" si="6"/>
        <v>0</v>
      </c>
      <c r="W27" s="13">
        <f t="shared" si="6"/>
        <v>7</v>
      </c>
      <c r="X27" s="13">
        <f t="shared" si="6"/>
        <v>8</v>
      </c>
      <c r="Y27" s="13">
        <f t="shared" si="6"/>
        <v>0</v>
      </c>
      <c r="Z27" s="13">
        <f t="shared" si="6"/>
        <v>3</v>
      </c>
      <c r="AA27" s="13">
        <f t="shared" si="6"/>
        <v>0</v>
      </c>
      <c r="AB27" s="13">
        <f t="shared" si="6"/>
        <v>5</v>
      </c>
      <c r="AC27" s="13">
        <f t="shared" si="6"/>
        <v>0</v>
      </c>
      <c r="AD27" s="13">
        <f t="shared" si="6"/>
        <v>1</v>
      </c>
      <c r="AE27" s="13">
        <f t="shared" si="6"/>
        <v>2</v>
      </c>
      <c r="AF27" s="13">
        <f t="shared" si="6"/>
        <v>3</v>
      </c>
      <c r="AG27" s="13">
        <f t="shared" si="6"/>
        <v>4</v>
      </c>
      <c r="AH27" s="13">
        <f t="shared" si="6"/>
        <v>1</v>
      </c>
      <c r="AI27" s="13">
        <f t="shared" si="6"/>
        <v>4</v>
      </c>
      <c r="AJ27" s="13">
        <f t="shared" si="6"/>
        <v>3</v>
      </c>
      <c r="AK27" s="13">
        <f t="shared" si="6"/>
        <v>0</v>
      </c>
      <c r="AL27" s="13">
        <f t="shared" si="6"/>
        <v>19</v>
      </c>
      <c r="AM27" s="13">
        <f t="shared" si="6"/>
        <v>0</v>
      </c>
      <c r="AN27" s="13">
        <f t="shared" si="6"/>
        <v>13</v>
      </c>
      <c r="AO27" s="13">
        <f t="shared" si="6"/>
        <v>3</v>
      </c>
      <c r="AP27" s="13">
        <f t="shared" si="6"/>
        <v>3</v>
      </c>
      <c r="AQ27" s="13">
        <f t="shared" si="6"/>
        <v>4</v>
      </c>
      <c r="AR27" s="13">
        <f t="shared" si="6"/>
        <v>4</v>
      </c>
      <c r="AS27" s="13">
        <f t="shared" si="6"/>
        <v>2</v>
      </c>
      <c r="AT27" s="13">
        <f t="shared" si="6"/>
        <v>1</v>
      </c>
      <c r="AU27" s="13">
        <f t="shared" si="6"/>
        <v>0</v>
      </c>
      <c r="AV27" s="13">
        <f t="shared" si="3"/>
        <v>149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U28" si="7">SUM(E19,E22,E25)</f>
        <v>92</v>
      </c>
      <c r="F28" s="13">
        <f t="shared" si="7"/>
        <v>100</v>
      </c>
      <c r="G28" s="13">
        <f t="shared" si="7"/>
        <v>97</v>
      </c>
      <c r="H28" s="13">
        <f t="shared" si="7"/>
        <v>95</v>
      </c>
      <c r="I28" s="13">
        <f t="shared" si="7"/>
        <v>90</v>
      </c>
      <c r="J28" s="13">
        <f t="shared" si="7"/>
        <v>97</v>
      </c>
      <c r="K28" s="13">
        <f t="shared" si="7"/>
        <v>88</v>
      </c>
      <c r="L28" s="13">
        <f t="shared" si="7"/>
        <v>96</v>
      </c>
      <c r="M28" s="13">
        <f t="shared" si="7"/>
        <v>97</v>
      </c>
      <c r="N28" s="13">
        <f t="shared" si="7"/>
        <v>99</v>
      </c>
      <c r="O28" s="13">
        <f t="shared" si="7"/>
        <v>93</v>
      </c>
      <c r="P28" s="13">
        <f t="shared" si="7"/>
        <v>99</v>
      </c>
      <c r="Q28" s="13">
        <f t="shared" si="7"/>
        <v>93</v>
      </c>
      <c r="R28" s="13">
        <f t="shared" si="7"/>
        <v>91</v>
      </c>
      <c r="S28" s="13">
        <f t="shared" si="7"/>
        <v>97</v>
      </c>
      <c r="T28" s="13">
        <f t="shared" si="7"/>
        <v>89</v>
      </c>
      <c r="U28" s="13">
        <f t="shared" si="7"/>
        <v>102</v>
      </c>
      <c r="V28" s="13">
        <f t="shared" si="7"/>
        <v>110</v>
      </c>
      <c r="W28" s="13">
        <f t="shared" si="7"/>
        <v>109</v>
      </c>
      <c r="X28" s="13">
        <f t="shared" si="7"/>
        <v>99</v>
      </c>
      <c r="Y28" s="13">
        <f t="shared" si="7"/>
        <v>108</v>
      </c>
      <c r="Z28" s="13">
        <f t="shared" si="7"/>
        <v>105</v>
      </c>
      <c r="AA28" s="13">
        <f t="shared" si="7"/>
        <v>97</v>
      </c>
      <c r="AB28" s="13">
        <f t="shared" si="7"/>
        <v>109</v>
      </c>
      <c r="AC28" s="13">
        <f t="shared" si="7"/>
        <v>108</v>
      </c>
      <c r="AD28" s="13">
        <f t="shared" si="7"/>
        <v>89</v>
      </c>
      <c r="AE28" s="13">
        <f t="shared" si="7"/>
        <v>102</v>
      </c>
      <c r="AF28" s="13">
        <f t="shared" si="7"/>
        <v>101</v>
      </c>
      <c r="AG28" s="13">
        <f t="shared" si="7"/>
        <v>103</v>
      </c>
      <c r="AH28" s="13">
        <f t="shared" si="7"/>
        <v>105</v>
      </c>
      <c r="AI28" s="13">
        <f t="shared" si="7"/>
        <v>86</v>
      </c>
      <c r="AJ28" s="13">
        <f t="shared" si="7"/>
        <v>114</v>
      </c>
      <c r="AK28" s="13">
        <f t="shared" si="7"/>
        <v>96</v>
      </c>
      <c r="AL28" s="13">
        <f t="shared" si="7"/>
        <v>93</v>
      </c>
      <c r="AM28" s="13">
        <f t="shared" si="7"/>
        <v>98</v>
      </c>
      <c r="AN28" s="13">
        <f t="shared" si="7"/>
        <v>91</v>
      </c>
      <c r="AO28" s="13">
        <f t="shared" si="7"/>
        <v>99</v>
      </c>
      <c r="AP28" s="13">
        <f t="shared" si="7"/>
        <v>118</v>
      </c>
      <c r="AQ28" s="13">
        <f t="shared" si="7"/>
        <v>93</v>
      </c>
      <c r="AR28" s="13">
        <f t="shared" si="7"/>
        <v>112</v>
      </c>
      <c r="AS28" s="13">
        <f t="shared" si="7"/>
        <v>102</v>
      </c>
      <c r="AT28" s="13">
        <f t="shared" si="7"/>
        <v>102</v>
      </c>
      <c r="AU28" s="13">
        <f t="shared" si="7"/>
        <v>114</v>
      </c>
      <c r="AV28" s="13">
        <f t="shared" si="3"/>
        <v>4278</v>
      </c>
    </row>
    <row r="29" ht="12.75" customHeight="1">
      <c r="A29" s="35"/>
      <c r="B29" s="27"/>
      <c r="C29" s="34"/>
      <c r="D29" s="13" t="s">
        <v>13</v>
      </c>
      <c r="E29" s="13">
        <f t="shared" ref="E29:AU29" si="8">SUM(E20,E23,E26)</f>
        <v>108</v>
      </c>
      <c r="F29" s="13">
        <f t="shared" si="8"/>
        <v>103</v>
      </c>
      <c r="G29" s="13">
        <f t="shared" si="8"/>
        <v>111</v>
      </c>
      <c r="H29" s="13">
        <f t="shared" si="8"/>
        <v>99</v>
      </c>
      <c r="I29" s="13">
        <f t="shared" si="8"/>
        <v>99</v>
      </c>
      <c r="J29" s="13">
        <f t="shared" si="8"/>
        <v>107</v>
      </c>
      <c r="K29" s="13">
        <f t="shared" si="8"/>
        <v>106</v>
      </c>
      <c r="L29" s="13">
        <f t="shared" si="8"/>
        <v>111</v>
      </c>
      <c r="M29" s="13">
        <f t="shared" si="8"/>
        <v>100</v>
      </c>
      <c r="N29" s="13">
        <f t="shared" si="8"/>
        <v>97</v>
      </c>
      <c r="O29" s="13">
        <f t="shared" si="8"/>
        <v>109</v>
      </c>
      <c r="P29" s="13">
        <f t="shared" si="8"/>
        <v>95</v>
      </c>
      <c r="Q29" s="13">
        <f t="shared" si="8"/>
        <v>92</v>
      </c>
      <c r="R29" s="13">
        <f t="shared" si="8"/>
        <v>85</v>
      </c>
      <c r="S29" s="13">
        <f t="shared" si="8"/>
        <v>100</v>
      </c>
      <c r="T29" s="13">
        <f t="shared" si="8"/>
        <v>98</v>
      </c>
      <c r="U29" s="13">
        <f t="shared" si="8"/>
        <v>95</v>
      </c>
      <c r="V29" s="13">
        <f t="shared" si="8"/>
        <v>108</v>
      </c>
      <c r="W29" s="13">
        <f t="shared" si="8"/>
        <v>105</v>
      </c>
      <c r="X29" s="13">
        <f t="shared" si="8"/>
        <v>102</v>
      </c>
      <c r="Y29" s="13">
        <f t="shared" si="8"/>
        <v>113</v>
      </c>
      <c r="Z29" s="13">
        <f t="shared" si="8"/>
        <v>119</v>
      </c>
      <c r="AA29" s="13">
        <f t="shared" si="8"/>
        <v>109</v>
      </c>
      <c r="AB29" s="13">
        <f t="shared" si="8"/>
        <v>109</v>
      </c>
      <c r="AC29" s="13">
        <f t="shared" si="8"/>
        <v>112</v>
      </c>
      <c r="AD29" s="13">
        <f t="shared" si="8"/>
        <v>99</v>
      </c>
      <c r="AE29" s="13">
        <f t="shared" si="8"/>
        <v>105</v>
      </c>
      <c r="AF29" s="13">
        <f t="shared" si="8"/>
        <v>114</v>
      </c>
      <c r="AG29" s="13">
        <f t="shared" si="8"/>
        <v>98</v>
      </c>
      <c r="AH29" s="13">
        <f t="shared" si="8"/>
        <v>106</v>
      </c>
      <c r="AI29" s="13">
        <f t="shared" si="8"/>
        <v>83</v>
      </c>
      <c r="AJ29" s="13">
        <f t="shared" si="8"/>
        <v>90</v>
      </c>
      <c r="AK29" s="13">
        <f t="shared" si="8"/>
        <v>93</v>
      </c>
      <c r="AL29" s="13">
        <f t="shared" si="8"/>
        <v>101</v>
      </c>
      <c r="AM29" s="13">
        <f t="shared" si="8"/>
        <v>94</v>
      </c>
      <c r="AN29" s="13">
        <f t="shared" si="8"/>
        <v>83</v>
      </c>
      <c r="AO29" s="13">
        <f t="shared" si="8"/>
        <v>105</v>
      </c>
      <c r="AP29" s="13">
        <f t="shared" si="8"/>
        <v>95</v>
      </c>
      <c r="AQ29" s="13">
        <f t="shared" si="8"/>
        <v>98</v>
      </c>
      <c r="AR29" s="13">
        <f t="shared" si="8"/>
        <v>90</v>
      </c>
      <c r="AS29" s="13">
        <f t="shared" si="8"/>
        <v>103</v>
      </c>
      <c r="AT29" s="13">
        <f t="shared" si="8"/>
        <v>106</v>
      </c>
      <c r="AU29" s="13">
        <f t="shared" si="8"/>
        <v>104</v>
      </c>
      <c r="AV29" s="13">
        <f t="shared" si="3"/>
        <v>4359</v>
      </c>
    </row>
    <row r="30" ht="12.75" customHeight="1">
      <c r="A30" s="35"/>
      <c r="B30" s="28"/>
      <c r="C30" s="36"/>
      <c r="D30" s="13" t="s">
        <v>14</v>
      </c>
      <c r="E30" s="13">
        <f t="shared" ref="E30:AU30" si="9">SUM(E28:E29)</f>
        <v>200</v>
      </c>
      <c r="F30" s="13">
        <f t="shared" si="9"/>
        <v>203</v>
      </c>
      <c r="G30" s="13">
        <f t="shared" si="9"/>
        <v>208</v>
      </c>
      <c r="H30" s="13">
        <f t="shared" si="9"/>
        <v>194</v>
      </c>
      <c r="I30" s="13">
        <f t="shared" si="9"/>
        <v>189</v>
      </c>
      <c r="J30" s="13">
        <f t="shared" si="9"/>
        <v>204</v>
      </c>
      <c r="K30" s="13">
        <f t="shared" si="9"/>
        <v>194</v>
      </c>
      <c r="L30" s="13">
        <f t="shared" si="9"/>
        <v>207</v>
      </c>
      <c r="M30" s="13">
        <f t="shared" si="9"/>
        <v>197</v>
      </c>
      <c r="N30" s="13">
        <f t="shared" si="9"/>
        <v>196</v>
      </c>
      <c r="O30" s="13">
        <f t="shared" si="9"/>
        <v>202</v>
      </c>
      <c r="P30" s="13">
        <f t="shared" si="9"/>
        <v>194</v>
      </c>
      <c r="Q30" s="13">
        <f t="shared" si="9"/>
        <v>185</v>
      </c>
      <c r="R30" s="13">
        <f t="shared" si="9"/>
        <v>176</v>
      </c>
      <c r="S30" s="13">
        <f t="shared" si="9"/>
        <v>197</v>
      </c>
      <c r="T30" s="13">
        <f t="shared" si="9"/>
        <v>187</v>
      </c>
      <c r="U30" s="13">
        <f t="shared" si="9"/>
        <v>197</v>
      </c>
      <c r="V30" s="13">
        <f t="shared" si="9"/>
        <v>218</v>
      </c>
      <c r="W30" s="13">
        <f t="shared" si="9"/>
        <v>214</v>
      </c>
      <c r="X30" s="13">
        <f t="shared" si="9"/>
        <v>201</v>
      </c>
      <c r="Y30" s="13">
        <f t="shared" si="9"/>
        <v>221</v>
      </c>
      <c r="Z30" s="13">
        <f t="shared" si="9"/>
        <v>224</v>
      </c>
      <c r="AA30" s="13">
        <f t="shared" si="9"/>
        <v>206</v>
      </c>
      <c r="AB30" s="13">
        <f t="shared" si="9"/>
        <v>218</v>
      </c>
      <c r="AC30" s="13">
        <f t="shared" si="9"/>
        <v>220</v>
      </c>
      <c r="AD30" s="13">
        <f t="shared" si="9"/>
        <v>188</v>
      </c>
      <c r="AE30" s="13">
        <f t="shared" si="9"/>
        <v>207</v>
      </c>
      <c r="AF30" s="13">
        <f t="shared" si="9"/>
        <v>215</v>
      </c>
      <c r="AG30" s="13">
        <f t="shared" si="9"/>
        <v>201</v>
      </c>
      <c r="AH30" s="13">
        <f t="shared" si="9"/>
        <v>211</v>
      </c>
      <c r="AI30" s="13">
        <f t="shared" si="9"/>
        <v>169</v>
      </c>
      <c r="AJ30" s="13">
        <f t="shared" si="9"/>
        <v>204</v>
      </c>
      <c r="AK30" s="13">
        <f t="shared" si="9"/>
        <v>189</v>
      </c>
      <c r="AL30" s="13">
        <f t="shared" si="9"/>
        <v>194</v>
      </c>
      <c r="AM30" s="13">
        <f t="shared" si="9"/>
        <v>192</v>
      </c>
      <c r="AN30" s="13">
        <f t="shared" si="9"/>
        <v>174</v>
      </c>
      <c r="AO30" s="13">
        <f t="shared" si="9"/>
        <v>204</v>
      </c>
      <c r="AP30" s="13">
        <f t="shared" si="9"/>
        <v>213</v>
      </c>
      <c r="AQ30" s="13">
        <f t="shared" si="9"/>
        <v>191</v>
      </c>
      <c r="AR30" s="13">
        <f t="shared" si="9"/>
        <v>202</v>
      </c>
      <c r="AS30" s="13">
        <f t="shared" si="9"/>
        <v>205</v>
      </c>
      <c r="AT30" s="13">
        <f t="shared" si="9"/>
        <v>208</v>
      </c>
      <c r="AU30" s="13">
        <f t="shared" si="9"/>
        <v>218</v>
      </c>
      <c r="AV30" s="13">
        <f t="shared" si="3"/>
        <v>8637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0"/>
      <c r="O31" s="19"/>
      <c r="P31" s="19"/>
      <c r="Q31" s="19"/>
      <c r="R31" s="19"/>
      <c r="S31" s="70"/>
      <c r="T31" s="19"/>
      <c r="U31" s="19"/>
      <c r="V31" s="19"/>
      <c r="W31" s="19"/>
      <c r="X31" s="70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70"/>
      <c r="AJ31" s="19"/>
      <c r="AK31" s="19"/>
      <c r="AL31" s="19"/>
      <c r="AM31" s="19"/>
      <c r="AN31" s="70"/>
      <c r="AO31" s="19"/>
      <c r="AP31" s="19"/>
      <c r="AQ31" s="19"/>
      <c r="AR31" s="19"/>
      <c r="AS31" s="70"/>
      <c r="AT31" s="19"/>
      <c r="AU31" s="19"/>
      <c r="AV31" s="71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2"/>
      <c r="O32" s="13"/>
      <c r="P32" s="13"/>
      <c r="Q32" s="13"/>
      <c r="R32" s="13"/>
      <c r="S32" s="72"/>
      <c r="T32" s="13"/>
      <c r="U32" s="13"/>
      <c r="V32" s="13"/>
      <c r="W32" s="13"/>
      <c r="X32" s="72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72"/>
      <c r="AJ32" s="13"/>
      <c r="AK32" s="13"/>
      <c r="AL32" s="13"/>
      <c r="AM32" s="13"/>
      <c r="AN32" s="72"/>
      <c r="AO32" s="13"/>
      <c r="AP32" s="13"/>
      <c r="AQ32" s="13"/>
      <c r="AR32" s="13"/>
      <c r="AS32" s="72"/>
      <c r="AT32" s="13"/>
      <c r="AU32" s="13"/>
      <c r="AV32" s="71"/>
    </row>
    <row r="33" ht="12.75" customHeight="1">
      <c r="A33" s="19">
        <v>1.0</v>
      </c>
      <c r="B33" s="20" t="s">
        <v>27</v>
      </c>
      <c r="C33" s="15"/>
      <c r="D33" s="16"/>
      <c r="E33" s="69">
        <v>270.0</v>
      </c>
      <c r="F33" s="69">
        <v>267.0</v>
      </c>
      <c r="G33" s="69">
        <v>272.0</v>
      </c>
      <c r="H33" s="69">
        <v>258.0</v>
      </c>
      <c r="I33" s="69">
        <v>276.0</v>
      </c>
      <c r="J33" s="69">
        <v>270.0</v>
      </c>
      <c r="K33" s="69">
        <v>269.0</v>
      </c>
      <c r="L33" s="69">
        <v>273.0</v>
      </c>
      <c r="M33" s="69">
        <v>275.0</v>
      </c>
      <c r="N33" s="69">
        <v>271.0</v>
      </c>
      <c r="O33" s="69">
        <v>274.0</v>
      </c>
      <c r="P33" s="69">
        <v>269.0</v>
      </c>
      <c r="Q33" s="69">
        <v>263.0</v>
      </c>
      <c r="R33" s="69">
        <v>269.0</v>
      </c>
      <c r="S33" s="69">
        <v>275.0</v>
      </c>
      <c r="T33" s="69">
        <v>264.0</v>
      </c>
      <c r="U33" s="69">
        <v>271.0</v>
      </c>
      <c r="V33" s="69">
        <v>263.0</v>
      </c>
      <c r="W33" s="69">
        <v>273.0</v>
      </c>
      <c r="X33" s="69">
        <v>259.0</v>
      </c>
      <c r="Y33" s="69">
        <v>267.0</v>
      </c>
      <c r="Z33" s="69">
        <v>275.0</v>
      </c>
      <c r="AA33" s="69">
        <v>283.0</v>
      </c>
      <c r="AB33" s="69">
        <v>278.0</v>
      </c>
      <c r="AC33" s="69">
        <v>285.0</v>
      </c>
      <c r="AD33" s="69">
        <v>264.0</v>
      </c>
      <c r="AE33" s="69">
        <v>297.0</v>
      </c>
      <c r="AF33" s="69">
        <v>283.0</v>
      </c>
      <c r="AG33" s="69">
        <v>278.0</v>
      </c>
      <c r="AH33" s="69">
        <v>276.0</v>
      </c>
      <c r="AI33" s="69">
        <v>253.0</v>
      </c>
      <c r="AJ33" s="69">
        <v>267.0</v>
      </c>
      <c r="AK33" s="69">
        <v>273.0</v>
      </c>
      <c r="AL33" s="69">
        <v>255.0</v>
      </c>
      <c r="AM33" s="69">
        <v>270.0</v>
      </c>
      <c r="AN33" s="69">
        <v>263.0</v>
      </c>
      <c r="AO33" s="69">
        <v>275.0</v>
      </c>
      <c r="AP33" s="69">
        <v>272.0</v>
      </c>
      <c r="AQ33" s="69">
        <v>262.0</v>
      </c>
      <c r="AR33" s="69">
        <v>270.0</v>
      </c>
      <c r="AS33" s="69">
        <v>266.0</v>
      </c>
      <c r="AT33" s="69">
        <v>277.0</v>
      </c>
      <c r="AU33" s="69">
        <v>280.0</v>
      </c>
      <c r="AV33" s="13">
        <f t="shared" ref="AV33:AV36" si="10">SUM(E33:AU33)</f>
        <v>11650</v>
      </c>
    </row>
    <row r="34" ht="12.75" customHeight="1">
      <c r="A34" s="19">
        <v>2.0</v>
      </c>
      <c r="B34" s="20" t="s">
        <v>28</v>
      </c>
      <c r="C34" s="15"/>
      <c r="D34" s="16"/>
      <c r="E34" s="73">
        <v>200.0</v>
      </c>
      <c r="F34" s="73">
        <v>203.0</v>
      </c>
      <c r="G34" s="73">
        <v>208.0</v>
      </c>
      <c r="H34" s="73">
        <v>194.0</v>
      </c>
      <c r="I34" s="73">
        <v>189.0</v>
      </c>
      <c r="J34" s="73">
        <v>204.0</v>
      </c>
      <c r="K34" s="73">
        <v>194.0</v>
      </c>
      <c r="L34" s="73">
        <v>207.0</v>
      </c>
      <c r="M34" s="73">
        <v>197.0</v>
      </c>
      <c r="N34" s="73">
        <v>196.0</v>
      </c>
      <c r="O34" s="73">
        <v>202.0</v>
      </c>
      <c r="P34" s="73">
        <v>194.0</v>
      </c>
      <c r="Q34" s="73">
        <v>185.0</v>
      </c>
      <c r="R34" s="73">
        <v>176.0</v>
      </c>
      <c r="S34" s="73">
        <v>197.0</v>
      </c>
      <c r="T34" s="73">
        <v>187.0</v>
      </c>
      <c r="U34" s="73">
        <v>197.0</v>
      </c>
      <c r="V34" s="73">
        <v>218.0</v>
      </c>
      <c r="W34" s="73">
        <v>214.0</v>
      </c>
      <c r="X34" s="73">
        <v>201.0</v>
      </c>
      <c r="Y34" s="73">
        <v>221.0</v>
      </c>
      <c r="Z34" s="73">
        <v>224.0</v>
      </c>
      <c r="AA34" s="73">
        <v>206.0</v>
      </c>
      <c r="AB34" s="73">
        <v>218.0</v>
      </c>
      <c r="AC34" s="73">
        <v>220.0</v>
      </c>
      <c r="AD34" s="73">
        <v>188.0</v>
      </c>
      <c r="AE34" s="73">
        <v>207.0</v>
      </c>
      <c r="AF34" s="73">
        <v>215.0</v>
      </c>
      <c r="AG34" s="73">
        <v>201.0</v>
      </c>
      <c r="AH34" s="73">
        <v>211.0</v>
      </c>
      <c r="AI34" s="73">
        <v>169.0</v>
      </c>
      <c r="AJ34" s="73">
        <v>204.0</v>
      </c>
      <c r="AK34" s="73">
        <v>189.0</v>
      </c>
      <c r="AL34" s="73">
        <v>194.0</v>
      </c>
      <c r="AM34" s="73">
        <v>192.0</v>
      </c>
      <c r="AN34" s="73">
        <v>174.0</v>
      </c>
      <c r="AO34" s="73">
        <v>204.0</v>
      </c>
      <c r="AP34" s="73">
        <v>213.0</v>
      </c>
      <c r="AQ34" s="73">
        <v>191.0</v>
      </c>
      <c r="AR34" s="73">
        <v>202.0</v>
      </c>
      <c r="AS34" s="73">
        <v>205.0</v>
      </c>
      <c r="AT34" s="73">
        <v>208.0</v>
      </c>
      <c r="AU34" s="73">
        <v>218.0</v>
      </c>
      <c r="AV34" s="13">
        <f t="shared" si="10"/>
        <v>8637</v>
      </c>
    </row>
    <row r="35" ht="12.75" customHeight="1">
      <c r="A35" s="19">
        <v>3.0</v>
      </c>
      <c r="B35" s="20" t="s">
        <v>29</v>
      </c>
      <c r="C35" s="15"/>
      <c r="D35" s="16"/>
      <c r="E35" s="69">
        <v>1.0</v>
      </c>
      <c r="F35" s="69">
        <v>0.0</v>
      </c>
      <c r="G35" s="69">
        <v>0.0</v>
      </c>
      <c r="H35" s="69">
        <v>0.0</v>
      </c>
      <c r="I35" s="69">
        <v>0.0</v>
      </c>
      <c r="J35" s="69">
        <v>0.0</v>
      </c>
      <c r="K35" s="69">
        <v>0.0</v>
      </c>
      <c r="L35" s="69">
        <v>1.0</v>
      </c>
      <c r="M35" s="69">
        <v>0.0</v>
      </c>
      <c r="N35" s="69">
        <v>0.0</v>
      </c>
      <c r="O35" s="69">
        <v>0.0</v>
      </c>
      <c r="P35" s="69">
        <v>0.0</v>
      </c>
      <c r="Q35" s="69">
        <v>0.0</v>
      </c>
      <c r="R35" s="69">
        <v>0.0</v>
      </c>
      <c r="S35" s="69">
        <v>0.0</v>
      </c>
      <c r="T35" s="69">
        <v>0.0</v>
      </c>
      <c r="U35" s="69">
        <v>0.0</v>
      </c>
      <c r="V35" s="69">
        <v>1.0</v>
      </c>
      <c r="W35" s="69">
        <v>0.0</v>
      </c>
      <c r="X35" s="69">
        <v>0.0</v>
      </c>
      <c r="Y35" s="69">
        <v>0.0</v>
      </c>
      <c r="Z35" s="69">
        <v>1.0</v>
      </c>
      <c r="AA35" s="69">
        <v>0.0</v>
      </c>
      <c r="AB35" s="69">
        <v>1.0</v>
      </c>
      <c r="AC35" s="69">
        <v>1.0</v>
      </c>
      <c r="AD35" s="69">
        <v>1.0</v>
      </c>
      <c r="AE35" s="69">
        <v>2.0</v>
      </c>
      <c r="AF35" s="69">
        <v>0.0</v>
      </c>
      <c r="AG35" s="69">
        <v>1.0</v>
      </c>
      <c r="AH35" s="69">
        <v>0.0</v>
      </c>
      <c r="AI35" s="69">
        <v>0.0</v>
      </c>
      <c r="AJ35" s="69">
        <v>0.0</v>
      </c>
      <c r="AK35" s="69">
        <v>0.0</v>
      </c>
      <c r="AL35" s="69">
        <v>0.0</v>
      </c>
      <c r="AM35" s="69">
        <v>0.0</v>
      </c>
      <c r="AN35" s="69">
        <v>0.0</v>
      </c>
      <c r="AO35" s="69">
        <v>1.0</v>
      </c>
      <c r="AP35" s="69">
        <v>0.0</v>
      </c>
      <c r="AQ35" s="69">
        <v>0.0</v>
      </c>
      <c r="AR35" s="69">
        <v>0.0</v>
      </c>
      <c r="AS35" s="69">
        <v>1.0</v>
      </c>
      <c r="AT35" s="69">
        <v>0.0</v>
      </c>
      <c r="AU35" s="69">
        <v>0.0</v>
      </c>
      <c r="AV35" s="13">
        <f t="shared" si="10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U36" si="11">E33-(E34+E35)</f>
        <v>69</v>
      </c>
      <c r="F36" s="13">
        <f t="shared" si="11"/>
        <v>64</v>
      </c>
      <c r="G36" s="13">
        <f t="shared" si="11"/>
        <v>64</v>
      </c>
      <c r="H36" s="13">
        <f t="shared" si="11"/>
        <v>64</v>
      </c>
      <c r="I36" s="13">
        <f t="shared" si="11"/>
        <v>87</v>
      </c>
      <c r="J36" s="13">
        <f t="shared" si="11"/>
        <v>66</v>
      </c>
      <c r="K36" s="13">
        <f t="shared" si="11"/>
        <v>75</v>
      </c>
      <c r="L36" s="13">
        <f t="shared" si="11"/>
        <v>65</v>
      </c>
      <c r="M36" s="13">
        <f t="shared" si="11"/>
        <v>78</v>
      </c>
      <c r="N36" s="13">
        <f t="shared" si="11"/>
        <v>75</v>
      </c>
      <c r="O36" s="13">
        <f t="shared" si="11"/>
        <v>72</v>
      </c>
      <c r="P36" s="13">
        <f t="shared" si="11"/>
        <v>75</v>
      </c>
      <c r="Q36" s="13">
        <f t="shared" si="11"/>
        <v>78</v>
      </c>
      <c r="R36" s="13">
        <f t="shared" si="11"/>
        <v>93</v>
      </c>
      <c r="S36" s="13">
        <f t="shared" si="11"/>
        <v>78</v>
      </c>
      <c r="T36" s="13">
        <f t="shared" si="11"/>
        <v>77</v>
      </c>
      <c r="U36" s="13">
        <f t="shared" si="11"/>
        <v>74</v>
      </c>
      <c r="V36" s="13">
        <f t="shared" si="11"/>
        <v>44</v>
      </c>
      <c r="W36" s="13">
        <f t="shared" si="11"/>
        <v>59</v>
      </c>
      <c r="X36" s="13">
        <f t="shared" si="11"/>
        <v>58</v>
      </c>
      <c r="Y36" s="13">
        <f t="shared" si="11"/>
        <v>46</v>
      </c>
      <c r="Z36" s="13">
        <f t="shared" si="11"/>
        <v>50</v>
      </c>
      <c r="AA36" s="13">
        <f t="shared" si="11"/>
        <v>77</v>
      </c>
      <c r="AB36" s="13">
        <f t="shared" si="11"/>
        <v>59</v>
      </c>
      <c r="AC36" s="13">
        <f t="shared" si="11"/>
        <v>64</v>
      </c>
      <c r="AD36" s="13">
        <f t="shared" si="11"/>
        <v>75</v>
      </c>
      <c r="AE36" s="13">
        <f t="shared" si="11"/>
        <v>88</v>
      </c>
      <c r="AF36" s="13">
        <f t="shared" si="11"/>
        <v>68</v>
      </c>
      <c r="AG36" s="13">
        <f t="shared" si="11"/>
        <v>76</v>
      </c>
      <c r="AH36" s="13">
        <f t="shared" si="11"/>
        <v>65</v>
      </c>
      <c r="AI36" s="13">
        <f t="shared" si="11"/>
        <v>84</v>
      </c>
      <c r="AJ36" s="13">
        <f t="shared" si="11"/>
        <v>63</v>
      </c>
      <c r="AK36" s="13">
        <f t="shared" si="11"/>
        <v>84</v>
      </c>
      <c r="AL36" s="13">
        <f t="shared" si="11"/>
        <v>61</v>
      </c>
      <c r="AM36" s="13">
        <f t="shared" si="11"/>
        <v>78</v>
      </c>
      <c r="AN36" s="13">
        <f t="shared" si="11"/>
        <v>89</v>
      </c>
      <c r="AO36" s="13">
        <f t="shared" si="11"/>
        <v>70</v>
      </c>
      <c r="AP36" s="13">
        <f t="shared" si="11"/>
        <v>59</v>
      </c>
      <c r="AQ36" s="13">
        <f t="shared" si="11"/>
        <v>71</v>
      </c>
      <c r="AR36" s="13">
        <f t="shared" si="11"/>
        <v>68</v>
      </c>
      <c r="AS36" s="13">
        <f t="shared" si="11"/>
        <v>60</v>
      </c>
      <c r="AT36" s="13">
        <f t="shared" si="11"/>
        <v>69</v>
      </c>
      <c r="AU36" s="13">
        <f t="shared" si="11"/>
        <v>62</v>
      </c>
      <c r="AV36" s="13">
        <f t="shared" si="10"/>
        <v>3001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19"/>
      <c r="AF37" s="19"/>
      <c r="AG37" s="19"/>
      <c r="AH37" s="19"/>
      <c r="AI37" s="70"/>
      <c r="AJ37" s="19"/>
      <c r="AK37" s="19"/>
      <c r="AL37" s="19"/>
      <c r="AM37" s="19"/>
      <c r="AN37" s="70"/>
      <c r="AO37" s="19"/>
      <c r="AP37" s="19"/>
      <c r="AQ37" s="19"/>
      <c r="AR37" s="19"/>
      <c r="AS37" s="70"/>
      <c r="AT37" s="19"/>
      <c r="AU37" s="19"/>
      <c r="AV37" s="71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2"/>
      <c r="O38" s="13"/>
      <c r="P38" s="13"/>
      <c r="Q38" s="13"/>
      <c r="R38" s="13"/>
      <c r="S38" s="72"/>
      <c r="T38" s="13"/>
      <c r="U38" s="13"/>
      <c r="V38" s="13"/>
      <c r="W38" s="13"/>
      <c r="X38" s="72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72"/>
      <c r="AJ38" s="13"/>
      <c r="AK38" s="13"/>
      <c r="AL38" s="13"/>
      <c r="AM38" s="13"/>
      <c r="AN38" s="72"/>
      <c r="AO38" s="13"/>
      <c r="AP38" s="13"/>
      <c r="AQ38" s="13"/>
      <c r="AR38" s="13"/>
      <c r="AS38" s="72"/>
      <c r="AT38" s="13"/>
      <c r="AU38" s="13"/>
      <c r="AV38" s="71"/>
    </row>
    <row r="39" ht="12.75" customHeight="1">
      <c r="A39" s="30"/>
      <c r="B39" s="43" t="s">
        <v>33</v>
      </c>
      <c r="C39" s="23"/>
      <c r="D39" s="19" t="s">
        <v>12</v>
      </c>
      <c r="E39" s="69">
        <v>0.0</v>
      </c>
      <c r="F39" s="69">
        <v>0.0</v>
      </c>
      <c r="G39" s="69">
        <v>0.0</v>
      </c>
      <c r="H39" s="69">
        <v>0.0</v>
      </c>
      <c r="I39" s="69">
        <v>0.0</v>
      </c>
      <c r="J39" s="69">
        <v>0.0</v>
      </c>
      <c r="K39" s="69">
        <v>0.0</v>
      </c>
      <c r="L39" s="69">
        <v>0.0</v>
      </c>
      <c r="M39" s="69">
        <v>0.0</v>
      </c>
      <c r="N39" s="69">
        <v>0.0</v>
      </c>
      <c r="O39" s="69">
        <v>0.0</v>
      </c>
      <c r="P39" s="69">
        <v>0.0</v>
      </c>
      <c r="Q39" s="69">
        <v>0.0</v>
      </c>
      <c r="R39" s="69">
        <v>0.0</v>
      </c>
      <c r="S39" s="69">
        <v>0.0</v>
      </c>
      <c r="T39" s="69">
        <v>0.0</v>
      </c>
      <c r="U39" s="69">
        <v>0.0</v>
      </c>
      <c r="V39" s="69">
        <v>0.0</v>
      </c>
      <c r="W39" s="69">
        <v>0.0</v>
      </c>
      <c r="X39" s="69">
        <v>0.0</v>
      </c>
      <c r="Y39" s="69">
        <v>0.0</v>
      </c>
      <c r="Z39" s="69">
        <v>0.0</v>
      </c>
      <c r="AA39" s="69">
        <v>0.0</v>
      </c>
      <c r="AB39" s="69">
        <v>0.0</v>
      </c>
      <c r="AC39" s="69">
        <v>0.0</v>
      </c>
      <c r="AD39" s="69">
        <v>0.0</v>
      </c>
      <c r="AE39" s="69">
        <v>0.0</v>
      </c>
      <c r="AF39" s="69">
        <v>0.0</v>
      </c>
      <c r="AG39" s="69">
        <v>0.0</v>
      </c>
      <c r="AH39" s="69">
        <v>0.0</v>
      </c>
      <c r="AI39" s="69">
        <v>0.0</v>
      </c>
      <c r="AJ39" s="69">
        <v>0.0</v>
      </c>
      <c r="AK39" s="69">
        <v>0.0</v>
      </c>
      <c r="AL39" s="69">
        <v>0.0</v>
      </c>
      <c r="AM39" s="69">
        <v>0.0</v>
      </c>
      <c r="AN39" s="69">
        <v>0.0</v>
      </c>
      <c r="AO39" s="69">
        <v>0.0</v>
      </c>
      <c r="AP39" s="69">
        <v>0.0</v>
      </c>
      <c r="AQ39" s="69">
        <v>0.0</v>
      </c>
      <c r="AR39" s="69">
        <v>1.0</v>
      </c>
      <c r="AS39" s="69">
        <v>0.0</v>
      </c>
      <c r="AT39" s="69">
        <v>0.0</v>
      </c>
      <c r="AU39" s="69">
        <v>0.0</v>
      </c>
      <c r="AV39" s="13">
        <f t="shared" ref="AV39:AV41" si="12">SUM(E39:AU39)</f>
        <v>1</v>
      </c>
    </row>
    <row r="40" ht="12.75" customHeight="1">
      <c r="A40" s="33"/>
      <c r="C40" s="27"/>
      <c r="D40" s="19" t="s">
        <v>13</v>
      </c>
      <c r="E40" s="69">
        <v>0.0</v>
      </c>
      <c r="F40" s="69">
        <v>0.0</v>
      </c>
      <c r="G40" s="69">
        <v>0.0</v>
      </c>
      <c r="H40" s="69">
        <v>0.0</v>
      </c>
      <c r="I40" s="69">
        <v>0.0</v>
      </c>
      <c r="J40" s="69">
        <v>0.0</v>
      </c>
      <c r="K40" s="69">
        <v>0.0</v>
      </c>
      <c r="L40" s="69">
        <v>0.0</v>
      </c>
      <c r="M40" s="69">
        <v>0.0</v>
      </c>
      <c r="N40" s="69">
        <v>0.0</v>
      </c>
      <c r="O40" s="69">
        <v>0.0</v>
      </c>
      <c r="P40" s="69">
        <v>0.0</v>
      </c>
      <c r="Q40" s="69">
        <v>0.0</v>
      </c>
      <c r="R40" s="69">
        <v>0.0</v>
      </c>
      <c r="S40" s="69">
        <v>0.0</v>
      </c>
      <c r="T40" s="69">
        <v>0.0</v>
      </c>
      <c r="U40" s="69">
        <v>0.0</v>
      </c>
      <c r="V40" s="69">
        <v>0.0</v>
      </c>
      <c r="W40" s="69">
        <v>0.0</v>
      </c>
      <c r="X40" s="69">
        <v>0.0</v>
      </c>
      <c r="Y40" s="69">
        <v>0.0</v>
      </c>
      <c r="Z40" s="69">
        <v>0.0</v>
      </c>
      <c r="AA40" s="69">
        <v>0.0</v>
      </c>
      <c r="AB40" s="69">
        <v>0.0</v>
      </c>
      <c r="AC40" s="69">
        <v>0.0</v>
      </c>
      <c r="AD40" s="69">
        <v>0.0</v>
      </c>
      <c r="AE40" s="69">
        <v>0.0</v>
      </c>
      <c r="AF40" s="69">
        <v>0.0</v>
      </c>
      <c r="AG40" s="69">
        <v>0.0</v>
      </c>
      <c r="AH40" s="69">
        <v>0.0</v>
      </c>
      <c r="AI40" s="69">
        <v>0.0</v>
      </c>
      <c r="AJ40" s="69">
        <v>0.0</v>
      </c>
      <c r="AK40" s="69">
        <v>0.0</v>
      </c>
      <c r="AL40" s="69">
        <v>0.0</v>
      </c>
      <c r="AM40" s="69">
        <v>0.0</v>
      </c>
      <c r="AN40" s="69">
        <v>0.0</v>
      </c>
      <c r="AO40" s="69">
        <v>0.0</v>
      </c>
      <c r="AP40" s="69">
        <v>0.0</v>
      </c>
      <c r="AQ40" s="69">
        <v>0.0</v>
      </c>
      <c r="AR40" s="69">
        <v>0.0</v>
      </c>
      <c r="AS40" s="69">
        <v>0.0</v>
      </c>
      <c r="AT40" s="69">
        <v>0.0</v>
      </c>
      <c r="AU40" s="69">
        <v>0.0</v>
      </c>
      <c r="AV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AU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1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9"/>
      <c r="AF42" s="19"/>
      <c r="AG42" s="19"/>
      <c r="AH42" s="19"/>
      <c r="AI42" s="70"/>
      <c r="AJ42" s="19"/>
      <c r="AK42" s="19"/>
      <c r="AL42" s="19"/>
      <c r="AM42" s="19"/>
      <c r="AN42" s="70"/>
      <c r="AO42" s="19"/>
      <c r="AP42" s="19"/>
      <c r="AQ42" s="19"/>
      <c r="AR42" s="19"/>
      <c r="AS42" s="70"/>
      <c r="AT42" s="19"/>
      <c r="AU42" s="19"/>
      <c r="A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2"/>
      <c r="O43" s="13"/>
      <c r="P43" s="13"/>
      <c r="Q43" s="13"/>
      <c r="R43" s="13"/>
      <c r="S43" s="72"/>
      <c r="T43" s="13"/>
      <c r="U43" s="13"/>
      <c r="V43" s="13"/>
      <c r="W43" s="13"/>
      <c r="X43" s="72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72"/>
      <c r="AJ43" s="13"/>
      <c r="AK43" s="13"/>
      <c r="AL43" s="13"/>
      <c r="AM43" s="13"/>
      <c r="AN43" s="72"/>
      <c r="AO43" s="13"/>
      <c r="AP43" s="13"/>
      <c r="AQ43" s="13"/>
      <c r="AR43" s="13"/>
      <c r="AS43" s="72"/>
      <c r="AT43" s="13"/>
      <c r="AU43" s="13"/>
      <c r="AV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0"/>
      <c r="O44" s="19"/>
      <c r="P44" s="19"/>
      <c r="Q44" s="19"/>
      <c r="R44" s="19"/>
      <c r="S44" s="70"/>
      <c r="T44" s="19"/>
      <c r="U44" s="19"/>
      <c r="V44" s="19"/>
      <c r="W44" s="19"/>
      <c r="X44" s="70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70"/>
      <c r="AJ44" s="19"/>
      <c r="AK44" s="19"/>
      <c r="AL44" s="19"/>
      <c r="AM44" s="19"/>
      <c r="AN44" s="70"/>
      <c r="AO44" s="19"/>
      <c r="AP44" s="19"/>
      <c r="AQ44" s="19"/>
      <c r="AR44" s="19"/>
      <c r="AS44" s="70"/>
      <c r="AT44" s="19"/>
      <c r="AU44" s="19"/>
      <c r="AV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69">
        <v>4.0</v>
      </c>
      <c r="F45" s="69">
        <v>6.0</v>
      </c>
      <c r="G45" s="69">
        <v>6.0</v>
      </c>
      <c r="H45" s="69">
        <v>1.0</v>
      </c>
      <c r="I45" s="69">
        <v>1.0</v>
      </c>
      <c r="J45" s="69">
        <v>3.0</v>
      </c>
      <c r="K45" s="69">
        <v>6.0</v>
      </c>
      <c r="L45" s="69">
        <v>8.0</v>
      </c>
      <c r="M45" s="69">
        <v>1.0</v>
      </c>
      <c r="N45" s="69">
        <v>3.0</v>
      </c>
      <c r="O45" s="69">
        <v>2.0</v>
      </c>
      <c r="P45" s="69">
        <v>2.0</v>
      </c>
      <c r="Q45" s="69">
        <v>5.0</v>
      </c>
      <c r="R45" s="69">
        <v>0.0</v>
      </c>
      <c r="S45" s="69">
        <v>0.0</v>
      </c>
      <c r="T45" s="69">
        <v>4.0</v>
      </c>
      <c r="U45" s="69">
        <v>1.0</v>
      </c>
      <c r="V45" s="69">
        <v>0.0</v>
      </c>
      <c r="W45" s="69">
        <v>3.0</v>
      </c>
      <c r="X45" s="69">
        <v>1.0</v>
      </c>
      <c r="Y45" s="69">
        <v>1.0</v>
      </c>
      <c r="Z45" s="69">
        <v>8.0</v>
      </c>
      <c r="AA45" s="69">
        <v>6.0</v>
      </c>
      <c r="AB45" s="69">
        <v>7.0</v>
      </c>
      <c r="AC45" s="69">
        <v>3.0</v>
      </c>
      <c r="AD45" s="69">
        <v>3.0</v>
      </c>
      <c r="AE45" s="69">
        <v>4.0</v>
      </c>
      <c r="AF45" s="69">
        <v>4.0</v>
      </c>
      <c r="AG45" s="69">
        <v>7.0</v>
      </c>
      <c r="AH45" s="69">
        <v>0.0</v>
      </c>
      <c r="AI45" s="69">
        <v>2.0</v>
      </c>
      <c r="AJ45" s="69">
        <v>1.0</v>
      </c>
      <c r="AK45" s="69">
        <v>3.0</v>
      </c>
      <c r="AL45" s="69">
        <v>4.0</v>
      </c>
      <c r="AM45" s="69">
        <v>2.0</v>
      </c>
      <c r="AN45" s="69">
        <v>4.0</v>
      </c>
      <c r="AO45" s="69">
        <v>7.0</v>
      </c>
      <c r="AP45" s="69">
        <v>1.0</v>
      </c>
      <c r="AQ45" s="69">
        <v>5.0</v>
      </c>
      <c r="AR45" s="69">
        <v>5.0</v>
      </c>
      <c r="AS45" s="69">
        <v>7.0</v>
      </c>
      <c r="AT45" s="69">
        <v>4.0</v>
      </c>
      <c r="AU45" s="69">
        <v>4.0</v>
      </c>
      <c r="AV45" s="13">
        <f t="shared" ref="AV45:AV53" si="14">SUM(E45:AU45)</f>
        <v>149</v>
      </c>
    </row>
    <row r="46" ht="12.75" customHeight="1">
      <c r="A46" s="30" t="s">
        <v>39</v>
      </c>
      <c r="B46" s="49"/>
      <c r="C46" s="50" t="s">
        <v>40</v>
      </c>
      <c r="D46" s="51"/>
      <c r="E46" s="69">
        <v>2.0</v>
      </c>
      <c r="F46" s="69">
        <v>1.0</v>
      </c>
      <c r="G46" s="69">
        <v>3.0</v>
      </c>
      <c r="H46" s="69">
        <v>6.0</v>
      </c>
      <c r="I46" s="69">
        <v>1.0</v>
      </c>
      <c r="J46" s="69">
        <v>2.0</v>
      </c>
      <c r="K46" s="69">
        <v>2.0</v>
      </c>
      <c r="L46" s="69">
        <v>1.0</v>
      </c>
      <c r="M46" s="69">
        <v>1.0</v>
      </c>
      <c r="N46" s="69">
        <v>2.0</v>
      </c>
      <c r="O46" s="69">
        <v>0.0</v>
      </c>
      <c r="P46" s="69">
        <v>2.0</v>
      </c>
      <c r="Q46" s="69">
        <v>0.0</v>
      </c>
      <c r="R46" s="69">
        <v>2.0</v>
      </c>
      <c r="S46" s="69">
        <v>0.0</v>
      </c>
      <c r="T46" s="69">
        <v>4.0</v>
      </c>
      <c r="U46" s="69">
        <v>1.0</v>
      </c>
      <c r="V46" s="69">
        <v>0.0</v>
      </c>
      <c r="W46" s="69">
        <v>2.0</v>
      </c>
      <c r="X46" s="69">
        <v>1.0</v>
      </c>
      <c r="Y46" s="69">
        <v>1.0</v>
      </c>
      <c r="Z46" s="69">
        <v>2.0</v>
      </c>
      <c r="AA46" s="69">
        <v>0.0</v>
      </c>
      <c r="AB46" s="69">
        <v>3.0</v>
      </c>
      <c r="AC46" s="69">
        <v>5.0</v>
      </c>
      <c r="AD46" s="69">
        <v>1.0</v>
      </c>
      <c r="AE46" s="69">
        <v>3.0</v>
      </c>
      <c r="AF46" s="69">
        <v>2.0</v>
      </c>
      <c r="AG46" s="69">
        <v>1.0</v>
      </c>
      <c r="AH46" s="69">
        <v>2.0</v>
      </c>
      <c r="AI46" s="69">
        <v>1.0</v>
      </c>
      <c r="AJ46" s="69">
        <v>4.0</v>
      </c>
      <c r="AK46" s="69">
        <v>2.0</v>
      </c>
      <c r="AL46" s="69">
        <v>4.0</v>
      </c>
      <c r="AM46" s="69">
        <v>6.0</v>
      </c>
      <c r="AN46" s="69">
        <v>0.0</v>
      </c>
      <c r="AO46" s="69">
        <v>4.0</v>
      </c>
      <c r="AP46" s="69">
        <v>9.0</v>
      </c>
      <c r="AQ46" s="69">
        <v>2.0</v>
      </c>
      <c r="AR46" s="69">
        <v>7.0</v>
      </c>
      <c r="AS46" s="69">
        <v>4.0</v>
      </c>
      <c r="AT46" s="69">
        <v>2.0</v>
      </c>
      <c r="AU46" s="69">
        <v>4.0</v>
      </c>
      <c r="AV46" s="13">
        <f t="shared" si="14"/>
        <v>102</v>
      </c>
    </row>
    <row r="47" ht="12.75" customHeight="1">
      <c r="A47" s="18"/>
      <c r="B47" s="49"/>
      <c r="C47" s="50" t="s">
        <v>41</v>
      </c>
      <c r="D47" s="51"/>
      <c r="E47" s="69">
        <v>18.0</v>
      </c>
      <c r="F47" s="69">
        <v>43.0</v>
      </c>
      <c r="G47" s="69">
        <v>44.0</v>
      </c>
      <c r="H47" s="69">
        <v>30.0</v>
      </c>
      <c r="I47" s="69">
        <v>43.0</v>
      </c>
      <c r="J47" s="69">
        <v>25.0</v>
      </c>
      <c r="K47" s="69">
        <v>24.0</v>
      </c>
      <c r="L47" s="69">
        <v>29.0</v>
      </c>
      <c r="M47" s="69">
        <v>39.0</v>
      </c>
      <c r="N47" s="69">
        <v>29.0</v>
      </c>
      <c r="O47" s="69">
        <v>64.0</v>
      </c>
      <c r="P47" s="69">
        <v>16.0</v>
      </c>
      <c r="Q47" s="69">
        <v>26.0</v>
      </c>
      <c r="R47" s="69">
        <v>20.0</v>
      </c>
      <c r="S47" s="69">
        <v>11.0</v>
      </c>
      <c r="T47" s="69">
        <v>57.0</v>
      </c>
      <c r="U47" s="69">
        <v>26.0</v>
      </c>
      <c r="V47" s="69">
        <v>32.0</v>
      </c>
      <c r="W47" s="69">
        <v>31.0</v>
      </c>
      <c r="X47" s="69">
        <v>14.0</v>
      </c>
      <c r="Y47" s="69">
        <v>3.0</v>
      </c>
      <c r="Z47" s="69">
        <v>41.0</v>
      </c>
      <c r="AA47" s="69">
        <v>31.0</v>
      </c>
      <c r="AB47" s="69">
        <v>56.0</v>
      </c>
      <c r="AC47" s="69">
        <v>63.0</v>
      </c>
      <c r="AD47" s="69">
        <v>58.0</v>
      </c>
      <c r="AE47" s="69">
        <v>66.0</v>
      </c>
      <c r="AF47" s="69">
        <v>41.0</v>
      </c>
      <c r="AG47" s="69">
        <v>53.0</v>
      </c>
      <c r="AH47" s="69">
        <v>99.0</v>
      </c>
      <c r="AI47" s="69">
        <v>4.0</v>
      </c>
      <c r="AJ47" s="69">
        <v>4.0</v>
      </c>
      <c r="AK47" s="69">
        <v>8.0</v>
      </c>
      <c r="AL47" s="69">
        <v>1.0</v>
      </c>
      <c r="AM47" s="69">
        <v>1.0</v>
      </c>
      <c r="AN47" s="69">
        <v>1.0</v>
      </c>
      <c r="AO47" s="69">
        <v>2.0</v>
      </c>
      <c r="AP47" s="69">
        <v>14.0</v>
      </c>
      <c r="AQ47" s="69">
        <v>4.0</v>
      </c>
      <c r="AR47" s="69">
        <v>4.0</v>
      </c>
      <c r="AS47" s="69">
        <v>5.0</v>
      </c>
      <c r="AT47" s="69">
        <v>6.0</v>
      </c>
      <c r="AU47" s="69">
        <v>3.0</v>
      </c>
      <c r="AV47" s="13">
        <f t="shared" si="14"/>
        <v>1189</v>
      </c>
    </row>
    <row r="48" ht="12.75" customHeight="1">
      <c r="A48" s="18"/>
      <c r="B48" s="49"/>
      <c r="C48" s="50" t="s">
        <v>42</v>
      </c>
      <c r="D48" s="51"/>
      <c r="E48" s="69">
        <v>0.0</v>
      </c>
      <c r="F48" s="69">
        <v>0.0</v>
      </c>
      <c r="G48" s="69">
        <v>1.0</v>
      </c>
      <c r="H48" s="69">
        <v>0.0</v>
      </c>
      <c r="I48" s="69">
        <v>0.0</v>
      </c>
      <c r="J48" s="69">
        <v>0.0</v>
      </c>
      <c r="K48" s="69">
        <v>0.0</v>
      </c>
      <c r="L48" s="69">
        <v>0.0</v>
      </c>
      <c r="M48" s="69">
        <v>1.0</v>
      </c>
      <c r="N48" s="69">
        <v>0.0</v>
      </c>
      <c r="O48" s="69">
        <v>0.0</v>
      </c>
      <c r="P48" s="69">
        <v>0.0</v>
      </c>
      <c r="Q48" s="69">
        <v>0.0</v>
      </c>
      <c r="R48" s="69">
        <v>1.0</v>
      </c>
      <c r="S48" s="69">
        <v>0.0</v>
      </c>
      <c r="T48" s="69">
        <v>0.0</v>
      </c>
      <c r="U48" s="69">
        <v>1.0</v>
      </c>
      <c r="V48" s="69">
        <v>0.0</v>
      </c>
      <c r="W48" s="69">
        <v>1.0</v>
      </c>
      <c r="X48" s="69">
        <v>0.0</v>
      </c>
      <c r="Y48" s="69">
        <v>0.0</v>
      </c>
      <c r="Z48" s="69">
        <v>2.0</v>
      </c>
      <c r="AA48" s="69">
        <v>0.0</v>
      </c>
      <c r="AB48" s="69">
        <v>3.0</v>
      </c>
      <c r="AC48" s="69">
        <v>14.0</v>
      </c>
      <c r="AD48" s="69">
        <v>1.0</v>
      </c>
      <c r="AE48" s="69">
        <v>1.0</v>
      </c>
      <c r="AF48" s="69">
        <v>0.0</v>
      </c>
      <c r="AG48" s="69">
        <v>0.0</v>
      </c>
      <c r="AH48" s="69">
        <v>1.0</v>
      </c>
      <c r="AI48" s="69">
        <v>0.0</v>
      </c>
      <c r="AJ48" s="69">
        <v>5.0</v>
      </c>
      <c r="AK48" s="69">
        <v>3.0</v>
      </c>
      <c r="AL48" s="69">
        <v>1.0</v>
      </c>
      <c r="AM48" s="69">
        <v>0.0</v>
      </c>
      <c r="AN48" s="69">
        <v>0.0</v>
      </c>
      <c r="AO48" s="69">
        <v>2.0</v>
      </c>
      <c r="AP48" s="69">
        <v>1.0</v>
      </c>
      <c r="AQ48" s="69">
        <v>0.0</v>
      </c>
      <c r="AR48" s="69">
        <v>6.0</v>
      </c>
      <c r="AS48" s="69">
        <v>0.0</v>
      </c>
      <c r="AT48" s="69">
        <v>1.0</v>
      </c>
      <c r="AU48" s="69">
        <v>1.0</v>
      </c>
      <c r="AV48" s="13">
        <f t="shared" si="14"/>
        <v>47</v>
      </c>
    </row>
    <row r="49" ht="12.75" customHeight="1">
      <c r="A49" s="18"/>
      <c r="B49" s="49"/>
      <c r="C49" s="50" t="s">
        <v>43</v>
      </c>
      <c r="D49" s="51"/>
      <c r="E49" s="69">
        <v>0.0</v>
      </c>
      <c r="F49" s="69">
        <v>0.0</v>
      </c>
      <c r="G49" s="69">
        <v>0.0</v>
      </c>
      <c r="H49" s="69">
        <v>0.0</v>
      </c>
      <c r="I49" s="69">
        <v>0.0</v>
      </c>
      <c r="J49" s="69">
        <v>0.0</v>
      </c>
      <c r="K49" s="69">
        <v>0.0</v>
      </c>
      <c r="L49" s="69">
        <v>0.0</v>
      </c>
      <c r="M49" s="69">
        <v>0.0</v>
      </c>
      <c r="N49" s="69">
        <v>0.0</v>
      </c>
      <c r="O49" s="69">
        <v>0.0</v>
      </c>
      <c r="P49" s="69">
        <v>0.0</v>
      </c>
      <c r="Q49" s="69">
        <v>0.0</v>
      </c>
      <c r="R49" s="69">
        <v>0.0</v>
      </c>
      <c r="S49" s="69">
        <v>0.0</v>
      </c>
      <c r="T49" s="69">
        <v>0.0</v>
      </c>
      <c r="U49" s="69">
        <v>0.0</v>
      </c>
      <c r="V49" s="69">
        <v>0.0</v>
      </c>
      <c r="W49" s="69">
        <v>0.0</v>
      </c>
      <c r="X49" s="69">
        <v>0.0</v>
      </c>
      <c r="Y49" s="69">
        <v>0.0</v>
      </c>
      <c r="Z49" s="69">
        <v>0.0</v>
      </c>
      <c r="AA49" s="69">
        <v>0.0</v>
      </c>
      <c r="AB49" s="69">
        <v>0.0</v>
      </c>
      <c r="AC49" s="69">
        <v>0.0</v>
      </c>
      <c r="AD49" s="69">
        <v>0.0</v>
      </c>
      <c r="AE49" s="69">
        <v>0.0</v>
      </c>
      <c r="AF49" s="69">
        <v>0.0</v>
      </c>
      <c r="AG49" s="69">
        <v>0.0</v>
      </c>
      <c r="AH49" s="69">
        <v>0.0</v>
      </c>
      <c r="AI49" s="69">
        <v>0.0</v>
      </c>
      <c r="AJ49" s="69">
        <v>0.0</v>
      </c>
      <c r="AK49" s="69">
        <v>0.0</v>
      </c>
      <c r="AL49" s="69">
        <v>0.0</v>
      </c>
      <c r="AM49" s="69">
        <v>0.0</v>
      </c>
      <c r="AN49" s="69">
        <v>0.0</v>
      </c>
      <c r="AO49" s="69">
        <v>0.0</v>
      </c>
      <c r="AP49" s="69">
        <v>0.0</v>
      </c>
      <c r="AQ49" s="69">
        <v>0.0</v>
      </c>
      <c r="AR49" s="69">
        <v>0.0</v>
      </c>
      <c r="AS49" s="69">
        <v>1.0</v>
      </c>
      <c r="AT49" s="69">
        <v>1.0</v>
      </c>
      <c r="AU49" s="69">
        <v>0.0</v>
      </c>
      <c r="AV49" s="13">
        <f t="shared" si="14"/>
        <v>2</v>
      </c>
    </row>
    <row r="50" ht="12.75" customHeight="1">
      <c r="A50" s="18"/>
      <c r="B50" s="49"/>
      <c r="C50" s="50" t="s">
        <v>44</v>
      </c>
      <c r="D50" s="51"/>
      <c r="E50" s="69">
        <v>0.0</v>
      </c>
      <c r="F50" s="69">
        <v>0.0</v>
      </c>
      <c r="G50" s="69">
        <v>0.0</v>
      </c>
      <c r="H50" s="69">
        <v>0.0</v>
      </c>
      <c r="I50" s="69">
        <v>0.0</v>
      </c>
      <c r="J50" s="69">
        <v>0.0</v>
      </c>
      <c r="K50" s="69">
        <v>0.0</v>
      </c>
      <c r="L50" s="69">
        <v>0.0</v>
      </c>
      <c r="M50" s="69">
        <v>0.0</v>
      </c>
      <c r="N50" s="69">
        <v>0.0</v>
      </c>
      <c r="O50" s="69">
        <v>0.0</v>
      </c>
      <c r="P50" s="69">
        <v>0.0</v>
      </c>
      <c r="Q50" s="69">
        <v>0.0</v>
      </c>
      <c r="R50" s="69">
        <v>2.0</v>
      </c>
      <c r="S50" s="69">
        <v>0.0</v>
      </c>
      <c r="T50" s="69">
        <v>0.0</v>
      </c>
      <c r="U50" s="69">
        <v>0.0</v>
      </c>
      <c r="V50" s="69">
        <v>0.0</v>
      </c>
      <c r="W50" s="69">
        <v>0.0</v>
      </c>
      <c r="X50" s="69">
        <v>0.0</v>
      </c>
      <c r="Y50" s="69">
        <v>0.0</v>
      </c>
      <c r="Z50" s="69">
        <v>0.0</v>
      </c>
      <c r="AA50" s="69">
        <v>1.0</v>
      </c>
      <c r="AB50" s="69">
        <v>1.0</v>
      </c>
      <c r="AC50" s="69">
        <v>0.0</v>
      </c>
      <c r="AD50" s="69">
        <v>0.0</v>
      </c>
      <c r="AE50" s="69">
        <v>1.0</v>
      </c>
      <c r="AF50" s="69">
        <v>0.0</v>
      </c>
      <c r="AG50" s="69">
        <v>0.0</v>
      </c>
      <c r="AH50" s="69">
        <v>0.0</v>
      </c>
      <c r="AI50" s="69">
        <v>0.0</v>
      </c>
      <c r="AJ50" s="69">
        <v>2.0</v>
      </c>
      <c r="AK50" s="69">
        <v>1.0</v>
      </c>
      <c r="AL50" s="69">
        <v>0.0</v>
      </c>
      <c r="AM50" s="69">
        <v>1.0</v>
      </c>
      <c r="AN50" s="69">
        <v>0.0</v>
      </c>
      <c r="AO50" s="69">
        <v>0.0</v>
      </c>
      <c r="AP50" s="69">
        <v>0.0</v>
      </c>
      <c r="AQ50" s="69">
        <v>0.0</v>
      </c>
      <c r="AR50" s="69">
        <v>0.0</v>
      </c>
      <c r="AS50" s="69">
        <v>0.0</v>
      </c>
      <c r="AT50" s="69">
        <v>0.0</v>
      </c>
      <c r="AU50" s="69">
        <v>1.0</v>
      </c>
      <c r="AV50" s="13">
        <f t="shared" si="14"/>
        <v>10</v>
      </c>
    </row>
    <row r="51" ht="12.75" customHeight="1">
      <c r="A51" s="18"/>
      <c r="B51" s="49"/>
      <c r="C51" s="50" t="s">
        <v>45</v>
      </c>
      <c r="D51" s="51"/>
      <c r="E51" s="69">
        <v>0.0</v>
      </c>
      <c r="F51" s="69">
        <v>0.0</v>
      </c>
      <c r="G51" s="69">
        <v>0.0</v>
      </c>
      <c r="H51" s="69">
        <v>0.0</v>
      </c>
      <c r="I51" s="69">
        <v>0.0</v>
      </c>
      <c r="J51" s="69">
        <v>0.0</v>
      </c>
      <c r="K51" s="69">
        <v>0.0</v>
      </c>
      <c r="L51" s="69">
        <v>0.0</v>
      </c>
      <c r="M51" s="69">
        <v>0.0</v>
      </c>
      <c r="N51" s="69">
        <v>0.0</v>
      </c>
      <c r="O51" s="69">
        <v>0.0</v>
      </c>
      <c r="P51" s="69">
        <v>0.0</v>
      </c>
      <c r="Q51" s="69">
        <v>1.0</v>
      </c>
      <c r="R51" s="69">
        <v>0.0</v>
      </c>
      <c r="S51" s="69">
        <v>0.0</v>
      </c>
      <c r="T51" s="69">
        <v>0.0</v>
      </c>
      <c r="U51" s="69">
        <v>0.0</v>
      </c>
      <c r="V51" s="69">
        <v>0.0</v>
      </c>
      <c r="W51" s="69">
        <v>0.0</v>
      </c>
      <c r="X51" s="69">
        <v>0.0</v>
      </c>
      <c r="Y51" s="69">
        <v>0.0</v>
      </c>
      <c r="Z51" s="69">
        <v>0.0</v>
      </c>
      <c r="AA51" s="69">
        <v>0.0</v>
      </c>
      <c r="AB51" s="69">
        <v>0.0</v>
      </c>
      <c r="AC51" s="69">
        <v>0.0</v>
      </c>
      <c r="AD51" s="69">
        <v>0.0</v>
      </c>
      <c r="AE51" s="69">
        <v>0.0</v>
      </c>
      <c r="AF51" s="69">
        <v>0.0</v>
      </c>
      <c r="AG51" s="69">
        <v>0.0</v>
      </c>
      <c r="AH51" s="69">
        <v>0.0</v>
      </c>
      <c r="AI51" s="69">
        <v>0.0</v>
      </c>
      <c r="AJ51" s="69">
        <v>0.0</v>
      </c>
      <c r="AK51" s="69">
        <v>0.0</v>
      </c>
      <c r="AL51" s="69">
        <v>0.0</v>
      </c>
      <c r="AM51" s="69">
        <v>0.0</v>
      </c>
      <c r="AN51" s="69">
        <v>0.0</v>
      </c>
      <c r="AO51" s="69">
        <v>1.0</v>
      </c>
      <c r="AP51" s="69">
        <v>1.0</v>
      </c>
      <c r="AQ51" s="69">
        <v>0.0</v>
      </c>
      <c r="AR51" s="69">
        <v>1.0</v>
      </c>
      <c r="AS51" s="69">
        <v>0.0</v>
      </c>
      <c r="AT51" s="69">
        <v>1.0</v>
      </c>
      <c r="AU51" s="69">
        <v>0.0</v>
      </c>
      <c r="AV51" s="13">
        <f t="shared" si="14"/>
        <v>5</v>
      </c>
    </row>
    <row r="52" ht="12.75" customHeight="1">
      <c r="A52" s="18"/>
      <c r="B52" s="49"/>
      <c r="C52" s="50" t="s">
        <v>46</v>
      </c>
      <c r="D52" s="51"/>
      <c r="E52" s="69">
        <v>0.0</v>
      </c>
      <c r="F52" s="69">
        <v>3.0</v>
      </c>
      <c r="G52" s="69">
        <v>1.0</v>
      </c>
      <c r="H52" s="69">
        <v>5.0</v>
      </c>
      <c r="I52" s="69">
        <v>0.0</v>
      </c>
      <c r="J52" s="69">
        <v>0.0</v>
      </c>
      <c r="K52" s="69">
        <v>3.0</v>
      </c>
      <c r="L52" s="69">
        <v>0.0</v>
      </c>
      <c r="M52" s="69">
        <v>0.0</v>
      </c>
      <c r="N52" s="69">
        <v>0.0</v>
      </c>
      <c r="O52" s="69">
        <v>0.0</v>
      </c>
      <c r="P52" s="69">
        <v>0.0</v>
      </c>
      <c r="Q52" s="69">
        <v>0.0</v>
      </c>
      <c r="R52" s="69">
        <v>2.0</v>
      </c>
      <c r="S52" s="69">
        <v>2.0</v>
      </c>
      <c r="T52" s="69">
        <v>1.0</v>
      </c>
      <c r="U52" s="69">
        <v>0.0</v>
      </c>
      <c r="V52" s="69">
        <v>8.0</v>
      </c>
      <c r="W52" s="69">
        <v>3.0</v>
      </c>
      <c r="X52" s="69">
        <v>0.0</v>
      </c>
      <c r="Y52" s="69">
        <v>2.0</v>
      </c>
      <c r="Z52" s="69">
        <v>1.0</v>
      </c>
      <c r="AA52" s="69">
        <v>1.0</v>
      </c>
      <c r="AB52" s="69">
        <v>8.0</v>
      </c>
      <c r="AC52" s="69">
        <v>0.0</v>
      </c>
      <c r="AD52" s="69">
        <v>0.0</v>
      </c>
      <c r="AE52" s="69">
        <v>3.0</v>
      </c>
      <c r="AF52" s="69">
        <v>0.0</v>
      </c>
      <c r="AG52" s="69">
        <v>0.0</v>
      </c>
      <c r="AH52" s="69">
        <v>0.0</v>
      </c>
      <c r="AI52" s="69">
        <v>7.0</v>
      </c>
      <c r="AJ52" s="69">
        <v>0.0</v>
      </c>
      <c r="AK52" s="69">
        <v>20.0</v>
      </c>
      <c r="AL52" s="69">
        <v>7.0</v>
      </c>
      <c r="AM52" s="69">
        <v>8.0</v>
      </c>
      <c r="AN52" s="69">
        <v>0.0</v>
      </c>
      <c r="AO52" s="69">
        <v>5.0</v>
      </c>
      <c r="AP52" s="69">
        <v>8.0</v>
      </c>
      <c r="AQ52" s="69">
        <v>5.0</v>
      </c>
      <c r="AR52" s="69">
        <v>5.0</v>
      </c>
      <c r="AS52" s="69">
        <v>1.0</v>
      </c>
      <c r="AT52" s="69">
        <v>14.0</v>
      </c>
      <c r="AU52" s="69">
        <v>4.0</v>
      </c>
      <c r="AV52" s="13">
        <f t="shared" si="14"/>
        <v>127</v>
      </c>
    </row>
    <row r="53" ht="12.75" customHeight="1">
      <c r="A53" s="19" t="s">
        <v>15</v>
      </c>
      <c r="B53" s="47" t="s">
        <v>47</v>
      </c>
      <c r="C53" s="15"/>
      <c r="D53" s="16"/>
      <c r="E53" s="56">
        <f t="shared" ref="E53:AU53" si="15">SUM(E45:E52)</f>
        <v>24</v>
      </c>
      <c r="F53" s="56">
        <f t="shared" si="15"/>
        <v>53</v>
      </c>
      <c r="G53" s="56">
        <f t="shared" si="15"/>
        <v>55</v>
      </c>
      <c r="H53" s="56">
        <f t="shared" si="15"/>
        <v>42</v>
      </c>
      <c r="I53" s="56">
        <f t="shared" si="15"/>
        <v>45</v>
      </c>
      <c r="J53" s="56">
        <f t="shared" si="15"/>
        <v>30</v>
      </c>
      <c r="K53" s="56">
        <f t="shared" si="15"/>
        <v>35</v>
      </c>
      <c r="L53" s="56">
        <f t="shared" si="15"/>
        <v>38</v>
      </c>
      <c r="M53" s="56">
        <f t="shared" si="15"/>
        <v>42</v>
      </c>
      <c r="N53" s="56">
        <f t="shared" si="15"/>
        <v>34</v>
      </c>
      <c r="O53" s="56">
        <f t="shared" si="15"/>
        <v>66</v>
      </c>
      <c r="P53" s="56">
        <f t="shared" si="15"/>
        <v>20</v>
      </c>
      <c r="Q53" s="56">
        <f t="shared" si="15"/>
        <v>32</v>
      </c>
      <c r="R53" s="56">
        <f t="shared" si="15"/>
        <v>27</v>
      </c>
      <c r="S53" s="56">
        <f t="shared" si="15"/>
        <v>13</v>
      </c>
      <c r="T53" s="56">
        <f t="shared" si="15"/>
        <v>66</v>
      </c>
      <c r="U53" s="56">
        <f t="shared" si="15"/>
        <v>29</v>
      </c>
      <c r="V53" s="56">
        <f t="shared" si="15"/>
        <v>40</v>
      </c>
      <c r="W53" s="56">
        <f t="shared" si="15"/>
        <v>40</v>
      </c>
      <c r="X53" s="56">
        <f t="shared" si="15"/>
        <v>16</v>
      </c>
      <c r="Y53" s="56">
        <f t="shared" si="15"/>
        <v>7</v>
      </c>
      <c r="Z53" s="56">
        <f t="shared" si="15"/>
        <v>54</v>
      </c>
      <c r="AA53" s="56">
        <f t="shared" si="15"/>
        <v>39</v>
      </c>
      <c r="AB53" s="56">
        <f t="shared" si="15"/>
        <v>78</v>
      </c>
      <c r="AC53" s="56">
        <f t="shared" si="15"/>
        <v>85</v>
      </c>
      <c r="AD53" s="56">
        <f t="shared" si="15"/>
        <v>63</v>
      </c>
      <c r="AE53" s="56">
        <f t="shared" si="15"/>
        <v>78</v>
      </c>
      <c r="AF53" s="56">
        <f t="shared" si="15"/>
        <v>47</v>
      </c>
      <c r="AG53" s="56">
        <f t="shared" si="15"/>
        <v>61</v>
      </c>
      <c r="AH53" s="56">
        <f t="shared" si="15"/>
        <v>102</v>
      </c>
      <c r="AI53" s="56">
        <f t="shared" si="15"/>
        <v>14</v>
      </c>
      <c r="AJ53" s="56">
        <f t="shared" si="15"/>
        <v>16</v>
      </c>
      <c r="AK53" s="56">
        <f t="shared" si="15"/>
        <v>37</v>
      </c>
      <c r="AL53" s="56">
        <f t="shared" si="15"/>
        <v>17</v>
      </c>
      <c r="AM53" s="56">
        <f t="shared" si="15"/>
        <v>18</v>
      </c>
      <c r="AN53" s="56">
        <f t="shared" si="15"/>
        <v>5</v>
      </c>
      <c r="AO53" s="56">
        <f t="shared" si="15"/>
        <v>21</v>
      </c>
      <c r="AP53" s="56">
        <f t="shared" si="15"/>
        <v>34</v>
      </c>
      <c r="AQ53" s="56">
        <f t="shared" si="15"/>
        <v>16</v>
      </c>
      <c r="AR53" s="56">
        <f t="shared" si="15"/>
        <v>28</v>
      </c>
      <c r="AS53" s="56">
        <f t="shared" si="15"/>
        <v>18</v>
      </c>
      <c r="AT53" s="56">
        <f t="shared" si="15"/>
        <v>29</v>
      </c>
      <c r="AU53" s="56">
        <f t="shared" si="15"/>
        <v>17</v>
      </c>
      <c r="AV53" s="13">
        <f t="shared" si="14"/>
        <v>1631</v>
      </c>
    </row>
    <row r="54" ht="12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13"/>
    </row>
    <row r="55" ht="15.0" customHeight="1">
      <c r="A55" s="30" t="s">
        <v>37</v>
      </c>
      <c r="B55" s="47" t="s">
        <v>19</v>
      </c>
      <c r="C55" s="48" t="s">
        <v>48</v>
      </c>
      <c r="D55" s="16"/>
      <c r="E55" s="69">
        <v>16.0</v>
      </c>
      <c r="F55" s="69">
        <v>9.0</v>
      </c>
      <c r="G55" s="69">
        <v>10.0</v>
      </c>
      <c r="H55" s="69">
        <v>11.0</v>
      </c>
      <c r="I55" s="69">
        <v>7.0</v>
      </c>
      <c r="J55" s="69">
        <v>16.0</v>
      </c>
      <c r="K55" s="69">
        <v>10.0</v>
      </c>
      <c r="L55" s="69">
        <v>15.0</v>
      </c>
      <c r="M55" s="69">
        <v>4.0</v>
      </c>
      <c r="N55" s="69">
        <v>16.0</v>
      </c>
      <c r="O55" s="69">
        <v>6.0</v>
      </c>
      <c r="P55" s="69">
        <v>16.0</v>
      </c>
      <c r="Q55" s="69">
        <v>8.0</v>
      </c>
      <c r="R55" s="69">
        <v>16.0</v>
      </c>
      <c r="S55" s="69">
        <v>8.0</v>
      </c>
      <c r="T55" s="69">
        <v>13.0</v>
      </c>
      <c r="U55" s="69">
        <v>8.0</v>
      </c>
      <c r="V55" s="69">
        <v>6.0</v>
      </c>
      <c r="W55" s="69">
        <v>7.0</v>
      </c>
      <c r="X55" s="69">
        <v>1.0</v>
      </c>
      <c r="Y55" s="69">
        <v>0.0</v>
      </c>
      <c r="Z55" s="69">
        <v>16.0</v>
      </c>
      <c r="AA55" s="69">
        <v>7.0</v>
      </c>
      <c r="AB55" s="69">
        <v>23.0</v>
      </c>
      <c r="AC55" s="69">
        <v>13.0</v>
      </c>
      <c r="AD55" s="69">
        <v>4.0</v>
      </c>
      <c r="AE55" s="69">
        <v>10.0</v>
      </c>
      <c r="AF55" s="69">
        <v>20.0</v>
      </c>
      <c r="AG55" s="69">
        <v>12.0</v>
      </c>
      <c r="AH55" s="69">
        <v>6.0</v>
      </c>
      <c r="AI55" s="69">
        <v>12.0</v>
      </c>
      <c r="AJ55" s="69">
        <v>9.0</v>
      </c>
      <c r="AK55" s="69">
        <v>4.0</v>
      </c>
      <c r="AL55" s="69">
        <v>9.0</v>
      </c>
      <c r="AM55" s="69">
        <v>11.0</v>
      </c>
      <c r="AN55" s="69">
        <v>11.0</v>
      </c>
      <c r="AO55" s="69">
        <v>6.0</v>
      </c>
      <c r="AP55" s="69">
        <v>12.0</v>
      </c>
      <c r="AQ55" s="69">
        <v>8.0</v>
      </c>
      <c r="AR55" s="69">
        <v>9.0</v>
      </c>
      <c r="AS55" s="69">
        <v>18.0</v>
      </c>
      <c r="AT55" s="69">
        <v>21.0</v>
      </c>
      <c r="AU55" s="69">
        <v>10.0</v>
      </c>
      <c r="AV55" s="13">
        <f t="shared" ref="AV55:AV63" si="16">SUM(E55:AU55)</f>
        <v>454</v>
      </c>
    </row>
    <row r="56" ht="12.75" customHeight="1">
      <c r="A56" s="30" t="s">
        <v>39</v>
      </c>
      <c r="B56" s="49"/>
      <c r="C56" s="50" t="s">
        <v>49</v>
      </c>
      <c r="D56" s="51"/>
      <c r="E56" s="69">
        <v>56.0</v>
      </c>
      <c r="F56" s="69">
        <v>37.0</v>
      </c>
      <c r="G56" s="69">
        <v>28.0</v>
      </c>
      <c r="H56" s="69">
        <v>5.0</v>
      </c>
      <c r="I56" s="69">
        <v>3.0</v>
      </c>
      <c r="J56" s="69">
        <v>9.0</v>
      </c>
      <c r="K56" s="69">
        <v>24.0</v>
      </c>
      <c r="L56" s="69">
        <v>34.0</v>
      </c>
      <c r="M56" s="69">
        <v>77.0</v>
      </c>
      <c r="N56" s="69">
        <v>27.0</v>
      </c>
      <c r="O56" s="69">
        <v>6.0</v>
      </c>
      <c r="P56" s="69">
        <v>109.0</v>
      </c>
      <c r="Q56" s="69">
        <v>49.0</v>
      </c>
      <c r="R56" s="69">
        <v>14.0</v>
      </c>
      <c r="S56" s="69">
        <v>11.0</v>
      </c>
      <c r="T56" s="69">
        <v>4.0</v>
      </c>
      <c r="U56" s="69">
        <v>6.0</v>
      </c>
      <c r="V56" s="69">
        <v>4.0</v>
      </c>
      <c r="W56" s="69">
        <v>6.0</v>
      </c>
      <c r="X56" s="69">
        <v>58.0</v>
      </c>
      <c r="Y56" s="69">
        <v>55.0</v>
      </c>
      <c r="Z56" s="69">
        <v>33.0</v>
      </c>
      <c r="AA56" s="69">
        <v>13.0</v>
      </c>
      <c r="AB56" s="69">
        <v>5.0</v>
      </c>
      <c r="AC56" s="69">
        <v>6.0</v>
      </c>
      <c r="AD56" s="69">
        <v>5.0</v>
      </c>
      <c r="AE56" s="69">
        <v>7.0</v>
      </c>
      <c r="AF56" s="69">
        <v>4.0</v>
      </c>
      <c r="AG56" s="69">
        <v>3.0</v>
      </c>
      <c r="AH56" s="69">
        <v>1.0</v>
      </c>
      <c r="AI56" s="69">
        <v>6.0</v>
      </c>
      <c r="AJ56" s="69">
        <v>3.0</v>
      </c>
      <c r="AK56" s="69">
        <v>15.0</v>
      </c>
      <c r="AL56" s="69">
        <v>20.0</v>
      </c>
      <c r="AM56" s="69">
        <v>48.0</v>
      </c>
      <c r="AN56" s="69">
        <v>29.0</v>
      </c>
      <c r="AO56" s="69">
        <v>37.0</v>
      </c>
      <c r="AP56" s="69">
        <v>43.0</v>
      </c>
      <c r="AQ56" s="69">
        <v>21.0</v>
      </c>
      <c r="AR56" s="69">
        <v>10.0</v>
      </c>
      <c r="AS56" s="69">
        <v>18.0</v>
      </c>
      <c r="AT56" s="69">
        <v>13.0</v>
      </c>
      <c r="AU56" s="69">
        <v>10.0</v>
      </c>
      <c r="AV56" s="13">
        <f t="shared" si="16"/>
        <v>972</v>
      </c>
    </row>
    <row r="57" ht="12.75" customHeight="1">
      <c r="A57" s="18"/>
      <c r="B57" s="49"/>
      <c r="C57" s="50" t="s">
        <v>50</v>
      </c>
      <c r="D57" s="51"/>
      <c r="E57" s="69">
        <v>8.0</v>
      </c>
      <c r="F57" s="69">
        <v>6.0</v>
      </c>
      <c r="G57" s="69">
        <v>1.0</v>
      </c>
      <c r="H57" s="69">
        <v>2.0</v>
      </c>
      <c r="I57" s="69">
        <v>4.0</v>
      </c>
      <c r="J57" s="69">
        <v>5.0</v>
      </c>
      <c r="K57" s="69">
        <v>5.0</v>
      </c>
      <c r="L57" s="69">
        <v>4.0</v>
      </c>
      <c r="M57" s="69">
        <v>2.0</v>
      </c>
      <c r="N57" s="69">
        <v>5.0</v>
      </c>
      <c r="O57" s="69">
        <v>6.0</v>
      </c>
      <c r="P57" s="69">
        <v>5.0</v>
      </c>
      <c r="Q57" s="69">
        <v>2.0</v>
      </c>
      <c r="R57" s="69">
        <v>4.0</v>
      </c>
      <c r="S57" s="69">
        <v>2.0</v>
      </c>
      <c r="T57" s="69">
        <v>4.0</v>
      </c>
      <c r="U57" s="69">
        <v>3.0</v>
      </c>
      <c r="V57" s="69">
        <v>4.0</v>
      </c>
      <c r="W57" s="69">
        <v>3.0</v>
      </c>
      <c r="X57" s="69">
        <v>5.0</v>
      </c>
      <c r="Y57" s="69">
        <v>4.0</v>
      </c>
      <c r="Z57" s="69">
        <v>5.0</v>
      </c>
      <c r="AA57" s="69">
        <v>3.0</v>
      </c>
      <c r="AB57" s="69">
        <v>4.0</v>
      </c>
      <c r="AC57" s="69">
        <v>4.0</v>
      </c>
      <c r="AD57" s="69">
        <v>3.0</v>
      </c>
      <c r="AE57" s="69">
        <v>2.0</v>
      </c>
      <c r="AF57" s="69">
        <v>2.0</v>
      </c>
      <c r="AG57" s="69">
        <v>3.0</v>
      </c>
      <c r="AH57" s="69">
        <v>1.0</v>
      </c>
      <c r="AI57" s="69">
        <v>1.0</v>
      </c>
      <c r="AJ57" s="69">
        <v>1.0</v>
      </c>
      <c r="AK57" s="69">
        <v>3.0</v>
      </c>
      <c r="AL57" s="69">
        <v>4.0</v>
      </c>
      <c r="AM57" s="69">
        <v>2.0</v>
      </c>
      <c r="AN57" s="69">
        <v>0.0</v>
      </c>
      <c r="AO57" s="69">
        <v>4.0</v>
      </c>
      <c r="AP57" s="69">
        <v>2.0</v>
      </c>
      <c r="AQ57" s="69">
        <v>1.0</v>
      </c>
      <c r="AR57" s="69">
        <v>2.0</v>
      </c>
      <c r="AS57" s="69">
        <v>2.0</v>
      </c>
      <c r="AT57" s="69">
        <v>3.0</v>
      </c>
      <c r="AU57" s="69">
        <v>8.0</v>
      </c>
      <c r="AV57" s="13">
        <f t="shared" si="16"/>
        <v>144</v>
      </c>
    </row>
    <row r="58" ht="12.75" customHeight="1">
      <c r="A58" s="18"/>
      <c r="B58" s="49"/>
      <c r="C58" s="50" t="s">
        <v>51</v>
      </c>
      <c r="D58" s="51"/>
      <c r="E58" s="69">
        <v>0.0</v>
      </c>
      <c r="F58" s="69">
        <v>2.0</v>
      </c>
      <c r="G58" s="69">
        <v>1.0</v>
      </c>
      <c r="H58" s="69">
        <v>1.0</v>
      </c>
      <c r="I58" s="69">
        <v>0.0</v>
      </c>
      <c r="J58" s="69">
        <v>1.0</v>
      </c>
      <c r="K58" s="69">
        <v>2.0</v>
      </c>
      <c r="L58" s="69">
        <v>0.0</v>
      </c>
      <c r="M58" s="69">
        <v>0.0</v>
      </c>
      <c r="N58" s="69">
        <v>1.0</v>
      </c>
      <c r="O58" s="69">
        <v>1.0</v>
      </c>
      <c r="P58" s="69">
        <v>1.0</v>
      </c>
      <c r="Q58" s="69">
        <v>1.0</v>
      </c>
      <c r="R58" s="69">
        <v>1.0</v>
      </c>
      <c r="S58" s="69">
        <v>0.0</v>
      </c>
      <c r="T58" s="69">
        <v>0.0</v>
      </c>
      <c r="U58" s="69">
        <v>0.0</v>
      </c>
      <c r="V58" s="69">
        <v>4.0</v>
      </c>
      <c r="W58" s="69">
        <v>1.0</v>
      </c>
      <c r="X58" s="69">
        <v>0.0</v>
      </c>
      <c r="Y58" s="69">
        <v>0.0</v>
      </c>
      <c r="Z58" s="69">
        <v>0.0</v>
      </c>
      <c r="AA58" s="69">
        <v>1.0</v>
      </c>
      <c r="AB58" s="69">
        <v>1.0</v>
      </c>
      <c r="AC58" s="69">
        <v>4.0</v>
      </c>
      <c r="AD58" s="69">
        <v>1.0</v>
      </c>
      <c r="AE58" s="69">
        <v>1.0</v>
      </c>
      <c r="AF58" s="69">
        <v>1.0</v>
      </c>
      <c r="AG58" s="69">
        <v>0.0</v>
      </c>
      <c r="AH58" s="69">
        <v>0.0</v>
      </c>
      <c r="AI58" s="69">
        <v>3.0</v>
      </c>
      <c r="AJ58" s="69">
        <v>1.0</v>
      </c>
      <c r="AK58" s="69">
        <v>1.0</v>
      </c>
      <c r="AL58" s="69">
        <v>1.0</v>
      </c>
      <c r="AM58" s="69">
        <v>1.0</v>
      </c>
      <c r="AN58" s="69">
        <v>1.0</v>
      </c>
      <c r="AO58" s="69">
        <v>0.0</v>
      </c>
      <c r="AP58" s="69">
        <v>0.0</v>
      </c>
      <c r="AQ58" s="69">
        <v>0.0</v>
      </c>
      <c r="AR58" s="69">
        <v>2.0</v>
      </c>
      <c r="AS58" s="69">
        <v>14.0</v>
      </c>
      <c r="AT58" s="69">
        <v>12.0</v>
      </c>
      <c r="AU58" s="69">
        <v>2.0</v>
      </c>
      <c r="AV58" s="13">
        <f t="shared" si="16"/>
        <v>64</v>
      </c>
    </row>
    <row r="59" ht="12.75" customHeight="1">
      <c r="A59" s="18"/>
      <c r="B59" s="49"/>
      <c r="C59" s="50" t="s">
        <v>52</v>
      </c>
      <c r="D59" s="51"/>
      <c r="E59" s="69">
        <v>0.0</v>
      </c>
      <c r="F59" s="69">
        <v>0.0</v>
      </c>
      <c r="G59" s="69">
        <v>1.0</v>
      </c>
      <c r="H59" s="69">
        <v>0.0</v>
      </c>
      <c r="I59" s="69">
        <v>0.0</v>
      </c>
      <c r="J59" s="69">
        <v>0.0</v>
      </c>
      <c r="K59" s="69">
        <v>1.0</v>
      </c>
      <c r="L59" s="69">
        <v>1.0</v>
      </c>
      <c r="M59" s="69">
        <v>0.0</v>
      </c>
      <c r="N59" s="69">
        <v>1.0</v>
      </c>
      <c r="O59" s="69">
        <v>0.0</v>
      </c>
      <c r="P59" s="69">
        <v>0.0</v>
      </c>
      <c r="Q59" s="69">
        <v>2.0</v>
      </c>
      <c r="R59" s="69">
        <v>1.0</v>
      </c>
      <c r="S59" s="69">
        <v>2.0</v>
      </c>
      <c r="T59" s="69">
        <v>0.0</v>
      </c>
      <c r="U59" s="69">
        <v>0.0</v>
      </c>
      <c r="V59" s="69">
        <v>0.0</v>
      </c>
      <c r="W59" s="69">
        <v>0.0</v>
      </c>
      <c r="X59" s="69">
        <v>1.0</v>
      </c>
      <c r="Y59" s="69">
        <v>1.0</v>
      </c>
      <c r="Z59" s="69">
        <v>2.0</v>
      </c>
      <c r="AA59" s="69">
        <v>0.0</v>
      </c>
      <c r="AB59" s="69">
        <v>0.0</v>
      </c>
      <c r="AC59" s="69">
        <v>0.0</v>
      </c>
      <c r="AD59" s="69">
        <v>0.0</v>
      </c>
      <c r="AE59" s="69">
        <v>1.0</v>
      </c>
      <c r="AF59" s="69">
        <v>0.0</v>
      </c>
      <c r="AG59" s="69">
        <v>0.0</v>
      </c>
      <c r="AH59" s="69">
        <v>0.0</v>
      </c>
      <c r="AI59" s="69">
        <v>0.0</v>
      </c>
      <c r="AJ59" s="69">
        <v>0.0</v>
      </c>
      <c r="AK59" s="69">
        <v>0.0</v>
      </c>
      <c r="AL59" s="69">
        <v>0.0</v>
      </c>
      <c r="AM59" s="69">
        <v>2.0</v>
      </c>
      <c r="AN59" s="69">
        <v>0.0</v>
      </c>
      <c r="AO59" s="69">
        <v>0.0</v>
      </c>
      <c r="AP59" s="69">
        <v>0.0</v>
      </c>
      <c r="AQ59" s="69">
        <v>1.0</v>
      </c>
      <c r="AR59" s="69">
        <v>0.0</v>
      </c>
      <c r="AS59" s="69">
        <v>0.0</v>
      </c>
      <c r="AT59" s="69">
        <v>0.0</v>
      </c>
      <c r="AU59" s="69">
        <v>1.0</v>
      </c>
      <c r="AV59" s="13">
        <f t="shared" si="16"/>
        <v>18</v>
      </c>
    </row>
    <row r="60" ht="12.75" customHeight="1">
      <c r="A60" s="18"/>
      <c r="B60" s="49"/>
      <c r="C60" s="50" t="s">
        <v>53</v>
      </c>
      <c r="D60" s="51"/>
      <c r="E60" s="69">
        <v>0.0</v>
      </c>
      <c r="F60" s="69">
        <v>0.0</v>
      </c>
      <c r="G60" s="69">
        <v>0.0</v>
      </c>
      <c r="H60" s="69">
        <v>0.0</v>
      </c>
      <c r="I60" s="69">
        <v>0.0</v>
      </c>
      <c r="J60" s="69">
        <v>0.0</v>
      </c>
      <c r="K60" s="69">
        <v>1.0</v>
      </c>
      <c r="L60" s="69">
        <v>0.0</v>
      </c>
      <c r="M60" s="69">
        <v>1.0</v>
      </c>
      <c r="N60" s="69">
        <v>1.0</v>
      </c>
      <c r="O60" s="69">
        <v>0.0</v>
      </c>
      <c r="P60" s="69">
        <v>0.0</v>
      </c>
      <c r="Q60" s="69">
        <v>0.0</v>
      </c>
      <c r="R60" s="69">
        <v>0.0</v>
      </c>
      <c r="S60" s="69">
        <v>0.0</v>
      </c>
      <c r="T60" s="69">
        <v>0.0</v>
      </c>
      <c r="U60" s="69">
        <v>0.0</v>
      </c>
      <c r="V60" s="69">
        <v>1.0</v>
      </c>
      <c r="W60" s="69">
        <v>0.0</v>
      </c>
      <c r="X60" s="69">
        <v>0.0</v>
      </c>
      <c r="Y60" s="69">
        <v>0.0</v>
      </c>
      <c r="Z60" s="69">
        <v>0.0</v>
      </c>
      <c r="AA60" s="69">
        <v>0.0</v>
      </c>
      <c r="AB60" s="69">
        <v>1.0</v>
      </c>
      <c r="AC60" s="69">
        <v>0.0</v>
      </c>
      <c r="AD60" s="69">
        <v>0.0</v>
      </c>
      <c r="AE60" s="69">
        <v>0.0</v>
      </c>
      <c r="AF60" s="69">
        <v>0.0</v>
      </c>
      <c r="AG60" s="69">
        <v>0.0</v>
      </c>
      <c r="AH60" s="69">
        <v>0.0</v>
      </c>
      <c r="AI60" s="69">
        <v>0.0</v>
      </c>
      <c r="AJ60" s="69">
        <v>0.0</v>
      </c>
      <c r="AK60" s="69">
        <v>1.0</v>
      </c>
      <c r="AL60" s="69">
        <v>0.0</v>
      </c>
      <c r="AM60" s="69">
        <v>0.0</v>
      </c>
      <c r="AN60" s="69">
        <v>0.0</v>
      </c>
      <c r="AO60" s="69">
        <v>0.0</v>
      </c>
      <c r="AP60" s="69">
        <v>1.0</v>
      </c>
      <c r="AQ60" s="69">
        <v>0.0</v>
      </c>
      <c r="AR60" s="69">
        <v>0.0</v>
      </c>
      <c r="AS60" s="69">
        <v>0.0</v>
      </c>
      <c r="AT60" s="69">
        <v>0.0</v>
      </c>
      <c r="AU60" s="69">
        <v>0.0</v>
      </c>
      <c r="AV60" s="13">
        <f t="shared" si="16"/>
        <v>7</v>
      </c>
    </row>
    <row r="61" ht="12.75" customHeight="1">
      <c r="A61" s="18"/>
      <c r="B61" s="49"/>
      <c r="C61" s="50" t="s">
        <v>54</v>
      </c>
      <c r="D61" s="51"/>
      <c r="E61" s="69">
        <v>0.0</v>
      </c>
      <c r="F61" s="69">
        <v>0.0</v>
      </c>
      <c r="G61" s="69">
        <v>0.0</v>
      </c>
      <c r="H61" s="69">
        <v>0.0</v>
      </c>
      <c r="I61" s="69">
        <v>1.0</v>
      </c>
      <c r="J61" s="69">
        <v>0.0</v>
      </c>
      <c r="K61" s="69">
        <v>0.0</v>
      </c>
      <c r="L61" s="69">
        <v>0.0</v>
      </c>
      <c r="M61" s="69">
        <v>0.0</v>
      </c>
      <c r="N61" s="69">
        <v>0.0</v>
      </c>
      <c r="O61" s="69">
        <v>0.0</v>
      </c>
      <c r="P61" s="69">
        <v>0.0</v>
      </c>
      <c r="Q61" s="69">
        <v>0.0</v>
      </c>
      <c r="R61" s="69">
        <v>0.0</v>
      </c>
      <c r="S61" s="69">
        <v>0.0</v>
      </c>
      <c r="T61" s="69">
        <v>0.0</v>
      </c>
      <c r="U61" s="69">
        <v>0.0</v>
      </c>
      <c r="V61" s="69">
        <v>0.0</v>
      </c>
      <c r="W61" s="69">
        <v>0.0</v>
      </c>
      <c r="X61" s="69">
        <v>0.0</v>
      </c>
      <c r="Y61" s="69">
        <v>0.0</v>
      </c>
      <c r="Z61" s="69">
        <v>0.0</v>
      </c>
      <c r="AA61" s="69">
        <v>0.0</v>
      </c>
      <c r="AB61" s="69">
        <v>0.0</v>
      </c>
      <c r="AC61" s="69">
        <v>0.0</v>
      </c>
      <c r="AD61" s="69">
        <v>0.0</v>
      </c>
      <c r="AE61" s="69">
        <v>0.0</v>
      </c>
      <c r="AF61" s="69">
        <v>0.0</v>
      </c>
      <c r="AG61" s="69">
        <v>0.0</v>
      </c>
      <c r="AH61" s="69">
        <v>0.0</v>
      </c>
      <c r="AI61" s="69">
        <v>0.0</v>
      </c>
      <c r="AJ61" s="69">
        <v>0.0</v>
      </c>
      <c r="AK61" s="69">
        <v>0.0</v>
      </c>
      <c r="AL61" s="69">
        <v>0.0</v>
      </c>
      <c r="AM61" s="69">
        <v>0.0</v>
      </c>
      <c r="AN61" s="69">
        <v>0.0</v>
      </c>
      <c r="AO61" s="69">
        <v>0.0</v>
      </c>
      <c r="AP61" s="69">
        <v>0.0</v>
      </c>
      <c r="AQ61" s="69">
        <v>1.0</v>
      </c>
      <c r="AR61" s="69">
        <v>0.0</v>
      </c>
      <c r="AS61" s="69">
        <v>0.0</v>
      </c>
      <c r="AT61" s="69">
        <v>0.0</v>
      </c>
      <c r="AU61" s="69">
        <v>0.0</v>
      </c>
      <c r="AV61" s="13">
        <f t="shared" si="16"/>
        <v>2</v>
      </c>
    </row>
    <row r="62" ht="12.75" customHeight="1">
      <c r="A62" s="18"/>
      <c r="B62" s="49"/>
      <c r="C62" s="50" t="s">
        <v>55</v>
      </c>
      <c r="D62" s="51"/>
      <c r="E62" s="69">
        <v>0.0</v>
      </c>
      <c r="F62" s="69">
        <v>0.0</v>
      </c>
      <c r="G62" s="69">
        <v>0.0</v>
      </c>
      <c r="H62" s="69">
        <v>0.0</v>
      </c>
      <c r="I62" s="69">
        <v>0.0</v>
      </c>
      <c r="J62" s="69">
        <v>0.0</v>
      </c>
      <c r="K62" s="69">
        <v>1.0</v>
      </c>
      <c r="L62" s="69">
        <v>0.0</v>
      </c>
      <c r="M62" s="69">
        <v>0.0</v>
      </c>
      <c r="N62" s="69">
        <v>0.0</v>
      </c>
      <c r="O62" s="69">
        <v>0.0</v>
      </c>
      <c r="P62" s="69">
        <v>0.0</v>
      </c>
      <c r="Q62" s="69">
        <v>1.0</v>
      </c>
      <c r="R62" s="69">
        <v>1.0</v>
      </c>
      <c r="S62" s="69">
        <v>0.0</v>
      </c>
      <c r="T62" s="69">
        <v>0.0</v>
      </c>
      <c r="U62" s="69">
        <v>0.0</v>
      </c>
      <c r="V62" s="69">
        <v>0.0</v>
      </c>
      <c r="W62" s="69">
        <v>0.0</v>
      </c>
      <c r="X62" s="69">
        <v>0.0</v>
      </c>
      <c r="Y62" s="69">
        <v>0.0</v>
      </c>
      <c r="Z62" s="69">
        <v>1.0</v>
      </c>
      <c r="AA62" s="69">
        <v>0.0</v>
      </c>
      <c r="AB62" s="69">
        <v>0.0</v>
      </c>
      <c r="AC62" s="69">
        <v>1.0</v>
      </c>
      <c r="AD62" s="69">
        <v>0.0</v>
      </c>
      <c r="AE62" s="69">
        <v>0.0</v>
      </c>
      <c r="AF62" s="69">
        <v>0.0</v>
      </c>
      <c r="AG62" s="69">
        <v>0.0</v>
      </c>
      <c r="AH62" s="69">
        <v>0.0</v>
      </c>
      <c r="AI62" s="69">
        <v>0.0</v>
      </c>
      <c r="AJ62" s="69">
        <v>0.0</v>
      </c>
      <c r="AK62" s="69">
        <v>0.0</v>
      </c>
      <c r="AL62" s="69">
        <v>1.0</v>
      </c>
      <c r="AM62" s="69">
        <v>0.0</v>
      </c>
      <c r="AN62" s="69">
        <v>0.0</v>
      </c>
      <c r="AO62" s="69">
        <v>0.0</v>
      </c>
      <c r="AP62" s="69">
        <v>0.0</v>
      </c>
      <c r="AQ62" s="69">
        <v>0.0</v>
      </c>
      <c r="AR62" s="69">
        <v>0.0</v>
      </c>
      <c r="AS62" s="69">
        <v>0.0</v>
      </c>
      <c r="AT62" s="69">
        <v>0.0</v>
      </c>
      <c r="AU62" s="69">
        <v>1.0</v>
      </c>
      <c r="AV62" s="13">
        <f t="shared" si="16"/>
        <v>7</v>
      </c>
    </row>
    <row r="63" ht="12.75" customHeight="1">
      <c r="A63" s="19" t="s">
        <v>15</v>
      </c>
      <c r="B63" s="47" t="s">
        <v>47</v>
      </c>
      <c r="C63" s="15"/>
      <c r="D63" s="16"/>
      <c r="E63" s="56">
        <f t="shared" ref="E63:AU63" si="17">SUM(E55:E62)</f>
        <v>80</v>
      </c>
      <c r="F63" s="56">
        <f t="shared" si="17"/>
        <v>54</v>
      </c>
      <c r="G63" s="56">
        <f t="shared" si="17"/>
        <v>41</v>
      </c>
      <c r="H63" s="56">
        <f t="shared" si="17"/>
        <v>19</v>
      </c>
      <c r="I63" s="56">
        <f t="shared" si="17"/>
        <v>15</v>
      </c>
      <c r="J63" s="56">
        <f t="shared" si="17"/>
        <v>31</v>
      </c>
      <c r="K63" s="56">
        <f t="shared" si="17"/>
        <v>44</v>
      </c>
      <c r="L63" s="56">
        <f t="shared" si="17"/>
        <v>54</v>
      </c>
      <c r="M63" s="56">
        <f t="shared" si="17"/>
        <v>84</v>
      </c>
      <c r="N63" s="56">
        <f t="shared" si="17"/>
        <v>51</v>
      </c>
      <c r="O63" s="56">
        <f t="shared" si="17"/>
        <v>19</v>
      </c>
      <c r="P63" s="56">
        <f t="shared" si="17"/>
        <v>131</v>
      </c>
      <c r="Q63" s="56">
        <f t="shared" si="17"/>
        <v>63</v>
      </c>
      <c r="R63" s="56">
        <f t="shared" si="17"/>
        <v>37</v>
      </c>
      <c r="S63" s="56">
        <f t="shared" si="17"/>
        <v>23</v>
      </c>
      <c r="T63" s="56">
        <f t="shared" si="17"/>
        <v>21</v>
      </c>
      <c r="U63" s="56">
        <f t="shared" si="17"/>
        <v>17</v>
      </c>
      <c r="V63" s="56">
        <f t="shared" si="17"/>
        <v>19</v>
      </c>
      <c r="W63" s="56">
        <f t="shared" si="17"/>
        <v>17</v>
      </c>
      <c r="X63" s="56">
        <f t="shared" si="17"/>
        <v>65</v>
      </c>
      <c r="Y63" s="56">
        <f t="shared" si="17"/>
        <v>60</v>
      </c>
      <c r="Z63" s="56">
        <f t="shared" si="17"/>
        <v>57</v>
      </c>
      <c r="AA63" s="56">
        <f t="shared" si="17"/>
        <v>24</v>
      </c>
      <c r="AB63" s="56">
        <f t="shared" si="17"/>
        <v>34</v>
      </c>
      <c r="AC63" s="56">
        <f t="shared" si="17"/>
        <v>28</v>
      </c>
      <c r="AD63" s="56">
        <f t="shared" si="17"/>
        <v>13</v>
      </c>
      <c r="AE63" s="56">
        <f t="shared" si="17"/>
        <v>21</v>
      </c>
      <c r="AF63" s="56">
        <f t="shared" si="17"/>
        <v>27</v>
      </c>
      <c r="AG63" s="56">
        <f t="shared" si="17"/>
        <v>18</v>
      </c>
      <c r="AH63" s="56">
        <f t="shared" si="17"/>
        <v>8</v>
      </c>
      <c r="AI63" s="56">
        <f t="shared" si="17"/>
        <v>22</v>
      </c>
      <c r="AJ63" s="56">
        <f t="shared" si="17"/>
        <v>14</v>
      </c>
      <c r="AK63" s="56">
        <f t="shared" si="17"/>
        <v>24</v>
      </c>
      <c r="AL63" s="56">
        <f t="shared" si="17"/>
        <v>35</v>
      </c>
      <c r="AM63" s="56">
        <f t="shared" si="17"/>
        <v>64</v>
      </c>
      <c r="AN63" s="56">
        <f t="shared" si="17"/>
        <v>41</v>
      </c>
      <c r="AO63" s="56">
        <f t="shared" si="17"/>
        <v>47</v>
      </c>
      <c r="AP63" s="56">
        <f t="shared" si="17"/>
        <v>58</v>
      </c>
      <c r="AQ63" s="56">
        <f t="shared" si="17"/>
        <v>32</v>
      </c>
      <c r="AR63" s="56">
        <f t="shared" si="17"/>
        <v>23</v>
      </c>
      <c r="AS63" s="56">
        <f t="shared" si="17"/>
        <v>52</v>
      </c>
      <c r="AT63" s="56">
        <f t="shared" si="17"/>
        <v>49</v>
      </c>
      <c r="AU63" s="56">
        <f t="shared" si="17"/>
        <v>32</v>
      </c>
      <c r="AV63" s="13">
        <f t="shared" si="16"/>
        <v>1668</v>
      </c>
    </row>
    <row r="64" ht="12.75" customHeight="1">
      <c r="A64" s="59"/>
      <c r="B64" s="60"/>
      <c r="C64" s="60"/>
      <c r="D64" s="60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13"/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69">
        <v>3.0</v>
      </c>
      <c r="F65" s="69">
        <v>3.0</v>
      </c>
      <c r="G65" s="69">
        <v>7.0</v>
      </c>
      <c r="H65" s="69">
        <v>2.0</v>
      </c>
      <c r="I65" s="69">
        <v>2.0</v>
      </c>
      <c r="J65" s="69">
        <v>6.0</v>
      </c>
      <c r="K65" s="69">
        <v>5.0</v>
      </c>
      <c r="L65" s="69">
        <v>4.0</v>
      </c>
      <c r="M65" s="69">
        <v>1.0</v>
      </c>
      <c r="N65" s="69">
        <v>7.0</v>
      </c>
      <c r="O65" s="69">
        <v>5.0</v>
      </c>
      <c r="P65" s="69">
        <v>5.0</v>
      </c>
      <c r="Q65" s="69">
        <v>10.0</v>
      </c>
      <c r="R65" s="69">
        <v>0.0</v>
      </c>
      <c r="S65" s="69">
        <v>4.0</v>
      </c>
      <c r="T65" s="69">
        <v>6.0</v>
      </c>
      <c r="U65" s="69">
        <v>2.0</v>
      </c>
      <c r="V65" s="69">
        <v>4.0</v>
      </c>
      <c r="W65" s="69">
        <v>4.0</v>
      </c>
      <c r="X65" s="69">
        <v>0.0</v>
      </c>
      <c r="Y65" s="69">
        <v>0.0</v>
      </c>
      <c r="Z65" s="69">
        <v>10.0</v>
      </c>
      <c r="AA65" s="69">
        <v>4.0</v>
      </c>
      <c r="AB65" s="69">
        <v>10.0</v>
      </c>
      <c r="AC65" s="69">
        <v>8.0</v>
      </c>
      <c r="AD65" s="69">
        <v>2.0</v>
      </c>
      <c r="AE65" s="69">
        <v>12.0</v>
      </c>
      <c r="AF65" s="69">
        <v>20.0</v>
      </c>
      <c r="AG65" s="69">
        <v>8.0</v>
      </c>
      <c r="AH65" s="69">
        <v>0.0</v>
      </c>
      <c r="AI65" s="69">
        <v>10.0</v>
      </c>
      <c r="AJ65" s="69">
        <v>7.0</v>
      </c>
      <c r="AK65" s="69">
        <v>5.0</v>
      </c>
      <c r="AL65" s="69">
        <v>2.0</v>
      </c>
      <c r="AM65" s="69">
        <v>11.0</v>
      </c>
      <c r="AN65" s="69">
        <v>9.0</v>
      </c>
      <c r="AO65" s="69">
        <v>7.0</v>
      </c>
      <c r="AP65" s="69">
        <v>7.0</v>
      </c>
      <c r="AQ65" s="69">
        <v>4.0</v>
      </c>
      <c r="AR65" s="69">
        <v>3.0</v>
      </c>
      <c r="AS65" s="69">
        <v>7.0</v>
      </c>
      <c r="AT65" s="69">
        <v>13.0</v>
      </c>
      <c r="AU65" s="69">
        <v>6.0</v>
      </c>
      <c r="AV65" s="13">
        <f t="shared" ref="AV65:AV73" si="18">SUM(E65:AU65)</f>
        <v>245</v>
      </c>
    </row>
    <row r="66" ht="12.75" customHeight="1">
      <c r="A66" s="30" t="s">
        <v>39</v>
      </c>
      <c r="B66" s="49"/>
      <c r="C66" s="50" t="s">
        <v>57</v>
      </c>
      <c r="D66" s="51"/>
      <c r="E66" s="69">
        <v>2.0</v>
      </c>
      <c r="F66" s="69">
        <v>8.0</v>
      </c>
      <c r="G66" s="69">
        <v>9.0</v>
      </c>
      <c r="H66" s="69">
        <v>6.0</v>
      </c>
      <c r="I66" s="69">
        <v>0.0</v>
      </c>
      <c r="J66" s="69">
        <v>4.0</v>
      </c>
      <c r="K66" s="69">
        <v>40.0</v>
      </c>
      <c r="L66" s="69">
        <v>6.0</v>
      </c>
      <c r="M66" s="69">
        <v>0.0</v>
      </c>
      <c r="N66" s="69">
        <v>0.0</v>
      </c>
      <c r="O66" s="69">
        <v>0.0</v>
      </c>
      <c r="P66" s="69">
        <v>0.0</v>
      </c>
      <c r="Q66" s="69">
        <v>5.0</v>
      </c>
      <c r="R66" s="69">
        <v>2.0</v>
      </c>
      <c r="S66" s="69">
        <v>0.0</v>
      </c>
      <c r="T66" s="69">
        <v>1.0</v>
      </c>
      <c r="U66" s="69">
        <v>1.0</v>
      </c>
      <c r="V66" s="69">
        <v>1.0</v>
      </c>
      <c r="W66" s="69">
        <v>1.0</v>
      </c>
      <c r="X66" s="69">
        <v>0.0</v>
      </c>
      <c r="Y66" s="69">
        <v>0.0</v>
      </c>
      <c r="Z66" s="69">
        <v>2.0</v>
      </c>
      <c r="AA66" s="69">
        <v>4.0</v>
      </c>
      <c r="AB66" s="69">
        <v>0.0</v>
      </c>
      <c r="AC66" s="69">
        <v>2.0</v>
      </c>
      <c r="AD66" s="69">
        <v>2.0</v>
      </c>
      <c r="AE66" s="69">
        <v>1.0</v>
      </c>
      <c r="AF66" s="69">
        <v>4.0</v>
      </c>
      <c r="AG66" s="69">
        <v>6.0</v>
      </c>
      <c r="AH66" s="69">
        <v>0.0</v>
      </c>
      <c r="AI66" s="69">
        <v>1.0</v>
      </c>
      <c r="AJ66" s="69">
        <v>0.0</v>
      </c>
      <c r="AK66" s="69">
        <v>1.0</v>
      </c>
      <c r="AL66" s="69">
        <v>2.0</v>
      </c>
      <c r="AM66" s="69">
        <v>5.0</v>
      </c>
      <c r="AN66" s="69">
        <v>3.0</v>
      </c>
      <c r="AO66" s="69">
        <v>0.0</v>
      </c>
      <c r="AP66" s="69">
        <v>0.0</v>
      </c>
      <c r="AQ66" s="69">
        <v>4.0</v>
      </c>
      <c r="AR66" s="69">
        <v>4.0</v>
      </c>
      <c r="AS66" s="69">
        <v>0.0</v>
      </c>
      <c r="AT66" s="69">
        <v>1.0</v>
      </c>
      <c r="AU66" s="69">
        <v>2.0</v>
      </c>
      <c r="AV66" s="13">
        <f t="shared" si="18"/>
        <v>130</v>
      </c>
    </row>
    <row r="67" ht="15.0" customHeight="1">
      <c r="A67" s="18"/>
      <c r="B67" s="49"/>
      <c r="C67" s="50" t="s">
        <v>58</v>
      </c>
      <c r="D67" s="51"/>
      <c r="E67" s="69">
        <v>1.0</v>
      </c>
      <c r="F67" s="69">
        <v>1.0</v>
      </c>
      <c r="G67" s="69">
        <v>1.0</v>
      </c>
      <c r="H67" s="69">
        <v>2.0</v>
      </c>
      <c r="I67" s="69">
        <v>0.0</v>
      </c>
      <c r="J67" s="69">
        <v>2.0</v>
      </c>
      <c r="K67" s="69">
        <v>6.0</v>
      </c>
      <c r="L67" s="69">
        <v>4.0</v>
      </c>
      <c r="M67" s="69">
        <v>0.0</v>
      </c>
      <c r="N67" s="69">
        <v>2.0</v>
      </c>
      <c r="O67" s="69">
        <v>1.0</v>
      </c>
      <c r="P67" s="69">
        <v>1.0</v>
      </c>
      <c r="Q67" s="69">
        <v>6.0</v>
      </c>
      <c r="R67" s="69">
        <v>1.0</v>
      </c>
      <c r="S67" s="69">
        <v>0.0</v>
      </c>
      <c r="T67" s="69">
        <v>1.0</v>
      </c>
      <c r="U67" s="69">
        <v>1.0</v>
      </c>
      <c r="V67" s="69">
        <v>2.0</v>
      </c>
      <c r="W67" s="69">
        <v>2.0</v>
      </c>
      <c r="X67" s="69">
        <v>2.0</v>
      </c>
      <c r="Y67" s="69">
        <v>2.0</v>
      </c>
      <c r="Z67" s="69">
        <v>20.0</v>
      </c>
      <c r="AA67" s="69">
        <v>10.0</v>
      </c>
      <c r="AB67" s="69">
        <v>6.0</v>
      </c>
      <c r="AC67" s="69">
        <v>7.0</v>
      </c>
      <c r="AD67" s="69">
        <v>1.0</v>
      </c>
      <c r="AE67" s="69">
        <v>1.0</v>
      </c>
      <c r="AF67" s="69">
        <v>2.0</v>
      </c>
      <c r="AG67" s="69">
        <v>1.0</v>
      </c>
      <c r="AH67" s="69">
        <v>0.0</v>
      </c>
      <c r="AI67" s="69">
        <v>5.0</v>
      </c>
      <c r="AJ67" s="69">
        <v>7.0</v>
      </c>
      <c r="AK67" s="69">
        <v>1.0</v>
      </c>
      <c r="AL67" s="69">
        <v>2.0</v>
      </c>
      <c r="AM67" s="69">
        <v>2.0</v>
      </c>
      <c r="AN67" s="69">
        <v>0.0</v>
      </c>
      <c r="AO67" s="69">
        <v>1.0</v>
      </c>
      <c r="AP67" s="69">
        <v>2.0</v>
      </c>
      <c r="AQ67" s="69">
        <v>5.0</v>
      </c>
      <c r="AR67" s="69">
        <v>11.0</v>
      </c>
      <c r="AS67" s="69">
        <v>8.0</v>
      </c>
      <c r="AT67" s="69">
        <v>2.0</v>
      </c>
      <c r="AU67" s="69">
        <v>4.0</v>
      </c>
      <c r="AV67" s="13">
        <f t="shared" si="18"/>
        <v>136</v>
      </c>
    </row>
    <row r="68" ht="12.75" customHeight="1">
      <c r="A68" s="18"/>
      <c r="B68" s="49"/>
      <c r="C68" s="50" t="s">
        <v>59</v>
      </c>
      <c r="D68" s="51"/>
      <c r="E68" s="69">
        <v>0.0</v>
      </c>
      <c r="F68" s="69">
        <v>0.0</v>
      </c>
      <c r="G68" s="69">
        <v>1.0</v>
      </c>
      <c r="H68" s="69">
        <v>1.0</v>
      </c>
      <c r="I68" s="69">
        <v>0.0</v>
      </c>
      <c r="J68" s="69">
        <v>2.0</v>
      </c>
      <c r="K68" s="69">
        <v>1.0</v>
      </c>
      <c r="L68" s="69">
        <v>2.0</v>
      </c>
      <c r="M68" s="69">
        <v>1.0</v>
      </c>
      <c r="N68" s="69">
        <v>2.0</v>
      </c>
      <c r="O68" s="69">
        <v>0.0</v>
      </c>
      <c r="P68" s="69">
        <v>0.0</v>
      </c>
      <c r="Q68" s="69">
        <v>0.0</v>
      </c>
      <c r="R68" s="69">
        <v>2.0</v>
      </c>
      <c r="S68" s="69">
        <v>2.0</v>
      </c>
      <c r="T68" s="69">
        <v>2.0</v>
      </c>
      <c r="U68" s="69">
        <v>0.0</v>
      </c>
      <c r="V68" s="69">
        <v>0.0</v>
      </c>
      <c r="W68" s="69">
        <v>0.0</v>
      </c>
      <c r="X68" s="69">
        <v>0.0</v>
      </c>
      <c r="Y68" s="69">
        <v>0.0</v>
      </c>
      <c r="Z68" s="69">
        <v>1.0</v>
      </c>
      <c r="AA68" s="69">
        <v>1.0</v>
      </c>
      <c r="AB68" s="69">
        <v>3.0</v>
      </c>
      <c r="AC68" s="69">
        <v>0.0</v>
      </c>
      <c r="AD68" s="69">
        <v>0.0</v>
      </c>
      <c r="AE68" s="69">
        <v>1.0</v>
      </c>
      <c r="AF68" s="69">
        <v>2.0</v>
      </c>
      <c r="AG68" s="69">
        <v>1.0</v>
      </c>
      <c r="AH68" s="69">
        <v>0.0</v>
      </c>
      <c r="AI68" s="69">
        <v>0.0</v>
      </c>
      <c r="AJ68" s="69">
        <v>0.0</v>
      </c>
      <c r="AK68" s="69">
        <v>0.0</v>
      </c>
      <c r="AL68" s="69">
        <v>1.0</v>
      </c>
      <c r="AM68" s="69">
        <v>2.0</v>
      </c>
      <c r="AN68" s="69">
        <v>0.0</v>
      </c>
      <c r="AO68" s="69">
        <v>1.0</v>
      </c>
      <c r="AP68" s="69">
        <v>0.0</v>
      </c>
      <c r="AQ68" s="69">
        <v>0.0</v>
      </c>
      <c r="AR68" s="69">
        <v>0.0</v>
      </c>
      <c r="AS68" s="69">
        <v>0.0</v>
      </c>
      <c r="AT68" s="69">
        <v>3.0</v>
      </c>
      <c r="AU68" s="69">
        <v>1.0</v>
      </c>
      <c r="AV68" s="13">
        <f t="shared" si="18"/>
        <v>33</v>
      </c>
    </row>
    <row r="69" ht="12.75" customHeight="1">
      <c r="A69" s="18"/>
      <c r="B69" s="49"/>
      <c r="C69" s="50" t="s">
        <v>60</v>
      </c>
      <c r="D69" s="51"/>
      <c r="E69" s="69">
        <v>1.0</v>
      </c>
      <c r="F69" s="69">
        <v>1.0</v>
      </c>
      <c r="G69" s="69">
        <v>3.0</v>
      </c>
      <c r="H69" s="69">
        <v>0.0</v>
      </c>
      <c r="I69" s="69">
        <v>0.0</v>
      </c>
      <c r="J69" s="69">
        <v>1.0</v>
      </c>
      <c r="K69" s="69">
        <v>2.0</v>
      </c>
      <c r="L69" s="69">
        <v>1.0</v>
      </c>
      <c r="M69" s="69">
        <v>0.0</v>
      </c>
      <c r="N69" s="69">
        <v>1.0</v>
      </c>
      <c r="O69" s="69">
        <v>0.0</v>
      </c>
      <c r="P69" s="69">
        <v>0.0</v>
      </c>
      <c r="Q69" s="69">
        <v>3.0</v>
      </c>
      <c r="R69" s="69">
        <v>0.0</v>
      </c>
      <c r="S69" s="69">
        <v>1.0</v>
      </c>
      <c r="T69" s="69">
        <v>1.0</v>
      </c>
      <c r="U69" s="69">
        <v>0.0</v>
      </c>
      <c r="V69" s="69">
        <v>0.0</v>
      </c>
      <c r="W69" s="69">
        <v>0.0</v>
      </c>
      <c r="X69" s="69">
        <v>0.0</v>
      </c>
      <c r="Y69" s="69">
        <v>0.0</v>
      </c>
      <c r="Z69" s="69">
        <v>0.0</v>
      </c>
      <c r="AA69" s="69">
        <v>0.0</v>
      </c>
      <c r="AB69" s="69">
        <v>0.0</v>
      </c>
      <c r="AC69" s="69">
        <v>0.0</v>
      </c>
      <c r="AD69" s="69">
        <v>1.0</v>
      </c>
      <c r="AE69" s="69">
        <v>0.0</v>
      </c>
      <c r="AF69" s="69">
        <v>1.0</v>
      </c>
      <c r="AG69" s="69">
        <v>1.0</v>
      </c>
      <c r="AH69" s="69">
        <v>0.0</v>
      </c>
      <c r="AI69" s="69">
        <v>0.0</v>
      </c>
      <c r="AJ69" s="69">
        <v>0.0</v>
      </c>
      <c r="AK69" s="69">
        <v>0.0</v>
      </c>
      <c r="AL69" s="69">
        <v>0.0</v>
      </c>
      <c r="AM69" s="69">
        <v>1.0</v>
      </c>
      <c r="AN69" s="69">
        <v>0.0</v>
      </c>
      <c r="AO69" s="69">
        <v>1.0</v>
      </c>
      <c r="AP69" s="69">
        <v>0.0</v>
      </c>
      <c r="AQ69" s="69">
        <v>2.0</v>
      </c>
      <c r="AR69" s="69">
        <v>0.0</v>
      </c>
      <c r="AS69" s="69">
        <v>0.0</v>
      </c>
      <c r="AT69" s="69">
        <v>0.0</v>
      </c>
      <c r="AU69" s="69">
        <v>0.0</v>
      </c>
      <c r="AV69" s="13">
        <f t="shared" si="18"/>
        <v>22</v>
      </c>
    </row>
    <row r="70" ht="12.75" customHeight="1">
      <c r="A70" s="18"/>
      <c r="B70" s="49"/>
      <c r="C70" s="50" t="s">
        <v>61</v>
      </c>
      <c r="D70" s="51"/>
      <c r="E70" s="69">
        <v>0.0</v>
      </c>
      <c r="F70" s="69">
        <v>1.0</v>
      </c>
      <c r="G70" s="69">
        <v>0.0</v>
      </c>
      <c r="H70" s="69">
        <v>3.0</v>
      </c>
      <c r="I70" s="69">
        <v>1.0</v>
      </c>
      <c r="J70" s="69">
        <v>0.0</v>
      </c>
      <c r="K70" s="69">
        <v>0.0</v>
      </c>
      <c r="L70" s="69">
        <v>0.0</v>
      </c>
      <c r="M70" s="69">
        <v>0.0</v>
      </c>
      <c r="N70" s="69">
        <v>0.0</v>
      </c>
      <c r="O70" s="69">
        <v>0.0</v>
      </c>
      <c r="P70" s="69">
        <v>1.0</v>
      </c>
      <c r="Q70" s="69">
        <v>1.0</v>
      </c>
      <c r="R70" s="69">
        <v>0.0</v>
      </c>
      <c r="S70" s="69">
        <v>3.0</v>
      </c>
      <c r="T70" s="69">
        <v>0.0</v>
      </c>
      <c r="U70" s="69">
        <v>0.0</v>
      </c>
      <c r="V70" s="69">
        <v>0.0</v>
      </c>
      <c r="W70" s="69">
        <v>19.0</v>
      </c>
      <c r="X70" s="69">
        <v>0.0</v>
      </c>
      <c r="Y70" s="69">
        <v>0.0</v>
      </c>
      <c r="Z70" s="69">
        <v>0.0</v>
      </c>
      <c r="AA70" s="69">
        <v>0.0</v>
      </c>
      <c r="AB70" s="69">
        <v>1.0</v>
      </c>
      <c r="AC70" s="69">
        <v>0.0</v>
      </c>
      <c r="AD70" s="69">
        <v>0.0</v>
      </c>
      <c r="AE70" s="69">
        <v>1.0</v>
      </c>
      <c r="AF70" s="69">
        <v>1.0</v>
      </c>
      <c r="AG70" s="69">
        <v>1.0</v>
      </c>
      <c r="AH70" s="69">
        <v>0.0</v>
      </c>
      <c r="AI70" s="69">
        <v>0.0</v>
      </c>
      <c r="AJ70" s="69">
        <v>0.0</v>
      </c>
      <c r="AK70" s="69">
        <v>0.0</v>
      </c>
      <c r="AL70" s="69">
        <v>0.0</v>
      </c>
      <c r="AM70" s="69">
        <v>0.0</v>
      </c>
      <c r="AN70" s="69">
        <v>0.0</v>
      </c>
      <c r="AO70" s="69">
        <v>0.0</v>
      </c>
      <c r="AP70" s="69">
        <v>1.0</v>
      </c>
      <c r="AQ70" s="69">
        <v>0.0</v>
      </c>
      <c r="AR70" s="69">
        <v>0.0</v>
      </c>
      <c r="AS70" s="69">
        <v>1.0</v>
      </c>
      <c r="AT70" s="69">
        <v>0.0</v>
      </c>
      <c r="AU70" s="69">
        <v>0.0</v>
      </c>
      <c r="AV70" s="13">
        <f t="shared" si="18"/>
        <v>35</v>
      </c>
    </row>
    <row r="71" ht="12.75" customHeight="1">
      <c r="A71" s="18"/>
      <c r="B71" s="49"/>
      <c r="C71" s="50" t="s">
        <v>62</v>
      </c>
      <c r="D71" s="51"/>
      <c r="E71" s="69">
        <v>4.0</v>
      </c>
      <c r="F71" s="69">
        <v>2.0</v>
      </c>
      <c r="G71" s="69">
        <v>12.0</v>
      </c>
      <c r="H71" s="69">
        <v>11.0</v>
      </c>
      <c r="I71" s="69">
        <v>2.0</v>
      </c>
      <c r="J71" s="69">
        <v>6.0</v>
      </c>
      <c r="K71" s="69">
        <v>6.0</v>
      </c>
      <c r="L71" s="69">
        <v>19.0</v>
      </c>
      <c r="M71" s="69">
        <v>2.0</v>
      </c>
      <c r="N71" s="69">
        <v>23.0</v>
      </c>
      <c r="O71" s="69">
        <v>19.0</v>
      </c>
      <c r="P71" s="69">
        <v>1.0</v>
      </c>
      <c r="Q71" s="69">
        <v>12.0</v>
      </c>
      <c r="R71" s="69">
        <v>16.0</v>
      </c>
      <c r="S71" s="69">
        <v>3.0</v>
      </c>
      <c r="T71" s="69">
        <v>13.0</v>
      </c>
      <c r="U71" s="69">
        <v>7.0</v>
      </c>
      <c r="V71" s="69">
        <v>5.0</v>
      </c>
      <c r="W71" s="69">
        <v>3.0</v>
      </c>
      <c r="X71" s="69">
        <v>0.0</v>
      </c>
      <c r="Y71" s="69">
        <v>1.0</v>
      </c>
      <c r="Z71" s="69">
        <v>9.0</v>
      </c>
      <c r="AA71" s="69">
        <v>33.0</v>
      </c>
      <c r="AB71" s="69">
        <v>12.0</v>
      </c>
      <c r="AC71" s="69">
        <v>9.0</v>
      </c>
      <c r="AD71" s="69">
        <v>16.0</v>
      </c>
      <c r="AE71" s="69">
        <v>23.0</v>
      </c>
      <c r="AF71" s="69">
        <v>40.0</v>
      </c>
      <c r="AG71" s="69">
        <v>55.0</v>
      </c>
      <c r="AH71" s="69">
        <v>1.0</v>
      </c>
      <c r="AI71" s="69">
        <v>3.0</v>
      </c>
      <c r="AJ71" s="69">
        <v>4.0</v>
      </c>
      <c r="AK71" s="69">
        <v>6.0</v>
      </c>
      <c r="AL71" s="69">
        <v>6.0</v>
      </c>
      <c r="AM71" s="69">
        <v>10.0</v>
      </c>
      <c r="AN71" s="69">
        <v>2.0</v>
      </c>
      <c r="AO71" s="69">
        <v>3.0</v>
      </c>
      <c r="AP71" s="69">
        <v>0.0</v>
      </c>
      <c r="AQ71" s="69">
        <v>6.0</v>
      </c>
      <c r="AR71" s="69">
        <v>3.0</v>
      </c>
      <c r="AS71" s="69">
        <v>6.0</v>
      </c>
      <c r="AT71" s="69">
        <v>11.0</v>
      </c>
      <c r="AU71" s="69">
        <v>7.0</v>
      </c>
      <c r="AV71" s="13">
        <f t="shared" si="18"/>
        <v>432</v>
      </c>
    </row>
    <row r="72" ht="12.75" customHeight="1">
      <c r="A72" s="18"/>
      <c r="B72" s="49"/>
      <c r="C72" s="50" t="s">
        <v>63</v>
      </c>
      <c r="D72" s="51"/>
      <c r="E72" s="69">
        <v>0.0</v>
      </c>
      <c r="F72" s="69">
        <v>1.0</v>
      </c>
      <c r="G72" s="69">
        <v>2.0</v>
      </c>
      <c r="H72" s="69">
        <v>2.0</v>
      </c>
      <c r="I72" s="69">
        <v>3.0</v>
      </c>
      <c r="J72" s="69">
        <v>7.0</v>
      </c>
      <c r="K72" s="69">
        <v>3.0</v>
      </c>
      <c r="L72" s="69">
        <v>3.0</v>
      </c>
      <c r="M72" s="69">
        <v>0.0</v>
      </c>
      <c r="N72" s="69">
        <v>2.0</v>
      </c>
      <c r="O72" s="69">
        <v>1.0</v>
      </c>
      <c r="P72" s="69">
        <v>0.0</v>
      </c>
      <c r="Q72" s="69">
        <v>5.0</v>
      </c>
      <c r="R72" s="69">
        <v>1.0</v>
      </c>
      <c r="S72" s="69">
        <v>5.0</v>
      </c>
      <c r="T72" s="69">
        <v>0.0</v>
      </c>
      <c r="U72" s="69">
        <v>2.0</v>
      </c>
      <c r="V72" s="69">
        <v>4.0</v>
      </c>
      <c r="W72" s="69">
        <v>6.0</v>
      </c>
      <c r="X72" s="69">
        <v>0.0</v>
      </c>
      <c r="Y72" s="69">
        <v>0.0</v>
      </c>
      <c r="Z72" s="69">
        <v>1.0</v>
      </c>
      <c r="AA72" s="69">
        <v>1.0</v>
      </c>
      <c r="AB72" s="69">
        <v>2.0</v>
      </c>
      <c r="AC72" s="69">
        <v>0.0</v>
      </c>
      <c r="AD72" s="69">
        <v>0.0</v>
      </c>
      <c r="AE72" s="69">
        <v>0.0</v>
      </c>
      <c r="AF72" s="69">
        <v>14.0</v>
      </c>
      <c r="AG72" s="69">
        <v>2.0</v>
      </c>
      <c r="AH72" s="69">
        <v>0.0</v>
      </c>
      <c r="AI72" s="69">
        <v>1.0</v>
      </c>
      <c r="AJ72" s="69">
        <v>0.0</v>
      </c>
      <c r="AK72" s="69">
        <v>1.0</v>
      </c>
      <c r="AL72" s="69">
        <v>0.0</v>
      </c>
      <c r="AM72" s="69">
        <v>2.0</v>
      </c>
      <c r="AN72" s="69">
        <v>0.0</v>
      </c>
      <c r="AO72" s="69">
        <v>0.0</v>
      </c>
      <c r="AP72" s="69">
        <v>0.0</v>
      </c>
      <c r="AQ72" s="69">
        <v>0.0</v>
      </c>
      <c r="AR72" s="69">
        <v>1.0</v>
      </c>
      <c r="AS72" s="69">
        <v>0.0</v>
      </c>
      <c r="AT72" s="69">
        <v>3.0</v>
      </c>
      <c r="AU72" s="69">
        <v>3.0</v>
      </c>
      <c r="AV72" s="13">
        <f t="shared" si="18"/>
        <v>78</v>
      </c>
    </row>
    <row r="73" ht="12.75" customHeight="1">
      <c r="A73" s="19" t="s">
        <v>15</v>
      </c>
      <c r="B73" s="47" t="s">
        <v>47</v>
      </c>
      <c r="C73" s="15"/>
      <c r="D73" s="16"/>
      <c r="E73" s="56">
        <f t="shared" ref="E73:AU73" si="19">SUM(E65:E72)</f>
        <v>11</v>
      </c>
      <c r="F73" s="56">
        <f t="shared" si="19"/>
        <v>17</v>
      </c>
      <c r="G73" s="56">
        <f t="shared" si="19"/>
        <v>35</v>
      </c>
      <c r="H73" s="56">
        <f t="shared" si="19"/>
        <v>27</v>
      </c>
      <c r="I73" s="56">
        <f t="shared" si="19"/>
        <v>8</v>
      </c>
      <c r="J73" s="56">
        <f t="shared" si="19"/>
        <v>28</v>
      </c>
      <c r="K73" s="56">
        <f t="shared" si="19"/>
        <v>63</v>
      </c>
      <c r="L73" s="56">
        <f t="shared" si="19"/>
        <v>39</v>
      </c>
      <c r="M73" s="56">
        <f t="shared" si="19"/>
        <v>4</v>
      </c>
      <c r="N73" s="56">
        <f t="shared" si="19"/>
        <v>37</v>
      </c>
      <c r="O73" s="56">
        <f t="shared" si="19"/>
        <v>26</v>
      </c>
      <c r="P73" s="56">
        <f t="shared" si="19"/>
        <v>8</v>
      </c>
      <c r="Q73" s="56">
        <f t="shared" si="19"/>
        <v>42</v>
      </c>
      <c r="R73" s="56">
        <f t="shared" si="19"/>
        <v>22</v>
      </c>
      <c r="S73" s="56">
        <f t="shared" si="19"/>
        <v>18</v>
      </c>
      <c r="T73" s="56">
        <f t="shared" si="19"/>
        <v>24</v>
      </c>
      <c r="U73" s="56">
        <f t="shared" si="19"/>
        <v>13</v>
      </c>
      <c r="V73" s="56">
        <f t="shared" si="19"/>
        <v>16</v>
      </c>
      <c r="W73" s="56">
        <f t="shared" si="19"/>
        <v>35</v>
      </c>
      <c r="X73" s="56">
        <f t="shared" si="19"/>
        <v>2</v>
      </c>
      <c r="Y73" s="56">
        <f t="shared" si="19"/>
        <v>3</v>
      </c>
      <c r="Z73" s="56">
        <f t="shared" si="19"/>
        <v>43</v>
      </c>
      <c r="AA73" s="56">
        <f t="shared" si="19"/>
        <v>53</v>
      </c>
      <c r="AB73" s="56">
        <f t="shared" si="19"/>
        <v>34</v>
      </c>
      <c r="AC73" s="56">
        <f t="shared" si="19"/>
        <v>26</v>
      </c>
      <c r="AD73" s="56">
        <f t="shared" si="19"/>
        <v>22</v>
      </c>
      <c r="AE73" s="56">
        <f t="shared" si="19"/>
        <v>39</v>
      </c>
      <c r="AF73" s="56">
        <f t="shared" si="19"/>
        <v>84</v>
      </c>
      <c r="AG73" s="56">
        <f t="shared" si="19"/>
        <v>75</v>
      </c>
      <c r="AH73" s="56">
        <f t="shared" si="19"/>
        <v>1</v>
      </c>
      <c r="AI73" s="56">
        <f t="shared" si="19"/>
        <v>20</v>
      </c>
      <c r="AJ73" s="56">
        <f t="shared" si="19"/>
        <v>18</v>
      </c>
      <c r="AK73" s="56">
        <f t="shared" si="19"/>
        <v>14</v>
      </c>
      <c r="AL73" s="56">
        <f t="shared" si="19"/>
        <v>13</v>
      </c>
      <c r="AM73" s="56">
        <f t="shared" si="19"/>
        <v>33</v>
      </c>
      <c r="AN73" s="56">
        <f t="shared" si="19"/>
        <v>14</v>
      </c>
      <c r="AO73" s="56">
        <f t="shared" si="19"/>
        <v>13</v>
      </c>
      <c r="AP73" s="56">
        <f t="shared" si="19"/>
        <v>10</v>
      </c>
      <c r="AQ73" s="56">
        <f t="shared" si="19"/>
        <v>21</v>
      </c>
      <c r="AR73" s="56">
        <f t="shared" si="19"/>
        <v>22</v>
      </c>
      <c r="AS73" s="56">
        <f t="shared" si="19"/>
        <v>22</v>
      </c>
      <c r="AT73" s="56">
        <f t="shared" si="19"/>
        <v>33</v>
      </c>
      <c r="AU73" s="56">
        <f t="shared" si="19"/>
        <v>23</v>
      </c>
      <c r="AV73" s="13">
        <f t="shared" si="18"/>
        <v>1111</v>
      </c>
    </row>
    <row r="74" ht="12.75" customHeight="1">
      <c r="A74" s="57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13"/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69">
        <v>1.0</v>
      </c>
      <c r="F75" s="69">
        <v>5.0</v>
      </c>
      <c r="G75" s="69">
        <v>1.0</v>
      </c>
      <c r="H75" s="69">
        <v>1.0</v>
      </c>
      <c r="I75" s="69">
        <v>1.0</v>
      </c>
      <c r="J75" s="69">
        <v>0.0</v>
      </c>
      <c r="K75" s="69">
        <v>2.0</v>
      </c>
      <c r="L75" s="69">
        <v>4.0</v>
      </c>
      <c r="M75" s="69">
        <v>3.0</v>
      </c>
      <c r="N75" s="69">
        <v>5.0</v>
      </c>
      <c r="O75" s="69">
        <v>1.0</v>
      </c>
      <c r="P75" s="69">
        <v>0.0</v>
      </c>
      <c r="Q75" s="69">
        <v>0.0</v>
      </c>
      <c r="R75" s="69">
        <v>1.0</v>
      </c>
      <c r="S75" s="69">
        <v>1.0</v>
      </c>
      <c r="T75" s="69">
        <v>1.0</v>
      </c>
      <c r="U75" s="69">
        <v>0.0</v>
      </c>
      <c r="V75" s="69">
        <v>1.0</v>
      </c>
      <c r="W75" s="69">
        <v>6.0</v>
      </c>
      <c r="X75" s="69">
        <v>0.0</v>
      </c>
      <c r="Y75" s="69">
        <v>0.0</v>
      </c>
      <c r="Z75" s="69">
        <v>3.0</v>
      </c>
      <c r="AA75" s="69">
        <v>1.0</v>
      </c>
      <c r="AB75" s="69">
        <v>5.0</v>
      </c>
      <c r="AC75" s="69">
        <v>5.0</v>
      </c>
      <c r="AD75" s="69">
        <v>2.0</v>
      </c>
      <c r="AE75" s="69">
        <v>1.0</v>
      </c>
      <c r="AF75" s="69">
        <v>4.0</v>
      </c>
      <c r="AG75" s="69">
        <v>2.0</v>
      </c>
      <c r="AH75" s="69">
        <v>0.0</v>
      </c>
      <c r="AI75" s="69">
        <v>1.0</v>
      </c>
      <c r="AJ75" s="69">
        <v>0.0</v>
      </c>
      <c r="AK75" s="69">
        <v>1.0</v>
      </c>
      <c r="AL75" s="69">
        <v>2.0</v>
      </c>
      <c r="AM75" s="69">
        <v>2.0</v>
      </c>
      <c r="AN75" s="69">
        <v>2.0</v>
      </c>
      <c r="AO75" s="69">
        <v>2.0</v>
      </c>
      <c r="AP75" s="69">
        <v>0.0</v>
      </c>
      <c r="AQ75" s="69">
        <v>3.0</v>
      </c>
      <c r="AR75" s="69">
        <v>1.0</v>
      </c>
      <c r="AS75" s="69">
        <v>0.0</v>
      </c>
      <c r="AT75" s="69">
        <v>5.0</v>
      </c>
      <c r="AU75" s="69">
        <v>0.0</v>
      </c>
      <c r="AV75" s="13">
        <f t="shared" ref="AV75:AV83" si="20">SUM(E75:AU75)</f>
        <v>76</v>
      </c>
    </row>
    <row r="76" ht="12.75" customHeight="1">
      <c r="A76" s="30" t="s">
        <v>39</v>
      </c>
      <c r="B76" s="49"/>
      <c r="C76" s="50" t="s">
        <v>65</v>
      </c>
      <c r="D76" s="51"/>
      <c r="E76" s="69">
        <v>1.0</v>
      </c>
      <c r="F76" s="69">
        <v>2.0</v>
      </c>
      <c r="G76" s="69">
        <v>0.0</v>
      </c>
      <c r="H76" s="69">
        <v>0.0</v>
      </c>
      <c r="I76" s="69">
        <v>2.0</v>
      </c>
      <c r="J76" s="69">
        <v>0.0</v>
      </c>
      <c r="K76" s="69">
        <v>2.0</v>
      </c>
      <c r="L76" s="69">
        <v>11.0</v>
      </c>
      <c r="M76" s="69">
        <v>8.0</v>
      </c>
      <c r="N76" s="69">
        <v>10.0</v>
      </c>
      <c r="O76" s="69">
        <v>9.0</v>
      </c>
      <c r="P76" s="69">
        <v>0.0</v>
      </c>
      <c r="Q76" s="69">
        <v>0.0</v>
      </c>
      <c r="R76" s="69">
        <v>1.0</v>
      </c>
      <c r="S76" s="69">
        <v>0.0</v>
      </c>
      <c r="T76" s="69">
        <v>1.0</v>
      </c>
      <c r="U76" s="69">
        <v>0.0</v>
      </c>
      <c r="V76" s="69">
        <v>0.0</v>
      </c>
      <c r="W76" s="69">
        <v>3.0</v>
      </c>
      <c r="X76" s="69">
        <v>0.0</v>
      </c>
      <c r="Y76" s="69">
        <v>0.0</v>
      </c>
      <c r="Z76" s="69">
        <v>2.0</v>
      </c>
      <c r="AA76" s="69">
        <v>0.0</v>
      </c>
      <c r="AB76" s="69">
        <v>0.0</v>
      </c>
      <c r="AC76" s="69">
        <v>4.0</v>
      </c>
      <c r="AD76" s="69">
        <v>1.0</v>
      </c>
      <c r="AE76" s="69">
        <v>7.0</v>
      </c>
      <c r="AF76" s="69">
        <v>2.0</v>
      </c>
      <c r="AG76" s="69">
        <v>0.0</v>
      </c>
      <c r="AH76" s="69">
        <v>0.0</v>
      </c>
      <c r="AI76" s="69">
        <v>2.0</v>
      </c>
      <c r="AJ76" s="69">
        <v>1.0</v>
      </c>
      <c r="AK76" s="69">
        <v>1.0</v>
      </c>
      <c r="AL76" s="69">
        <v>4.0</v>
      </c>
      <c r="AM76" s="69">
        <v>0.0</v>
      </c>
      <c r="AN76" s="69">
        <v>0.0</v>
      </c>
      <c r="AO76" s="69">
        <v>0.0</v>
      </c>
      <c r="AP76" s="69">
        <v>7.0</v>
      </c>
      <c r="AQ76" s="69">
        <v>0.0</v>
      </c>
      <c r="AR76" s="69">
        <v>0.0</v>
      </c>
      <c r="AS76" s="69">
        <v>1.0</v>
      </c>
      <c r="AT76" s="69">
        <v>4.0</v>
      </c>
      <c r="AU76" s="69">
        <v>5.0</v>
      </c>
      <c r="AV76" s="13">
        <f t="shared" si="20"/>
        <v>91</v>
      </c>
    </row>
    <row r="77" ht="12.75" customHeight="1">
      <c r="A77" s="18"/>
      <c r="B77" s="49"/>
      <c r="C77" s="50" t="s">
        <v>66</v>
      </c>
      <c r="D77" s="51"/>
      <c r="E77" s="69">
        <v>0.0</v>
      </c>
      <c r="F77" s="69">
        <v>1.0</v>
      </c>
      <c r="G77" s="69">
        <v>0.0</v>
      </c>
      <c r="H77" s="69">
        <v>0.0</v>
      </c>
      <c r="I77" s="69">
        <v>0.0</v>
      </c>
      <c r="J77" s="69">
        <v>1.0</v>
      </c>
      <c r="K77" s="69">
        <v>1.0</v>
      </c>
      <c r="L77" s="69">
        <v>3.0</v>
      </c>
      <c r="M77" s="69">
        <v>0.0</v>
      </c>
      <c r="N77" s="69">
        <v>0.0</v>
      </c>
      <c r="O77" s="69">
        <v>0.0</v>
      </c>
      <c r="P77" s="69">
        <v>0.0</v>
      </c>
      <c r="Q77" s="69">
        <v>0.0</v>
      </c>
      <c r="R77" s="69">
        <v>0.0</v>
      </c>
      <c r="S77" s="69">
        <v>0.0</v>
      </c>
      <c r="T77" s="69">
        <v>0.0</v>
      </c>
      <c r="U77" s="69">
        <v>0.0</v>
      </c>
      <c r="V77" s="69">
        <v>2.0</v>
      </c>
      <c r="W77" s="69">
        <v>2.0</v>
      </c>
      <c r="X77" s="69">
        <v>1.0</v>
      </c>
      <c r="Y77" s="69">
        <v>0.0</v>
      </c>
      <c r="Z77" s="69">
        <v>2.0</v>
      </c>
      <c r="AA77" s="69">
        <v>0.0</v>
      </c>
      <c r="AB77" s="69">
        <v>0.0</v>
      </c>
      <c r="AC77" s="69">
        <v>2.0</v>
      </c>
      <c r="AD77" s="69">
        <v>1.0</v>
      </c>
      <c r="AE77" s="69">
        <v>2.0</v>
      </c>
      <c r="AF77" s="69">
        <v>1.0</v>
      </c>
      <c r="AG77" s="69">
        <v>1.0</v>
      </c>
      <c r="AH77" s="69">
        <v>0.0</v>
      </c>
      <c r="AI77" s="69">
        <v>0.0</v>
      </c>
      <c r="AJ77" s="69">
        <v>1.0</v>
      </c>
      <c r="AK77" s="69">
        <v>0.0</v>
      </c>
      <c r="AL77" s="69">
        <v>0.0</v>
      </c>
      <c r="AM77" s="69">
        <v>0.0</v>
      </c>
      <c r="AN77" s="69">
        <v>0.0</v>
      </c>
      <c r="AO77" s="69">
        <v>0.0</v>
      </c>
      <c r="AP77" s="69">
        <v>0.0</v>
      </c>
      <c r="AQ77" s="69">
        <v>2.0</v>
      </c>
      <c r="AR77" s="69">
        <v>0.0</v>
      </c>
      <c r="AS77" s="69">
        <v>1.0</v>
      </c>
      <c r="AT77" s="69">
        <v>0.0</v>
      </c>
      <c r="AU77" s="69">
        <v>0.0</v>
      </c>
      <c r="AV77" s="13">
        <f t="shared" si="20"/>
        <v>24</v>
      </c>
    </row>
    <row r="78" ht="12.75" customHeight="1">
      <c r="A78" s="18"/>
      <c r="B78" s="49"/>
      <c r="C78" s="50" t="s">
        <v>67</v>
      </c>
      <c r="D78" s="51"/>
      <c r="E78" s="69">
        <v>0.0</v>
      </c>
      <c r="F78" s="69">
        <v>0.0</v>
      </c>
      <c r="G78" s="69">
        <v>0.0</v>
      </c>
      <c r="H78" s="69">
        <v>0.0</v>
      </c>
      <c r="I78" s="69">
        <v>0.0</v>
      </c>
      <c r="J78" s="69">
        <v>1.0</v>
      </c>
      <c r="K78" s="69">
        <v>0.0</v>
      </c>
      <c r="L78" s="69">
        <v>1.0</v>
      </c>
      <c r="M78" s="69">
        <v>1.0</v>
      </c>
      <c r="N78" s="69">
        <v>0.0</v>
      </c>
      <c r="O78" s="69">
        <v>2.0</v>
      </c>
      <c r="P78" s="69">
        <v>0.0</v>
      </c>
      <c r="Q78" s="69">
        <v>0.0</v>
      </c>
      <c r="R78" s="69">
        <v>0.0</v>
      </c>
      <c r="S78" s="69">
        <v>1.0</v>
      </c>
      <c r="T78" s="69">
        <v>0.0</v>
      </c>
      <c r="U78" s="69">
        <v>0.0</v>
      </c>
      <c r="V78" s="69">
        <v>0.0</v>
      </c>
      <c r="W78" s="69">
        <v>0.0</v>
      </c>
      <c r="X78" s="69">
        <v>0.0</v>
      </c>
      <c r="Y78" s="69">
        <v>0.0</v>
      </c>
      <c r="Z78" s="69">
        <v>0.0</v>
      </c>
      <c r="AA78" s="69">
        <v>0.0</v>
      </c>
      <c r="AB78" s="69">
        <v>0.0</v>
      </c>
      <c r="AC78" s="69">
        <v>0.0</v>
      </c>
      <c r="AD78" s="69">
        <v>0.0</v>
      </c>
      <c r="AE78" s="69">
        <v>0.0</v>
      </c>
      <c r="AF78" s="69">
        <v>0.0</v>
      </c>
      <c r="AG78" s="69">
        <v>1.0</v>
      </c>
      <c r="AH78" s="69">
        <v>0.0</v>
      </c>
      <c r="AI78" s="69">
        <v>0.0</v>
      </c>
      <c r="AJ78" s="69">
        <v>0.0</v>
      </c>
      <c r="AK78" s="69">
        <v>0.0</v>
      </c>
      <c r="AL78" s="69">
        <v>0.0</v>
      </c>
      <c r="AM78" s="69">
        <v>0.0</v>
      </c>
      <c r="AN78" s="69">
        <v>0.0</v>
      </c>
      <c r="AO78" s="69">
        <v>0.0</v>
      </c>
      <c r="AP78" s="69">
        <v>0.0</v>
      </c>
      <c r="AQ78" s="69">
        <v>1.0</v>
      </c>
      <c r="AR78" s="69">
        <v>0.0</v>
      </c>
      <c r="AS78" s="69">
        <v>0.0</v>
      </c>
      <c r="AT78" s="69">
        <v>1.0</v>
      </c>
      <c r="AU78" s="69">
        <v>0.0</v>
      </c>
      <c r="AV78" s="13">
        <f t="shared" si="20"/>
        <v>9</v>
      </c>
    </row>
    <row r="79" ht="15.0" customHeight="1">
      <c r="A79" s="18"/>
      <c r="B79" s="49"/>
      <c r="C79" s="50" t="s">
        <v>68</v>
      </c>
      <c r="D79" s="51"/>
      <c r="E79" s="69">
        <v>0.0</v>
      </c>
      <c r="F79" s="69">
        <v>0.0</v>
      </c>
      <c r="G79" s="69">
        <v>0.0</v>
      </c>
      <c r="H79" s="69">
        <v>1.0</v>
      </c>
      <c r="I79" s="69">
        <v>0.0</v>
      </c>
      <c r="J79" s="69">
        <v>0.0</v>
      </c>
      <c r="K79" s="69">
        <v>0.0</v>
      </c>
      <c r="L79" s="69">
        <v>0.0</v>
      </c>
      <c r="M79" s="69">
        <v>2.0</v>
      </c>
      <c r="N79" s="69">
        <v>1.0</v>
      </c>
      <c r="O79" s="69">
        <v>0.0</v>
      </c>
      <c r="P79" s="69">
        <v>0.0</v>
      </c>
      <c r="Q79" s="69">
        <v>2.0</v>
      </c>
      <c r="R79" s="69">
        <v>0.0</v>
      </c>
      <c r="S79" s="69">
        <v>0.0</v>
      </c>
      <c r="T79" s="69">
        <v>0.0</v>
      </c>
      <c r="U79" s="69">
        <v>0.0</v>
      </c>
      <c r="V79" s="69">
        <v>0.0</v>
      </c>
      <c r="W79" s="69">
        <v>0.0</v>
      </c>
      <c r="X79" s="69">
        <v>0.0</v>
      </c>
      <c r="Y79" s="69">
        <v>0.0</v>
      </c>
      <c r="Z79" s="69">
        <v>0.0</v>
      </c>
      <c r="AA79" s="69">
        <v>0.0</v>
      </c>
      <c r="AB79" s="69">
        <v>1.0</v>
      </c>
      <c r="AC79" s="69">
        <v>0.0</v>
      </c>
      <c r="AD79" s="69">
        <v>0.0</v>
      </c>
      <c r="AE79" s="69">
        <v>0.0</v>
      </c>
      <c r="AF79" s="69">
        <v>0.0</v>
      </c>
      <c r="AG79" s="69">
        <v>0.0</v>
      </c>
      <c r="AH79" s="69">
        <v>1.0</v>
      </c>
      <c r="AI79" s="69">
        <v>0.0</v>
      </c>
      <c r="AJ79" s="69">
        <v>0.0</v>
      </c>
      <c r="AK79" s="69">
        <v>0.0</v>
      </c>
      <c r="AL79" s="69">
        <v>0.0</v>
      </c>
      <c r="AM79" s="69">
        <v>0.0</v>
      </c>
      <c r="AN79" s="69">
        <v>0.0</v>
      </c>
      <c r="AO79" s="69">
        <v>0.0</v>
      </c>
      <c r="AP79" s="69">
        <v>0.0</v>
      </c>
      <c r="AQ79" s="69">
        <v>0.0</v>
      </c>
      <c r="AR79" s="69">
        <v>0.0</v>
      </c>
      <c r="AS79" s="69">
        <v>0.0</v>
      </c>
      <c r="AT79" s="69">
        <v>0.0</v>
      </c>
      <c r="AU79" s="69">
        <v>0.0</v>
      </c>
      <c r="AV79" s="13">
        <f t="shared" si="20"/>
        <v>8</v>
      </c>
    </row>
    <row r="80" ht="12.75" customHeight="1">
      <c r="A80" s="18"/>
      <c r="B80" s="49"/>
      <c r="C80" s="50" t="s">
        <v>69</v>
      </c>
      <c r="D80" s="51"/>
      <c r="E80" s="69">
        <v>0.0</v>
      </c>
      <c r="F80" s="69">
        <v>0.0</v>
      </c>
      <c r="G80" s="69">
        <v>0.0</v>
      </c>
      <c r="H80" s="69">
        <v>0.0</v>
      </c>
      <c r="I80" s="69">
        <v>0.0</v>
      </c>
      <c r="J80" s="69">
        <v>1.0</v>
      </c>
      <c r="K80" s="69">
        <v>0.0</v>
      </c>
      <c r="L80" s="69">
        <v>0.0</v>
      </c>
      <c r="M80" s="69">
        <v>0.0</v>
      </c>
      <c r="N80" s="69">
        <v>0.0</v>
      </c>
      <c r="O80" s="69">
        <v>0.0</v>
      </c>
      <c r="P80" s="69">
        <v>0.0</v>
      </c>
      <c r="Q80" s="69">
        <v>0.0</v>
      </c>
      <c r="R80" s="69">
        <v>0.0</v>
      </c>
      <c r="S80" s="69">
        <v>0.0</v>
      </c>
      <c r="T80" s="69">
        <v>1.0</v>
      </c>
      <c r="U80" s="69">
        <v>0.0</v>
      </c>
      <c r="V80" s="69">
        <v>0.0</v>
      </c>
      <c r="W80" s="69">
        <v>0.0</v>
      </c>
      <c r="X80" s="69">
        <v>0.0</v>
      </c>
      <c r="Y80" s="69">
        <v>0.0</v>
      </c>
      <c r="Z80" s="69">
        <v>0.0</v>
      </c>
      <c r="AA80" s="69">
        <v>0.0</v>
      </c>
      <c r="AB80" s="69">
        <v>1.0</v>
      </c>
      <c r="AC80" s="69">
        <v>0.0</v>
      </c>
      <c r="AD80" s="69">
        <v>1.0</v>
      </c>
      <c r="AE80" s="69">
        <v>0.0</v>
      </c>
      <c r="AF80" s="69">
        <v>0.0</v>
      </c>
      <c r="AG80" s="69">
        <v>0.0</v>
      </c>
      <c r="AH80" s="69">
        <v>0.0</v>
      </c>
      <c r="AI80" s="69">
        <v>0.0</v>
      </c>
      <c r="AJ80" s="69">
        <v>0.0</v>
      </c>
      <c r="AK80" s="69">
        <v>0.0</v>
      </c>
      <c r="AL80" s="69">
        <v>0.0</v>
      </c>
      <c r="AM80" s="69">
        <v>0.0</v>
      </c>
      <c r="AN80" s="69">
        <v>0.0</v>
      </c>
      <c r="AO80" s="69">
        <v>0.0</v>
      </c>
      <c r="AP80" s="69">
        <v>0.0</v>
      </c>
      <c r="AQ80" s="69">
        <v>0.0</v>
      </c>
      <c r="AR80" s="69">
        <v>0.0</v>
      </c>
      <c r="AS80" s="69">
        <v>0.0</v>
      </c>
      <c r="AT80" s="69">
        <v>0.0</v>
      </c>
      <c r="AU80" s="69">
        <v>0.0</v>
      </c>
      <c r="AV80" s="13">
        <f t="shared" si="20"/>
        <v>4</v>
      </c>
    </row>
    <row r="81" ht="12.75" customHeight="1">
      <c r="A81" s="18"/>
      <c r="B81" s="49"/>
      <c r="C81" s="50" t="s">
        <v>70</v>
      </c>
      <c r="D81" s="51"/>
      <c r="E81" s="69">
        <v>0.0</v>
      </c>
      <c r="F81" s="69">
        <v>0.0</v>
      </c>
      <c r="G81" s="69">
        <v>0.0</v>
      </c>
      <c r="H81" s="69">
        <v>0.0</v>
      </c>
      <c r="I81" s="69">
        <v>0.0</v>
      </c>
      <c r="J81" s="69">
        <v>0.0</v>
      </c>
      <c r="K81" s="69">
        <v>0.0</v>
      </c>
      <c r="L81" s="69">
        <v>0.0</v>
      </c>
      <c r="M81" s="69">
        <v>0.0</v>
      </c>
      <c r="N81" s="69">
        <v>1.0</v>
      </c>
      <c r="O81" s="69">
        <v>0.0</v>
      </c>
      <c r="P81" s="69">
        <v>0.0</v>
      </c>
      <c r="Q81" s="69">
        <v>0.0</v>
      </c>
      <c r="R81" s="69">
        <v>1.0</v>
      </c>
      <c r="S81" s="69">
        <v>0.0</v>
      </c>
      <c r="T81" s="69">
        <v>0.0</v>
      </c>
      <c r="U81" s="69">
        <v>0.0</v>
      </c>
      <c r="V81" s="69">
        <v>0.0</v>
      </c>
      <c r="W81" s="69">
        <v>0.0</v>
      </c>
      <c r="X81" s="69">
        <v>0.0</v>
      </c>
      <c r="Y81" s="69">
        <v>0.0</v>
      </c>
      <c r="Z81" s="69">
        <v>0.0</v>
      </c>
      <c r="AA81" s="69">
        <v>0.0</v>
      </c>
      <c r="AB81" s="69">
        <v>0.0</v>
      </c>
      <c r="AC81" s="69">
        <v>0.0</v>
      </c>
      <c r="AD81" s="69">
        <v>0.0</v>
      </c>
      <c r="AE81" s="69">
        <v>0.0</v>
      </c>
      <c r="AF81" s="69">
        <v>0.0</v>
      </c>
      <c r="AG81" s="69">
        <v>0.0</v>
      </c>
      <c r="AH81" s="69">
        <v>0.0</v>
      </c>
      <c r="AI81" s="69">
        <v>0.0</v>
      </c>
      <c r="AJ81" s="69">
        <v>0.0</v>
      </c>
      <c r="AK81" s="69">
        <v>0.0</v>
      </c>
      <c r="AL81" s="69">
        <v>0.0</v>
      </c>
      <c r="AM81" s="69">
        <v>0.0</v>
      </c>
      <c r="AN81" s="69">
        <v>0.0</v>
      </c>
      <c r="AO81" s="69">
        <v>0.0</v>
      </c>
      <c r="AP81" s="69">
        <v>0.0</v>
      </c>
      <c r="AQ81" s="69">
        <v>0.0</v>
      </c>
      <c r="AR81" s="69">
        <v>0.0</v>
      </c>
      <c r="AS81" s="69">
        <v>0.0</v>
      </c>
      <c r="AT81" s="69">
        <v>0.0</v>
      </c>
      <c r="AU81" s="69">
        <v>0.0</v>
      </c>
      <c r="AV81" s="13">
        <f t="shared" si="20"/>
        <v>2</v>
      </c>
    </row>
    <row r="82" ht="12.75" customHeight="1">
      <c r="A82" s="18"/>
      <c r="B82" s="49"/>
      <c r="C82" s="50" t="s">
        <v>71</v>
      </c>
      <c r="D82" s="51"/>
      <c r="E82" s="69">
        <v>0.0</v>
      </c>
      <c r="F82" s="69">
        <v>3.0</v>
      </c>
      <c r="G82" s="69">
        <v>0.0</v>
      </c>
      <c r="H82" s="69">
        <v>7.0</v>
      </c>
      <c r="I82" s="69">
        <v>0.0</v>
      </c>
      <c r="J82" s="69">
        <v>1.0</v>
      </c>
      <c r="K82" s="69">
        <v>8.0</v>
      </c>
      <c r="L82" s="69">
        <v>13.0</v>
      </c>
      <c r="M82" s="69">
        <v>14.0</v>
      </c>
      <c r="N82" s="69">
        <v>2.0</v>
      </c>
      <c r="O82" s="69">
        <v>0.0</v>
      </c>
      <c r="P82" s="69">
        <v>0.0</v>
      </c>
      <c r="Q82" s="69">
        <v>1.0</v>
      </c>
      <c r="R82" s="69">
        <v>0.0</v>
      </c>
      <c r="S82" s="69">
        <v>0.0</v>
      </c>
      <c r="T82" s="69">
        <v>0.0</v>
      </c>
      <c r="U82" s="69">
        <v>0.0</v>
      </c>
      <c r="V82" s="69">
        <v>7.0</v>
      </c>
      <c r="W82" s="69">
        <v>0.0</v>
      </c>
      <c r="X82" s="69">
        <v>0.0</v>
      </c>
      <c r="Y82" s="69">
        <v>0.0</v>
      </c>
      <c r="Z82" s="69">
        <v>0.0</v>
      </c>
      <c r="AA82" s="69">
        <v>0.0</v>
      </c>
      <c r="AB82" s="69">
        <v>1.0</v>
      </c>
      <c r="AC82" s="69">
        <v>0.0</v>
      </c>
      <c r="AD82" s="69">
        <v>0.0</v>
      </c>
      <c r="AE82" s="69">
        <v>2.0</v>
      </c>
      <c r="AF82" s="69">
        <v>6.0</v>
      </c>
      <c r="AG82" s="69">
        <v>2.0</v>
      </c>
      <c r="AH82" s="69">
        <v>0.0</v>
      </c>
      <c r="AI82" s="69">
        <v>0.0</v>
      </c>
      <c r="AJ82" s="69">
        <v>0.0</v>
      </c>
      <c r="AK82" s="69">
        <v>0.0</v>
      </c>
      <c r="AL82" s="69">
        <v>0.0</v>
      </c>
      <c r="AM82" s="69">
        <v>0.0</v>
      </c>
      <c r="AN82" s="69">
        <v>0.0</v>
      </c>
      <c r="AO82" s="69">
        <v>0.0</v>
      </c>
      <c r="AP82" s="69">
        <v>0.0</v>
      </c>
      <c r="AQ82" s="69">
        <v>0.0</v>
      </c>
      <c r="AR82" s="69">
        <v>0.0</v>
      </c>
      <c r="AS82" s="69">
        <v>0.0</v>
      </c>
      <c r="AT82" s="69">
        <v>0.0</v>
      </c>
      <c r="AU82" s="69">
        <v>1.0</v>
      </c>
      <c r="AV82" s="13">
        <f t="shared" si="20"/>
        <v>68</v>
      </c>
    </row>
    <row r="83" ht="12.75" customHeight="1">
      <c r="A83" s="19" t="s">
        <v>15</v>
      </c>
      <c r="B83" s="47" t="s">
        <v>47</v>
      </c>
      <c r="C83" s="15"/>
      <c r="D83" s="16"/>
      <c r="E83" s="56">
        <f t="shared" ref="E83:AU83" si="21">SUM(E75:E82)</f>
        <v>2</v>
      </c>
      <c r="F83" s="56">
        <f t="shared" si="21"/>
        <v>11</v>
      </c>
      <c r="G83" s="56">
        <f t="shared" si="21"/>
        <v>1</v>
      </c>
      <c r="H83" s="56">
        <f t="shared" si="21"/>
        <v>9</v>
      </c>
      <c r="I83" s="56">
        <f t="shared" si="21"/>
        <v>3</v>
      </c>
      <c r="J83" s="56">
        <f t="shared" si="21"/>
        <v>4</v>
      </c>
      <c r="K83" s="56">
        <f t="shared" si="21"/>
        <v>13</v>
      </c>
      <c r="L83" s="56">
        <f t="shared" si="21"/>
        <v>32</v>
      </c>
      <c r="M83" s="56">
        <f t="shared" si="21"/>
        <v>28</v>
      </c>
      <c r="N83" s="56">
        <f t="shared" si="21"/>
        <v>19</v>
      </c>
      <c r="O83" s="56">
        <f t="shared" si="21"/>
        <v>12</v>
      </c>
      <c r="P83" s="56">
        <f t="shared" si="21"/>
        <v>0</v>
      </c>
      <c r="Q83" s="56">
        <f t="shared" si="21"/>
        <v>3</v>
      </c>
      <c r="R83" s="56">
        <f t="shared" si="21"/>
        <v>3</v>
      </c>
      <c r="S83" s="56">
        <f t="shared" si="21"/>
        <v>2</v>
      </c>
      <c r="T83" s="56">
        <f t="shared" si="21"/>
        <v>3</v>
      </c>
      <c r="U83" s="56">
        <f t="shared" si="21"/>
        <v>0</v>
      </c>
      <c r="V83" s="56">
        <f t="shared" si="21"/>
        <v>10</v>
      </c>
      <c r="W83" s="56">
        <f t="shared" si="21"/>
        <v>11</v>
      </c>
      <c r="X83" s="56">
        <f t="shared" si="21"/>
        <v>1</v>
      </c>
      <c r="Y83" s="56">
        <f t="shared" si="21"/>
        <v>0</v>
      </c>
      <c r="Z83" s="56">
        <f t="shared" si="21"/>
        <v>7</v>
      </c>
      <c r="AA83" s="56">
        <f t="shared" si="21"/>
        <v>1</v>
      </c>
      <c r="AB83" s="56">
        <f t="shared" si="21"/>
        <v>8</v>
      </c>
      <c r="AC83" s="56">
        <f t="shared" si="21"/>
        <v>11</v>
      </c>
      <c r="AD83" s="56">
        <f t="shared" si="21"/>
        <v>5</v>
      </c>
      <c r="AE83" s="56">
        <f t="shared" si="21"/>
        <v>12</v>
      </c>
      <c r="AF83" s="56">
        <f t="shared" si="21"/>
        <v>13</v>
      </c>
      <c r="AG83" s="56">
        <f t="shared" si="21"/>
        <v>6</v>
      </c>
      <c r="AH83" s="56">
        <f t="shared" si="21"/>
        <v>1</v>
      </c>
      <c r="AI83" s="56">
        <f t="shared" si="21"/>
        <v>3</v>
      </c>
      <c r="AJ83" s="56">
        <f t="shared" si="21"/>
        <v>2</v>
      </c>
      <c r="AK83" s="56">
        <f t="shared" si="21"/>
        <v>2</v>
      </c>
      <c r="AL83" s="56">
        <f t="shared" si="21"/>
        <v>6</v>
      </c>
      <c r="AM83" s="56">
        <f t="shared" si="21"/>
        <v>2</v>
      </c>
      <c r="AN83" s="56">
        <f t="shared" si="21"/>
        <v>2</v>
      </c>
      <c r="AO83" s="56">
        <f t="shared" si="21"/>
        <v>2</v>
      </c>
      <c r="AP83" s="56">
        <f t="shared" si="21"/>
        <v>7</v>
      </c>
      <c r="AQ83" s="56">
        <f t="shared" si="21"/>
        <v>6</v>
      </c>
      <c r="AR83" s="56">
        <f t="shared" si="21"/>
        <v>1</v>
      </c>
      <c r="AS83" s="56">
        <f t="shared" si="21"/>
        <v>2</v>
      </c>
      <c r="AT83" s="56">
        <f t="shared" si="21"/>
        <v>10</v>
      </c>
      <c r="AU83" s="56">
        <f t="shared" si="21"/>
        <v>6</v>
      </c>
      <c r="AV83" s="13">
        <f t="shared" si="20"/>
        <v>282</v>
      </c>
    </row>
    <row r="84" ht="12.75" customHeight="1">
      <c r="A84" s="57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13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69">
        <v>1.0</v>
      </c>
      <c r="F85" s="69">
        <v>5.0</v>
      </c>
      <c r="G85" s="69">
        <v>2.0</v>
      </c>
      <c r="H85" s="69">
        <v>6.0</v>
      </c>
      <c r="I85" s="69">
        <v>4.0</v>
      </c>
      <c r="J85" s="69">
        <v>1.0</v>
      </c>
      <c r="K85" s="69">
        <v>0.0</v>
      </c>
      <c r="L85" s="69">
        <v>1.0</v>
      </c>
      <c r="M85" s="69">
        <v>0.0</v>
      </c>
      <c r="N85" s="69">
        <v>1.0</v>
      </c>
      <c r="O85" s="69">
        <v>4.0</v>
      </c>
      <c r="P85" s="69">
        <v>0.0</v>
      </c>
      <c r="Q85" s="69">
        <v>0.0</v>
      </c>
      <c r="R85" s="69">
        <v>4.0</v>
      </c>
      <c r="S85" s="69">
        <v>0.0</v>
      </c>
      <c r="T85" s="69">
        <v>1.0</v>
      </c>
      <c r="U85" s="69">
        <v>2.0</v>
      </c>
      <c r="V85" s="69">
        <v>1.0</v>
      </c>
      <c r="W85" s="69">
        <v>3.0</v>
      </c>
      <c r="X85" s="69">
        <v>0.0</v>
      </c>
      <c r="Y85" s="69">
        <v>1.0</v>
      </c>
      <c r="Z85" s="69">
        <v>0.0</v>
      </c>
      <c r="AA85" s="69">
        <v>1.0</v>
      </c>
      <c r="AB85" s="69">
        <v>3.0</v>
      </c>
      <c r="AC85" s="69">
        <v>0.0</v>
      </c>
      <c r="AD85" s="69">
        <v>1.0</v>
      </c>
      <c r="AE85" s="69">
        <v>1.0</v>
      </c>
      <c r="AF85" s="69">
        <v>2.0</v>
      </c>
      <c r="AG85" s="69">
        <v>2.0</v>
      </c>
      <c r="AH85" s="69">
        <v>0.0</v>
      </c>
      <c r="AI85" s="69">
        <v>9.0</v>
      </c>
      <c r="AJ85" s="69">
        <v>14.0</v>
      </c>
      <c r="AK85" s="69">
        <v>2.0</v>
      </c>
      <c r="AL85" s="69">
        <v>1.0</v>
      </c>
      <c r="AM85" s="69">
        <v>2.0</v>
      </c>
      <c r="AN85" s="69">
        <v>1.0</v>
      </c>
      <c r="AO85" s="69">
        <v>10.0</v>
      </c>
      <c r="AP85" s="69">
        <v>5.0</v>
      </c>
      <c r="AQ85" s="69">
        <v>6.0</v>
      </c>
      <c r="AR85" s="69">
        <v>5.0</v>
      </c>
      <c r="AS85" s="69">
        <v>10.0</v>
      </c>
      <c r="AT85" s="69">
        <v>3.0</v>
      </c>
      <c r="AU85" s="69">
        <v>5.0</v>
      </c>
      <c r="AV85" s="13">
        <f t="shared" ref="AV85:AV93" si="22">SUM(E85:AU85)</f>
        <v>120</v>
      </c>
    </row>
    <row r="86" ht="12.75" customHeight="1">
      <c r="A86" s="30" t="s">
        <v>39</v>
      </c>
      <c r="B86" s="49"/>
      <c r="C86" s="50" t="s">
        <v>74</v>
      </c>
      <c r="D86" s="51"/>
      <c r="E86" s="69">
        <v>2.0</v>
      </c>
      <c r="F86" s="69">
        <v>1.0</v>
      </c>
      <c r="G86" s="69">
        <v>1.0</v>
      </c>
      <c r="H86" s="69">
        <v>2.0</v>
      </c>
      <c r="I86" s="69">
        <v>4.0</v>
      </c>
      <c r="J86" s="69">
        <v>0.0</v>
      </c>
      <c r="K86" s="69">
        <v>1.0</v>
      </c>
      <c r="L86" s="69">
        <v>3.0</v>
      </c>
      <c r="M86" s="69">
        <v>5.0</v>
      </c>
      <c r="N86" s="69">
        <v>4.0</v>
      </c>
      <c r="O86" s="69">
        <v>4.0</v>
      </c>
      <c r="P86" s="69">
        <v>1.0</v>
      </c>
      <c r="Q86" s="69">
        <v>5.0</v>
      </c>
      <c r="R86" s="69">
        <v>3.0</v>
      </c>
      <c r="S86" s="69">
        <v>8.0</v>
      </c>
      <c r="T86" s="69">
        <v>3.0</v>
      </c>
      <c r="U86" s="69">
        <v>4.0</v>
      </c>
      <c r="V86" s="69">
        <v>13.0</v>
      </c>
      <c r="W86" s="69">
        <v>19.0</v>
      </c>
      <c r="X86" s="69">
        <v>14.0</v>
      </c>
      <c r="Y86" s="69">
        <v>58.0</v>
      </c>
      <c r="Z86" s="69">
        <v>0.0</v>
      </c>
      <c r="AA86" s="69">
        <v>1.0</v>
      </c>
      <c r="AB86" s="69">
        <v>1.0</v>
      </c>
      <c r="AC86" s="69">
        <v>5.0</v>
      </c>
      <c r="AD86" s="69">
        <v>60.0</v>
      </c>
      <c r="AE86" s="69">
        <v>1.0</v>
      </c>
      <c r="AF86" s="69">
        <v>4.0</v>
      </c>
      <c r="AG86" s="69">
        <v>2.0</v>
      </c>
      <c r="AH86" s="69">
        <v>0.0</v>
      </c>
      <c r="AI86" s="69">
        <v>42.0</v>
      </c>
      <c r="AJ86" s="69">
        <v>78.0</v>
      </c>
      <c r="AK86" s="69">
        <v>64.0</v>
      </c>
      <c r="AL86" s="69">
        <v>88.0</v>
      </c>
      <c r="AM86" s="69">
        <v>9.0</v>
      </c>
      <c r="AN86" s="69">
        <v>5.0</v>
      </c>
      <c r="AO86" s="69">
        <v>78.0</v>
      </c>
      <c r="AP86" s="69">
        <v>57.0</v>
      </c>
      <c r="AQ86" s="69">
        <v>54.0</v>
      </c>
      <c r="AR86" s="69">
        <v>81.0</v>
      </c>
      <c r="AS86" s="69">
        <v>61.0</v>
      </c>
      <c r="AT86" s="69">
        <v>34.0</v>
      </c>
      <c r="AU86" s="69">
        <v>109.0</v>
      </c>
      <c r="AV86" s="13">
        <f t="shared" si="22"/>
        <v>989</v>
      </c>
    </row>
    <row r="87" ht="12.75" customHeight="1">
      <c r="A87" s="18"/>
      <c r="B87" s="49"/>
      <c r="C87" s="50" t="s">
        <v>75</v>
      </c>
      <c r="D87" s="51"/>
      <c r="E87" s="69">
        <v>12.0</v>
      </c>
      <c r="F87" s="69">
        <v>34.0</v>
      </c>
      <c r="G87" s="69">
        <v>39.0</v>
      </c>
      <c r="H87" s="69">
        <v>51.0</v>
      </c>
      <c r="I87" s="69">
        <v>61.0</v>
      </c>
      <c r="J87" s="69">
        <v>40.0</v>
      </c>
      <c r="K87" s="69">
        <v>9.0</v>
      </c>
      <c r="L87" s="69">
        <v>13.0</v>
      </c>
      <c r="M87" s="69">
        <v>2.0</v>
      </c>
      <c r="N87" s="69">
        <v>10.0</v>
      </c>
      <c r="O87" s="69">
        <v>10.0</v>
      </c>
      <c r="P87" s="69">
        <v>14.0</v>
      </c>
      <c r="Q87" s="69">
        <v>8.0</v>
      </c>
      <c r="R87" s="69">
        <v>31.0</v>
      </c>
      <c r="S87" s="69">
        <v>49.0</v>
      </c>
      <c r="T87" s="69">
        <v>34.0</v>
      </c>
      <c r="U87" s="69">
        <v>34.0</v>
      </c>
      <c r="V87" s="69">
        <v>11.0</v>
      </c>
      <c r="W87" s="69">
        <v>34.0</v>
      </c>
      <c r="X87" s="69">
        <v>3.0</v>
      </c>
      <c r="Y87" s="69">
        <v>10.0</v>
      </c>
      <c r="Z87" s="69">
        <v>22.0</v>
      </c>
      <c r="AA87" s="69">
        <v>39.0</v>
      </c>
      <c r="AB87" s="69">
        <v>20.0</v>
      </c>
      <c r="AC87" s="69">
        <v>7.0</v>
      </c>
      <c r="AD87" s="69">
        <v>11.0</v>
      </c>
      <c r="AE87" s="69">
        <v>3.0</v>
      </c>
      <c r="AF87" s="69">
        <v>6.0</v>
      </c>
      <c r="AG87" s="69">
        <v>1.0</v>
      </c>
      <c r="AH87" s="69">
        <v>6.0</v>
      </c>
      <c r="AI87" s="69">
        <v>29.0</v>
      </c>
      <c r="AJ87" s="69">
        <v>20.0</v>
      </c>
      <c r="AK87" s="69">
        <v>19.0</v>
      </c>
      <c r="AL87" s="69">
        <v>10.0</v>
      </c>
      <c r="AM87" s="69">
        <v>20.0</v>
      </c>
      <c r="AN87" s="69">
        <v>18.0</v>
      </c>
      <c r="AO87" s="69">
        <v>12.0</v>
      </c>
      <c r="AP87" s="69">
        <v>14.0</v>
      </c>
      <c r="AQ87" s="69">
        <v>8.0</v>
      </c>
      <c r="AR87" s="69">
        <v>5.0</v>
      </c>
      <c r="AS87" s="69">
        <v>5.0</v>
      </c>
      <c r="AT87" s="69">
        <v>6.0</v>
      </c>
      <c r="AU87" s="69">
        <v>1.0</v>
      </c>
      <c r="AV87" s="13">
        <f t="shared" si="22"/>
        <v>791</v>
      </c>
    </row>
    <row r="88" ht="12.75" customHeight="1">
      <c r="A88" s="18"/>
      <c r="B88" s="49"/>
      <c r="C88" s="50" t="s">
        <v>76</v>
      </c>
      <c r="D88" s="51"/>
      <c r="E88" s="69">
        <v>0.0</v>
      </c>
      <c r="F88" s="69">
        <v>0.0</v>
      </c>
      <c r="G88" s="69">
        <v>1.0</v>
      </c>
      <c r="H88" s="69">
        <v>0.0</v>
      </c>
      <c r="I88" s="69">
        <v>0.0</v>
      </c>
      <c r="J88" s="69">
        <v>0.0</v>
      </c>
      <c r="K88" s="69">
        <v>0.0</v>
      </c>
      <c r="L88" s="69">
        <v>0.0</v>
      </c>
      <c r="M88" s="69">
        <v>0.0</v>
      </c>
      <c r="N88" s="69">
        <v>0.0</v>
      </c>
      <c r="O88" s="69">
        <v>0.0</v>
      </c>
      <c r="P88" s="69">
        <v>0.0</v>
      </c>
      <c r="Q88" s="69">
        <v>0.0</v>
      </c>
      <c r="R88" s="69">
        <v>0.0</v>
      </c>
      <c r="S88" s="69">
        <v>1.0</v>
      </c>
      <c r="T88" s="69">
        <v>0.0</v>
      </c>
      <c r="U88" s="69">
        <v>0.0</v>
      </c>
      <c r="V88" s="69">
        <v>1.0</v>
      </c>
      <c r="W88" s="69">
        <v>1.0</v>
      </c>
      <c r="X88" s="69">
        <v>0.0</v>
      </c>
      <c r="Y88" s="69">
        <v>0.0</v>
      </c>
      <c r="Z88" s="69">
        <v>0.0</v>
      </c>
      <c r="AA88" s="69">
        <v>0.0</v>
      </c>
      <c r="AB88" s="69">
        <v>0.0</v>
      </c>
      <c r="AC88" s="69">
        <v>0.0</v>
      </c>
      <c r="AD88" s="69">
        <v>1.0</v>
      </c>
      <c r="AE88" s="69">
        <v>0.0</v>
      </c>
      <c r="AF88" s="69">
        <v>0.0</v>
      </c>
      <c r="AG88" s="69">
        <v>0.0</v>
      </c>
      <c r="AH88" s="69">
        <v>0.0</v>
      </c>
      <c r="AI88" s="69">
        <v>1.0</v>
      </c>
      <c r="AJ88" s="69">
        <v>1.0</v>
      </c>
      <c r="AK88" s="69">
        <v>0.0</v>
      </c>
      <c r="AL88" s="69">
        <v>0.0</v>
      </c>
      <c r="AM88" s="69">
        <v>0.0</v>
      </c>
      <c r="AN88" s="69">
        <v>0.0</v>
      </c>
      <c r="AO88" s="69">
        <v>1.0</v>
      </c>
      <c r="AP88" s="69">
        <v>0.0</v>
      </c>
      <c r="AQ88" s="69">
        <v>0.0</v>
      </c>
      <c r="AR88" s="69">
        <v>0.0</v>
      </c>
      <c r="AS88" s="69">
        <v>1.0</v>
      </c>
      <c r="AT88" s="69">
        <v>0.0</v>
      </c>
      <c r="AU88" s="69">
        <v>0.0</v>
      </c>
      <c r="AV88" s="13">
        <f t="shared" si="22"/>
        <v>9</v>
      </c>
    </row>
    <row r="89" ht="12.75" customHeight="1">
      <c r="A89" s="18"/>
      <c r="B89" s="49"/>
      <c r="C89" s="50" t="s">
        <v>77</v>
      </c>
      <c r="D89" s="51"/>
      <c r="E89" s="69">
        <v>0.0</v>
      </c>
      <c r="F89" s="69">
        <v>1.0</v>
      </c>
      <c r="G89" s="69">
        <v>0.0</v>
      </c>
      <c r="H89" s="69">
        <v>0.0</v>
      </c>
      <c r="I89" s="69">
        <v>0.0</v>
      </c>
      <c r="J89" s="69">
        <v>1.0</v>
      </c>
      <c r="K89" s="69">
        <v>0.0</v>
      </c>
      <c r="L89" s="69">
        <v>0.0</v>
      </c>
      <c r="M89" s="69">
        <v>0.0</v>
      </c>
      <c r="N89" s="69">
        <v>0.0</v>
      </c>
      <c r="O89" s="69">
        <v>0.0</v>
      </c>
      <c r="P89" s="69">
        <v>1.0</v>
      </c>
      <c r="Q89" s="69">
        <v>0.0</v>
      </c>
      <c r="R89" s="69">
        <v>0.0</v>
      </c>
      <c r="S89" s="69">
        <v>0.0</v>
      </c>
      <c r="T89" s="69">
        <v>0.0</v>
      </c>
      <c r="U89" s="69">
        <v>0.0</v>
      </c>
      <c r="V89" s="69">
        <v>0.0</v>
      </c>
      <c r="W89" s="69">
        <v>0.0</v>
      </c>
      <c r="X89" s="69">
        <v>0.0</v>
      </c>
      <c r="Y89" s="69">
        <v>0.0</v>
      </c>
      <c r="Z89" s="69">
        <v>1.0</v>
      </c>
      <c r="AA89" s="69">
        <v>1.0</v>
      </c>
      <c r="AB89" s="69">
        <v>1.0</v>
      </c>
      <c r="AC89" s="69">
        <v>0.0</v>
      </c>
      <c r="AD89" s="69">
        <v>0.0</v>
      </c>
      <c r="AE89" s="69">
        <v>0.0</v>
      </c>
      <c r="AF89" s="69">
        <v>0.0</v>
      </c>
      <c r="AG89" s="69">
        <v>0.0</v>
      </c>
      <c r="AH89" s="69">
        <v>0.0</v>
      </c>
      <c r="AI89" s="69">
        <v>0.0</v>
      </c>
      <c r="AJ89" s="69">
        <v>0.0</v>
      </c>
      <c r="AK89" s="69">
        <v>0.0</v>
      </c>
      <c r="AL89" s="69">
        <v>0.0</v>
      </c>
      <c r="AM89" s="69">
        <v>0.0</v>
      </c>
      <c r="AN89" s="69">
        <v>0.0</v>
      </c>
      <c r="AO89" s="69">
        <v>0.0</v>
      </c>
      <c r="AP89" s="69">
        <v>0.0</v>
      </c>
      <c r="AQ89" s="69">
        <v>0.0</v>
      </c>
      <c r="AR89" s="69">
        <v>0.0</v>
      </c>
      <c r="AS89" s="69">
        <v>1.0</v>
      </c>
      <c r="AT89" s="69">
        <v>0.0</v>
      </c>
      <c r="AU89" s="69">
        <v>0.0</v>
      </c>
      <c r="AV89" s="13">
        <f t="shared" si="22"/>
        <v>7</v>
      </c>
    </row>
    <row r="90" ht="12.75" customHeight="1">
      <c r="A90" s="18"/>
      <c r="B90" s="49"/>
      <c r="C90" s="50" t="s">
        <v>78</v>
      </c>
      <c r="D90" s="51"/>
      <c r="E90" s="69">
        <v>0.0</v>
      </c>
      <c r="F90" s="69">
        <v>0.0</v>
      </c>
      <c r="G90" s="69">
        <v>3.0</v>
      </c>
      <c r="H90" s="69">
        <v>0.0</v>
      </c>
      <c r="I90" s="69">
        <v>0.0</v>
      </c>
      <c r="J90" s="69">
        <v>0.0</v>
      </c>
      <c r="K90" s="69">
        <v>3.0</v>
      </c>
      <c r="L90" s="69">
        <v>0.0</v>
      </c>
      <c r="M90" s="69">
        <v>2.0</v>
      </c>
      <c r="N90" s="69">
        <v>3.0</v>
      </c>
      <c r="O90" s="69">
        <v>24.0</v>
      </c>
      <c r="P90" s="69">
        <v>1.0</v>
      </c>
      <c r="Q90" s="69">
        <v>0.0</v>
      </c>
      <c r="R90" s="69">
        <v>0.0</v>
      </c>
      <c r="S90" s="69">
        <v>0.0</v>
      </c>
      <c r="T90" s="69">
        <v>0.0</v>
      </c>
      <c r="U90" s="69">
        <v>0.0</v>
      </c>
      <c r="V90" s="69">
        <v>1.0</v>
      </c>
      <c r="W90" s="69">
        <v>1.0</v>
      </c>
      <c r="X90" s="69">
        <v>0.0</v>
      </c>
      <c r="Y90" s="69">
        <v>0.0</v>
      </c>
      <c r="Z90" s="69">
        <v>1.0</v>
      </c>
      <c r="AA90" s="69">
        <v>4.0</v>
      </c>
      <c r="AB90" s="69">
        <v>3.0</v>
      </c>
      <c r="AC90" s="69">
        <v>8.0</v>
      </c>
      <c r="AD90" s="69">
        <v>2.0</v>
      </c>
      <c r="AE90" s="69">
        <v>12.0</v>
      </c>
      <c r="AF90" s="69">
        <v>1.0</v>
      </c>
      <c r="AG90" s="69">
        <v>8.0</v>
      </c>
      <c r="AH90" s="69">
        <v>0.0</v>
      </c>
      <c r="AI90" s="69">
        <v>1.0</v>
      </c>
      <c r="AJ90" s="69">
        <v>12.0</v>
      </c>
      <c r="AK90" s="69">
        <v>3.0</v>
      </c>
      <c r="AL90" s="69">
        <v>5.0</v>
      </c>
      <c r="AM90" s="69">
        <v>2.0</v>
      </c>
      <c r="AN90" s="69">
        <v>2.0</v>
      </c>
      <c r="AO90" s="69">
        <v>1.0</v>
      </c>
      <c r="AP90" s="69">
        <v>10.0</v>
      </c>
      <c r="AQ90" s="69">
        <v>13.0</v>
      </c>
      <c r="AR90" s="69">
        <v>3.0</v>
      </c>
      <c r="AS90" s="69">
        <v>3.0</v>
      </c>
      <c r="AT90" s="69">
        <v>3.0</v>
      </c>
      <c r="AU90" s="69">
        <v>3.0</v>
      </c>
      <c r="AV90" s="13">
        <f t="shared" si="22"/>
        <v>138</v>
      </c>
    </row>
    <row r="91" ht="15.0" customHeight="1">
      <c r="A91" s="18"/>
      <c r="B91" s="49"/>
      <c r="C91" s="50" t="s">
        <v>79</v>
      </c>
      <c r="D91" s="51"/>
      <c r="E91" s="69">
        <v>0.0</v>
      </c>
      <c r="F91" s="69">
        <v>0.0</v>
      </c>
      <c r="G91" s="69">
        <v>0.0</v>
      </c>
      <c r="H91" s="69">
        <v>0.0</v>
      </c>
      <c r="I91" s="69">
        <v>0.0</v>
      </c>
      <c r="J91" s="69">
        <v>0.0</v>
      </c>
      <c r="K91" s="69">
        <v>0.0</v>
      </c>
      <c r="L91" s="69">
        <v>0.0</v>
      </c>
      <c r="M91" s="69">
        <v>0.0</v>
      </c>
      <c r="N91" s="69">
        <v>0.0</v>
      </c>
      <c r="O91" s="69">
        <v>0.0</v>
      </c>
      <c r="P91" s="69">
        <v>0.0</v>
      </c>
      <c r="Q91" s="69">
        <v>0.0</v>
      </c>
      <c r="R91" s="69">
        <v>0.0</v>
      </c>
      <c r="S91" s="69">
        <v>0.0</v>
      </c>
      <c r="T91" s="69">
        <v>0.0</v>
      </c>
      <c r="U91" s="69">
        <v>0.0</v>
      </c>
      <c r="V91" s="69">
        <v>0.0</v>
      </c>
      <c r="W91" s="69">
        <v>0.0</v>
      </c>
      <c r="X91" s="69">
        <v>0.0</v>
      </c>
      <c r="Y91" s="69">
        <v>0.0</v>
      </c>
      <c r="Z91" s="69">
        <v>0.0</v>
      </c>
      <c r="AA91" s="69">
        <v>0.0</v>
      </c>
      <c r="AB91" s="69">
        <v>0.0</v>
      </c>
      <c r="AC91" s="69">
        <v>0.0</v>
      </c>
      <c r="AD91" s="69">
        <v>0.0</v>
      </c>
      <c r="AE91" s="69">
        <v>0.0</v>
      </c>
      <c r="AF91" s="69">
        <v>0.0</v>
      </c>
      <c r="AG91" s="69">
        <v>1.0</v>
      </c>
      <c r="AH91" s="69">
        <v>0.0</v>
      </c>
      <c r="AI91" s="69">
        <v>0.0</v>
      </c>
      <c r="AJ91" s="69">
        <v>0.0</v>
      </c>
      <c r="AK91" s="69">
        <v>0.0</v>
      </c>
      <c r="AL91" s="69">
        <v>0.0</v>
      </c>
      <c r="AM91" s="69">
        <v>0.0</v>
      </c>
      <c r="AN91" s="69">
        <v>0.0</v>
      </c>
      <c r="AO91" s="69">
        <v>0.0</v>
      </c>
      <c r="AP91" s="69">
        <v>0.0</v>
      </c>
      <c r="AQ91" s="69">
        <v>0.0</v>
      </c>
      <c r="AR91" s="69">
        <v>0.0</v>
      </c>
      <c r="AS91" s="69">
        <v>0.0</v>
      </c>
      <c r="AT91" s="69">
        <v>0.0</v>
      </c>
      <c r="AU91" s="69">
        <v>0.0</v>
      </c>
      <c r="AV91" s="13">
        <f t="shared" si="22"/>
        <v>1</v>
      </c>
    </row>
    <row r="92" ht="12.75" customHeight="1">
      <c r="A92" s="18"/>
      <c r="B92" s="49"/>
      <c r="C92" s="50" t="s">
        <v>80</v>
      </c>
      <c r="D92" s="51"/>
      <c r="E92" s="69">
        <v>0.0</v>
      </c>
      <c r="F92" s="69">
        <v>0.0</v>
      </c>
      <c r="G92" s="69">
        <v>0.0</v>
      </c>
      <c r="H92" s="69">
        <v>0.0</v>
      </c>
      <c r="I92" s="69">
        <v>0.0</v>
      </c>
      <c r="J92" s="69">
        <v>0.0</v>
      </c>
      <c r="K92" s="69">
        <v>0.0</v>
      </c>
      <c r="L92" s="69">
        <v>0.0</v>
      </c>
      <c r="M92" s="69">
        <v>0.0</v>
      </c>
      <c r="N92" s="69">
        <v>0.0</v>
      </c>
      <c r="O92" s="69">
        <v>0.0</v>
      </c>
      <c r="P92" s="69">
        <v>0.0</v>
      </c>
      <c r="Q92" s="69">
        <v>0.0</v>
      </c>
      <c r="R92" s="69">
        <v>0.0</v>
      </c>
      <c r="S92" s="69">
        <v>0.0</v>
      </c>
      <c r="T92" s="69">
        <v>0.0</v>
      </c>
      <c r="U92" s="69">
        <v>1.0</v>
      </c>
      <c r="V92" s="69">
        <v>0.0</v>
      </c>
      <c r="W92" s="69">
        <v>0.0</v>
      </c>
      <c r="X92" s="69">
        <v>0.0</v>
      </c>
      <c r="Y92" s="69">
        <v>0.0</v>
      </c>
      <c r="Z92" s="69">
        <v>0.0</v>
      </c>
      <c r="AA92" s="69">
        <v>0.0</v>
      </c>
      <c r="AB92" s="69">
        <v>0.0</v>
      </c>
      <c r="AC92" s="69">
        <v>0.0</v>
      </c>
      <c r="AD92" s="69">
        <v>0.0</v>
      </c>
      <c r="AE92" s="69">
        <v>0.0</v>
      </c>
      <c r="AF92" s="69">
        <v>0.0</v>
      </c>
      <c r="AG92" s="69">
        <v>1.0</v>
      </c>
      <c r="AH92" s="69">
        <v>0.0</v>
      </c>
      <c r="AI92" s="69">
        <v>0.0</v>
      </c>
      <c r="AJ92" s="69">
        <v>0.0</v>
      </c>
      <c r="AK92" s="69">
        <v>0.0</v>
      </c>
      <c r="AL92" s="69">
        <v>0.0</v>
      </c>
      <c r="AM92" s="69">
        <v>0.0</v>
      </c>
      <c r="AN92" s="69">
        <v>0.0</v>
      </c>
      <c r="AO92" s="69">
        <v>0.0</v>
      </c>
      <c r="AP92" s="69">
        <v>0.0</v>
      </c>
      <c r="AQ92" s="69">
        <v>0.0</v>
      </c>
      <c r="AR92" s="69">
        <v>0.0</v>
      </c>
      <c r="AS92" s="69">
        <v>0.0</v>
      </c>
      <c r="AT92" s="69">
        <v>0.0</v>
      </c>
      <c r="AU92" s="69">
        <v>1.0</v>
      </c>
      <c r="AV92" s="13">
        <f t="shared" si="22"/>
        <v>3</v>
      </c>
    </row>
    <row r="93" ht="12.75" customHeight="1">
      <c r="A93" s="19" t="s">
        <v>15</v>
      </c>
      <c r="B93" s="47" t="s">
        <v>47</v>
      </c>
      <c r="C93" s="15"/>
      <c r="D93" s="16"/>
      <c r="E93" s="56">
        <f t="shared" ref="E93:AU93" si="23">SUM(E85:E92)</f>
        <v>15</v>
      </c>
      <c r="F93" s="56">
        <f t="shared" si="23"/>
        <v>41</v>
      </c>
      <c r="G93" s="56">
        <f t="shared" si="23"/>
        <v>46</v>
      </c>
      <c r="H93" s="56">
        <f t="shared" si="23"/>
        <v>59</v>
      </c>
      <c r="I93" s="56">
        <f t="shared" si="23"/>
        <v>69</v>
      </c>
      <c r="J93" s="56">
        <f t="shared" si="23"/>
        <v>42</v>
      </c>
      <c r="K93" s="56">
        <f t="shared" si="23"/>
        <v>13</v>
      </c>
      <c r="L93" s="56">
        <f t="shared" si="23"/>
        <v>17</v>
      </c>
      <c r="M93" s="56">
        <f t="shared" si="23"/>
        <v>9</v>
      </c>
      <c r="N93" s="56">
        <f t="shared" si="23"/>
        <v>18</v>
      </c>
      <c r="O93" s="56">
        <f t="shared" si="23"/>
        <v>42</v>
      </c>
      <c r="P93" s="56">
        <f t="shared" si="23"/>
        <v>17</v>
      </c>
      <c r="Q93" s="56">
        <f t="shared" si="23"/>
        <v>13</v>
      </c>
      <c r="R93" s="56">
        <f t="shared" si="23"/>
        <v>38</v>
      </c>
      <c r="S93" s="56">
        <f t="shared" si="23"/>
        <v>58</v>
      </c>
      <c r="T93" s="56">
        <f t="shared" si="23"/>
        <v>38</v>
      </c>
      <c r="U93" s="56">
        <f t="shared" si="23"/>
        <v>41</v>
      </c>
      <c r="V93" s="56">
        <f t="shared" si="23"/>
        <v>27</v>
      </c>
      <c r="W93" s="56">
        <f t="shared" si="23"/>
        <v>58</v>
      </c>
      <c r="X93" s="56">
        <f t="shared" si="23"/>
        <v>17</v>
      </c>
      <c r="Y93" s="56">
        <f t="shared" si="23"/>
        <v>69</v>
      </c>
      <c r="Z93" s="56">
        <f t="shared" si="23"/>
        <v>24</v>
      </c>
      <c r="AA93" s="56">
        <f t="shared" si="23"/>
        <v>46</v>
      </c>
      <c r="AB93" s="56">
        <f t="shared" si="23"/>
        <v>28</v>
      </c>
      <c r="AC93" s="56">
        <f t="shared" si="23"/>
        <v>20</v>
      </c>
      <c r="AD93" s="56">
        <f t="shared" si="23"/>
        <v>75</v>
      </c>
      <c r="AE93" s="56">
        <f t="shared" si="23"/>
        <v>17</v>
      </c>
      <c r="AF93" s="56">
        <f t="shared" si="23"/>
        <v>13</v>
      </c>
      <c r="AG93" s="56">
        <f t="shared" si="23"/>
        <v>15</v>
      </c>
      <c r="AH93" s="56">
        <f t="shared" si="23"/>
        <v>6</v>
      </c>
      <c r="AI93" s="56">
        <f t="shared" si="23"/>
        <v>82</v>
      </c>
      <c r="AJ93" s="56">
        <f t="shared" si="23"/>
        <v>125</v>
      </c>
      <c r="AK93" s="56">
        <f t="shared" si="23"/>
        <v>88</v>
      </c>
      <c r="AL93" s="56">
        <f t="shared" si="23"/>
        <v>104</v>
      </c>
      <c r="AM93" s="56">
        <f t="shared" si="23"/>
        <v>33</v>
      </c>
      <c r="AN93" s="56">
        <f t="shared" si="23"/>
        <v>26</v>
      </c>
      <c r="AO93" s="56">
        <f t="shared" si="23"/>
        <v>102</v>
      </c>
      <c r="AP93" s="56">
        <f t="shared" si="23"/>
        <v>86</v>
      </c>
      <c r="AQ93" s="56">
        <f t="shared" si="23"/>
        <v>81</v>
      </c>
      <c r="AR93" s="56">
        <f t="shared" si="23"/>
        <v>94</v>
      </c>
      <c r="AS93" s="56">
        <f t="shared" si="23"/>
        <v>81</v>
      </c>
      <c r="AT93" s="56">
        <f t="shared" si="23"/>
        <v>46</v>
      </c>
      <c r="AU93" s="56">
        <f t="shared" si="23"/>
        <v>119</v>
      </c>
      <c r="AV93" s="13">
        <f t="shared" si="22"/>
        <v>2058</v>
      </c>
    </row>
    <row r="94" ht="12.75" customHeight="1">
      <c r="A94" s="57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13"/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69">
        <v>0.0</v>
      </c>
      <c r="F95" s="69">
        <v>0.0</v>
      </c>
      <c r="G95" s="69">
        <v>0.0</v>
      </c>
      <c r="H95" s="69">
        <v>0.0</v>
      </c>
      <c r="I95" s="69">
        <v>0.0</v>
      </c>
      <c r="J95" s="69">
        <v>1.0</v>
      </c>
      <c r="K95" s="69">
        <v>0.0</v>
      </c>
      <c r="L95" s="69">
        <v>1.0</v>
      </c>
      <c r="M95" s="69">
        <v>0.0</v>
      </c>
      <c r="N95" s="69">
        <v>1.0</v>
      </c>
      <c r="O95" s="69">
        <v>1.0</v>
      </c>
      <c r="P95" s="69">
        <v>0.0</v>
      </c>
      <c r="Q95" s="69">
        <v>0.0</v>
      </c>
      <c r="R95" s="69">
        <v>2.0</v>
      </c>
      <c r="S95" s="69">
        <v>1.0</v>
      </c>
      <c r="T95" s="69">
        <v>1.0</v>
      </c>
      <c r="U95" s="69">
        <v>0.0</v>
      </c>
      <c r="V95" s="69">
        <v>2.0</v>
      </c>
      <c r="W95" s="69">
        <v>3.0</v>
      </c>
      <c r="X95" s="69">
        <v>0.0</v>
      </c>
      <c r="Y95" s="69">
        <v>1.0</v>
      </c>
      <c r="Z95" s="69">
        <v>0.0</v>
      </c>
      <c r="AA95" s="69">
        <v>0.0</v>
      </c>
      <c r="AB95" s="69">
        <v>0.0</v>
      </c>
      <c r="AC95" s="69">
        <v>1.0</v>
      </c>
      <c r="AD95" s="69">
        <v>0.0</v>
      </c>
      <c r="AE95" s="69">
        <v>0.0</v>
      </c>
      <c r="AF95" s="69">
        <v>1.0</v>
      </c>
      <c r="AG95" s="69">
        <v>1.0</v>
      </c>
      <c r="AH95" s="69">
        <v>0.0</v>
      </c>
      <c r="AI95" s="69">
        <v>0.0</v>
      </c>
      <c r="AJ95" s="69">
        <v>0.0</v>
      </c>
      <c r="AK95" s="69">
        <v>1.0</v>
      </c>
      <c r="AL95" s="69">
        <v>1.0</v>
      </c>
      <c r="AM95" s="69">
        <v>0.0</v>
      </c>
      <c r="AN95" s="69">
        <v>0.0</v>
      </c>
      <c r="AO95" s="69">
        <v>0.0</v>
      </c>
      <c r="AP95" s="69">
        <v>0.0</v>
      </c>
      <c r="AQ95" s="69">
        <v>0.0</v>
      </c>
      <c r="AR95" s="69">
        <v>0.0</v>
      </c>
      <c r="AS95" s="69">
        <v>0.0</v>
      </c>
      <c r="AT95" s="69">
        <v>0.0</v>
      </c>
      <c r="AU95" s="69">
        <v>0.0</v>
      </c>
      <c r="AV95" s="13">
        <f t="shared" ref="AV95:AV97" si="24">SUM(E95:AU95)</f>
        <v>19</v>
      </c>
    </row>
    <row r="96" ht="12.75" customHeight="1">
      <c r="A96" s="30" t="s">
        <v>39</v>
      </c>
      <c r="B96" s="49"/>
      <c r="C96" s="50" t="s">
        <v>83</v>
      </c>
      <c r="D96" s="62"/>
      <c r="E96" s="69">
        <v>0.0</v>
      </c>
      <c r="F96" s="69">
        <v>0.0</v>
      </c>
      <c r="G96" s="69">
        <v>0.0</v>
      </c>
      <c r="H96" s="69">
        <v>0.0</v>
      </c>
      <c r="I96" s="69">
        <v>0.0</v>
      </c>
      <c r="J96" s="69">
        <v>0.0</v>
      </c>
      <c r="K96" s="69">
        <v>0.0</v>
      </c>
      <c r="L96" s="69">
        <v>0.0</v>
      </c>
      <c r="M96" s="69">
        <v>0.0</v>
      </c>
      <c r="N96" s="69">
        <v>0.0</v>
      </c>
      <c r="O96" s="69">
        <v>0.0</v>
      </c>
      <c r="P96" s="69">
        <v>0.0</v>
      </c>
      <c r="Q96" s="69">
        <v>1.0</v>
      </c>
      <c r="R96" s="69">
        <v>0.0</v>
      </c>
      <c r="S96" s="69">
        <v>0.0</v>
      </c>
      <c r="T96" s="69">
        <v>0.0</v>
      </c>
      <c r="U96" s="69">
        <v>0.0</v>
      </c>
      <c r="V96" s="69">
        <v>0.0</v>
      </c>
      <c r="W96" s="69">
        <v>0.0</v>
      </c>
      <c r="X96" s="69">
        <v>0.0</v>
      </c>
      <c r="Y96" s="69">
        <v>0.0</v>
      </c>
      <c r="Z96" s="69">
        <v>1.0</v>
      </c>
      <c r="AA96" s="69">
        <v>0.0</v>
      </c>
      <c r="AB96" s="69">
        <v>0.0</v>
      </c>
      <c r="AC96" s="69">
        <v>1.0</v>
      </c>
      <c r="AD96" s="69">
        <v>0.0</v>
      </c>
      <c r="AE96" s="69">
        <v>0.0</v>
      </c>
      <c r="AF96" s="69">
        <v>0.0</v>
      </c>
      <c r="AG96" s="69">
        <v>0.0</v>
      </c>
      <c r="AH96" s="69">
        <v>0.0</v>
      </c>
      <c r="AI96" s="69">
        <v>0.0</v>
      </c>
      <c r="AJ96" s="69">
        <v>1.0</v>
      </c>
      <c r="AK96" s="69">
        <v>0.0</v>
      </c>
      <c r="AL96" s="69">
        <v>0.0</v>
      </c>
      <c r="AM96" s="69">
        <v>0.0</v>
      </c>
      <c r="AN96" s="69">
        <v>0.0</v>
      </c>
      <c r="AO96" s="69">
        <v>0.0</v>
      </c>
      <c r="AP96" s="69">
        <v>1.0</v>
      </c>
      <c r="AQ96" s="69">
        <v>0.0</v>
      </c>
      <c r="AR96" s="69">
        <v>0.0</v>
      </c>
      <c r="AS96" s="69">
        <v>0.0</v>
      </c>
      <c r="AT96" s="69">
        <v>0.0</v>
      </c>
      <c r="AU96" s="69">
        <v>1.0</v>
      </c>
      <c r="AV96" s="13">
        <f t="shared" si="24"/>
        <v>6</v>
      </c>
    </row>
    <row r="97" ht="12.75" customHeight="1">
      <c r="A97" s="19" t="s">
        <v>15</v>
      </c>
      <c r="B97" s="47" t="s">
        <v>47</v>
      </c>
      <c r="C97" s="15"/>
      <c r="D97" s="16"/>
      <c r="E97" s="56">
        <f t="shared" ref="E97:AU97" si="25">SUM(E95:E96)</f>
        <v>0</v>
      </c>
      <c r="F97" s="56">
        <f t="shared" si="25"/>
        <v>0</v>
      </c>
      <c r="G97" s="56">
        <f t="shared" si="25"/>
        <v>0</v>
      </c>
      <c r="H97" s="56">
        <f t="shared" si="25"/>
        <v>0</v>
      </c>
      <c r="I97" s="56">
        <f t="shared" si="25"/>
        <v>0</v>
      </c>
      <c r="J97" s="56">
        <f t="shared" si="25"/>
        <v>1</v>
      </c>
      <c r="K97" s="56">
        <f t="shared" si="25"/>
        <v>0</v>
      </c>
      <c r="L97" s="56">
        <f t="shared" si="25"/>
        <v>1</v>
      </c>
      <c r="M97" s="56">
        <f t="shared" si="25"/>
        <v>0</v>
      </c>
      <c r="N97" s="56">
        <f t="shared" si="25"/>
        <v>1</v>
      </c>
      <c r="O97" s="56">
        <f t="shared" si="25"/>
        <v>1</v>
      </c>
      <c r="P97" s="56">
        <f t="shared" si="25"/>
        <v>0</v>
      </c>
      <c r="Q97" s="56">
        <f t="shared" si="25"/>
        <v>1</v>
      </c>
      <c r="R97" s="56">
        <f t="shared" si="25"/>
        <v>2</v>
      </c>
      <c r="S97" s="56">
        <f t="shared" si="25"/>
        <v>1</v>
      </c>
      <c r="T97" s="56">
        <f t="shared" si="25"/>
        <v>1</v>
      </c>
      <c r="U97" s="56">
        <f t="shared" si="25"/>
        <v>0</v>
      </c>
      <c r="V97" s="56">
        <f t="shared" si="25"/>
        <v>2</v>
      </c>
      <c r="W97" s="56">
        <f t="shared" si="25"/>
        <v>3</v>
      </c>
      <c r="X97" s="56">
        <f t="shared" si="25"/>
        <v>0</v>
      </c>
      <c r="Y97" s="56">
        <f t="shared" si="25"/>
        <v>1</v>
      </c>
      <c r="Z97" s="56">
        <f t="shared" si="25"/>
        <v>1</v>
      </c>
      <c r="AA97" s="56">
        <f t="shared" si="25"/>
        <v>0</v>
      </c>
      <c r="AB97" s="56">
        <f t="shared" si="25"/>
        <v>0</v>
      </c>
      <c r="AC97" s="56">
        <f t="shared" si="25"/>
        <v>2</v>
      </c>
      <c r="AD97" s="56">
        <f t="shared" si="25"/>
        <v>0</v>
      </c>
      <c r="AE97" s="56">
        <f t="shared" si="25"/>
        <v>0</v>
      </c>
      <c r="AF97" s="56">
        <f t="shared" si="25"/>
        <v>1</v>
      </c>
      <c r="AG97" s="56">
        <f t="shared" si="25"/>
        <v>1</v>
      </c>
      <c r="AH97" s="56">
        <f t="shared" si="25"/>
        <v>0</v>
      </c>
      <c r="AI97" s="56">
        <f t="shared" si="25"/>
        <v>0</v>
      </c>
      <c r="AJ97" s="56">
        <f t="shared" si="25"/>
        <v>1</v>
      </c>
      <c r="AK97" s="56">
        <f t="shared" si="25"/>
        <v>1</v>
      </c>
      <c r="AL97" s="56">
        <f t="shared" si="25"/>
        <v>1</v>
      </c>
      <c r="AM97" s="56">
        <f t="shared" si="25"/>
        <v>0</v>
      </c>
      <c r="AN97" s="56">
        <f t="shared" si="25"/>
        <v>0</v>
      </c>
      <c r="AO97" s="56">
        <f t="shared" si="25"/>
        <v>0</v>
      </c>
      <c r="AP97" s="56">
        <f t="shared" si="25"/>
        <v>1</v>
      </c>
      <c r="AQ97" s="56">
        <f t="shared" si="25"/>
        <v>0</v>
      </c>
      <c r="AR97" s="56">
        <f t="shared" si="25"/>
        <v>0</v>
      </c>
      <c r="AS97" s="56">
        <f t="shared" si="25"/>
        <v>0</v>
      </c>
      <c r="AT97" s="56">
        <f t="shared" si="25"/>
        <v>0</v>
      </c>
      <c r="AU97" s="56">
        <f t="shared" si="25"/>
        <v>1</v>
      </c>
      <c r="AV97" s="13">
        <f t="shared" si="24"/>
        <v>25</v>
      </c>
    </row>
    <row r="98" ht="12.75" customHeight="1">
      <c r="A98" s="57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13"/>
    </row>
    <row r="99" ht="12.75" customHeight="1">
      <c r="A99" s="30" t="s">
        <v>37</v>
      </c>
      <c r="B99" s="47" t="s">
        <v>84</v>
      </c>
      <c r="C99" s="48" t="s">
        <v>85</v>
      </c>
      <c r="D99" s="16"/>
      <c r="E99" s="69">
        <v>1.0</v>
      </c>
      <c r="F99" s="69">
        <v>0.0</v>
      </c>
      <c r="G99" s="69">
        <v>1.0</v>
      </c>
      <c r="H99" s="69">
        <v>0.0</v>
      </c>
      <c r="I99" s="69">
        <v>0.0</v>
      </c>
      <c r="J99" s="69">
        <v>1.0</v>
      </c>
      <c r="K99" s="69">
        <v>2.0</v>
      </c>
      <c r="L99" s="69">
        <v>0.0</v>
      </c>
      <c r="M99" s="69">
        <v>1.0</v>
      </c>
      <c r="N99" s="69">
        <v>2.0</v>
      </c>
      <c r="O99" s="69">
        <v>1.0</v>
      </c>
      <c r="P99" s="69">
        <v>0.0</v>
      </c>
      <c r="Q99" s="69">
        <v>1.0</v>
      </c>
      <c r="R99" s="69">
        <v>1.0</v>
      </c>
      <c r="S99" s="69">
        <v>2.0</v>
      </c>
      <c r="T99" s="69">
        <v>0.0</v>
      </c>
      <c r="U99" s="69">
        <v>3.0</v>
      </c>
      <c r="V99" s="69">
        <v>2.0</v>
      </c>
      <c r="W99" s="69">
        <v>3.0</v>
      </c>
      <c r="X99" s="69">
        <v>0.0</v>
      </c>
      <c r="Y99" s="69">
        <v>0.0</v>
      </c>
      <c r="Z99" s="69">
        <v>3.0</v>
      </c>
      <c r="AA99" s="69">
        <v>0.0</v>
      </c>
      <c r="AB99" s="69">
        <v>0.0</v>
      </c>
      <c r="AC99" s="69">
        <v>3.0</v>
      </c>
      <c r="AD99" s="69">
        <v>0.0</v>
      </c>
      <c r="AE99" s="69">
        <v>2.0</v>
      </c>
      <c r="AF99" s="69">
        <v>3.0</v>
      </c>
      <c r="AG99" s="69">
        <v>1.0</v>
      </c>
      <c r="AH99" s="69">
        <v>1.0</v>
      </c>
      <c r="AI99" s="69">
        <v>3.0</v>
      </c>
      <c r="AJ99" s="69">
        <v>0.0</v>
      </c>
      <c r="AK99" s="69">
        <v>2.0</v>
      </c>
      <c r="AL99" s="69">
        <v>1.0</v>
      </c>
      <c r="AM99" s="69">
        <v>1.0</v>
      </c>
      <c r="AN99" s="69">
        <v>3.0</v>
      </c>
      <c r="AO99" s="69">
        <v>2.0</v>
      </c>
      <c r="AP99" s="69">
        <v>0.0</v>
      </c>
      <c r="AQ99" s="69">
        <v>2.0</v>
      </c>
      <c r="AR99" s="69">
        <v>0.0</v>
      </c>
      <c r="AS99" s="69">
        <v>1.0</v>
      </c>
      <c r="AT99" s="69">
        <v>1.0</v>
      </c>
      <c r="AU99" s="69">
        <v>4.0</v>
      </c>
      <c r="AV99" s="13">
        <f t="shared" ref="AV99:AV101" si="26">SUM(E99:AU99)</f>
        <v>54</v>
      </c>
    </row>
    <row r="100" ht="12.75" customHeight="1">
      <c r="A100" s="30" t="s">
        <v>39</v>
      </c>
      <c r="B100" s="49"/>
      <c r="C100" s="50" t="s">
        <v>86</v>
      </c>
      <c r="D100" s="51"/>
      <c r="E100" s="69">
        <v>1.0</v>
      </c>
      <c r="F100" s="69">
        <v>0.0</v>
      </c>
      <c r="G100" s="69">
        <v>0.0</v>
      </c>
      <c r="H100" s="69">
        <v>0.0</v>
      </c>
      <c r="I100" s="69">
        <v>1.0</v>
      </c>
      <c r="J100" s="69">
        <v>0.0</v>
      </c>
      <c r="K100" s="69">
        <v>0.0</v>
      </c>
      <c r="L100" s="69">
        <v>0.0</v>
      </c>
      <c r="M100" s="69">
        <v>0.0</v>
      </c>
      <c r="N100" s="69">
        <v>1.0</v>
      </c>
      <c r="O100" s="69">
        <v>0.0</v>
      </c>
      <c r="P100" s="69">
        <v>0.0</v>
      </c>
      <c r="Q100" s="69">
        <v>1.0</v>
      </c>
      <c r="R100" s="69">
        <v>0.0</v>
      </c>
      <c r="S100" s="69">
        <v>1.0</v>
      </c>
      <c r="T100" s="69">
        <v>0.0</v>
      </c>
      <c r="U100" s="69">
        <v>1.0</v>
      </c>
      <c r="V100" s="69">
        <v>0.0</v>
      </c>
      <c r="W100" s="69">
        <v>0.0</v>
      </c>
      <c r="X100" s="69">
        <v>0.0</v>
      </c>
      <c r="Y100" s="69">
        <v>0.0</v>
      </c>
      <c r="Z100" s="69">
        <v>1.0</v>
      </c>
      <c r="AA100" s="69">
        <v>0.0</v>
      </c>
      <c r="AB100" s="69">
        <v>0.0</v>
      </c>
      <c r="AC100" s="69">
        <v>1.0</v>
      </c>
      <c r="AD100" s="69">
        <v>0.0</v>
      </c>
      <c r="AE100" s="69">
        <v>0.0</v>
      </c>
      <c r="AF100" s="69">
        <v>0.0</v>
      </c>
      <c r="AG100" s="69">
        <v>0.0</v>
      </c>
      <c r="AH100" s="69">
        <v>0.0</v>
      </c>
      <c r="AI100" s="69">
        <v>1.0</v>
      </c>
      <c r="AJ100" s="69">
        <v>1.0</v>
      </c>
      <c r="AK100" s="69">
        <v>0.0</v>
      </c>
      <c r="AL100" s="69">
        <v>0.0</v>
      </c>
      <c r="AM100" s="69">
        <v>0.0</v>
      </c>
      <c r="AN100" s="69">
        <v>0.0</v>
      </c>
      <c r="AO100" s="69">
        <v>1.0</v>
      </c>
      <c r="AP100" s="69">
        <v>1.0</v>
      </c>
      <c r="AQ100" s="69">
        <v>0.0</v>
      </c>
      <c r="AR100" s="69">
        <v>0.0</v>
      </c>
      <c r="AS100" s="69">
        <v>1.0</v>
      </c>
      <c r="AT100" s="69">
        <v>1.0</v>
      </c>
      <c r="AU100" s="69">
        <v>1.0</v>
      </c>
      <c r="AV100" s="13">
        <f t="shared" si="26"/>
        <v>15</v>
      </c>
    </row>
    <row r="101" ht="12.75" customHeight="1">
      <c r="A101" s="19" t="s">
        <v>15</v>
      </c>
      <c r="B101" s="47" t="s">
        <v>47</v>
      </c>
      <c r="C101" s="15"/>
      <c r="D101" s="16"/>
      <c r="E101" s="56">
        <f t="shared" ref="E101:AU101" si="27">SUM(E99:E100)</f>
        <v>2</v>
      </c>
      <c r="F101" s="56">
        <f t="shared" si="27"/>
        <v>0</v>
      </c>
      <c r="G101" s="56">
        <f t="shared" si="27"/>
        <v>1</v>
      </c>
      <c r="H101" s="56">
        <f t="shared" si="27"/>
        <v>0</v>
      </c>
      <c r="I101" s="56">
        <f t="shared" si="27"/>
        <v>1</v>
      </c>
      <c r="J101" s="56">
        <f t="shared" si="27"/>
        <v>1</v>
      </c>
      <c r="K101" s="56">
        <f t="shared" si="27"/>
        <v>2</v>
      </c>
      <c r="L101" s="56">
        <f t="shared" si="27"/>
        <v>0</v>
      </c>
      <c r="M101" s="56">
        <f t="shared" si="27"/>
        <v>1</v>
      </c>
      <c r="N101" s="56">
        <f t="shared" si="27"/>
        <v>3</v>
      </c>
      <c r="O101" s="56">
        <f t="shared" si="27"/>
        <v>1</v>
      </c>
      <c r="P101" s="56">
        <f t="shared" si="27"/>
        <v>0</v>
      </c>
      <c r="Q101" s="56">
        <f t="shared" si="27"/>
        <v>2</v>
      </c>
      <c r="R101" s="56">
        <f t="shared" si="27"/>
        <v>1</v>
      </c>
      <c r="S101" s="56">
        <f t="shared" si="27"/>
        <v>3</v>
      </c>
      <c r="T101" s="56">
        <f t="shared" si="27"/>
        <v>0</v>
      </c>
      <c r="U101" s="56">
        <f t="shared" si="27"/>
        <v>4</v>
      </c>
      <c r="V101" s="56">
        <f t="shared" si="27"/>
        <v>2</v>
      </c>
      <c r="W101" s="56">
        <f t="shared" si="27"/>
        <v>3</v>
      </c>
      <c r="X101" s="56">
        <f t="shared" si="27"/>
        <v>0</v>
      </c>
      <c r="Y101" s="56">
        <f t="shared" si="27"/>
        <v>0</v>
      </c>
      <c r="Z101" s="56">
        <f t="shared" si="27"/>
        <v>4</v>
      </c>
      <c r="AA101" s="56">
        <f t="shared" si="27"/>
        <v>0</v>
      </c>
      <c r="AB101" s="56">
        <f t="shared" si="27"/>
        <v>0</v>
      </c>
      <c r="AC101" s="56">
        <f t="shared" si="27"/>
        <v>4</v>
      </c>
      <c r="AD101" s="56">
        <f t="shared" si="27"/>
        <v>0</v>
      </c>
      <c r="AE101" s="56">
        <f t="shared" si="27"/>
        <v>2</v>
      </c>
      <c r="AF101" s="56">
        <f t="shared" si="27"/>
        <v>3</v>
      </c>
      <c r="AG101" s="56">
        <f t="shared" si="27"/>
        <v>1</v>
      </c>
      <c r="AH101" s="56">
        <f t="shared" si="27"/>
        <v>1</v>
      </c>
      <c r="AI101" s="56">
        <f t="shared" si="27"/>
        <v>4</v>
      </c>
      <c r="AJ101" s="56">
        <f t="shared" si="27"/>
        <v>1</v>
      </c>
      <c r="AK101" s="56">
        <f t="shared" si="27"/>
        <v>2</v>
      </c>
      <c r="AL101" s="56">
        <f t="shared" si="27"/>
        <v>1</v>
      </c>
      <c r="AM101" s="56">
        <f t="shared" si="27"/>
        <v>1</v>
      </c>
      <c r="AN101" s="56">
        <f t="shared" si="27"/>
        <v>3</v>
      </c>
      <c r="AO101" s="56">
        <f t="shared" si="27"/>
        <v>3</v>
      </c>
      <c r="AP101" s="56">
        <f t="shared" si="27"/>
        <v>1</v>
      </c>
      <c r="AQ101" s="56">
        <f t="shared" si="27"/>
        <v>2</v>
      </c>
      <c r="AR101" s="56">
        <f t="shared" si="27"/>
        <v>0</v>
      </c>
      <c r="AS101" s="56">
        <f t="shared" si="27"/>
        <v>2</v>
      </c>
      <c r="AT101" s="56">
        <f t="shared" si="27"/>
        <v>2</v>
      </c>
      <c r="AU101" s="56">
        <f t="shared" si="27"/>
        <v>5</v>
      </c>
      <c r="AV101" s="13">
        <f t="shared" si="26"/>
        <v>69</v>
      </c>
    </row>
    <row r="102" ht="12.75" customHeight="1">
      <c r="A102" s="57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13"/>
    </row>
    <row r="103" ht="15.0" customHeight="1">
      <c r="A103" s="30" t="s">
        <v>37</v>
      </c>
      <c r="B103" s="47" t="s">
        <v>87</v>
      </c>
      <c r="C103" s="48" t="s">
        <v>88</v>
      </c>
      <c r="D103" s="16"/>
      <c r="E103" s="69">
        <v>0.0</v>
      </c>
      <c r="F103" s="69">
        <v>0.0</v>
      </c>
      <c r="G103" s="69">
        <v>0.0</v>
      </c>
      <c r="H103" s="69">
        <v>0.0</v>
      </c>
      <c r="I103" s="69">
        <v>0.0</v>
      </c>
      <c r="J103" s="69">
        <v>1.0</v>
      </c>
      <c r="K103" s="69">
        <v>0.0</v>
      </c>
      <c r="L103" s="69">
        <v>1.0</v>
      </c>
      <c r="M103" s="69">
        <v>0.0</v>
      </c>
      <c r="N103" s="69">
        <v>0.0</v>
      </c>
      <c r="O103" s="69">
        <v>0.0</v>
      </c>
      <c r="P103" s="69">
        <v>1.0</v>
      </c>
      <c r="Q103" s="69">
        <v>0.0</v>
      </c>
      <c r="R103" s="69">
        <v>0.0</v>
      </c>
      <c r="S103" s="69">
        <v>0.0</v>
      </c>
      <c r="T103" s="69">
        <v>0.0</v>
      </c>
      <c r="U103" s="69">
        <v>0.0</v>
      </c>
      <c r="V103" s="69">
        <v>0.0</v>
      </c>
      <c r="W103" s="69">
        <v>3.0</v>
      </c>
      <c r="X103" s="69">
        <v>0.0</v>
      </c>
      <c r="Y103" s="69">
        <v>0.0</v>
      </c>
      <c r="Z103" s="69">
        <v>2.0</v>
      </c>
      <c r="AA103" s="69">
        <v>0.0</v>
      </c>
      <c r="AB103" s="69">
        <v>0.0</v>
      </c>
      <c r="AC103" s="69">
        <v>0.0</v>
      </c>
      <c r="AD103" s="69">
        <v>0.0</v>
      </c>
      <c r="AE103" s="69">
        <v>0.0</v>
      </c>
      <c r="AF103" s="69">
        <v>0.0</v>
      </c>
      <c r="AG103" s="69">
        <v>0.0</v>
      </c>
      <c r="AH103" s="69">
        <v>0.0</v>
      </c>
      <c r="AI103" s="69">
        <v>1.0</v>
      </c>
      <c r="AJ103" s="69">
        <v>1.0</v>
      </c>
      <c r="AK103" s="69">
        <v>0.0</v>
      </c>
      <c r="AL103" s="69">
        <v>0.0</v>
      </c>
      <c r="AM103" s="69">
        <v>0.0</v>
      </c>
      <c r="AN103" s="69">
        <v>0.0</v>
      </c>
      <c r="AO103" s="69">
        <v>0.0</v>
      </c>
      <c r="AP103" s="69">
        <v>0.0</v>
      </c>
      <c r="AQ103" s="69">
        <v>0.0</v>
      </c>
      <c r="AR103" s="69">
        <v>0.0</v>
      </c>
      <c r="AS103" s="69">
        <v>0.0</v>
      </c>
      <c r="AT103" s="69">
        <v>1.0</v>
      </c>
      <c r="AU103" s="69">
        <v>0.0</v>
      </c>
      <c r="AV103" s="13">
        <f t="shared" ref="AV103:AV111" si="28">SUM(E103:AU103)</f>
        <v>11</v>
      </c>
    </row>
    <row r="104" ht="12.75" customHeight="1">
      <c r="A104" s="30" t="s">
        <v>39</v>
      </c>
      <c r="B104" s="49"/>
      <c r="C104" s="50" t="s">
        <v>89</v>
      </c>
      <c r="D104" s="51"/>
      <c r="E104" s="69">
        <v>1.0</v>
      </c>
      <c r="F104" s="69">
        <v>1.0</v>
      </c>
      <c r="G104" s="69">
        <v>1.0</v>
      </c>
      <c r="H104" s="69">
        <v>0.0</v>
      </c>
      <c r="I104" s="69">
        <v>2.0</v>
      </c>
      <c r="J104" s="69">
        <v>2.0</v>
      </c>
      <c r="K104" s="69">
        <v>0.0</v>
      </c>
      <c r="L104" s="69">
        <v>5.0</v>
      </c>
      <c r="M104" s="69">
        <v>2.0</v>
      </c>
      <c r="N104" s="69">
        <v>3.0</v>
      </c>
      <c r="O104" s="69">
        <v>3.0</v>
      </c>
      <c r="P104" s="69">
        <v>0.0</v>
      </c>
      <c r="Q104" s="69">
        <v>2.0</v>
      </c>
      <c r="R104" s="69">
        <v>0.0</v>
      </c>
      <c r="S104" s="69">
        <v>1.0</v>
      </c>
      <c r="T104" s="69">
        <v>1.0</v>
      </c>
      <c r="U104" s="69">
        <v>0.0</v>
      </c>
      <c r="V104" s="69">
        <v>0.0</v>
      </c>
      <c r="W104" s="69">
        <v>9.0</v>
      </c>
      <c r="X104" s="69">
        <v>1.0</v>
      </c>
      <c r="Y104" s="69">
        <v>0.0</v>
      </c>
      <c r="Z104" s="69">
        <v>1.0</v>
      </c>
      <c r="AA104" s="69">
        <v>1.0</v>
      </c>
      <c r="AB104" s="69">
        <v>2.0</v>
      </c>
      <c r="AC104" s="69">
        <v>3.0</v>
      </c>
      <c r="AD104" s="69">
        <v>0.0</v>
      </c>
      <c r="AE104" s="69">
        <v>0.0</v>
      </c>
      <c r="AF104" s="69">
        <v>0.0</v>
      </c>
      <c r="AG104" s="69">
        <v>0.0</v>
      </c>
      <c r="AH104" s="69">
        <v>0.0</v>
      </c>
      <c r="AI104" s="69">
        <v>0.0</v>
      </c>
      <c r="AJ104" s="69">
        <v>0.0</v>
      </c>
      <c r="AK104" s="69">
        <v>0.0</v>
      </c>
      <c r="AL104" s="69">
        <v>0.0</v>
      </c>
      <c r="AM104" s="69">
        <v>0.0</v>
      </c>
      <c r="AN104" s="69">
        <v>0.0</v>
      </c>
      <c r="AO104" s="69">
        <v>0.0</v>
      </c>
      <c r="AP104" s="69">
        <v>0.0</v>
      </c>
      <c r="AQ104" s="69">
        <v>3.0</v>
      </c>
      <c r="AR104" s="69">
        <v>1.0</v>
      </c>
      <c r="AS104" s="69">
        <v>0.0</v>
      </c>
      <c r="AT104" s="69">
        <v>2.0</v>
      </c>
      <c r="AU104" s="69">
        <v>1.0</v>
      </c>
      <c r="AV104" s="13">
        <f t="shared" si="28"/>
        <v>48</v>
      </c>
    </row>
    <row r="105" ht="12.75" customHeight="1">
      <c r="A105" s="18"/>
      <c r="B105" s="49"/>
      <c r="C105" s="50" t="s">
        <v>90</v>
      </c>
      <c r="D105" s="51"/>
      <c r="E105" s="69">
        <v>0.0</v>
      </c>
      <c r="F105" s="69">
        <v>0.0</v>
      </c>
      <c r="G105" s="69">
        <v>1.0</v>
      </c>
      <c r="H105" s="69">
        <v>0.0</v>
      </c>
      <c r="I105" s="69">
        <v>0.0</v>
      </c>
      <c r="J105" s="69">
        <v>0.0</v>
      </c>
      <c r="K105" s="69">
        <v>1.0</v>
      </c>
      <c r="L105" s="69">
        <v>0.0</v>
      </c>
      <c r="M105" s="69">
        <v>0.0</v>
      </c>
      <c r="N105" s="69">
        <v>0.0</v>
      </c>
      <c r="O105" s="69">
        <v>0.0</v>
      </c>
      <c r="P105" s="69">
        <v>0.0</v>
      </c>
      <c r="Q105" s="69">
        <v>0.0</v>
      </c>
      <c r="R105" s="69">
        <v>0.0</v>
      </c>
      <c r="S105" s="69">
        <v>0.0</v>
      </c>
      <c r="T105" s="69">
        <v>0.0</v>
      </c>
      <c r="U105" s="69">
        <v>0.0</v>
      </c>
      <c r="V105" s="69">
        <v>0.0</v>
      </c>
      <c r="W105" s="69">
        <v>0.0</v>
      </c>
      <c r="X105" s="69">
        <v>0.0</v>
      </c>
      <c r="Y105" s="69">
        <v>0.0</v>
      </c>
      <c r="Z105" s="69">
        <v>1.0</v>
      </c>
      <c r="AA105" s="69">
        <v>0.0</v>
      </c>
      <c r="AB105" s="69">
        <v>0.0</v>
      </c>
      <c r="AC105" s="69">
        <v>0.0</v>
      </c>
      <c r="AD105" s="69">
        <v>0.0</v>
      </c>
      <c r="AE105" s="69">
        <v>0.0</v>
      </c>
      <c r="AF105" s="69">
        <v>0.0</v>
      </c>
      <c r="AG105" s="69">
        <v>0.0</v>
      </c>
      <c r="AH105" s="69">
        <v>0.0</v>
      </c>
      <c r="AI105" s="69">
        <v>0.0</v>
      </c>
      <c r="AJ105" s="69">
        <v>0.0</v>
      </c>
      <c r="AK105" s="69">
        <v>2.0</v>
      </c>
      <c r="AL105" s="69">
        <v>0.0</v>
      </c>
      <c r="AM105" s="69">
        <v>0.0</v>
      </c>
      <c r="AN105" s="69">
        <v>1.0</v>
      </c>
      <c r="AO105" s="69">
        <v>0.0</v>
      </c>
      <c r="AP105" s="69">
        <v>0.0</v>
      </c>
      <c r="AQ105" s="69">
        <v>0.0</v>
      </c>
      <c r="AR105" s="69">
        <v>0.0</v>
      </c>
      <c r="AS105" s="69">
        <v>0.0</v>
      </c>
      <c r="AT105" s="69">
        <v>1.0</v>
      </c>
      <c r="AU105" s="69">
        <v>0.0</v>
      </c>
      <c r="AV105" s="13">
        <f t="shared" si="28"/>
        <v>7</v>
      </c>
    </row>
    <row r="106" ht="12.75" customHeight="1">
      <c r="A106" s="18"/>
      <c r="B106" s="49"/>
      <c r="C106" s="50" t="s">
        <v>91</v>
      </c>
      <c r="D106" s="51"/>
      <c r="E106" s="69">
        <v>0.0</v>
      </c>
      <c r="F106" s="69">
        <v>0.0</v>
      </c>
      <c r="G106" s="69">
        <v>0.0</v>
      </c>
      <c r="H106" s="69">
        <v>0.0</v>
      </c>
      <c r="I106" s="69">
        <v>0.0</v>
      </c>
      <c r="J106" s="69">
        <v>0.0</v>
      </c>
      <c r="K106" s="69">
        <v>0.0</v>
      </c>
      <c r="L106" s="69">
        <v>2.0</v>
      </c>
      <c r="M106" s="69">
        <v>0.0</v>
      </c>
      <c r="N106" s="69">
        <v>0.0</v>
      </c>
      <c r="O106" s="69">
        <v>0.0</v>
      </c>
      <c r="P106" s="69">
        <v>0.0</v>
      </c>
      <c r="Q106" s="69">
        <v>0.0</v>
      </c>
      <c r="R106" s="69">
        <v>0.0</v>
      </c>
      <c r="S106" s="69">
        <v>0.0</v>
      </c>
      <c r="T106" s="69">
        <v>0.0</v>
      </c>
      <c r="U106" s="69">
        <v>0.0</v>
      </c>
      <c r="V106" s="69">
        <v>1.0</v>
      </c>
      <c r="W106" s="69">
        <v>0.0</v>
      </c>
      <c r="X106" s="69">
        <v>0.0</v>
      </c>
      <c r="Y106" s="69">
        <v>0.0</v>
      </c>
      <c r="Z106" s="69">
        <v>0.0</v>
      </c>
      <c r="AA106" s="69">
        <v>0.0</v>
      </c>
      <c r="AB106" s="69">
        <v>0.0</v>
      </c>
      <c r="AC106" s="69">
        <v>0.0</v>
      </c>
      <c r="AD106" s="69">
        <v>0.0</v>
      </c>
      <c r="AE106" s="69">
        <v>0.0</v>
      </c>
      <c r="AF106" s="69">
        <v>0.0</v>
      </c>
      <c r="AG106" s="69">
        <v>1.0</v>
      </c>
      <c r="AH106" s="69">
        <v>0.0</v>
      </c>
      <c r="AI106" s="69">
        <v>0.0</v>
      </c>
      <c r="AJ106" s="69">
        <v>0.0</v>
      </c>
      <c r="AK106" s="69">
        <v>0.0</v>
      </c>
      <c r="AL106" s="69">
        <v>0.0</v>
      </c>
      <c r="AM106" s="69">
        <v>0.0</v>
      </c>
      <c r="AN106" s="69">
        <v>0.0</v>
      </c>
      <c r="AO106" s="69">
        <v>0.0</v>
      </c>
      <c r="AP106" s="69">
        <v>0.0</v>
      </c>
      <c r="AQ106" s="69">
        <v>0.0</v>
      </c>
      <c r="AR106" s="69">
        <v>0.0</v>
      </c>
      <c r="AS106" s="69">
        <v>0.0</v>
      </c>
      <c r="AT106" s="69">
        <v>0.0</v>
      </c>
      <c r="AU106" s="69">
        <v>0.0</v>
      </c>
      <c r="AV106" s="13">
        <f t="shared" si="28"/>
        <v>4</v>
      </c>
    </row>
    <row r="107" ht="12.75" customHeight="1">
      <c r="A107" s="18"/>
      <c r="B107" s="49"/>
      <c r="C107" s="50" t="s">
        <v>92</v>
      </c>
      <c r="D107" s="51"/>
      <c r="E107" s="69">
        <v>0.0</v>
      </c>
      <c r="F107" s="69">
        <v>0.0</v>
      </c>
      <c r="G107" s="69">
        <v>0.0</v>
      </c>
      <c r="H107" s="69">
        <v>0.0</v>
      </c>
      <c r="I107" s="69">
        <v>0.0</v>
      </c>
      <c r="J107" s="69">
        <v>0.0</v>
      </c>
      <c r="K107" s="69">
        <v>0.0</v>
      </c>
      <c r="L107" s="69">
        <v>0.0</v>
      </c>
      <c r="M107" s="69">
        <v>0.0</v>
      </c>
      <c r="N107" s="69">
        <v>0.0</v>
      </c>
      <c r="O107" s="69">
        <v>0.0</v>
      </c>
      <c r="P107" s="69">
        <v>0.0</v>
      </c>
      <c r="Q107" s="69">
        <v>0.0</v>
      </c>
      <c r="R107" s="69">
        <v>0.0</v>
      </c>
      <c r="S107" s="69">
        <v>0.0</v>
      </c>
      <c r="T107" s="69">
        <v>0.0</v>
      </c>
      <c r="U107" s="69">
        <v>0.0</v>
      </c>
      <c r="V107" s="69">
        <v>0.0</v>
      </c>
      <c r="W107" s="69">
        <v>0.0</v>
      </c>
      <c r="X107" s="69">
        <v>0.0</v>
      </c>
      <c r="Y107" s="69">
        <v>0.0</v>
      </c>
      <c r="Z107" s="69">
        <v>0.0</v>
      </c>
      <c r="AA107" s="69">
        <v>0.0</v>
      </c>
      <c r="AB107" s="69">
        <v>0.0</v>
      </c>
      <c r="AC107" s="69">
        <v>0.0</v>
      </c>
      <c r="AD107" s="69">
        <v>0.0</v>
      </c>
      <c r="AE107" s="69">
        <v>1.0</v>
      </c>
      <c r="AF107" s="69">
        <v>0.0</v>
      </c>
      <c r="AG107" s="69">
        <v>0.0</v>
      </c>
      <c r="AH107" s="69">
        <v>0.0</v>
      </c>
      <c r="AI107" s="69">
        <v>0.0</v>
      </c>
      <c r="AJ107" s="69">
        <v>0.0</v>
      </c>
      <c r="AK107" s="69">
        <v>0.0</v>
      </c>
      <c r="AL107" s="69">
        <v>0.0</v>
      </c>
      <c r="AM107" s="69">
        <v>0.0</v>
      </c>
      <c r="AN107" s="69">
        <v>0.0</v>
      </c>
      <c r="AO107" s="69">
        <v>0.0</v>
      </c>
      <c r="AP107" s="69">
        <v>0.0</v>
      </c>
      <c r="AQ107" s="69">
        <v>0.0</v>
      </c>
      <c r="AR107" s="69">
        <v>0.0</v>
      </c>
      <c r="AS107" s="69">
        <v>0.0</v>
      </c>
      <c r="AT107" s="69">
        <v>0.0</v>
      </c>
      <c r="AU107" s="69">
        <v>0.0</v>
      </c>
      <c r="AV107" s="13">
        <f t="shared" si="28"/>
        <v>1</v>
      </c>
    </row>
    <row r="108" ht="12.75" customHeight="1">
      <c r="A108" s="18"/>
      <c r="B108" s="49"/>
      <c r="C108" s="50" t="s">
        <v>93</v>
      </c>
      <c r="D108" s="51"/>
      <c r="E108" s="69">
        <v>0.0</v>
      </c>
      <c r="F108" s="69">
        <v>0.0</v>
      </c>
      <c r="G108" s="69">
        <v>0.0</v>
      </c>
      <c r="H108" s="69">
        <v>0.0</v>
      </c>
      <c r="I108" s="69">
        <v>0.0</v>
      </c>
      <c r="J108" s="69">
        <v>0.0</v>
      </c>
      <c r="K108" s="69">
        <v>0.0</v>
      </c>
      <c r="L108" s="69">
        <v>0.0</v>
      </c>
      <c r="M108" s="69">
        <v>0.0</v>
      </c>
      <c r="N108" s="69">
        <v>0.0</v>
      </c>
      <c r="O108" s="69">
        <v>0.0</v>
      </c>
      <c r="P108" s="69">
        <v>0.0</v>
      </c>
      <c r="Q108" s="69">
        <v>0.0</v>
      </c>
      <c r="R108" s="69">
        <v>0.0</v>
      </c>
      <c r="S108" s="69">
        <v>0.0</v>
      </c>
      <c r="T108" s="69">
        <v>0.0</v>
      </c>
      <c r="U108" s="69">
        <v>0.0</v>
      </c>
      <c r="V108" s="69">
        <v>0.0</v>
      </c>
      <c r="W108" s="69">
        <v>0.0</v>
      </c>
      <c r="X108" s="69">
        <v>0.0</v>
      </c>
      <c r="Y108" s="69">
        <v>0.0</v>
      </c>
      <c r="Z108" s="69">
        <v>0.0</v>
      </c>
      <c r="AA108" s="69">
        <v>0.0</v>
      </c>
      <c r="AB108" s="69">
        <v>0.0</v>
      </c>
      <c r="AC108" s="69">
        <v>0.0</v>
      </c>
      <c r="AD108" s="69">
        <v>0.0</v>
      </c>
      <c r="AE108" s="69">
        <v>0.0</v>
      </c>
      <c r="AF108" s="69">
        <v>0.0</v>
      </c>
      <c r="AG108" s="69">
        <v>0.0</v>
      </c>
      <c r="AH108" s="69">
        <v>0.0</v>
      </c>
      <c r="AI108" s="69">
        <v>0.0</v>
      </c>
      <c r="AJ108" s="69">
        <v>0.0</v>
      </c>
      <c r="AK108" s="69">
        <v>0.0</v>
      </c>
      <c r="AL108" s="69">
        <v>0.0</v>
      </c>
      <c r="AM108" s="69">
        <v>0.0</v>
      </c>
      <c r="AN108" s="69">
        <v>0.0</v>
      </c>
      <c r="AO108" s="69">
        <v>0.0</v>
      </c>
      <c r="AP108" s="69">
        <v>0.0</v>
      </c>
      <c r="AQ108" s="69">
        <v>0.0</v>
      </c>
      <c r="AR108" s="69">
        <v>0.0</v>
      </c>
      <c r="AS108" s="69">
        <v>0.0</v>
      </c>
      <c r="AT108" s="69">
        <v>0.0</v>
      </c>
      <c r="AU108" s="69">
        <v>0.0</v>
      </c>
      <c r="AV108" s="13">
        <f t="shared" si="28"/>
        <v>0</v>
      </c>
    </row>
    <row r="109" ht="12.75" customHeight="1">
      <c r="A109" s="18"/>
      <c r="B109" s="49"/>
      <c r="C109" s="50" t="s">
        <v>94</v>
      </c>
      <c r="D109" s="51"/>
      <c r="E109" s="69">
        <v>0.0</v>
      </c>
      <c r="F109" s="69">
        <v>0.0</v>
      </c>
      <c r="G109" s="69">
        <v>0.0</v>
      </c>
      <c r="H109" s="69">
        <v>0.0</v>
      </c>
      <c r="I109" s="69">
        <v>0.0</v>
      </c>
      <c r="J109" s="69">
        <v>0.0</v>
      </c>
      <c r="K109" s="69">
        <v>0.0</v>
      </c>
      <c r="L109" s="69">
        <v>0.0</v>
      </c>
      <c r="M109" s="69">
        <v>0.0</v>
      </c>
      <c r="N109" s="69">
        <v>0.0</v>
      </c>
      <c r="O109" s="69">
        <v>0.0</v>
      </c>
      <c r="P109" s="69">
        <v>0.0</v>
      </c>
      <c r="Q109" s="69">
        <v>0.0</v>
      </c>
      <c r="R109" s="69">
        <v>0.0</v>
      </c>
      <c r="S109" s="69">
        <v>0.0</v>
      </c>
      <c r="T109" s="69">
        <v>0.0</v>
      </c>
      <c r="U109" s="69">
        <v>0.0</v>
      </c>
      <c r="V109" s="69">
        <v>0.0</v>
      </c>
      <c r="W109" s="69">
        <v>0.0</v>
      </c>
      <c r="X109" s="69">
        <v>0.0</v>
      </c>
      <c r="Y109" s="69">
        <v>0.0</v>
      </c>
      <c r="Z109" s="69">
        <v>0.0</v>
      </c>
      <c r="AA109" s="69">
        <v>0.0</v>
      </c>
      <c r="AB109" s="69">
        <v>0.0</v>
      </c>
      <c r="AC109" s="69">
        <v>0.0</v>
      </c>
      <c r="AD109" s="69">
        <v>0.0</v>
      </c>
      <c r="AE109" s="69">
        <v>0.0</v>
      </c>
      <c r="AF109" s="69">
        <v>0.0</v>
      </c>
      <c r="AG109" s="69">
        <v>0.0</v>
      </c>
      <c r="AH109" s="69">
        <v>0.0</v>
      </c>
      <c r="AI109" s="69">
        <v>0.0</v>
      </c>
      <c r="AJ109" s="69">
        <v>0.0</v>
      </c>
      <c r="AK109" s="69">
        <v>0.0</v>
      </c>
      <c r="AL109" s="69">
        <v>0.0</v>
      </c>
      <c r="AM109" s="69">
        <v>0.0</v>
      </c>
      <c r="AN109" s="69">
        <v>0.0</v>
      </c>
      <c r="AO109" s="69">
        <v>0.0</v>
      </c>
      <c r="AP109" s="69">
        <v>0.0</v>
      </c>
      <c r="AQ109" s="69">
        <v>0.0</v>
      </c>
      <c r="AR109" s="69">
        <v>0.0</v>
      </c>
      <c r="AS109" s="69">
        <v>0.0</v>
      </c>
      <c r="AT109" s="69">
        <v>0.0</v>
      </c>
      <c r="AU109" s="69">
        <v>0.0</v>
      </c>
      <c r="AV109" s="13">
        <f t="shared" si="28"/>
        <v>0</v>
      </c>
    </row>
    <row r="110" ht="12.75" customHeight="1">
      <c r="A110" s="18"/>
      <c r="B110" s="49"/>
      <c r="C110" s="50" t="s">
        <v>95</v>
      </c>
      <c r="D110" s="51"/>
      <c r="E110" s="69">
        <v>0.0</v>
      </c>
      <c r="F110" s="69">
        <v>0.0</v>
      </c>
      <c r="G110" s="69">
        <v>0.0</v>
      </c>
      <c r="H110" s="69">
        <v>0.0</v>
      </c>
      <c r="I110" s="69">
        <v>0.0</v>
      </c>
      <c r="J110" s="69">
        <v>0.0</v>
      </c>
      <c r="K110" s="69">
        <v>0.0</v>
      </c>
      <c r="L110" s="69">
        <v>0.0</v>
      </c>
      <c r="M110" s="69">
        <v>0.0</v>
      </c>
      <c r="N110" s="69">
        <v>0.0</v>
      </c>
      <c r="O110" s="69">
        <v>0.0</v>
      </c>
      <c r="P110" s="69">
        <v>0.0</v>
      </c>
      <c r="Q110" s="69">
        <v>0.0</v>
      </c>
      <c r="R110" s="69">
        <v>0.0</v>
      </c>
      <c r="S110" s="69">
        <v>0.0</v>
      </c>
      <c r="T110" s="69">
        <v>0.0</v>
      </c>
      <c r="U110" s="69">
        <v>0.0</v>
      </c>
      <c r="V110" s="69">
        <v>0.0</v>
      </c>
      <c r="W110" s="69">
        <v>0.0</v>
      </c>
      <c r="X110" s="69">
        <v>0.0</v>
      </c>
      <c r="Y110" s="69">
        <v>0.0</v>
      </c>
      <c r="Z110" s="69">
        <v>0.0</v>
      </c>
      <c r="AA110" s="69">
        <v>0.0</v>
      </c>
      <c r="AB110" s="69">
        <v>0.0</v>
      </c>
      <c r="AC110" s="69">
        <v>0.0</v>
      </c>
      <c r="AD110" s="69">
        <v>0.0</v>
      </c>
      <c r="AE110" s="69">
        <v>0.0</v>
      </c>
      <c r="AF110" s="69">
        <v>0.0</v>
      </c>
      <c r="AG110" s="69">
        <v>0.0</v>
      </c>
      <c r="AH110" s="69">
        <v>0.0</v>
      </c>
      <c r="AI110" s="69">
        <v>0.0</v>
      </c>
      <c r="AJ110" s="69">
        <v>0.0</v>
      </c>
      <c r="AK110" s="69">
        <v>0.0</v>
      </c>
      <c r="AL110" s="69">
        <v>0.0</v>
      </c>
      <c r="AM110" s="69">
        <v>0.0</v>
      </c>
      <c r="AN110" s="69">
        <v>0.0</v>
      </c>
      <c r="AO110" s="69">
        <v>0.0</v>
      </c>
      <c r="AP110" s="69">
        <v>0.0</v>
      </c>
      <c r="AQ110" s="69">
        <v>0.0</v>
      </c>
      <c r="AR110" s="69">
        <v>0.0</v>
      </c>
      <c r="AS110" s="69">
        <v>0.0</v>
      </c>
      <c r="AT110" s="69">
        <v>0.0</v>
      </c>
      <c r="AU110" s="69">
        <v>0.0</v>
      </c>
      <c r="AV110" s="13">
        <f t="shared" si="28"/>
        <v>0</v>
      </c>
    </row>
    <row r="111" ht="12.75" customHeight="1">
      <c r="A111" s="19" t="s">
        <v>15</v>
      </c>
      <c r="B111" s="47" t="s">
        <v>47</v>
      </c>
      <c r="C111" s="15"/>
      <c r="D111" s="16"/>
      <c r="E111" s="56">
        <f t="shared" ref="E111:AU111" si="29">SUM(E103:E110)</f>
        <v>1</v>
      </c>
      <c r="F111" s="56">
        <f t="shared" si="29"/>
        <v>1</v>
      </c>
      <c r="G111" s="56">
        <f t="shared" si="29"/>
        <v>2</v>
      </c>
      <c r="H111" s="56">
        <f t="shared" si="29"/>
        <v>0</v>
      </c>
      <c r="I111" s="56">
        <f t="shared" si="29"/>
        <v>2</v>
      </c>
      <c r="J111" s="56">
        <f t="shared" si="29"/>
        <v>3</v>
      </c>
      <c r="K111" s="56">
        <f t="shared" si="29"/>
        <v>1</v>
      </c>
      <c r="L111" s="56">
        <f t="shared" si="29"/>
        <v>8</v>
      </c>
      <c r="M111" s="56">
        <f t="shared" si="29"/>
        <v>2</v>
      </c>
      <c r="N111" s="56">
        <f t="shared" si="29"/>
        <v>3</v>
      </c>
      <c r="O111" s="56">
        <f t="shared" si="29"/>
        <v>3</v>
      </c>
      <c r="P111" s="56">
        <f t="shared" si="29"/>
        <v>1</v>
      </c>
      <c r="Q111" s="56">
        <f t="shared" si="29"/>
        <v>2</v>
      </c>
      <c r="R111" s="56">
        <f t="shared" si="29"/>
        <v>0</v>
      </c>
      <c r="S111" s="56">
        <f t="shared" si="29"/>
        <v>1</v>
      </c>
      <c r="T111" s="56">
        <f t="shared" si="29"/>
        <v>1</v>
      </c>
      <c r="U111" s="56">
        <f t="shared" si="29"/>
        <v>0</v>
      </c>
      <c r="V111" s="56">
        <f t="shared" si="29"/>
        <v>1</v>
      </c>
      <c r="W111" s="56">
        <f t="shared" si="29"/>
        <v>12</v>
      </c>
      <c r="X111" s="56">
        <f t="shared" si="29"/>
        <v>1</v>
      </c>
      <c r="Y111" s="56">
        <f t="shared" si="29"/>
        <v>0</v>
      </c>
      <c r="Z111" s="56">
        <f t="shared" si="29"/>
        <v>4</v>
      </c>
      <c r="AA111" s="56">
        <f t="shared" si="29"/>
        <v>1</v>
      </c>
      <c r="AB111" s="56">
        <f t="shared" si="29"/>
        <v>2</v>
      </c>
      <c r="AC111" s="56">
        <f t="shared" si="29"/>
        <v>3</v>
      </c>
      <c r="AD111" s="56">
        <f t="shared" si="29"/>
        <v>0</v>
      </c>
      <c r="AE111" s="56">
        <f t="shared" si="29"/>
        <v>1</v>
      </c>
      <c r="AF111" s="56">
        <f t="shared" si="29"/>
        <v>0</v>
      </c>
      <c r="AG111" s="56">
        <f t="shared" si="29"/>
        <v>1</v>
      </c>
      <c r="AH111" s="56">
        <f t="shared" si="29"/>
        <v>0</v>
      </c>
      <c r="AI111" s="56">
        <f t="shared" si="29"/>
        <v>1</v>
      </c>
      <c r="AJ111" s="56">
        <f t="shared" si="29"/>
        <v>1</v>
      </c>
      <c r="AK111" s="56">
        <f t="shared" si="29"/>
        <v>2</v>
      </c>
      <c r="AL111" s="56">
        <f t="shared" si="29"/>
        <v>0</v>
      </c>
      <c r="AM111" s="56">
        <f t="shared" si="29"/>
        <v>0</v>
      </c>
      <c r="AN111" s="56">
        <f t="shared" si="29"/>
        <v>1</v>
      </c>
      <c r="AO111" s="56">
        <f t="shared" si="29"/>
        <v>0</v>
      </c>
      <c r="AP111" s="56">
        <f t="shared" si="29"/>
        <v>0</v>
      </c>
      <c r="AQ111" s="56">
        <f t="shared" si="29"/>
        <v>3</v>
      </c>
      <c r="AR111" s="56">
        <f t="shared" si="29"/>
        <v>1</v>
      </c>
      <c r="AS111" s="56">
        <f t="shared" si="29"/>
        <v>0</v>
      </c>
      <c r="AT111" s="56">
        <f t="shared" si="29"/>
        <v>4</v>
      </c>
      <c r="AU111" s="56">
        <f t="shared" si="29"/>
        <v>1</v>
      </c>
      <c r="AV111" s="13">
        <f t="shared" si="28"/>
        <v>71</v>
      </c>
    </row>
    <row r="112" ht="12.75" customHeight="1">
      <c r="A112" s="57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13"/>
    </row>
    <row r="113" ht="12.75" customHeight="1">
      <c r="A113" s="30" t="s">
        <v>37</v>
      </c>
      <c r="B113" s="47" t="s">
        <v>96</v>
      </c>
      <c r="C113" s="48" t="s">
        <v>97</v>
      </c>
      <c r="D113" s="16"/>
      <c r="E113" s="69">
        <v>0.0</v>
      </c>
      <c r="F113" s="69">
        <v>0.0</v>
      </c>
      <c r="G113" s="69">
        <v>0.0</v>
      </c>
      <c r="H113" s="69">
        <v>0.0</v>
      </c>
      <c r="I113" s="69">
        <v>0.0</v>
      </c>
      <c r="J113" s="69">
        <v>0.0</v>
      </c>
      <c r="K113" s="69">
        <v>0.0</v>
      </c>
      <c r="L113" s="69">
        <v>0.0</v>
      </c>
      <c r="M113" s="69">
        <v>0.0</v>
      </c>
      <c r="N113" s="69">
        <v>0.0</v>
      </c>
      <c r="O113" s="69">
        <v>1.0</v>
      </c>
      <c r="P113" s="69">
        <v>0.0</v>
      </c>
      <c r="Q113" s="69">
        <v>0.0</v>
      </c>
      <c r="R113" s="69">
        <v>0.0</v>
      </c>
      <c r="S113" s="69">
        <v>0.0</v>
      </c>
      <c r="T113" s="69">
        <v>0.0</v>
      </c>
      <c r="U113" s="69">
        <v>0.0</v>
      </c>
      <c r="V113" s="69">
        <v>0.0</v>
      </c>
      <c r="W113" s="69">
        <v>0.0</v>
      </c>
      <c r="X113" s="69">
        <v>0.0</v>
      </c>
      <c r="Y113" s="69">
        <v>0.0</v>
      </c>
      <c r="Z113" s="69">
        <v>0.0</v>
      </c>
      <c r="AA113" s="69">
        <v>0.0</v>
      </c>
      <c r="AB113" s="69">
        <v>0.0</v>
      </c>
      <c r="AC113" s="69">
        <v>0.0</v>
      </c>
      <c r="AD113" s="69">
        <v>0.0</v>
      </c>
      <c r="AE113" s="69">
        <v>0.0</v>
      </c>
      <c r="AF113" s="69">
        <v>0.0</v>
      </c>
      <c r="AG113" s="69">
        <v>0.0</v>
      </c>
      <c r="AH113" s="69">
        <v>0.0</v>
      </c>
      <c r="AI113" s="69">
        <v>0.0</v>
      </c>
      <c r="AJ113" s="69">
        <v>0.0</v>
      </c>
      <c r="AK113" s="69">
        <v>0.0</v>
      </c>
      <c r="AL113" s="69">
        <v>0.0</v>
      </c>
      <c r="AM113" s="69">
        <v>0.0</v>
      </c>
      <c r="AN113" s="69">
        <v>0.0</v>
      </c>
      <c r="AO113" s="69">
        <v>0.0</v>
      </c>
      <c r="AP113" s="69">
        <v>0.0</v>
      </c>
      <c r="AQ113" s="69">
        <v>0.0</v>
      </c>
      <c r="AR113" s="69">
        <v>0.0</v>
      </c>
      <c r="AS113" s="69">
        <v>0.0</v>
      </c>
      <c r="AT113" s="69">
        <v>0.0</v>
      </c>
      <c r="AU113" s="69">
        <v>0.0</v>
      </c>
      <c r="AV113" s="13">
        <f t="shared" ref="AV113:AV115" si="30">SUM(E113:AU113)</f>
        <v>1</v>
      </c>
    </row>
    <row r="114" ht="12.75" customHeight="1">
      <c r="A114" s="30" t="s">
        <v>39</v>
      </c>
      <c r="B114" s="47"/>
      <c r="C114" s="50" t="s">
        <v>98</v>
      </c>
      <c r="D114" s="62"/>
      <c r="E114" s="69">
        <v>0.0</v>
      </c>
      <c r="F114" s="69">
        <v>0.0</v>
      </c>
      <c r="G114" s="69">
        <v>0.0</v>
      </c>
      <c r="H114" s="69">
        <v>0.0</v>
      </c>
      <c r="I114" s="69">
        <v>0.0</v>
      </c>
      <c r="J114" s="69">
        <v>0.0</v>
      </c>
      <c r="K114" s="69">
        <v>0.0</v>
      </c>
      <c r="L114" s="69">
        <v>0.0</v>
      </c>
      <c r="M114" s="69">
        <v>0.0</v>
      </c>
      <c r="N114" s="69">
        <v>0.0</v>
      </c>
      <c r="O114" s="69">
        <v>0.0</v>
      </c>
      <c r="P114" s="69">
        <v>0.0</v>
      </c>
      <c r="Q114" s="69">
        <v>0.0</v>
      </c>
      <c r="R114" s="69">
        <v>0.0</v>
      </c>
      <c r="S114" s="69">
        <v>0.0</v>
      </c>
      <c r="T114" s="69">
        <v>0.0</v>
      </c>
      <c r="U114" s="69">
        <v>0.0</v>
      </c>
      <c r="V114" s="69">
        <v>0.0</v>
      </c>
      <c r="W114" s="69">
        <v>0.0</v>
      </c>
      <c r="X114" s="69">
        <v>0.0</v>
      </c>
      <c r="Y114" s="69">
        <v>0.0</v>
      </c>
      <c r="Z114" s="69">
        <v>0.0</v>
      </c>
      <c r="AA114" s="69">
        <v>0.0</v>
      </c>
      <c r="AB114" s="69">
        <v>0.0</v>
      </c>
      <c r="AC114" s="69">
        <v>0.0</v>
      </c>
      <c r="AD114" s="69">
        <v>0.0</v>
      </c>
      <c r="AE114" s="69">
        <v>0.0</v>
      </c>
      <c r="AF114" s="69">
        <v>0.0</v>
      </c>
      <c r="AG114" s="69">
        <v>0.0</v>
      </c>
      <c r="AH114" s="69">
        <v>0.0</v>
      </c>
      <c r="AI114" s="69">
        <v>0.0</v>
      </c>
      <c r="AJ114" s="69">
        <v>0.0</v>
      </c>
      <c r="AK114" s="69">
        <v>0.0</v>
      </c>
      <c r="AL114" s="69">
        <v>0.0</v>
      </c>
      <c r="AM114" s="69">
        <v>0.0</v>
      </c>
      <c r="AN114" s="69">
        <v>1.0</v>
      </c>
      <c r="AO114" s="69">
        <v>0.0</v>
      </c>
      <c r="AP114" s="69">
        <v>0.0</v>
      </c>
      <c r="AQ114" s="69">
        <v>0.0</v>
      </c>
      <c r="AR114" s="69">
        <v>0.0</v>
      </c>
      <c r="AS114" s="69">
        <v>0.0</v>
      </c>
      <c r="AT114" s="69">
        <v>0.0</v>
      </c>
      <c r="AU114" s="69">
        <v>0.0</v>
      </c>
      <c r="AV114" s="13">
        <f t="shared" si="30"/>
        <v>1</v>
      </c>
    </row>
    <row r="115" ht="12.75" customHeight="1">
      <c r="A115" s="19" t="s">
        <v>15</v>
      </c>
      <c r="B115" s="47" t="s">
        <v>47</v>
      </c>
      <c r="C115" s="15"/>
      <c r="D115" s="16"/>
      <c r="E115" s="56">
        <f t="shared" ref="E115:AU115" si="31">SUM(E113:E114)</f>
        <v>0</v>
      </c>
      <c r="F115" s="56">
        <f t="shared" si="31"/>
        <v>0</v>
      </c>
      <c r="G115" s="56">
        <f t="shared" si="31"/>
        <v>0</v>
      </c>
      <c r="H115" s="56">
        <f t="shared" si="31"/>
        <v>0</v>
      </c>
      <c r="I115" s="56">
        <f t="shared" si="31"/>
        <v>0</v>
      </c>
      <c r="J115" s="56">
        <f t="shared" si="31"/>
        <v>0</v>
      </c>
      <c r="K115" s="56">
        <f t="shared" si="31"/>
        <v>0</v>
      </c>
      <c r="L115" s="56">
        <f t="shared" si="31"/>
        <v>0</v>
      </c>
      <c r="M115" s="56">
        <f t="shared" si="31"/>
        <v>0</v>
      </c>
      <c r="N115" s="56">
        <f t="shared" si="31"/>
        <v>0</v>
      </c>
      <c r="O115" s="56">
        <f t="shared" si="31"/>
        <v>1</v>
      </c>
      <c r="P115" s="56">
        <f t="shared" si="31"/>
        <v>0</v>
      </c>
      <c r="Q115" s="56">
        <f t="shared" si="31"/>
        <v>0</v>
      </c>
      <c r="R115" s="56">
        <f t="shared" si="31"/>
        <v>0</v>
      </c>
      <c r="S115" s="56">
        <f t="shared" si="31"/>
        <v>0</v>
      </c>
      <c r="T115" s="56">
        <f t="shared" si="31"/>
        <v>0</v>
      </c>
      <c r="U115" s="56">
        <f t="shared" si="31"/>
        <v>0</v>
      </c>
      <c r="V115" s="56">
        <f t="shared" si="31"/>
        <v>0</v>
      </c>
      <c r="W115" s="56">
        <f t="shared" si="31"/>
        <v>0</v>
      </c>
      <c r="X115" s="56">
        <f t="shared" si="31"/>
        <v>0</v>
      </c>
      <c r="Y115" s="56">
        <f t="shared" si="31"/>
        <v>0</v>
      </c>
      <c r="Z115" s="56">
        <f t="shared" si="31"/>
        <v>0</v>
      </c>
      <c r="AA115" s="56">
        <f t="shared" si="31"/>
        <v>0</v>
      </c>
      <c r="AB115" s="56">
        <f t="shared" si="31"/>
        <v>0</v>
      </c>
      <c r="AC115" s="56">
        <f t="shared" si="31"/>
        <v>0</v>
      </c>
      <c r="AD115" s="56">
        <f t="shared" si="31"/>
        <v>0</v>
      </c>
      <c r="AE115" s="56">
        <f t="shared" si="31"/>
        <v>0</v>
      </c>
      <c r="AF115" s="56">
        <f t="shared" si="31"/>
        <v>0</v>
      </c>
      <c r="AG115" s="56">
        <f t="shared" si="31"/>
        <v>0</v>
      </c>
      <c r="AH115" s="56">
        <f t="shared" si="31"/>
        <v>0</v>
      </c>
      <c r="AI115" s="56">
        <f t="shared" si="31"/>
        <v>0</v>
      </c>
      <c r="AJ115" s="56">
        <f t="shared" si="31"/>
        <v>0</v>
      </c>
      <c r="AK115" s="56">
        <f t="shared" si="31"/>
        <v>0</v>
      </c>
      <c r="AL115" s="56">
        <f t="shared" si="31"/>
        <v>0</v>
      </c>
      <c r="AM115" s="56">
        <f t="shared" si="31"/>
        <v>0</v>
      </c>
      <c r="AN115" s="56">
        <f t="shared" si="31"/>
        <v>1</v>
      </c>
      <c r="AO115" s="56">
        <f t="shared" si="31"/>
        <v>0</v>
      </c>
      <c r="AP115" s="56">
        <f t="shared" si="31"/>
        <v>0</v>
      </c>
      <c r="AQ115" s="56">
        <f t="shared" si="31"/>
        <v>0</v>
      </c>
      <c r="AR115" s="56">
        <f t="shared" si="31"/>
        <v>0</v>
      </c>
      <c r="AS115" s="56">
        <f t="shared" si="31"/>
        <v>0</v>
      </c>
      <c r="AT115" s="56">
        <f t="shared" si="31"/>
        <v>0</v>
      </c>
      <c r="AU115" s="56">
        <f t="shared" si="31"/>
        <v>0</v>
      </c>
      <c r="AV115" s="13">
        <f t="shared" si="30"/>
        <v>2</v>
      </c>
    </row>
    <row r="116" ht="12.75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13"/>
    </row>
    <row r="117" ht="12.75" customHeight="1">
      <c r="A117" s="30" t="s">
        <v>37</v>
      </c>
      <c r="B117" s="47" t="s">
        <v>99</v>
      </c>
      <c r="C117" s="48" t="s">
        <v>100</v>
      </c>
      <c r="D117" s="16"/>
      <c r="E117" s="69">
        <v>0.0</v>
      </c>
      <c r="F117" s="69">
        <v>0.0</v>
      </c>
      <c r="G117" s="69">
        <v>0.0</v>
      </c>
      <c r="H117" s="69">
        <v>0.0</v>
      </c>
      <c r="I117" s="69">
        <v>0.0</v>
      </c>
      <c r="J117" s="69">
        <v>0.0</v>
      </c>
      <c r="K117" s="69">
        <v>0.0</v>
      </c>
      <c r="L117" s="69">
        <v>1.0</v>
      </c>
      <c r="M117" s="69">
        <v>0.0</v>
      </c>
      <c r="N117" s="69">
        <v>0.0</v>
      </c>
      <c r="O117" s="69">
        <v>0.0</v>
      </c>
      <c r="P117" s="69">
        <v>0.0</v>
      </c>
      <c r="Q117" s="69">
        <v>0.0</v>
      </c>
      <c r="R117" s="69">
        <v>0.0</v>
      </c>
      <c r="S117" s="69">
        <v>0.0</v>
      </c>
      <c r="T117" s="69">
        <v>0.0</v>
      </c>
      <c r="U117" s="69">
        <v>0.0</v>
      </c>
      <c r="V117" s="69">
        <v>0.0</v>
      </c>
      <c r="W117" s="69">
        <v>0.0</v>
      </c>
      <c r="X117" s="69">
        <v>0.0</v>
      </c>
      <c r="Y117" s="69">
        <v>0.0</v>
      </c>
      <c r="Z117" s="69">
        <v>0.0</v>
      </c>
      <c r="AA117" s="69">
        <v>1.0</v>
      </c>
      <c r="AB117" s="69">
        <v>0.0</v>
      </c>
      <c r="AC117" s="69">
        <v>0.0</v>
      </c>
      <c r="AD117" s="69">
        <v>0.0</v>
      </c>
      <c r="AE117" s="69">
        <v>0.0</v>
      </c>
      <c r="AF117" s="69">
        <v>0.0</v>
      </c>
      <c r="AG117" s="69">
        <v>0.0</v>
      </c>
      <c r="AH117" s="69">
        <v>0.0</v>
      </c>
      <c r="AI117" s="69">
        <v>0.0</v>
      </c>
      <c r="AJ117" s="69">
        <v>0.0</v>
      </c>
      <c r="AK117" s="69">
        <v>0.0</v>
      </c>
      <c r="AL117" s="69">
        <v>0.0</v>
      </c>
      <c r="AM117" s="69">
        <v>0.0</v>
      </c>
      <c r="AN117" s="69">
        <v>0.0</v>
      </c>
      <c r="AO117" s="69">
        <v>0.0</v>
      </c>
      <c r="AP117" s="69">
        <v>1.0</v>
      </c>
      <c r="AQ117" s="69">
        <v>0.0</v>
      </c>
      <c r="AR117" s="69">
        <v>0.0</v>
      </c>
      <c r="AS117" s="69">
        <v>0.0</v>
      </c>
      <c r="AT117" s="69">
        <v>0.0</v>
      </c>
      <c r="AU117" s="69">
        <v>0.0</v>
      </c>
      <c r="AV117" s="13">
        <f t="shared" ref="AV117:AV125" si="32">SUM(E117:AU117)</f>
        <v>3</v>
      </c>
      <c r="AW117" s="5"/>
      <c r="AX117" s="5"/>
    </row>
    <row r="118" ht="12.75" customHeight="1">
      <c r="A118" s="30" t="s">
        <v>39</v>
      </c>
      <c r="B118" s="49" t="s">
        <v>39</v>
      </c>
      <c r="C118" s="50" t="s">
        <v>101</v>
      </c>
      <c r="D118" s="51"/>
      <c r="E118" s="69">
        <v>0.0</v>
      </c>
      <c r="F118" s="69">
        <v>0.0</v>
      </c>
      <c r="G118" s="69">
        <v>0.0</v>
      </c>
      <c r="H118" s="69">
        <v>0.0</v>
      </c>
      <c r="I118" s="69">
        <v>0.0</v>
      </c>
      <c r="J118" s="69">
        <v>0.0</v>
      </c>
      <c r="K118" s="69">
        <v>0.0</v>
      </c>
      <c r="L118" s="69">
        <v>0.0</v>
      </c>
      <c r="M118" s="69">
        <v>0.0</v>
      </c>
      <c r="N118" s="69">
        <v>0.0</v>
      </c>
      <c r="O118" s="69">
        <v>0.0</v>
      </c>
      <c r="P118" s="69">
        <v>0.0</v>
      </c>
      <c r="Q118" s="69">
        <v>0.0</v>
      </c>
      <c r="R118" s="69">
        <v>0.0</v>
      </c>
      <c r="S118" s="69">
        <v>0.0</v>
      </c>
      <c r="T118" s="69">
        <v>0.0</v>
      </c>
      <c r="U118" s="69">
        <v>0.0</v>
      </c>
      <c r="V118" s="69">
        <v>0.0</v>
      </c>
      <c r="W118" s="69">
        <v>0.0</v>
      </c>
      <c r="X118" s="69">
        <v>0.0</v>
      </c>
      <c r="Y118" s="69">
        <v>0.0</v>
      </c>
      <c r="Z118" s="69">
        <v>0.0</v>
      </c>
      <c r="AA118" s="69">
        <v>0.0</v>
      </c>
      <c r="AB118" s="69">
        <v>0.0</v>
      </c>
      <c r="AC118" s="69">
        <v>0.0</v>
      </c>
      <c r="AD118" s="69">
        <v>0.0</v>
      </c>
      <c r="AE118" s="69">
        <v>0.0</v>
      </c>
      <c r="AF118" s="69">
        <v>0.0</v>
      </c>
      <c r="AG118" s="69">
        <v>0.0</v>
      </c>
      <c r="AH118" s="69">
        <v>0.0</v>
      </c>
      <c r="AI118" s="69">
        <v>0.0</v>
      </c>
      <c r="AJ118" s="69">
        <v>0.0</v>
      </c>
      <c r="AK118" s="69">
        <v>1.0</v>
      </c>
      <c r="AL118" s="69">
        <v>0.0</v>
      </c>
      <c r="AM118" s="69">
        <v>0.0</v>
      </c>
      <c r="AN118" s="69">
        <v>0.0</v>
      </c>
      <c r="AO118" s="69">
        <v>0.0</v>
      </c>
      <c r="AP118" s="69">
        <v>0.0</v>
      </c>
      <c r="AQ118" s="69">
        <v>0.0</v>
      </c>
      <c r="AR118" s="69">
        <v>0.0</v>
      </c>
      <c r="AS118" s="69">
        <v>0.0</v>
      </c>
      <c r="AT118" s="69">
        <v>0.0</v>
      </c>
      <c r="AU118" s="69">
        <v>0.0</v>
      </c>
      <c r="AV118" s="13">
        <f t="shared" si="32"/>
        <v>1</v>
      </c>
      <c r="AW118" s="5"/>
      <c r="AX118" s="5"/>
    </row>
    <row r="119" ht="12.75" customHeight="1">
      <c r="A119" s="18"/>
      <c r="B119" s="49"/>
      <c r="C119" s="50" t="s">
        <v>102</v>
      </c>
      <c r="D119" s="51"/>
      <c r="E119" s="69">
        <v>0.0</v>
      </c>
      <c r="F119" s="69">
        <v>0.0</v>
      </c>
      <c r="G119" s="69">
        <v>0.0</v>
      </c>
      <c r="H119" s="69">
        <v>1.0</v>
      </c>
      <c r="I119" s="69">
        <v>0.0</v>
      </c>
      <c r="J119" s="69">
        <v>0.0</v>
      </c>
      <c r="K119" s="69">
        <v>0.0</v>
      </c>
      <c r="L119" s="69">
        <v>1.0</v>
      </c>
      <c r="M119" s="69">
        <v>0.0</v>
      </c>
      <c r="N119" s="69">
        <v>0.0</v>
      </c>
      <c r="O119" s="69">
        <v>0.0</v>
      </c>
      <c r="P119" s="69">
        <v>0.0</v>
      </c>
      <c r="Q119" s="69">
        <v>0.0</v>
      </c>
      <c r="R119" s="69">
        <v>0.0</v>
      </c>
      <c r="S119" s="69">
        <v>0.0</v>
      </c>
      <c r="T119" s="69">
        <v>0.0</v>
      </c>
      <c r="U119" s="69">
        <v>0.0</v>
      </c>
      <c r="V119" s="69">
        <v>0.0</v>
      </c>
      <c r="W119" s="69">
        <v>0.0</v>
      </c>
      <c r="X119" s="69">
        <v>0.0</v>
      </c>
      <c r="Y119" s="69">
        <v>0.0</v>
      </c>
      <c r="Z119" s="69">
        <v>0.0</v>
      </c>
      <c r="AA119" s="69">
        <v>0.0</v>
      </c>
      <c r="AB119" s="69">
        <v>0.0</v>
      </c>
      <c r="AC119" s="69">
        <v>0.0</v>
      </c>
      <c r="AD119" s="69">
        <v>0.0</v>
      </c>
      <c r="AE119" s="69">
        <v>0.0</v>
      </c>
      <c r="AF119" s="69">
        <v>0.0</v>
      </c>
      <c r="AG119" s="69">
        <v>1.0</v>
      </c>
      <c r="AH119" s="69">
        <v>0.0</v>
      </c>
      <c r="AI119" s="69">
        <v>0.0</v>
      </c>
      <c r="AJ119" s="69">
        <v>0.0</v>
      </c>
      <c r="AK119" s="69">
        <v>0.0</v>
      </c>
      <c r="AL119" s="69">
        <v>0.0</v>
      </c>
      <c r="AM119" s="69">
        <v>0.0</v>
      </c>
      <c r="AN119" s="69">
        <v>0.0</v>
      </c>
      <c r="AO119" s="69">
        <v>0.0</v>
      </c>
      <c r="AP119" s="69">
        <v>0.0</v>
      </c>
      <c r="AQ119" s="69">
        <v>0.0</v>
      </c>
      <c r="AR119" s="69">
        <v>0.0</v>
      </c>
      <c r="AS119" s="69">
        <v>0.0</v>
      </c>
      <c r="AT119" s="69">
        <v>0.0</v>
      </c>
      <c r="AU119" s="69">
        <v>0.0</v>
      </c>
      <c r="AV119" s="13">
        <f t="shared" si="32"/>
        <v>3</v>
      </c>
      <c r="AW119" s="5"/>
      <c r="AX119" s="5"/>
    </row>
    <row r="120" ht="12.75" customHeight="1">
      <c r="A120" s="18"/>
      <c r="B120" s="49"/>
      <c r="C120" s="50" t="s">
        <v>103</v>
      </c>
      <c r="D120" s="51"/>
      <c r="E120" s="69">
        <v>1.0</v>
      </c>
      <c r="F120" s="69">
        <v>0.0</v>
      </c>
      <c r="G120" s="69">
        <v>0.0</v>
      </c>
      <c r="H120" s="69">
        <v>0.0</v>
      </c>
      <c r="I120" s="69">
        <v>0.0</v>
      </c>
      <c r="J120" s="69">
        <v>0.0</v>
      </c>
      <c r="K120" s="69">
        <v>0.0</v>
      </c>
      <c r="L120" s="69">
        <v>0.0</v>
      </c>
      <c r="M120" s="69">
        <v>0.0</v>
      </c>
      <c r="N120" s="69">
        <v>0.0</v>
      </c>
      <c r="O120" s="69">
        <v>0.0</v>
      </c>
      <c r="P120" s="69">
        <v>1.0</v>
      </c>
      <c r="Q120" s="69">
        <v>0.0</v>
      </c>
      <c r="R120" s="69">
        <v>0.0</v>
      </c>
      <c r="S120" s="69">
        <v>0.0</v>
      </c>
      <c r="T120" s="69">
        <v>0.0</v>
      </c>
      <c r="U120" s="69">
        <v>0.0</v>
      </c>
      <c r="V120" s="69">
        <v>0.0</v>
      </c>
      <c r="W120" s="69">
        <v>0.0</v>
      </c>
      <c r="X120" s="69">
        <v>0.0</v>
      </c>
      <c r="Y120" s="69">
        <v>0.0</v>
      </c>
      <c r="Z120" s="69">
        <v>0.0</v>
      </c>
      <c r="AA120" s="69">
        <v>0.0</v>
      </c>
      <c r="AB120" s="69">
        <v>0.0</v>
      </c>
      <c r="AC120" s="69">
        <v>0.0</v>
      </c>
      <c r="AD120" s="69">
        <v>0.0</v>
      </c>
      <c r="AE120" s="69">
        <v>1.0</v>
      </c>
      <c r="AF120" s="69">
        <v>0.0</v>
      </c>
      <c r="AG120" s="69">
        <v>0.0</v>
      </c>
      <c r="AH120" s="69">
        <v>0.0</v>
      </c>
      <c r="AI120" s="69">
        <v>0.0</v>
      </c>
      <c r="AJ120" s="69">
        <v>0.0</v>
      </c>
      <c r="AK120" s="69">
        <v>0.0</v>
      </c>
      <c r="AL120" s="69">
        <v>0.0</v>
      </c>
      <c r="AM120" s="69">
        <v>0.0</v>
      </c>
      <c r="AN120" s="69">
        <v>0.0</v>
      </c>
      <c r="AO120" s="69">
        <v>0.0</v>
      </c>
      <c r="AP120" s="69">
        <v>0.0</v>
      </c>
      <c r="AQ120" s="69">
        <v>0.0</v>
      </c>
      <c r="AR120" s="69">
        <v>0.0</v>
      </c>
      <c r="AS120" s="69">
        <v>0.0</v>
      </c>
      <c r="AT120" s="69">
        <v>0.0</v>
      </c>
      <c r="AU120" s="69">
        <v>0.0</v>
      </c>
      <c r="AV120" s="13">
        <f t="shared" si="32"/>
        <v>3</v>
      </c>
      <c r="AW120" s="5"/>
      <c r="AX120" s="5"/>
    </row>
    <row r="121" ht="12.75" customHeight="1">
      <c r="A121" s="18"/>
      <c r="B121" s="49"/>
      <c r="C121" s="50" t="s">
        <v>104</v>
      </c>
      <c r="D121" s="51"/>
      <c r="E121" s="69">
        <v>0.0</v>
      </c>
      <c r="F121" s="69">
        <v>0.0</v>
      </c>
      <c r="G121" s="69">
        <v>0.0</v>
      </c>
      <c r="H121" s="69">
        <v>0.0</v>
      </c>
      <c r="I121" s="69">
        <v>0.0</v>
      </c>
      <c r="J121" s="69">
        <v>0.0</v>
      </c>
      <c r="K121" s="69">
        <v>0.0</v>
      </c>
      <c r="L121" s="69">
        <v>0.0</v>
      </c>
      <c r="M121" s="69">
        <v>0.0</v>
      </c>
      <c r="N121" s="69">
        <v>0.0</v>
      </c>
      <c r="O121" s="69">
        <v>0.0</v>
      </c>
      <c r="P121" s="69">
        <v>0.0</v>
      </c>
      <c r="Q121" s="69">
        <v>0.0</v>
      </c>
      <c r="R121" s="69">
        <v>0.0</v>
      </c>
      <c r="S121" s="69">
        <v>0.0</v>
      </c>
      <c r="T121" s="69">
        <v>0.0</v>
      </c>
      <c r="U121" s="69">
        <v>0.0</v>
      </c>
      <c r="V121" s="69">
        <v>0.0</v>
      </c>
      <c r="W121" s="69">
        <v>0.0</v>
      </c>
      <c r="X121" s="69">
        <v>0.0</v>
      </c>
      <c r="Y121" s="69">
        <v>0.0</v>
      </c>
      <c r="Z121" s="69">
        <v>1.0</v>
      </c>
      <c r="AA121" s="69">
        <v>1.0</v>
      </c>
      <c r="AB121" s="69">
        <v>0.0</v>
      </c>
      <c r="AC121" s="69">
        <v>0.0</v>
      </c>
      <c r="AD121" s="69">
        <v>0.0</v>
      </c>
      <c r="AE121" s="69">
        <v>0.0</v>
      </c>
      <c r="AF121" s="69">
        <v>0.0</v>
      </c>
      <c r="AG121" s="69">
        <v>0.0</v>
      </c>
      <c r="AH121" s="69">
        <v>0.0</v>
      </c>
      <c r="AI121" s="69">
        <v>1.0</v>
      </c>
      <c r="AJ121" s="69">
        <v>0.0</v>
      </c>
      <c r="AK121" s="69">
        <v>0.0</v>
      </c>
      <c r="AL121" s="69">
        <v>0.0</v>
      </c>
      <c r="AM121" s="69">
        <v>0.0</v>
      </c>
      <c r="AN121" s="69">
        <v>0.0</v>
      </c>
      <c r="AO121" s="69">
        <v>0.0</v>
      </c>
      <c r="AP121" s="69">
        <v>0.0</v>
      </c>
      <c r="AQ121" s="69">
        <v>1.0</v>
      </c>
      <c r="AR121" s="69">
        <v>0.0</v>
      </c>
      <c r="AS121" s="69">
        <v>0.0</v>
      </c>
      <c r="AT121" s="69">
        <v>0.0</v>
      </c>
      <c r="AU121" s="69">
        <v>0.0</v>
      </c>
      <c r="AV121" s="13">
        <f t="shared" si="32"/>
        <v>4</v>
      </c>
      <c r="AW121" s="5"/>
      <c r="AX121" s="5"/>
    </row>
    <row r="122" ht="12.75" customHeight="1">
      <c r="A122" s="18"/>
      <c r="B122" s="49"/>
      <c r="C122" s="50" t="s">
        <v>105</v>
      </c>
      <c r="D122" s="51"/>
      <c r="E122" s="69">
        <v>0.0</v>
      </c>
      <c r="F122" s="69">
        <v>0.0</v>
      </c>
      <c r="G122" s="69">
        <v>0.0</v>
      </c>
      <c r="H122" s="69">
        <v>0.0</v>
      </c>
      <c r="I122" s="69">
        <v>0.0</v>
      </c>
      <c r="J122" s="69">
        <v>0.0</v>
      </c>
      <c r="K122" s="69">
        <v>0.0</v>
      </c>
      <c r="L122" s="69">
        <v>0.0</v>
      </c>
      <c r="M122" s="69">
        <v>0.0</v>
      </c>
      <c r="N122" s="69">
        <v>0.0</v>
      </c>
      <c r="O122" s="69">
        <v>0.0</v>
      </c>
      <c r="P122" s="69">
        <v>1.0</v>
      </c>
      <c r="Q122" s="69">
        <v>0.0</v>
      </c>
      <c r="R122" s="69">
        <v>0.0</v>
      </c>
      <c r="S122" s="69">
        <v>0.0</v>
      </c>
      <c r="T122" s="69">
        <v>0.0</v>
      </c>
      <c r="U122" s="69">
        <v>0.0</v>
      </c>
      <c r="V122" s="69">
        <v>0.0</v>
      </c>
      <c r="W122" s="69">
        <v>0.0</v>
      </c>
      <c r="X122" s="69">
        <v>0.0</v>
      </c>
      <c r="Y122" s="69">
        <v>0.0</v>
      </c>
      <c r="Z122" s="69">
        <v>0.0</v>
      </c>
      <c r="AA122" s="69">
        <v>0.0</v>
      </c>
      <c r="AB122" s="69">
        <v>0.0</v>
      </c>
      <c r="AC122" s="69">
        <v>0.0</v>
      </c>
      <c r="AD122" s="69">
        <v>0.0</v>
      </c>
      <c r="AE122" s="69">
        <v>0.0</v>
      </c>
      <c r="AF122" s="69">
        <v>0.0</v>
      </c>
      <c r="AG122" s="69">
        <v>0.0</v>
      </c>
      <c r="AH122" s="69">
        <v>0.0</v>
      </c>
      <c r="AI122" s="69">
        <v>0.0</v>
      </c>
      <c r="AJ122" s="69">
        <v>0.0</v>
      </c>
      <c r="AK122" s="69">
        <v>0.0</v>
      </c>
      <c r="AL122" s="69">
        <v>0.0</v>
      </c>
      <c r="AM122" s="69">
        <v>1.0</v>
      </c>
      <c r="AN122" s="69">
        <v>0.0</v>
      </c>
      <c r="AO122" s="69">
        <v>0.0</v>
      </c>
      <c r="AP122" s="69">
        <v>0.0</v>
      </c>
      <c r="AQ122" s="69">
        <v>0.0</v>
      </c>
      <c r="AR122" s="69">
        <v>0.0</v>
      </c>
      <c r="AS122" s="69">
        <v>0.0</v>
      </c>
      <c r="AT122" s="69">
        <v>0.0</v>
      </c>
      <c r="AU122" s="69">
        <v>0.0</v>
      </c>
      <c r="AV122" s="13">
        <f t="shared" si="32"/>
        <v>2</v>
      </c>
      <c r="AW122" s="5"/>
      <c r="AX122" s="5"/>
    </row>
    <row r="123" ht="12.75" customHeight="1">
      <c r="A123" s="18"/>
      <c r="B123" s="49"/>
      <c r="C123" s="50" t="s">
        <v>106</v>
      </c>
      <c r="D123" s="51"/>
      <c r="E123" s="69">
        <v>0.0</v>
      </c>
      <c r="F123" s="69">
        <v>0.0</v>
      </c>
      <c r="G123" s="69">
        <v>0.0</v>
      </c>
      <c r="H123" s="69">
        <v>0.0</v>
      </c>
      <c r="I123" s="69">
        <v>0.0</v>
      </c>
      <c r="J123" s="69">
        <v>0.0</v>
      </c>
      <c r="K123" s="69">
        <v>0.0</v>
      </c>
      <c r="L123" s="69">
        <v>0.0</v>
      </c>
      <c r="M123" s="69">
        <v>0.0</v>
      </c>
      <c r="N123" s="69">
        <v>0.0</v>
      </c>
      <c r="O123" s="69">
        <v>0.0</v>
      </c>
      <c r="P123" s="69">
        <v>0.0</v>
      </c>
      <c r="Q123" s="69">
        <v>0.0</v>
      </c>
      <c r="R123" s="69">
        <v>0.0</v>
      </c>
      <c r="S123" s="69">
        <v>1.0</v>
      </c>
      <c r="T123" s="69">
        <v>0.0</v>
      </c>
      <c r="U123" s="69">
        <v>0.0</v>
      </c>
      <c r="V123" s="69">
        <v>0.0</v>
      </c>
      <c r="W123" s="69">
        <v>0.0</v>
      </c>
      <c r="X123" s="69">
        <v>0.0</v>
      </c>
      <c r="Y123" s="69">
        <v>0.0</v>
      </c>
      <c r="Z123" s="69">
        <v>0.0</v>
      </c>
      <c r="AA123" s="69">
        <v>0.0</v>
      </c>
      <c r="AB123" s="69">
        <v>1.0</v>
      </c>
      <c r="AC123" s="69">
        <v>0.0</v>
      </c>
      <c r="AD123" s="69">
        <v>0.0</v>
      </c>
      <c r="AE123" s="69">
        <v>0.0</v>
      </c>
      <c r="AF123" s="69">
        <v>0.0</v>
      </c>
      <c r="AG123" s="69">
        <v>0.0</v>
      </c>
      <c r="AH123" s="69">
        <v>0.0</v>
      </c>
      <c r="AI123" s="69">
        <v>0.0</v>
      </c>
      <c r="AJ123" s="69">
        <v>0.0</v>
      </c>
      <c r="AK123" s="69">
        <v>0.0</v>
      </c>
      <c r="AL123" s="69">
        <v>0.0</v>
      </c>
      <c r="AM123" s="69">
        <v>0.0</v>
      </c>
      <c r="AN123" s="69">
        <v>0.0</v>
      </c>
      <c r="AO123" s="69">
        <v>0.0</v>
      </c>
      <c r="AP123" s="69">
        <v>0.0</v>
      </c>
      <c r="AQ123" s="69">
        <v>0.0</v>
      </c>
      <c r="AR123" s="69">
        <v>0.0</v>
      </c>
      <c r="AS123" s="69">
        <v>0.0</v>
      </c>
      <c r="AT123" s="69">
        <v>0.0</v>
      </c>
      <c r="AU123" s="69">
        <v>0.0</v>
      </c>
      <c r="AV123" s="13">
        <f t="shared" si="32"/>
        <v>2</v>
      </c>
      <c r="AW123" s="5"/>
      <c r="AX123" s="5"/>
    </row>
    <row r="124" ht="12.75" customHeight="1">
      <c r="A124" s="18"/>
      <c r="B124" s="49"/>
      <c r="C124" s="50" t="s">
        <v>107</v>
      </c>
      <c r="D124" s="51"/>
      <c r="E124" s="69">
        <v>0.0</v>
      </c>
      <c r="F124" s="69">
        <v>0.0</v>
      </c>
      <c r="G124" s="69">
        <v>0.0</v>
      </c>
      <c r="H124" s="69">
        <v>1.0</v>
      </c>
      <c r="I124" s="69">
        <v>0.0</v>
      </c>
      <c r="J124" s="69">
        <v>0.0</v>
      </c>
      <c r="K124" s="69">
        <v>0.0</v>
      </c>
      <c r="L124" s="69">
        <v>0.0</v>
      </c>
      <c r="M124" s="69">
        <v>0.0</v>
      </c>
      <c r="N124" s="69">
        <v>0.0</v>
      </c>
      <c r="O124" s="69">
        <v>0.0</v>
      </c>
      <c r="P124" s="69">
        <v>0.0</v>
      </c>
      <c r="Q124" s="69">
        <v>0.0</v>
      </c>
      <c r="R124" s="69">
        <v>0.0</v>
      </c>
      <c r="S124" s="69">
        <v>0.0</v>
      </c>
      <c r="T124" s="69">
        <v>0.0</v>
      </c>
      <c r="U124" s="69">
        <v>0.0</v>
      </c>
      <c r="V124" s="69">
        <v>0.0</v>
      </c>
      <c r="W124" s="69">
        <v>0.0</v>
      </c>
      <c r="X124" s="69">
        <v>0.0</v>
      </c>
      <c r="Y124" s="69">
        <v>0.0</v>
      </c>
      <c r="Z124" s="69">
        <v>0.0</v>
      </c>
      <c r="AA124" s="69">
        <v>0.0</v>
      </c>
      <c r="AB124" s="69">
        <v>0.0</v>
      </c>
      <c r="AC124" s="69">
        <v>0.0</v>
      </c>
      <c r="AD124" s="69">
        <v>0.0</v>
      </c>
      <c r="AE124" s="69">
        <v>0.0</v>
      </c>
      <c r="AF124" s="69">
        <v>0.0</v>
      </c>
      <c r="AG124" s="69">
        <v>0.0</v>
      </c>
      <c r="AH124" s="69">
        <v>0.0</v>
      </c>
      <c r="AI124" s="69">
        <v>0.0</v>
      </c>
      <c r="AJ124" s="69">
        <v>0.0</v>
      </c>
      <c r="AK124" s="69">
        <v>0.0</v>
      </c>
      <c r="AL124" s="69">
        <v>0.0</v>
      </c>
      <c r="AM124" s="69">
        <v>0.0</v>
      </c>
      <c r="AN124" s="69">
        <v>0.0</v>
      </c>
      <c r="AO124" s="69">
        <v>0.0</v>
      </c>
      <c r="AP124" s="69">
        <v>0.0</v>
      </c>
      <c r="AQ124" s="69">
        <v>0.0</v>
      </c>
      <c r="AR124" s="69">
        <v>0.0</v>
      </c>
      <c r="AS124" s="69">
        <v>0.0</v>
      </c>
      <c r="AT124" s="69">
        <v>0.0</v>
      </c>
      <c r="AU124" s="69">
        <v>0.0</v>
      </c>
      <c r="AV124" s="13">
        <f t="shared" si="32"/>
        <v>1</v>
      </c>
      <c r="AW124" s="5"/>
      <c r="AX124" s="5"/>
    </row>
    <row r="125" ht="12.75" customHeight="1">
      <c r="A125" s="19" t="s">
        <v>15</v>
      </c>
      <c r="B125" s="47" t="s">
        <v>47</v>
      </c>
      <c r="C125" s="15"/>
      <c r="D125" s="16"/>
      <c r="E125" s="74">
        <v>1.0</v>
      </c>
      <c r="F125" s="74">
        <v>0.0</v>
      </c>
      <c r="G125" s="74">
        <v>0.0</v>
      </c>
      <c r="H125" s="74">
        <v>2.0</v>
      </c>
      <c r="I125" s="74">
        <v>0.0</v>
      </c>
      <c r="J125" s="74">
        <v>0.0</v>
      </c>
      <c r="K125" s="74">
        <v>0.0</v>
      </c>
      <c r="L125" s="74">
        <v>2.0</v>
      </c>
      <c r="M125" s="74">
        <v>0.0</v>
      </c>
      <c r="N125" s="74">
        <v>0.0</v>
      </c>
      <c r="O125" s="74">
        <v>0.0</v>
      </c>
      <c r="P125" s="74">
        <v>2.0</v>
      </c>
      <c r="Q125" s="74">
        <v>0.0</v>
      </c>
      <c r="R125" s="74">
        <v>0.0</v>
      </c>
      <c r="S125" s="74">
        <v>1.0</v>
      </c>
      <c r="T125" s="56">
        <f t="shared" ref="T125:AU125" si="33">SUM(T117:T124)</f>
        <v>0</v>
      </c>
      <c r="U125" s="56">
        <f t="shared" si="33"/>
        <v>0</v>
      </c>
      <c r="V125" s="56">
        <f t="shared" si="33"/>
        <v>0</v>
      </c>
      <c r="W125" s="56">
        <f t="shared" si="33"/>
        <v>0</v>
      </c>
      <c r="X125" s="56">
        <f t="shared" si="33"/>
        <v>0</v>
      </c>
      <c r="Y125" s="56">
        <f t="shared" si="33"/>
        <v>0</v>
      </c>
      <c r="Z125" s="56">
        <f t="shared" si="33"/>
        <v>1</v>
      </c>
      <c r="AA125" s="56">
        <f t="shared" si="33"/>
        <v>2</v>
      </c>
      <c r="AB125" s="56">
        <f t="shared" si="33"/>
        <v>1</v>
      </c>
      <c r="AC125" s="56">
        <f t="shared" si="33"/>
        <v>0</v>
      </c>
      <c r="AD125" s="56">
        <f t="shared" si="33"/>
        <v>0</v>
      </c>
      <c r="AE125" s="56">
        <f t="shared" si="33"/>
        <v>1</v>
      </c>
      <c r="AF125" s="56">
        <f t="shared" si="33"/>
        <v>0</v>
      </c>
      <c r="AG125" s="56">
        <f t="shared" si="33"/>
        <v>1</v>
      </c>
      <c r="AH125" s="56">
        <f t="shared" si="33"/>
        <v>0</v>
      </c>
      <c r="AI125" s="56">
        <f t="shared" si="33"/>
        <v>1</v>
      </c>
      <c r="AJ125" s="56">
        <f t="shared" si="33"/>
        <v>0</v>
      </c>
      <c r="AK125" s="56">
        <f t="shared" si="33"/>
        <v>1</v>
      </c>
      <c r="AL125" s="56">
        <f t="shared" si="33"/>
        <v>0</v>
      </c>
      <c r="AM125" s="56">
        <f t="shared" si="33"/>
        <v>1</v>
      </c>
      <c r="AN125" s="56">
        <f t="shared" si="33"/>
        <v>0</v>
      </c>
      <c r="AO125" s="56">
        <f t="shared" si="33"/>
        <v>0</v>
      </c>
      <c r="AP125" s="56">
        <f t="shared" si="33"/>
        <v>1</v>
      </c>
      <c r="AQ125" s="56">
        <f t="shared" si="33"/>
        <v>1</v>
      </c>
      <c r="AR125" s="56">
        <f t="shared" si="33"/>
        <v>0</v>
      </c>
      <c r="AS125" s="56">
        <f t="shared" si="33"/>
        <v>0</v>
      </c>
      <c r="AT125" s="56">
        <f t="shared" si="33"/>
        <v>0</v>
      </c>
      <c r="AU125" s="56">
        <f t="shared" si="33"/>
        <v>0</v>
      </c>
      <c r="AV125" s="13">
        <f t="shared" si="32"/>
        <v>19</v>
      </c>
      <c r="AW125" s="5"/>
      <c r="AX125" s="5"/>
    </row>
    <row r="126" ht="12.75" customHeight="1">
      <c r="A126" s="57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13"/>
      <c r="AW126" s="5"/>
      <c r="AX126" s="5"/>
    </row>
    <row r="127" ht="15.0" customHeight="1">
      <c r="A127" s="30" t="s">
        <v>37</v>
      </c>
      <c r="B127" s="47" t="s">
        <v>108</v>
      </c>
      <c r="C127" s="48" t="s">
        <v>109</v>
      </c>
      <c r="D127" s="16"/>
      <c r="E127" s="69">
        <v>0.0</v>
      </c>
      <c r="F127" s="69">
        <v>0.0</v>
      </c>
      <c r="G127" s="69">
        <v>0.0</v>
      </c>
      <c r="H127" s="69">
        <v>0.0</v>
      </c>
      <c r="I127" s="69">
        <v>0.0</v>
      </c>
      <c r="J127" s="69">
        <v>1.0</v>
      </c>
      <c r="K127" s="69">
        <v>1.0</v>
      </c>
      <c r="L127" s="69">
        <v>0.0</v>
      </c>
      <c r="M127" s="69">
        <v>0.0</v>
      </c>
      <c r="N127" s="69">
        <v>1.0</v>
      </c>
      <c r="O127" s="69">
        <v>0.0</v>
      </c>
      <c r="P127" s="69">
        <v>0.0</v>
      </c>
      <c r="Q127" s="69">
        <v>0.0</v>
      </c>
      <c r="R127" s="69">
        <v>0.0</v>
      </c>
      <c r="S127" s="69">
        <v>0.0</v>
      </c>
      <c r="T127" s="69">
        <v>0.0</v>
      </c>
      <c r="U127" s="69">
        <v>0.0</v>
      </c>
      <c r="V127" s="69">
        <v>0.0</v>
      </c>
      <c r="W127" s="69">
        <v>0.0</v>
      </c>
      <c r="X127" s="69">
        <v>0.0</v>
      </c>
      <c r="Y127" s="69">
        <v>0.0</v>
      </c>
      <c r="Z127" s="69">
        <v>0.0</v>
      </c>
      <c r="AA127" s="69">
        <v>0.0</v>
      </c>
      <c r="AB127" s="69">
        <v>0.0</v>
      </c>
      <c r="AC127" s="69">
        <v>0.0</v>
      </c>
      <c r="AD127" s="69">
        <v>0.0</v>
      </c>
      <c r="AE127" s="69">
        <v>0.0</v>
      </c>
      <c r="AF127" s="69">
        <v>0.0</v>
      </c>
      <c r="AG127" s="69">
        <v>1.0</v>
      </c>
      <c r="AH127" s="69">
        <v>0.0</v>
      </c>
      <c r="AI127" s="69">
        <v>0.0</v>
      </c>
      <c r="AJ127" s="69">
        <v>0.0</v>
      </c>
      <c r="AK127" s="69">
        <v>0.0</v>
      </c>
      <c r="AL127" s="69">
        <v>0.0</v>
      </c>
      <c r="AM127" s="69">
        <v>0.0</v>
      </c>
      <c r="AN127" s="69">
        <v>0.0</v>
      </c>
      <c r="AO127" s="69">
        <v>0.0</v>
      </c>
      <c r="AP127" s="69">
        <v>1.0</v>
      </c>
      <c r="AQ127" s="69">
        <v>0.0</v>
      </c>
      <c r="AR127" s="69">
        <v>0.0</v>
      </c>
      <c r="AS127" s="69">
        <v>1.0</v>
      </c>
      <c r="AT127" s="69">
        <v>0.0</v>
      </c>
      <c r="AU127" s="69">
        <v>0.0</v>
      </c>
      <c r="AV127" s="13">
        <f t="shared" ref="AV127:AV129" si="34">SUM(E127:AU127)</f>
        <v>6</v>
      </c>
      <c r="AW127" s="5"/>
      <c r="AX127" s="5"/>
    </row>
    <row r="128" ht="12.75" customHeight="1">
      <c r="A128" s="30" t="s">
        <v>39</v>
      </c>
      <c r="B128" s="49"/>
      <c r="C128" s="50"/>
      <c r="D128" s="51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3">
        <f t="shared" si="34"/>
        <v>0</v>
      </c>
      <c r="AW128" s="5"/>
      <c r="AX128" s="5"/>
    </row>
    <row r="129" ht="12.75" customHeight="1">
      <c r="A129" s="19" t="s">
        <v>15</v>
      </c>
      <c r="B129" s="47" t="s">
        <v>47</v>
      </c>
      <c r="C129" s="15"/>
      <c r="D129" s="16"/>
      <c r="E129" s="56">
        <f t="shared" ref="E129:AU129" si="35">SUM(E127:E128)</f>
        <v>0</v>
      </c>
      <c r="F129" s="56">
        <f t="shared" si="35"/>
        <v>0</v>
      </c>
      <c r="G129" s="56">
        <f t="shared" si="35"/>
        <v>0</v>
      </c>
      <c r="H129" s="56">
        <f t="shared" si="35"/>
        <v>0</v>
      </c>
      <c r="I129" s="56">
        <f t="shared" si="35"/>
        <v>0</v>
      </c>
      <c r="J129" s="56">
        <f t="shared" si="35"/>
        <v>1</v>
      </c>
      <c r="K129" s="56">
        <f t="shared" si="35"/>
        <v>1</v>
      </c>
      <c r="L129" s="56">
        <f t="shared" si="35"/>
        <v>0</v>
      </c>
      <c r="M129" s="56">
        <f t="shared" si="35"/>
        <v>0</v>
      </c>
      <c r="N129" s="56">
        <f t="shared" si="35"/>
        <v>1</v>
      </c>
      <c r="O129" s="56">
        <f t="shared" si="35"/>
        <v>0</v>
      </c>
      <c r="P129" s="56">
        <f t="shared" si="35"/>
        <v>0</v>
      </c>
      <c r="Q129" s="56">
        <f t="shared" si="35"/>
        <v>0</v>
      </c>
      <c r="R129" s="56">
        <f t="shared" si="35"/>
        <v>0</v>
      </c>
      <c r="S129" s="56">
        <f t="shared" si="35"/>
        <v>0</v>
      </c>
      <c r="T129" s="56">
        <f t="shared" si="35"/>
        <v>0</v>
      </c>
      <c r="U129" s="56">
        <f t="shared" si="35"/>
        <v>0</v>
      </c>
      <c r="V129" s="56">
        <f t="shared" si="35"/>
        <v>0</v>
      </c>
      <c r="W129" s="56">
        <f t="shared" si="35"/>
        <v>0</v>
      </c>
      <c r="X129" s="56">
        <f t="shared" si="35"/>
        <v>0</v>
      </c>
      <c r="Y129" s="56">
        <f t="shared" si="35"/>
        <v>0</v>
      </c>
      <c r="Z129" s="56">
        <f t="shared" si="35"/>
        <v>0</v>
      </c>
      <c r="AA129" s="56">
        <f t="shared" si="35"/>
        <v>0</v>
      </c>
      <c r="AB129" s="56">
        <f t="shared" si="35"/>
        <v>0</v>
      </c>
      <c r="AC129" s="56">
        <f t="shared" si="35"/>
        <v>0</v>
      </c>
      <c r="AD129" s="56">
        <f t="shared" si="35"/>
        <v>0</v>
      </c>
      <c r="AE129" s="56">
        <f t="shared" si="35"/>
        <v>0</v>
      </c>
      <c r="AF129" s="56">
        <f t="shared" si="35"/>
        <v>0</v>
      </c>
      <c r="AG129" s="56">
        <f t="shared" si="35"/>
        <v>1</v>
      </c>
      <c r="AH129" s="56">
        <f t="shared" si="35"/>
        <v>0</v>
      </c>
      <c r="AI129" s="56">
        <f t="shared" si="35"/>
        <v>0</v>
      </c>
      <c r="AJ129" s="56">
        <f t="shared" si="35"/>
        <v>0</v>
      </c>
      <c r="AK129" s="56">
        <f t="shared" si="35"/>
        <v>0</v>
      </c>
      <c r="AL129" s="56">
        <f t="shared" si="35"/>
        <v>0</v>
      </c>
      <c r="AM129" s="56">
        <f t="shared" si="35"/>
        <v>0</v>
      </c>
      <c r="AN129" s="56">
        <f t="shared" si="35"/>
        <v>0</v>
      </c>
      <c r="AO129" s="56">
        <f t="shared" si="35"/>
        <v>0</v>
      </c>
      <c r="AP129" s="56">
        <f t="shared" si="35"/>
        <v>1</v>
      </c>
      <c r="AQ129" s="56">
        <f t="shared" si="35"/>
        <v>0</v>
      </c>
      <c r="AR129" s="56">
        <f t="shared" si="35"/>
        <v>0</v>
      </c>
      <c r="AS129" s="56">
        <f t="shared" si="35"/>
        <v>1</v>
      </c>
      <c r="AT129" s="56">
        <f t="shared" si="35"/>
        <v>0</v>
      </c>
      <c r="AU129" s="56">
        <f t="shared" si="35"/>
        <v>0</v>
      </c>
      <c r="AV129" s="13">
        <f t="shared" si="34"/>
        <v>6</v>
      </c>
      <c r="AW129" s="5"/>
      <c r="AX129" s="5"/>
    </row>
    <row r="130" ht="12.75" customHeight="1">
      <c r="A130" s="57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13"/>
      <c r="AW130" s="1"/>
      <c r="AX130" s="1"/>
    </row>
    <row r="131" ht="12.75" customHeight="1">
      <c r="A131" s="30" t="s">
        <v>37</v>
      </c>
      <c r="B131" s="47" t="s">
        <v>110</v>
      </c>
      <c r="C131" s="48" t="s">
        <v>111</v>
      </c>
      <c r="D131" s="16"/>
      <c r="E131" s="69">
        <v>0.0</v>
      </c>
      <c r="F131" s="69">
        <v>1.0</v>
      </c>
      <c r="G131" s="69">
        <v>0.0</v>
      </c>
      <c r="H131" s="69">
        <v>1.0</v>
      </c>
      <c r="I131" s="69">
        <v>0.0</v>
      </c>
      <c r="J131" s="69">
        <v>0.0</v>
      </c>
      <c r="K131" s="69">
        <v>0.0</v>
      </c>
      <c r="L131" s="69">
        <v>0.0</v>
      </c>
      <c r="M131" s="69">
        <v>0.0</v>
      </c>
      <c r="N131" s="69">
        <v>0.0</v>
      </c>
      <c r="O131" s="69">
        <v>0.0</v>
      </c>
      <c r="P131" s="69">
        <v>1.0</v>
      </c>
      <c r="Q131" s="69">
        <v>1.0</v>
      </c>
      <c r="R131" s="69">
        <v>0.0</v>
      </c>
      <c r="S131" s="69">
        <v>1.0</v>
      </c>
      <c r="T131" s="69">
        <v>0.0</v>
      </c>
      <c r="U131" s="69">
        <v>0.0</v>
      </c>
      <c r="V131" s="69">
        <v>0.0</v>
      </c>
      <c r="W131" s="69">
        <v>2.0</v>
      </c>
      <c r="X131" s="69">
        <v>0.0</v>
      </c>
      <c r="Y131" s="69">
        <v>0.0</v>
      </c>
      <c r="Z131" s="69">
        <v>1.0</v>
      </c>
      <c r="AA131" s="69">
        <v>0.0</v>
      </c>
      <c r="AB131" s="69">
        <v>2.0</v>
      </c>
      <c r="AC131" s="69">
        <v>0.0</v>
      </c>
      <c r="AD131" s="69">
        <v>1.0</v>
      </c>
      <c r="AE131" s="69">
        <v>1.0</v>
      </c>
      <c r="AF131" s="69">
        <v>0.0</v>
      </c>
      <c r="AG131" s="69">
        <v>1.0</v>
      </c>
      <c r="AH131" s="69">
        <v>0.0</v>
      </c>
      <c r="AI131" s="69">
        <v>0.0</v>
      </c>
      <c r="AJ131" s="69">
        <v>0.0</v>
      </c>
      <c r="AK131" s="69">
        <v>0.0</v>
      </c>
      <c r="AL131" s="69">
        <v>0.0</v>
      </c>
      <c r="AM131" s="69">
        <v>1.0</v>
      </c>
      <c r="AN131" s="69">
        <v>1.0</v>
      </c>
      <c r="AO131" s="69">
        <v>0.0</v>
      </c>
      <c r="AP131" s="69">
        <v>0.0</v>
      </c>
      <c r="AQ131" s="69">
        <v>0.0</v>
      </c>
      <c r="AR131" s="69">
        <v>1.0</v>
      </c>
      <c r="AS131" s="69">
        <v>0.0</v>
      </c>
      <c r="AT131" s="69">
        <v>0.0</v>
      </c>
      <c r="AU131" s="69">
        <v>0.0</v>
      </c>
      <c r="AV131" s="13">
        <f t="shared" ref="AV131:AV136" si="36">SUM(E131:AU131)</f>
        <v>16</v>
      </c>
      <c r="AW131" s="53"/>
      <c r="AX131" s="53"/>
    </row>
    <row r="132" ht="12.75" customHeight="1">
      <c r="A132" s="30" t="s">
        <v>39</v>
      </c>
      <c r="B132" s="49"/>
      <c r="C132" s="50" t="s">
        <v>112</v>
      </c>
      <c r="D132" s="51"/>
      <c r="E132" s="69">
        <v>0.0</v>
      </c>
      <c r="F132" s="69">
        <v>0.0</v>
      </c>
      <c r="G132" s="69">
        <v>0.0</v>
      </c>
      <c r="H132" s="69">
        <v>0.0</v>
      </c>
      <c r="I132" s="69">
        <v>0.0</v>
      </c>
      <c r="J132" s="69">
        <v>0.0</v>
      </c>
      <c r="K132" s="69">
        <v>0.0</v>
      </c>
      <c r="L132" s="69">
        <v>0.0</v>
      </c>
      <c r="M132" s="69">
        <v>0.0</v>
      </c>
      <c r="N132" s="69">
        <v>1.0</v>
      </c>
      <c r="O132" s="69">
        <v>2.0</v>
      </c>
      <c r="P132" s="69">
        <v>0.0</v>
      </c>
      <c r="Q132" s="69">
        <v>0.0</v>
      </c>
      <c r="R132" s="69">
        <v>0.0</v>
      </c>
      <c r="S132" s="69">
        <v>0.0</v>
      </c>
      <c r="T132" s="69">
        <v>0.0</v>
      </c>
      <c r="U132" s="69">
        <v>0.0</v>
      </c>
      <c r="V132" s="69">
        <v>0.0</v>
      </c>
      <c r="W132" s="69">
        <v>0.0</v>
      </c>
      <c r="X132" s="69">
        <v>0.0</v>
      </c>
      <c r="Y132" s="69">
        <v>0.0</v>
      </c>
      <c r="Z132" s="69">
        <v>0.0</v>
      </c>
      <c r="AA132" s="69">
        <v>0.0</v>
      </c>
      <c r="AB132" s="69">
        <v>1.0</v>
      </c>
      <c r="AC132" s="69">
        <v>0.0</v>
      </c>
      <c r="AD132" s="69">
        <v>0.0</v>
      </c>
      <c r="AE132" s="69">
        <v>0.0</v>
      </c>
      <c r="AF132" s="69">
        <v>0.0</v>
      </c>
      <c r="AG132" s="69">
        <v>0.0</v>
      </c>
      <c r="AH132" s="69">
        <v>0.0</v>
      </c>
      <c r="AI132" s="69">
        <v>0.0</v>
      </c>
      <c r="AJ132" s="69">
        <v>0.0</v>
      </c>
      <c r="AK132" s="69">
        <v>0.0</v>
      </c>
      <c r="AL132" s="69">
        <v>0.0</v>
      </c>
      <c r="AM132" s="69">
        <v>0.0</v>
      </c>
      <c r="AN132" s="69">
        <v>0.0</v>
      </c>
      <c r="AO132" s="69">
        <v>0.0</v>
      </c>
      <c r="AP132" s="69">
        <v>0.0</v>
      </c>
      <c r="AQ132" s="69">
        <v>0.0</v>
      </c>
      <c r="AR132" s="69">
        <v>0.0</v>
      </c>
      <c r="AS132" s="69">
        <v>0.0</v>
      </c>
      <c r="AT132" s="69">
        <v>0.0</v>
      </c>
      <c r="AU132" s="69">
        <v>0.0</v>
      </c>
      <c r="AV132" s="13">
        <f t="shared" si="36"/>
        <v>4</v>
      </c>
      <c r="AW132" s="5"/>
      <c r="AX132" s="5"/>
    </row>
    <row r="133" ht="12.75" customHeight="1">
      <c r="A133" s="18"/>
      <c r="B133" s="49"/>
      <c r="C133" s="50" t="s">
        <v>113</v>
      </c>
      <c r="D133" s="51"/>
      <c r="E133" s="69">
        <v>0.0</v>
      </c>
      <c r="F133" s="69">
        <v>0.0</v>
      </c>
      <c r="G133" s="69">
        <v>1.0</v>
      </c>
      <c r="H133" s="69">
        <v>5.0</v>
      </c>
      <c r="I133" s="69">
        <v>2.0</v>
      </c>
      <c r="J133" s="69">
        <v>0.0</v>
      </c>
      <c r="K133" s="69">
        <v>0.0</v>
      </c>
      <c r="L133" s="69">
        <v>1.0</v>
      </c>
      <c r="M133" s="69">
        <v>0.0</v>
      </c>
      <c r="N133" s="69">
        <v>0.0</v>
      </c>
      <c r="O133" s="69">
        <v>0.0</v>
      </c>
      <c r="P133" s="69">
        <v>1.0</v>
      </c>
      <c r="Q133" s="69">
        <v>0.0</v>
      </c>
      <c r="R133" s="69">
        <v>3.0</v>
      </c>
      <c r="S133" s="69">
        <v>0.0</v>
      </c>
      <c r="T133" s="69">
        <v>5.0</v>
      </c>
      <c r="U133" s="69">
        <v>1.0</v>
      </c>
      <c r="V133" s="69">
        <v>1.0</v>
      </c>
      <c r="W133" s="69">
        <v>1.0</v>
      </c>
      <c r="X133" s="69">
        <v>0.0</v>
      </c>
      <c r="Y133" s="69">
        <v>0.0</v>
      </c>
      <c r="Z133" s="69">
        <v>2.0</v>
      </c>
      <c r="AA133" s="69">
        <v>2.0</v>
      </c>
      <c r="AB133" s="69">
        <v>0.0</v>
      </c>
      <c r="AC133" s="69">
        <v>1.0</v>
      </c>
      <c r="AD133" s="69">
        <v>0.0</v>
      </c>
      <c r="AE133" s="69">
        <v>0.0</v>
      </c>
      <c r="AF133" s="69">
        <v>0.0</v>
      </c>
      <c r="AG133" s="69">
        <v>0.0</v>
      </c>
      <c r="AH133" s="69">
        <v>1.0</v>
      </c>
      <c r="AI133" s="69">
        <v>0.0</v>
      </c>
      <c r="AJ133" s="69">
        <v>0.0</v>
      </c>
      <c r="AK133" s="69">
        <v>0.0</v>
      </c>
      <c r="AL133" s="69">
        <v>0.0</v>
      </c>
      <c r="AM133" s="69">
        <v>0.0</v>
      </c>
      <c r="AN133" s="69">
        <v>0.0</v>
      </c>
      <c r="AO133" s="69">
        <v>0.0</v>
      </c>
      <c r="AP133" s="69">
        <v>0.0</v>
      </c>
      <c r="AQ133" s="69">
        <v>0.0</v>
      </c>
      <c r="AR133" s="69">
        <v>1.0</v>
      </c>
      <c r="AS133" s="69">
        <v>0.0</v>
      </c>
      <c r="AT133" s="69">
        <v>1.0</v>
      </c>
      <c r="AU133" s="69">
        <v>0.0</v>
      </c>
      <c r="AV133" s="13">
        <f t="shared" si="36"/>
        <v>29</v>
      </c>
      <c r="AW133" s="5"/>
      <c r="AX133" s="5"/>
    </row>
    <row r="134" ht="12.75" customHeight="1">
      <c r="A134" s="18"/>
      <c r="B134" s="49"/>
      <c r="C134" s="50" t="s">
        <v>114</v>
      </c>
      <c r="D134" s="51"/>
      <c r="E134" s="69">
        <v>0.0</v>
      </c>
      <c r="F134" s="69">
        <v>0.0</v>
      </c>
      <c r="G134" s="69">
        <v>0.0</v>
      </c>
      <c r="H134" s="69">
        <v>0.0</v>
      </c>
      <c r="I134" s="69">
        <v>0.0</v>
      </c>
      <c r="J134" s="69">
        <v>0.0</v>
      </c>
      <c r="K134" s="69">
        <v>0.0</v>
      </c>
      <c r="L134" s="69">
        <v>0.0</v>
      </c>
      <c r="M134" s="69">
        <v>0.0</v>
      </c>
      <c r="N134" s="69">
        <v>0.0</v>
      </c>
      <c r="O134" s="69">
        <v>0.0</v>
      </c>
      <c r="P134" s="69">
        <v>0.0</v>
      </c>
      <c r="Q134" s="69">
        <v>0.0</v>
      </c>
      <c r="R134" s="69">
        <v>0.0</v>
      </c>
      <c r="S134" s="69">
        <v>0.0</v>
      </c>
      <c r="T134" s="69">
        <v>0.0</v>
      </c>
      <c r="U134" s="69">
        <v>0.0</v>
      </c>
      <c r="V134" s="69">
        <v>0.0</v>
      </c>
      <c r="W134" s="69">
        <v>0.0</v>
      </c>
      <c r="X134" s="69">
        <v>0.0</v>
      </c>
      <c r="Y134" s="69">
        <v>0.0</v>
      </c>
      <c r="Z134" s="69">
        <v>0.0</v>
      </c>
      <c r="AA134" s="69">
        <v>0.0</v>
      </c>
      <c r="AB134" s="69">
        <v>0.0</v>
      </c>
      <c r="AC134" s="69">
        <v>0.0</v>
      </c>
      <c r="AD134" s="69">
        <v>0.0</v>
      </c>
      <c r="AE134" s="69">
        <v>0.0</v>
      </c>
      <c r="AF134" s="69">
        <v>0.0</v>
      </c>
      <c r="AG134" s="69">
        <v>0.0</v>
      </c>
      <c r="AH134" s="69">
        <v>0.0</v>
      </c>
      <c r="AI134" s="69">
        <v>0.0</v>
      </c>
      <c r="AJ134" s="69">
        <v>0.0</v>
      </c>
      <c r="AK134" s="69">
        <v>0.0</v>
      </c>
      <c r="AL134" s="69">
        <v>0.0</v>
      </c>
      <c r="AM134" s="69">
        <v>0.0</v>
      </c>
      <c r="AN134" s="69">
        <v>0.0</v>
      </c>
      <c r="AO134" s="69">
        <v>0.0</v>
      </c>
      <c r="AP134" s="69">
        <v>0.0</v>
      </c>
      <c r="AQ134" s="69">
        <v>0.0</v>
      </c>
      <c r="AR134" s="69">
        <v>0.0</v>
      </c>
      <c r="AS134" s="69">
        <v>0.0</v>
      </c>
      <c r="AT134" s="69">
        <v>0.0</v>
      </c>
      <c r="AU134" s="69">
        <v>0.0</v>
      </c>
      <c r="AV134" s="13">
        <f t="shared" si="36"/>
        <v>0</v>
      </c>
      <c r="AW134" s="5"/>
      <c r="AX134" s="5"/>
    </row>
    <row r="135" ht="12.75" customHeight="1">
      <c r="A135" s="18"/>
      <c r="B135" s="49"/>
      <c r="C135" s="50" t="s">
        <v>115</v>
      </c>
      <c r="D135" s="51"/>
      <c r="E135" s="69">
        <v>0.0</v>
      </c>
      <c r="F135" s="69">
        <v>0.0</v>
      </c>
      <c r="G135" s="69">
        <v>0.0</v>
      </c>
      <c r="H135" s="69">
        <v>0.0</v>
      </c>
      <c r="I135" s="69">
        <v>0.0</v>
      </c>
      <c r="J135" s="69">
        <v>0.0</v>
      </c>
      <c r="K135" s="69">
        <v>0.0</v>
      </c>
      <c r="L135" s="69">
        <v>0.0</v>
      </c>
      <c r="M135" s="69">
        <v>0.0</v>
      </c>
      <c r="N135" s="69">
        <v>0.0</v>
      </c>
      <c r="O135" s="69">
        <v>0.0</v>
      </c>
      <c r="P135" s="69">
        <v>0.0</v>
      </c>
      <c r="Q135" s="69">
        <v>0.0</v>
      </c>
      <c r="R135" s="69">
        <v>0.0</v>
      </c>
      <c r="S135" s="69">
        <v>0.0</v>
      </c>
      <c r="T135" s="69">
        <v>0.0</v>
      </c>
      <c r="U135" s="69">
        <v>0.0</v>
      </c>
      <c r="V135" s="69">
        <v>0.0</v>
      </c>
      <c r="W135" s="69">
        <v>0.0</v>
      </c>
      <c r="X135" s="69">
        <v>0.0</v>
      </c>
      <c r="Y135" s="69">
        <v>0.0</v>
      </c>
      <c r="Z135" s="69">
        <v>0.0</v>
      </c>
      <c r="AA135" s="69">
        <v>0.0</v>
      </c>
      <c r="AB135" s="69">
        <v>0.0</v>
      </c>
      <c r="AC135" s="69">
        <v>0.0</v>
      </c>
      <c r="AD135" s="69">
        <v>0.0</v>
      </c>
      <c r="AE135" s="69">
        <v>0.0</v>
      </c>
      <c r="AF135" s="69">
        <v>0.0</v>
      </c>
      <c r="AG135" s="69">
        <v>0.0</v>
      </c>
      <c r="AH135" s="69">
        <v>0.0</v>
      </c>
      <c r="AI135" s="69">
        <v>0.0</v>
      </c>
      <c r="AJ135" s="69">
        <v>0.0</v>
      </c>
      <c r="AK135" s="69">
        <v>0.0</v>
      </c>
      <c r="AL135" s="69">
        <v>0.0</v>
      </c>
      <c r="AM135" s="69">
        <v>0.0</v>
      </c>
      <c r="AN135" s="69">
        <v>0.0</v>
      </c>
      <c r="AO135" s="69">
        <v>0.0</v>
      </c>
      <c r="AP135" s="69">
        <v>0.0</v>
      </c>
      <c r="AQ135" s="69">
        <v>0.0</v>
      </c>
      <c r="AR135" s="69">
        <v>0.0</v>
      </c>
      <c r="AS135" s="69">
        <v>0.0</v>
      </c>
      <c r="AT135" s="69">
        <v>0.0</v>
      </c>
      <c r="AU135" s="69">
        <v>0.0</v>
      </c>
      <c r="AV135" s="13">
        <f t="shared" si="36"/>
        <v>0</v>
      </c>
      <c r="AW135" s="5"/>
      <c r="AX135" s="5"/>
    </row>
    <row r="136" ht="12.75" customHeight="1">
      <c r="A136" s="19" t="s">
        <v>15</v>
      </c>
      <c r="B136" s="47" t="s">
        <v>47</v>
      </c>
      <c r="C136" s="15"/>
      <c r="D136" s="16"/>
      <c r="E136" s="56">
        <f t="shared" ref="E136:AU136" si="37">SUM(E131:E135)</f>
        <v>0</v>
      </c>
      <c r="F136" s="56">
        <f t="shared" si="37"/>
        <v>1</v>
      </c>
      <c r="G136" s="56">
        <f t="shared" si="37"/>
        <v>1</v>
      </c>
      <c r="H136" s="56">
        <f t="shared" si="37"/>
        <v>6</v>
      </c>
      <c r="I136" s="56">
        <f t="shared" si="37"/>
        <v>2</v>
      </c>
      <c r="J136" s="56">
        <f t="shared" si="37"/>
        <v>0</v>
      </c>
      <c r="K136" s="56">
        <f t="shared" si="37"/>
        <v>0</v>
      </c>
      <c r="L136" s="56">
        <f t="shared" si="37"/>
        <v>1</v>
      </c>
      <c r="M136" s="56">
        <f t="shared" si="37"/>
        <v>0</v>
      </c>
      <c r="N136" s="56">
        <f t="shared" si="37"/>
        <v>1</v>
      </c>
      <c r="O136" s="56">
        <f t="shared" si="37"/>
        <v>2</v>
      </c>
      <c r="P136" s="56">
        <f t="shared" si="37"/>
        <v>2</v>
      </c>
      <c r="Q136" s="56">
        <f t="shared" si="37"/>
        <v>1</v>
      </c>
      <c r="R136" s="56">
        <f t="shared" si="37"/>
        <v>3</v>
      </c>
      <c r="S136" s="56">
        <f t="shared" si="37"/>
        <v>1</v>
      </c>
      <c r="T136" s="56">
        <f t="shared" si="37"/>
        <v>5</v>
      </c>
      <c r="U136" s="56">
        <f t="shared" si="37"/>
        <v>1</v>
      </c>
      <c r="V136" s="56">
        <f t="shared" si="37"/>
        <v>1</v>
      </c>
      <c r="W136" s="56">
        <f t="shared" si="37"/>
        <v>3</v>
      </c>
      <c r="X136" s="56">
        <f t="shared" si="37"/>
        <v>0</v>
      </c>
      <c r="Y136" s="56">
        <f t="shared" si="37"/>
        <v>0</v>
      </c>
      <c r="Z136" s="56">
        <f t="shared" si="37"/>
        <v>3</v>
      </c>
      <c r="AA136" s="56">
        <f t="shared" si="37"/>
        <v>2</v>
      </c>
      <c r="AB136" s="56">
        <f t="shared" si="37"/>
        <v>3</v>
      </c>
      <c r="AC136" s="56">
        <f t="shared" si="37"/>
        <v>1</v>
      </c>
      <c r="AD136" s="56">
        <f t="shared" si="37"/>
        <v>1</v>
      </c>
      <c r="AE136" s="56">
        <f t="shared" si="37"/>
        <v>1</v>
      </c>
      <c r="AF136" s="56">
        <f t="shared" si="37"/>
        <v>0</v>
      </c>
      <c r="AG136" s="56">
        <f t="shared" si="37"/>
        <v>1</v>
      </c>
      <c r="AH136" s="56">
        <f t="shared" si="37"/>
        <v>1</v>
      </c>
      <c r="AI136" s="56">
        <f t="shared" si="37"/>
        <v>0</v>
      </c>
      <c r="AJ136" s="56">
        <f t="shared" si="37"/>
        <v>0</v>
      </c>
      <c r="AK136" s="56">
        <f t="shared" si="37"/>
        <v>0</v>
      </c>
      <c r="AL136" s="56">
        <f t="shared" si="37"/>
        <v>0</v>
      </c>
      <c r="AM136" s="56">
        <f t="shared" si="37"/>
        <v>1</v>
      </c>
      <c r="AN136" s="56">
        <f t="shared" si="37"/>
        <v>1</v>
      </c>
      <c r="AO136" s="56">
        <f t="shared" si="37"/>
        <v>0</v>
      </c>
      <c r="AP136" s="56">
        <f t="shared" si="37"/>
        <v>0</v>
      </c>
      <c r="AQ136" s="56">
        <f t="shared" si="37"/>
        <v>0</v>
      </c>
      <c r="AR136" s="56">
        <f t="shared" si="37"/>
        <v>2</v>
      </c>
      <c r="AS136" s="56">
        <f t="shared" si="37"/>
        <v>0</v>
      </c>
      <c r="AT136" s="56">
        <f t="shared" si="37"/>
        <v>1</v>
      </c>
      <c r="AU136" s="56">
        <f t="shared" si="37"/>
        <v>0</v>
      </c>
      <c r="AV136" s="13">
        <f t="shared" si="36"/>
        <v>49</v>
      </c>
      <c r="AW136" s="5"/>
      <c r="AX136" s="5"/>
    </row>
    <row r="137" ht="12.75" customHeight="1">
      <c r="A137" s="57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13"/>
      <c r="AW137" s="5"/>
      <c r="AX137" s="5"/>
    </row>
    <row r="138" ht="12.75" customHeight="1">
      <c r="A138" s="30" t="s">
        <v>37</v>
      </c>
      <c r="B138" s="47" t="s">
        <v>116</v>
      </c>
      <c r="C138" s="48" t="s">
        <v>117</v>
      </c>
      <c r="D138" s="16"/>
      <c r="E138" s="69">
        <v>0.0</v>
      </c>
      <c r="F138" s="69">
        <v>0.0</v>
      </c>
      <c r="G138" s="69">
        <v>0.0</v>
      </c>
      <c r="H138" s="69">
        <v>0.0</v>
      </c>
      <c r="I138" s="69">
        <v>0.0</v>
      </c>
      <c r="J138" s="69">
        <v>0.0</v>
      </c>
      <c r="K138" s="69">
        <v>0.0</v>
      </c>
      <c r="L138" s="69">
        <v>0.0</v>
      </c>
      <c r="M138" s="69">
        <v>0.0</v>
      </c>
      <c r="N138" s="69">
        <v>0.0</v>
      </c>
      <c r="O138" s="69">
        <v>0.0</v>
      </c>
      <c r="P138" s="69">
        <v>0.0</v>
      </c>
      <c r="Q138" s="69">
        <v>0.0</v>
      </c>
      <c r="R138" s="69">
        <v>0.0</v>
      </c>
      <c r="S138" s="69">
        <v>0.0</v>
      </c>
      <c r="T138" s="69">
        <v>0.0</v>
      </c>
      <c r="U138" s="69">
        <v>0.0</v>
      </c>
      <c r="V138" s="69">
        <v>0.0</v>
      </c>
      <c r="W138" s="69">
        <v>0.0</v>
      </c>
      <c r="X138" s="69">
        <v>0.0</v>
      </c>
      <c r="Y138" s="69">
        <v>0.0</v>
      </c>
      <c r="Z138" s="69">
        <v>0.0</v>
      </c>
      <c r="AA138" s="69">
        <v>0.0</v>
      </c>
      <c r="AB138" s="69">
        <v>0.0</v>
      </c>
      <c r="AC138" s="69">
        <v>0.0</v>
      </c>
      <c r="AD138" s="69">
        <v>0.0</v>
      </c>
      <c r="AE138" s="69">
        <v>0.0</v>
      </c>
      <c r="AF138" s="69">
        <v>0.0</v>
      </c>
      <c r="AG138" s="69">
        <v>0.0</v>
      </c>
      <c r="AH138" s="69">
        <v>0.0</v>
      </c>
      <c r="AI138" s="69">
        <v>0.0</v>
      </c>
      <c r="AJ138" s="69">
        <v>0.0</v>
      </c>
      <c r="AK138" s="69">
        <v>0.0</v>
      </c>
      <c r="AL138" s="69">
        <v>0.0</v>
      </c>
      <c r="AM138" s="69">
        <v>0.0</v>
      </c>
      <c r="AN138" s="69">
        <v>0.0</v>
      </c>
      <c r="AO138" s="69">
        <v>0.0</v>
      </c>
      <c r="AP138" s="69">
        <v>0.0</v>
      </c>
      <c r="AQ138" s="69">
        <v>0.0</v>
      </c>
      <c r="AR138" s="69">
        <v>0.0</v>
      </c>
      <c r="AS138" s="69">
        <v>0.0</v>
      </c>
      <c r="AT138" s="69">
        <v>0.0</v>
      </c>
      <c r="AU138" s="69">
        <v>0.0</v>
      </c>
      <c r="AV138" s="13">
        <f t="shared" ref="AV138:AV146" si="38">SUM(E138:AU138)</f>
        <v>0</v>
      </c>
      <c r="AW138" s="5"/>
      <c r="AX138" s="5"/>
    </row>
    <row r="139" ht="15.0" customHeight="1">
      <c r="A139" s="30" t="s">
        <v>39</v>
      </c>
      <c r="B139" s="49"/>
      <c r="C139" s="50" t="s">
        <v>118</v>
      </c>
      <c r="D139" s="51"/>
      <c r="E139" s="69">
        <v>0.0</v>
      </c>
      <c r="F139" s="69">
        <v>0.0</v>
      </c>
      <c r="G139" s="69">
        <v>0.0</v>
      </c>
      <c r="H139" s="69">
        <v>0.0</v>
      </c>
      <c r="I139" s="69">
        <v>0.0</v>
      </c>
      <c r="J139" s="69">
        <v>0.0</v>
      </c>
      <c r="K139" s="69">
        <v>0.0</v>
      </c>
      <c r="L139" s="69">
        <v>0.0</v>
      </c>
      <c r="M139" s="69">
        <v>0.0</v>
      </c>
      <c r="N139" s="69">
        <v>0.0</v>
      </c>
      <c r="O139" s="69">
        <v>0.0</v>
      </c>
      <c r="P139" s="69">
        <v>0.0</v>
      </c>
      <c r="Q139" s="69">
        <v>0.0</v>
      </c>
      <c r="R139" s="69">
        <v>0.0</v>
      </c>
      <c r="S139" s="69">
        <v>0.0</v>
      </c>
      <c r="T139" s="69">
        <v>0.0</v>
      </c>
      <c r="U139" s="69">
        <v>0.0</v>
      </c>
      <c r="V139" s="69">
        <v>0.0</v>
      </c>
      <c r="W139" s="69">
        <v>0.0</v>
      </c>
      <c r="X139" s="69">
        <v>0.0</v>
      </c>
      <c r="Y139" s="69">
        <v>0.0</v>
      </c>
      <c r="Z139" s="69">
        <v>0.0</v>
      </c>
      <c r="AA139" s="69">
        <v>0.0</v>
      </c>
      <c r="AB139" s="69">
        <v>0.0</v>
      </c>
      <c r="AC139" s="69">
        <v>0.0</v>
      </c>
      <c r="AD139" s="69">
        <v>0.0</v>
      </c>
      <c r="AE139" s="69">
        <v>0.0</v>
      </c>
      <c r="AF139" s="69">
        <v>0.0</v>
      </c>
      <c r="AG139" s="69">
        <v>0.0</v>
      </c>
      <c r="AH139" s="69">
        <v>0.0</v>
      </c>
      <c r="AI139" s="69">
        <v>0.0</v>
      </c>
      <c r="AJ139" s="69">
        <v>0.0</v>
      </c>
      <c r="AK139" s="69">
        <v>0.0</v>
      </c>
      <c r="AL139" s="69">
        <v>0.0</v>
      </c>
      <c r="AM139" s="69">
        <v>0.0</v>
      </c>
      <c r="AN139" s="69">
        <v>0.0</v>
      </c>
      <c r="AO139" s="69">
        <v>0.0</v>
      </c>
      <c r="AP139" s="69">
        <v>0.0</v>
      </c>
      <c r="AQ139" s="69">
        <v>0.0</v>
      </c>
      <c r="AR139" s="69">
        <v>0.0</v>
      </c>
      <c r="AS139" s="69">
        <v>0.0</v>
      </c>
      <c r="AT139" s="69">
        <v>0.0</v>
      </c>
      <c r="AU139" s="69">
        <v>0.0</v>
      </c>
      <c r="AV139" s="13">
        <f t="shared" si="38"/>
        <v>0</v>
      </c>
      <c r="AW139" s="5"/>
      <c r="AX139" s="5"/>
    </row>
    <row r="140" ht="12.75" customHeight="1">
      <c r="A140" s="18"/>
      <c r="B140" s="49"/>
      <c r="C140" s="50" t="s">
        <v>119</v>
      </c>
      <c r="D140" s="51"/>
      <c r="E140" s="69">
        <v>0.0</v>
      </c>
      <c r="F140" s="69">
        <v>0.0</v>
      </c>
      <c r="G140" s="69">
        <v>0.0</v>
      </c>
      <c r="H140" s="69">
        <v>0.0</v>
      </c>
      <c r="I140" s="69">
        <v>0.0</v>
      </c>
      <c r="J140" s="69">
        <v>0.0</v>
      </c>
      <c r="K140" s="69">
        <v>0.0</v>
      </c>
      <c r="L140" s="69">
        <v>0.0</v>
      </c>
      <c r="M140" s="69">
        <v>0.0</v>
      </c>
      <c r="N140" s="69">
        <v>0.0</v>
      </c>
      <c r="O140" s="69">
        <v>0.0</v>
      </c>
      <c r="P140" s="69">
        <v>0.0</v>
      </c>
      <c r="Q140" s="69">
        <v>0.0</v>
      </c>
      <c r="R140" s="69">
        <v>0.0</v>
      </c>
      <c r="S140" s="69">
        <v>0.0</v>
      </c>
      <c r="T140" s="69">
        <v>0.0</v>
      </c>
      <c r="U140" s="69">
        <v>0.0</v>
      </c>
      <c r="V140" s="69">
        <v>0.0</v>
      </c>
      <c r="W140" s="69">
        <v>1.0</v>
      </c>
      <c r="X140" s="69">
        <v>0.0</v>
      </c>
      <c r="Y140" s="69">
        <v>0.0</v>
      </c>
      <c r="Z140" s="69">
        <v>0.0</v>
      </c>
      <c r="AA140" s="69">
        <v>0.0</v>
      </c>
      <c r="AB140" s="69">
        <v>0.0</v>
      </c>
      <c r="AC140" s="69">
        <v>0.0</v>
      </c>
      <c r="AD140" s="69">
        <v>0.0</v>
      </c>
      <c r="AE140" s="69">
        <v>0.0</v>
      </c>
      <c r="AF140" s="69">
        <v>0.0</v>
      </c>
      <c r="AG140" s="69">
        <v>0.0</v>
      </c>
      <c r="AH140" s="69">
        <v>0.0</v>
      </c>
      <c r="AI140" s="69">
        <v>0.0</v>
      </c>
      <c r="AJ140" s="69">
        <v>0.0</v>
      </c>
      <c r="AK140" s="69">
        <v>0.0</v>
      </c>
      <c r="AL140" s="69">
        <v>0.0</v>
      </c>
      <c r="AM140" s="69">
        <v>1.0</v>
      </c>
      <c r="AN140" s="69">
        <v>0.0</v>
      </c>
      <c r="AO140" s="69">
        <v>0.0</v>
      </c>
      <c r="AP140" s="69">
        <v>0.0</v>
      </c>
      <c r="AQ140" s="69">
        <v>0.0</v>
      </c>
      <c r="AR140" s="69">
        <v>0.0</v>
      </c>
      <c r="AS140" s="69">
        <v>0.0</v>
      </c>
      <c r="AT140" s="69">
        <v>0.0</v>
      </c>
      <c r="AU140" s="69">
        <v>0.0</v>
      </c>
      <c r="AV140" s="13">
        <f t="shared" si="38"/>
        <v>2</v>
      </c>
      <c r="AW140" s="5"/>
      <c r="AX140" s="5"/>
    </row>
    <row r="141" ht="12.75" customHeight="1">
      <c r="A141" s="18"/>
      <c r="B141" s="49"/>
      <c r="C141" s="50" t="s">
        <v>120</v>
      </c>
      <c r="D141" s="51"/>
      <c r="E141" s="69">
        <v>0.0</v>
      </c>
      <c r="F141" s="69">
        <v>0.0</v>
      </c>
      <c r="G141" s="69">
        <v>0.0</v>
      </c>
      <c r="H141" s="69">
        <v>0.0</v>
      </c>
      <c r="I141" s="69">
        <v>0.0</v>
      </c>
      <c r="J141" s="69">
        <v>0.0</v>
      </c>
      <c r="K141" s="69">
        <v>0.0</v>
      </c>
      <c r="L141" s="69">
        <v>0.0</v>
      </c>
      <c r="M141" s="69">
        <v>0.0</v>
      </c>
      <c r="N141" s="69">
        <v>0.0</v>
      </c>
      <c r="O141" s="69">
        <v>0.0</v>
      </c>
      <c r="P141" s="69">
        <v>0.0</v>
      </c>
      <c r="Q141" s="69">
        <v>0.0</v>
      </c>
      <c r="R141" s="69">
        <v>0.0</v>
      </c>
      <c r="S141" s="69">
        <v>0.0</v>
      </c>
      <c r="T141" s="69">
        <v>0.0</v>
      </c>
      <c r="U141" s="69">
        <v>0.0</v>
      </c>
      <c r="V141" s="69">
        <v>0.0</v>
      </c>
      <c r="W141" s="69">
        <v>0.0</v>
      </c>
      <c r="X141" s="69">
        <v>0.0</v>
      </c>
      <c r="Y141" s="69">
        <v>0.0</v>
      </c>
      <c r="Z141" s="69">
        <v>1.0</v>
      </c>
      <c r="AA141" s="69">
        <v>0.0</v>
      </c>
      <c r="AB141" s="69">
        <v>0.0</v>
      </c>
      <c r="AC141" s="69">
        <v>0.0</v>
      </c>
      <c r="AD141" s="69">
        <v>0.0</v>
      </c>
      <c r="AE141" s="69">
        <v>0.0</v>
      </c>
      <c r="AF141" s="69">
        <v>0.0</v>
      </c>
      <c r="AG141" s="69">
        <v>0.0</v>
      </c>
      <c r="AH141" s="69">
        <v>0.0</v>
      </c>
      <c r="AI141" s="69">
        <v>0.0</v>
      </c>
      <c r="AJ141" s="69">
        <v>0.0</v>
      </c>
      <c r="AK141" s="69">
        <v>0.0</v>
      </c>
      <c r="AL141" s="69">
        <v>0.0</v>
      </c>
      <c r="AM141" s="69">
        <v>0.0</v>
      </c>
      <c r="AN141" s="69">
        <v>0.0</v>
      </c>
      <c r="AO141" s="69">
        <v>0.0</v>
      </c>
      <c r="AP141" s="69">
        <v>0.0</v>
      </c>
      <c r="AQ141" s="69">
        <v>0.0</v>
      </c>
      <c r="AR141" s="69">
        <v>0.0</v>
      </c>
      <c r="AS141" s="69">
        <v>0.0</v>
      </c>
      <c r="AT141" s="69">
        <v>0.0</v>
      </c>
      <c r="AU141" s="69">
        <v>0.0</v>
      </c>
      <c r="AV141" s="13">
        <f t="shared" si="38"/>
        <v>1</v>
      </c>
      <c r="AW141" s="1"/>
      <c r="AX141" s="1"/>
    </row>
    <row r="142" ht="12.75" customHeight="1">
      <c r="A142" s="18"/>
      <c r="B142" s="49"/>
      <c r="C142" s="50" t="s">
        <v>121</v>
      </c>
      <c r="D142" s="51"/>
      <c r="E142" s="69">
        <v>0.0</v>
      </c>
      <c r="F142" s="69">
        <v>0.0</v>
      </c>
      <c r="G142" s="69">
        <v>0.0</v>
      </c>
      <c r="H142" s="69">
        <v>0.0</v>
      </c>
      <c r="I142" s="69">
        <v>0.0</v>
      </c>
      <c r="J142" s="69">
        <v>0.0</v>
      </c>
      <c r="K142" s="69">
        <v>0.0</v>
      </c>
      <c r="L142" s="69">
        <v>0.0</v>
      </c>
      <c r="M142" s="69">
        <v>0.0</v>
      </c>
      <c r="N142" s="69">
        <v>0.0</v>
      </c>
      <c r="O142" s="69">
        <v>0.0</v>
      </c>
      <c r="P142" s="69">
        <v>0.0</v>
      </c>
      <c r="Q142" s="69">
        <v>0.0</v>
      </c>
      <c r="R142" s="69">
        <v>0.0</v>
      </c>
      <c r="S142" s="69">
        <v>0.0</v>
      </c>
      <c r="T142" s="69">
        <v>0.0</v>
      </c>
      <c r="U142" s="69">
        <v>0.0</v>
      </c>
      <c r="V142" s="69">
        <v>0.0</v>
      </c>
      <c r="W142" s="69">
        <v>0.0</v>
      </c>
      <c r="X142" s="69">
        <v>0.0</v>
      </c>
      <c r="Y142" s="69">
        <v>0.0</v>
      </c>
      <c r="Z142" s="69">
        <v>0.0</v>
      </c>
      <c r="AA142" s="69">
        <v>0.0</v>
      </c>
      <c r="AB142" s="69">
        <v>0.0</v>
      </c>
      <c r="AC142" s="69">
        <v>0.0</v>
      </c>
      <c r="AD142" s="69">
        <v>0.0</v>
      </c>
      <c r="AE142" s="69">
        <v>0.0</v>
      </c>
      <c r="AF142" s="69">
        <v>0.0</v>
      </c>
      <c r="AG142" s="69">
        <v>0.0</v>
      </c>
      <c r="AH142" s="69">
        <v>0.0</v>
      </c>
      <c r="AI142" s="69">
        <v>0.0</v>
      </c>
      <c r="AJ142" s="69">
        <v>0.0</v>
      </c>
      <c r="AK142" s="69">
        <v>0.0</v>
      </c>
      <c r="AL142" s="69">
        <v>0.0</v>
      </c>
      <c r="AM142" s="69">
        <v>0.0</v>
      </c>
      <c r="AN142" s="69">
        <v>0.0</v>
      </c>
      <c r="AO142" s="69">
        <v>0.0</v>
      </c>
      <c r="AP142" s="69">
        <v>0.0</v>
      </c>
      <c r="AQ142" s="69">
        <v>0.0</v>
      </c>
      <c r="AR142" s="69">
        <v>0.0</v>
      </c>
      <c r="AS142" s="69">
        <v>0.0</v>
      </c>
      <c r="AT142" s="69">
        <v>0.0</v>
      </c>
      <c r="AU142" s="69">
        <v>0.0</v>
      </c>
      <c r="AV142" s="13">
        <f t="shared" si="38"/>
        <v>0</v>
      </c>
      <c r="AW142" s="53"/>
      <c r="AX142" s="53"/>
    </row>
    <row r="143" ht="12.75" customHeight="1">
      <c r="A143" s="18"/>
      <c r="B143" s="49"/>
      <c r="C143" s="50" t="s">
        <v>122</v>
      </c>
      <c r="D143" s="51"/>
      <c r="E143" s="69">
        <v>0.0</v>
      </c>
      <c r="F143" s="69">
        <v>0.0</v>
      </c>
      <c r="G143" s="69">
        <v>0.0</v>
      </c>
      <c r="H143" s="69">
        <v>0.0</v>
      </c>
      <c r="I143" s="69">
        <v>0.0</v>
      </c>
      <c r="J143" s="69">
        <v>0.0</v>
      </c>
      <c r="K143" s="69">
        <v>0.0</v>
      </c>
      <c r="L143" s="69">
        <v>0.0</v>
      </c>
      <c r="M143" s="69">
        <v>0.0</v>
      </c>
      <c r="N143" s="69">
        <v>0.0</v>
      </c>
      <c r="O143" s="69">
        <v>0.0</v>
      </c>
      <c r="P143" s="69">
        <v>0.0</v>
      </c>
      <c r="Q143" s="69">
        <v>0.0</v>
      </c>
      <c r="R143" s="69">
        <v>0.0</v>
      </c>
      <c r="S143" s="69">
        <v>0.0</v>
      </c>
      <c r="T143" s="69">
        <v>0.0</v>
      </c>
      <c r="U143" s="69">
        <v>0.0</v>
      </c>
      <c r="V143" s="69">
        <v>0.0</v>
      </c>
      <c r="W143" s="69">
        <v>0.0</v>
      </c>
      <c r="X143" s="69">
        <v>0.0</v>
      </c>
      <c r="Y143" s="69">
        <v>0.0</v>
      </c>
      <c r="Z143" s="69">
        <v>0.0</v>
      </c>
      <c r="AA143" s="69">
        <v>0.0</v>
      </c>
      <c r="AB143" s="69">
        <v>0.0</v>
      </c>
      <c r="AC143" s="69">
        <v>0.0</v>
      </c>
      <c r="AD143" s="69">
        <v>0.0</v>
      </c>
      <c r="AE143" s="69">
        <v>0.0</v>
      </c>
      <c r="AF143" s="69">
        <v>0.0</v>
      </c>
      <c r="AG143" s="69">
        <v>0.0</v>
      </c>
      <c r="AH143" s="69">
        <v>0.0</v>
      </c>
      <c r="AI143" s="69">
        <v>0.0</v>
      </c>
      <c r="AJ143" s="69">
        <v>0.0</v>
      </c>
      <c r="AK143" s="69">
        <v>0.0</v>
      </c>
      <c r="AL143" s="69">
        <v>0.0</v>
      </c>
      <c r="AM143" s="69">
        <v>0.0</v>
      </c>
      <c r="AN143" s="69">
        <v>0.0</v>
      </c>
      <c r="AO143" s="69">
        <v>0.0</v>
      </c>
      <c r="AP143" s="69">
        <v>0.0</v>
      </c>
      <c r="AQ143" s="69">
        <v>0.0</v>
      </c>
      <c r="AR143" s="69">
        <v>0.0</v>
      </c>
      <c r="AS143" s="69">
        <v>0.0</v>
      </c>
      <c r="AT143" s="69">
        <v>0.0</v>
      </c>
      <c r="AU143" s="69">
        <v>0.0</v>
      </c>
      <c r="AV143" s="13">
        <f t="shared" si="38"/>
        <v>0</v>
      </c>
      <c r="AW143" s="5"/>
      <c r="AX143" s="5"/>
    </row>
    <row r="144" ht="12.75" customHeight="1">
      <c r="A144" s="18"/>
      <c r="B144" s="49"/>
      <c r="C144" s="50" t="s">
        <v>123</v>
      </c>
      <c r="D144" s="51"/>
      <c r="E144" s="69">
        <v>0.0</v>
      </c>
      <c r="F144" s="69">
        <v>0.0</v>
      </c>
      <c r="G144" s="69">
        <v>0.0</v>
      </c>
      <c r="H144" s="69">
        <v>0.0</v>
      </c>
      <c r="I144" s="69">
        <v>0.0</v>
      </c>
      <c r="J144" s="69">
        <v>0.0</v>
      </c>
      <c r="K144" s="69">
        <v>0.0</v>
      </c>
      <c r="L144" s="69">
        <v>0.0</v>
      </c>
      <c r="M144" s="69">
        <v>0.0</v>
      </c>
      <c r="N144" s="69">
        <v>0.0</v>
      </c>
      <c r="O144" s="69">
        <v>0.0</v>
      </c>
      <c r="P144" s="69">
        <v>1.0</v>
      </c>
      <c r="Q144" s="69">
        <v>0.0</v>
      </c>
      <c r="R144" s="69">
        <v>0.0</v>
      </c>
      <c r="S144" s="69">
        <v>0.0</v>
      </c>
      <c r="T144" s="69">
        <v>0.0</v>
      </c>
      <c r="U144" s="69">
        <v>0.0</v>
      </c>
      <c r="V144" s="69">
        <v>0.0</v>
      </c>
      <c r="W144" s="69">
        <v>0.0</v>
      </c>
      <c r="X144" s="69">
        <v>0.0</v>
      </c>
      <c r="Y144" s="69">
        <v>0.0</v>
      </c>
      <c r="Z144" s="69">
        <v>0.0</v>
      </c>
      <c r="AA144" s="69">
        <v>0.0</v>
      </c>
      <c r="AB144" s="69">
        <v>0.0</v>
      </c>
      <c r="AC144" s="69">
        <v>0.0</v>
      </c>
      <c r="AD144" s="69">
        <v>0.0</v>
      </c>
      <c r="AE144" s="69">
        <v>0.0</v>
      </c>
      <c r="AF144" s="69">
        <v>0.0</v>
      </c>
      <c r="AG144" s="69">
        <v>0.0</v>
      </c>
      <c r="AH144" s="69">
        <v>0.0</v>
      </c>
      <c r="AI144" s="69">
        <v>0.0</v>
      </c>
      <c r="AJ144" s="69">
        <v>0.0</v>
      </c>
      <c r="AK144" s="69">
        <v>0.0</v>
      </c>
      <c r="AL144" s="69">
        <v>0.0</v>
      </c>
      <c r="AM144" s="69">
        <v>0.0</v>
      </c>
      <c r="AN144" s="69">
        <v>0.0</v>
      </c>
      <c r="AO144" s="69">
        <v>0.0</v>
      </c>
      <c r="AP144" s="69">
        <v>0.0</v>
      </c>
      <c r="AQ144" s="69">
        <v>0.0</v>
      </c>
      <c r="AR144" s="69">
        <v>0.0</v>
      </c>
      <c r="AS144" s="69">
        <v>0.0</v>
      </c>
      <c r="AT144" s="69">
        <v>0.0</v>
      </c>
      <c r="AU144" s="69">
        <v>0.0</v>
      </c>
      <c r="AV144" s="13">
        <f t="shared" si="38"/>
        <v>1</v>
      </c>
      <c r="AW144" s="5"/>
      <c r="AX144" s="5"/>
    </row>
    <row r="145" ht="12.75" customHeight="1">
      <c r="A145" s="18"/>
      <c r="B145" s="49"/>
      <c r="C145" s="50" t="s">
        <v>124</v>
      </c>
      <c r="D145" s="51"/>
      <c r="E145" s="69">
        <v>0.0</v>
      </c>
      <c r="F145" s="69">
        <v>0.0</v>
      </c>
      <c r="G145" s="69">
        <v>0.0</v>
      </c>
      <c r="H145" s="69">
        <v>0.0</v>
      </c>
      <c r="I145" s="69">
        <v>0.0</v>
      </c>
      <c r="J145" s="69">
        <v>0.0</v>
      </c>
      <c r="K145" s="69">
        <v>0.0</v>
      </c>
      <c r="L145" s="69">
        <v>0.0</v>
      </c>
      <c r="M145" s="69">
        <v>0.0</v>
      </c>
      <c r="N145" s="69">
        <v>0.0</v>
      </c>
      <c r="O145" s="69">
        <v>0.0</v>
      </c>
      <c r="P145" s="69">
        <v>0.0</v>
      </c>
      <c r="Q145" s="69">
        <v>0.0</v>
      </c>
      <c r="R145" s="69">
        <v>0.0</v>
      </c>
      <c r="S145" s="69">
        <v>0.0</v>
      </c>
      <c r="T145" s="69">
        <v>0.0</v>
      </c>
      <c r="U145" s="69">
        <v>0.0</v>
      </c>
      <c r="V145" s="69">
        <v>0.0</v>
      </c>
      <c r="W145" s="69">
        <v>0.0</v>
      </c>
      <c r="X145" s="69">
        <v>0.0</v>
      </c>
      <c r="Y145" s="69">
        <v>0.0</v>
      </c>
      <c r="Z145" s="69">
        <v>0.0</v>
      </c>
      <c r="AA145" s="69">
        <v>0.0</v>
      </c>
      <c r="AB145" s="69">
        <v>0.0</v>
      </c>
      <c r="AC145" s="69">
        <v>0.0</v>
      </c>
      <c r="AD145" s="69">
        <v>0.0</v>
      </c>
      <c r="AE145" s="69">
        <v>0.0</v>
      </c>
      <c r="AF145" s="69">
        <v>0.0</v>
      </c>
      <c r="AG145" s="69">
        <v>0.0</v>
      </c>
      <c r="AH145" s="69">
        <v>0.0</v>
      </c>
      <c r="AI145" s="69">
        <v>0.0</v>
      </c>
      <c r="AJ145" s="69">
        <v>0.0</v>
      </c>
      <c r="AK145" s="69">
        <v>0.0</v>
      </c>
      <c r="AL145" s="69">
        <v>0.0</v>
      </c>
      <c r="AM145" s="69">
        <v>0.0</v>
      </c>
      <c r="AN145" s="69">
        <v>0.0</v>
      </c>
      <c r="AO145" s="69">
        <v>0.0</v>
      </c>
      <c r="AP145" s="69">
        <v>0.0</v>
      </c>
      <c r="AQ145" s="69">
        <v>0.0</v>
      </c>
      <c r="AR145" s="69">
        <v>0.0</v>
      </c>
      <c r="AS145" s="69">
        <v>0.0</v>
      </c>
      <c r="AT145" s="69">
        <v>0.0</v>
      </c>
      <c r="AU145" s="69">
        <v>0.0</v>
      </c>
      <c r="AV145" s="13">
        <f t="shared" si="38"/>
        <v>0</v>
      </c>
      <c r="AW145" s="5"/>
      <c r="AX145" s="5"/>
    </row>
    <row r="146" ht="12.75" customHeight="1">
      <c r="A146" s="19" t="s">
        <v>15</v>
      </c>
      <c r="B146" s="47" t="s">
        <v>47</v>
      </c>
      <c r="C146" s="15"/>
      <c r="D146" s="16"/>
      <c r="E146" s="56">
        <f t="shared" ref="E146:AU146" si="39">SUM(E138:E145)</f>
        <v>0</v>
      </c>
      <c r="F146" s="56">
        <f t="shared" si="39"/>
        <v>0</v>
      </c>
      <c r="G146" s="56">
        <f t="shared" si="39"/>
        <v>0</v>
      </c>
      <c r="H146" s="56">
        <f t="shared" si="39"/>
        <v>0</v>
      </c>
      <c r="I146" s="56">
        <f t="shared" si="39"/>
        <v>0</v>
      </c>
      <c r="J146" s="56">
        <f t="shared" si="39"/>
        <v>0</v>
      </c>
      <c r="K146" s="56">
        <f t="shared" si="39"/>
        <v>0</v>
      </c>
      <c r="L146" s="56">
        <f t="shared" si="39"/>
        <v>0</v>
      </c>
      <c r="M146" s="56">
        <f t="shared" si="39"/>
        <v>0</v>
      </c>
      <c r="N146" s="56">
        <f t="shared" si="39"/>
        <v>0</v>
      </c>
      <c r="O146" s="56">
        <f t="shared" si="39"/>
        <v>0</v>
      </c>
      <c r="P146" s="56">
        <f t="shared" si="39"/>
        <v>1</v>
      </c>
      <c r="Q146" s="56">
        <f t="shared" si="39"/>
        <v>0</v>
      </c>
      <c r="R146" s="56">
        <f t="shared" si="39"/>
        <v>0</v>
      </c>
      <c r="S146" s="56">
        <f t="shared" si="39"/>
        <v>0</v>
      </c>
      <c r="T146" s="56">
        <f t="shared" si="39"/>
        <v>0</v>
      </c>
      <c r="U146" s="56">
        <f t="shared" si="39"/>
        <v>0</v>
      </c>
      <c r="V146" s="56">
        <f t="shared" si="39"/>
        <v>0</v>
      </c>
      <c r="W146" s="56">
        <f t="shared" si="39"/>
        <v>1</v>
      </c>
      <c r="X146" s="56">
        <f t="shared" si="39"/>
        <v>0</v>
      </c>
      <c r="Y146" s="56">
        <f t="shared" si="39"/>
        <v>0</v>
      </c>
      <c r="Z146" s="56">
        <f t="shared" si="39"/>
        <v>1</v>
      </c>
      <c r="AA146" s="56">
        <f t="shared" si="39"/>
        <v>0</v>
      </c>
      <c r="AB146" s="56">
        <f t="shared" si="39"/>
        <v>0</v>
      </c>
      <c r="AC146" s="56">
        <f t="shared" si="39"/>
        <v>0</v>
      </c>
      <c r="AD146" s="56">
        <f t="shared" si="39"/>
        <v>0</v>
      </c>
      <c r="AE146" s="56">
        <f t="shared" si="39"/>
        <v>0</v>
      </c>
      <c r="AF146" s="56">
        <f t="shared" si="39"/>
        <v>0</v>
      </c>
      <c r="AG146" s="56">
        <f t="shared" si="39"/>
        <v>0</v>
      </c>
      <c r="AH146" s="56">
        <f t="shared" si="39"/>
        <v>0</v>
      </c>
      <c r="AI146" s="56">
        <f t="shared" si="39"/>
        <v>0</v>
      </c>
      <c r="AJ146" s="56">
        <f t="shared" si="39"/>
        <v>0</v>
      </c>
      <c r="AK146" s="56">
        <f t="shared" si="39"/>
        <v>0</v>
      </c>
      <c r="AL146" s="56">
        <f t="shared" si="39"/>
        <v>0</v>
      </c>
      <c r="AM146" s="56">
        <f t="shared" si="39"/>
        <v>1</v>
      </c>
      <c r="AN146" s="56">
        <f t="shared" si="39"/>
        <v>0</v>
      </c>
      <c r="AO146" s="56">
        <f t="shared" si="39"/>
        <v>0</v>
      </c>
      <c r="AP146" s="56">
        <f t="shared" si="39"/>
        <v>0</v>
      </c>
      <c r="AQ146" s="56">
        <f t="shared" si="39"/>
        <v>0</v>
      </c>
      <c r="AR146" s="56">
        <f t="shared" si="39"/>
        <v>0</v>
      </c>
      <c r="AS146" s="56">
        <f t="shared" si="39"/>
        <v>0</v>
      </c>
      <c r="AT146" s="56">
        <f t="shared" si="39"/>
        <v>0</v>
      </c>
      <c r="AU146" s="56">
        <f t="shared" si="39"/>
        <v>0</v>
      </c>
      <c r="AV146" s="13">
        <f t="shared" si="38"/>
        <v>4</v>
      </c>
      <c r="AW146" s="5"/>
      <c r="AX146" s="5"/>
    </row>
    <row r="147" ht="12.75" customHeight="1">
      <c r="A147" s="57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58"/>
      <c r="AU147" s="58"/>
      <c r="AV147" s="13"/>
      <c r="AW147" s="5"/>
      <c r="AX147" s="5"/>
    </row>
    <row r="148" ht="12.75" customHeight="1">
      <c r="A148" s="30" t="s">
        <v>37</v>
      </c>
      <c r="B148" s="47" t="s">
        <v>125</v>
      </c>
      <c r="C148" s="48" t="s">
        <v>126</v>
      </c>
      <c r="D148" s="16"/>
      <c r="E148" s="69">
        <v>1.0</v>
      </c>
      <c r="F148" s="69">
        <v>2.0</v>
      </c>
      <c r="G148" s="69">
        <v>3.0</v>
      </c>
      <c r="H148" s="69">
        <v>2.0</v>
      </c>
      <c r="I148" s="69">
        <v>4.0</v>
      </c>
      <c r="J148" s="69">
        <v>5.0</v>
      </c>
      <c r="K148" s="69">
        <v>2.0</v>
      </c>
      <c r="L148" s="69">
        <v>0.0</v>
      </c>
      <c r="M148" s="69">
        <v>3.0</v>
      </c>
      <c r="N148" s="69">
        <v>6.0</v>
      </c>
      <c r="O148" s="69">
        <v>1.0</v>
      </c>
      <c r="P148" s="69">
        <v>1.0</v>
      </c>
      <c r="Q148" s="69">
        <v>0.0</v>
      </c>
      <c r="R148" s="69">
        <v>4.0</v>
      </c>
      <c r="S148" s="69">
        <v>6.0</v>
      </c>
      <c r="T148" s="69">
        <v>0.0</v>
      </c>
      <c r="U148" s="69">
        <v>3.0</v>
      </c>
      <c r="V148" s="69">
        <v>0.0</v>
      </c>
      <c r="W148" s="69">
        <v>1.0</v>
      </c>
      <c r="X148" s="69">
        <v>1.0</v>
      </c>
      <c r="Y148" s="69">
        <v>1.0</v>
      </c>
      <c r="Z148" s="69">
        <v>0.0</v>
      </c>
      <c r="AA148" s="69">
        <v>2.0</v>
      </c>
      <c r="AB148" s="69">
        <v>3.0</v>
      </c>
      <c r="AC148" s="69">
        <v>5.0</v>
      </c>
      <c r="AD148" s="69">
        <v>1.0</v>
      </c>
      <c r="AE148" s="69">
        <v>1.0</v>
      </c>
      <c r="AF148" s="69">
        <v>1.0</v>
      </c>
      <c r="AG148" s="69">
        <v>3.0</v>
      </c>
      <c r="AH148" s="69">
        <v>2.0</v>
      </c>
      <c r="AI148" s="69">
        <v>2.0</v>
      </c>
      <c r="AJ148" s="69">
        <v>3.0</v>
      </c>
      <c r="AK148" s="69">
        <v>2.0</v>
      </c>
      <c r="AL148" s="69">
        <v>0.0</v>
      </c>
      <c r="AM148" s="69">
        <v>1.0</v>
      </c>
      <c r="AN148" s="69">
        <v>4.0</v>
      </c>
      <c r="AO148" s="69">
        <v>1.0</v>
      </c>
      <c r="AP148" s="69">
        <v>1.0</v>
      </c>
      <c r="AQ148" s="69">
        <v>1.0</v>
      </c>
      <c r="AR148" s="69">
        <v>0.0</v>
      </c>
      <c r="AS148" s="69">
        <v>2.0</v>
      </c>
      <c r="AT148" s="69">
        <v>3.0</v>
      </c>
      <c r="AU148" s="69">
        <v>0.0</v>
      </c>
      <c r="AV148" s="13">
        <f t="shared" ref="AV148:AV156" si="40">SUM(E148:AU148)</f>
        <v>84</v>
      </c>
      <c r="AW148" s="5"/>
      <c r="AX148" s="5"/>
    </row>
    <row r="149" ht="12.75" customHeight="1">
      <c r="A149" s="30" t="s">
        <v>39</v>
      </c>
      <c r="B149" s="49"/>
      <c r="C149" s="50" t="s">
        <v>127</v>
      </c>
      <c r="D149" s="51"/>
      <c r="E149" s="69">
        <v>0.0</v>
      </c>
      <c r="F149" s="69">
        <v>0.0</v>
      </c>
      <c r="G149" s="69">
        <v>0.0</v>
      </c>
      <c r="H149" s="69">
        <v>0.0</v>
      </c>
      <c r="I149" s="69">
        <v>0.0</v>
      </c>
      <c r="J149" s="69">
        <v>4.0</v>
      </c>
      <c r="K149" s="69">
        <v>1.0</v>
      </c>
      <c r="L149" s="69">
        <v>1.0</v>
      </c>
      <c r="M149" s="69">
        <v>1.0</v>
      </c>
      <c r="N149" s="69">
        <v>2.0</v>
      </c>
      <c r="O149" s="69">
        <v>0.0</v>
      </c>
      <c r="P149" s="69">
        <v>0.0</v>
      </c>
      <c r="Q149" s="69">
        <v>0.0</v>
      </c>
      <c r="R149" s="69">
        <v>1.0</v>
      </c>
      <c r="S149" s="69">
        <v>0.0</v>
      </c>
      <c r="T149" s="69">
        <v>1.0</v>
      </c>
      <c r="U149" s="69">
        <v>3.0</v>
      </c>
      <c r="V149" s="69">
        <v>1.0</v>
      </c>
      <c r="W149" s="69">
        <v>1.0</v>
      </c>
      <c r="X149" s="69">
        <v>1.0</v>
      </c>
      <c r="Y149" s="69">
        <v>2.0</v>
      </c>
      <c r="Z149" s="69">
        <v>0.0</v>
      </c>
      <c r="AA149" s="69">
        <v>3.0</v>
      </c>
      <c r="AB149" s="69">
        <v>1.0</v>
      </c>
      <c r="AC149" s="69">
        <v>0.0</v>
      </c>
      <c r="AD149" s="69">
        <v>0.0</v>
      </c>
      <c r="AE149" s="69">
        <v>2.0</v>
      </c>
      <c r="AF149" s="69">
        <v>1.0</v>
      </c>
      <c r="AG149" s="69">
        <v>0.0</v>
      </c>
      <c r="AH149" s="69">
        <v>4.0</v>
      </c>
      <c r="AI149" s="69">
        <v>0.0</v>
      </c>
      <c r="AJ149" s="69">
        <v>0.0</v>
      </c>
      <c r="AK149" s="69">
        <v>0.0</v>
      </c>
      <c r="AL149" s="69">
        <v>0.0</v>
      </c>
      <c r="AM149" s="69">
        <v>0.0</v>
      </c>
      <c r="AN149" s="69">
        <v>0.0</v>
      </c>
      <c r="AO149" s="69">
        <v>1.0</v>
      </c>
      <c r="AP149" s="69">
        <v>1.0</v>
      </c>
      <c r="AQ149" s="69">
        <v>0.0</v>
      </c>
      <c r="AR149" s="69">
        <v>3.0</v>
      </c>
      <c r="AS149" s="69">
        <v>1.0</v>
      </c>
      <c r="AT149" s="69">
        <v>3.0</v>
      </c>
      <c r="AU149" s="69">
        <v>1.0</v>
      </c>
      <c r="AV149" s="13">
        <f t="shared" si="40"/>
        <v>40</v>
      </c>
      <c r="AW149" s="5"/>
      <c r="AX149" s="5"/>
    </row>
    <row r="150" ht="12.75" customHeight="1">
      <c r="A150" s="18"/>
      <c r="B150" s="49"/>
      <c r="C150" s="50" t="s">
        <v>128</v>
      </c>
      <c r="D150" s="51"/>
      <c r="E150" s="69">
        <v>0.0</v>
      </c>
      <c r="F150" s="69">
        <v>0.0</v>
      </c>
      <c r="G150" s="69">
        <v>1.0</v>
      </c>
      <c r="H150" s="69">
        <v>0.0</v>
      </c>
      <c r="I150" s="69">
        <v>1.0</v>
      </c>
      <c r="J150" s="69">
        <v>0.0</v>
      </c>
      <c r="K150" s="69">
        <v>0.0</v>
      </c>
      <c r="L150" s="69">
        <v>0.0</v>
      </c>
      <c r="M150" s="69">
        <v>1.0</v>
      </c>
      <c r="N150" s="69">
        <v>3.0</v>
      </c>
      <c r="O150" s="69">
        <v>0.0</v>
      </c>
      <c r="P150" s="69">
        <v>0.0</v>
      </c>
      <c r="Q150" s="69">
        <v>0.0</v>
      </c>
      <c r="R150" s="69">
        <v>1.0</v>
      </c>
      <c r="S150" s="69">
        <v>1.0</v>
      </c>
      <c r="T150" s="69">
        <v>0.0</v>
      </c>
      <c r="U150" s="69">
        <v>1.0</v>
      </c>
      <c r="V150" s="69">
        <v>0.0</v>
      </c>
      <c r="W150" s="69">
        <v>0.0</v>
      </c>
      <c r="X150" s="69">
        <v>1.0</v>
      </c>
      <c r="Y150" s="69">
        <v>0.0</v>
      </c>
      <c r="Z150" s="69">
        <v>0.0</v>
      </c>
      <c r="AA150" s="69">
        <v>0.0</v>
      </c>
      <c r="AB150" s="69">
        <v>0.0</v>
      </c>
      <c r="AC150" s="69">
        <v>0.0</v>
      </c>
      <c r="AD150" s="69">
        <v>0.0</v>
      </c>
      <c r="AE150" s="69">
        <v>0.0</v>
      </c>
      <c r="AF150" s="69">
        <v>0.0</v>
      </c>
      <c r="AG150" s="69">
        <v>1.0</v>
      </c>
      <c r="AH150" s="69">
        <v>0.0</v>
      </c>
      <c r="AI150" s="69">
        <v>0.0</v>
      </c>
      <c r="AJ150" s="69">
        <v>0.0</v>
      </c>
      <c r="AK150" s="69">
        <v>0.0</v>
      </c>
      <c r="AL150" s="69">
        <v>1.0</v>
      </c>
      <c r="AM150" s="69">
        <v>0.0</v>
      </c>
      <c r="AN150" s="69">
        <v>0.0</v>
      </c>
      <c r="AO150" s="69">
        <v>1.0</v>
      </c>
      <c r="AP150" s="69">
        <v>0.0</v>
      </c>
      <c r="AQ150" s="69">
        <v>1.0</v>
      </c>
      <c r="AR150" s="69">
        <v>1.0</v>
      </c>
      <c r="AS150" s="69">
        <v>1.0</v>
      </c>
      <c r="AT150" s="69">
        <v>1.0</v>
      </c>
      <c r="AU150" s="69">
        <v>1.0</v>
      </c>
      <c r="AV150" s="13">
        <f t="shared" si="40"/>
        <v>18</v>
      </c>
      <c r="AW150" s="5"/>
      <c r="AX150" s="5"/>
    </row>
    <row r="151" ht="12.75" customHeight="1">
      <c r="A151" s="18"/>
      <c r="B151" s="49"/>
      <c r="C151" s="50" t="s">
        <v>129</v>
      </c>
      <c r="D151" s="51"/>
      <c r="E151" s="69">
        <v>1.0</v>
      </c>
      <c r="F151" s="69">
        <v>0.0</v>
      </c>
      <c r="G151" s="69">
        <v>0.0</v>
      </c>
      <c r="H151" s="69">
        <v>0.0</v>
      </c>
      <c r="I151" s="69">
        <v>2.0</v>
      </c>
      <c r="J151" s="69">
        <v>1.0</v>
      </c>
      <c r="K151" s="69">
        <v>0.0</v>
      </c>
      <c r="L151" s="69">
        <v>0.0</v>
      </c>
      <c r="M151" s="69">
        <v>0.0</v>
      </c>
      <c r="N151" s="69">
        <v>0.0</v>
      </c>
      <c r="O151" s="69">
        <v>0.0</v>
      </c>
      <c r="P151" s="69">
        <v>0.0</v>
      </c>
      <c r="Q151" s="69">
        <v>0.0</v>
      </c>
      <c r="R151" s="69">
        <v>0.0</v>
      </c>
      <c r="S151" s="69">
        <v>1.0</v>
      </c>
      <c r="T151" s="69">
        <v>0.0</v>
      </c>
      <c r="U151" s="69">
        <v>0.0</v>
      </c>
      <c r="V151" s="69">
        <v>0.0</v>
      </c>
      <c r="W151" s="69">
        <v>1.0</v>
      </c>
      <c r="X151" s="69">
        <v>0.0</v>
      </c>
      <c r="Y151" s="69">
        <v>0.0</v>
      </c>
      <c r="Z151" s="69">
        <v>0.0</v>
      </c>
      <c r="AA151" s="69">
        <v>0.0</v>
      </c>
      <c r="AB151" s="69">
        <v>0.0</v>
      </c>
      <c r="AC151" s="69">
        <v>1.0</v>
      </c>
      <c r="AD151" s="69">
        <v>0.0</v>
      </c>
      <c r="AE151" s="69">
        <v>1.0</v>
      </c>
      <c r="AF151" s="69">
        <v>0.0</v>
      </c>
      <c r="AG151" s="69">
        <v>0.0</v>
      </c>
      <c r="AH151" s="69">
        <v>1.0</v>
      </c>
      <c r="AI151" s="69">
        <v>0.0</v>
      </c>
      <c r="AJ151" s="69">
        <v>1.0</v>
      </c>
      <c r="AK151" s="69">
        <v>0.0</v>
      </c>
      <c r="AL151" s="69">
        <v>0.0</v>
      </c>
      <c r="AM151" s="69">
        <v>1.0</v>
      </c>
      <c r="AN151" s="69">
        <v>0.0</v>
      </c>
      <c r="AO151" s="69">
        <v>0.0</v>
      </c>
      <c r="AP151" s="69">
        <v>0.0</v>
      </c>
      <c r="AQ151" s="69">
        <v>0.0</v>
      </c>
      <c r="AR151" s="69">
        <v>0.0</v>
      </c>
      <c r="AS151" s="69">
        <v>1.0</v>
      </c>
      <c r="AT151" s="69">
        <v>2.0</v>
      </c>
      <c r="AU151" s="69">
        <v>0.0</v>
      </c>
      <c r="AV151" s="13">
        <f t="shared" si="40"/>
        <v>14</v>
      </c>
      <c r="AW151" s="1"/>
      <c r="AX151" s="1"/>
    </row>
    <row r="152" ht="12.75" customHeight="1">
      <c r="A152" s="18"/>
      <c r="B152" s="49"/>
      <c r="C152" s="50" t="s">
        <v>130</v>
      </c>
      <c r="D152" s="51"/>
      <c r="E152" s="69">
        <v>0.0</v>
      </c>
      <c r="F152" s="69">
        <v>0.0</v>
      </c>
      <c r="G152" s="69">
        <v>0.0</v>
      </c>
      <c r="H152" s="69">
        <v>6.0</v>
      </c>
      <c r="I152" s="69">
        <v>1.0</v>
      </c>
      <c r="J152" s="69">
        <v>3.0</v>
      </c>
      <c r="K152" s="69">
        <v>0.0</v>
      </c>
      <c r="L152" s="69">
        <v>5.0</v>
      </c>
      <c r="M152" s="69">
        <v>1.0</v>
      </c>
      <c r="N152" s="69">
        <v>1.0</v>
      </c>
      <c r="O152" s="69">
        <v>0.0</v>
      </c>
      <c r="P152" s="69">
        <v>0.0</v>
      </c>
      <c r="Q152" s="69">
        <v>2.0</v>
      </c>
      <c r="R152" s="69">
        <v>2.0</v>
      </c>
      <c r="S152" s="69">
        <v>1.0</v>
      </c>
      <c r="T152" s="69">
        <v>2.0</v>
      </c>
      <c r="U152" s="69">
        <v>2.0</v>
      </c>
      <c r="V152" s="69">
        <v>2.0</v>
      </c>
      <c r="W152" s="69">
        <v>0.0</v>
      </c>
      <c r="X152" s="69">
        <v>0.0</v>
      </c>
      <c r="Y152" s="69">
        <v>2.0</v>
      </c>
      <c r="Z152" s="69">
        <v>0.0</v>
      </c>
      <c r="AA152" s="69">
        <v>2.0</v>
      </c>
      <c r="AB152" s="69">
        <v>0.0</v>
      </c>
      <c r="AC152" s="69">
        <v>0.0</v>
      </c>
      <c r="AD152" s="69">
        <v>0.0</v>
      </c>
      <c r="AE152" s="69">
        <v>1.0</v>
      </c>
      <c r="AF152" s="69">
        <v>0.0</v>
      </c>
      <c r="AG152" s="69">
        <v>0.0</v>
      </c>
      <c r="AH152" s="69">
        <v>0.0</v>
      </c>
      <c r="AI152" s="69">
        <v>1.0</v>
      </c>
      <c r="AJ152" s="69">
        <v>0.0</v>
      </c>
      <c r="AK152" s="69">
        <v>0.0</v>
      </c>
      <c r="AL152" s="69">
        <v>0.0</v>
      </c>
      <c r="AM152" s="69">
        <v>2.0</v>
      </c>
      <c r="AN152" s="69">
        <v>8.0</v>
      </c>
      <c r="AO152" s="69">
        <v>0.0</v>
      </c>
      <c r="AP152" s="69">
        <v>0.0</v>
      </c>
      <c r="AQ152" s="69">
        <v>1.0</v>
      </c>
      <c r="AR152" s="69">
        <v>0.0</v>
      </c>
      <c r="AS152" s="69">
        <v>1.0</v>
      </c>
      <c r="AT152" s="69">
        <v>3.0</v>
      </c>
      <c r="AU152" s="69">
        <v>0.0</v>
      </c>
      <c r="AV152" s="13">
        <f t="shared" si="40"/>
        <v>49</v>
      </c>
      <c r="AW152" s="53"/>
      <c r="AX152" s="53"/>
    </row>
    <row r="153" ht="12.75" customHeight="1">
      <c r="A153" s="18"/>
      <c r="B153" s="49"/>
      <c r="C153" s="50" t="s">
        <v>131</v>
      </c>
      <c r="D153" s="51"/>
      <c r="E153" s="69">
        <v>0.0</v>
      </c>
      <c r="F153" s="69">
        <v>0.0</v>
      </c>
      <c r="G153" s="69">
        <v>0.0</v>
      </c>
      <c r="H153" s="69">
        <v>0.0</v>
      </c>
      <c r="I153" s="69">
        <v>0.0</v>
      </c>
      <c r="J153" s="69">
        <v>0.0</v>
      </c>
      <c r="K153" s="69">
        <v>0.0</v>
      </c>
      <c r="L153" s="69">
        <v>0.0</v>
      </c>
      <c r="M153" s="69">
        <v>0.0</v>
      </c>
      <c r="N153" s="69">
        <v>0.0</v>
      </c>
      <c r="O153" s="69">
        <v>1.0</v>
      </c>
      <c r="P153" s="69">
        <v>0.0</v>
      </c>
      <c r="Q153" s="69">
        <v>0.0</v>
      </c>
      <c r="R153" s="69">
        <v>0.0</v>
      </c>
      <c r="S153" s="69">
        <v>0.0</v>
      </c>
      <c r="T153" s="69">
        <v>0.0</v>
      </c>
      <c r="U153" s="69">
        <v>0.0</v>
      </c>
      <c r="V153" s="69">
        <v>0.0</v>
      </c>
      <c r="W153" s="69">
        <v>0.0</v>
      </c>
      <c r="X153" s="69">
        <v>0.0</v>
      </c>
      <c r="Y153" s="69">
        <v>0.0</v>
      </c>
      <c r="Z153" s="69">
        <v>0.0</v>
      </c>
      <c r="AA153" s="69">
        <v>0.0</v>
      </c>
      <c r="AB153" s="69">
        <v>1.0</v>
      </c>
      <c r="AC153" s="69">
        <v>0.0</v>
      </c>
      <c r="AD153" s="69">
        <v>0.0</v>
      </c>
      <c r="AE153" s="69">
        <v>1.0</v>
      </c>
      <c r="AF153" s="69">
        <v>0.0</v>
      </c>
      <c r="AG153" s="69">
        <v>0.0</v>
      </c>
      <c r="AH153" s="69">
        <v>0.0</v>
      </c>
      <c r="AI153" s="69">
        <v>0.0</v>
      </c>
      <c r="AJ153" s="69">
        <v>0.0</v>
      </c>
      <c r="AK153" s="69">
        <v>0.0</v>
      </c>
      <c r="AL153" s="69">
        <v>0.0</v>
      </c>
      <c r="AM153" s="69">
        <v>0.0</v>
      </c>
      <c r="AN153" s="69">
        <v>1.0</v>
      </c>
      <c r="AO153" s="69">
        <v>0.0</v>
      </c>
      <c r="AP153" s="69">
        <v>0.0</v>
      </c>
      <c r="AQ153" s="69">
        <v>0.0</v>
      </c>
      <c r="AR153" s="69">
        <v>0.0</v>
      </c>
      <c r="AS153" s="69">
        <v>0.0</v>
      </c>
      <c r="AT153" s="69">
        <v>0.0</v>
      </c>
      <c r="AU153" s="69">
        <v>0.0</v>
      </c>
      <c r="AV153" s="13">
        <f t="shared" si="40"/>
        <v>4</v>
      </c>
      <c r="AW153" s="5"/>
      <c r="AX153" s="5"/>
    </row>
    <row r="154" ht="12.75" customHeight="1">
      <c r="A154" s="18"/>
      <c r="B154" s="49"/>
      <c r="C154" s="50" t="s">
        <v>132</v>
      </c>
      <c r="D154" s="51"/>
      <c r="E154" s="69">
        <v>0.0</v>
      </c>
      <c r="F154" s="69">
        <v>0.0</v>
      </c>
      <c r="G154" s="69">
        <v>0.0</v>
      </c>
      <c r="H154" s="69">
        <v>0.0</v>
      </c>
      <c r="I154" s="69">
        <v>0.0</v>
      </c>
      <c r="J154" s="69">
        <v>0.0</v>
      </c>
      <c r="K154" s="69">
        <v>0.0</v>
      </c>
      <c r="L154" s="69">
        <v>0.0</v>
      </c>
      <c r="M154" s="69">
        <v>1.0</v>
      </c>
      <c r="N154" s="69">
        <v>0.0</v>
      </c>
      <c r="O154" s="69">
        <v>0.0</v>
      </c>
      <c r="P154" s="69">
        <v>0.0</v>
      </c>
      <c r="Q154" s="69">
        <v>0.0</v>
      </c>
      <c r="R154" s="69">
        <v>0.0</v>
      </c>
      <c r="S154" s="69">
        <v>0.0</v>
      </c>
      <c r="T154" s="69">
        <v>0.0</v>
      </c>
      <c r="U154" s="69">
        <v>0.0</v>
      </c>
      <c r="V154" s="69">
        <v>0.0</v>
      </c>
      <c r="W154" s="69">
        <v>0.0</v>
      </c>
      <c r="X154" s="69">
        <v>0.0</v>
      </c>
      <c r="Y154" s="69">
        <v>0.0</v>
      </c>
      <c r="Z154" s="69">
        <v>0.0</v>
      </c>
      <c r="AA154" s="69">
        <v>0.0</v>
      </c>
      <c r="AB154" s="69">
        <v>1.0</v>
      </c>
      <c r="AC154" s="69">
        <v>0.0</v>
      </c>
      <c r="AD154" s="69">
        <v>0.0</v>
      </c>
      <c r="AE154" s="69">
        <v>0.0</v>
      </c>
      <c r="AF154" s="69">
        <v>0.0</v>
      </c>
      <c r="AG154" s="69">
        <v>0.0</v>
      </c>
      <c r="AH154" s="69">
        <v>0.0</v>
      </c>
      <c r="AI154" s="69">
        <v>0.0</v>
      </c>
      <c r="AJ154" s="69">
        <v>0.0</v>
      </c>
      <c r="AK154" s="69">
        <v>0.0</v>
      </c>
      <c r="AL154" s="69">
        <v>0.0</v>
      </c>
      <c r="AM154" s="69">
        <v>0.0</v>
      </c>
      <c r="AN154" s="69">
        <v>0.0</v>
      </c>
      <c r="AO154" s="69">
        <v>0.0</v>
      </c>
      <c r="AP154" s="69">
        <v>0.0</v>
      </c>
      <c r="AQ154" s="69">
        <v>0.0</v>
      </c>
      <c r="AR154" s="69">
        <v>0.0</v>
      </c>
      <c r="AS154" s="69">
        <v>0.0</v>
      </c>
      <c r="AT154" s="69">
        <v>0.0</v>
      </c>
      <c r="AU154" s="69">
        <v>0.0</v>
      </c>
      <c r="AV154" s="13">
        <f t="shared" si="40"/>
        <v>2</v>
      </c>
      <c r="AW154" s="5"/>
      <c r="AX154" s="5"/>
    </row>
    <row r="155" ht="12.75" customHeight="1">
      <c r="A155" s="18"/>
      <c r="B155" s="49"/>
      <c r="C155" s="50" t="s">
        <v>133</v>
      </c>
      <c r="D155" s="51"/>
      <c r="E155" s="69">
        <v>48.0</v>
      </c>
      <c r="F155" s="69">
        <v>11.0</v>
      </c>
      <c r="G155" s="69">
        <v>12.0</v>
      </c>
      <c r="H155" s="69">
        <v>10.0</v>
      </c>
      <c r="I155" s="69">
        <v>26.0</v>
      </c>
      <c r="J155" s="69">
        <v>37.0</v>
      </c>
      <c r="K155" s="69">
        <v>5.0</v>
      </c>
      <c r="L155" s="69">
        <v>1.0</v>
      </c>
      <c r="M155" s="69">
        <v>11.0</v>
      </c>
      <c r="N155" s="69">
        <v>4.0</v>
      </c>
      <c r="O155" s="69">
        <v>14.0</v>
      </c>
      <c r="P155" s="69">
        <v>7.0</v>
      </c>
      <c r="Q155" s="69">
        <v>8.0</v>
      </c>
      <c r="R155" s="69">
        <v>30.0</v>
      </c>
      <c r="S155" s="69">
        <v>60.0</v>
      </c>
      <c r="T155" s="69">
        <v>5.0</v>
      </c>
      <c r="U155" s="69">
        <v>71.0</v>
      </c>
      <c r="V155" s="69">
        <v>77.0</v>
      </c>
      <c r="W155" s="69">
        <v>17.0</v>
      </c>
      <c r="X155" s="69">
        <v>94.0</v>
      </c>
      <c r="Y155" s="69">
        <v>74.0</v>
      </c>
      <c r="Z155" s="69">
        <v>13.0</v>
      </c>
      <c r="AA155" s="69">
        <v>20.0</v>
      </c>
      <c r="AB155" s="69">
        <v>11.0</v>
      </c>
      <c r="AC155" s="69">
        <v>25.0</v>
      </c>
      <c r="AD155" s="69">
        <v>2.0</v>
      </c>
      <c r="AE155" s="69">
        <v>20.0</v>
      </c>
      <c r="AF155" s="69">
        <v>8.0</v>
      </c>
      <c r="AG155" s="69">
        <v>13.0</v>
      </c>
      <c r="AH155" s="69">
        <v>78.0</v>
      </c>
      <c r="AI155" s="69">
        <v>1.0</v>
      </c>
      <c r="AJ155" s="69">
        <v>0.0</v>
      </c>
      <c r="AK155" s="69">
        <v>2.0</v>
      </c>
      <c r="AL155" s="69">
        <v>6.0</v>
      </c>
      <c r="AM155" s="69">
        <v>16.0</v>
      </c>
      <c r="AN155" s="69">
        <v>51.0</v>
      </c>
      <c r="AO155" s="69">
        <v>0.0</v>
      </c>
      <c r="AP155" s="69">
        <v>0.0</v>
      </c>
      <c r="AQ155" s="69">
        <v>2.0</v>
      </c>
      <c r="AR155" s="69">
        <v>5.0</v>
      </c>
      <c r="AS155" s="69">
        <v>0.0</v>
      </c>
      <c r="AT155" s="69">
        <v>2.0</v>
      </c>
      <c r="AU155" s="69">
        <v>0.0</v>
      </c>
      <c r="AV155" s="13">
        <f t="shared" si="40"/>
        <v>897</v>
      </c>
      <c r="AW155" s="5"/>
      <c r="AX155" s="5"/>
    </row>
    <row r="156" ht="12.75" customHeight="1">
      <c r="A156" s="19" t="s">
        <v>15</v>
      </c>
      <c r="B156" s="47" t="s">
        <v>47</v>
      </c>
      <c r="C156" s="15"/>
      <c r="D156" s="16"/>
      <c r="E156" s="56">
        <f t="shared" ref="E156:AU156" si="41">SUM(E148:E155)</f>
        <v>50</v>
      </c>
      <c r="F156" s="56">
        <f t="shared" si="41"/>
        <v>13</v>
      </c>
      <c r="G156" s="56">
        <f t="shared" si="41"/>
        <v>16</v>
      </c>
      <c r="H156" s="56">
        <f t="shared" si="41"/>
        <v>18</v>
      </c>
      <c r="I156" s="56">
        <f t="shared" si="41"/>
        <v>34</v>
      </c>
      <c r="J156" s="56">
        <f t="shared" si="41"/>
        <v>50</v>
      </c>
      <c r="K156" s="56">
        <f t="shared" si="41"/>
        <v>8</v>
      </c>
      <c r="L156" s="56">
        <f t="shared" si="41"/>
        <v>7</v>
      </c>
      <c r="M156" s="56">
        <f t="shared" si="41"/>
        <v>18</v>
      </c>
      <c r="N156" s="56">
        <f t="shared" si="41"/>
        <v>16</v>
      </c>
      <c r="O156" s="56">
        <f t="shared" si="41"/>
        <v>16</v>
      </c>
      <c r="P156" s="56">
        <f t="shared" si="41"/>
        <v>8</v>
      </c>
      <c r="Q156" s="56">
        <f t="shared" si="41"/>
        <v>10</v>
      </c>
      <c r="R156" s="56">
        <f t="shared" si="41"/>
        <v>38</v>
      </c>
      <c r="S156" s="56">
        <f t="shared" si="41"/>
        <v>69</v>
      </c>
      <c r="T156" s="56">
        <f t="shared" si="41"/>
        <v>8</v>
      </c>
      <c r="U156" s="56">
        <f t="shared" si="41"/>
        <v>80</v>
      </c>
      <c r="V156" s="56">
        <f t="shared" si="41"/>
        <v>80</v>
      </c>
      <c r="W156" s="56">
        <f t="shared" si="41"/>
        <v>20</v>
      </c>
      <c r="X156" s="56">
        <f t="shared" si="41"/>
        <v>97</v>
      </c>
      <c r="Y156" s="56">
        <f t="shared" si="41"/>
        <v>79</v>
      </c>
      <c r="Z156" s="56">
        <f t="shared" si="41"/>
        <v>13</v>
      </c>
      <c r="AA156" s="56">
        <f t="shared" si="41"/>
        <v>27</v>
      </c>
      <c r="AB156" s="56">
        <f t="shared" si="41"/>
        <v>17</v>
      </c>
      <c r="AC156" s="56">
        <f t="shared" si="41"/>
        <v>31</v>
      </c>
      <c r="AD156" s="56">
        <f t="shared" si="41"/>
        <v>3</v>
      </c>
      <c r="AE156" s="56">
        <f t="shared" si="41"/>
        <v>26</v>
      </c>
      <c r="AF156" s="56">
        <f t="shared" si="41"/>
        <v>10</v>
      </c>
      <c r="AG156" s="56">
        <f t="shared" si="41"/>
        <v>17</v>
      </c>
      <c r="AH156" s="56">
        <f t="shared" si="41"/>
        <v>85</v>
      </c>
      <c r="AI156" s="56">
        <f t="shared" si="41"/>
        <v>4</v>
      </c>
      <c r="AJ156" s="56">
        <f t="shared" si="41"/>
        <v>4</v>
      </c>
      <c r="AK156" s="56">
        <f t="shared" si="41"/>
        <v>4</v>
      </c>
      <c r="AL156" s="56">
        <f t="shared" si="41"/>
        <v>7</v>
      </c>
      <c r="AM156" s="56">
        <f t="shared" si="41"/>
        <v>20</v>
      </c>
      <c r="AN156" s="56">
        <f t="shared" si="41"/>
        <v>64</v>
      </c>
      <c r="AO156" s="56">
        <f t="shared" si="41"/>
        <v>3</v>
      </c>
      <c r="AP156" s="56">
        <f t="shared" si="41"/>
        <v>2</v>
      </c>
      <c r="AQ156" s="56">
        <f t="shared" si="41"/>
        <v>5</v>
      </c>
      <c r="AR156" s="56">
        <f t="shared" si="41"/>
        <v>9</v>
      </c>
      <c r="AS156" s="56">
        <f t="shared" si="41"/>
        <v>6</v>
      </c>
      <c r="AT156" s="56">
        <f t="shared" si="41"/>
        <v>14</v>
      </c>
      <c r="AU156" s="56">
        <f t="shared" si="41"/>
        <v>2</v>
      </c>
      <c r="AV156" s="13">
        <f t="shared" si="40"/>
        <v>1108</v>
      </c>
      <c r="AW156" s="5"/>
      <c r="AX156" s="5"/>
    </row>
    <row r="157" ht="12.75" customHeight="1">
      <c r="A157" s="57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13"/>
      <c r="AW157" s="5"/>
      <c r="AX157" s="5"/>
    </row>
    <row r="158" ht="12.75" customHeight="1">
      <c r="A158" s="30" t="s">
        <v>37</v>
      </c>
      <c r="B158" s="47" t="s">
        <v>134</v>
      </c>
      <c r="C158" s="48" t="s">
        <v>135</v>
      </c>
      <c r="D158" s="16"/>
      <c r="E158" s="69">
        <v>1.0</v>
      </c>
      <c r="F158" s="69">
        <v>1.0</v>
      </c>
      <c r="G158" s="69">
        <v>0.0</v>
      </c>
      <c r="H158" s="69">
        <v>0.0</v>
      </c>
      <c r="I158" s="69">
        <v>1.0</v>
      </c>
      <c r="J158" s="69">
        <v>2.0</v>
      </c>
      <c r="K158" s="69">
        <v>1.0</v>
      </c>
      <c r="L158" s="69">
        <v>0.0</v>
      </c>
      <c r="M158" s="69">
        <v>1.0</v>
      </c>
      <c r="N158" s="69">
        <v>2.0</v>
      </c>
      <c r="O158" s="69">
        <v>0.0</v>
      </c>
      <c r="P158" s="69">
        <v>0.0</v>
      </c>
      <c r="Q158" s="69">
        <v>0.0</v>
      </c>
      <c r="R158" s="69">
        <v>0.0</v>
      </c>
      <c r="S158" s="69">
        <v>1.0</v>
      </c>
      <c r="T158" s="69">
        <v>5.0</v>
      </c>
      <c r="U158" s="69">
        <v>1.0</v>
      </c>
      <c r="V158" s="69">
        <v>0.0</v>
      </c>
      <c r="W158" s="69">
        <v>0.0</v>
      </c>
      <c r="X158" s="69">
        <v>0.0</v>
      </c>
      <c r="Y158" s="69">
        <v>0.0</v>
      </c>
      <c r="Z158" s="69">
        <v>1.0</v>
      </c>
      <c r="AA158" s="69">
        <v>0.0</v>
      </c>
      <c r="AB158" s="69">
        <v>3.0</v>
      </c>
      <c r="AC158" s="69">
        <v>0.0</v>
      </c>
      <c r="AD158" s="69">
        <v>0.0</v>
      </c>
      <c r="AE158" s="69">
        <v>1.0</v>
      </c>
      <c r="AF158" s="69">
        <v>2.0</v>
      </c>
      <c r="AG158" s="69">
        <v>1.0</v>
      </c>
      <c r="AH158" s="69">
        <v>0.0</v>
      </c>
      <c r="AI158" s="69">
        <v>0.0</v>
      </c>
      <c r="AJ158" s="69">
        <v>2.0</v>
      </c>
      <c r="AK158" s="69">
        <v>0.0</v>
      </c>
      <c r="AL158" s="69">
        <v>0.0</v>
      </c>
      <c r="AM158" s="69">
        <v>1.0</v>
      </c>
      <c r="AN158" s="69">
        <v>0.0</v>
      </c>
      <c r="AO158" s="69">
        <v>1.0</v>
      </c>
      <c r="AP158" s="69">
        <v>2.0</v>
      </c>
      <c r="AQ158" s="69">
        <v>2.0</v>
      </c>
      <c r="AR158" s="69">
        <v>0.0</v>
      </c>
      <c r="AS158" s="69">
        <v>1.0</v>
      </c>
      <c r="AT158" s="69">
        <v>1.0</v>
      </c>
      <c r="AU158" s="69">
        <v>0.0</v>
      </c>
      <c r="AV158" s="13">
        <f t="shared" ref="AV158:AV161" si="42">SUM(E158:AU158)</f>
        <v>34</v>
      </c>
      <c r="AW158" s="5"/>
      <c r="AX158" s="5"/>
    </row>
    <row r="159" ht="12.75" customHeight="1">
      <c r="A159" s="30" t="s">
        <v>39</v>
      </c>
      <c r="B159" s="49"/>
      <c r="C159" s="50" t="s">
        <v>136</v>
      </c>
      <c r="D159" s="51"/>
      <c r="E159" s="69">
        <v>0.0</v>
      </c>
      <c r="F159" s="69">
        <v>1.0</v>
      </c>
      <c r="G159" s="69">
        <v>1.0</v>
      </c>
      <c r="H159" s="69">
        <v>2.0</v>
      </c>
      <c r="I159" s="69">
        <v>1.0</v>
      </c>
      <c r="J159" s="69">
        <v>0.0</v>
      </c>
      <c r="K159" s="69">
        <v>0.0</v>
      </c>
      <c r="L159" s="69">
        <v>1.0</v>
      </c>
      <c r="M159" s="69">
        <v>0.0</v>
      </c>
      <c r="N159" s="69">
        <v>1.0</v>
      </c>
      <c r="O159" s="69">
        <v>0.0</v>
      </c>
      <c r="P159" s="69">
        <v>0.0</v>
      </c>
      <c r="Q159" s="69">
        <v>0.0</v>
      </c>
      <c r="R159" s="69">
        <v>0.0</v>
      </c>
      <c r="S159" s="69">
        <v>0.0</v>
      </c>
      <c r="T159" s="69">
        <v>3.0</v>
      </c>
      <c r="U159" s="69">
        <v>1.0</v>
      </c>
      <c r="V159" s="69">
        <v>0.0</v>
      </c>
      <c r="W159" s="69">
        <v>0.0</v>
      </c>
      <c r="X159" s="69">
        <v>0.0</v>
      </c>
      <c r="Y159" s="69">
        <v>1.0</v>
      </c>
      <c r="Z159" s="69">
        <v>2.0</v>
      </c>
      <c r="AA159" s="69">
        <v>0.0</v>
      </c>
      <c r="AB159" s="69">
        <v>0.0</v>
      </c>
      <c r="AC159" s="69">
        <v>1.0</v>
      </c>
      <c r="AD159" s="69">
        <v>3.0</v>
      </c>
      <c r="AE159" s="69">
        <v>0.0</v>
      </c>
      <c r="AF159" s="69">
        <v>1.0</v>
      </c>
      <c r="AG159" s="69">
        <v>0.0</v>
      </c>
      <c r="AH159" s="69">
        <v>0.0</v>
      </c>
      <c r="AI159" s="69">
        <v>0.0</v>
      </c>
      <c r="AJ159" s="69">
        <v>0.0</v>
      </c>
      <c r="AK159" s="69">
        <v>1.0</v>
      </c>
      <c r="AL159" s="69">
        <v>0.0</v>
      </c>
      <c r="AM159" s="69">
        <v>0.0</v>
      </c>
      <c r="AN159" s="69">
        <v>1.0</v>
      </c>
      <c r="AO159" s="69">
        <v>2.0</v>
      </c>
      <c r="AP159" s="69">
        <v>1.0</v>
      </c>
      <c r="AQ159" s="69">
        <v>0.0</v>
      </c>
      <c r="AR159" s="69">
        <v>2.0</v>
      </c>
      <c r="AS159" s="69">
        <v>1.0</v>
      </c>
      <c r="AT159" s="69">
        <v>0.0</v>
      </c>
      <c r="AU159" s="69">
        <v>0.0</v>
      </c>
      <c r="AV159" s="13">
        <f t="shared" si="42"/>
        <v>27</v>
      </c>
      <c r="AW159" s="5"/>
      <c r="AX159" s="5"/>
    </row>
    <row r="160" ht="12.75" customHeight="1">
      <c r="A160" s="30"/>
      <c r="B160" s="49"/>
      <c r="C160" s="50" t="s">
        <v>137</v>
      </c>
      <c r="D160" s="51"/>
      <c r="E160" s="69">
        <v>0.0</v>
      </c>
      <c r="F160" s="69">
        <v>0.0</v>
      </c>
      <c r="G160" s="69">
        <v>0.0</v>
      </c>
      <c r="H160" s="69">
        <v>0.0</v>
      </c>
      <c r="I160" s="69">
        <v>0.0</v>
      </c>
      <c r="J160" s="69">
        <v>2.0</v>
      </c>
      <c r="K160" s="69">
        <v>0.0</v>
      </c>
      <c r="L160" s="69">
        <v>0.0</v>
      </c>
      <c r="M160" s="69">
        <v>0.0</v>
      </c>
      <c r="N160" s="69">
        <v>0.0</v>
      </c>
      <c r="O160" s="69">
        <v>0.0</v>
      </c>
      <c r="P160" s="69">
        <v>0.0</v>
      </c>
      <c r="Q160" s="69">
        <v>0.0</v>
      </c>
      <c r="R160" s="69">
        <v>1.0</v>
      </c>
      <c r="S160" s="69">
        <v>0.0</v>
      </c>
      <c r="T160" s="69">
        <v>0.0</v>
      </c>
      <c r="U160" s="69">
        <v>0.0</v>
      </c>
      <c r="V160" s="69">
        <v>0.0</v>
      </c>
      <c r="W160" s="69">
        <v>1.0</v>
      </c>
      <c r="X160" s="69">
        <v>0.0</v>
      </c>
      <c r="Y160" s="69">
        <v>0.0</v>
      </c>
      <c r="Z160" s="69">
        <v>0.0</v>
      </c>
      <c r="AA160" s="69">
        <v>1.0</v>
      </c>
      <c r="AB160" s="69">
        <v>0.0</v>
      </c>
      <c r="AC160" s="69">
        <v>0.0</v>
      </c>
      <c r="AD160" s="69">
        <v>0.0</v>
      </c>
      <c r="AE160" s="69">
        <v>0.0</v>
      </c>
      <c r="AF160" s="69">
        <v>0.0</v>
      </c>
      <c r="AG160" s="69">
        <v>0.0</v>
      </c>
      <c r="AH160" s="69">
        <v>0.0</v>
      </c>
      <c r="AI160" s="69">
        <v>0.0</v>
      </c>
      <c r="AJ160" s="69">
        <v>0.0</v>
      </c>
      <c r="AK160" s="69">
        <v>0.0</v>
      </c>
      <c r="AL160" s="69">
        <v>0.0</v>
      </c>
      <c r="AM160" s="69">
        <v>0.0</v>
      </c>
      <c r="AN160" s="69">
        <v>0.0</v>
      </c>
      <c r="AO160" s="69">
        <v>0.0</v>
      </c>
      <c r="AP160" s="69">
        <v>0.0</v>
      </c>
      <c r="AQ160" s="69">
        <v>0.0</v>
      </c>
      <c r="AR160" s="69">
        <v>2.0</v>
      </c>
      <c r="AS160" s="69">
        <v>0.0</v>
      </c>
      <c r="AT160" s="69">
        <v>0.0</v>
      </c>
      <c r="AU160" s="69">
        <v>0.0</v>
      </c>
      <c r="AV160" s="13">
        <f t="shared" si="42"/>
        <v>7</v>
      </c>
      <c r="AW160" s="5"/>
      <c r="AX160" s="5"/>
    </row>
    <row r="161" ht="12.75" customHeight="1">
      <c r="A161" s="19" t="s">
        <v>15</v>
      </c>
      <c r="B161" s="47" t="s">
        <v>47</v>
      </c>
      <c r="C161" s="15"/>
      <c r="D161" s="16"/>
      <c r="E161" s="56">
        <f t="shared" ref="E161:AU161" si="43">SUM(E158:E160)</f>
        <v>1</v>
      </c>
      <c r="F161" s="56">
        <f t="shared" si="43"/>
        <v>2</v>
      </c>
      <c r="G161" s="56">
        <f t="shared" si="43"/>
        <v>1</v>
      </c>
      <c r="H161" s="56">
        <f t="shared" si="43"/>
        <v>2</v>
      </c>
      <c r="I161" s="56">
        <f t="shared" si="43"/>
        <v>2</v>
      </c>
      <c r="J161" s="56">
        <f t="shared" si="43"/>
        <v>4</v>
      </c>
      <c r="K161" s="56">
        <f t="shared" si="43"/>
        <v>1</v>
      </c>
      <c r="L161" s="56">
        <f t="shared" si="43"/>
        <v>1</v>
      </c>
      <c r="M161" s="56">
        <f t="shared" si="43"/>
        <v>1</v>
      </c>
      <c r="N161" s="56">
        <f t="shared" si="43"/>
        <v>3</v>
      </c>
      <c r="O161" s="56">
        <f t="shared" si="43"/>
        <v>0</v>
      </c>
      <c r="P161" s="56">
        <f t="shared" si="43"/>
        <v>0</v>
      </c>
      <c r="Q161" s="56">
        <f t="shared" si="43"/>
        <v>0</v>
      </c>
      <c r="R161" s="56">
        <f t="shared" si="43"/>
        <v>1</v>
      </c>
      <c r="S161" s="56">
        <f t="shared" si="43"/>
        <v>1</v>
      </c>
      <c r="T161" s="56">
        <f t="shared" si="43"/>
        <v>8</v>
      </c>
      <c r="U161" s="56">
        <f t="shared" si="43"/>
        <v>2</v>
      </c>
      <c r="V161" s="56">
        <f t="shared" si="43"/>
        <v>0</v>
      </c>
      <c r="W161" s="56">
        <f t="shared" si="43"/>
        <v>1</v>
      </c>
      <c r="X161" s="56">
        <f t="shared" si="43"/>
        <v>0</v>
      </c>
      <c r="Y161" s="56">
        <f t="shared" si="43"/>
        <v>1</v>
      </c>
      <c r="Z161" s="56">
        <f t="shared" si="43"/>
        <v>3</v>
      </c>
      <c r="AA161" s="56">
        <f t="shared" si="43"/>
        <v>1</v>
      </c>
      <c r="AB161" s="56">
        <f t="shared" si="43"/>
        <v>3</v>
      </c>
      <c r="AC161" s="56">
        <f t="shared" si="43"/>
        <v>1</v>
      </c>
      <c r="AD161" s="56">
        <f t="shared" si="43"/>
        <v>3</v>
      </c>
      <c r="AE161" s="56">
        <f t="shared" si="43"/>
        <v>1</v>
      </c>
      <c r="AF161" s="56">
        <f t="shared" si="43"/>
        <v>3</v>
      </c>
      <c r="AG161" s="56">
        <f t="shared" si="43"/>
        <v>1</v>
      </c>
      <c r="AH161" s="56">
        <f t="shared" si="43"/>
        <v>0</v>
      </c>
      <c r="AI161" s="56">
        <f t="shared" si="43"/>
        <v>0</v>
      </c>
      <c r="AJ161" s="56">
        <f t="shared" si="43"/>
        <v>2</v>
      </c>
      <c r="AK161" s="56">
        <f t="shared" si="43"/>
        <v>1</v>
      </c>
      <c r="AL161" s="56">
        <f t="shared" si="43"/>
        <v>0</v>
      </c>
      <c r="AM161" s="56">
        <f t="shared" si="43"/>
        <v>1</v>
      </c>
      <c r="AN161" s="56">
        <f t="shared" si="43"/>
        <v>1</v>
      </c>
      <c r="AO161" s="56">
        <f t="shared" si="43"/>
        <v>3</v>
      </c>
      <c r="AP161" s="56">
        <f t="shared" si="43"/>
        <v>3</v>
      </c>
      <c r="AQ161" s="56">
        <f t="shared" si="43"/>
        <v>2</v>
      </c>
      <c r="AR161" s="56">
        <f t="shared" si="43"/>
        <v>4</v>
      </c>
      <c r="AS161" s="56">
        <f t="shared" si="43"/>
        <v>2</v>
      </c>
      <c r="AT161" s="56">
        <f t="shared" si="43"/>
        <v>1</v>
      </c>
      <c r="AU161" s="56">
        <f t="shared" si="43"/>
        <v>0</v>
      </c>
      <c r="AV161" s="13">
        <f t="shared" si="42"/>
        <v>68</v>
      </c>
      <c r="AW161" s="5"/>
      <c r="AX161" s="5"/>
    </row>
    <row r="162" ht="12.75" customHeight="1">
      <c r="A162" s="57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13"/>
      <c r="AW162" s="5"/>
      <c r="AX162" s="5"/>
    </row>
    <row r="163" ht="15.0" customHeight="1">
      <c r="A163" s="30" t="s">
        <v>37</v>
      </c>
      <c r="B163" s="47" t="s">
        <v>138</v>
      </c>
      <c r="C163" s="48" t="s">
        <v>139</v>
      </c>
      <c r="D163" s="16"/>
      <c r="E163" s="69">
        <v>0.0</v>
      </c>
      <c r="F163" s="69">
        <v>0.0</v>
      </c>
      <c r="G163" s="69">
        <v>0.0</v>
      </c>
      <c r="H163" s="69">
        <v>0.0</v>
      </c>
      <c r="I163" s="69">
        <v>0.0</v>
      </c>
      <c r="J163" s="69">
        <v>0.0</v>
      </c>
      <c r="K163" s="69">
        <v>0.0</v>
      </c>
      <c r="L163" s="69">
        <v>0.0</v>
      </c>
      <c r="M163" s="69">
        <v>0.0</v>
      </c>
      <c r="N163" s="69">
        <v>0.0</v>
      </c>
      <c r="O163" s="69">
        <v>0.0</v>
      </c>
      <c r="P163" s="69">
        <v>0.0</v>
      </c>
      <c r="Q163" s="69">
        <v>0.0</v>
      </c>
      <c r="R163" s="69">
        <v>0.0</v>
      </c>
      <c r="S163" s="69">
        <v>0.0</v>
      </c>
      <c r="T163" s="69">
        <v>0.0</v>
      </c>
      <c r="U163" s="69">
        <v>0.0</v>
      </c>
      <c r="V163" s="69">
        <v>0.0</v>
      </c>
      <c r="W163" s="69">
        <v>0.0</v>
      </c>
      <c r="X163" s="69">
        <v>0.0</v>
      </c>
      <c r="Y163" s="69">
        <v>0.0</v>
      </c>
      <c r="Z163" s="69">
        <v>0.0</v>
      </c>
      <c r="AA163" s="69">
        <v>0.0</v>
      </c>
      <c r="AB163" s="69">
        <v>0.0</v>
      </c>
      <c r="AC163" s="69">
        <v>0.0</v>
      </c>
      <c r="AD163" s="69">
        <v>0.0</v>
      </c>
      <c r="AE163" s="69">
        <v>0.0</v>
      </c>
      <c r="AF163" s="69">
        <v>0.0</v>
      </c>
      <c r="AG163" s="69">
        <v>0.0</v>
      </c>
      <c r="AH163" s="69">
        <v>0.0</v>
      </c>
      <c r="AI163" s="69">
        <v>0.0</v>
      </c>
      <c r="AJ163" s="69">
        <v>0.0</v>
      </c>
      <c r="AK163" s="69">
        <v>0.0</v>
      </c>
      <c r="AL163" s="69">
        <v>0.0</v>
      </c>
      <c r="AM163" s="69">
        <v>0.0</v>
      </c>
      <c r="AN163" s="69">
        <v>0.0</v>
      </c>
      <c r="AO163" s="69">
        <v>0.0</v>
      </c>
      <c r="AP163" s="69">
        <v>0.0</v>
      </c>
      <c r="AQ163" s="69">
        <v>0.0</v>
      </c>
      <c r="AR163" s="69">
        <v>0.0</v>
      </c>
      <c r="AS163" s="69">
        <v>0.0</v>
      </c>
      <c r="AT163" s="69">
        <v>0.0</v>
      </c>
      <c r="AU163" s="69">
        <v>0.0</v>
      </c>
      <c r="AV163" s="13">
        <f t="shared" ref="AV163:AV165" si="44">SUM(E163:AU163)</f>
        <v>0</v>
      </c>
      <c r="AW163" s="5"/>
      <c r="AX163" s="5"/>
    </row>
    <row r="164" ht="12.75" customHeight="1">
      <c r="A164" s="30" t="s">
        <v>39</v>
      </c>
      <c r="B164" s="47"/>
      <c r="C164" s="50" t="s">
        <v>140</v>
      </c>
      <c r="D164" s="62"/>
      <c r="E164" s="69">
        <v>0.0</v>
      </c>
      <c r="F164" s="69">
        <v>0.0</v>
      </c>
      <c r="G164" s="69">
        <v>0.0</v>
      </c>
      <c r="H164" s="69">
        <v>0.0</v>
      </c>
      <c r="I164" s="69">
        <v>0.0</v>
      </c>
      <c r="J164" s="69">
        <v>0.0</v>
      </c>
      <c r="K164" s="69">
        <v>0.0</v>
      </c>
      <c r="L164" s="69">
        <v>0.0</v>
      </c>
      <c r="M164" s="69">
        <v>0.0</v>
      </c>
      <c r="N164" s="69">
        <v>0.0</v>
      </c>
      <c r="O164" s="69">
        <v>0.0</v>
      </c>
      <c r="P164" s="69">
        <v>0.0</v>
      </c>
      <c r="Q164" s="69">
        <v>0.0</v>
      </c>
      <c r="R164" s="69">
        <v>0.0</v>
      </c>
      <c r="S164" s="69">
        <v>0.0</v>
      </c>
      <c r="T164" s="69">
        <v>0.0</v>
      </c>
      <c r="U164" s="69">
        <v>0.0</v>
      </c>
      <c r="V164" s="69">
        <v>0.0</v>
      </c>
      <c r="W164" s="69">
        <v>0.0</v>
      </c>
      <c r="X164" s="69">
        <v>0.0</v>
      </c>
      <c r="Y164" s="69">
        <v>0.0</v>
      </c>
      <c r="Z164" s="69">
        <v>0.0</v>
      </c>
      <c r="AA164" s="69">
        <v>0.0</v>
      </c>
      <c r="AB164" s="69">
        <v>0.0</v>
      </c>
      <c r="AC164" s="69">
        <v>0.0</v>
      </c>
      <c r="AD164" s="69">
        <v>0.0</v>
      </c>
      <c r="AE164" s="69">
        <v>0.0</v>
      </c>
      <c r="AF164" s="69">
        <v>0.0</v>
      </c>
      <c r="AG164" s="69">
        <v>0.0</v>
      </c>
      <c r="AH164" s="69">
        <v>0.0</v>
      </c>
      <c r="AI164" s="69">
        <v>0.0</v>
      </c>
      <c r="AJ164" s="69">
        <v>0.0</v>
      </c>
      <c r="AK164" s="69">
        <v>0.0</v>
      </c>
      <c r="AL164" s="69">
        <v>0.0</v>
      </c>
      <c r="AM164" s="69">
        <v>0.0</v>
      </c>
      <c r="AN164" s="69">
        <v>0.0</v>
      </c>
      <c r="AO164" s="69">
        <v>0.0</v>
      </c>
      <c r="AP164" s="69">
        <v>0.0</v>
      </c>
      <c r="AQ164" s="69">
        <v>0.0</v>
      </c>
      <c r="AR164" s="69">
        <v>0.0</v>
      </c>
      <c r="AS164" s="69">
        <v>0.0</v>
      </c>
      <c r="AT164" s="69">
        <v>3.0</v>
      </c>
      <c r="AU164" s="69">
        <v>0.0</v>
      </c>
      <c r="AV164" s="13">
        <f t="shared" si="44"/>
        <v>3</v>
      </c>
      <c r="AW164" s="5"/>
      <c r="AX164" s="5"/>
    </row>
    <row r="165" ht="12.75" customHeight="1">
      <c r="A165" s="19" t="s">
        <v>15</v>
      </c>
      <c r="B165" s="47" t="s">
        <v>47</v>
      </c>
      <c r="C165" s="15"/>
      <c r="D165" s="16"/>
      <c r="E165" s="56">
        <f t="shared" ref="E165:AU165" si="45">SUM(E163:E164)</f>
        <v>0</v>
      </c>
      <c r="F165" s="56">
        <f t="shared" si="45"/>
        <v>0</v>
      </c>
      <c r="G165" s="56">
        <f t="shared" si="45"/>
        <v>0</v>
      </c>
      <c r="H165" s="56">
        <f t="shared" si="45"/>
        <v>0</v>
      </c>
      <c r="I165" s="56">
        <f t="shared" si="45"/>
        <v>0</v>
      </c>
      <c r="J165" s="56">
        <f t="shared" si="45"/>
        <v>0</v>
      </c>
      <c r="K165" s="56">
        <f t="shared" si="45"/>
        <v>0</v>
      </c>
      <c r="L165" s="56">
        <f t="shared" si="45"/>
        <v>0</v>
      </c>
      <c r="M165" s="56">
        <f t="shared" si="45"/>
        <v>0</v>
      </c>
      <c r="N165" s="56">
        <f t="shared" si="45"/>
        <v>0</v>
      </c>
      <c r="O165" s="56">
        <f t="shared" si="45"/>
        <v>0</v>
      </c>
      <c r="P165" s="56">
        <f t="shared" si="45"/>
        <v>0</v>
      </c>
      <c r="Q165" s="56">
        <f t="shared" si="45"/>
        <v>0</v>
      </c>
      <c r="R165" s="56">
        <f t="shared" si="45"/>
        <v>0</v>
      </c>
      <c r="S165" s="56">
        <f t="shared" si="45"/>
        <v>0</v>
      </c>
      <c r="T165" s="56">
        <f t="shared" si="45"/>
        <v>0</v>
      </c>
      <c r="U165" s="56">
        <f t="shared" si="45"/>
        <v>0</v>
      </c>
      <c r="V165" s="56">
        <f t="shared" si="45"/>
        <v>0</v>
      </c>
      <c r="W165" s="56">
        <f t="shared" si="45"/>
        <v>0</v>
      </c>
      <c r="X165" s="56">
        <f t="shared" si="45"/>
        <v>0</v>
      </c>
      <c r="Y165" s="56">
        <f t="shared" si="45"/>
        <v>0</v>
      </c>
      <c r="Z165" s="56">
        <f t="shared" si="45"/>
        <v>0</v>
      </c>
      <c r="AA165" s="56">
        <f t="shared" si="45"/>
        <v>0</v>
      </c>
      <c r="AB165" s="56">
        <f t="shared" si="45"/>
        <v>0</v>
      </c>
      <c r="AC165" s="56">
        <f t="shared" si="45"/>
        <v>0</v>
      </c>
      <c r="AD165" s="56">
        <f t="shared" si="45"/>
        <v>0</v>
      </c>
      <c r="AE165" s="56">
        <f t="shared" si="45"/>
        <v>0</v>
      </c>
      <c r="AF165" s="56">
        <f t="shared" si="45"/>
        <v>0</v>
      </c>
      <c r="AG165" s="56">
        <f t="shared" si="45"/>
        <v>0</v>
      </c>
      <c r="AH165" s="56">
        <f t="shared" si="45"/>
        <v>0</v>
      </c>
      <c r="AI165" s="56">
        <f t="shared" si="45"/>
        <v>0</v>
      </c>
      <c r="AJ165" s="56">
        <f t="shared" si="45"/>
        <v>0</v>
      </c>
      <c r="AK165" s="56">
        <f t="shared" si="45"/>
        <v>0</v>
      </c>
      <c r="AL165" s="56">
        <f t="shared" si="45"/>
        <v>0</v>
      </c>
      <c r="AM165" s="56">
        <f t="shared" si="45"/>
        <v>0</v>
      </c>
      <c r="AN165" s="56">
        <f t="shared" si="45"/>
        <v>0</v>
      </c>
      <c r="AO165" s="56">
        <f t="shared" si="45"/>
        <v>0</v>
      </c>
      <c r="AP165" s="56">
        <f t="shared" si="45"/>
        <v>0</v>
      </c>
      <c r="AQ165" s="56">
        <f t="shared" si="45"/>
        <v>0</v>
      </c>
      <c r="AR165" s="56">
        <f t="shared" si="45"/>
        <v>0</v>
      </c>
      <c r="AS165" s="56">
        <f t="shared" si="45"/>
        <v>0</v>
      </c>
      <c r="AT165" s="56">
        <f t="shared" si="45"/>
        <v>3</v>
      </c>
      <c r="AU165" s="56">
        <f t="shared" si="45"/>
        <v>0</v>
      </c>
      <c r="AV165" s="13">
        <f t="shared" si="44"/>
        <v>3</v>
      </c>
      <c r="AW165" s="1"/>
      <c r="AX165" s="1"/>
    </row>
    <row r="166" ht="12.75" customHeight="1">
      <c r="A166" s="57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13"/>
      <c r="AW166" s="53"/>
      <c r="AX166" s="53"/>
    </row>
    <row r="167" ht="12.75" customHeight="1">
      <c r="A167" s="30" t="s">
        <v>37</v>
      </c>
      <c r="B167" s="47" t="s">
        <v>141</v>
      </c>
      <c r="C167" s="48" t="s">
        <v>142</v>
      </c>
      <c r="D167" s="16"/>
      <c r="E167" s="69">
        <v>0.0</v>
      </c>
      <c r="F167" s="69">
        <v>0.0</v>
      </c>
      <c r="G167" s="69">
        <v>0.0</v>
      </c>
      <c r="H167" s="69">
        <v>0.0</v>
      </c>
      <c r="I167" s="69">
        <v>0.0</v>
      </c>
      <c r="J167" s="69">
        <v>0.0</v>
      </c>
      <c r="K167" s="69">
        <v>0.0</v>
      </c>
      <c r="L167" s="69">
        <v>0.0</v>
      </c>
      <c r="M167" s="69">
        <v>0.0</v>
      </c>
      <c r="N167" s="69">
        <v>0.0</v>
      </c>
      <c r="O167" s="69">
        <v>0.0</v>
      </c>
      <c r="P167" s="69">
        <v>0.0</v>
      </c>
      <c r="Q167" s="69">
        <v>0.0</v>
      </c>
      <c r="R167" s="69">
        <v>0.0</v>
      </c>
      <c r="S167" s="69">
        <v>0.0</v>
      </c>
      <c r="T167" s="69">
        <v>0.0</v>
      </c>
      <c r="U167" s="69">
        <v>0.0</v>
      </c>
      <c r="V167" s="69">
        <v>0.0</v>
      </c>
      <c r="W167" s="69">
        <v>1.0</v>
      </c>
      <c r="X167" s="69">
        <v>0.0</v>
      </c>
      <c r="Y167" s="69">
        <v>0.0</v>
      </c>
      <c r="Z167" s="69">
        <v>1.0</v>
      </c>
      <c r="AA167" s="69">
        <v>0.0</v>
      </c>
      <c r="AB167" s="69">
        <v>1.0</v>
      </c>
      <c r="AC167" s="69">
        <v>1.0</v>
      </c>
      <c r="AD167" s="69">
        <v>0.0</v>
      </c>
      <c r="AE167" s="69">
        <v>0.0</v>
      </c>
      <c r="AF167" s="69">
        <v>0.0</v>
      </c>
      <c r="AG167" s="69">
        <v>0.0</v>
      </c>
      <c r="AH167" s="69">
        <v>0.0</v>
      </c>
      <c r="AI167" s="69">
        <v>2.0</v>
      </c>
      <c r="AJ167" s="69">
        <v>0.0</v>
      </c>
      <c r="AK167" s="69">
        <v>0.0</v>
      </c>
      <c r="AL167" s="69">
        <v>0.0</v>
      </c>
      <c r="AM167" s="69">
        <v>0.0</v>
      </c>
      <c r="AN167" s="69">
        <v>0.0</v>
      </c>
      <c r="AO167" s="69">
        <v>0.0</v>
      </c>
      <c r="AP167" s="69">
        <v>0.0</v>
      </c>
      <c r="AQ167" s="69">
        <v>0.0</v>
      </c>
      <c r="AR167" s="69">
        <v>1.0</v>
      </c>
      <c r="AS167" s="69">
        <v>0.0</v>
      </c>
      <c r="AT167" s="69">
        <v>0.0</v>
      </c>
      <c r="AU167" s="69">
        <v>0.0</v>
      </c>
      <c r="AV167" s="13">
        <f t="shared" ref="AV167:AV175" si="46">SUM(E167:AU167)</f>
        <v>7</v>
      </c>
      <c r="AW167" s="5"/>
      <c r="AX167" s="5"/>
    </row>
    <row r="168" ht="12.75" customHeight="1">
      <c r="A168" s="30" t="s">
        <v>39</v>
      </c>
      <c r="B168" s="49"/>
      <c r="C168" s="50" t="s">
        <v>143</v>
      </c>
      <c r="D168" s="51"/>
      <c r="E168" s="69">
        <v>1.0</v>
      </c>
      <c r="F168" s="69">
        <v>0.0</v>
      </c>
      <c r="G168" s="69">
        <v>0.0</v>
      </c>
      <c r="H168" s="69">
        <v>0.0</v>
      </c>
      <c r="I168" s="69">
        <v>0.0</v>
      </c>
      <c r="J168" s="69">
        <v>0.0</v>
      </c>
      <c r="K168" s="69">
        <v>1.0</v>
      </c>
      <c r="L168" s="69">
        <v>0.0</v>
      </c>
      <c r="M168" s="69">
        <v>0.0</v>
      </c>
      <c r="N168" s="69">
        <v>0.0</v>
      </c>
      <c r="O168" s="69">
        <v>0.0</v>
      </c>
      <c r="P168" s="69">
        <v>0.0</v>
      </c>
      <c r="Q168" s="69">
        <v>0.0</v>
      </c>
      <c r="R168" s="69">
        <v>0.0</v>
      </c>
      <c r="S168" s="69">
        <v>0.0</v>
      </c>
      <c r="T168" s="69">
        <v>0.0</v>
      </c>
      <c r="U168" s="69">
        <v>0.0</v>
      </c>
      <c r="V168" s="69">
        <v>1.0</v>
      </c>
      <c r="W168" s="69">
        <v>0.0</v>
      </c>
      <c r="X168" s="69">
        <v>0.0</v>
      </c>
      <c r="Y168" s="69">
        <v>0.0</v>
      </c>
      <c r="Z168" s="69">
        <v>1.0</v>
      </c>
      <c r="AA168" s="69">
        <v>0.0</v>
      </c>
      <c r="AB168" s="69">
        <v>0.0</v>
      </c>
      <c r="AC168" s="69">
        <v>0.0</v>
      </c>
      <c r="AD168" s="69">
        <v>0.0</v>
      </c>
      <c r="AE168" s="69">
        <v>0.0</v>
      </c>
      <c r="AF168" s="69">
        <v>0.0</v>
      </c>
      <c r="AG168" s="69">
        <v>0.0</v>
      </c>
      <c r="AH168" s="69">
        <v>0.0</v>
      </c>
      <c r="AI168" s="69">
        <v>0.0</v>
      </c>
      <c r="AJ168" s="69">
        <v>0.0</v>
      </c>
      <c r="AK168" s="69">
        <v>0.0</v>
      </c>
      <c r="AL168" s="69">
        <v>0.0</v>
      </c>
      <c r="AM168" s="69">
        <v>0.0</v>
      </c>
      <c r="AN168" s="69">
        <v>0.0</v>
      </c>
      <c r="AO168" s="69">
        <v>0.0</v>
      </c>
      <c r="AP168" s="69">
        <v>0.0</v>
      </c>
      <c r="AQ168" s="69">
        <v>0.0</v>
      </c>
      <c r="AR168" s="69">
        <v>0.0</v>
      </c>
      <c r="AS168" s="69">
        <v>0.0</v>
      </c>
      <c r="AT168" s="69">
        <v>0.0</v>
      </c>
      <c r="AU168" s="69">
        <v>0.0</v>
      </c>
      <c r="AV168" s="13">
        <f t="shared" si="46"/>
        <v>4</v>
      </c>
      <c r="AW168" s="5"/>
      <c r="AX168" s="5"/>
    </row>
    <row r="169" ht="12.75" customHeight="1">
      <c r="A169" s="18"/>
      <c r="B169" s="49"/>
      <c r="C169" s="50" t="s">
        <v>144</v>
      </c>
      <c r="D169" s="51"/>
      <c r="E169" s="69">
        <v>1.0</v>
      </c>
      <c r="F169" s="69">
        <v>0.0</v>
      </c>
      <c r="G169" s="69">
        <v>0.0</v>
      </c>
      <c r="H169" s="69">
        <v>0.0</v>
      </c>
      <c r="I169" s="69">
        <v>0.0</v>
      </c>
      <c r="J169" s="69">
        <v>0.0</v>
      </c>
      <c r="K169" s="69">
        <v>0.0</v>
      </c>
      <c r="L169" s="69">
        <v>0.0</v>
      </c>
      <c r="M169" s="69">
        <v>0.0</v>
      </c>
      <c r="N169" s="69">
        <v>0.0</v>
      </c>
      <c r="O169" s="69">
        <v>0.0</v>
      </c>
      <c r="P169" s="69">
        <v>0.0</v>
      </c>
      <c r="Q169" s="69">
        <v>0.0</v>
      </c>
      <c r="R169" s="69">
        <v>0.0</v>
      </c>
      <c r="S169" s="69">
        <v>0.0</v>
      </c>
      <c r="T169" s="69">
        <v>0.0</v>
      </c>
      <c r="U169" s="69">
        <v>0.0</v>
      </c>
      <c r="V169" s="69">
        <v>0.0</v>
      </c>
      <c r="W169" s="69">
        <v>1.0</v>
      </c>
      <c r="X169" s="69">
        <v>0.0</v>
      </c>
      <c r="Y169" s="69">
        <v>0.0</v>
      </c>
      <c r="Z169" s="69">
        <v>0.0</v>
      </c>
      <c r="AA169" s="69">
        <v>0.0</v>
      </c>
      <c r="AB169" s="69">
        <v>1.0</v>
      </c>
      <c r="AC169" s="69">
        <v>0.0</v>
      </c>
      <c r="AD169" s="69">
        <v>0.0</v>
      </c>
      <c r="AE169" s="69">
        <v>0.0</v>
      </c>
      <c r="AF169" s="69">
        <v>0.0</v>
      </c>
      <c r="AG169" s="69">
        <v>0.0</v>
      </c>
      <c r="AH169" s="69">
        <v>0.0</v>
      </c>
      <c r="AI169" s="69">
        <v>0.0</v>
      </c>
      <c r="AJ169" s="69">
        <v>0.0</v>
      </c>
      <c r="AK169" s="69">
        <v>0.0</v>
      </c>
      <c r="AL169" s="69">
        <v>0.0</v>
      </c>
      <c r="AM169" s="69">
        <v>0.0</v>
      </c>
      <c r="AN169" s="69">
        <v>0.0</v>
      </c>
      <c r="AO169" s="69">
        <v>0.0</v>
      </c>
      <c r="AP169" s="69">
        <v>0.0</v>
      </c>
      <c r="AQ169" s="69">
        <v>0.0</v>
      </c>
      <c r="AR169" s="69">
        <v>0.0</v>
      </c>
      <c r="AS169" s="69">
        <v>0.0</v>
      </c>
      <c r="AT169" s="69">
        <v>0.0</v>
      </c>
      <c r="AU169" s="69">
        <v>0.0</v>
      </c>
      <c r="AV169" s="13">
        <f t="shared" si="46"/>
        <v>3</v>
      </c>
      <c r="AW169" s="5"/>
      <c r="AX169" s="5"/>
    </row>
    <row r="170" ht="12.75" customHeight="1">
      <c r="A170" s="18"/>
      <c r="B170" s="49"/>
      <c r="C170" s="50" t="s">
        <v>145</v>
      </c>
      <c r="D170" s="51"/>
      <c r="E170" s="69">
        <v>0.0</v>
      </c>
      <c r="F170" s="69">
        <v>0.0</v>
      </c>
      <c r="G170" s="69">
        <v>0.0</v>
      </c>
      <c r="H170" s="69">
        <v>0.0</v>
      </c>
      <c r="I170" s="69">
        <v>0.0</v>
      </c>
      <c r="J170" s="69">
        <v>0.0</v>
      </c>
      <c r="K170" s="69">
        <v>0.0</v>
      </c>
      <c r="L170" s="69">
        <v>0.0</v>
      </c>
      <c r="M170" s="69">
        <v>0.0</v>
      </c>
      <c r="N170" s="69">
        <v>0.0</v>
      </c>
      <c r="O170" s="69">
        <v>0.0</v>
      </c>
      <c r="P170" s="69">
        <v>0.0</v>
      </c>
      <c r="Q170" s="69">
        <v>0.0</v>
      </c>
      <c r="R170" s="69">
        <v>0.0</v>
      </c>
      <c r="S170" s="69">
        <v>1.0</v>
      </c>
      <c r="T170" s="69">
        <v>0.0</v>
      </c>
      <c r="U170" s="69">
        <v>0.0</v>
      </c>
      <c r="V170" s="69">
        <v>0.0</v>
      </c>
      <c r="W170" s="69">
        <v>0.0</v>
      </c>
      <c r="X170" s="69">
        <v>0.0</v>
      </c>
      <c r="Y170" s="69">
        <v>0.0</v>
      </c>
      <c r="Z170" s="69">
        <v>0.0</v>
      </c>
      <c r="AA170" s="69">
        <v>0.0</v>
      </c>
      <c r="AB170" s="69">
        <v>0.0</v>
      </c>
      <c r="AC170" s="69">
        <v>0.0</v>
      </c>
      <c r="AD170" s="69">
        <v>0.0</v>
      </c>
      <c r="AE170" s="69">
        <v>0.0</v>
      </c>
      <c r="AF170" s="69">
        <v>0.0</v>
      </c>
      <c r="AG170" s="69">
        <v>0.0</v>
      </c>
      <c r="AH170" s="69">
        <v>0.0</v>
      </c>
      <c r="AI170" s="69">
        <v>0.0</v>
      </c>
      <c r="AJ170" s="69">
        <v>0.0</v>
      </c>
      <c r="AK170" s="69">
        <v>0.0</v>
      </c>
      <c r="AL170" s="69">
        <v>0.0</v>
      </c>
      <c r="AM170" s="69">
        <v>0.0</v>
      </c>
      <c r="AN170" s="69">
        <v>0.0</v>
      </c>
      <c r="AO170" s="69">
        <v>0.0</v>
      </c>
      <c r="AP170" s="69">
        <v>0.0</v>
      </c>
      <c r="AQ170" s="69">
        <v>0.0</v>
      </c>
      <c r="AR170" s="69">
        <v>0.0</v>
      </c>
      <c r="AS170" s="69">
        <v>0.0</v>
      </c>
      <c r="AT170" s="69">
        <v>0.0</v>
      </c>
      <c r="AU170" s="69">
        <v>0.0</v>
      </c>
      <c r="AV170" s="13">
        <f t="shared" si="46"/>
        <v>1</v>
      </c>
      <c r="AW170" s="5"/>
      <c r="AX170" s="5"/>
    </row>
    <row r="171" ht="12.75" customHeight="1">
      <c r="A171" s="18"/>
      <c r="B171" s="49"/>
      <c r="C171" s="50" t="s">
        <v>146</v>
      </c>
      <c r="D171" s="51"/>
      <c r="E171" s="69">
        <v>0.0</v>
      </c>
      <c r="F171" s="69">
        <v>0.0</v>
      </c>
      <c r="G171" s="69">
        <v>0.0</v>
      </c>
      <c r="H171" s="69">
        <v>0.0</v>
      </c>
      <c r="I171" s="69">
        <v>0.0</v>
      </c>
      <c r="J171" s="69">
        <v>0.0</v>
      </c>
      <c r="K171" s="69">
        <v>0.0</v>
      </c>
      <c r="L171" s="69">
        <v>0.0</v>
      </c>
      <c r="M171" s="69">
        <v>0.0</v>
      </c>
      <c r="N171" s="69">
        <v>0.0</v>
      </c>
      <c r="O171" s="69">
        <v>0.0</v>
      </c>
      <c r="P171" s="69">
        <v>0.0</v>
      </c>
      <c r="Q171" s="69">
        <v>0.0</v>
      </c>
      <c r="R171" s="69">
        <v>0.0</v>
      </c>
      <c r="S171" s="69">
        <v>0.0</v>
      </c>
      <c r="T171" s="69">
        <v>0.0</v>
      </c>
      <c r="U171" s="69">
        <v>0.0</v>
      </c>
      <c r="V171" s="69">
        <v>1.0</v>
      </c>
      <c r="W171" s="69">
        <v>0.0</v>
      </c>
      <c r="X171" s="69">
        <v>0.0</v>
      </c>
      <c r="Y171" s="69">
        <v>0.0</v>
      </c>
      <c r="Z171" s="69">
        <v>0.0</v>
      </c>
      <c r="AA171" s="69">
        <v>0.0</v>
      </c>
      <c r="AB171" s="69">
        <v>0.0</v>
      </c>
      <c r="AC171" s="69">
        <v>0.0</v>
      </c>
      <c r="AD171" s="69">
        <v>0.0</v>
      </c>
      <c r="AE171" s="69">
        <v>1.0</v>
      </c>
      <c r="AF171" s="69">
        <v>0.0</v>
      </c>
      <c r="AG171" s="69">
        <v>0.0</v>
      </c>
      <c r="AH171" s="69">
        <v>0.0</v>
      </c>
      <c r="AI171" s="69">
        <v>0.0</v>
      </c>
      <c r="AJ171" s="69">
        <v>0.0</v>
      </c>
      <c r="AK171" s="69">
        <v>0.0</v>
      </c>
      <c r="AL171" s="69">
        <v>0.0</v>
      </c>
      <c r="AM171" s="69">
        <v>0.0</v>
      </c>
      <c r="AN171" s="69">
        <v>0.0</v>
      </c>
      <c r="AO171" s="69">
        <v>0.0</v>
      </c>
      <c r="AP171" s="69">
        <v>0.0</v>
      </c>
      <c r="AQ171" s="69">
        <v>0.0</v>
      </c>
      <c r="AR171" s="69">
        <v>0.0</v>
      </c>
      <c r="AS171" s="69">
        <v>0.0</v>
      </c>
      <c r="AT171" s="69">
        <v>0.0</v>
      </c>
      <c r="AU171" s="69">
        <v>0.0</v>
      </c>
      <c r="AV171" s="13">
        <f t="shared" si="46"/>
        <v>2</v>
      </c>
      <c r="AW171" s="5"/>
      <c r="AX171" s="5"/>
    </row>
    <row r="172" ht="12.75" customHeight="1">
      <c r="A172" s="18"/>
      <c r="B172" s="49"/>
      <c r="C172" s="50" t="s">
        <v>147</v>
      </c>
      <c r="D172" s="51"/>
      <c r="E172" s="69">
        <v>0.0</v>
      </c>
      <c r="F172" s="69">
        <v>0.0</v>
      </c>
      <c r="G172" s="69">
        <v>0.0</v>
      </c>
      <c r="H172" s="69">
        <v>0.0</v>
      </c>
      <c r="I172" s="69">
        <v>0.0</v>
      </c>
      <c r="J172" s="69">
        <v>0.0</v>
      </c>
      <c r="K172" s="69">
        <v>0.0</v>
      </c>
      <c r="L172" s="69">
        <v>0.0</v>
      </c>
      <c r="M172" s="69">
        <v>0.0</v>
      </c>
      <c r="N172" s="69">
        <v>0.0</v>
      </c>
      <c r="O172" s="69">
        <v>0.0</v>
      </c>
      <c r="P172" s="69">
        <v>0.0</v>
      </c>
      <c r="Q172" s="69">
        <v>0.0</v>
      </c>
      <c r="R172" s="69">
        <v>0.0</v>
      </c>
      <c r="S172" s="69">
        <v>0.0</v>
      </c>
      <c r="T172" s="69">
        <v>0.0</v>
      </c>
      <c r="U172" s="69">
        <v>0.0</v>
      </c>
      <c r="V172" s="69">
        <v>0.0</v>
      </c>
      <c r="W172" s="69">
        <v>0.0</v>
      </c>
      <c r="X172" s="69">
        <v>0.0</v>
      </c>
      <c r="Y172" s="69">
        <v>0.0</v>
      </c>
      <c r="Z172" s="69">
        <v>0.0</v>
      </c>
      <c r="AA172" s="69">
        <v>0.0</v>
      </c>
      <c r="AB172" s="69">
        <v>0.0</v>
      </c>
      <c r="AC172" s="69">
        <v>0.0</v>
      </c>
      <c r="AD172" s="69">
        <v>0.0</v>
      </c>
      <c r="AE172" s="69">
        <v>0.0</v>
      </c>
      <c r="AF172" s="69">
        <v>0.0</v>
      </c>
      <c r="AG172" s="69">
        <v>0.0</v>
      </c>
      <c r="AH172" s="69">
        <v>0.0</v>
      </c>
      <c r="AI172" s="69">
        <v>0.0</v>
      </c>
      <c r="AJ172" s="69">
        <v>0.0</v>
      </c>
      <c r="AK172" s="69">
        <v>0.0</v>
      </c>
      <c r="AL172" s="69">
        <v>0.0</v>
      </c>
      <c r="AM172" s="69">
        <v>0.0</v>
      </c>
      <c r="AN172" s="69">
        <v>0.0</v>
      </c>
      <c r="AO172" s="69">
        <v>0.0</v>
      </c>
      <c r="AP172" s="69">
        <v>0.0</v>
      </c>
      <c r="AQ172" s="69">
        <v>0.0</v>
      </c>
      <c r="AR172" s="69">
        <v>0.0</v>
      </c>
      <c r="AS172" s="69">
        <v>0.0</v>
      </c>
      <c r="AT172" s="69">
        <v>0.0</v>
      </c>
      <c r="AU172" s="69">
        <v>0.0</v>
      </c>
      <c r="AV172" s="13">
        <f t="shared" si="46"/>
        <v>0</v>
      </c>
      <c r="AW172" s="5"/>
      <c r="AX172" s="5"/>
    </row>
    <row r="173" ht="12.75" customHeight="1">
      <c r="A173" s="18"/>
      <c r="B173" s="49"/>
      <c r="C173" s="50" t="s">
        <v>148</v>
      </c>
      <c r="D173" s="51"/>
      <c r="E173" s="69">
        <v>0.0</v>
      </c>
      <c r="F173" s="69">
        <v>0.0</v>
      </c>
      <c r="G173" s="69">
        <v>0.0</v>
      </c>
      <c r="H173" s="69">
        <v>0.0</v>
      </c>
      <c r="I173" s="69">
        <v>0.0</v>
      </c>
      <c r="J173" s="69">
        <v>0.0</v>
      </c>
      <c r="K173" s="69">
        <v>0.0</v>
      </c>
      <c r="L173" s="69">
        <v>0.0</v>
      </c>
      <c r="M173" s="69">
        <v>0.0</v>
      </c>
      <c r="N173" s="69">
        <v>0.0</v>
      </c>
      <c r="O173" s="69">
        <v>0.0</v>
      </c>
      <c r="P173" s="69">
        <v>0.0</v>
      </c>
      <c r="Q173" s="69">
        <v>0.0</v>
      </c>
      <c r="R173" s="69">
        <v>1.0</v>
      </c>
      <c r="S173" s="69">
        <v>0.0</v>
      </c>
      <c r="T173" s="69">
        <v>0.0</v>
      </c>
      <c r="U173" s="69">
        <v>0.0</v>
      </c>
      <c r="V173" s="69">
        <v>0.0</v>
      </c>
      <c r="W173" s="69">
        <v>0.0</v>
      </c>
      <c r="X173" s="69">
        <v>0.0</v>
      </c>
      <c r="Y173" s="69">
        <v>0.0</v>
      </c>
      <c r="Z173" s="69">
        <v>1.0</v>
      </c>
      <c r="AA173" s="69">
        <v>0.0</v>
      </c>
      <c r="AB173" s="69">
        <v>0.0</v>
      </c>
      <c r="AC173" s="69">
        <v>0.0</v>
      </c>
      <c r="AD173" s="69">
        <v>0.0</v>
      </c>
      <c r="AE173" s="69">
        <v>0.0</v>
      </c>
      <c r="AF173" s="69">
        <v>0.0</v>
      </c>
      <c r="AG173" s="69">
        <v>0.0</v>
      </c>
      <c r="AH173" s="69">
        <v>0.0</v>
      </c>
      <c r="AI173" s="69">
        <v>0.0</v>
      </c>
      <c r="AJ173" s="69">
        <v>0.0</v>
      </c>
      <c r="AK173" s="69">
        <v>0.0</v>
      </c>
      <c r="AL173" s="69">
        <v>0.0</v>
      </c>
      <c r="AM173" s="69">
        <v>0.0</v>
      </c>
      <c r="AN173" s="69">
        <v>0.0</v>
      </c>
      <c r="AO173" s="69">
        <v>0.0</v>
      </c>
      <c r="AP173" s="69">
        <v>0.0</v>
      </c>
      <c r="AQ173" s="69">
        <v>0.0</v>
      </c>
      <c r="AR173" s="69">
        <v>0.0</v>
      </c>
      <c r="AS173" s="69">
        <v>0.0</v>
      </c>
      <c r="AT173" s="69">
        <v>0.0</v>
      </c>
      <c r="AU173" s="69">
        <v>0.0</v>
      </c>
      <c r="AV173" s="13">
        <f t="shared" si="46"/>
        <v>2</v>
      </c>
      <c r="AW173" s="5"/>
      <c r="AX173" s="5"/>
    </row>
    <row r="174" ht="12.75" customHeight="1">
      <c r="A174" s="18"/>
      <c r="B174" s="49"/>
      <c r="C174" s="50" t="s">
        <v>149</v>
      </c>
      <c r="D174" s="51"/>
      <c r="E174" s="69">
        <v>0.0</v>
      </c>
      <c r="F174" s="69">
        <v>0.0</v>
      </c>
      <c r="G174" s="69">
        <v>1.0</v>
      </c>
      <c r="H174" s="69">
        <v>0.0</v>
      </c>
      <c r="I174" s="69">
        <v>0.0</v>
      </c>
      <c r="J174" s="69">
        <v>0.0</v>
      </c>
      <c r="K174" s="69">
        <v>0.0</v>
      </c>
      <c r="L174" s="69">
        <v>0.0</v>
      </c>
      <c r="M174" s="69">
        <v>0.0</v>
      </c>
      <c r="N174" s="69">
        <v>0.0</v>
      </c>
      <c r="O174" s="69">
        <v>0.0</v>
      </c>
      <c r="P174" s="69">
        <v>0.0</v>
      </c>
      <c r="Q174" s="69">
        <v>0.0</v>
      </c>
      <c r="R174" s="69">
        <v>0.0</v>
      </c>
      <c r="S174" s="69">
        <v>0.0</v>
      </c>
      <c r="T174" s="69">
        <v>0.0</v>
      </c>
      <c r="U174" s="69">
        <v>0.0</v>
      </c>
      <c r="V174" s="69">
        <v>0.0</v>
      </c>
      <c r="W174" s="69">
        <v>1.0</v>
      </c>
      <c r="X174" s="69">
        <v>0.0</v>
      </c>
      <c r="Y174" s="69">
        <v>0.0</v>
      </c>
      <c r="Z174" s="69">
        <v>0.0</v>
      </c>
      <c r="AA174" s="69">
        <v>0.0</v>
      </c>
      <c r="AB174" s="69">
        <v>0.0</v>
      </c>
      <c r="AC174" s="69">
        <v>0.0</v>
      </c>
      <c r="AD174" s="69">
        <v>0.0</v>
      </c>
      <c r="AE174" s="69">
        <v>0.0</v>
      </c>
      <c r="AF174" s="69">
        <v>0.0</v>
      </c>
      <c r="AG174" s="69">
        <v>0.0</v>
      </c>
      <c r="AH174" s="69">
        <v>0.0</v>
      </c>
      <c r="AI174" s="69">
        <v>0.0</v>
      </c>
      <c r="AJ174" s="69">
        <v>0.0</v>
      </c>
      <c r="AK174" s="69">
        <v>0.0</v>
      </c>
      <c r="AL174" s="69">
        <v>0.0</v>
      </c>
      <c r="AM174" s="69">
        <v>0.0</v>
      </c>
      <c r="AN174" s="69">
        <v>0.0</v>
      </c>
      <c r="AO174" s="69">
        <v>0.0</v>
      </c>
      <c r="AP174" s="69">
        <v>0.0</v>
      </c>
      <c r="AQ174" s="69">
        <v>0.0</v>
      </c>
      <c r="AR174" s="69">
        <v>0.0</v>
      </c>
      <c r="AS174" s="69">
        <v>0.0</v>
      </c>
      <c r="AT174" s="69">
        <v>0.0</v>
      </c>
      <c r="AU174" s="69">
        <v>0.0</v>
      </c>
      <c r="AV174" s="13">
        <f t="shared" si="46"/>
        <v>2</v>
      </c>
      <c r="AW174" s="5"/>
      <c r="AX174" s="5"/>
    </row>
    <row r="175" ht="15.0" customHeight="1">
      <c r="A175" s="19" t="s">
        <v>15</v>
      </c>
      <c r="B175" s="47" t="s">
        <v>47</v>
      </c>
      <c r="C175" s="15"/>
      <c r="D175" s="16"/>
      <c r="E175" s="56">
        <f t="shared" ref="E175:AU175" si="47">SUM(E167:E174)</f>
        <v>2</v>
      </c>
      <c r="F175" s="56">
        <f t="shared" si="47"/>
        <v>0</v>
      </c>
      <c r="G175" s="56">
        <f t="shared" si="47"/>
        <v>1</v>
      </c>
      <c r="H175" s="56">
        <f t="shared" si="47"/>
        <v>0</v>
      </c>
      <c r="I175" s="56">
        <f t="shared" si="47"/>
        <v>0</v>
      </c>
      <c r="J175" s="56">
        <f t="shared" si="47"/>
        <v>0</v>
      </c>
      <c r="K175" s="56">
        <f t="shared" si="47"/>
        <v>1</v>
      </c>
      <c r="L175" s="56">
        <f t="shared" si="47"/>
        <v>0</v>
      </c>
      <c r="M175" s="56">
        <f t="shared" si="47"/>
        <v>0</v>
      </c>
      <c r="N175" s="56">
        <f t="shared" si="47"/>
        <v>0</v>
      </c>
      <c r="O175" s="56">
        <f t="shared" si="47"/>
        <v>0</v>
      </c>
      <c r="P175" s="56">
        <f t="shared" si="47"/>
        <v>0</v>
      </c>
      <c r="Q175" s="56">
        <f t="shared" si="47"/>
        <v>0</v>
      </c>
      <c r="R175" s="56">
        <f t="shared" si="47"/>
        <v>1</v>
      </c>
      <c r="S175" s="56">
        <f t="shared" si="47"/>
        <v>1</v>
      </c>
      <c r="T175" s="56">
        <f t="shared" si="47"/>
        <v>0</v>
      </c>
      <c r="U175" s="56">
        <f t="shared" si="47"/>
        <v>0</v>
      </c>
      <c r="V175" s="56">
        <f t="shared" si="47"/>
        <v>2</v>
      </c>
      <c r="W175" s="56">
        <f t="shared" si="47"/>
        <v>3</v>
      </c>
      <c r="X175" s="56">
        <f t="shared" si="47"/>
        <v>0</v>
      </c>
      <c r="Y175" s="56">
        <f t="shared" si="47"/>
        <v>0</v>
      </c>
      <c r="Z175" s="56">
        <f t="shared" si="47"/>
        <v>3</v>
      </c>
      <c r="AA175" s="56">
        <f t="shared" si="47"/>
        <v>0</v>
      </c>
      <c r="AB175" s="56">
        <f t="shared" si="47"/>
        <v>2</v>
      </c>
      <c r="AC175" s="56">
        <f t="shared" si="47"/>
        <v>1</v>
      </c>
      <c r="AD175" s="56">
        <f t="shared" si="47"/>
        <v>0</v>
      </c>
      <c r="AE175" s="56">
        <f t="shared" si="47"/>
        <v>1</v>
      </c>
      <c r="AF175" s="56">
        <f t="shared" si="47"/>
        <v>0</v>
      </c>
      <c r="AG175" s="56">
        <f t="shared" si="47"/>
        <v>0</v>
      </c>
      <c r="AH175" s="56">
        <f t="shared" si="47"/>
        <v>0</v>
      </c>
      <c r="AI175" s="56">
        <f t="shared" si="47"/>
        <v>2</v>
      </c>
      <c r="AJ175" s="56">
        <f t="shared" si="47"/>
        <v>0</v>
      </c>
      <c r="AK175" s="56">
        <f t="shared" si="47"/>
        <v>0</v>
      </c>
      <c r="AL175" s="56">
        <f t="shared" si="47"/>
        <v>0</v>
      </c>
      <c r="AM175" s="56">
        <f t="shared" si="47"/>
        <v>0</v>
      </c>
      <c r="AN175" s="56">
        <f t="shared" si="47"/>
        <v>0</v>
      </c>
      <c r="AO175" s="56">
        <f t="shared" si="47"/>
        <v>0</v>
      </c>
      <c r="AP175" s="56">
        <f t="shared" si="47"/>
        <v>0</v>
      </c>
      <c r="AQ175" s="56">
        <f t="shared" si="47"/>
        <v>0</v>
      </c>
      <c r="AR175" s="56">
        <f t="shared" si="47"/>
        <v>1</v>
      </c>
      <c r="AS175" s="56">
        <f t="shared" si="47"/>
        <v>0</v>
      </c>
      <c r="AT175" s="56">
        <f t="shared" si="47"/>
        <v>0</v>
      </c>
      <c r="AU175" s="56">
        <f t="shared" si="47"/>
        <v>0</v>
      </c>
      <c r="AV175" s="13">
        <f t="shared" si="46"/>
        <v>21</v>
      </c>
      <c r="AW175" s="5"/>
      <c r="AX175" s="5"/>
    </row>
    <row r="176" ht="12.75" customHeight="1">
      <c r="A176" s="57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8"/>
      <c r="AU176" s="58"/>
      <c r="AV176" s="13"/>
      <c r="AW176" s="1"/>
      <c r="AX176" s="1"/>
    </row>
    <row r="177" ht="12.75" customHeight="1">
      <c r="A177" s="30" t="s">
        <v>37</v>
      </c>
      <c r="B177" s="47" t="s">
        <v>150</v>
      </c>
      <c r="C177" s="48" t="s">
        <v>151</v>
      </c>
      <c r="D177" s="16"/>
      <c r="E177" s="69">
        <v>0.0</v>
      </c>
      <c r="F177" s="69">
        <v>0.0</v>
      </c>
      <c r="G177" s="69">
        <v>0.0</v>
      </c>
      <c r="H177" s="69">
        <v>0.0</v>
      </c>
      <c r="I177" s="69">
        <v>0.0</v>
      </c>
      <c r="J177" s="69">
        <v>0.0</v>
      </c>
      <c r="K177" s="69">
        <v>0.0</v>
      </c>
      <c r="L177" s="69">
        <v>1.0</v>
      </c>
      <c r="M177" s="69">
        <v>0.0</v>
      </c>
      <c r="N177" s="69">
        <v>0.0</v>
      </c>
      <c r="O177" s="69">
        <v>0.0</v>
      </c>
      <c r="P177" s="69">
        <v>0.0</v>
      </c>
      <c r="Q177" s="69">
        <v>0.0</v>
      </c>
      <c r="R177" s="69">
        <v>0.0</v>
      </c>
      <c r="S177" s="69">
        <v>0.0</v>
      </c>
      <c r="T177" s="69">
        <v>0.0</v>
      </c>
      <c r="U177" s="69">
        <v>0.0</v>
      </c>
      <c r="V177" s="69">
        <v>0.0</v>
      </c>
      <c r="W177" s="69">
        <v>0.0</v>
      </c>
      <c r="X177" s="69">
        <v>0.0</v>
      </c>
      <c r="Y177" s="69">
        <v>0.0</v>
      </c>
      <c r="Z177" s="69">
        <v>0.0</v>
      </c>
      <c r="AA177" s="69">
        <v>0.0</v>
      </c>
      <c r="AB177" s="69">
        <v>0.0</v>
      </c>
      <c r="AC177" s="69">
        <v>0.0</v>
      </c>
      <c r="AD177" s="69">
        <v>0.0</v>
      </c>
      <c r="AE177" s="69">
        <v>0.0</v>
      </c>
      <c r="AF177" s="69">
        <v>0.0</v>
      </c>
      <c r="AG177" s="69">
        <v>0.0</v>
      </c>
      <c r="AH177" s="69">
        <v>0.0</v>
      </c>
      <c r="AI177" s="69">
        <v>0.0</v>
      </c>
      <c r="AJ177" s="69">
        <v>0.0</v>
      </c>
      <c r="AK177" s="69">
        <v>0.0</v>
      </c>
      <c r="AL177" s="69">
        <v>0.0</v>
      </c>
      <c r="AM177" s="69">
        <v>0.0</v>
      </c>
      <c r="AN177" s="69">
        <v>0.0</v>
      </c>
      <c r="AO177" s="69">
        <v>0.0</v>
      </c>
      <c r="AP177" s="69">
        <v>0.0</v>
      </c>
      <c r="AQ177" s="69">
        <v>0.0</v>
      </c>
      <c r="AR177" s="69">
        <v>0.0</v>
      </c>
      <c r="AS177" s="69">
        <v>0.0</v>
      </c>
      <c r="AT177" s="69">
        <v>0.0</v>
      </c>
      <c r="AU177" s="69">
        <v>0.0</v>
      </c>
      <c r="AV177" s="13">
        <f t="shared" ref="AV177:AV181" si="48">SUM(E177:AU177)</f>
        <v>1</v>
      </c>
    </row>
    <row r="178" ht="12.75" customHeight="1">
      <c r="A178" s="30"/>
      <c r="B178" s="47"/>
      <c r="C178" s="50" t="s">
        <v>152</v>
      </c>
      <c r="D178" s="62"/>
      <c r="E178" s="69">
        <v>0.0</v>
      </c>
      <c r="F178" s="69">
        <v>0.0</v>
      </c>
      <c r="G178" s="69">
        <v>0.0</v>
      </c>
      <c r="H178" s="69">
        <v>0.0</v>
      </c>
      <c r="I178" s="69">
        <v>0.0</v>
      </c>
      <c r="J178" s="69">
        <v>0.0</v>
      </c>
      <c r="K178" s="69">
        <v>0.0</v>
      </c>
      <c r="L178" s="69">
        <v>0.0</v>
      </c>
      <c r="M178" s="69">
        <v>0.0</v>
      </c>
      <c r="N178" s="69">
        <v>0.0</v>
      </c>
      <c r="O178" s="69">
        <v>0.0</v>
      </c>
      <c r="P178" s="69">
        <v>0.0</v>
      </c>
      <c r="Q178" s="69">
        <v>0.0</v>
      </c>
      <c r="R178" s="69">
        <v>0.0</v>
      </c>
      <c r="S178" s="69">
        <v>0.0</v>
      </c>
      <c r="T178" s="69">
        <v>0.0</v>
      </c>
      <c r="U178" s="69">
        <v>0.0</v>
      </c>
      <c r="V178" s="69">
        <v>0.0</v>
      </c>
      <c r="W178" s="69">
        <v>0.0</v>
      </c>
      <c r="X178" s="69">
        <v>0.0</v>
      </c>
      <c r="Y178" s="69">
        <v>0.0</v>
      </c>
      <c r="Z178" s="69">
        <v>0.0</v>
      </c>
      <c r="AA178" s="69">
        <v>0.0</v>
      </c>
      <c r="AB178" s="69">
        <v>0.0</v>
      </c>
      <c r="AC178" s="69">
        <v>0.0</v>
      </c>
      <c r="AD178" s="69">
        <v>0.0</v>
      </c>
      <c r="AE178" s="69">
        <v>0.0</v>
      </c>
      <c r="AF178" s="69">
        <v>0.0</v>
      </c>
      <c r="AG178" s="69">
        <v>0.0</v>
      </c>
      <c r="AH178" s="69">
        <v>0.0</v>
      </c>
      <c r="AI178" s="69">
        <v>0.0</v>
      </c>
      <c r="AJ178" s="69">
        <v>0.0</v>
      </c>
      <c r="AK178" s="69">
        <v>0.0</v>
      </c>
      <c r="AL178" s="69">
        <v>0.0</v>
      </c>
      <c r="AM178" s="69">
        <v>0.0</v>
      </c>
      <c r="AN178" s="69">
        <v>0.0</v>
      </c>
      <c r="AO178" s="69">
        <v>0.0</v>
      </c>
      <c r="AP178" s="69">
        <v>0.0</v>
      </c>
      <c r="AQ178" s="69">
        <v>0.0</v>
      </c>
      <c r="AR178" s="69">
        <v>0.0</v>
      </c>
      <c r="AS178" s="69">
        <v>0.0</v>
      </c>
      <c r="AT178" s="69">
        <v>0.0</v>
      </c>
      <c r="AU178" s="69">
        <v>0.0</v>
      </c>
      <c r="AV178" s="13">
        <f t="shared" si="48"/>
        <v>0</v>
      </c>
      <c r="AW178" s="5"/>
      <c r="AX178" s="5"/>
    </row>
    <row r="179" ht="12.75" customHeight="1">
      <c r="A179" s="30"/>
      <c r="B179" s="47"/>
      <c r="C179" s="50" t="s">
        <v>153</v>
      </c>
      <c r="D179" s="62"/>
      <c r="E179" s="69">
        <v>0.0</v>
      </c>
      <c r="F179" s="69">
        <v>0.0</v>
      </c>
      <c r="G179" s="69">
        <v>0.0</v>
      </c>
      <c r="H179" s="69">
        <v>0.0</v>
      </c>
      <c r="I179" s="69">
        <v>0.0</v>
      </c>
      <c r="J179" s="69">
        <v>0.0</v>
      </c>
      <c r="K179" s="69">
        <v>0.0</v>
      </c>
      <c r="L179" s="69">
        <v>0.0</v>
      </c>
      <c r="M179" s="69">
        <v>0.0</v>
      </c>
      <c r="N179" s="69">
        <v>0.0</v>
      </c>
      <c r="O179" s="69">
        <v>0.0</v>
      </c>
      <c r="P179" s="69">
        <v>0.0</v>
      </c>
      <c r="Q179" s="69">
        <v>0.0</v>
      </c>
      <c r="R179" s="69">
        <v>0.0</v>
      </c>
      <c r="S179" s="69">
        <v>0.0</v>
      </c>
      <c r="T179" s="69">
        <v>0.0</v>
      </c>
      <c r="U179" s="69">
        <v>0.0</v>
      </c>
      <c r="V179" s="69">
        <v>0.0</v>
      </c>
      <c r="W179" s="69">
        <v>0.0</v>
      </c>
      <c r="X179" s="69">
        <v>0.0</v>
      </c>
      <c r="Y179" s="69">
        <v>0.0</v>
      </c>
      <c r="Z179" s="69">
        <v>0.0</v>
      </c>
      <c r="AA179" s="69">
        <v>0.0</v>
      </c>
      <c r="AB179" s="69">
        <v>0.0</v>
      </c>
      <c r="AC179" s="69">
        <v>0.0</v>
      </c>
      <c r="AD179" s="69">
        <v>0.0</v>
      </c>
      <c r="AE179" s="69">
        <v>0.0</v>
      </c>
      <c r="AF179" s="69">
        <v>0.0</v>
      </c>
      <c r="AG179" s="69">
        <v>0.0</v>
      </c>
      <c r="AH179" s="69">
        <v>0.0</v>
      </c>
      <c r="AI179" s="69">
        <v>0.0</v>
      </c>
      <c r="AJ179" s="69">
        <v>0.0</v>
      </c>
      <c r="AK179" s="69">
        <v>0.0</v>
      </c>
      <c r="AL179" s="69">
        <v>0.0</v>
      </c>
      <c r="AM179" s="69">
        <v>0.0</v>
      </c>
      <c r="AN179" s="69">
        <v>0.0</v>
      </c>
      <c r="AO179" s="69">
        <v>0.0</v>
      </c>
      <c r="AP179" s="69">
        <v>0.0</v>
      </c>
      <c r="AQ179" s="69">
        <v>0.0</v>
      </c>
      <c r="AR179" s="69">
        <v>0.0</v>
      </c>
      <c r="AS179" s="69">
        <v>0.0</v>
      </c>
      <c r="AT179" s="69">
        <v>0.0</v>
      </c>
      <c r="AU179" s="69">
        <v>0.0</v>
      </c>
      <c r="AV179" s="13">
        <f t="shared" si="48"/>
        <v>0</v>
      </c>
      <c r="AW179" s="5"/>
      <c r="AX179" s="5"/>
    </row>
    <row r="180" ht="12.75" customHeight="1">
      <c r="A180" s="30" t="s">
        <v>39</v>
      </c>
      <c r="B180" s="49"/>
      <c r="C180" s="50" t="s">
        <v>154</v>
      </c>
      <c r="D180" s="51"/>
      <c r="E180" s="69">
        <v>0.0</v>
      </c>
      <c r="F180" s="69">
        <v>0.0</v>
      </c>
      <c r="G180" s="69">
        <v>0.0</v>
      </c>
      <c r="H180" s="69">
        <v>0.0</v>
      </c>
      <c r="I180" s="69">
        <v>0.0</v>
      </c>
      <c r="J180" s="69">
        <v>0.0</v>
      </c>
      <c r="K180" s="69">
        <v>0.0</v>
      </c>
      <c r="L180" s="69">
        <v>0.0</v>
      </c>
      <c r="M180" s="69">
        <v>0.0</v>
      </c>
      <c r="N180" s="69">
        <v>0.0</v>
      </c>
      <c r="O180" s="69">
        <v>0.0</v>
      </c>
      <c r="P180" s="69">
        <v>0.0</v>
      </c>
      <c r="Q180" s="69">
        <v>0.0</v>
      </c>
      <c r="R180" s="69">
        <v>0.0</v>
      </c>
      <c r="S180" s="69">
        <v>0.0</v>
      </c>
      <c r="T180" s="69">
        <v>0.0</v>
      </c>
      <c r="U180" s="69">
        <v>0.0</v>
      </c>
      <c r="V180" s="69">
        <v>0.0</v>
      </c>
      <c r="W180" s="69">
        <v>0.0</v>
      </c>
      <c r="X180" s="69">
        <v>0.0</v>
      </c>
      <c r="Y180" s="69">
        <v>0.0</v>
      </c>
      <c r="Z180" s="69">
        <v>0.0</v>
      </c>
      <c r="AA180" s="69">
        <v>0.0</v>
      </c>
      <c r="AB180" s="69">
        <v>0.0</v>
      </c>
      <c r="AC180" s="69">
        <v>0.0</v>
      </c>
      <c r="AD180" s="69">
        <v>0.0</v>
      </c>
      <c r="AE180" s="69">
        <v>0.0</v>
      </c>
      <c r="AF180" s="69">
        <v>0.0</v>
      </c>
      <c r="AG180" s="69">
        <v>0.0</v>
      </c>
      <c r="AH180" s="69">
        <v>0.0</v>
      </c>
      <c r="AI180" s="69">
        <v>0.0</v>
      </c>
      <c r="AJ180" s="69">
        <v>0.0</v>
      </c>
      <c r="AK180" s="69">
        <v>0.0</v>
      </c>
      <c r="AL180" s="69">
        <v>0.0</v>
      </c>
      <c r="AM180" s="69">
        <v>0.0</v>
      </c>
      <c r="AN180" s="69">
        <v>0.0</v>
      </c>
      <c r="AO180" s="69">
        <v>0.0</v>
      </c>
      <c r="AP180" s="69">
        <v>0.0</v>
      </c>
      <c r="AQ180" s="69">
        <v>0.0</v>
      </c>
      <c r="AR180" s="69">
        <v>0.0</v>
      </c>
      <c r="AS180" s="69">
        <v>0.0</v>
      </c>
      <c r="AT180" s="69">
        <v>0.0</v>
      </c>
      <c r="AU180" s="69">
        <v>0.0</v>
      </c>
      <c r="AV180" s="13">
        <f t="shared" si="48"/>
        <v>0</v>
      </c>
      <c r="AW180" s="5"/>
      <c r="AX180" s="5"/>
    </row>
    <row r="181" ht="12.75" customHeight="1">
      <c r="A181" s="19" t="s">
        <v>15</v>
      </c>
      <c r="B181" s="47" t="s">
        <v>47</v>
      </c>
      <c r="C181" s="15"/>
      <c r="D181" s="16"/>
      <c r="E181" s="56">
        <f t="shared" ref="E181:AU181" si="49">SUM(E177:E180)</f>
        <v>0</v>
      </c>
      <c r="F181" s="56">
        <f t="shared" si="49"/>
        <v>0</v>
      </c>
      <c r="G181" s="56">
        <f t="shared" si="49"/>
        <v>0</v>
      </c>
      <c r="H181" s="56">
        <f t="shared" si="49"/>
        <v>0</v>
      </c>
      <c r="I181" s="56">
        <f t="shared" si="49"/>
        <v>0</v>
      </c>
      <c r="J181" s="56">
        <f t="shared" si="49"/>
        <v>0</v>
      </c>
      <c r="K181" s="56">
        <f t="shared" si="49"/>
        <v>0</v>
      </c>
      <c r="L181" s="56">
        <f t="shared" si="49"/>
        <v>1</v>
      </c>
      <c r="M181" s="56">
        <f t="shared" si="49"/>
        <v>0</v>
      </c>
      <c r="N181" s="56">
        <f t="shared" si="49"/>
        <v>0</v>
      </c>
      <c r="O181" s="56">
        <f t="shared" si="49"/>
        <v>0</v>
      </c>
      <c r="P181" s="56">
        <f t="shared" si="49"/>
        <v>0</v>
      </c>
      <c r="Q181" s="56">
        <f t="shared" si="49"/>
        <v>0</v>
      </c>
      <c r="R181" s="56">
        <f t="shared" si="49"/>
        <v>0</v>
      </c>
      <c r="S181" s="56">
        <f t="shared" si="49"/>
        <v>0</v>
      </c>
      <c r="T181" s="56">
        <f t="shared" si="49"/>
        <v>0</v>
      </c>
      <c r="U181" s="56">
        <f t="shared" si="49"/>
        <v>0</v>
      </c>
      <c r="V181" s="56">
        <f t="shared" si="49"/>
        <v>0</v>
      </c>
      <c r="W181" s="56">
        <f t="shared" si="49"/>
        <v>0</v>
      </c>
      <c r="X181" s="56">
        <f t="shared" si="49"/>
        <v>0</v>
      </c>
      <c r="Y181" s="56">
        <f t="shared" si="49"/>
        <v>0</v>
      </c>
      <c r="Z181" s="56">
        <f t="shared" si="49"/>
        <v>0</v>
      </c>
      <c r="AA181" s="56">
        <f t="shared" si="49"/>
        <v>0</v>
      </c>
      <c r="AB181" s="56">
        <f t="shared" si="49"/>
        <v>0</v>
      </c>
      <c r="AC181" s="56">
        <f t="shared" si="49"/>
        <v>0</v>
      </c>
      <c r="AD181" s="56">
        <f t="shared" si="49"/>
        <v>0</v>
      </c>
      <c r="AE181" s="56">
        <f t="shared" si="49"/>
        <v>0</v>
      </c>
      <c r="AF181" s="56">
        <f t="shared" si="49"/>
        <v>0</v>
      </c>
      <c r="AG181" s="56">
        <f t="shared" si="49"/>
        <v>0</v>
      </c>
      <c r="AH181" s="56">
        <f t="shared" si="49"/>
        <v>0</v>
      </c>
      <c r="AI181" s="56">
        <f t="shared" si="49"/>
        <v>0</v>
      </c>
      <c r="AJ181" s="56">
        <f t="shared" si="49"/>
        <v>0</v>
      </c>
      <c r="AK181" s="56">
        <f t="shared" si="49"/>
        <v>0</v>
      </c>
      <c r="AL181" s="56">
        <f t="shared" si="49"/>
        <v>0</v>
      </c>
      <c r="AM181" s="56">
        <f t="shared" si="49"/>
        <v>0</v>
      </c>
      <c r="AN181" s="56">
        <f t="shared" si="49"/>
        <v>0</v>
      </c>
      <c r="AO181" s="56">
        <f t="shared" si="49"/>
        <v>0</v>
      </c>
      <c r="AP181" s="56">
        <f t="shared" si="49"/>
        <v>0</v>
      </c>
      <c r="AQ181" s="56">
        <f t="shared" si="49"/>
        <v>0</v>
      </c>
      <c r="AR181" s="56">
        <f t="shared" si="49"/>
        <v>0</v>
      </c>
      <c r="AS181" s="56">
        <f t="shared" si="49"/>
        <v>0</v>
      </c>
      <c r="AT181" s="56">
        <f t="shared" si="49"/>
        <v>0</v>
      </c>
      <c r="AU181" s="56">
        <f t="shared" si="49"/>
        <v>0</v>
      </c>
      <c r="AV181" s="13">
        <f t="shared" si="48"/>
        <v>1</v>
      </c>
      <c r="AW181" s="5"/>
      <c r="AX181" s="5"/>
    </row>
    <row r="182" ht="12.75" customHeight="1">
      <c r="A182" s="57"/>
      <c r="B182" s="58"/>
      <c r="C182" s="58"/>
      <c r="D182" s="63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13"/>
      <c r="AW182" s="5"/>
      <c r="AX182" s="5"/>
    </row>
    <row r="183" ht="12.75" customHeight="1">
      <c r="A183" s="42" t="s">
        <v>155</v>
      </c>
      <c r="B183" s="14" t="s">
        <v>156</v>
      </c>
      <c r="C183" s="15"/>
      <c r="D183" s="16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5"/>
      <c r="AX183" s="5"/>
    </row>
    <row r="184" ht="12.75" customHeight="1">
      <c r="A184" s="42"/>
      <c r="B184" s="64" t="s">
        <v>157</v>
      </c>
      <c r="C184" s="65" t="s">
        <v>158</v>
      </c>
      <c r="D184" s="16"/>
      <c r="E184" s="19">
        <f t="shared" ref="E184:AU184" si="50">E181+E175+E165+E161+E156+E146+E136+E129+E125+E115+E111+E101+E97+E93+E83+E73+E63+E53</f>
        <v>189</v>
      </c>
      <c r="F184" s="19">
        <f t="shared" si="50"/>
        <v>193</v>
      </c>
      <c r="G184" s="19">
        <f t="shared" si="50"/>
        <v>200</v>
      </c>
      <c r="H184" s="19">
        <f t="shared" si="50"/>
        <v>184</v>
      </c>
      <c r="I184" s="19">
        <f t="shared" si="50"/>
        <v>181</v>
      </c>
      <c r="J184" s="19">
        <f t="shared" si="50"/>
        <v>195</v>
      </c>
      <c r="K184" s="19">
        <f t="shared" si="50"/>
        <v>182</v>
      </c>
      <c r="L184" s="19">
        <f t="shared" si="50"/>
        <v>201</v>
      </c>
      <c r="M184" s="19">
        <f t="shared" si="50"/>
        <v>189</v>
      </c>
      <c r="N184" s="19">
        <f t="shared" si="50"/>
        <v>187</v>
      </c>
      <c r="O184" s="19">
        <f t="shared" si="50"/>
        <v>189</v>
      </c>
      <c r="P184" s="19">
        <f t="shared" si="50"/>
        <v>190</v>
      </c>
      <c r="Q184" s="19">
        <f t="shared" si="50"/>
        <v>169</v>
      </c>
      <c r="R184" s="19">
        <f t="shared" si="50"/>
        <v>173</v>
      </c>
      <c r="S184" s="19">
        <f t="shared" si="50"/>
        <v>192</v>
      </c>
      <c r="T184" s="19">
        <f t="shared" si="50"/>
        <v>175</v>
      </c>
      <c r="U184" s="19">
        <f t="shared" si="50"/>
        <v>187</v>
      </c>
      <c r="V184" s="19">
        <f t="shared" si="50"/>
        <v>200</v>
      </c>
      <c r="W184" s="19">
        <f t="shared" si="50"/>
        <v>207</v>
      </c>
      <c r="X184" s="19">
        <f t="shared" si="50"/>
        <v>199</v>
      </c>
      <c r="Y184" s="19">
        <f t="shared" si="50"/>
        <v>220</v>
      </c>
      <c r="Z184" s="19">
        <f t="shared" si="50"/>
        <v>218</v>
      </c>
      <c r="AA184" s="19">
        <f t="shared" si="50"/>
        <v>196</v>
      </c>
      <c r="AB184" s="19">
        <f t="shared" si="50"/>
        <v>210</v>
      </c>
      <c r="AC184" s="19">
        <f t="shared" si="50"/>
        <v>213</v>
      </c>
      <c r="AD184" s="19">
        <f t="shared" si="50"/>
        <v>185</v>
      </c>
      <c r="AE184" s="19">
        <f t="shared" si="50"/>
        <v>200</v>
      </c>
      <c r="AF184" s="19">
        <f t="shared" si="50"/>
        <v>201</v>
      </c>
      <c r="AG184" s="19">
        <f t="shared" si="50"/>
        <v>199</v>
      </c>
      <c r="AH184" s="19">
        <f t="shared" si="50"/>
        <v>205</v>
      </c>
      <c r="AI184" s="19">
        <f t="shared" si="50"/>
        <v>153</v>
      </c>
      <c r="AJ184" s="19">
        <f t="shared" si="50"/>
        <v>184</v>
      </c>
      <c r="AK184" s="19">
        <f t="shared" si="50"/>
        <v>176</v>
      </c>
      <c r="AL184" s="19">
        <f t="shared" si="50"/>
        <v>184</v>
      </c>
      <c r="AM184" s="19">
        <f t="shared" si="50"/>
        <v>175</v>
      </c>
      <c r="AN184" s="19">
        <f t="shared" si="50"/>
        <v>159</v>
      </c>
      <c r="AO184" s="19">
        <f t="shared" si="50"/>
        <v>194</v>
      </c>
      <c r="AP184" s="19">
        <f t="shared" si="50"/>
        <v>204</v>
      </c>
      <c r="AQ184" s="19">
        <f t="shared" si="50"/>
        <v>169</v>
      </c>
      <c r="AR184" s="19">
        <f t="shared" si="50"/>
        <v>185</v>
      </c>
      <c r="AS184" s="19">
        <f t="shared" si="50"/>
        <v>186</v>
      </c>
      <c r="AT184" s="19">
        <f t="shared" si="50"/>
        <v>192</v>
      </c>
      <c r="AU184" s="19">
        <f t="shared" si="50"/>
        <v>206</v>
      </c>
      <c r="AV184" s="13">
        <f t="shared" ref="AV184:AV186" si="51">SUM(E184:AU184)</f>
        <v>8196</v>
      </c>
      <c r="AW184" s="5"/>
      <c r="AX184" s="5"/>
    </row>
    <row r="185" ht="12.75" customHeight="1">
      <c r="A185" s="35"/>
      <c r="B185" s="64" t="s">
        <v>159</v>
      </c>
      <c r="C185" s="65" t="s">
        <v>160</v>
      </c>
      <c r="D185" s="16"/>
      <c r="E185" s="69">
        <v>11.0</v>
      </c>
      <c r="F185" s="69">
        <v>10.0</v>
      </c>
      <c r="G185" s="69">
        <v>8.0</v>
      </c>
      <c r="H185" s="69">
        <v>10.0</v>
      </c>
      <c r="I185" s="69">
        <v>8.0</v>
      </c>
      <c r="J185" s="69">
        <v>9.0</v>
      </c>
      <c r="K185" s="69">
        <v>12.0</v>
      </c>
      <c r="L185" s="69">
        <v>6.0</v>
      </c>
      <c r="M185" s="69">
        <v>8.0</v>
      </c>
      <c r="N185" s="69">
        <v>9.0</v>
      </c>
      <c r="O185" s="69">
        <v>13.0</v>
      </c>
      <c r="P185" s="69">
        <v>4.0</v>
      </c>
      <c r="Q185" s="69">
        <v>16.0</v>
      </c>
      <c r="R185" s="69">
        <v>3.0</v>
      </c>
      <c r="S185" s="69">
        <v>5.0</v>
      </c>
      <c r="T185" s="69">
        <v>12.0</v>
      </c>
      <c r="U185" s="69">
        <v>10.0</v>
      </c>
      <c r="V185" s="69">
        <v>18.0</v>
      </c>
      <c r="W185" s="69">
        <v>7.0</v>
      </c>
      <c r="X185" s="69">
        <v>2.0</v>
      </c>
      <c r="Y185" s="69">
        <v>1.0</v>
      </c>
      <c r="Z185" s="69">
        <v>6.0</v>
      </c>
      <c r="AA185" s="69">
        <v>10.0</v>
      </c>
      <c r="AB185" s="69">
        <v>8.0</v>
      </c>
      <c r="AC185" s="69">
        <v>7.0</v>
      </c>
      <c r="AD185" s="69">
        <v>3.0</v>
      </c>
      <c r="AE185" s="69">
        <v>7.0</v>
      </c>
      <c r="AF185" s="69">
        <v>14.0</v>
      </c>
      <c r="AG185" s="69">
        <v>2.0</v>
      </c>
      <c r="AH185" s="69">
        <v>6.0</v>
      </c>
      <c r="AI185" s="69">
        <v>16.0</v>
      </c>
      <c r="AJ185" s="69">
        <v>20.0</v>
      </c>
      <c r="AK185" s="69">
        <v>13.0</v>
      </c>
      <c r="AL185" s="69">
        <v>10.0</v>
      </c>
      <c r="AM185" s="69">
        <v>17.0</v>
      </c>
      <c r="AN185" s="69">
        <v>15.0</v>
      </c>
      <c r="AO185" s="69">
        <v>10.0</v>
      </c>
      <c r="AP185" s="69">
        <v>9.0</v>
      </c>
      <c r="AQ185" s="69">
        <v>22.0</v>
      </c>
      <c r="AR185" s="69">
        <v>17.0</v>
      </c>
      <c r="AS185" s="69">
        <v>19.0</v>
      </c>
      <c r="AT185" s="69">
        <v>16.0</v>
      </c>
      <c r="AU185" s="69">
        <v>12.0</v>
      </c>
      <c r="AV185" s="13">
        <f t="shared" si="51"/>
        <v>441</v>
      </c>
      <c r="AW185" s="5"/>
      <c r="AX185" s="5"/>
    </row>
    <row r="186" ht="12.75" customHeight="1">
      <c r="A186" s="41"/>
      <c r="B186" s="64" t="s">
        <v>161</v>
      </c>
      <c r="C186" s="65" t="s">
        <v>162</v>
      </c>
      <c r="D186" s="16"/>
      <c r="E186" s="13">
        <f t="shared" ref="E186:AU186" si="52">SUM(E184:E185)</f>
        <v>200</v>
      </c>
      <c r="F186" s="13">
        <f t="shared" si="52"/>
        <v>203</v>
      </c>
      <c r="G186" s="13">
        <f t="shared" si="52"/>
        <v>208</v>
      </c>
      <c r="H186" s="13">
        <f t="shared" si="52"/>
        <v>194</v>
      </c>
      <c r="I186" s="13">
        <f t="shared" si="52"/>
        <v>189</v>
      </c>
      <c r="J186" s="13">
        <f t="shared" si="52"/>
        <v>204</v>
      </c>
      <c r="K186" s="13">
        <f t="shared" si="52"/>
        <v>194</v>
      </c>
      <c r="L186" s="13">
        <f t="shared" si="52"/>
        <v>207</v>
      </c>
      <c r="M186" s="13">
        <f t="shared" si="52"/>
        <v>197</v>
      </c>
      <c r="N186" s="13">
        <f t="shared" si="52"/>
        <v>196</v>
      </c>
      <c r="O186" s="13">
        <f t="shared" si="52"/>
        <v>202</v>
      </c>
      <c r="P186" s="13">
        <f t="shared" si="52"/>
        <v>194</v>
      </c>
      <c r="Q186" s="13">
        <f t="shared" si="52"/>
        <v>185</v>
      </c>
      <c r="R186" s="13">
        <f t="shared" si="52"/>
        <v>176</v>
      </c>
      <c r="S186" s="13">
        <f t="shared" si="52"/>
        <v>197</v>
      </c>
      <c r="T186" s="13">
        <f t="shared" si="52"/>
        <v>187</v>
      </c>
      <c r="U186" s="13">
        <f t="shared" si="52"/>
        <v>197</v>
      </c>
      <c r="V186" s="13">
        <f t="shared" si="52"/>
        <v>218</v>
      </c>
      <c r="W186" s="13">
        <f t="shared" si="52"/>
        <v>214</v>
      </c>
      <c r="X186" s="13">
        <f t="shared" si="52"/>
        <v>201</v>
      </c>
      <c r="Y186" s="13">
        <f t="shared" si="52"/>
        <v>221</v>
      </c>
      <c r="Z186" s="13">
        <f t="shared" si="52"/>
        <v>224</v>
      </c>
      <c r="AA186" s="13">
        <f t="shared" si="52"/>
        <v>206</v>
      </c>
      <c r="AB186" s="13">
        <f t="shared" si="52"/>
        <v>218</v>
      </c>
      <c r="AC186" s="13">
        <f t="shared" si="52"/>
        <v>220</v>
      </c>
      <c r="AD186" s="13">
        <f t="shared" si="52"/>
        <v>188</v>
      </c>
      <c r="AE186" s="13">
        <f t="shared" si="52"/>
        <v>207</v>
      </c>
      <c r="AF186" s="13">
        <f t="shared" si="52"/>
        <v>215</v>
      </c>
      <c r="AG186" s="13">
        <f t="shared" si="52"/>
        <v>201</v>
      </c>
      <c r="AH186" s="13">
        <f t="shared" si="52"/>
        <v>211</v>
      </c>
      <c r="AI186" s="13">
        <f t="shared" si="52"/>
        <v>169</v>
      </c>
      <c r="AJ186" s="13">
        <f t="shared" si="52"/>
        <v>204</v>
      </c>
      <c r="AK186" s="13">
        <f t="shared" si="52"/>
        <v>189</v>
      </c>
      <c r="AL186" s="13">
        <f t="shared" si="52"/>
        <v>194</v>
      </c>
      <c r="AM186" s="13">
        <f t="shared" si="52"/>
        <v>192</v>
      </c>
      <c r="AN186" s="13">
        <f t="shared" si="52"/>
        <v>174</v>
      </c>
      <c r="AO186" s="13">
        <f t="shared" si="52"/>
        <v>204</v>
      </c>
      <c r="AP186" s="13">
        <f t="shared" si="52"/>
        <v>213</v>
      </c>
      <c r="AQ186" s="13">
        <f t="shared" si="52"/>
        <v>191</v>
      </c>
      <c r="AR186" s="13">
        <f t="shared" si="52"/>
        <v>202</v>
      </c>
      <c r="AS186" s="13">
        <f t="shared" si="52"/>
        <v>205</v>
      </c>
      <c r="AT186" s="13">
        <f t="shared" si="52"/>
        <v>208</v>
      </c>
      <c r="AU186" s="13">
        <f t="shared" si="52"/>
        <v>218</v>
      </c>
      <c r="AV186" s="13">
        <f t="shared" si="51"/>
        <v>8637</v>
      </c>
      <c r="AW186" s="5"/>
      <c r="AX186" s="5"/>
    </row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9">
    <mergeCell ref="B73:D73"/>
    <mergeCell ref="C75:D75"/>
    <mergeCell ref="B83:D83"/>
    <mergeCell ref="C85:D85"/>
    <mergeCell ref="B93:D93"/>
    <mergeCell ref="C95:D95"/>
    <mergeCell ref="B97:D97"/>
    <mergeCell ref="C99:D99"/>
    <mergeCell ref="B101:D101"/>
    <mergeCell ref="C103:D103"/>
    <mergeCell ref="B111:D111"/>
    <mergeCell ref="C113:D113"/>
    <mergeCell ref="B115:D115"/>
    <mergeCell ref="C117:D117"/>
    <mergeCell ref="B129:D129"/>
    <mergeCell ref="C131:D131"/>
    <mergeCell ref="B136:D136"/>
    <mergeCell ref="C138:D138"/>
    <mergeCell ref="B146:D146"/>
    <mergeCell ref="C148:D148"/>
    <mergeCell ref="B156:D156"/>
    <mergeCell ref="B181:D181"/>
    <mergeCell ref="B183:D183"/>
    <mergeCell ref="C184:D184"/>
    <mergeCell ref="C185:D185"/>
    <mergeCell ref="C186:D186"/>
    <mergeCell ref="C158:D158"/>
    <mergeCell ref="B161:D161"/>
    <mergeCell ref="C163:D163"/>
    <mergeCell ref="B165:D165"/>
    <mergeCell ref="C167:D167"/>
    <mergeCell ref="B175:D175"/>
    <mergeCell ref="C177:D177"/>
    <mergeCell ref="B12:D12"/>
    <mergeCell ref="E12:AU12"/>
    <mergeCell ref="AV12:A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D37"/>
    <mergeCell ref="B38:D38"/>
    <mergeCell ref="B39:C41"/>
    <mergeCell ref="A42:D42"/>
    <mergeCell ref="E42:AD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B53:D53"/>
    <mergeCell ref="C55:D55"/>
    <mergeCell ref="B63:D63"/>
    <mergeCell ref="C65:D65"/>
    <mergeCell ref="B125:D125"/>
    <mergeCell ref="C127:D127"/>
  </mergeCells>
  <conditionalFormatting sqref="E14:AU15">
    <cfRule type="containsBlanks" dxfId="3" priority="1">
      <formula>LEN(TRIM(E14))=0</formula>
    </cfRule>
  </conditionalFormatting>
  <conditionalFormatting sqref="E19:AU20">
    <cfRule type="containsBlanks" dxfId="3" priority="2">
      <formula>LEN(TRIM(E19))=0</formula>
    </cfRule>
  </conditionalFormatting>
  <conditionalFormatting sqref="E22:AU23 E25:AU26 E33:AU33 E35:AU35 E39:AU40">
    <cfRule type="containsBlanks" dxfId="3" priority="3">
      <formula>LEN(TRIM(E22))=0</formula>
    </cfRule>
  </conditionalFormatting>
  <conditionalFormatting sqref="E30:AU30">
    <cfRule type="expression" dxfId="0" priority="4">
      <formula>E30&lt;&gt;E47</formula>
    </cfRule>
  </conditionalFormatting>
  <conditionalFormatting sqref="E30:AU30">
    <cfRule type="expression" dxfId="0" priority="5">
      <formula>E30&lt;&gt;E34</formula>
    </cfRule>
  </conditionalFormatting>
  <conditionalFormatting sqref="E34:AU34">
    <cfRule type="expression" dxfId="1" priority="6">
      <formula>E30&lt;&gt;E34</formula>
    </cfRule>
  </conditionalFormatting>
  <conditionalFormatting sqref="E34:AU34">
    <cfRule type="expression" dxfId="2" priority="7">
      <formula>E30=E34</formula>
    </cfRule>
  </conditionalFormatting>
  <conditionalFormatting sqref="E34:AU34">
    <cfRule type="expression" dxfId="0" priority="8">
      <formula>E34&lt;&gt;E30</formula>
    </cfRule>
  </conditionalFormatting>
  <conditionalFormatting sqref="E34:AU34">
    <cfRule type="expression" dxfId="0" priority="9">
      <formula>E34&lt;&gt;E64</formula>
    </cfRule>
  </conditionalFormatting>
  <conditionalFormatting sqref="E45:AU52">
    <cfRule type="containsBlanks" dxfId="3" priority="10">
      <formula>LEN(TRIM(E45))=0</formula>
    </cfRule>
  </conditionalFormatting>
  <conditionalFormatting sqref="E55:AU62">
    <cfRule type="containsBlanks" dxfId="3" priority="11">
      <formula>LEN(TRIM(E55))=0</formula>
    </cfRule>
  </conditionalFormatting>
  <conditionalFormatting sqref="E65:AU72">
    <cfRule type="containsBlanks" dxfId="3" priority="12">
      <formula>LEN(TRIM(E65))=0</formula>
    </cfRule>
  </conditionalFormatting>
  <conditionalFormatting sqref="E75:AU82">
    <cfRule type="containsBlanks" dxfId="3" priority="13">
      <formula>LEN(TRIM(E75))=0</formula>
    </cfRule>
  </conditionalFormatting>
  <conditionalFormatting sqref="E85:AU92">
    <cfRule type="containsBlanks" dxfId="3" priority="14">
      <formula>LEN(TRIM(E85))=0</formula>
    </cfRule>
  </conditionalFormatting>
  <conditionalFormatting sqref="E95:AU96">
    <cfRule type="containsBlanks" dxfId="3" priority="15">
      <formula>LEN(TRIM(E95))=0</formula>
    </cfRule>
  </conditionalFormatting>
  <conditionalFormatting sqref="E99:AU100">
    <cfRule type="containsBlanks" dxfId="3" priority="16">
      <formula>LEN(TRIM(E99))=0</formula>
    </cfRule>
  </conditionalFormatting>
  <conditionalFormatting sqref="E103:AU110">
    <cfRule type="containsBlanks" dxfId="3" priority="17">
      <formula>LEN(TRIM(E103))=0</formula>
    </cfRule>
  </conditionalFormatting>
  <conditionalFormatting sqref="E113:AU114">
    <cfRule type="containsBlanks" dxfId="3" priority="18">
      <formula>LEN(TRIM(E113))=0</formula>
    </cfRule>
  </conditionalFormatting>
  <conditionalFormatting sqref="E117:AU124">
    <cfRule type="containsBlanks" dxfId="3" priority="19">
      <formula>LEN(TRIM(E117))=0</formula>
    </cfRule>
  </conditionalFormatting>
  <conditionalFormatting sqref="E127:AU128">
    <cfRule type="containsBlanks" dxfId="3" priority="20">
      <formula>LEN(TRIM(E127))=0</formula>
    </cfRule>
  </conditionalFormatting>
  <conditionalFormatting sqref="E131:AU135">
    <cfRule type="containsBlanks" dxfId="3" priority="21">
      <formula>LEN(TRIM(E131))=0</formula>
    </cfRule>
  </conditionalFormatting>
  <conditionalFormatting sqref="E138:AU145">
    <cfRule type="containsBlanks" dxfId="3" priority="22">
      <formula>LEN(TRIM(E138))=0</formula>
    </cfRule>
  </conditionalFormatting>
  <conditionalFormatting sqref="E148:AU155">
    <cfRule type="containsBlanks" dxfId="3" priority="23">
      <formula>LEN(TRIM(E148))=0</formula>
    </cfRule>
  </conditionalFormatting>
  <conditionalFormatting sqref="E158:AU160">
    <cfRule type="containsBlanks" dxfId="3" priority="24">
      <formula>LEN(TRIM(E158))=0</formula>
    </cfRule>
  </conditionalFormatting>
  <conditionalFormatting sqref="E163:AU164">
    <cfRule type="containsBlanks" dxfId="3" priority="25">
      <formula>LEN(TRIM(E163))=0</formula>
    </cfRule>
  </conditionalFormatting>
  <conditionalFormatting sqref="E167:AU174">
    <cfRule type="containsBlanks" dxfId="3" priority="26">
      <formula>LEN(TRIM(E167))=0</formula>
    </cfRule>
  </conditionalFormatting>
  <conditionalFormatting sqref="E177:AU180">
    <cfRule type="containsBlanks" dxfId="3" priority="27">
      <formula>LEN(TRIM(E177))=0</formula>
    </cfRule>
  </conditionalFormatting>
  <conditionalFormatting sqref="E184:AU185">
    <cfRule type="containsBlanks" dxfId="3" priority="28">
      <formula>LEN(TRIM(E184))=0</formula>
    </cfRule>
  </conditionalFormatting>
  <conditionalFormatting sqref="E186:AU186">
    <cfRule type="expression" dxfId="0" priority="29">
      <formula>E186&lt;&gt;#REF!</formula>
    </cfRule>
  </conditionalFormatting>
  <conditionalFormatting sqref="E186:AU186">
    <cfRule type="expression" dxfId="1" priority="30">
      <formula>#REF!&lt;&gt;E186</formula>
    </cfRule>
  </conditionalFormatting>
  <conditionalFormatting sqref="E186:AU186">
    <cfRule type="expression" dxfId="2" priority="31">
      <formula>#REF!=E186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163</v>
      </c>
      <c r="D9" s="8" t="s">
        <v>208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165</v>
      </c>
      <c r="F13" s="13" t="s">
        <v>166</v>
      </c>
      <c r="G13" s="13" t="s">
        <v>167</v>
      </c>
      <c r="H13" s="13" t="s">
        <v>168</v>
      </c>
      <c r="I13" s="13" t="s">
        <v>169</v>
      </c>
      <c r="J13" s="13" t="s">
        <v>170</v>
      </c>
      <c r="K13" s="13" t="s">
        <v>171</v>
      </c>
      <c r="L13" s="13" t="s">
        <v>172</v>
      </c>
      <c r="M13" s="13" t="s">
        <v>173</v>
      </c>
      <c r="N13" s="13" t="s">
        <v>174</v>
      </c>
      <c r="O13" s="13" t="s">
        <v>175</v>
      </c>
      <c r="P13" s="13" t="s">
        <v>176</v>
      </c>
      <c r="Q13" s="13" t="s">
        <v>177</v>
      </c>
      <c r="R13" s="13" t="s">
        <v>178</v>
      </c>
      <c r="S13" s="13" t="s">
        <v>179</v>
      </c>
      <c r="T13" s="13" t="s">
        <v>180</v>
      </c>
      <c r="U13" s="13" t="s">
        <v>181</v>
      </c>
      <c r="V13" s="13" t="s">
        <v>182</v>
      </c>
      <c r="W13" s="13" t="s">
        <v>183</v>
      </c>
      <c r="X13" s="36"/>
    </row>
    <row r="14" ht="12.75" customHeight="1">
      <c r="A14" s="18"/>
      <c r="B14" s="22" t="s">
        <v>11</v>
      </c>
      <c r="C14" s="23"/>
      <c r="D14" s="19" t="s">
        <v>12</v>
      </c>
      <c r="E14" s="69">
        <v>143.0</v>
      </c>
      <c r="F14" s="69">
        <v>127.0</v>
      </c>
      <c r="G14" s="69">
        <v>140.0</v>
      </c>
      <c r="H14" s="69">
        <v>144.0</v>
      </c>
      <c r="I14" s="69">
        <v>152.0</v>
      </c>
      <c r="J14" s="69">
        <v>149.0</v>
      </c>
      <c r="K14" s="69">
        <v>125.0</v>
      </c>
      <c r="L14" s="69">
        <v>146.0</v>
      </c>
      <c r="M14" s="69">
        <v>146.0</v>
      </c>
      <c r="N14" s="69">
        <v>148.0</v>
      </c>
      <c r="O14" s="69">
        <v>147.0</v>
      </c>
      <c r="P14" s="69">
        <v>143.0</v>
      </c>
      <c r="Q14" s="69">
        <v>143.0</v>
      </c>
      <c r="R14" s="69">
        <v>118.0</v>
      </c>
      <c r="S14" s="69">
        <v>111.0</v>
      </c>
      <c r="T14" s="69">
        <v>153.0</v>
      </c>
      <c r="U14" s="69">
        <v>151.0</v>
      </c>
      <c r="V14" s="69">
        <v>150.0</v>
      </c>
      <c r="W14" s="69">
        <v>143.0</v>
      </c>
      <c r="X14" s="13">
        <f t="shared" ref="X14:X16" si="1">SUM(E14:W14)</f>
        <v>2679</v>
      </c>
    </row>
    <row r="15" ht="12.75" customHeight="1">
      <c r="A15" s="18"/>
      <c r="B15" s="26"/>
      <c r="C15" s="27"/>
      <c r="D15" s="19" t="s">
        <v>13</v>
      </c>
      <c r="E15" s="69">
        <v>140.0</v>
      </c>
      <c r="F15" s="69">
        <v>131.0</v>
      </c>
      <c r="G15" s="69">
        <v>134.0</v>
      </c>
      <c r="H15" s="69">
        <v>142.0</v>
      </c>
      <c r="I15" s="69">
        <v>137.0</v>
      </c>
      <c r="J15" s="69">
        <v>143.0</v>
      </c>
      <c r="K15" s="69">
        <v>119.0</v>
      </c>
      <c r="L15" s="69">
        <v>132.0</v>
      </c>
      <c r="M15" s="69">
        <v>137.0</v>
      </c>
      <c r="N15" s="69">
        <v>145.0</v>
      </c>
      <c r="O15" s="69">
        <v>135.0</v>
      </c>
      <c r="P15" s="69">
        <v>140.0</v>
      </c>
      <c r="Q15" s="69">
        <v>143.0</v>
      </c>
      <c r="R15" s="69">
        <v>125.0</v>
      </c>
      <c r="S15" s="69">
        <v>115.0</v>
      </c>
      <c r="T15" s="69">
        <v>140.0</v>
      </c>
      <c r="U15" s="69">
        <v>141.0</v>
      </c>
      <c r="V15" s="69">
        <v>145.0</v>
      </c>
      <c r="W15" s="69">
        <v>148.0</v>
      </c>
      <c r="X15" s="13">
        <f t="shared" si="1"/>
        <v>2592</v>
      </c>
    </row>
    <row r="16" ht="12.75" customHeight="1">
      <c r="A16" s="25"/>
      <c r="B16" s="21"/>
      <c r="C16" s="28"/>
      <c r="D16" s="13" t="s">
        <v>14</v>
      </c>
      <c r="E16" s="13">
        <f t="shared" ref="E16:W16" si="2">SUM(E14:E15)</f>
        <v>283</v>
      </c>
      <c r="F16" s="13">
        <f t="shared" si="2"/>
        <v>258</v>
      </c>
      <c r="G16" s="13">
        <f t="shared" si="2"/>
        <v>274</v>
      </c>
      <c r="H16" s="13">
        <f t="shared" si="2"/>
        <v>286</v>
      </c>
      <c r="I16" s="13">
        <f t="shared" si="2"/>
        <v>289</v>
      </c>
      <c r="J16" s="13">
        <f t="shared" si="2"/>
        <v>292</v>
      </c>
      <c r="K16" s="13">
        <f t="shared" si="2"/>
        <v>244</v>
      </c>
      <c r="L16" s="13">
        <f t="shared" si="2"/>
        <v>278</v>
      </c>
      <c r="M16" s="13">
        <f t="shared" si="2"/>
        <v>283</v>
      </c>
      <c r="N16" s="13">
        <f t="shared" si="2"/>
        <v>293</v>
      </c>
      <c r="O16" s="13">
        <f t="shared" si="2"/>
        <v>282</v>
      </c>
      <c r="P16" s="13">
        <f t="shared" si="2"/>
        <v>283</v>
      </c>
      <c r="Q16" s="13">
        <f t="shared" si="2"/>
        <v>286</v>
      </c>
      <c r="R16" s="13">
        <f t="shared" si="2"/>
        <v>243</v>
      </c>
      <c r="S16" s="13">
        <f t="shared" si="2"/>
        <v>226</v>
      </c>
      <c r="T16" s="13">
        <f t="shared" si="2"/>
        <v>293</v>
      </c>
      <c r="U16" s="13">
        <f t="shared" si="2"/>
        <v>292</v>
      </c>
      <c r="V16" s="13">
        <f t="shared" si="2"/>
        <v>295</v>
      </c>
      <c r="W16" s="13">
        <f t="shared" si="2"/>
        <v>291</v>
      </c>
      <c r="X16" s="13">
        <f t="shared" si="1"/>
        <v>5271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0"/>
      <c r="O17" s="19"/>
      <c r="P17" s="19"/>
      <c r="Q17" s="19"/>
      <c r="R17" s="19"/>
      <c r="S17" s="70"/>
      <c r="T17" s="19"/>
      <c r="U17" s="19"/>
      <c r="V17" s="19"/>
      <c r="W17" s="19"/>
      <c r="X17" s="71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0"/>
      <c r="O18" s="19"/>
      <c r="P18" s="19"/>
      <c r="Q18" s="19"/>
      <c r="R18" s="19"/>
      <c r="S18" s="70"/>
      <c r="T18" s="19"/>
      <c r="U18" s="19"/>
      <c r="V18" s="19"/>
      <c r="W18" s="19"/>
      <c r="X18" s="71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69">
        <v>109.0</v>
      </c>
      <c r="F19" s="69">
        <v>97.0</v>
      </c>
      <c r="G19" s="69">
        <v>106.0</v>
      </c>
      <c r="H19" s="69">
        <v>113.0</v>
      </c>
      <c r="I19" s="69">
        <v>115.0</v>
      </c>
      <c r="J19" s="69">
        <v>111.0</v>
      </c>
      <c r="K19" s="69">
        <v>91.0</v>
      </c>
      <c r="L19" s="69">
        <v>113.0</v>
      </c>
      <c r="M19" s="69">
        <v>124.0</v>
      </c>
      <c r="N19" s="69">
        <v>112.0</v>
      </c>
      <c r="O19" s="69">
        <v>113.0</v>
      </c>
      <c r="P19" s="69">
        <v>112.0</v>
      </c>
      <c r="Q19" s="69">
        <v>114.0</v>
      </c>
      <c r="R19" s="69">
        <v>78.0</v>
      </c>
      <c r="S19" s="69">
        <v>88.0</v>
      </c>
      <c r="T19" s="69">
        <v>120.0</v>
      </c>
      <c r="U19" s="69">
        <v>113.0</v>
      </c>
      <c r="V19" s="69">
        <v>124.0</v>
      </c>
      <c r="W19" s="69">
        <v>133.0</v>
      </c>
      <c r="X19" s="13">
        <f t="shared" ref="X19:X30" si="3">SUM(E19:W19)</f>
        <v>2086</v>
      </c>
    </row>
    <row r="20" ht="12.75" customHeight="1">
      <c r="A20" s="33"/>
      <c r="B20" s="27"/>
      <c r="C20" s="34"/>
      <c r="D20" s="19" t="s">
        <v>13</v>
      </c>
      <c r="E20" s="69">
        <v>118.0</v>
      </c>
      <c r="F20" s="69">
        <v>109.0</v>
      </c>
      <c r="G20" s="69">
        <v>102.0</v>
      </c>
      <c r="H20" s="69">
        <v>113.0</v>
      </c>
      <c r="I20" s="69">
        <v>112.0</v>
      </c>
      <c r="J20" s="69">
        <v>113.0</v>
      </c>
      <c r="K20" s="69">
        <v>96.0</v>
      </c>
      <c r="L20" s="69">
        <v>102.0</v>
      </c>
      <c r="M20" s="69">
        <v>119.0</v>
      </c>
      <c r="N20" s="69">
        <v>117.0</v>
      </c>
      <c r="O20" s="69">
        <v>117.0</v>
      </c>
      <c r="P20" s="69">
        <v>120.0</v>
      </c>
      <c r="Q20" s="69">
        <v>118.0</v>
      </c>
      <c r="R20" s="69">
        <v>90.0</v>
      </c>
      <c r="S20" s="69">
        <v>93.0</v>
      </c>
      <c r="T20" s="69">
        <v>112.0</v>
      </c>
      <c r="U20" s="69">
        <v>111.0</v>
      </c>
      <c r="V20" s="69">
        <v>116.0</v>
      </c>
      <c r="W20" s="69">
        <v>140.0</v>
      </c>
      <c r="X20" s="13">
        <f t="shared" si="3"/>
        <v>2118</v>
      </c>
    </row>
    <row r="21" ht="12.75" customHeight="1">
      <c r="A21" s="35"/>
      <c r="B21" s="28"/>
      <c r="C21" s="36"/>
      <c r="D21" s="13" t="s">
        <v>14</v>
      </c>
      <c r="E21" s="13">
        <f t="shared" ref="E21:W21" si="4">SUM(E19:E20)</f>
        <v>227</v>
      </c>
      <c r="F21" s="13">
        <f t="shared" si="4"/>
        <v>206</v>
      </c>
      <c r="G21" s="13">
        <f t="shared" si="4"/>
        <v>208</v>
      </c>
      <c r="H21" s="13">
        <f t="shared" si="4"/>
        <v>226</v>
      </c>
      <c r="I21" s="13">
        <f t="shared" si="4"/>
        <v>227</v>
      </c>
      <c r="J21" s="13">
        <f t="shared" si="4"/>
        <v>224</v>
      </c>
      <c r="K21" s="13">
        <f t="shared" si="4"/>
        <v>187</v>
      </c>
      <c r="L21" s="13">
        <f t="shared" si="4"/>
        <v>215</v>
      </c>
      <c r="M21" s="13">
        <f t="shared" si="4"/>
        <v>243</v>
      </c>
      <c r="N21" s="13">
        <f t="shared" si="4"/>
        <v>229</v>
      </c>
      <c r="O21" s="13">
        <f t="shared" si="4"/>
        <v>230</v>
      </c>
      <c r="P21" s="13">
        <f t="shared" si="4"/>
        <v>232</v>
      </c>
      <c r="Q21" s="13">
        <f t="shared" si="4"/>
        <v>232</v>
      </c>
      <c r="R21" s="13">
        <f t="shared" si="4"/>
        <v>168</v>
      </c>
      <c r="S21" s="13">
        <f t="shared" si="4"/>
        <v>181</v>
      </c>
      <c r="T21" s="13">
        <f t="shared" si="4"/>
        <v>232</v>
      </c>
      <c r="U21" s="13">
        <f t="shared" si="4"/>
        <v>224</v>
      </c>
      <c r="V21" s="13">
        <f t="shared" si="4"/>
        <v>240</v>
      </c>
      <c r="W21" s="13">
        <f t="shared" si="4"/>
        <v>273</v>
      </c>
      <c r="X21" s="13">
        <f t="shared" si="3"/>
        <v>4204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69">
        <v>0.0</v>
      </c>
      <c r="F22" s="69">
        <v>1.0</v>
      </c>
      <c r="G22" s="69">
        <v>1.0</v>
      </c>
      <c r="H22" s="69">
        <v>0.0</v>
      </c>
      <c r="I22" s="69">
        <v>0.0</v>
      </c>
      <c r="J22" s="69">
        <v>0.0</v>
      </c>
      <c r="K22" s="69">
        <v>0.0</v>
      </c>
      <c r="L22" s="69">
        <v>0.0</v>
      </c>
      <c r="M22" s="69">
        <v>0.0</v>
      </c>
      <c r="N22" s="69">
        <v>0.0</v>
      </c>
      <c r="O22" s="69">
        <v>0.0</v>
      </c>
      <c r="P22" s="69">
        <v>0.0</v>
      </c>
      <c r="Q22" s="69">
        <v>1.0</v>
      </c>
      <c r="R22" s="69">
        <v>0.0</v>
      </c>
      <c r="S22" s="69">
        <v>1.0</v>
      </c>
      <c r="T22" s="69">
        <v>0.0</v>
      </c>
      <c r="U22" s="69">
        <v>0.0</v>
      </c>
      <c r="V22" s="69">
        <v>3.0</v>
      </c>
      <c r="W22" s="69">
        <v>1.0</v>
      </c>
      <c r="X22" s="13">
        <f t="shared" si="3"/>
        <v>8</v>
      </c>
    </row>
    <row r="23" ht="12.75" customHeight="1">
      <c r="A23" s="33"/>
      <c r="B23" s="27"/>
      <c r="C23" s="34"/>
      <c r="D23" s="19" t="s">
        <v>13</v>
      </c>
      <c r="E23" s="69">
        <v>0.0</v>
      </c>
      <c r="F23" s="69">
        <v>0.0</v>
      </c>
      <c r="G23" s="69">
        <v>1.0</v>
      </c>
      <c r="H23" s="69">
        <v>0.0</v>
      </c>
      <c r="I23" s="69">
        <v>0.0</v>
      </c>
      <c r="J23" s="69">
        <v>0.0</v>
      </c>
      <c r="K23" s="69">
        <v>0.0</v>
      </c>
      <c r="L23" s="69">
        <v>0.0</v>
      </c>
      <c r="M23" s="69">
        <v>0.0</v>
      </c>
      <c r="N23" s="69">
        <v>0.0</v>
      </c>
      <c r="O23" s="69">
        <v>0.0</v>
      </c>
      <c r="P23" s="69">
        <v>0.0</v>
      </c>
      <c r="Q23" s="69">
        <v>2.0</v>
      </c>
      <c r="R23" s="69">
        <v>0.0</v>
      </c>
      <c r="S23" s="69">
        <v>0.0</v>
      </c>
      <c r="T23" s="69">
        <v>0.0</v>
      </c>
      <c r="U23" s="69">
        <v>1.0</v>
      </c>
      <c r="V23" s="69">
        <v>1.0</v>
      </c>
      <c r="W23" s="69">
        <v>1.0</v>
      </c>
      <c r="X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f t="shared" ref="E24:W24" si="5">SUM(E22:E23)</f>
        <v>0</v>
      </c>
      <c r="F24" s="13">
        <f t="shared" si="5"/>
        <v>1</v>
      </c>
      <c r="G24" s="13">
        <f t="shared" si="5"/>
        <v>2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3</v>
      </c>
      <c r="R24" s="13">
        <f t="shared" si="5"/>
        <v>0</v>
      </c>
      <c r="S24" s="13">
        <f t="shared" si="5"/>
        <v>1</v>
      </c>
      <c r="T24" s="13">
        <f t="shared" si="5"/>
        <v>0</v>
      </c>
      <c r="U24" s="13">
        <f t="shared" si="5"/>
        <v>1</v>
      </c>
      <c r="V24" s="13">
        <f t="shared" si="5"/>
        <v>4</v>
      </c>
      <c r="W24" s="13">
        <f t="shared" si="5"/>
        <v>2</v>
      </c>
      <c r="X24" s="13">
        <f t="shared" si="3"/>
        <v>14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69">
        <v>0.0</v>
      </c>
      <c r="F25" s="69">
        <v>0.0</v>
      </c>
      <c r="G25" s="69">
        <v>1.0</v>
      </c>
      <c r="H25" s="69">
        <v>1.0</v>
      </c>
      <c r="I25" s="69">
        <v>1.0</v>
      </c>
      <c r="J25" s="69">
        <v>0.0</v>
      </c>
      <c r="K25" s="69">
        <v>0.0</v>
      </c>
      <c r="L25" s="69">
        <v>0.0</v>
      </c>
      <c r="M25" s="69">
        <v>0.0</v>
      </c>
      <c r="N25" s="69">
        <v>0.0</v>
      </c>
      <c r="O25" s="69">
        <v>3.0</v>
      </c>
      <c r="P25" s="69">
        <v>1.0</v>
      </c>
      <c r="Q25" s="69">
        <v>0.0</v>
      </c>
      <c r="R25" s="69">
        <v>2.0</v>
      </c>
      <c r="S25" s="69">
        <v>1.0</v>
      </c>
      <c r="T25" s="69">
        <v>1.0</v>
      </c>
      <c r="U25" s="69">
        <v>1.0</v>
      </c>
      <c r="V25" s="69">
        <v>1.0</v>
      </c>
      <c r="W25" s="69">
        <v>1.0</v>
      </c>
      <c r="X25" s="13">
        <f t="shared" si="3"/>
        <v>14</v>
      </c>
    </row>
    <row r="26" ht="12.75" customHeight="1">
      <c r="A26" s="33"/>
      <c r="B26" s="27"/>
      <c r="C26" s="34"/>
      <c r="D26" s="19" t="s">
        <v>13</v>
      </c>
      <c r="E26" s="69">
        <v>2.0</v>
      </c>
      <c r="F26" s="69">
        <v>0.0</v>
      </c>
      <c r="G26" s="69">
        <v>0.0</v>
      </c>
      <c r="H26" s="69">
        <v>0.0</v>
      </c>
      <c r="I26" s="69">
        <v>1.0</v>
      </c>
      <c r="J26" s="69">
        <v>4.0</v>
      </c>
      <c r="K26" s="69">
        <v>0.0</v>
      </c>
      <c r="L26" s="69">
        <v>0.0</v>
      </c>
      <c r="M26" s="69">
        <v>1.0</v>
      </c>
      <c r="N26" s="69">
        <v>2.0</v>
      </c>
      <c r="O26" s="69">
        <v>2.0</v>
      </c>
      <c r="P26" s="69">
        <v>4.0</v>
      </c>
      <c r="Q26" s="69">
        <v>0.0</v>
      </c>
      <c r="R26" s="69">
        <v>0.0</v>
      </c>
      <c r="S26" s="69">
        <v>1.0</v>
      </c>
      <c r="T26" s="69">
        <v>2.0</v>
      </c>
      <c r="U26" s="69">
        <v>0.0</v>
      </c>
      <c r="V26" s="69">
        <v>1.0</v>
      </c>
      <c r="W26" s="69">
        <v>0.0</v>
      </c>
      <c r="X26" s="13">
        <f t="shared" si="3"/>
        <v>20</v>
      </c>
    </row>
    <row r="27" ht="12.75" customHeight="1">
      <c r="A27" s="35"/>
      <c r="B27" s="28"/>
      <c r="C27" s="36"/>
      <c r="D27" s="13" t="s">
        <v>14</v>
      </c>
      <c r="E27" s="13">
        <f t="shared" ref="E27:W27" si="6">SUM(E25:E26)</f>
        <v>2</v>
      </c>
      <c r="F27" s="13">
        <f t="shared" si="6"/>
        <v>0</v>
      </c>
      <c r="G27" s="13">
        <f t="shared" si="6"/>
        <v>1</v>
      </c>
      <c r="H27" s="13">
        <f t="shared" si="6"/>
        <v>1</v>
      </c>
      <c r="I27" s="13">
        <f t="shared" si="6"/>
        <v>2</v>
      </c>
      <c r="J27" s="13">
        <f t="shared" si="6"/>
        <v>4</v>
      </c>
      <c r="K27" s="13">
        <f t="shared" si="6"/>
        <v>0</v>
      </c>
      <c r="L27" s="13">
        <f t="shared" si="6"/>
        <v>0</v>
      </c>
      <c r="M27" s="13">
        <f t="shared" si="6"/>
        <v>1</v>
      </c>
      <c r="N27" s="13">
        <f t="shared" si="6"/>
        <v>2</v>
      </c>
      <c r="O27" s="13">
        <f t="shared" si="6"/>
        <v>5</v>
      </c>
      <c r="P27" s="13">
        <f t="shared" si="6"/>
        <v>5</v>
      </c>
      <c r="Q27" s="13">
        <f t="shared" si="6"/>
        <v>0</v>
      </c>
      <c r="R27" s="13">
        <f t="shared" si="6"/>
        <v>2</v>
      </c>
      <c r="S27" s="13">
        <f t="shared" si="6"/>
        <v>2</v>
      </c>
      <c r="T27" s="13">
        <f t="shared" si="6"/>
        <v>3</v>
      </c>
      <c r="U27" s="13">
        <f t="shared" si="6"/>
        <v>1</v>
      </c>
      <c r="V27" s="13">
        <f t="shared" si="6"/>
        <v>2</v>
      </c>
      <c r="W27" s="13">
        <f t="shared" si="6"/>
        <v>1</v>
      </c>
      <c r="X27" s="13">
        <f t="shared" si="3"/>
        <v>34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W28" si="7">SUM(E19,E22,E25)</f>
        <v>109</v>
      </c>
      <c r="F28" s="13">
        <f t="shared" si="7"/>
        <v>98</v>
      </c>
      <c r="G28" s="13">
        <f t="shared" si="7"/>
        <v>108</v>
      </c>
      <c r="H28" s="13">
        <f t="shared" si="7"/>
        <v>114</v>
      </c>
      <c r="I28" s="13">
        <f t="shared" si="7"/>
        <v>116</v>
      </c>
      <c r="J28" s="13">
        <f t="shared" si="7"/>
        <v>111</v>
      </c>
      <c r="K28" s="13">
        <f t="shared" si="7"/>
        <v>91</v>
      </c>
      <c r="L28" s="13">
        <f t="shared" si="7"/>
        <v>113</v>
      </c>
      <c r="M28" s="13">
        <f t="shared" si="7"/>
        <v>124</v>
      </c>
      <c r="N28" s="13">
        <f t="shared" si="7"/>
        <v>112</v>
      </c>
      <c r="O28" s="13">
        <f t="shared" si="7"/>
        <v>116</v>
      </c>
      <c r="P28" s="13">
        <f t="shared" si="7"/>
        <v>113</v>
      </c>
      <c r="Q28" s="13">
        <f t="shared" si="7"/>
        <v>115</v>
      </c>
      <c r="R28" s="13">
        <f t="shared" si="7"/>
        <v>80</v>
      </c>
      <c r="S28" s="13">
        <f t="shared" si="7"/>
        <v>90</v>
      </c>
      <c r="T28" s="13">
        <f t="shared" si="7"/>
        <v>121</v>
      </c>
      <c r="U28" s="13">
        <f t="shared" si="7"/>
        <v>114</v>
      </c>
      <c r="V28" s="13">
        <f t="shared" si="7"/>
        <v>128</v>
      </c>
      <c r="W28" s="13">
        <f t="shared" si="7"/>
        <v>135</v>
      </c>
      <c r="X28" s="13">
        <f t="shared" si="3"/>
        <v>2108</v>
      </c>
    </row>
    <row r="29" ht="12.75" customHeight="1">
      <c r="A29" s="35"/>
      <c r="B29" s="27"/>
      <c r="C29" s="34"/>
      <c r="D29" s="13" t="s">
        <v>13</v>
      </c>
      <c r="E29" s="13">
        <f t="shared" ref="E29:W29" si="8">SUM(E20,E23,E26)</f>
        <v>120</v>
      </c>
      <c r="F29" s="13">
        <f t="shared" si="8"/>
        <v>109</v>
      </c>
      <c r="G29" s="13">
        <f t="shared" si="8"/>
        <v>103</v>
      </c>
      <c r="H29" s="13">
        <f t="shared" si="8"/>
        <v>113</v>
      </c>
      <c r="I29" s="13">
        <f t="shared" si="8"/>
        <v>113</v>
      </c>
      <c r="J29" s="13">
        <f t="shared" si="8"/>
        <v>117</v>
      </c>
      <c r="K29" s="13">
        <f t="shared" si="8"/>
        <v>96</v>
      </c>
      <c r="L29" s="13">
        <f t="shared" si="8"/>
        <v>102</v>
      </c>
      <c r="M29" s="13">
        <f t="shared" si="8"/>
        <v>120</v>
      </c>
      <c r="N29" s="13">
        <f t="shared" si="8"/>
        <v>119</v>
      </c>
      <c r="O29" s="13">
        <f t="shared" si="8"/>
        <v>119</v>
      </c>
      <c r="P29" s="13">
        <f t="shared" si="8"/>
        <v>124</v>
      </c>
      <c r="Q29" s="13">
        <f t="shared" si="8"/>
        <v>120</v>
      </c>
      <c r="R29" s="13">
        <f t="shared" si="8"/>
        <v>90</v>
      </c>
      <c r="S29" s="13">
        <f t="shared" si="8"/>
        <v>94</v>
      </c>
      <c r="T29" s="13">
        <f t="shared" si="8"/>
        <v>114</v>
      </c>
      <c r="U29" s="13">
        <f t="shared" si="8"/>
        <v>112</v>
      </c>
      <c r="V29" s="13">
        <f t="shared" si="8"/>
        <v>118</v>
      </c>
      <c r="W29" s="13">
        <f t="shared" si="8"/>
        <v>141</v>
      </c>
      <c r="X29" s="13">
        <f t="shared" si="3"/>
        <v>2144</v>
      </c>
    </row>
    <row r="30" ht="12.75" customHeight="1">
      <c r="A30" s="35"/>
      <c r="B30" s="28"/>
      <c r="C30" s="36"/>
      <c r="D30" s="13" t="s">
        <v>14</v>
      </c>
      <c r="E30" s="13">
        <f t="shared" ref="E30:W30" si="9">SUM(E28:E29)</f>
        <v>229</v>
      </c>
      <c r="F30" s="13">
        <f t="shared" si="9"/>
        <v>207</v>
      </c>
      <c r="G30" s="13">
        <f t="shared" si="9"/>
        <v>211</v>
      </c>
      <c r="H30" s="13">
        <f t="shared" si="9"/>
        <v>227</v>
      </c>
      <c r="I30" s="13">
        <f t="shared" si="9"/>
        <v>229</v>
      </c>
      <c r="J30" s="13">
        <f t="shared" si="9"/>
        <v>228</v>
      </c>
      <c r="K30" s="13">
        <f t="shared" si="9"/>
        <v>187</v>
      </c>
      <c r="L30" s="13">
        <f t="shared" si="9"/>
        <v>215</v>
      </c>
      <c r="M30" s="13">
        <f t="shared" si="9"/>
        <v>244</v>
      </c>
      <c r="N30" s="13">
        <f t="shared" si="9"/>
        <v>231</v>
      </c>
      <c r="O30" s="13">
        <f t="shared" si="9"/>
        <v>235</v>
      </c>
      <c r="P30" s="13">
        <f t="shared" si="9"/>
        <v>237</v>
      </c>
      <c r="Q30" s="13">
        <f t="shared" si="9"/>
        <v>235</v>
      </c>
      <c r="R30" s="13">
        <f t="shared" si="9"/>
        <v>170</v>
      </c>
      <c r="S30" s="13">
        <f t="shared" si="9"/>
        <v>184</v>
      </c>
      <c r="T30" s="13">
        <f t="shared" si="9"/>
        <v>235</v>
      </c>
      <c r="U30" s="13">
        <f t="shared" si="9"/>
        <v>226</v>
      </c>
      <c r="V30" s="13">
        <f t="shared" si="9"/>
        <v>246</v>
      </c>
      <c r="W30" s="13">
        <f t="shared" si="9"/>
        <v>276</v>
      </c>
      <c r="X30" s="13">
        <f t="shared" si="3"/>
        <v>4252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0"/>
      <c r="O31" s="19"/>
      <c r="P31" s="19"/>
      <c r="Q31" s="19"/>
      <c r="R31" s="19"/>
      <c r="S31" s="70"/>
      <c r="T31" s="19"/>
      <c r="U31" s="19"/>
      <c r="V31" s="19"/>
      <c r="W31" s="19"/>
      <c r="X31" s="71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2"/>
      <c r="O32" s="13"/>
      <c r="P32" s="13"/>
      <c r="Q32" s="13"/>
      <c r="R32" s="13"/>
      <c r="S32" s="72"/>
      <c r="T32" s="13"/>
      <c r="U32" s="13"/>
      <c r="V32" s="13"/>
      <c r="W32" s="13"/>
      <c r="X32" s="71"/>
    </row>
    <row r="33" ht="12.75" customHeight="1">
      <c r="A33" s="19">
        <v>1.0</v>
      </c>
      <c r="B33" s="20" t="s">
        <v>27</v>
      </c>
      <c r="C33" s="15"/>
      <c r="D33" s="16"/>
      <c r="E33" s="69">
        <v>293.0</v>
      </c>
      <c r="F33" s="69">
        <v>264.0</v>
      </c>
      <c r="G33" s="69">
        <v>280.0</v>
      </c>
      <c r="H33" s="69">
        <v>292.0</v>
      </c>
      <c r="I33" s="69">
        <v>295.0</v>
      </c>
      <c r="J33" s="69">
        <v>298.0</v>
      </c>
      <c r="K33" s="69">
        <v>249.0</v>
      </c>
      <c r="L33" s="69">
        <v>284.0</v>
      </c>
      <c r="M33" s="69">
        <v>289.0</v>
      </c>
      <c r="N33" s="69">
        <v>299.0</v>
      </c>
      <c r="O33" s="69">
        <v>288.0</v>
      </c>
      <c r="P33" s="69">
        <v>289.0</v>
      </c>
      <c r="Q33" s="69">
        <v>292.0</v>
      </c>
      <c r="R33" s="69">
        <v>248.0</v>
      </c>
      <c r="S33" s="69">
        <v>231.0</v>
      </c>
      <c r="T33" s="69">
        <v>299.0</v>
      </c>
      <c r="U33" s="69">
        <v>298.0</v>
      </c>
      <c r="V33" s="69">
        <v>301.0</v>
      </c>
      <c r="W33" s="69">
        <v>297.0</v>
      </c>
      <c r="X33" s="13">
        <f t="shared" ref="X33:X36" si="10">SUM(E33:W33)</f>
        <v>5386</v>
      </c>
    </row>
    <row r="34" ht="12.75" customHeight="1">
      <c r="A34" s="19">
        <v>2.0</v>
      </c>
      <c r="B34" s="20" t="s">
        <v>28</v>
      </c>
      <c r="C34" s="15"/>
      <c r="D34" s="16"/>
      <c r="E34" s="73">
        <v>229.0</v>
      </c>
      <c r="F34" s="73">
        <v>207.0</v>
      </c>
      <c r="G34" s="73">
        <v>211.0</v>
      </c>
      <c r="H34" s="73">
        <v>227.0</v>
      </c>
      <c r="I34" s="73">
        <v>229.0</v>
      </c>
      <c r="J34" s="73">
        <v>228.0</v>
      </c>
      <c r="K34" s="73">
        <v>187.0</v>
      </c>
      <c r="L34" s="73">
        <v>215.0</v>
      </c>
      <c r="M34" s="73">
        <v>244.0</v>
      </c>
      <c r="N34" s="73">
        <v>231.0</v>
      </c>
      <c r="O34" s="73">
        <v>235.0</v>
      </c>
      <c r="P34" s="73">
        <v>237.0</v>
      </c>
      <c r="Q34" s="73">
        <v>235.0</v>
      </c>
      <c r="R34" s="73">
        <v>170.0</v>
      </c>
      <c r="S34" s="73">
        <v>184.0</v>
      </c>
      <c r="T34" s="73">
        <v>235.0</v>
      </c>
      <c r="U34" s="73">
        <v>226.0</v>
      </c>
      <c r="V34" s="73">
        <v>246.0</v>
      </c>
      <c r="W34" s="73">
        <v>276.0</v>
      </c>
      <c r="X34" s="13">
        <f t="shared" si="10"/>
        <v>4252</v>
      </c>
    </row>
    <row r="35" ht="12.75" customHeight="1">
      <c r="A35" s="19">
        <v>3.0</v>
      </c>
      <c r="B35" s="20" t="s">
        <v>29</v>
      </c>
      <c r="C35" s="15"/>
      <c r="D35" s="16"/>
      <c r="E35" s="69">
        <v>0.0</v>
      </c>
      <c r="F35" s="69">
        <v>12.0</v>
      </c>
      <c r="G35" s="69">
        <v>1.0</v>
      </c>
      <c r="H35" s="69">
        <v>2.0</v>
      </c>
      <c r="I35" s="69">
        <v>1.0</v>
      </c>
      <c r="J35" s="69">
        <v>0.0</v>
      </c>
      <c r="K35" s="69">
        <v>0.0</v>
      </c>
      <c r="L35" s="69">
        <v>2.0</v>
      </c>
      <c r="M35" s="69">
        <v>0.0</v>
      </c>
      <c r="N35" s="69">
        <v>1.0</v>
      </c>
      <c r="O35" s="69">
        <v>0.0</v>
      </c>
      <c r="P35" s="69">
        <v>0.0</v>
      </c>
      <c r="Q35" s="69">
        <v>1.0</v>
      </c>
      <c r="R35" s="69">
        <v>0.0</v>
      </c>
      <c r="S35" s="69">
        <v>0.0</v>
      </c>
      <c r="T35" s="69">
        <v>1.0</v>
      </c>
      <c r="U35" s="69">
        <v>0.0</v>
      </c>
      <c r="V35" s="69">
        <v>0.0</v>
      </c>
      <c r="W35" s="69">
        <v>6.0</v>
      </c>
      <c r="X35" s="13">
        <f t="shared" si="10"/>
        <v>27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W36" si="11">E33-(E34+E35)</f>
        <v>64</v>
      </c>
      <c r="F36" s="13">
        <f t="shared" si="11"/>
        <v>45</v>
      </c>
      <c r="G36" s="13">
        <f t="shared" si="11"/>
        <v>68</v>
      </c>
      <c r="H36" s="13">
        <f t="shared" si="11"/>
        <v>63</v>
      </c>
      <c r="I36" s="13">
        <f t="shared" si="11"/>
        <v>65</v>
      </c>
      <c r="J36" s="13">
        <f t="shared" si="11"/>
        <v>70</v>
      </c>
      <c r="K36" s="13">
        <f t="shared" si="11"/>
        <v>62</v>
      </c>
      <c r="L36" s="13">
        <f t="shared" si="11"/>
        <v>67</v>
      </c>
      <c r="M36" s="13">
        <f t="shared" si="11"/>
        <v>45</v>
      </c>
      <c r="N36" s="13">
        <f t="shared" si="11"/>
        <v>67</v>
      </c>
      <c r="O36" s="13">
        <f t="shared" si="11"/>
        <v>53</v>
      </c>
      <c r="P36" s="13">
        <f t="shared" si="11"/>
        <v>52</v>
      </c>
      <c r="Q36" s="13">
        <f t="shared" si="11"/>
        <v>56</v>
      </c>
      <c r="R36" s="13">
        <f t="shared" si="11"/>
        <v>78</v>
      </c>
      <c r="S36" s="13">
        <f t="shared" si="11"/>
        <v>47</v>
      </c>
      <c r="T36" s="13">
        <f t="shared" si="11"/>
        <v>63</v>
      </c>
      <c r="U36" s="13">
        <f t="shared" si="11"/>
        <v>72</v>
      </c>
      <c r="V36" s="13">
        <f t="shared" si="11"/>
        <v>55</v>
      </c>
      <c r="W36" s="13">
        <f t="shared" si="11"/>
        <v>15</v>
      </c>
      <c r="X36" s="13">
        <f t="shared" si="10"/>
        <v>1107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0"/>
      <c r="O37" s="19"/>
      <c r="P37" s="19"/>
      <c r="Q37" s="19"/>
      <c r="R37" s="19"/>
      <c r="S37" s="70"/>
      <c r="T37" s="19"/>
      <c r="U37" s="19"/>
      <c r="V37" s="19"/>
      <c r="W37" s="19"/>
      <c r="X37" s="71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2"/>
      <c r="O38" s="13"/>
      <c r="P38" s="13"/>
      <c r="Q38" s="13"/>
      <c r="R38" s="13"/>
      <c r="S38" s="72"/>
      <c r="T38" s="13"/>
      <c r="U38" s="13"/>
      <c r="V38" s="13"/>
      <c r="W38" s="13"/>
      <c r="X38" s="71"/>
    </row>
    <row r="39" ht="12.75" customHeight="1">
      <c r="A39" s="30"/>
      <c r="B39" s="43" t="s">
        <v>33</v>
      </c>
      <c r="C39" s="23"/>
      <c r="D39" s="19" t="s">
        <v>12</v>
      </c>
      <c r="E39" s="69">
        <v>0.0</v>
      </c>
      <c r="F39" s="69">
        <v>0.0</v>
      </c>
      <c r="G39" s="69">
        <v>1.0</v>
      </c>
      <c r="H39" s="69">
        <v>0.0</v>
      </c>
      <c r="I39" s="69">
        <v>0.0</v>
      </c>
      <c r="J39" s="69">
        <v>0.0</v>
      </c>
      <c r="K39" s="69">
        <v>0.0</v>
      </c>
      <c r="L39" s="69">
        <v>0.0</v>
      </c>
      <c r="M39" s="69">
        <v>0.0</v>
      </c>
      <c r="N39" s="69">
        <v>0.0</v>
      </c>
      <c r="O39" s="69">
        <v>0.0</v>
      </c>
      <c r="P39" s="69">
        <v>0.0</v>
      </c>
      <c r="Q39" s="69">
        <v>0.0</v>
      </c>
      <c r="R39" s="69">
        <v>0.0</v>
      </c>
      <c r="S39" s="69">
        <v>0.0</v>
      </c>
      <c r="T39" s="69">
        <v>0.0</v>
      </c>
      <c r="U39" s="69">
        <v>0.0</v>
      </c>
      <c r="V39" s="69">
        <v>0.0</v>
      </c>
      <c r="W39" s="69">
        <v>0.0</v>
      </c>
      <c r="X39" s="13">
        <f t="shared" ref="X39:X41" si="12">SUM(E39:W39)</f>
        <v>1</v>
      </c>
    </row>
    <row r="40" ht="12.75" customHeight="1">
      <c r="A40" s="33"/>
      <c r="C40" s="27"/>
      <c r="D40" s="19" t="s">
        <v>13</v>
      </c>
      <c r="E40" s="69">
        <v>0.0</v>
      </c>
      <c r="F40" s="69">
        <v>0.0</v>
      </c>
      <c r="G40" s="69">
        <v>2.0</v>
      </c>
      <c r="H40" s="69">
        <v>0.0</v>
      </c>
      <c r="I40" s="69">
        <v>0.0</v>
      </c>
      <c r="J40" s="69">
        <v>0.0</v>
      </c>
      <c r="K40" s="69">
        <v>0.0</v>
      </c>
      <c r="L40" s="69">
        <v>0.0</v>
      </c>
      <c r="M40" s="69">
        <v>0.0</v>
      </c>
      <c r="N40" s="69">
        <v>0.0</v>
      </c>
      <c r="O40" s="69">
        <v>0.0</v>
      </c>
      <c r="P40" s="69">
        <v>1.0</v>
      </c>
      <c r="Q40" s="69">
        <v>1.0</v>
      </c>
      <c r="R40" s="69">
        <v>0.0</v>
      </c>
      <c r="S40" s="69">
        <v>0.0</v>
      </c>
      <c r="T40" s="69">
        <v>0.0</v>
      </c>
      <c r="U40" s="69">
        <v>0.0</v>
      </c>
      <c r="V40" s="69">
        <v>0.0</v>
      </c>
      <c r="W40" s="69">
        <v>0.0</v>
      </c>
      <c r="X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3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0"/>
      <c r="O42" s="19"/>
      <c r="P42" s="19"/>
      <c r="Q42" s="19"/>
      <c r="R42" s="19"/>
      <c r="S42" s="70"/>
      <c r="T42" s="19"/>
      <c r="U42" s="19"/>
      <c r="V42" s="19"/>
      <c r="W42" s="19"/>
      <c r="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2"/>
      <c r="O43" s="13"/>
      <c r="P43" s="13"/>
      <c r="Q43" s="13"/>
      <c r="R43" s="13"/>
      <c r="S43" s="72"/>
      <c r="T43" s="13"/>
      <c r="U43" s="13"/>
      <c r="V43" s="13"/>
      <c r="W43" s="13"/>
      <c r="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0"/>
      <c r="O44" s="19"/>
      <c r="P44" s="19"/>
      <c r="Q44" s="19"/>
      <c r="R44" s="19"/>
      <c r="S44" s="70"/>
      <c r="T44" s="19"/>
      <c r="U44" s="19"/>
      <c r="V44" s="19"/>
      <c r="W44" s="19"/>
      <c r="X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69">
        <v>11.0</v>
      </c>
      <c r="F45" s="69">
        <v>12.0</v>
      </c>
      <c r="G45" s="69">
        <v>7.0</v>
      </c>
      <c r="H45" s="69">
        <v>3.0</v>
      </c>
      <c r="I45" s="69">
        <v>8.0</v>
      </c>
      <c r="J45" s="69">
        <v>7.0</v>
      </c>
      <c r="K45" s="69">
        <v>15.0</v>
      </c>
      <c r="L45" s="69">
        <v>2.0</v>
      </c>
      <c r="M45" s="69">
        <v>2.0</v>
      </c>
      <c r="N45" s="69">
        <v>1.0</v>
      </c>
      <c r="O45" s="69">
        <v>6.0</v>
      </c>
      <c r="P45" s="69">
        <v>7.0</v>
      </c>
      <c r="Q45" s="69">
        <v>10.0</v>
      </c>
      <c r="R45" s="69">
        <v>8.0</v>
      </c>
      <c r="S45" s="69">
        <v>1.0</v>
      </c>
      <c r="T45" s="69">
        <v>11.0</v>
      </c>
      <c r="U45" s="69">
        <v>3.0</v>
      </c>
      <c r="V45" s="69">
        <v>0.0</v>
      </c>
      <c r="W45" s="69">
        <v>0.0</v>
      </c>
      <c r="X45" s="13">
        <f t="shared" ref="X45:X53" si="14">SUM(E45:W45)</f>
        <v>114</v>
      </c>
    </row>
    <row r="46" ht="12.75" customHeight="1">
      <c r="A46" s="30" t="s">
        <v>39</v>
      </c>
      <c r="B46" s="49"/>
      <c r="C46" s="50" t="s">
        <v>40</v>
      </c>
      <c r="D46" s="51"/>
      <c r="E46" s="69">
        <v>4.0</v>
      </c>
      <c r="F46" s="69">
        <v>3.0</v>
      </c>
      <c r="G46" s="69">
        <v>2.0</v>
      </c>
      <c r="H46" s="69">
        <v>4.0</v>
      </c>
      <c r="I46" s="69">
        <v>25.0</v>
      </c>
      <c r="J46" s="69">
        <v>3.0</v>
      </c>
      <c r="K46" s="69">
        <v>3.0</v>
      </c>
      <c r="L46" s="69">
        <v>6.0</v>
      </c>
      <c r="M46" s="69">
        <v>2.0</v>
      </c>
      <c r="N46" s="69">
        <v>3.0</v>
      </c>
      <c r="O46" s="69">
        <v>6.0</v>
      </c>
      <c r="P46" s="69">
        <v>12.0</v>
      </c>
      <c r="Q46" s="69">
        <v>7.0</v>
      </c>
      <c r="R46" s="69">
        <v>7.0</v>
      </c>
      <c r="S46" s="69">
        <v>1.0</v>
      </c>
      <c r="T46" s="69">
        <v>11.0</v>
      </c>
      <c r="U46" s="69">
        <v>8.0</v>
      </c>
      <c r="V46" s="69">
        <v>2.0</v>
      </c>
      <c r="W46" s="69">
        <v>0.0</v>
      </c>
      <c r="X46" s="13">
        <f t="shared" si="14"/>
        <v>109</v>
      </c>
    </row>
    <row r="47" ht="12.75" customHeight="1">
      <c r="A47" s="18"/>
      <c r="B47" s="49"/>
      <c r="C47" s="50" t="s">
        <v>41</v>
      </c>
      <c r="D47" s="51"/>
      <c r="E47" s="69">
        <v>65.0</v>
      </c>
      <c r="F47" s="69">
        <v>85.0</v>
      </c>
      <c r="G47" s="69">
        <v>79.0</v>
      </c>
      <c r="H47" s="69">
        <v>58.0</v>
      </c>
      <c r="I47" s="69">
        <v>58.0</v>
      </c>
      <c r="J47" s="69">
        <v>40.0</v>
      </c>
      <c r="K47" s="69">
        <v>75.0</v>
      </c>
      <c r="L47" s="69">
        <v>65.0</v>
      </c>
      <c r="M47" s="69">
        <v>47.0</v>
      </c>
      <c r="N47" s="69">
        <v>130.0</v>
      </c>
      <c r="O47" s="69">
        <v>25.0</v>
      </c>
      <c r="P47" s="69">
        <v>38.0</v>
      </c>
      <c r="Q47" s="69">
        <v>41.0</v>
      </c>
      <c r="R47" s="69">
        <v>28.0</v>
      </c>
      <c r="S47" s="69">
        <v>19.0</v>
      </c>
      <c r="T47" s="69">
        <v>3.0</v>
      </c>
      <c r="U47" s="69">
        <v>3.0</v>
      </c>
      <c r="V47" s="69">
        <v>0.0</v>
      </c>
      <c r="W47" s="69">
        <v>0.0</v>
      </c>
      <c r="X47" s="13">
        <f t="shared" si="14"/>
        <v>859</v>
      </c>
    </row>
    <row r="48" ht="12.75" customHeight="1">
      <c r="A48" s="18"/>
      <c r="B48" s="49"/>
      <c r="C48" s="50" t="s">
        <v>42</v>
      </c>
      <c r="D48" s="51"/>
      <c r="E48" s="69">
        <v>9.0</v>
      </c>
      <c r="F48" s="69">
        <v>1.0</v>
      </c>
      <c r="G48" s="69">
        <v>4.0</v>
      </c>
      <c r="H48" s="69">
        <v>5.0</v>
      </c>
      <c r="I48" s="69">
        <v>8.0</v>
      </c>
      <c r="J48" s="69">
        <v>4.0</v>
      </c>
      <c r="K48" s="69">
        <v>2.0</v>
      </c>
      <c r="L48" s="69">
        <v>11.0</v>
      </c>
      <c r="M48" s="69">
        <v>0.0</v>
      </c>
      <c r="N48" s="69">
        <v>1.0</v>
      </c>
      <c r="O48" s="69">
        <v>0.0</v>
      </c>
      <c r="P48" s="69">
        <v>3.0</v>
      </c>
      <c r="Q48" s="69">
        <v>0.0</v>
      </c>
      <c r="R48" s="69">
        <v>10.0</v>
      </c>
      <c r="S48" s="69">
        <v>0.0</v>
      </c>
      <c r="T48" s="69">
        <v>1.0</v>
      </c>
      <c r="U48" s="69">
        <v>0.0</v>
      </c>
      <c r="V48" s="69">
        <v>0.0</v>
      </c>
      <c r="W48" s="69">
        <v>0.0</v>
      </c>
      <c r="X48" s="13">
        <f t="shared" si="14"/>
        <v>59</v>
      </c>
    </row>
    <row r="49" ht="12.75" customHeight="1">
      <c r="A49" s="18"/>
      <c r="B49" s="49"/>
      <c r="C49" s="50" t="s">
        <v>43</v>
      </c>
      <c r="D49" s="51"/>
      <c r="E49" s="69">
        <v>0.0</v>
      </c>
      <c r="F49" s="69">
        <v>1.0</v>
      </c>
      <c r="G49" s="69">
        <v>0.0</v>
      </c>
      <c r="H49" s="69">
        <v>0.0</v>
      </c>
      <c r="I49" s="69">
        <v>0.0</v>
      </c>
      <c r="J49" s="69">
        <v>0.0</v>
      </c>
      <c r="K49" s="69">
        <v>1.0</v>
      </c>
      <c r="L49" s="69">
        <v>1.0</v>
      </c>
      <c r="M49" s="69">
        <v>0.0</v>
      </c>
      <c r="N49" s="69">
        <v>0.0</v>
      </c>
      <c r="O49" s="69">
        <v>0.0</v>
      </c>
      <c r="P49" s="69">
        <v>0.0</v>
      </c>
      <c r="Q49" s="69">
        <v>0.0</v>
      </c>
      <c r="R49" s="69">
        <v>0.0</v>
      </c>
      <c r="S49" s="69">
        <v>0.0</v>
      </c>
      <c r="T49" s="69">
        <v>0.0</v>
      </c>
      <c r="U49" s="69">
        <v>0.0</v>
      </c>
      <c r="V49" s="69">
        <v>0.0</v>
      </c>
      <c r="W49" s="69">
        <v>0.0</v>
      </c>
      <c r="X49" s="13">
        <f t="shared" si="14"/>
        <v>3</v>
      </c>
    </row>
    <row r="50" ht="12.75" customHeight="1">
      <c r="A50" s="18"/>
      <c r="B50" s="49"/>
      <c r="C50" s="50" t="s">
        <v>44</v>
      </c>
      <c r="D50" s="51"/>
      <c r="E50" s="69">
        <v>0.0</v>
      </c>
      <c r="F50" s="69">
        <v>0.0</v>
      </c>
      <c r="G50" s="69">
        <v>0.0</v>
      </c>
      <c r="H50" s="69">
        <v>0.0</v>
      </c>
      <c r="I50" s="69">
        <v>0.0</v>
      </c>
      <c r="J50" s="69">
        <v>0.0</v>
      </c>
      <c r="K50" s="69">
        <v>0.0</v>
      </c>
      <c r="L50" s="69">
        <v>0.0</v>
      </c>
      <c r="M50" s="69">
        <v>1.0</v>
      </c>
      <c r="N50" s="69">
        <v>0.0</v>
      </c>
      <c r="O50" s="69">
        <v>0.0</v>
      </c>
      <c r="P50" s="69">
        <v>1.0</v>
      </c>
      <c r="Q50" s="69">
        <v>0.0</v>
      </c>
      <c r="R50" s="69">
        <v>1.0</v>
      </c>
      <c r="S50" s="69">
        <v>0.0</v>
      </c>
      <c r="T50" s="69">
        <v>0.0</v>
      </c>
      <c r="U50" s="69">
        <v>1.0</v>
      </c>
      <c r="V50" s="69">
        <v>0.0</v>
      </c>
      <c r="W50" s="69">
        <v>0.0</v>
      </c>
      <c r="X50" s="13">
        <f t="shared" si="14"/>
        <v>4</v>
      </c>
    </row>
    <row r="51" ht="12.75" customHeight="1">
      <c r="A51" s="18"/>
      <c r="B51" s="49"/>
      <c r="C51" s="50" t="s">
        <v>45</v>
      </c>
      <c r="D51" s="51"/>
      <c r="E51" s="69">
        <v>1.0</v>
      </c>
      <c r="F51" s="69">
        <v>0.0</v>
      </c>
      <c r="G51" s="69">
        <v>0.0</v>
      </c>
      <c r="H51" s="69">
        <v>1.0</v>
      </c>
      <c r="I51" s="69">
        <v>1.0</v>
      </c>
      <c r="J51" s="69">
        <v>0.0</v>
      </c>
      <c r="K51" s="69">
        <v>0.0</v>
      </c>
      <c r="L51" s="69">
        <v>1.0</v>
      </c>
      <c r="M51" s="69">
        <v>0.0</v>
      </c>
      <c r="N51" s="69">
        <v>0.0</v>
      </c>
      <c r="O51" s="69">
        <v>0.0</v>
      </c>
      <c r="P51" s="69">
        <v>0.0</v>
      </c>
      <c r="Q51" s="69">
        <v>1.0</v>
      </c>
      <c r="R51" s="69">
        <v>0.0</v>
      </c>
      <c r="S51" s="69">
        <v>0.0</v>
      </c>
      <c r="T51" s="69">
        <v>1.0</v>
      </c>
      <c r="U51" s="69">
        <v>1.0</v>
      </c>
      <c r="V51" s="69">
        <v>0.0</v>
      </c>
      <c r="W51" s="69">
        <v>0.0</v>
      </c>
      <c r="X51" s="13">
        <f t="shared" si="14"/>
        <v>7</v>
      </c>
    </row>
    <row r="52" ht="12.75" customHeight="1">
      <c r="A52" s="18"/>
      <c r="B52" s="49"/>
      <c r="C52" s="50" t="s">
        <v>46</v>
      </c>
      <c r="D52" s="51"/>
      <c r="E52" s="69">
        <v>0.0</v>
      </c>
      <c r="F52" s="69">
        <v>1.0</v>
      </c>
      <c r="G52" s="69">
        <v>6.0</v>
      </c>
      <c r="H52" s="69">
        <v>17.0</v>
      </c>
      <c r="I52" s="69">
        <v>16.0</v>
      </c>
      <c r="J52" s="69">
        <v>6.0</v>
      </c>
      <c r="K52" s="69">
        <v>0.0</v>
      </c>
      <c r="L52" s="69">
        <v>0.0</v>
      </c>
      <c r="M52" s="69">
        <v>3.0</v>
      </c>
      <c r="N52" s="69">
        <v>0.0</v>
      </c>
      <c r="O52" s="69">
        <v>19.0</v>
      </c>
      <c r="P52" s="69">
        <v>12.0</v>
      </c>
      <c r="Q52" s="69">
        <v>0.0</v>
      </c>
      <c r="R52" s="69">
        <v>0.0</v>
      </c>
      <c r="S52" s="69">
        <v>1.0</v>
      </c>
      <c r="T52" s="69">
        <v>0.0</v>
      </c>
      <c r="U52" s="69">
        <v>0.0</v>
      </c>
      <c r="V52" s="69">
        <v>0.0</v>
      </c>
      <c r="W52" s="69">
        <v>1.0</v>
      </c>
      <c r="X52" s="13">
        <f t="shared" si="14"/>
        <v>82</v>
      </c>
    </row>
    <row r="53" ht="12.75" customHeight="1">
      <c r="A53" s="19" t="s">
        <v>15</v>
      </c>
      <c r="B53" s="47" t="s">
        <v>47</v>
      </c>
      <c r="C53" s="15"/>
      <c r="D53" s="16"/>
      <c r="E53" s="56">
        <f t="shared" ref="E53:W53" si="15">SUM(E45:E52)</f>
        <v>90</v>
      </c>
      <c r="F53" s="56">
        <f t="shared" si="15"/>
        <v>103</v>
      </c>
      <c r="G53" s="56">
        <f t="shared" si="15"/>
        <v>98</v>
      </c>
      <c r="H53" s="56">
        <f t="shared" si="15"/>
        <v>88</v>
      </c>
      <c r="I53" s="56">
        <f t="shared" si="15"/>
        <v>116</v>
      </c>
      <c r="J53" s="56">
        <f t="shared" si="15"/>
        <v>60</v>
      </c>
      <c r="K53" s="56">
        <f t="shared" si="15"/>
        <v>96</v>
      </c>
      <c r="L53" s="56">
        <f t="shared" si="15"/>
        <v>86</v>
      </c>
      <c r="M53" s="56">
        <f t="shared" si="15"/>
        <v>55</v>
      </c>
      <c r="N53" s="56">
        <f t="shared" si="15"/>
        <v>135</v>
      </c>
      <c r="O53" s="56">
        <f t="shared" si="15"/>
        <v>56</v>
      </c>
      <c r="P53" s="56">
        <f t="shared" si="15"/>
        <v>73</v>
      </c>
      <c r="Q53" s="56">
        <f t="shared" si="15"/>
        <v>59</v>
      </c>
      <c r="R53" s="56">
        <f t="shared" si="15"/>
        <v>54</v>
      </c>
      <c r="S53" s="56">
        <f t="shared" si="15"/>
        <v>22</v>
      </c>
      <c r="T53" s="56">
        <f t="shared" si="15"/>
        <v>27</v>
      </c>
      <c r="U53" s="56">
        <f t="shared" si="15"/>
        <v>16</v>
      </c>
      <c r="V53" s="56">
        <f t="shared" si="15"/>
        <v>2</v>
      </c>
      <c r="W53" s="56">
        <f t="shared" si="15"/>
        <v>1</v>
      </c>
      <c r="X53" s="13">
        <f t="shared" si="14"/>
        <v>1237</v>
      </c>
    </row>
    <row r="54" ht="12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13"/>
    </row>
    <row r="55" ht="15.0" customHeight="1">
      <c r="A55" s="30" t="s">
        <v>37</v>
      </c>
      <c r="B55" s="47" t="s">
        <v>19</v>
      </c>
      <c r="C55" s="48" t="s">
        <v>48</v>
      </c>
      <c r="D55" s="16"/>
      <c r="E55" s="69">
        <v>11.0</v>
      </c>
      <c r="F55" s="69">
        <v>9.0</v>
      </c>
      <c r="G55" s="69">
        <v>8.0</v>
      </c>
      <c r="H55" s="69">
        <v>4.0</v>
      </c>
      <c r="I55" s="69">
        <v>1.0</v>
      </c>
      <c r="J55" s="69">
        <v>12.0</v>
      </c>
      <c r="K55" s="69">
        <v>9.0</v>
      </c>
      <c r="L55" s="69">
        <v>6.0</v>
      </c>
      <c r="M55" s="69">
        <v>11.0</v>
      </c>
      <c r="N55" s="69">
        <v>0.0</v>
      </c>
      <c r="O55" s="69">
        <v>13.0</v>
      </c>
      <c r="P55" s="69">
        <v>6.0</v>
      </c>
      <c r="Q55" s="69">
        <v>11.0</v>
      </c>
      <c r="R55" s="69">
        <v>2.0</v>
      </c>
      <c r="S55" s="69">
        <v>1.0</v>
      </c>
      <c r="T55" s="69">
        <v>15.0</v>
      </c>
      <c r="U55" s="69">
        <v>9.0</v>
      </c>
      <c r="V55" s="69">
        <v>4.0</v>
      </c>
      <c r="W55" s="69">
        <v>1.0</v>
      </c>
      <c r="X55" s="13">
        <f t="shared" ref="X55:X63" si="16">SUM(E55:W55)</f>
        <v>133</v>
      </c>
    </row>
    <row r="56" ht="12.75" customHeight="1">
      <c r="A56" s="30" t="s">
        <v>39</v>
      </c>
      <c r="B56" s="49"/>
      <c r="C56" s="50" t="s">
        <v>49</v>
      </c>
      <c r="D56" s="51"/>
      <c r="E56" s="69">
        <v>39.0</v>
      </c>
      <c r="F56" s="69">
        <v>12.0</v>
      </c>
      <c r="G56" s="69">
        <v>36.0</v>
      </c>
      <c r="H56" s="69">
        <v>78.0</v>
      </c>
      <c r="I56" s="69">
        <v>32.0</v>
      </c>
      <c r="J56" s="69">
        <v>12.0</v>
      </c>
      <c r="K56" s="69">
        <v>19.0</v>
      </c>
      <c r="L56" s="69">
        <v>22.0</v>
      </c>
      <c r="M56" s="69">
        <v>25.0</v>
      </c>
      <c r="N56" s="69">
        <v>0.0</v>
      </c>
      <c r="O56" s="69">
        <v>9.0</v>
      </c>
      <c r="P56" s="69">
        <v>29.0</v>
      </c>
      <c r="Q56" s="69">
        <v>33.0</v>
      </c>
      <c r="R56" s="69">
        <v>16.0</v>
      </c>
      <c r="S56" s="69">
        <v>4.0</v>
      </c>
      <c r="T56" s="69">
        <v>23.0</v>
      </c>
      <c r="U56" s="69">
        <v>3.0</v>
      </c>
      <c r="V56" s="69">
        <v>4.0</v>
      </c>
      <c r="W56" s="69">
        <v>2.0</v>
      </c>
      <c r="X56" s="13">
        <f t="shared" si="16"/>
        <v>398</v>
      </c>
    </row>
    <row r="57" ht="12.75" customHeight="1">
      <c r="A57" s="18"/>
      <c r="B57" s="49"/>
      <c r="C57" s="50" t="s">
        <v>50</v>
      </c>
      <c r="D57" s="51"/>
      <c r="E57" s="69">
        <v>1.0</v>
      </c>
      <c r="F57" s="69">
        <v>2.0</v>
      </c>
      <c r="G57" s="69">
        <v>2.0</v>
      </c>
      <c r="H57" s="69">
        <v>3.0</v>
      </c>
      <c r="I57" s="69">
        <v>1.0</v>
      </c>
      <c r="J57" s="69">
        <v>2.0</v>
      </c>
      <c r="K57" s="69">
        <v>1.0</v>
      </c>
      <c r="L57" s="69">
        <v>4.0</v>
      </c>
      <c r="M57" s="69">
        <v>3.0</v>
      </c>
      <c r="N57" s="69">
        <v>0.0</v>
      </c>
      <c r="O57" s="69">
        <v>2.0</v>
      </c>
      <c r="P57" s="69">
        <v>1.0</v>
      </c>
      <c r="Q57" s="69">
        <v>2.0</v>
      </c>
      <c r="R57" s="69">
        <v>0.0</v>
      </c>
      <c r="S57" s="69">
        <v>0.0</v>
      </c>
      <c r="T57" s="69">
        <v>1.0</v>
      </c>
      <c r="U57" s="69">
        <v>3.0</v>
      </c>
      <c r="V57" s="69">
        <v>1.0</v>
      </c>
      <c r="W57" s="69">
        <v>0.0</v>
      </c>
      <c r="X57" s="13">
        <f t="shared" si="16"/>
        <v>29</v>
      </c>
    </row>
    <row r="58" ht="12.75" customHeight="1">
      <c r="A58" s="18"/>
      <c r="B58" s="49"/>
      <c r="C58" s="50" t="s">
        <v>51</v>
      </c>
      <c r="D58" s="51"/>
      <c r="E58" s="69">
        <v>0.0</v>
      </c>
      <c r="F58" s="69">
        <v>0.0</v>
      </c>
      <c r="G58" s="69">
        <v>0.0</v>
      </c>
      <c r="H58" s="69">
        <v>1.0</v>
      </c>
      <c r="I58" s="69">
        <v>0.0</v>
      </c>
      <c r="J58" s="69">
        <v>1.0</v>
      </c>
      <c r="K58" s="69">
        <v>1.0</v>
      </c>
      <c r="L58" s="69">
        <v>3.0</v>
      </c>
      <c r="M58" s="69">
        <v>1.0</v>
      </c>
      <c r="N58" s="69">
        <v>1.0</v>
      </c>
      <c r="O58" s="69">
        <v>0.0</v>
      </c>
      <c r="P58" s="69">
        <v>1.0</v>
      </c>
      <c r="Q58" s="69">
        <v>0.0</v>
      </c>
      <c r="R58" s="69">
        <v>1.0</v>
      </c>
      <c r="S58" s="69">
        <v>0.0</v>
      </c>
      <c r="T58" s="69">
        <v>0.0</v>
      </c>
      <c r="U58" s="69">
        <v>0.0</v>
      </c>
      <c r="V58" s="69">
        <v>0.0</v>
      </c>
      <c r="W58" s="69">
        <v>0.0</v>
      </c>
      <c r="X58" s="13">
        <f t="shared" si="16"/>
        <v>10</v>
      </c>
    </row>
    <row r="59" ht="12.75" customHeight="1">
      <c r="A59" s="18"/>
      <c r="B59" s="49"/>
      <c r="C59" s="50" t="s">
        <v>52</v>
      </c>
      <c r="D59" s="51"/>
      <c r="E59" s="69">
        <v>0.0</v>
      </c>
      <c r="F59" s="69">
        <v>1.0</v>
      </c>
      <c r="G59" s="69">
        <v>0.0</v>
      </c>
      <c r="H59" s="69">
        <v>0.0</v>
      </c>
      <c r="I59" s="69">
        <v>1.0</v>
      </c>
      <c r="J59" s="69">
        <v>1.0</v>
      </c>
      <c r="K59" s="69">
        <v>1.0</v>
      </c>
      <c r="L59" s="69">
        <v>2.0</v>
      </c>
      <c r="M59" s="69">
        <v>0.0</v>
      </c>
      <c r="N59" s="69">
        <v>0.0</v>
      </c>
      <c r="O59" s="69">
        <v>1.0</v>
      </c>
      <c r="P59" s="69">
        <v>1.0</v>
      </c>
      <c r="Q59" s="69">
        <v>1.0</v>
      </c>
      <c r="R59" s="69">
        <v>0.0</v>
      </c>
      <c r="S59" s="69">
        <v>0.0</v>
      </c>
      <c r="T59" s="69">
        <v>1.0</v>
      </c>
      <c r="U59" s="69">
        <v>0.0</v>
      </c>
      <c r="V59" s="69">
        <v>0.0</v>
      </c>
      <c r="W59" s="69">
        <v>0.0</v>
      </c>
      <c r="X59" s="13">
        <f t="shared" si="16"/>
        <v>10</v>
      </c>
    </row>
    <row r="60" ht="12.75" customHeight="1">
      <c r="A60" s="18"/>
      <c r="B60" s="49"/>
      <c r="C60" s="50" t="s">
        <v>53</v>
      </c>
      <c r="D60" s="51"/>
      <c r="E60" s="69">
        <v>1.0</v>
      </c>
      <c r="F60" s="69">
        <v>0.0</v>
      </c>
      <c r="G60" s="69">
        <v>0.0</v>
      </c>
      <c r="H60" s="69">
        <v>0.0</v>
      </c>
      <c r="I60" s="69">
        <v>0.0</v>
      </c>
      <c r="J60" s="69">
        <v>0.0</v>
      </c>
      <c r="K60" s="69">
        <v>0.0</v>
      </c>
      <c r="L60" s="69">
        <v>1.0</v>
      </c>
      <c r="M60" s="69">
        <v>0.0</v>
      </c>
      <c r="N60" s="69">
        <v>0.0</v>
      </c>
      <c r="O60" s="69">
        <v>0.0</v>
      </c>
      <c r="P60" s="69">
        <v>0.0</v>
      </c>
      <c r="Q60" s="69">
        <v>0.0</v>
      </c>
      <c r="R60" s="69">
        <v>0.0</v>
      </c>
      <c r="S60" s="69">
        <v>0.0</v>
      </c>
      <c r="T60" s="69">
        <v>1.0</v>
      </c>
      <c r="U60" s="69">
        <v>0.0</v>
      </c>
      <c r="V60" s="69">
        <v>0.0</v>
      </c>
      <c r="W60" s="69">
        <v>0.0</v>
      </c>
      <c r="X60" s="13">
        <f t="shared" si="16"/>
        <v>3</v>
      </c>
    </row>
    <row r="61" ht="12.75" customHeight="1">
      <c r="A61" s="18"/>
      <c r="B61" s="49"/>
      <c r="C61" s="50" t="s">
        <v>54</v>
      </c>
      <c r="D61" s="51"/>
      <c r="E61" s="69">
        <v>0.0</v>
      </c>
      <c r="F61" s="69">
        <v>0.0</v>
      </c>
      <c r="G61" s="69">
        <v>0.0</v>
      </c>
      <c r="H61" s="69">
        <v>0.0</v>
      </c>
      <c r="I61" s="69">
        <v>0.0</v>
      </c>
      <c r="J61" s="69">
        <v>0.0</v>
      </c>
      <c r="K61" s="69">
        <v>0.0</v>
      </c>
      <c r="L61" s="69">
        <v>0.0</v>
      </c>
      <c r="M61" s="69">
        <v>0.0</v>
      </c>
      <c r="N61" s="69">
        <v>0.0</v>
      </c>
      <c r="O61" s="69">
        <v>0.0</v>
      </c>
      <c r="P61" s="69">
        <v>0.0</v>
      </c>
      <c r="Q61" s="69">
        <v>0.0</v>
      </c>
      <c r="R61" s="69">
        <v>0.0</v>
      </c>
      <c r="S61" s="69">
        <v>0.0</v>
      </c>
      <c r="T61" s="69">
        <v>0.0</v>
      </c>
      <c r="U61" s="69">
        <v>0.0</v>
      </c>
      <c r="V61" s="69">
        <v>0.0</v>
      </c>
      <c r="W61" s="69">
        <v>0.0</v>
      </c>
      <c r="X61" s="13">
        <f t="shared" si="16"/>
        <v>0</v>
      </c>
    </row>
    <row r="62" ht="12.75" customHeight="1">
      <c r="A62" s="18"/>
      <c r="B62" s="49"/>
      <c r="C62" s="50" t="s">
        <v>55</v>
      </c>
      <c r="D62" s="51"/>
      <c r="E62" s="69">
        <v>0.0</v>
      </c>
      <c r="F62" s="69">
        <v>0.0</v>
      </c>
      <c r="G62" s="69">
        <v>1.0</v>
      </c>
      <c r="H62" s="69">
        <v>0.0</v>
      </c>
      <c r="I62" s="69">
        <v>0.0</v>
      </c>
      <c r="J62" s="69">
        <v>0.0</v>
      </c>
      <c r="K62" s="69">
        <v>0.0</v>
      </c>
      <c r="L62" s="69">
        <v>0.0</v>
      </c>
      <c r="M62" s="69">
        <v>0.0</v>
      </c>
      <c r="N62" s="69">
        <v>0.0</v>
      </c>
      <c r="O62" s="69">
        <v>0.0</v>
      </c>
      <c r="P62" s="69">
        <v>1.0</v>
      </c>
      <c r="Q62" s="69">
        <v>0.0</v>
      </c>
      <c r="R62" s="69">
        <v>0.0</v>
      </c>
      <c r="S62" s="69">
        <v>0.0</v>
      </c>
      <c r="T62" s="69">
        <v>0.0</v>
      </c>
      <c r="U62" s="69">
        <v>0.0</v>
      </c>
      <c r="V62" s="69">
        <v>0.0</v>
      </c>
      <c r="W62" s="69">
        <v>0.0</v>
      </c>
      <c r="X62" s="13">
        <f t="shared" si="16"/>
        <v>2</v>
      </c>
    </row>
    <row r="63" ht="12.75" customHeight="1">
      <c r="A63" s="19" t="s">
        <v>15</v>
      </c>
      <c r="B63" s="47" t="s">
        <v>47</v>
      </c>
      <c r="C63" s="15"/>
      <c r="D63" s="16"/>
      <c r="E63" s="56">
        <f t="shared" ref="E63:W63" si="17">SUM(E55:E62)</f>
        <v>52</v>
      </c>
      <c r="F63" s="56">
        <f t="shared" si="17"/>
        <v>24</v>
      </c>
      <c r="G63" s="56">
        <f t="shared" si="17"/>
        <v>47</v>
      </c>
      <c r="H63" s="56">
        <f t="shared" si="17"/>
        <v>86</v>
      </c>
      <c r="I63" s="56">
        <f t="shared" si="17"/>
        <v>35</v>
      </c>
      <c r="J63" s="56">
        <f t="shared" si="17"/>
        <v>28</v>
      </c>
      <c r="K63" s="56">
        <f t="shared" si="17"/>
        <v>31</v>
      </c>
      <c r="L63" s="56">
        <f t="shared" si="17"/>
        <v>38</v>
      </c>
      <c r="M63" s="56">
        <f t="shared" si="17"/>
        <v>40</v>
      </c>
      <c r="N63" s="56">
        <f t="shared" si="17"/>
        <v>1</v>
      </c>
      <c r="O63" s="56">
        <f t="shared" si="17"/>
        <v>25</v>
      </c>
      <c r="P63" s="56">
        <f t="shared" si="17"/>
        <v>39</v>
      </c>
      <c r="Q63" s="56">
        <f t="shared" si="17"/>
        <v>47</v>
      </c>
      <c r="R63" s="56">
        <f t="shared" si="17"/>
        <v>19</v>
      </c>
      <c r="S63" s="56">
        <f t="shared" si="17"/>
        <v>5</v>
      </c>
      <c r="T63" s="56">
        <f t="shared" si="17"/>
        <v>41</v>
      </c>
      <c r="U63" s="56">
        <f t="shared" si="17"/>
        <v>15</v>
      </c>
      <c r="V63" s="56">
        <f t="shared" si="17"/>
        <v>9</v>
      </c>
      <c r="W63" s="56">
        <f t="shared" si="17"/>
        <v>3</v>
      </c>
      <c r="X63" s="13">
        <f t="shared" si="16"/>
        <v>585</v>
      </c>
    </row>
    <row r="64" ht="12.75" customHeight="1">
      <c r="A64" s="59"/>
      <c r="B64" s="60"/>
      <c r="C64" s="60"/>
      <c r="D64" s="60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13"/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69">
        <v>2.0</v>
      </c>
      <c r="F65" s="69">
        <v>1.0</v>
      </c>
      <c r="G65" s="69">
        <v>3.0</v>
      </c>
      <c r="H65" s="69">
        <v>1.0</v>
      </c>
      <c r="I65" s="69">
        <v>1.0</v>
      </c>
      <c r="J65" s="69">
        <v>7.0</v>
      </c>
      <c r="K65" s="69">
        <v>2.0</v>
      </c>
      <c r="L65" s="69">
        <v>4.0</v>
      </c>
      <c r="M65" s="69">
        <v>4.0</v>
      </c>
      <c r="N65" s="69">
        <v>0.0</v>
      </c>
      <c r="O65" s="69">
        <v>1.0</v>
      </c>
      <c r="P65" s="69">
        <v>4.0</v>
      </c>
      <c r="Q65" s="69">
        <v>2.0</v>
      </c>
      <c r="R65" s="69">
        <v>1.0</v>
      </c>
      <c r="S65" s="69">
        <v>0.0</v>
      </c>
      <c r="T65" s="69">
        <v>5.0</v>
      </c>
      <c r="U65" s="69">
        <v>3.0</v>
      </c>
      <c r="V65" s="69">
        <v>2.0</v>
      </c>
      <c r="W65" s="69">
        <v>3.0</v>
      </c>
      <c r="X65" s="13">
        <f t="shared" ref="X65:X73" si="18">SUM(E65:W65)</f>
        <v>46</v>
      </c>
    </row>
    <row r="66" ht="12.75" customHeight="1">
      <c r="A66" s="30" t="s">
        <v>39</v>
      </c>
      <c r="B66" s="49"/>
      <c r="C66" s="50" t="s">
        <v>57</v>
      </c>
      <c r="D66" s="51"/>
      <c r="E66" s="69">
        <v>1.0</v>
      </c>
      <c r="F66" s="69">
        <v>1.0</v>
      </c>
      <c r="G66" s="69">
        <v>0.0</v>
      </c>
      <c r="H66" s="69">
        <v>1.0</v>
      </c>
      <c r="I66" s="69">
        <v>0.0</v>
      </c>
      <c r="J66" s="69">
        <v>0.0</v>
      </c>
      <c r="K66" s="69">
        <v>0.0</v>
      </c>
      <c r="L66" s="69">
        <v>0.0</v>
      </c>
      <c r="M66" s="69">
        <v>0.0</v>
      </c>
      <c r="N66" s="69">
        <v>0.0</v>
      </c>
      <c r="O66" s="69">
        <v>1.0</v>
      </c>
      <c r="P66" s="69">
        <v>2.0</v>
      </c>
      <c r="Q66" s="69">
        <v>0.0</v>
      </c>
      <c r="R66" s="69">
        <v>0.0</v>
      </c>
      <c r="S66" s="69">
        <v>0.0</v>
      </c>
      <c r="T66" s="69">
        <v>1.0</v>
      </c>
      <c r="U66" s="69">
        <v>0.0</v>
      </c>
      <c r="V66" s="69">
        <v>0.0</v>
      </c>
      <c r="W66" s="69">
        <v>0.0</v>
      </c>
      <c r="X66" s="13">
        <f t="shared" si="18"/>
        <v>7</v>
      </c>
    </row>
    <row r="67" ht="15.0" customHeight="1">
      <c r="A67" s="18"/>
      <c r="B67" s="49"/>
      <c r="C67" s="50" t="s">
        <v>58</v>
      </c>
      <c r="D67" s="51"/>
      <c r="E67" s="69">
        <v>0.0</v>
      </c>
      <c r="F67" s="69">
        <v>3.0</v>
      </c>
      <c r="G67" s="69">
        <v>1.0</v>
      </c>
      <c r="H67" s="69">
        <v>0.0</v>
      </c>
      <c r="I67" s="69">
        <v>1.0</v>
      </c>
      <c r="J67" s="69">
        <v>2.0</v>
      </c>
      <c r="K67" s="69">
        <v>0.0</v>
      </c>
      <c r="L67" s="69">
        <v>0.0</v>
      </c>
      <c r="M67" s="69">
        <v>2.0</v>
      </c>
      <c r="N67" s="69">
        <v>0.0</v>
      </c>
      <c r="O67" s="69">
        <v>0.0</v>
      </c>
      <c r="P67" s="69">
        <v>0.0</v>
      </c>
      <c r="Q67" s="69">
        <v>0.0</v>
      </c>
      <c r="R67" s="69">
        <v>0.0</v>
      </c>
      <c r="S67" s="69">
        <v>0.0</v>
      </c>
      <c r="T67" s="69">
        <v>0.0</v>
      </c>
      <c r="U67" s="69">
        <v>0.0</v>
      </c>
      <c r="V67" s="69">
        <v>0.0</v>
      </c>
      <c r="W67" s="69">
        <v>1.0</v>
      </c>
      <c r="X67" s="13">
        <f t="shared" si="18"/>
        <v>10</v>
      </c>
    </row>
    <row r="68" ht="12.75" customHeight="1">
      <c r="A68" s="18"/>
      <c r="B68" s="49"/>
      <c r="C68" s="50" t="s">
        <v>59</v>
      </c>
      <c r="D68" s="51"/>
      <c r="E68" s="69">
        <v>0.0</v>
      </c>
      <c r="F68" s="69">
        <v>1.0</v>
      </c>
      <c r="G68" s="69">
        <v>0.0</v>
      </c>
      <c r="H68" s="69">
        <v>0.0</v>
      </c>
      <c r="I68" s="69">
        <v>0.0</v>
      </c>
      <c r="J68" s="69">
        <v>1.0</v>
      </c>
      <c r="K68" s="69">
        <v>0.0</v>
      </c>
      <c r="L68" s="69">
        <v>1.0</v>
      </c>
      <c r="M68" s="69">
        <v>0.0</v>
      </c>
      <c r="N68" s="69">
        <v>0.0</v>
      </c>
      <c r="O68" s="69">
        <v>0.0</v>
      </c>
      <c r="P68" s="69">
        <v>2.0</v>
      </c>
      <c r="Q68" s="69">
        <v>1.0</v>
      </c>
      <c r="R68" s="69">
        <v>1.0</v>
      </c>
      <c r="S68" s="69">
        <v>0.0</v>
      </c>
      <c r="T68" s="69">
        <v>0.0</v>
      </c>
      <c r="U68" s="69">
        <v>3.0</v>
      </c>
      <c r="V68" s="69">
        <v>0.0</v>
      </c>
      <c r="W68" s="69">
        <v>1.0</v>
      </c>
      <c r="X68" s="13">
        <f t="shared" si="18"/>
        <v>11</v>
      </c>
    </row>
    <row r="69" ht="12.75" customHeight="1">
      <c r="A69" s="18"/>
      <c r="B69" s="49"/>
      <c r="C69" s="50" t="s">
        <v>60</v>
      </c>
      <c r="D69" s="51"/>
      <c r="E69" s="69">
        <v>0.0</v>
      </c>
      <c r="F69" s="69">
        <v>0.0</v>
      </c>
      <c r="G69" s="69">
        <v>0.0</v>
      </c>
      <c r="H69" s="69">
        <v>0.0</v>
      </c>
      <c r="I69" s="69">
        <v>0.0</v>
      </c>
      <c r="J69" s="69">
        <v>0.0</v>
      </c>
      <c r="K69" s="69">
        <v>2.0</v>
      </c>
      <c r="L69" s="69">
        <v>0.0</v>
      </c>
      <c r="M69" s="69">
        <v>0.0</v>
      </c>
      <c r="N69" s="69">
        <v>0.0</v>
      </c>
      <c r="O69" s="69">
        <v>0.0</v>
      </c>
      <c r="P69" s="69">
        <v>0.0</v>
      </c>
      <c r="Q69" s="69">
        <v>0.0</v>
      </c>
      <c r="R69" s="69">
        <v>0.0</v>
      </c>
      <c r="S69" s="69">
        <v>0.0</v>
      </c>
      <c r="T69" s="69">
        <v>0.0</v>
      </c>
      <c r="U69" s="69">
        <v>0.0</v>
      </c>
      <c r="V69" s="69">
        <v>0.0</v>
      </c>
      <c r="W69" s="69">
        <v>0.0</v>
      </c>
      <c r="X69" s="13">
        <f t="shared" si="18"/>
        <v>2</v>
      </c>
    </row>
    <row r="70" ht="12.75" customHeight="1">
      <c r="A70" s="18"/>
      <c r="B70" s="49"/>
      <c r="C70" s="50" t="s">
        <v>61</v>
      </c>
      <c r="D70" s="51"/>
      <c r="E70" s="69">
        <v>4.0</v>
      </c>
      <c r="F70" s="69">
        <v>1.0</v>
      </c>
      <c r="G70" s="69">
        <v>2.0</v>
      </c>
      <c r="H70" s="69">
        <v>2.0</v>
      </c>
      <c r="I70" s="69">
        <v>1.0</v>
      </c>
      <c r="J70" s="69">
        <v>2.0</v>
      </c>
      <c r="K70" s="69">
        <v>0.0</v>
      </c>
      <c r="L70" s="69">
        <v>3.0</v>
      </c>
      <c r="M70" s="69">
        <v>0.0</v>
      </c>
      <c r="N70" s="69">
        <v>0.0</v>
      </c>
      <c r="O70" s="69">
        <v>2.0</v>
      </c>
      <c r="P70" s="69">
        <v>1.0</v>
      </c>
      <c r="Q70" s="69">
        <v>7.0</v>
      </c>
      <c r="R70" s="69">
        <v>0.0</v>
      </c>
      <c r="S70" s="69">
        <v>0.0</v>
      </c>
      <c r="T70" s="69">
        <v>1.0</v>
      </c>
      <c r="U70" s="69">
        <v>5.0</v>
      </c>
      <c r="V70" s="69">
        <v>2.0</v>
      </c>
      <c r="W70" s="69">
        <v>1.0</v>
      </c>
      <c r="X70" s="13">
        <f t="shared" si="18"/>
        <v>34</v>
      </c>
    </row>
    <row r="71" ht="12.75" customHeight="1">
      <c r="A71" s="18"/>
      <c r="B71" s="49"/>
      <c r="C71" s="50" t="s">
        <v>62</v>
      </c>
      <c r="D71" s="51"/>
      <c r="E71" s="69">
        <v>0.0</v>
      </c>
      <c r="F71" s="69">
        <v>6.0</v>
      </c>
      <c r="G71" s="69">
        <v>0.0</v>
      </c>
      <c r="H71" s="69">
        <v>0.0</v>
      </c>
      <c r="I71" s="69">
        <v>0.0</v>
      </c>
      <c r="J71" s="69">
        <v>5.0</v>
      </c>
      <c r="K71" s="69">
        <v>1.0</v>
      </c>
      <c r="L71" s="69">
        <v>0.0</v>
      </c>
      <c r="M71" s="69">
        <v>3.0</v>
      </c>
      <c r="N71" s="69">
        <v>0.0</v>
      </c>
      <c r="O71" s="69">
        <v>0.0</v>
      </c>
      <c r="P71" s="69">
        <v>0.0</v>
      </c>
      <c r="Q71" s="69">
        <v>0.0</v>
      </c>
      <c r="R71" s="69">
        <v>3.0</v>
      </c>
      <c r="S71" s="69">
        <v>0.0</v>
      </c>
      <c r="T71" s="69">
        <v>0.0</v>
      </c>
      <c r="U71" s="69">
        <v>0.0</v>
      </c>
      <c r="V71" s="69">
        <v>0.0</v>
      </c>
      <c r="W71" s="69">
        <v>0.0</v>
      </c>
      <c r="X71" s="13">
        <f t="shared" si="18"/>
        <v>18</v>
      </c>
    </row>
    <row r="72" ht="12.75" customHeight="1">
      <c r="A72" s="18"/>
      <c r="B72" s="49"/>
      <c r="C72" s="50" t="s">
        <v>63</v>
      </c>
      <c r="D72" s="51"/>
      <c r="E72" s="69">
        <v>0.0</v>
      </c>
      <c r="F72" s="69">
        <v>1.0</v>
      </c>
      <c r="G72" s="69">
        <v>0.0</v>
      </c>
      <c r="H72" s="69">
        <v>0.0</v>
      </c>
      <c r="I72" s="69">
        <v>2.0</v>
      </c>
      <c r="J72" s="69">
        <v>0.0</v>
      </c>
      <c r="K72" s="69">
        <v>2.0</v>
      </c>
      <c r="L72" s="69">
        <v>0.0</v>
      </c>
      <c r="M72" s="69">
        <v>0.0</v>
      </c>
      <c r="N72" s="69">
        <v>1.0</v>
      </c>
      <c r="O72" s="69">
        <v>0.0</v>
      </c>
      <c r="P72" s="69">
        <v>0.0</v>
      </c>
      <c r="Q72" s="69">
        <v>1.0</v>
      </c>
      <c r="R72" s="69">
        <v>0.0</v>
      </c>
      <c r="S72" s="69">
        <v>0.0</v>
      </c>
      <c r="T72" s="69">
        <v>1.0</v>
      </c>
      <c r="U72" s="69">
        <v>0.0</v>
      </c>
      <c r="V72" s="69">
        <v>0.0</v>
      </c>
      <c r="W72" s="69">
        <v>0.0</v>
      </c>
      <c r="X72" s="13">
        <f t="shared" si="18"/>
        <v>8</v>
      </c>
    </row>
    <row r="73" ht="12.75" customHeight="1">
      <c r="A73" s="19" t="s">
        <v>15</v>
      </c>
      <c r="B73" s="47" t="s">
        <v>47</v>
      </c>
      <c r="C73" s="15"/>
      <c r="D73" s="16"/>
      <c r="E73" s="56">
        <f t="shared" ref="E73:W73" si="19">SUM(E65:E72)</f>
        <v>7</v>
      </c>
      <c r="F73" s="56">
        <f t="shared" si="19"/>
        <v>14</v>
      </c>
      <c r="G73" s="56">
        <f t="shared" si="19"/>
        <v>6</v>
      </c>
      <c r="H73" s="56">
        <f t="shared" si="19"/>
        <v>4</v>
      </c>
      <c r="I73" s="56">
        <f t="shared" si="19"/>
        <v>5</v>
      </c>
      <c r="J73" s="56">
        <f t="shared" si="19"/>
        <v>17</v>
      </c>
      <c r="K73" s="56">
        <f t="shared" si="19"/>
        <v>7</v>
      </c>
      <c r="L73" s="56">
        <f t="shared" si="19"/>
        <v>8</v>
      </c>
      <c r="M73" s="56">
        <f t="shared" si="19"/>
        <v>9</v>
      </c>
      <c r="N73" s="56">
        <f t="shared" si="19"/>
        <v>1</v>
      </c>
      <c r="O73" s="56">
        <f t="shared" si="19"/>
        <v>4</v>
      </c>
      <c r="P73" s="56">
        <f t="shared" si="19"/>
        <v>9</v>
      </c>
      <c r="Q73" s="56">
        <f t="shared" si="19"/>
        <v>11</v>
      </c>
      <c r="R73" s="56">
        <f t="shared" si="19"/>
        <v>5</v>
      </c>
      <c r="S73" s="56">
        <f t="shared" si="19"/>
        <v>0</v>
      </c>
      <c r="T73" s="56">
        <f t="shared" si="19"/>
        <v>8</v>
      </c>
      <c r="U73" s="56">
        <f t="shared" si="19"/>
        <v>11</v>
      </c>
      <c r="V73" s="56">
        <f t="shared" si="19"/>
        <v>4</v>
      </c>
      <c r="W73" s="56">
        <f t="shared" si="19"/>
        <v>6</v>
      </c>
      <c r="X73" s="13">
        <f t="shared" si="18"/>
        <v>136</v>
      </c>
    </row>
    <row r="74" ht="12.75" customHeight="1">
      <c r="A74" s="57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13"/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69">
        <v>3.0</v>
      </c>
      <c r="F75" s="69">
        <v>3.0</v>
      </c>
      <c r="G75" s="69">
        <v>2.0</v>
      </c>
      <c r="H75" s="69">
        <v>2.0</v>
      </c>
      <c r="I75" s="69">
        <v>3.0</v>
      </c>
      <c r="J75" s="69">
        <v>7.0</v>
      </c>
      <c r="K75" s="69">
        <v>2.0</v>
      </c>
      <c r="L75" s="69">
        <v>3.0</v>
      </c>
      <c r="M75" s="69">
        <v>3.0</v>
      </c>
      <c r="N75" s="69">
        <v>1.0</v>
      </c>
      <c r="O75" s="69">
        <v>5.0</v>
      </c>
      <c r="P75" s="69">
        <v>0.0</v>
      </c>
      <c r="Q75" s="69">
        <v>1.0</v>
      </c>
      <c r="R75" s="69">
        <v>3.0</v>
      </c>
      <c r="S75" s="69">
        <v>0.0</v>
      </c>
      <c r="T75" s="69">
        <v>11.0</v>
      </c>
      <c r="U75" s="69">
        <v>8.0</v>
      </c>
      <c r="V75" s="69">
        <v>2.0</v>
      </c>
      <c r="W75" s="69">
        <v>1.0</v>
      </c>
      <c r="X75" s="13">
        <f t="shared" ref="X75:X83" si="20">SUM(E75:W75)</f>
        <v>60</v>
      </c>
    </row>
    <row r="76" ht="12.75" customHeight="1">
      <c r="A76" s="30" t="s">
        <v>39</v>
      </c>
      <c r="B76" s="49"/>
      <c r="C76" s="50" t="s">
        <v>65</v>
      </c>
      <c r="D76" s="51"/>
      <c r="E76" s="69">
        <v>3.0</v>
      </c>
      <c r="F76" s="69">
        <v>2.0</v>
      </c>
      <c r="G76" s="69">
        <v>11.0</v>
      </c>
      <c r="H76" s="69">
        <v>2.0</v>
      </c>
      <c r="I76" s="69">
        <v>26.0</v>
      </c>
      <c r="J76" s="69">
        <v>33.0</v>
      </c>
      <c r="K76" s="69">
        <v>6.0</v>
      </c>
      <c r="L76" s="69">
        <v>8.0</v>
      </c>
      <c r="M76" s="69">
        <v>2.0</v>
      </c>
      <c r="N76" s="69">
        <v>2.0</v>
      </c>
      <c r="O76" s="69">
        <v>0.0</v>
      </c>
      <c r="P76" s="69">
        <v>1.0</v>
      </c>
      <c r="Q76" s="69">
        <v>4.0</v>
      </c>
      <c r="R76" s="69">
        <v>1.0</v>
      </c>
      <c r="S76" s="69">
        <v>1.0</v>
      </c>
      <c r="T76" s="69">
        <v>55.0</v>
      </c>
      <c r="U76" s="69">
        <v>55.0</v>
      </c>
      <c r="V76" s="69">
        <v>2.0</v>
      </c>
      <c r="W76" s="69">
        <v>4.0</v>
      </c>
      <c r="X76" s="13">
        <f t="shared" si="20"/>
        <v>218</v>
      </c>
    </row>
    <row r="77" ht="12.75" customHeight="1">
      <c r="A77" s="18"/>
      <c r="B77" s="49"/>
      <c r="C77" s="50" t="s">
        <v>66</v>
      </c>
      <c r="D77" s="51"/>
      <c r="E77" s="69">
        <v>0.0</v>
      </c>
      <c r="F77" s="69">
        <v>4.0</v>
      </c>
      <c r="G77" s="69">
        <v>0.0</v>
      </c>
      <c r="H77" s="69">
        <v>1.0</v>
      </c>
      <c r="I77" s="69">
        <v>7.0</v>
      </c>
      <c r="J77" s="69">
        <v>34.0</v>
      </c>
      <c r="K77" s="69">
        <v>1.0</v>
      </c>
      <c r="L77" s="69">
        <v>6.0</v>
      </c>
      <c r="M77" s="69">
        <v>9.0</v>
      </c>
      <c r="N77" s="69">
        <v>0.0</v>
      </c>
      <c r="O77" s="69">
        <v>1.0</v>
      </c>
      <c r="P77" s="69">
        <v>5.0</v>
      </c>
      <c r="Q77" s="69">
        <v>1.0</v>
      </c>
      <c r="R77" s="69">
        <v>0.0</v>
      </c>
      <c r="S77" s="69">
        <v>0.0</v>
      </c>
      <c r="T77" s="69">
        <v>0.0</v>
      </c>
      <c r="U77" s="69">
        <v>0.0</v>
      </c>
      <c r="V77" s="69">
        <v>0.0</v>
      </c>
      <c r="W77" s="69">
        <v>0.0</v>
      </c>
      <c r="X77" s="13">
        <f t="shared" si="20"/>
        <v>69</v>
      </c>
    </row>
    <row r="78" ht="12.75" customHeight="1">
      <c r="A78" s="18"/>
      <c r="B78" s="49"/>
      <c r="C78" s="50" t="s">
        <v>67</v>
      </c>
      <c r="D78" s="51"/>
      <c r="E78" s="69">
        <v>0.0</v>
      </c>
      <c r="F78" s="69">
        <v>0.0</v>
      </c>
      <c r="G78" s="69">
        <v>0.0</v>
      </c>
      <c r="H78" s="69">
        <v>0.0</v>
      </c>
      <c r="I78" s="69">
        <v>0.0</v>
      </c>
      <c r="J78" s="69">
        <v>2.0</v>
      </c>
      <c r="K78" s="69">
        <v>0.0</v>
      </c>
      <c r="L78" s="69">
        <v>1.0</v>
      </c>
      <c r="M78" s="69">
        <v>1.0</v>
      </c>
      <c r="N78" s="69">
        <v>0.0</v>
      </c>
      <c r="O78" s="69">
        <v>0.0</v>
      </c>
      <c r="P78" s="69">
        <v>0.0</v>
      </c>
      <c r="Q78" s="69">
        <v>0.0</v>
      </c>
      <c r="R78" s="69">
        <v>0.0</v>
      </c>
      <c r="S78" s="69">
        <v>1.0</v>
      </c>
      <c r="T78" s="69">
        <v>0.0</v>
      </c>
      <c r="U78" s="69">
        <v>4.0</v>
      </c>
      <c r="V78" s="69">
        <v>1.0</v>
      </c>
      <c r="W78" s="69">
        <v>0.0</v>
      </c>
      <c r="X78" s="13">
        <f t="shared" si="20"/>
        <v>10</v>
      </c>
    </row>
    <row r="79" ht="15.0" customHeight="1">
      <c r="A79" s="18"/>
      <c r="B79" s="49"/>
      <c r="C79" s="50" t="s">
        <v>68</v>
      </c>
      <c r="D79" s="51"/>
      <c r="E79" s="69">
        <v>0.0</v>
      </c>
      <c r="F79" s="69">
        <v>0.0</v>
      </c>
      <c r="G79" s="69">
        <v>0.0</v>
      </c>
      <c r="H79" s="69">
        <v>0.0</v>
      </c>
      <c r="I79" s="69">
        <v>1.0</v>
      </c>
      <c r="J79" s="69">
        <v>1.0</v>
      </c>
      <c r="K79" s="69">
        <v>1.0</v>
      </c>
      <c r="L79" s="69">
        <v>1.0</v>
      </c>
      <c r="M79" s="69">
        <v>0.0</v>
      </c>
      <c r="N79" s="69">
        <v>0.0</v>
      </c>
      <c r="O79" s="69">
        <v>0.0</v>
      </c>
      <c r="P79" s="69">
        <v>0.0</v>
      </c>
      <c r="Q79" s="69">
        <v>0.0</v>
      </c>
      <c r="R79" s="69">
        <v>0.0</v>
      </c>
      <c r="S79" s="69">
        <v>0.0</v>
      </c>
      <c r="T79" s="69">
        <v>0.0</v>
      </c>
      <c r="U79" s="69">
        <v>0.0</v>
      </c>
      <c r="V79" s="69">
        <v>0.0</v>
      </c>
      <c r="W79" s="69">
        <v>0.0</v>
      </c>
      <c r="X79" s="13">
        <f t="shared" si="20"/>
        <v>4</v>
      </c>
    </row>
    <row r="80" ht="12.75" customHeight="1">
      <c r="A80" s="18"/>
      <c r="B80" s="49"/>
      <c r="C80" s="50" t="s">
        <v>69</v>
      </c>
      <c r="D80" s="51"/>
      <c r="E80" s="69">
        <v>0.0</v>
      </c>
      <c r="F80" s="69">
        <v>0.0</v>
      </c>
      <c r="G80" s="69">
        <v>0.0</v>
      </c>
      <c r="H80" s="69">
        <v>0.0</v>
      </c>
      <c r="I80" s="69">
        <v>0.0</v>
      </c>
      <c r="J80" s="69">
        <v>0.0</v>
      </c>
      <c r="K80" s="69">
        <v>0.0</v>
      </c>
      <c r="L80" s="69">
        <v>0.0</v>
      </c>
      <c r="M80" s="69">
        <v>0.0</v>
      </c>
      <c r="N80" s="69">
        <v>0.0</v>
      </c>
      <c r="O80" s="69">
        <v>0.0</v>
      </c>
      <c r="P80" s="69">
        <v>0.0</v>
      </c>
      <c r="Q80" s="69">
        <v>0.0</v>
      </c>
      <c r="R80" s="69">
        <v>0.0</v>
      </c>
      <c r="S80" s="69">
        <v>0.0</v>
      </c>
      <c r="T80" s="69">
        <v>0.0</v>
      </c>
      <c r="U80" s="69">
        <v>0.0</v>
      </c>
      <c r="V80" s="69">
        <v>0.0</v>
      </c>
      <c r="W80" s="69">
        <v>0.0</v>
      </c>
      <c r="X80" s="13">
        <f t="shared" si="20"/>
        <v>0</v>
      </c>
    </row>
    <row r="81" ht="12.75" customHeight="1">
      <c r="A81" s="18"/>
      <c r="B81" s="49"/>
      <c r="C81" s="50" t="s">
        <v>70</v>
      </c>
      <c r="D81" s="51"/>
      <c r="E81" s="69">
        <v>0.0</v>
      </c>
      <c r="F81" s="69">
        <v>0.0</v>
      </c>
      <c r="G81" s="69">
        <v>0.0</v>
      </c>
      <c r="H81" s="69">
        <v>0.0</v>
      </c>
      <c r="I81" s="69">
        <v>0.0</v>
      </c>
      <c r="J81" s="69">
        <v>1.0</v>
      </c>
      <c r="K81" s="69">
        <v>0.0</v>
      </c>
      <c r="L81" s="69">
        <v>0.0</v>
      </c>
      <c r="M81" s="69">
        <v>0.0</v>
      </c>
      <c r="N81" s="69">
        <v>0.0</v>
      </c>
      <c r="O81" s="69">
        <v>0.0</v>
      </c>
      <c r="P81" s="69">
        <v>0.0</v>
      </c>
      <c r="Q81" s="69">
        <v>0.0</v>
      </c>
      <c r="R81" s="69">
        <v>0.0</v>
      </c>
      <c r="S81" s="69">
        <v>0.0</v>
      </c>
      <c r="T81" s="69">
        <v>0.0</v>
      </c>
      <c r="U81" s="69">
        <v>1.0</v>
      </c>
      <c r="V81" s="69">
        <v>0.0</v>
      </c>
      <c r="W81" s="69">
        <v>0.0</v>
      </c>
      <c r="X81" s="13">
        <f t="shared" si="20"/>
        <v>2</v>
      </c>
    </row>
    <row r="82" ht="12.75" customHeight="1">
      <c r="A82" s="18"/>
      <c r="B82" s="49"/>
      <c r="C82" s="50" t="s">
        <v>71</v>
      </c>
      <c r="D82" s="51"/>
      <c r="E82" s="69">
        <v>0.0</v>
      </c>
      <c r="F82" s="69">
        <v>0.0</v>
      </c>
      <c r="G82" s="69">
        <v>0.0</v>
      </c>
      <c r="H82" s="69">
        <v>1.0</v>
      </c>
      <c r="I82" s="69">
        <v>1.0</v>
      </c>
      <c r="J82" s="69">
        <v>7.0</v>
      </c>
      <c r="K82" s="69">
        <v>0.0</v>
      </c>
      <c r="L82" s="69">
        <v>0.0</v>
      </c>
      <c r="M82" s="69">
        <v>0.0</v>
      </c>
      <c r="N82" s="69">
        <v>0.0</v>
      </c>
      <c r="O82" s="69">
        <v>0.0</v>
      </c>
      <c r="P82" s="69">
        <v>0.0</v>
      </c>
      <c r="Q82" s="69">
        <v>4.0</v>
      </c>
      <c r="R82" s="69">
        <v>1.0</v>
      </c>
      <c r="S82" s="69">
        <v>0.0</v>
      </c>
      <c r="T82" s="69">
        <v>0.0</v>
      </c>
      <c r="U82" s="69">
        <v>0.0</v>
      </c>
      <c r="V82" s="69">
        <v>0.0</v>
      </c>
      <c r="W82" s="69">
        <v>1.0</v>
      </c>
      <c r="X82" s="13">
        <f t="shared" si="20"/>
        <v>15</v>
      </c>
    </row>
    <row r="83" ht="12.75" customHeight="1">
      <c r="A83" s="19" t="s">
        <v>15</v>
      </c>
      <c r="B83" s="47" t="s">
        <v>47</v>
      </c>
      <c r="C83" s="15"/>
      <c r="D83" s="16"/>
      <c r="E83" s="56">
        <f t="shared" ref="E83:W83" si="21">SUM(E75:E82)</f>
        <v>6</v>
      </c>
      <c r="F83" s="56">
        <f t="shared" si="21"/>
        <v>9</v>
      </c>
      <c r="G83" s="56">
        <f t="shared" si="21"/>
        <v>13</v>
      </c>
      <c r="H83" s="56">
        <f t="shared" si="21"/>
        <v>6</v>
      </c>
      <c r="I83" s="56">
        <f t="shared" si="21"/>
        <v>38</v>
      </c>
      <c r="J83" s="56">
        <f t="shared" si="21"/>
        <v>85</v>
      </c>
      <c r="K83" s="56">
        <f t="shared" si="21"/>
        <v>10</v>
      </c>
      <c r="L83" s="56">
        <f t="shared" si="21"/>
        <v>19</v>
      </c>
      <c r="M83" s="56">
        <f t="shared" si="21"/>
        <v>15</v>
      </c>
      <c r="N83" s="56">
        <f t="shared" si="21"/>
        <v>3</v>
      </c>
      <c r="O83" s="56">
        <f t="shared" si="21"/>
        <v>6</v>
      </c>
      <c r="P83" s="56">
        <f t="shared" si="21"/>
        <v>6</v>
      </c>
      <c r="Q83" s="56">
        <f t="shared" si="21"/>
        <v>10</v>
      </c>
      <c r="R83" s="56">
        <f t="shared" si="21"/>
        <v>5</v>
      </c>
      <c r="S83" s="56">
        <f t="shared" si="21"/>
        <v>2</v>
      </c>
      <c r="T83" s="56">
        <f t="shared" si="21"/>
        <v>66</v>
      </c>
      <c r="U83" s="56">
        <f t="shared" si="21"/>
        <v>68</v>
      </c>
      <c r="V83" s="56">
        <f t="shared" si="21"/>
        <v>5</v>
      </c>
      <c r="W83" s="56">
        <f t="shared" si="21"/>
        <v>6</v>
      </c>
      <c r="X83" s="13">
        <f t="shared" si="20"/>
        <v>378</v>
      </c>
    </row>
    <row r="84" ht="12.75" customHeight="1">
      <c r="A84" s="57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13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69">
        <v>2.0</v>
      </c>
      <c r="F85" s="69">
        <v>0.0</v>
      </c>
      <c r="G85" s="69">
        <v>0.0</v>
      </c>
      <c r="H85" s="69">
        <v>0.0</v>
      </c>
      <c r="I85" s="69">
        <v>0.0</v>
      </c>
      <c r="J85" s="69">
        <v>0.0</v>
      </c>
      <c r="K85" s="69">
        <v>1.0</v>
      </c>
      <c r="L85" s="69">
        <v>1.0</v>
      </c>
      <c r="M85" s="69">
        <v>4.0</v>
      </c>
      <c r="N85" s="69">
        <v>1.0</v>
      </c>
      <c r="O85" s="69">
        <v>4.0</v>
      </c>
      <c r="P85" s="69">
        <v>2.0</v>
      </c>
      <c r="Q85" s="69">
        <v>5.0</v>
      </c>
      <c r="R85" s="69">
        <v>2.0</v>
      </c>
      <c r="S85" s="69">
        <v>0.0</v>
      </c>
      <c r="T85" s="69">
        <v>3.0</v>
      </c>
      <c r="U85" s="69">
        <v>2.0</v>
      </c>
      <c r="V85" s="69">
        <v>0.0</v>
      </c>
      <c r="W85" s="69">
        <v>0.0</v>
      </c>
      <c r="X85" s="13">
        <f t="shared" ref="X85:X93" si="22">SUM(E85:W85)</f>
        <v>27</v>
      </c>
    </row>
    <row r="86" ht="12.75" customHeight="1">
      <c r="A86" s="30" t="s">
        <v>39</v>
      </c>
      <c r="B86" s="49"/>
      <c r="C86" s="50" t="s">
        <v>74</v>
      </c>
      <c r="D86" s="51"/>
      <c r="E86" s="69">
        <v>1.0</v>
      </c>
      <c r="F86" s="69">
        <v>0.0</v>
      </c>
      <c r="G86" s="69">
        <v>0.0</v>
      </c>
      <c r="H86" s="69">
        <v>1.0</v>
      </c>
      <c r="I86" s="69">
        <v>0.0</v>
      </c>
      <c r="J86" s="69">
        <v>1.0</v>
      </c>
      <c r="K86" s="69">
        <v>1.0</v>
      </c>
      <c r="L86" s="69">
        <v>2.0</v>
      </c>
      <c r="M86" s="69">
        <v>2.0</v>
      </c>
      <c r="N86" s="69">
        <v>0.0</v>
      </c>
      <c r="O86" s="69">
        <v>2.0</v>
      </c>
      <c r="P86" s="69">
        <v>2.0</v>
      </c>
      <c r="Q86" s="69">
        <v>1.0</v>
      </c>
      <c r="R86" s="69">
        <v>3.0</v>
      </c>
      <c r="S86" s="69">
        <v>1.0</v>
      </c>
      <c r="T86" s="69">
        <v>2.0</v>
      </c>
      <c r="U86" s="69">
        <v>0.0</v>
      </c>
      <c r="V86" s="69">
        <v>0.0</v>
      </c>
      <c r="W86" s="69">
        <v>0.0</v>
      </c>
      <c r="X86" s="13">
        <f t="shared" si="22"/>
        <v>19</v>
      </c>
    </row>
    <row r="87" ht="12.75" customHeight="1">
      <c r="A87" s="18"/>
      <c r="B87" s="49"/>
      <c r="C87" s="50" t="s">
        <v>75</v>
      </c>
      <c r="D87" s="51"/>
      <c r="E87" s="69">
        <v>23.0</v>
      </c>
      <c r="F87" s="69">
        <v>10.0</v>
      </c>
      <c r="G87" s="69">
        <v>10.0</v>
      </c>
      <c r="H87" s="69">
        <v>8.0</v>
      </c>
      <c r="I87" s="69">
        <v>10.0</v>
      </c>
      <c r="J87" s="69">
        <v>3.0</v>
      </c>
      <c r="K87" s="69">
        <v>12.0</v>
      </c>
      <c r="L87" s="69">
        <v>27.0</v>
      </c>
      <c r="M87" s="69">
        <v>56.0</v>
      </c>
      <c r="N87" s="69">
        <v>12.0</v>
      </c>
      <c r="O87" s="69">
        <v>68.0</v>
      </c>
      <c r="P87" s="69">
        <v>36.0</v>
      </c>
      <c r="Q87" s="69">
        <v>42.0</v>
      </c>
      <c r="R87" s="69">
        <v>17.0</v>
      </c>
      <c r="S87" s="69">
        <v>3.0</v>
      </c>
      <c r="T87" s="69">
        <v>10.0</v>
      </c>
      <c r="U87" s="69">
        <v>22.0</v>
      </c>
      <c r="V87" s="69">
        <v>1.0</v>
      </c>
      <c r="W87" s="69">
        <v>0.0</v>
      </c>
      <c r="X87" s="13">
        <f t="shared" si="22"/>
        <v>370</v>
      </c>
    </row>
    <row r="88" ht="12.75" customHeight="1">
      <c r="A88" s="18"/>
      <c r="B88" s="49"/>
      <c r="C88" s="50" t="s">
        <v>76</v>
      </c>
      <c r="D88" s="51"/>
      <c r="E88" s="69">
        <v>0.0</v>
      </c>
      <c r="F88" s="69">
        <v>0.0</v>
      </c>
      <c r="G88" s="69">
        <v>0.0</v>
      </c>
      <c r="H88" s="69">
        <v>0.0</v>
      </c>
      <c r="I88" s="69">
        <v>0.0</v>
      </c>
      <c r="J88" s="69">
        <v>0.0</v>
      </c>
      <c r="K88" s="69">
        <v>0.0</v>
      </c>
      <c r="L88" s="69">
        <v>0.0</v>
      </c>
      <c r="M88" s="69">
        <v>0.0</v>
      </c>
      <c r="N88" s="69">
        <v>0.0</v>
      </c>
      <c r="O88" s="69">
        <v>1.0</v>
      </c>
      <c r="P88" s="69">
        <v>0.0</v>
      </c>
      <c r="Q88" s="69">
        <v>0.0</v>
      </c>
      <c r="R88" s="69">
        <v>0.0</v>
      </c>
      <c r="S88" s="69">
        <v>0.0</v>
      </c>
      <c r="T88" s="69">
        <v>0.0</v>
      </c>
      <c r="U88" s="69">
        <v>0.0</v>
      </c>
      <c r="V88" s="69">
        <v>0.0</v>
      </c>
      <c r="W88" s="69">
        <v>0.0</v>
      </c>
      <c r="X88" s="13">
        <f t="shared" si="22"/>
        <v>1</v>
      </c>
    </row>
    <row r="89" ht="12.75" customHeight="1">
      <c r="A89" s="18"/>
      <c r="B89" s="49"/>
      <c r="C89" s="50" t="s">
        <v>77</v>
      </c>
      <c r="D89" s="51"/>
      <c r="E89" s="69">
        <v>0.0</v>
      </c>
      <c r="F89" s="69">
        <v>0.0</v>
      </c>
      <c r="G89" s="69">
        <v>0.0</v>
      </c>
      <c r="H89" s="69">
        <v>0.0</v>
      </c>
      <c r="I89" s="69">
        <v>0.0</v>
      </c>
      <c r="J89" s="69">
        <v>0.0</v>
      </c>
      <c r="K89" s="69">
        <v>0.0</v>
      </c>
      <c r="L89" s="69">
        <v>0.0</v>
      </c>
      <c r="M89" s="69">
        <v>0.0</v>
      </c>
      <c r="N89" s="69">
        <v>0.0</v>
      </c>
      <c r="O89" s="69">
        <v>0.0</v>
      </c>
      <c r="P89" s="69">
        <v>0.0</v>
      </c>
      <c r="Q89" s="69">
        <v>0.0</v>
      </c>
      <c r="R89" s="69">
        <v>0.0</v>
      </c>
      <c r="S89" s="69">
        <v>0.0</v>
      </c>
      <c r="T89" s="69">
        <v>0.0</v>
      </c>
      <c r="U89" s="69">
        <v>0.0</v>
      </c>
      <c r="V89" s="69">
        <v>0.0</v>
      </c>
      <c r="W89" s="69">
        <v>0.0</v>
      </c>
      <c r="X89" s="13">
        <f t="shared" si="22"/>
        <v>0</v>
      </c>
    </row>
    <row r="90" ht="12.75" customHeight="1">
      <c r="A90" s="18"/>
      <c r="B90" s="49"/>
      <c r="C90" s="50" t="s">
        <v>78</v>
      </c>
      <c r="D90" s="51"/>
      <c r="E90" s="69">
        <v>0.0</v>
      </c>
      <c r="F90" s="69">
        <v>1.0</v>
      </c>
      <c r="G90" s="69">
        <v>0.0</v>
      </c>
      <c r="H90" s="69">
        <v>1.0</v>
      </c>
      <c r="I90" s="69">
        <v>0.0</v>
      </c>
      <c r="J90" s="69">
        <v>5.0</v>
      </c>
      <c r="K90" s="69">
        <v>0.0</v>
      </c>
      <c r="L90" s="69">
        <v>0.0</v>
      </c>
      <c r="M90" s="69">
        <v>0.0</v>
      </c>
      <c r="N90" s="69">
        <v>0.0</v>
      </c>
      <c r="O90" s="69">
        <v>0.0</v>
      </c>
      <c r="P90" s="69">
        <v>0.0</v>
      </c>
      <c r="Q90" s="69">
        <v>0.0</v>
      </c>
      <c r="R90" s="69">
        <v>0.0</v>
      </c>
      <c r="S90" s="69">
        <v>1.0</v>
      </c>
      <c r="T90" s="69">
        <v>1.0</v>
      </c>
      <c r="U90" s="69">
        <v>0.0</v>
      </c>
      <c r="V90" s="69">
        <v>0.0</v>
      </c>
      <c r="W90" s="69">
        <v>0.0</v>
      </c>
      <c r="X90" s="13">
        <f t="shared" si="22"/>
        <v>9</v>
      </c>
    </row>
    <row r="91" ht="15.0" customHeight="1">
      <c r="A91" s="18"/>
      <c r="B91" s="49"/>
      <c r="C91" s="50" t="s">
        <v>79</v>
      </c>
      <c r="D91" s="51"/>
      <c r="E91" s="69">
        <v>0.0</v>
      </c>
      <c r="F91" s="69">
        <v>0.0</v>
      </c>
      <c r="G91" s="69">
        <v>0.0</v>
      </c>
      <c r="H91" s="69">
        <v>0.0</v>
      </c>
      <c r="I91" s="69">
        <v>0.0</v>
      </c>
      <c r="J91" s="69">
        <v>1.0</v>
      </c>
      <c r="K91" s="69">
        <v>0.0</v>
      </c>
      <c r="L91" s="69">
        <v>0.0</v>
      </c>
      <c r="M91" s="69">
        <v>0.0</v>
      </c>
      <c r="N91" s="69">
        <v>0.0</v>
      </c>
      <c r="O91" s="69">
        <v>0.0</v>
      </c>
      <c r="P91" s="69">
        <v>0.0</v>
      </c>
      <c r="Q91" s="69">
        <v>0.0</v>
      </c>
      <c r="R91" s="69">
        <v>0.0</v>
      </c>
      <c r="S91" s="69">
        <v>0.0</v>
      </c>
      <c r="T91" s="69">
        <v>0.0</v>
      </c>
      <c r="U91" s="69">
        <v>0.0</v>
      </c>
      <c r="V91" s="69">
        <v>0.0</v>
      </c>
      <c r="W91" s="69">
        <v>0.0</v>
      </c>
      <c r="X91" s="13">
        <f t="shared" si="22"/>
        <v>1</v>
      </c>
    </row>
    <row r="92" ht="12.75" customHeight="1">
      <c r="A92" s="18"/>
      <c r="B92" s="49"/>
      <c r="C92" s="50" t="s">
        <v>80</v>
      </c>
      <c r="D92" s="51"/>
      <c r="E92" s="69">
        <v>0.0</v>
      </c>
      <c r="F92" s="69">
        <v>0.0</v>
      </c>
      <c r="G92" s="69">
        <v>0.0</v>
      </c>
      <c r="H92" s="69">
        <v>0.0</v>
      </c>
      <c r="I92" s="69">
        <v>0.0</v>
      </c>
      <c r="J92" s="69">
        <v>0.0</v>
      </c>
      <c r="K92" s="69">
        <v>0.0</v>
      </c>
      <c r="L92" s="69">
        <v>0.0</v>
      </c>
      <c r="M92" s="69">
        <v>0.0</v>
      </c>
      <c r="N92" s="69">
        <v>0.0</v>
      </c>
      <c r="O92" s="69">
        <v>0.0</v>
      </c>
      <c r="P92" s="69">
        <v>0.0</v>
      </c>
      <c r="Q92" s="69">
        <v>0.0</v>
      </c>
      <c r="R92" s="69">
        <v>0.0</v>
      </c>
      <c r="S92" s="69">
        <v>0.0</v>
      </c>
      <c r="T92" s="69">
        <v>0.0</v>
      </c>
      <c r="U92" s="69">
        <v>0.0</v>
      </c>
      <c r="V92" s="69">
        <v>0.0</v>
      </c>
      <c r="W92" s="69">
        <v>0.0</v>
      </c>
      <c r="X92" s="13">
        <f t="shared" si="22"/>
        <v>0</v>
      </c>
    </row>
    <row r="93" ht="12.75" customHeight="1">
      <c r="A93" s="19" t="s">
        <v>15</v>
      </c>
      <c r="B93" s="47" t="s">
        <v>47</v>
      </c>
      <c r="C93" s="15"/>
      <c r="D93" s="16"/>
      <c r="E93" s="56">
        <f t="shared" ref="E93:W93" si="23">SUM(E85:E92)</f>
        <v>26</v>
      </c>
      <c r="F93" s="56">
        <f t="shared" si="23"/>
        <v>11</v>
      </c>
      <c r="G93" s="56">
        <f t="shared" si="23"/>
        <v>10</v>
      </c>
      <c r="H93" s="56">
        <f t="shared" si="23"/>
        <v>10</v>
      </c>
      <c r="I93" s="56">
        <f t="shared" si="23"/>
        <v>10</v>
      </c>
      <c r="J93" s="56">
        <f t="shared" si="23"/>
        <v>10</v>
      </c>
      <c r="K93" s="56">
        <f t="shared" si="23"/>
        <v>14</v>
      </c>
      <c r="L93" s="56">
        <f t="shared" si="23"/>
        <v>30</v>
      </c>
      <c r="M93" s="56">
        <f t="shared" si="23"/>
        <v>62</v>
      </c>
      <c r="N93" s="56">
        <f t="shared" si="23"/>
        <v>13</v>
      </c>
      <c r="O93" s="56">
        <f t="shared" si="23"/>
        <v>75</v>
      </c>
      <c r="P93" s="56">
        <f t="shared" si="23"/>
        <v>40</v>
      </c>
      <c r="Q93" s="56">
        <f t="shared" si="23"/>
        <v>48</v>
      </c>
      <c r="R93" s="56">
        <f t="shared" si="23"/>
        <v>22</v>
      </c>
      <c r="S93" s="56">
        <f t="shared" si="23"/>
        <v>5</v>
      </c>
      <c r="T93" s="56">
        <f t="shared" si="23"/>
        <v>16</v>
      </c>
      <c r="U93" s="56">
        <f t="shared" si="23"/>
        <v>24</v>
      </c>
      <c r="V93" s="56">
        <f t="shared" si="23"/>
        <v>1</v>
      </c>
      <c r="W93" s="56">
        <f t="shared" si="23"/>
        <v>0</v>
      </c>
      <c r="X93" s="13">
        <f t="shared" si="22"/>
        <v>427</v>
      </c>
    </row>
    <row r="94" ht="12.75" customHeight="1">
      <c r="A94" s="57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13"/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69">
        <v>0.0</v>
      </c>
      <c r="F95" s="69">
        <v>0.0</v>
      </c>
      <c r="G95" s="69">
        <v>0.0</v>
      </c>
      <c r="H95" s="69">
        <v>0.0</v>
      </c>
      <c r="I95" s="69">
        <v>0.0</v>
      </c>
      <c r="J95" s="69">
        <v>0.0</v>
      </c>
      <c r="K95" s="69">
        <v>0.0</v>
      </c>
      <c r="L95" s="69">
        <v>0.0</v>
      </c>
      <c r="M95" s="69">
        <v>0.0</v>
      </c>
      <c r="N95" s="69">
        <v>0.0</v>
      </c>
      <c r="O95" s="69">
        <v>1.0</v>
      </c>
      <c r="P95" s="69">
        <v>1.0</v>
      </c>
      <c r="Q95" s="69">
        <v>0.0</v>
      </c>
      <c r="R95" s="69">
        <v>0.0</v>
      </c>
      <c r="S95" s="69">
        <v>0.0</v>
      </c>
      <c r="T95" s="69">
        <v>0.0</v>
      </c>
      <c r="U95" s="69">
        <v>0.0</v>
      </c>
      <c r="V95" s="69">
        <v>0.0</v>
      </c>
      <c r="W95" s="69">
        <v>1.0</v>
      </c>
      <c r="X95" s="13">
        <f t="shared" ref="X95:X97" si="24">SUM(E95:W95)</f>
        <v>3</v>
      </c>
    </row>
    <row r="96" ht="12.75" customHeight="1">
      <c r="A96" s="30" t="s">
        <v>39</v>
      </c>
      <c r="B96" s="49"/>
      <c r="C96" s="50" t="s">
        <v>83</v>
      </c>
      <c r="D96" s="62"/>
      <c r="E96" s="69">
        <v>0.0</v>
      </c>
      <c r="F96" s="69">
        <v>0.0</v>
      </c>
      <c r="G96" s="69">
        <v>0.0</v>
      </c>
      <c r="H96" s="69">
        <v>0.0</v>
      </c>
      <c r="I96" s="69">
        <v>1.0</v>
      </c>
      <c r="J96" s="69">
        <v>0.0</v>
      </c>
      <c r="K96" s="69">
        <v>0.0</v>
      </c>
      <c r="L96" s="69">
        <v>0.0</v>
      </c>
      <c r="M96" s="69">
        <v>0.0</v>
      </c>
      <c r="N96" s="69">
        <v>0.0</v>
      </c>
      <c r="O96" s="69">
        <v>0.0</v>
      </c>
      <c r="P96" s="69">
        <v>0.0</v>
      </c>
      <c r="Q96" s="69">
        <v>0.0</v>
      </c>
      <c r="R96" s="69">
        <v>0.0</v>
      </c>
      <c r="S96" s="69">
        <v>0.0</v>
      </c>
      <c r="T96" s="69">
        <v>0.0</v>
      </c>
      <c r="U96" s="69">
        <v>0.0</v>
      </c>
      <c r="V96" s="69">
        <v>0.0</v>
      </c>
      <c r="W96" s="69">
        <v>0.0</v>
      </c>
      <c r="X96" s="13">
        <f t="shared" si="24"/>
        <v>1</v>
      </c>
    </row>
    <row r="97" ht="12.75" customHeight="1">
      <c r="A97" s="19" t="s">
        <v>15</v>
      </c>
      <c r="B97" s="47" t="s">
        <v>47</v>
      </c>
      <c r="C97" s="15"/>
      <c r="D97" s="16"/>
      <c r="E97" s="56">
        <f t="shared" ref="E97:W97" si="25">SUM(E95:E96)</f>
        <v>0</v>
      </c>
      <c r="F97" s="56">
        <f t="shared" si="25"/>
        <v>0</v>
      </c>
      <c r="G97" s="56">
        <f t="shared" si="25"/>
        <v>0</v>
      </c>
      <c r="H97" s="56">
        <f t="shared" si="25"/>
        <v>0</v>
      </c>
      <c r="I97" s="56">
        <f t="shared" si="25"/>
        <v>1</v>
      </c>
      <c r="J97" s="56">
        <f t="shared" si="25"/>
        <v>0</v>
      </c>
      <c r="K97" s="56">
        <f t="shared" si="25"/>
        <v>0</v>
      </c>
      <c r="L97" s="56">
        <f t="shared" si="25"/>
        <v>0</v>
      </c>
      <c r="M97" s="56">
        <f t="shared" si="25"/>
        <v>0</v>
      </c>
      <c r="N97" s="56">
        <f t="shared" si="25"/>
        <v>0</v>
      </c>
      <c r="O97" s="56">
        <f t="shared" si="25"/>
        <v>1</v>
      </c>
      <c r="P97" s="56">
        <f t="shared" si="25"/>
        <v>1</v>
      </c>
      <c r="Q97" s="56">
        <f t="shared" si="25"/>
        <v>0</v>
      </c>
      <c r="R97" s="56">
        <f t="shared" si="25"/>
        <v>0</v>
      </c>
      <c r="S97" s="56">
        <f t="shared" si="25"/>
        <v>0</v>
      </c>
      <c r="T97" s="56">
        <f t="shared" si="25"/>
        <v>0</v>
      </c>
      <c r="U97" s="56">
        <f t="shared" si="25"/>
        <v>0</v>
      </c>
      <c r="V97" s="56">
        <f t="shared" si="25"/>
        <v>0</v>
      </c>
      <c r="W97" s="56">
        <f t="shared" si="25"/>
        <v>1</v>
      </c>
      <c r="X97" s="13">
        <f t="shared" si="24"/>
        <v>4</v>
      </c>
    </row>
    <row r="98" ht="12.75" customHeight="1">
      <c r="A98" s="57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13"/>
    </row>
    <row r="99" ht="12.75" customHeight="1">
      <c r="A99" s="30" t="s">
        <v>37</v>
      </c>
      <c r="B99" s="47" t="s">
        <v>84</v>
      </c>
      <c r="C99" s="48" t="s">
        <v>85</v>
      </c>
      <c r="D99" s="16"/>
      <c r="E99" s="69">
        <v>1.0</v>
      </c>
      <c r="F99" s="69">
        <v>1.0</v>
      </c>
      <c r="G99" s="69">
        <v>0.0</v>
      </c>
      <c r="H99" s="69">
        <v>0.0</v>
      </c>
      <c r="I99" s="69">
        <v>0.0</v>
      </c>
      <c r="J99" s="69">
        <v>0.0</v>
      </c>
      <c r="K99" s="69">
        <v>0.0</v>
      </c>
      <c r="L99" s="69">
        <v>2.0</v>
      </c>
      <c r="M99" s="69">
        <v>1.0</v>
      </c>
      <c r="N99" s="69">
        <v>0.0</v>
      </c>
      <c r="O99" s="69">
        <v>2.0</v>
      </c>
      <c r="P99" s="69">
        <v>0.0</v>
      </c>
      <c r="Q99" s="69">
        <v>0.0</v>
      </c>
      <c r="R99" s="69">
        <v>1.0</v>
      </c>
      <c r="S99" s="69">
        <v>1.0</v>
      </c>
      <c r="T99" s="69">
        <v>4.0</v>
      </c>
      <c r="U99" s="69">
        <v>2.0</v>
      </c>
      <c r="V99" s="69">
        <v>5.0</v>
      </c>
      <c r="W99" s="69">
        <v>1.0</v>
      </c>
      <c r="X99" s="13">
        <f t="shared" ref="X99:X101" si="26">SUM(E99:W99)</f>
        <v>21</v>
      </c>
    </row>
    <row r="100" ht="12.75" customHeight="1">
      <c r="A100" s="30" t="s">
        <v>39</v>
      </c>
      <c r="B100" s="49"/>
      <c r="C100" s="50" t="s">
        <v>86</v>
      </c>
      <c r="D100" s="51"/>
      <c r="E100" s="69">
        <v>0.0</v>
      </c>
      <c r="F100" s="69">
        <v>0.0</v>
      </c>
      <c r="G100" s="69">
        <v>0.0</v>
      </c>
      <c r="H100" s="69">
        <v>0.0</v>
      </c>
      <c r="I100" s="69">
        <v>0.0</v>
      </c>
      <c r="J100" s="69">
        <v>0.0</v>
      </c>
      <c r="K100" s="69">
        <v>0.0</v>
      </c>
      <c r="L100" s="69">
        <v>0.0</v>
      </c>
      <c r="M100" s="69">
        <v>0.0</v>
      </c>
      <c r="N100" s="69">
        <v>0.0</v>
      </c>
      <c r="O100" s="69">
        <v>0.0</v>
      </c>
      <c r="P100" s="69">
        <v>0.0</v>
      </c>
      <c r="Q100" s="69">
        <v>0.0</v>
      </c>
      <c r="R100" s="69">
        <v>0.0</v>
      </c>
      <c r="S100" s="69">
        <v>0.0</v>
      </c>
      <c r="T100" s="69">
        <v>0.0</v>
      </c>
      <c r="U100" s="69">
        <v>0.0</v>
      </c>
      <c r="V100" s="69">
        <v>0.0</v>
      </c>
      <c r="W100" s="69">
        <v>0.0</v>
      </c>
      <c r="X100" s="13">
        <f t="shared" si="26"/>
        <v>0</v>
      </c>
    </row>
    <row r="101" ht="12.75" customHeight="1">
      <c r="A101" s="19" t="s">
        <v>15</v>
      </c>
      <c r="B101" s="47" t="s">
        <v>47</v>
      </c>
      <c r="C101" s="15"/>
      <c r="D101" s="16"/>
      <c r="E101" s="56">
        <f t="shared" ref="E101:W101" si="27">SUM(E99:E100)</f>
        <v>1</v>
      </c>
      <c r="F101" s="56">
        <f t="shared" si="27"/>
        <v>1</v>
      </c>
      <c r="G101" s="56">
        <f t="shared" si="27"/>
        <v>0</v>
      </c>
      <c r="H101" s="56">
        <f t="shared" si="27"/>
        <v>0</v>
      </c>
      <c r="I101" s="56">
        <f t="shared" si="27"/>
        <v>0</v>
      </c>
      <c r="J101" s="56">
        <f t="shared" si="27"/>
        <v>0</v>
      </c>
      <c r="K101" s="56">
        <f t="shared" si="27"/>
        <v>0</v>
      </c>
      <c r="L101" s="56">
        <f t="shared" si="27"/>
        <v>2</v>
      </c>
      <c r="M101" s="56">
        <f t="shared" si="27"/>
        <v>1</v>
      </c>
      <c r="N101" s="56">
        <f t="shared" si="27"/>
        <v>0</v>
      </c>
      <c r="O101" s="56">
        <f t="shared" si="27"/>
        <v>2</v>
      </c>
      <c r="P101" s="56">
        <f t="shared" si="27"/>
        <v>0</v>
      </c>
      <c r="Q101" s="56">
        <f t="shared" si="27"/>
        <v>0</v>
      </c>
      <c r="R101" s="56">
        <f t="shared" si="27"/>
        <v>1</v>
      </c>
      <c r="S101" s="56">
        <f t="shared" si="27"/>
        <v>1</v>
      </c>
      <c r="T101" s="56">
        <f t="shared" si="27"/>
        <v>4</v>
      </c>
      <c r="U101" s="56">
        <f t="shared" si="27"/>
        <v>2</v>
      </c>
      <c r="V101" s="56">
        <f t="shared" si="27"/>
        <v>5</v>
      </c>
      <c r="W101" s="56">
        <f t="shared" si="27"/>
        <v>1</v>
      </c>
      <c r="X101" s="13">
        <f t="shared" si="26"/>
        <v>21</v>
      </c>
    </row>
    <row r="102" ht="12.75" customHeight="1">
      <c r="A102" s="57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13"/>
    </row>
    <row r="103" ht="15.0" customHeight="1">
      <c r="A103" s="30" t="s">
        <v>37</v>
      </c>
      <c r="B103" s="47" t="s">
        <v>87</v>
      </c>
      <c r="C103" s="48" t="s">
        <v>88</v>
      </c>
      <c r="D103" s="16"/>
      <c r="E103" s="69">
        <v>3.0</v>
      </c>
      <c r="F103" s="69">
        <v>0.0</v>
      </c>
      <c r="G103" s="69">
        <v>2.0</v>
      </c>
      <c r="H103" s="69">
        <v>1.0</v>
      </c>
      <c r="I103" s="69">
        <v>0.0</v>
      </c>
      <c r="J103" s="69">
        <v>0.0</v>
      </c>
      <c r="K103" s="69">
        <v>0.0</v>
      </c>
      <c r="L103" s="69">
        <v>1.0</v>
      </c>
      <c r="M103" s="69">
        <v>1.0</v>
      </c>
      <c r="N103" s="69">
        <v>0.0</v>
      </c>
      <c r="O103" s="69">
        <v>1.0</v>
      </c>
      <c r="P103" s="69">
        <v>1.0</v>
      </c>
      <c r="Q103" s="69">
        <v>1.0</v>
      </c>
      <c r="R103" s="69">
        <v>0.0</v>
      </c>
      <c r="S103" s="69">
        <v>1.0</v>
      </c>
      <c r="T103" s="69">
        <v>0.0</v>
      </c>
      <c r="U103" s="69">
        <v>0.0</v>
      </c>
      <c r="V103" s="69">
        <v>0.0</v>
      </c>
      <c r="W103" s="69">
        <v>0.0</v>
      </c>
      <c r="X103" s="13">
        <f t="shared" ref="X103:X111" si="28">SUM(E103:W103)</f>
        <v>12</v>
      </c>
    </row>
    <row r="104" ht="12.75" customHeight="1">
      <c r="A104" s="30" t="s">
        <v>39</v>
      </c>
      <c r="B104" s="49"/>
      <c r="C104" s="50" t="s">
        <v>89</v>
      </c>
      <c r="D104" s="51"/>
      <c r="E104" s="69">
        <v>15.0</v>
      </c>
      <c r="F104" s="69">
        <v>8.0</v>
      </c>
      <c r="G104" s="69">
        <v>9.0</v>
      </c>
      <c r="H104" s="69">
        <v>1.0</v>
      </c>
      <c r="I104" s="69">
        <v>3.0</v>
      </c>
      <c r="J104" s="69">
        <v>4.0</v>
      </c>
      <c r="K104" s="69">
        <v>6.0</v>
      </c>
      <c r="L104" s="69">
        <v>6.0</v>
      </c>
      <c r="M104" s="69">
        <v>5.0</v>
      </c>
      <c r="N104" s="69">
        <v>0.0</v>
      </c>
      <c r="O104" s="69">
        <v>0.0</v>
      </c>
      <c r="P104" s="69">
        <v>1.0</v>
      </c>
      <c r="Q104" s="69">
        <v>6.0</v>
      </c>
      <c r="R104" s="69">
        <v>6.0</v>
      </c>
      <c r="S104" s="69">
        <v>0.0</v>
      </c>
      <c r="T104" s="69">
        <v>0.0</v>
      </c>
      <c r="U104" s="69">
        <v>0.0</v>
      </c>
      <c r="V104" s="69">
        <v>1.0</v>
      </c>
      <c r="W104" s="69">
        <v>0.0</v>
      </c>
      <c r="X104" s="13">
        <f t="shared" si="28"/>
        <v>71</v>
      </c>
    </row>
    <row r="105" ht="12.75" customHeight="1">
      <c r="A105" s="18"/>
      <c r="B105" s="49"/>
      <c r="C105" s="50" t="s">
        <v>90</v>
      </c>
      <c r="D105" s="51"/>
      <c r="E105" s="69">
        <v>0.0</v>
      </c>
      <c r="F105" s="69">
        <v>0.0</v>
      </c>
      <c r="G105" s="69">
        <v>0.0</v>
      </c>
      <c r="H105" s="69">
        <v>0.0</v>
      </c>
      <c r="I105" s="69">
        <v>0.0</v>
      </c>
      <c r="J105" s="69">
        <v>0.0</v>
      </c>
      <c r="K105" s="69">
        <v>0.0</v>
      </c>
      <c r="L105" s="69">
        <v>2.0</v>
      </c>
      <c r="M105" s="69">
        <v>0.0</v>
      </c>
      <c r="N105" s="69">
        <v>0.0</v>
      </c>
      <c r="O105" s="69">
        <v>0.0</v>
      </c>
      <c r="P105" s="69">
        <v>0.0</v>
      </c>
      <c r="Q105" s="69">
        <v>0.0</v>
      </c>
      <c r="R105" s="69">
        <v>0.0</v>
      </c>
      <c r="S105" s="69">
        <v>0.0</v>
      </c>
      <c r="T105" s="69">
        <v>0.0</v>
      </c>
      <c r="U105" s="69">
        <v>0.0</v>
      </c>
      <c r="V105" s="69">
        <v>0.0</v>
      </c>
      <c r="W105" s="69">
        <v>0.0</v>
      </c>
      <c r="X105" s="13">
        <f t="shared" si="28"/>
        <v>2</v>
      </c>
    </row>
    <row r="106" ht="12.75" customHeight="1">
      <c r="A106" s="18"/>
      <c r="B106" s="49"/>
      <c r="C106" s="50" t="s">
        <v>91</v>
      </c>
      <c r="D106" s="51"/>
      <c r="E106" s="69">
        <v>0.0</v>
      </c>
      <c r="F106" s="69">
        <v>0.0</v>
      </c>
      <c r="G106" s="69">
        <v>0.0</v>
      </c>
      <c r="H106" s="69">
        <v>0.0</v>
      </c>
      <c r="I106" s="69">
        <v>0.0</v>
      </c>
      <c r="J106" s="69">
        <v>0.0</v>
      </c>
      <c r="K106" s="69">
        <v>0.0</v>
      </c>
      <c r="L106" s="69">
        <v>0.0</v>
      </c>
      <c r="M106" s="69">
        <v>0.0</v>
      </c>
      <c r="N106" s="69">
        <v>0.0</v>
      </c>
      <c r="O106" s="69">
        <v>0.0</v>
      </c>
      <c r="P106" s="69">
        <v>0.0</v>
      </c>
      <c r="Q106" s="69">
        <v>0.0</v>
      </c>
      <c r="R106" s="69">
        <v>0.0</v>
      </c>
      <c r="S106" s="69">
        <v>0.0</v>
      </c>
      <c r="T106" s="69">
        <v>0.0</v>
      </c>
      <c r="U106" s="69">
        <v>0.0</v>
      </c>
      <c r="V106" s="69">
        <v>0.0</v>
      </c>
      <c r="W106" s="69">
        <v>0.0</v>
      </c>
      <c r="X106" s="13">
        <f t="shared" si="28"/>
        <v>0</v>
      </c>
    </row>
    <row r="107" ht="12.75" customHeight="1">
      <c r="A107" s="18"/>
      <c r="B107" s="49"/>
      <c r="C107" s="50" t="s">
        <v>92</v>
      </c>
      <c r="D107" s="51"/>
      <c r="E107" s="69">
        <v>0.0</v>
      </c>
      <c r="F107" s="69">
        <v>0.0</v>
      </c>
      <c r="G107" s="69">
        <v>0.0</v>
      </c>
      <c r="H107" s="69">
        <v>1.0</v>
      </c>
      <c r="I107" s="69">
        <v>0.0</v>
      </c>
      <c r="J107" s="69">
        <v>0.0</v>
      </c>
      <c r="K107" s="69">
        <v>0.0</v>
      </c>
      <c r="L107" s="69">
        <v>0.0</v>
      </c>
      <c r="M107" s="69">
        <v>0.0</v>
      </c>
      <c r="N107" s="69">
        <v>0.0</v>
      </c>
      <c r="O107" s="69">
        <v>0.0</v>
      </c>
      <c r="P107" s="69">
        <v>0.0</v>
      </c>
      <c r="Q107" s="69">
        <v>1.0</v>
      </c>
      <c r="R107" s="69">
        <v>0.0</v>
      </c>
      <c r="S107" s="69">
        <v>0.0</v>
      </c>
      <c r="T107" s="69">
        <v>0.0</v>
      </c>
      <c r="U107" s="69">
        <v>0.0</v>
      </c>
      <c r="V107" s="69">
        <v>0.0</v>
      </c>
      <c r="W107" s="69">
        <v>0.0</v>
      </c>
      <c r="X107" s="13">
        <f t="shared" si="28"/>
        <v>2</v>
      </c>
    </row>
    <row r="108" ht="12.75" customHeight="1">
      <c r="A108" s="18"/>
      <c r="B108" s="49"/>
      <c r="C108" s="50" t="s">
        <v>93</v>
      </c>
      <c r="D108" s="51"/>
      <c r="E108" s="69">
        <v>0.0</v>
      </c>
      <c r="F108" s="69">
        <v>0.0</v>
      </c>
      <c r="G108" s="69">
        <v>0.0</v>
      </c>
      <c r="H108" s="69">
        <v>0.0</v>
      </c>
      <c r="I108" s="69">
        <v>0.0</v>
      </c>
      <c r="J108" s="69">
        <v>0.0</v>
      </c>
      <c r="K108" s="69">
        <v>0.0</v>
      </c>
      <c r="L108" s="69">
        <v>0.0</v>
      </c>
      <c r="M108" s="69">
        <v>0.0</v>
      </c>
      <c r="N108" s="69">
        <v>0.0</v>
      </c>
      <c r="O108" s="69">
        <v>0.0</v>
      </c>
      <c r="P108" s="69">
        <v>0.0</v>
      </c>
      <c r="Q108" s="69">
        <v>0.0</v>
      </c>
      <c r="R108" s="69">
        <v>0.0</v>
      </c>
      <c r="S108" s="69">
        <v>0.0</v>
      </c>
      <c r="T108" s="69">
        <v>0.0</v>
      </c>
      <c r="U108" s="69">
        <v>0.0</v>
      </c>
      <c r="V108" s="69">
        <v>0.0</v>
      </c>
      <c r="W108" s="69">
        <v>0.0</v>
      </c>
      <c r="X108" s="13">
        <f t="shared" si="28"/>
        <v>0</v>
      </c>
    </row>
    <row r="109" ht="12.75" customHeight="1">
      <c r="A109" s="18"/>
      <c r="B109" s="49"/>
      <c r="C109" s="50" t="s">
        <v>94</v>
      </c>
      <c r="D109" s="51"/>
      <c r="E109" s="69">
        <v>0.0</v>
      </c>
      <c r="F109" s="69">
        <v>0.0</v>
      </c>
      <c r="G109" s="69">
        <v>0.0</v>
      </c>
      <c r="H109" s="69">
        <v>0.0</v>
      </c>
      <c r="I109" s="69">
        <v>0.0</v>
      </c>
      <c r="J109" s="69">
        <v>0.0</v>
      </c>
      <c r="K109" s="69">
        <v>0.0</v>
      </c>
      <c r="L109" s="69">
        <v>1.0</v>
      </c>
      <c r="M109" s="69">
        <v>0.0</v>
      </c>
      <c r="N109" s="69">
        <v>0.0</v>
      </c>
      <c r="O109" s="69">
        <v>0.0</v>
      </c>
      <c r="P109" s="69">
        <v>0.0</v>
      </c>
      <c r="Q109" s="69">
        <v>1.0</v>
      </c>
      <c r="R109" s="69">
        <v>0.0</v>
      </c>
      <c r="S109" s="69">
        <v>0.0</v>
      </c>
      <c r="T109" s="69">
        <v>0.0</v>
      </c>
      <c r="U109" s="69">
        <v>0.0</v>
      </c>
      <c r="V109" s="69">
        <v>0.0</v>
      </c>
      <c r="W109" s="69">
        <v>0.0</v>
      </c>
      <c r="X109" s="13">
        <f t="shared" si="28"/>
        <v>2</v>
      </c>
    </row>
    <row r="110" ht="12.75" customHeight="1">
      <c r="A110" s="18"/>
      <c r="B110" s="49"/>
      <c r="C110" s="50" t="s">
        <v>95</v>
      </c>
      <c r="D110" s="51"/>
      <c r="E110" s="69">
        <v>0.0</v>
      </c>
      <c r="F110" s="69">
        <v>0.0</v>
      </c>
      <c r="G110" s="69">
        <v>0.0</v>
      </c>
      <c r="H110" s="69">
        <v>0.0</v>
      </c>
      <c r="I110" s="69">
        <v>0.0</v>
      </c>
      <c r="J110" s="69">
        <v>0.0</v>
      </c>
      <c r="K110" s="69">
        <v>0.0</v>
      </c>
      <c r="L110" s="69">
        <v>0.0</v>
      </c>
      <c r="M110" s="69">
        <v>0.0</v>
      </c>
      <c r="N110" s="69">
        <v>0.0</v>
      </c>
      <c r="O110" s="69">
        <v>0.0</v>
      </c>
      <c r="P110" s="69">
        <v>0.0</v>
      </c>
      <c r="Q110" s="69">
        <v>0.0</v>
      </c>
      <c r="R110" s="69">
        <v>0.0</v>
      </c>
      <c r="S110" s="69">
        <v>0.0</v>
      </c>
      <c r="T110" s="69">
        <v>0.0</v>
      </c>
      <c r="U110" s="69">
        <v>0.0</v>
      </c>
      <c r="V110" s="69">
        <v>0.0</v>
      </c>
      <c r="W110" s="69">
        <v>0.0</v>
      </c>
      <c r="X110" s="13">
        <f t="shared" si="28"/>
        <v>0</v>
      </c>
    </row>
    <row r="111" ht="12.75" customHeight="1">
      <c r="A111" s="19" t="s">
        <v>15</v>
      </c>
      <c r="B111" s="47" t="s">
        <v>47</v>
      </c>
      <c r="C111" s="15"/>
      <c r="D111" s="16"/>
      <c r="E111" s="56">
        <f t="shared" ref="E111:W111" si="29">SUM(E103:E110)</f>
        <v>18</v>
      </c>
      <c r="F111" s="56">
        <f t="shared" si="29"/>
        <v>8</v>
      </c>
      <c r="G111" s="56">
        <f t="shared" si="29"/>
        <v>11</v>
      </c>
      <c r="H111" s="56">
        <f t="shared" si="29"/>
        <v>3</v>
      </c>
      <c r="I111" s="56">
        <f t="shared" si="29"/>
        <v>3</v>
      </c>
      <c r="J111" s="56">
        <f t="shared" si="29"/>
        <v>4</v>
      </c>
      <c r="K111" s="56">
        <f t="shared" si="29"/>
        <v>6</v>
      </c>
      <c r="L111" s="56">
        <f t="shared" si="29"/>
        <v>10</v>
      </c>
      <c r="M111" s="56">
        <f t="shared" si="29"/>
        <v>6</v>
      </c>
      <c r="N111" s="56">
        <f t="shared" si="29"/>
        <v>0</v>
      </c>
      <c r="O111" s="56">
        <f t="shared" si="29"/>
        <v>1</v>
      </c>
      <c r="P111" s="56">
        <f t="shared" si="29"/>
        <v>2</v>
      </c>
      <c r="Q111" s="56">
        <f t="shared" si="29"/>
        <v>9</v>
      </c>
      <c r="R111" s="56">
        <f t="shared" si="29"/>
        <v>6</v>
      </c>
      <c r="S111" s="56">
        <f t="shared" si="29"/>
        <v>1</v>
      </c>
      <c r="T111" s="56">
        <f t="shared" si="29"/>
        <v>0</v>
      </c>
      <c r="U111" s="56">
        <f t="shared" si="29"/>
        <v>0</v>
      </c>
      <c r="V111" s="56">
        <f t="shared" si="29"/>
        <v>1</v>
      </c>
      <c r="W111" s="56">
        <f t="shared" si="29"/>
        <v>0</v>
      </c>
      <c r="X111" s="13">
        <f t="shared" si="28"/>
        <v>89</v>
      </c>
    </row>
    <row r="112" ht="12.75" customHeight="1">
      <c r="A112" s="57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13"/>
    </row>
    <row r="113" ht="12.75" customHeight="1">
      <c r="A113" s="30" t="s">
        <v>37</v>
      </c>
      <c r="B113" s="47" t="s">
        <v>96</v>
      </c>
      <c r="C113" s="48" t="s">
        <v>97</v>
      </c>
      <c r="D113" s="16"/>
      <c r="E113" s="69">
        <v>0.0</v>
      </c>
      <c r="F113" s="69">
        <v>0.0</v>
      </c>
      <c r="G113" s="69">
        <v>0.0</v>
      </c>
      <c r="H113" s="69">
        <v>0.0</v>
      </c>
      <c r="I113" s="69">
        <v>0.0</v>
      </c>
      <c r="J113" s="69">
        <v>0.0</v>
      </c>
      <c r="K113" s="69">
        <v>0.0</v>
      </c>
      <c r="L113" s="69">
        <v>0.0</v>
      </c>
      <c r="M113" s="69">
        <v>0.0</v>
      </c>
      <c r="N113" s="69">
        <v>0.0</v>
      </c>
      <c r="O113" s="69">
        <v>0.0</v>
      </c>
      <c r="P113" s="69">
        <v>0.0</v>
      </c>
      <c r="Q113" s="69">
        <v>0.0</v>
      </c>
      <c r="R113" s="69">
        <v>0.0</v>
      </c>
      <c r="S113" s="69">
        <v>0.0</v>
      </c>
      <c r="T113" s="69">
        <v>0.0</v>
      </c>
      <c r="U113" s="69">
        <v>0.0</v>
      </c>
      <c r="V113" s="69">
        <v>0.0</v>
      </c>
      <c r="W113" s="69">
        <v>0.0</v>
      </c>
      <c r="X113" s="13">
        <f t="shared" ref="X113:X115" si="30">SUM(E113:W113)</f>
        <v>0</v>
      </c>
    </row>
    <row r="114" ht="12.75" customHeight="1">
      <c r="A114" s="30" t="s">
        <v>39</v>
      </c>
      <c r="B114" s="47"/>
      <c r="C114" s="50" t="s">
        <v>98</v>
      </c>
      <c r="D114" s="62"/>
      <c r="E114" s="69">
        <v>0.0</v>
      </c>
      <c r="F114" s="69">
        <v>0.0</v>
      </c>
      <c r="G114" s="69">
        <v>0.0</v>
      </c>
      <c r="H114" s="69">
        <v>0.0</v>
      </c>
      <c r="I114" s="69">
        <v>0.0</v>
      </c>
      <c r="J114" s="69">
        <v>0.0</v>
      </c>
      <c r="K114" s="69">
        <v>0.0</v>
      </c>
      <c r="L114" s="69">
        <v>0.0</v>
      </c>
      <c r="M114" s="69">
        <v>0.0</v>
      </c>
      <c r="N114" s="69">
        <v>1.0</v>
      </c>
      <c r="O114" s="69">
        <v>0.0</v>
      </c>
      <c r="P114" s="69">
        <v>0.0</v>
      </c>
      <c r="Q114" s="69">
        <v>0.0</v>
      </c>
      <c r="R114" s="69">
        <v>0.0</v>
      </c>
      <c r="S114" s="69">
        <v>0.0</v>
      </c>
      <c r="T114" s="69">
        <v>0.0</v>
      </c>
      <c r="U114" s="69">
        <v>0.0</v>
      </c>
      <c r="V114" s="69">
        <v>0.0</v>
      </c>
      <c r="W114" s="69">
        <v>0.0</v>
      </c>
      <c r="X114" s="13">
        <f t="shared" si="30"/>
        <v>1</v>
      </c>
    </row>
    <row r="115" ht="12.75" customHeight="1">
      <c r="A115" s="19" t="s">
        <v>15</v>
      </c>
      <c r="B115" s="47" t="s">
        <v>47</v>
      </c>
      <c r="C115" s="15"/>
      <c r="D115" s="16"/>
      <c r="E115" s="56">
        <f t="shared" ref="E115:W115" si="31">SUM(E113:E114)</f>
        <v>0</v>
      </c>
      <c r="F115" s="56">
        <f t="shared" si="31"/>
        <v>0</v>
      </c>
      <c r="G115" s="56">
        <f t="shared" si="31"/>
        <v>0</v>
      </c>
      <c r="H115" s="56">
        <f t="shared" si="31"/>
        <v>0</v>
      </c>
      <c r="I115" s="56">
        <f t="shared" si="31"/>
        <v>0</v>
      </c>
      <c r="J115" s="56">
        <f t="shared" si="31"/>
        <v>0</v>
      </c>
      <c r="K115" s="56">
        <f t="shared" si="31"/>
        <v>0</v>
      </c>
      <c r="L115" s="56">
        <f t="shared" si="31"/>
        <v>0</v>
      </c>
      <c r="M115" s="56">
        <f t="shared" si="31"/>
        <v>0</v>
      </c>
      <c r="N115" s="56">
        <f t="shared" si="31"/>
        <v>1</v>
      </c>
      <c r="O115" s="56">
        <f t="shared" si="31"/>
        <v>0</v>
      </c>
      <c r="P115" s="56">
        <f t="shared" si="31"/>
        <v>0</v>
      </c>
      <c r="Q115" s="56">
        <f t="shared" si="31"/>
        <v>0</v>
      </c>
      <c r="R115" s="56">
        <f t="shared" si="31"/>
        <v>0</v>
      </c>
      <c r="S115" s="56">
        <f t="shared" si="31"/>
        <v>0</v>
      </c>
      <c r="T115" s="56">
        <f t="shared" si="31"/>
        <v>0</v>
      </c>
      <c r="U115" s="56">
        <f t="shared" si="31"/>
        <v>0</v>
      </c>
      <c r="V115" s="56">
        <f t="shared" si="31"/>
        <v>0</v>
      </c>
      <c r="W115" s="56">
        <f t="shared" si="31"/>
        <v>0</v>
      </c>
      <c r="X115" s="13">
        <f t="shared" si="30"/>
        <v>1</v>
      </c>
    </row>
    <row r="116" ht="12.75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13"/>
    </row>
    <row r="117" ht="12.75" customHeight="1">
      <c r="A117" s="30" t="s">
        <v>37</v>
      </c>
      <c r="B117" s="47" t="s">
        <v>99</v>
      </c>
      <c r="C117" s="48" t="s">
        <v>100</v>
      </c>
      <c r="D117" s="16"/>
      <c r="E117" s="69">
        <v>0.0</v>
      </c>
      <c r="F117" s="69">
        <v>0.0</v>
      </c>
      <c r="G117" s="69">
        <v>0.0</v>
      </c>
      <c r="H117" s="69">
        <v>0.0</v>
      </c>
      <c r="I117" s="69">
        <v>0.0</v>
      </c>
      <c r="J117" s="69">
        <v>0.0</v>
      </c>
      <c r="K117" s="69">
        <v>0.0</v>
      </c>
      <c r="L117" s="69">
        <v>0.0</v>
      </c>
      <c r="M117" s="69">
        <v>0.0</v>
      </c>
      <c r="N117" s="69">
        <v>0.0</v>
      </c>
      <c r="O117" s="69">
        <v>0.0</v>
      </c>
      <c r="P117" s="69">
        <v>0.0</v>
      </c>
      <c r="Q117" s="69">
        <v>0.0</v>
      </c>
      <c r="R117" s="69">
        <v>0.0</v>
      </c>
      <c r="S117" s="69">
        <v>0.0</v>
      </c>
      <c r="T117" s="69">
        <v>0.0</v>
      </c>
      <c r="U117" s="69">
        <v>0.0</v>
      </c>
      <c r="V117" s="69">
        <v>0.0</v>
      </c>
      <c r="W117" s="69">
        <v>0.0</v>
      </c>
      <c r="X117" s="13">
        <f t="shared" ref="X117:X125" si="32">SUM(E117:W117)</f>
        <v>0</v>
      </c>
      <c r="Y117" s="5"/>
      <c r="Z117" s="5"/>
    </row>
    <row r="118" ht="12.75" customHeight="1">
      <c r="A118" s="30" t="s">
        <v>39</v>
      </c>
      <c r="B118" s="49" t="s">
        <v>39</v>
      </c>
      <c r="C118" s="50" t="s">
        <v>101</v>
      </c>
      <c r="D118" s="51"/>
      <c r="E118" s="69">
        <v>1.0</v>
      </c>
      <c r="F118" s="69">
        <v>1.0</v>
      </c>
      <c r="G118" s="69">
        <v>0.0</v>
      </c>
      <c r="H118" s="69">
        <v>0.0</v>
      </c>
      <c r="I118" s="69">
        <v>0.0</v>
      </c>
      <c r="J118" s="69">
        <v>0.0</v>
      </c>
      <c r="K118" s="69">
        <v>0.0</v>
      </c>
      <c r="L118" s="69">
        <v>0.0</v>
      </c>
      <c r="M118" s="69">
        <v>0.0</v>
      </c>
      <c r="N118" s="69">
        <v>0.0</v>
      </c>
      <c r="O118" s="69">
        <v>0.0</v>
      </c>
      <c r="P118" s="69">
        <v>1.0</v>
      </c>
      <c r="Q118" s="69">
        <v>0.0</v>
      </c>
      <c r="R118" s="69">
        <v>0.0</v>
      </c>
      <c r="S118" s="69">
        <v>0.0</v>
      </c>
      <c r="T118" s="69">
        <v>0.0</v>
      </c>
      <c r="U118" s="69">
        <v>0.0</v>
      </c>
      <c r="V118" s="69">
        <v>0.0</v>
      </c>
      <c r="W118" s="69">
        <v>0.0</v>
      </c>
      <c r="X118" s="13">
        <f t="shared" si="32"/>
        <v>3</v>
      </c>
      <c r="Y118" s="5"/>
      <c r="Z118" s="5"/>
    </row>
    <row r="119" ht="12.75" customHeight="1">
      <c r="A119" s="18"/>
      <c r="B119" s="49"/>
      <c r="C119" s="50" t="s">
        <v>102</v>
      </c>
      <c r="D119" s="51"/>
      <c r="E119" s="69">
        <v>0.0</v>
      </c>
      <c r="F119" s="69">
        <v>0.0</v>
      </c>
      <c r="G119" s="69">
        <v>0.0</v>
      </c>
      <c r="H119" s="69">
        <v>0.0</v>
      </c>
      <c r="I119" s="69">
        <v>0.0</v>
      </c>
      <c r="J119" s="69">
        <v>0.0</v>
      </c>
      <c r="K119" s="69">
        <v>0.0</v>
      </c>
      <c r="L119" s="69">
        <v>0.0</v>
      </c>
      <c r="M119" s="69">
        <v>0.0</v>
      </c>
      <c r="N119" s="69">
        <v>0.0</v>
      </c>
      <c r="O119" s="69">
        <v>0.0</v>
      </c>
      <c r="P119" s="69">
        <v>0.0</v>
      </c>
      <c r="Q119" s="69">
        <v>0.0</v>
      </c>
      <c r="R119" s="69">
        <v>0.0</v>
      </c>
      <c r="S119" s="69">
        <v>0.0</v>
      </c>
      <c r="T119" s="69">
        <v>0.0</v>
      </c>
      <c r="U119" s="69">
        <v>0.0</v>
      </c>
      <c r="V119" s="69">
        <v>0.0</v>
      </c>
      <c r="W119" s="69">
        <v>0.0</v>
      </c>
      <c r="X119" s="13">
        <f t="shared" si="32"/>
        <v>0</v>
      </c>
      <c r="Y119" s="5"/>
      <c r="Z119" s="5"/>
    </row>
    <row r="120" ht="12.75" customHeight="1">
      <c r="A120" s="18"/>
      <c r="B120" s="49"/>
      <c r="C120" s="50" t="s">
        <v>103</v>
      </c>
      <c r="D120" s="51"/>
      <c r="E120" s="69">
        <v>0.0</v>
      </c>
      <c r="F120" s="69">
        <v>0.0</v>
      </c>
      <c r="G120" s="69">
        <v>0.0</v>
      </c>
      <c r="H120" s="69">
        <v>0.0</v>
      </c>
      <c r="I120" s="69">
        <v>0.0</v>
      </c>
      <c r="J120" s="69">
        <v>0.0</v>
      </c>
      <c r="K120" s="69">
        <v>0.0</v>
      </c>
      <c r="L120" s="69">
        <v>0.0</v>
      </c>
      <c r="M120" s="69">
        <v>0.0</v>
      </c>
      <c r="N120" s="69">
        <v>0.0</v>
      </c>
      <c r="O120" s="69">
        <v>0.0</v>
      </c>
      <c r="P120" s="69">
        <v>0.0</v>
      </c>
      <c r="Q120" s="69">
        <v>0.0</v>
      </c>
      <c r="R120" s="69">
        <v>0.0</v>
      </c>
      <c r="S120" s="69">
        <v>0.0</v>
      </c>
      <c r="T120" s="69">
        <v>0.0</v>
      </c>
      <c r="U120" s="69">
        <v>0.0</v>
      </c>
      <c r="V120" s="69">
        <v>0.0</v>
      </c>
      <c r="W120" s="69">
        <v>0.0</v>
      </c>
      <c r="X120" s="13">
        <f t="shared" si="32"/>
        <v>0</v>
      </c>
      <c r="Y120" s="5"/>
      <c r="Z120" s="5"/>
    </row>
    <row r="121" ht="12.75" customHeight="1">
      <c r="A121" s="18"/>
      <c r="B121" s="49"/>
      <c r="C121" s="50" t="s">
        <v>104</v>
      </c>
      <c r="D121" s="51"/>
      <c r="E121" s="69">
        <v>0.0</v>
      </c>
      <c r="F121" s="69">
        <v>0.0</v>
      </c>
      <c r="G121" s="69">
        <v>0.0</v>
      </c>
      <c r="H121" s="69">
        <v>1.0</v>
      </c>
      <c r="I121" s="69">
        <v>3.0</v>
      </c>
      <c r="J121" s="69">
        <v>1.0</v>
      </c>
      <c r="K121" s="69">
        <v>0.0</v>
      </c>
      <c r="L121" s="69">
        <v>0.0</v>
      </c>
      <c r="M121" s="69">
        <v>0.0</v>
      </c>
      <c r="N121" s="69">
        <v>1.0</v>
      </c>
      <c r="O121" s="69">
        <v>0.0</v>
      </c>
      <c r="P121" s="69">
        <v>0.0</v>
      </c>
      <c r="Q121" s="69">
        <v>1.0</v>
      </c>
      <c r="R121" s="69">
        <v>0.0</v>
      </c>
      <c r="S121" s="69">
        <v>0.0</v>
      </c>
      <c r="T121" s="69">
        <v>0.0</v>
      </c>
      <c r="U121" s="69">
        <v>0.0</v>
      </c>
      <c r="V121" s="69">
        <v>0.0</v>
      </c>
      <c r="W121" s="69">
        <v>0.0</v>
      </c>
      <c r="X121" s="13">
        <f t="shared" si="32"/>
        <v>7</v>
      </c>
      <c r="Y121" s="5"/>
      <c r="Z121" s="5"/>
    </row>
    <row r="122" ht="12.75" customHeight="1">
      <c r="A122" s="18"/>
      <c r="B122" s="49"/>
      <c r="C122" s="50" t="s">
        <v>105</v>
      </c>
      <c r="D122" s="51"/>
      <c r="E122" s="69">
        <v>0.0</v>
      </c>
      <c r="F122" s="69">
        <v>0.0</v>
      </c>
      <c r="G122" s="69">
        <v>0.0</v>
      </c>
      <c r="H122" s="69">
        <v>0.0</v>
      </c>
      <c r="I122" s="69">
        <v>0.0</v>
      </c>
      <c r="J122" s="69">
        <v>0.0</v>
      </c>
      <c r="K122" s="69">
        <v>0.0</v>
      </c>
      <c r="L122" s="69">
        <v>0.0</v>
      </c>
      <c r="M122" s="69">
        <v>0.0</v>
      </c>
      <c r="N122" s="69">
        <v>0.0</v>
      </c>
      <c r="O122" s="69">
        <v>0.0</v>
      </c>
      <c r="P122" s="69">
        <v>1.0</v>
      </c>
      <c r="Q122" s="69">
        <v>0.0</v>
      </c>
      <c r="R122" s="69">
        <v>0.0</v>
      </c>
      <c r="S122" s="69">
        <v>0.0</v>
      </c>
      <c r="T122" s="69">
        <v>0.0</v>
      </c>
      <c r="U122" s="69">
        <v>0.0</v>
      </c>
      <c r="V122" s="69">
        <v>0.0</v>
      </c>
      <c r="W122" s="69">
        <v>0.0</v>
      </c>
      <c r="X122" s="13">
        <f t="shared" si="32"/>
        <v>1</v>
      </c>
      <c r="Y122" s="5"/>
      <c r="Z122" s="5"/>
    </row>
    <row r="123" ht="12.75" customHeight="1">
      <c r="A123" s="18"/>
      <c r="B123" s="49"/>
      <c r="C123" s="50" t="s">
        <v>106</v>
      </c>
      <c r="D123" s="51"/>
      <c r="E123" s="69">
        <v>0.0</v>
      </c>
      <c r="F123" s="69">
        <v>0.0</v>
      </c>
      <c r="G123" s="69">
        <v>0.0</v>
      </c>
      <c r="H123" s="69">
        <v>1.0</v>
      </c>
      <c r="I123" s="69">
        <v>0.0</v>
      </c>
      <c r="J123" s="69">
        <v>0.0</v>
      </c>
      <c r="K123" s="69">
        <v>0.0</v>
      </c>
      <c r="L123" s="69">
        <v>0.0</v>
      </c>
      <c r="M123" s="69">
        <v>0.0</v>
      </c>
      <c r="N123" s="69">
        <v>0.0</v>
      </c>
      <c r="O123" s="69">
        <v>0.0</v>
      </c>
      <c r="P123" s="69">
        <v>0.0</v>
      </c>
      <c r="Q123" s="69">
        <v>0.0</v>
      </c>
      <c r="R123" s="69">
        <v>0.0</v>
      </c>
      <c r="S123" s="69">
        <v>0.0</v>
      </c>
      <c r="T123" s="69">
        <v>0.0</v>
      </c>
      <c r="U123" s="69">
        <v>0.0</v>
      </c>
      <c r="V123" s="69">
        <v>0.0</v>
      </c>
      <c r="W123" s="69">
        <v>0.0</v>
      </c>
      <c r="X123" s="13">
        <f t="shared" si="32"/>
        <v>1</v>
      </c>
      <c r="Y123" s="5"/>
      <c r="Z123" s="5"/>
    </row>
    <row r="124" ht="12.75" customHeight="1">
      <c r="A124" s="18"/>
      <c r="B124" s="49"/>
      <c r="C124" s="50" t="s">
        <v>107</v>
      </c>
      <c r="D124" s="51"/>
      <c r="E124" s="69">
        <v>0.0</v>
      </c>
      <c r="F124" s="69">
        <v>0.0</v>
      </c>
      <c r="G124" s="69">
        <v>0.0</v>
      </c>
      <c r="H124" s="69">
        <v>0.0</v>
      </c>
      <c r="I124" s="69">
        <v>0.0</v>
      </c>
      <c r="J124" s="69">
        <v>0.0</v>
      </c>
      <c r="K124" s="69">
        <v>0.0</v>
      </c>
      <c r="L124" s="69">
        <v>0.0</v>
      </c>
      <c r="M124" s="69">
        <v>0.0</v>
      </c>
      <c r="N124" s="69">
        <v>0.0</v>
      </c>
      <c r="O124" s="69">
        <v>0.0</v>
      </c>
      <c r="P124" s="69">
        <v>0.0</v>
      </c>
      <c r="Q124" s="69">
        <v>0.0</v>
      </c>
      <c r="R124" s="69">
        <v>0.0</v>
      </c>
      <c r="S124" s="69">
        <v>0.0</v>
      </c>
      <c r="T124" s="69">
        <v>0.0</v>
      </c>
      <c r="U124" s="69">
        <v>0.0</v>
      </c>
      <c r="V124" s="69">
        <v>0.0</v>
      </c>
      <c r="W124" s="69">
        <v>0.0</v>
      </c>
      <c r="X124" s="13">
        <f t="shared" si="32"/>
        <v>0</v>
      </c>
      <c r="Y124" s="5"/>
      <c r="Z124" s="5"/>
    </row>
    <row r="125" ht="12.75" customHeight="1">
      <c r="A125" s="19" t="s">
        <v>15</v>
      </c>
      <c r="B125" s="47" t="s">
        <v>47</v>
      </c>
      <c r="C125" s="15"/>
      <c r="D125" s="16"/>
      <c r="E125" s="56">
        <f t="shared" ref="E125:W125" si="33">SUM(E117:E124)</f>
        <v>1</v>
      </c>
      <c r="F125" s="56">
        <f t="shared" si="33"/>
        <v>1</v>
      </c>
      <c r="G125" s="56">
        <f t="shared" si="33"/>
        <v>0</v>
      </c>
      <c r="H125" s="56">
        <f t="shared" si="33"/>
        <v>2</v>
      </c>
      <c r="I125" s="56">
        <f t="shared" si="33"/>
        <v>3</v>
      </c>
      <c r="J125" s="56">
        <f t="shared" si="33"/>
        <v>1</v>
      </c>
      <c r="K125" s="56">
        <f t="shared" si="33"/>
        <v>0</v>
      </c>
      <c r="L125" s="56">
        <f t="shared" si="33"/>
        <v>0</v>
      </c>
      <c r="M125" s="56">
        <f t="shared" si="33"/>
        <v>0</v>
      </c>
      <c r="N125" s="56">
        <f t="shared" si="33"/>
        <v>1</v>
      </c>
      <c r="O125" s="56">
        <f t="shared" si="33"/>
        <v>0</v>
      </c>
      <c r="P125" s="56">
        <f t="shared" si="33"/>
        <v>2</v>
      </c>
      <c r="Q125" s="56">
        <f t="shared" si="33"/>
        <v>1</v>
      </c>
      <c r="R125" s="56">
        <f t="shared" si="33"/>
        <v>0</v>
      </c>
      <c r="S125" s="56">
        <f t="shared" si="33"/>
        <v>0</v>
      </c>
      <c r="T125" s="56">
        <f t="shared" si="33"/>
        <v>0</v>
      </c>
      <c r="U125" s="56">
        <f t="shared" si="33"/>
        <v>0</v>
      </c>
      <c r="V125" s="56">
        <f t="shared" si="33"/>
        <v>0</v>
      </c>
      <c r="W125" s="56">
        <f t="shared" si="33"/>
        <v>0</v>
      </c>
      <c r="X125" s="13">
        <f t="shared" si="32"/>
        <v>12</v>
      </c>
      <c r="Y125" s="5"/>
      <c r="Z125" s="5"/>
    </row>
    <row r="126" ht="12.75" customHeight="1">
      <c r="A126" s="57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13"/>
      <c r="Y126" s="5"/>
      <c r="Z126" s="5"/>
    </row>
    <row r="127" ht="15.0" customHeight="1">
      <c r="A127" s="30" t="s">
        <v>37</v>
      </c>
      <c r="B127" s="47" t="s">
        <v>108</v>
      </c>
      <c r="C127" s="48" t="s">
        <v>109</v>
      </c>
      <c r="D127" s="16"/>
      <c r="E127" s="69">
        <v>0.0</v>
      </c>
      <c r="F127" s="69">
        <v>0.0</v>
      </c>
      <c r="G127" s="69">
        <v>0.0</v>
      </c>
      <c r="H127" s="69">
        <v>0.0</v>
      </c>
      <c r="I127" s="69">
        <v>0.0</v>
      </c>
      <c r="J127" s="69">
        <v>0.0</v>
      </c>
      <c r="K127" s="69">
        <v>0.0</v>
      </c>
      <c r="L127" s="69">
        <v>0.0</v>
      </c>
      <c r="M127" s="69">
        <v>0.0</v>
      </c>
      <c r="N127" s="69">
        <v>0.0</v>
      </c>
      <c r="O127" s="69">
        <v>0.0</v>
      </c>
      <c r="P127" s="69">
        <v>0.0</v>
      </c>
      <c r="Q127" s="69">
        <v>0.0</v>
      </c>
      <c r="R127" s="69">
        <v>0.0</v>
      </c>
      <c r="S127" s="69">
        <v>0.0</v>
      </c>
      <c r="T127" s="69">
        <v>0.0</v>
      </c>
      <c r="U127" s="69">
        <v>0.0</v>
      </c>
      <c r="V127" s="69">
        <v>0.0</v>
      </c>
      <c r="W127" s="69">
        <v>0.0</v>
      </c>
      <c r="X127" s="13">
        <f t="shared" ref="X127:X129" si="34">SUM(E127:W127)</f>
        <v>0</v>
      </c>
      <c r="Y127" s="5"/>
      <c r="Z127" s="5"/>
    </row>
    <row r="128" ht="12.75" customHeight="1">
      <c r="A128" s="30" t="s">
        <v>39</v>
      </c>
      <c r="B128" s="49"/>
      <c r="C128" s="50"/>
      <c r="D128" s="51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3">
        <f t="shared" si="34"/>
        <v>0</v>
      </c>
      <c r="Y128" s="5"/>
      <c r="Z128" s="5"/>
    </row>
    <row r="129" ht="12.75" customHeight="1">
      <c r="A129" s="19" t="s">
        <v>15</v>
      </c>
      <c r="B129" s="47" t="s">
        <v>47</v>
      </c>
      <c r="C129" s="15"/>
      <c r="D129" s="16"/>
      <c r="E129" s="56">
        <f t="shared" ref="E129:W129" si="35">SUM(E127:E128)</f>
        <v>0</v>
      </c>
      <c r="F129" s="56">
        <f t="shared" si="35"/>
        <v>0</v>
      </c>
      <c r="G129" s="56">
        <f t="shared" si="35"/>
        <v>0</v>
      </c>
      <c r="H129" s="56">
        <f t="shared" si="35"/>
        <v>0</v>
      </c>
      <c r="I129" s="56">
        <f t="shared" si="35"/>
        <v>0</v>
      </c>
      <c r="J129" s="56">
        <f t="shared" si="35"/>
        <v>0</v>
      </c>
      <c r="K129" s="56">
        <f t="shared" si="35"/>
        <v>0</v>
      </c>
      <c r="L129" s="56">
        <f t="shared" si="35"/>
        <v>0</v>
      </c>
      <c r="M129" s="56">
        <f t="shared" si="35"/>
        <v>0</v>
      </c>
      <c r="N129" s="56">
        <f t="shared" si="35"/>
        <v>0</v>
      </c>
      <c r="O129" s="56">
        <f t="shared" si="35"/>
        <v>0</v>
      </c>
      <c r="P129" s="56">
        <f t="shared" si="35"/>
        <v>0</v>
      </c>
      <c r="Q129" s="56">
        <f t="shared" si="35"/>
        <v>0</v>
      </c>
      <c r="R129" s="56">
        <f t="shared" si="35"/>
        <v>0</v>
      </c>
      <c r="S129" s="56">
        <f t="shared" si="35"/>
        <v>0</v>
      </c>
      <c r="T129" s="56">
        <f t="shared" si="35"/>
        <v>0</v>
      </c>
      <c r="U129" s="56">
        <f t="shared" si="35"/>
        <v>0</v>
      </c>
      <c r="V129" s="56">
        <f t="shared" si="35"/>
        <v>0</v>
      </c>
      <c r="W129" s="56">
        <f t="shared" si="35"/>
        <v>0</v>
      </c>
      <c r="X129" s="13">
        <f t="shared" si="34"/>
        <v>0</v>
      </c>
      <c r="Y129" s="5"/>
      <c r="Z129" s="5"/>
    </row>
    <row r="130" ht="12.75" customHeight="1">
      <c r="A130" s="57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13"/>
      <c r="Y130" s="1"/>
      <c r="Z130" s="1"/>
    </row>
    <row r="131" ht="12.75" customHeight="1">
      <c r="A131" s="30" t="s">
        <v>37</v>
      </c>
      <c r="B131" s="47" t="s">
        <v>110</v>
      </c>
      <c r="C131" s="48" t="s">
        <v>111</v>
      </c>
      <c r="D131" s="16"/>
      <c r="E131" s="69">
        <v>0.0</v>
      </c>
      <c r="F131" s="69">
        <v>4.0</v>
      </c>
      <c r="G131" s="69">
        <v>1.0</v>
      </c>
      <c r="H131" s="69">
        <v>1.0</v>
      </c>
      <c r="I131" s="69">
        <v>0.0</v>
      </c>
      <c r="J131" s="69">
        <v>0.0</v>
      </c>
      <c r="K131" s="69">
        <v>0.0</v>
      </c>
      <c r="L131" s="69">
        <v>1.0</v>
      </c>
      <c r="M131" s="69">
        <v>1.0</v>
      </c>
      <c r="N131" s="69">
        <v>0.0</v>
      </c>
      <c r="O131" s="69">
        <v>0.0</v>
      </c>
      <c r="P131" s="69">
        <v>0.0</v>
      </c>
      <c r="Q131" s="69">
        <v>1.0</v>
      </c>
      <c r="R131" s="69">
        <v>1.0</v>
      </c>
      <c r="S131" s="69">
        <v>0.0</v>
      </c>
      <c r="T131" s="69">
        <v>0.0</v>
      </c>
      <c r="U131" s="69">
        <v>1.0</v>
      </c>
      <c r="V131" s="69">
        <v>1.0</v>
      </c>
      <c r="W131" s="69">
        <v>0.0</v>
      </c>
      <c r="X131" s="13">
        <f t="shared" ref="X131:X136" si="36">SUM(E131:W131)</f>
        <v>12</v>
      </c>
      <c r="Y131" s="53"/>
      <c r="Z131" s="53"/>
    </row>
    <row r="132" ht="12.75" customHeight="1">
      <c r="A132" s="30" t="s">
        <v>39</v>
      </c>
      <c r="B132" s="49"/>
      <c r="C132" s="50" t="s">
        <v>112</v>
      </c>
      <c r="D132" s="51"/>
      <c r="E132" s="69">
        <v>1.0</v>
      </c>
      <c r="F132" s="69">
        <v>1.0</v>
      </c>
      <c r="G132" s="69">
        <v>0.0</v>
      </c>
      <c r="H132" s="69">
        <v>0.0</v>
      </c>
      <c r="I132" s="69">
        <v>0.0</v>
      </c>
      <c r="J132" s="69">
        <v>1.0</v>
      </c>
      <c r="K132" s="69">
        <v>1.0</v>
      </c>
      <c r="L132" s="69">
        <v>0.0</v>
      </c>
      <c r="M132" s="69">
        <v>1.0</v>
      </c>
      <c r="N132" s="69">
        <v>1.0</v>
      </c>
      <c r="O132" s="69">
        <v>1.0</v>
      </c>
      <c r="P132" s="69">
        <v>0.0</v>
      </c>
      <c r="Q132" s="69">
        <v>0.0</v>
      </c>
      <c r="R132" s="69">
        <v>1.0</v>
      </c>
      <c r="S132" s="69">
        <v>0.0</v>
      </c>
      <c r="T132" s="69">
        <v>0.0</v>
      </c>
      <c r="U132" s="69">
        <v>1.0</v>
      </c>
      <c r="V132" s="69">
        <v>0.0</v>
      </c>
      <c r="W132" s="69">
        <v>0.0</v>
      </c>
      <c r="X132" s="13">
        <f t="shared" si="36"/>
        <v>9</v>
      </c>
      <c r="Y132" s="5"/>
      <c r="Z132" s="5"/>
    </row>
    <row r="133" ht="12.75" customHeight="1">
      <c r="A133" s="18"/>
      <c r="B133" s="49"/>
      <c r="C133" s="50" t="s">
        <v>113</v>
      </c>
      <c r="D133" s="51"/>
      <c r="E133" s="69">
        <v>0.0</v>
      </c>
      <c r="F133" s="69">
        <v>1.0</v>
      </c>
      <c r="G133" s="69">
        <v>1.0</v>
      </c>
      <c r="H133" s="69">
        <v>1.0</v>
      </c>
      <c r="I133" s="69">
        <v>0.0</v>
      </c>
      <c r="J133" s="69">
        <v>0.0</v>
      </c>
      <c r="K133" s="69">
        <v>0.0</v>
      </c>
      <c r="L133" s="69">
        <v>3.0</v>
      </c>
      <c r="M133" s="69">
        <v>2.0</v>
      </c>
      <c r="N133" s="69">
        <v>0.0</v>
      </c>
      <c r="O133" s="69">
        <v>1.0</v>
      </c>
      <c r="P133" s="69">
        <v>0.0</v>
      </c>
      <c r="Q133" s="69">
        <v>0.0</v>
      </c>
      <c r="R133" s="69">
        <v>0.0</v>
      </c>
      <c r="S133" s="69">
        <v>0.0</v>
      </c>
      <c r="T133" s="69">
        <v>0.0</v>
      </c>
      <c r="U133" s="69">
        <v>0.0</v>
      </c>
      <c r="V133" s="69">
        <v>1.0</v>
      </c>
      <c r="W133" s="69">
        <v>0.0</v>
      </c>
      <c r="X133" s="13">
        <f t="shared" si="36"/>
        <v>10</v>
      </c>
      <c r="Y133" s="5"/>
      <c r="Z133" s="5"/>
    </row>
    <row r="134" ht="12.75" customHeight="1">
      <c r="A134" s="18"/>
      <c r="B134" s="49"/>
      <c r="C134" s="50" t="s">
        <v>114</v>
      </c>
      <c r="D134" s="51"/>
      <c r="E134" s="69">
        <v>0.0</v>
      </c>
      <c r="F134" s="69">
        <v>2.0</v>
      </c>
      <c r="G134" s="69">
        <v>0.0</v>
      </c>
      <c r="H134" s="69">
        <v>0.0</v>
      </c>
      <c r="I134" s="69">
        <v>0.0</v>
      </c>
      <c r="J134" s="69">
        <v>0.0</v>
      </c>
      <c r="K134" s="69">
        <v>0.0</v>
      </c>
      <c r="L134" s="69">
        <v>0.0</v>
      </c>
      <c r="M134" s="69">
        <v>0.0</v>
      </c>
      <c r="N134" s="69">
        <v>0.0</v>
      </c>
      <c r="O134" s="69">
        <v>0.0</v>
      </c>
      <c r="P134" s="69">
        <v>0.0</v>
      </c>
      <c r="Q134" s="69">
        <v>0.0</v>
      </c>
      <c r="R134" s="69">
        <v>0.0</v>
      </c>
      <c r="S134" s="69">
        <v>0.0</v>
      </c>
      <c r="T134" s="69">
        <v>0.0</v>
      </c>
      <c r="U134" s="69">
        <v>0.0</v>
      </c>
      <c r="V134" s="69">
        <v>0.0</v>
      </c>
      <c r="W134" s="69">
        <v>0.0</v>
      </c>
      <c r="X134" s="13">
        <f t="shared" si="36"/>
        <v>2</v>
      </c>
      <c r="Y134" s="5"/>
      <c r="Z134" s="5"/>
    </row>
    <row r="135" ht="12.75" customHeight="1">
      <c r="A135" s="18"/>
      <c r="B135" s="49"/>
      <c r="C135" s="50" t="s">
        <v>115</v>
      </c>
      <c r="D135" s="51"/>
      <c r="E135" s="69">
        <v>0.0</v>
      </c>
      <c r="F135" s="69">
        <v>0.0</v>
      </c>
      <c r="G135" s="69">
        <v>0.0</v>
      </c>
      <c r="H135" s="69">
        <v>0.0</v>
      </c>
      <c r="I135" s="69">
        <v>0.0</v>
      </c>
      <c r="J135" s="69">
        <v>0.0</v>
      </c>
      <c r="K135" s="69">
        <v>0.0</v>
      </c>
      <c r="L135" s="69">
        <v>0.0</v>
      </c>
      <c r="M135" s="69">
        <v>0.0</v>
      </c>
      <c r="N135" s="69">
        <v>0.0</v>
      </c>
      <c r="O135" s="69">
        <v>0.0</v>
      </c>
      <c r="P135" s="69">
        <v>0.0</v>
      </c>
      <c r="Q135" s="69">
        <v>0.0</v>
      </c>
      <c r="R135" s="69">
        <v>0.0</v>
      </c>
      <c r="S135" s="69">
        <v>0.0</v>
      </c>
      <c r="T135" s="69">
        <v>0.0</v>
      </c>
      <c r="U135" s="69">
        <v>0.0</v>
      </c>
      <c r="V135" s="69">
        <v>0.0</v>
      </c>
      <c r="W135" s="69">
        <v>0.0</v>
      </c>
      <c r="X135" s="13">
        <f t="shared" si="36"/>
        <v>0</v>
      </c>
      <c r="Y135" s="5"/>
      <c r="Z135" s="5"/>
    </row>
    <row r="136" ht="12.75" customHeight="1">
      <c r="A136" s="19" t="s">
        <v>15</v>
      </c>
      <c r="B136" s="47" t="s">
        <v>47</v>
      </c>
      <c r="C136" s="15"/>
      <c r="D136" s="16"/>
      <c r="E136" s="56">
        <f t="shared" ref="E136:W136" si="37">SUM(E131:E135)</f>
        <v>1</v>
      </c>
      <c r="F136" s="56">
        <f t="shared" si="37"/>
        <v>8</v>
      </c>
      <c r="G136" s="56">
        <f t="shared" si="37"/>
        <v>2</v>
      </c>
      <c r="H136" s="56">
        <f t="shared" si="37"/>
        <v>2</v>
      </c>
      <c r="I136" s="56">
        <f t="shared" si="37"/>
        <v>0</v>
      </c>
      <c r="J136" s="56">
        <f t="shared" si="37"/>
        <v>1</v>
      </c>
      <c r="K136" s="56">
        <f t="shared" si="37"/>
        <v>1</v>
      </c>
      <c r="L136" s="56">
        <f t="shared" si="37"/>
        <v>4</v>
      </c>
      <c r="M136" s="56">
        <f t="shared" si="37"/>
        <v>4</v>
      </c>
      <c r="N136" s="56">
        <f t="shared" si="37"/>
        <v>1</v>
      </c>
      <c r="O136" s="56">
        <f t="shared" si="37"/>
        <v>2</v>
      </c>
      <c r="P136" s="56">
        <f t="shared" si="37"/>
        <v>0</v>
      </c>
      <c r="Q136" s="56">
        <f t="shared" si="37"/>
        <v>1</v>
      </c>
      <c r="R136" s="56">
        <f t="shared" si="37"/>
        <v>2</v>
      </c>
      <c r="S136" s="56">
        <f t="shared" si="37"/>
        <v>0</v>
      </c>
      <c r="T136" s="56">
        <f t="shared" si="37"/>
        <v>0</v>
      </c>
      <c r="U136" s="56">
        <f t="shared" si="37"/>
        <v>2</v>
      </c>
      <c r="V136" s="56">
        <f t="shared" si="37"/>
        <v>2</v>
      </c>
      <c r="W136" s="56">
        <f t="shared" si="37"/>
        <v>0</v>
      </c>
      <c r="X136" s="13">
        <f t="shared" si="36"/>
        <v>33</v>
      </c>
      <c r="Y136" s="5"/>
      <c r="Z136" s="5"/>
    </row>
    <row r="137" ht="12.75" customHeight="1">
      <c r="A137" s="57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13"/>
      <c r="Y137" s="5"/>
      <c r="Z137" s="5"/>
    </row>
    <row r="138" ht="12.75" customHeight="1">
      <c r="A138" s="30" t="s">
        <v>37</v>
      </c>
      <c r="B138" s="47" t="s">
        <v>116</v>
      </c>
      <c r="C138" s="48" t="s">
        <v>117</v>
      </c>
      <c r="D138" s="16"/>
      <c r="E138" s="69">
        <v>0.0</v>
      </c>
      <c r="F138" s="69">
        <v>0.0</v>
      </c>
      <c r="G138" s="69">
        <v>0.0</v>
      </c>
      <c r="H138" s="69">
        <v>0.0</v>
      </c>
      <c r="I138" s="69">
        <v>0.0</v>
      </c>
      <c r="J138" s="69">
        <v>0.0</v>
      </c>
      <c r="K138" s="69">
        <v>0.0</v>
      </c>
      <c r="L138" s="69">
        <v>0.0</v>
      </c>
      <c r="M138" s="69">
        <v>0.0</v>
      </c>
      <c r="N138" s="69">
        <v>0.0</v>
      </c>
      <c r="O138" s="69">
        <v>0.0</v>
      </c>
      <c r="P138" s="69">
        <v>0.0</v>
      </c>
      <c r="Q138" s="69">
        <v>0.0</v>
      </c>
      <c r="R138" s="69">
        <v>0.0</v>
      </c>
      <c r="S138" s="69">
        <v>0.0</v>
      </c>
      <c r="T138" s="69">
        <v>0.0</v>
      </c>
      <c r="U138" s="69">
        <v>0.0</v>
      </c>
      <c r="V138" s="69">
        <v>0.0</v>
      </c>
      <c r="W138" s="69">
        <v>0.0</v>
      </c>
      <c r="X138" s="13">
        <f t="shared" ref="X138:X146" si="38">SUM(E138:W138)</f>
        <v>0</v>
      </c>
      <c r="Y138" s="5"/>
      <c r="Z138" s="5"/>
    </row>
    <row r="139" ht="15.0" customHeight="1">
      <c r="A139" s="30" t="s">
        <v>39</v>
      </c>
      <c r="B139" s="49"/>
      <c r="C139" s="50" t="s">
        <v>118</v>
      </c>
      <c r="D139" s="51"/>
      <c r="E139" s="69">
        <v>0.0</v>
      </c>
      <c r="F139" s="69">
        <v>0.0</v>
      </c>
      <c r="G139" s="69">
        <v>0.0</v>
      </c>
      <c r="H139" s="69">
        <v>0.0</v>
      </c>
      <c r="I139" s="69">
        <v>0.0</v>
      </c>
      <c r="J139" s="69">
        <v>0.0</v>
      </c>
      <c r="K139" s="69">
        <v>0.0</v>
      </c>
      <c r="L139" s="69">
        <v>0.0</v>
      </c>
      <c r="M139" s="69">
        <v>0.0</v>
      </c>
      <c r="N139" s="69">
        <v>0.0</v>
      </c>
      <c r="O139" s="69">
        <v>0.0</v>
      </c>
      <c r="P139" s="69">
        <v>0.0</v>
      </c>
      <c r="Q139" s="69">
        <v>0.0</v>
      </c>
      <c r="R139" s="69">
        <v>0.0</v>
      </c>
      <c r="S139" s="69">
        <v>0.0</v>
      </c>
      <c r="T139" s="69">
        <v>0.0</v>
      </c>
      <c r="U139" s="69">
        <v>0.0</v>
      </c>
      <c r="V139" s="69">
        <v>0.0</v>
      </c>
      <c r="W139" s="69">
        <v>0.0</v>
      </c>
      <c r="X139" s="13">
        <f t="shared" si="38"/>
        <v>0</v>
      </c>
      <c r="Y139" s="5"/>
      <c r="Z139" s="5"/>
    </row>
    <row r="140" ht="12.75" customHeight="1">
      <c r="A140" s="18"/>
      <c r="B140" s="49"/>
      <c r="C140" s="50" t="s">
        <v>119</v>
      </c>
      <c r="D140" s="51"/>
      <c r="E140" s="69">
        <v>0.0</v>
      </c>
      <c r="F140" s="69">
        <v>0.0</v>
      </c>
      <c r="G140" s="69">
        <v>0.0</v>
      </c>
      <c r="H140" s="69">
        <v>0.0</v>
      </c>
      <c r="I140" s="69">
        <v>0.0</v>
      </c>
      <c r="J140" s="69">
        <v>0.0</v>
      </c>
      <c r="K140" s="69">
        <v>0.0</v>
      </c>
      <c r="L140" s="69">
        <v>0.0</v>
      </c>
      <c r="M140" s="69">
        <v>0.0</v>
      </c>
      <c r="N140" s="69">
        <v>0.0</v>
      </c>
      <c r="O140" s="69">
        <v>0.0</v>
      </c>
      <c r="P140" s="69">
        <v>0.0</v>
      </c>
      <c r="Q140" s="69">
        <v>0.0</v>
      </c>
      <c r="R140" s="69">
        <v>0.0</v>
      </c>
      <c r="S140" s="69">
        <v>0.0</v>
      </c>
      <c r="T140" s="69">
        <v>0.0</v>
      </c>
      <c r="U140" s="69">
        <v>0.0</v>
      </c>
      <c r="V140" s="69">
        <v>0.0</v>
      </c>
      <c r="W140" s="69">
        <v>0.0</v>
      </c>
      <c r="X140" s="13">
        <f t="shared" si="38"/>
        <v>0</v>
      </c>
      <c r="Y140" s="5"/>
      <c r="Z140" s="5"/>
    </row>
    <row r="141" ht="12.75" customHeight="1">
      <c r="A141" s="18"/>
      <c r="B141" s="49"/>
      <c r="C141" s="50" t="s">
        <v>120</v>
      </c>
      <c r="D141" s="51"/>
      <c r="E141" s="69">
        <v>0.0</v>
      </c>
      <c r="F141" s="69">
        <v>0.0</v>
      </c>
      <c r="G141" s="69">
        <v>0.0</v>
      </c>
      <c r="H141" s="69">
        <v>0.0</v>
      </c>
      <c r="I141" s="69">
        <v>0.0</v>
      </c>
      <c r="J141" s="69">
        <v>0.0</v>
      </c>
      <c r="K141" s="69">
        <v>0.0</v>
      </c>
      <c r="L141" s="69">
        <v>0.0</v>
      </c>
      <c r="M141" s="69">
        <v>0.0</v>
      </c>
      <c r="N141" s="69">
        <v>0.0</v>
      </c>
      <c r="O141" s="69">
        <v>0.0</v>
      </c>
      <c r="P141" s="69">
        <v>0.0</v>
      </c>
      <c r="Q141" s="69">
        <v>0.0</v>
      </c>
      <c r="R141" s="69">
        <v>0.0</v>
      </c>
      <c r="S141" s="69">
        <v>0.0</v>
      </c>
      <c r="T141" s="69">
        <v>0.0</v>
      </c>
      <c r="U141" s="69">
        <v>0.0</v>
      </c>
      <c r="V141" s="69">
        <v>0.0</v>
      </c>
      <c r="W141" s="69">
        <v>0.0</v>
      </c>
      <c r="X141" s="13">
        <f t="shared" si="38"/>
        <v>0</v>
      </c>
      <c r="Y141" s="1"/>
      <c r="Z141" s="1"/>
    </row>
    <row r="142" ht="12.75" customHeight="1">
      <c r="A142" s="18"/>
      <c r="B142" s="49"/>
      <c r="C142" s="50" t="s">
        <v>121</v>
      </c>
      <c r="D142" s="51"/>
      <c r="E142" s="69">
        <v>0.0</v>
      </c>
      <c r="F142" s="69">
        <v>0.0</v>
      </c>
      <c r="G142" s="69">
        <v>0.0</v>
      </c>
      <c r="H142" s="69">
        <v>0.0</v>
      </c>
      <c r="I142" s="69">
        <v>0.0</v>
      </c>
      <c r="J142" s="69">
        <v>0.0</v>
      </c>
      <c r="K142" s="69">
        <v>0.0</v>
      </c>
      <c r="L142" s="69">
        <v>0.0</v>
      </c>
      <c r="M142" s="69">
        <v>0.0</v>
      </c>
      <c r="N142" s="69">
        <v>0.0</v>
      </c>
      <c r="O142" s="69">
        <v>0.0</v>
      </c>
      <c r="P142" s="69">
        <v>0.0</v>
      </c>
      <c r="Q142" s="69">
        <v>0.0</v>
      </c>
      <c r="R142" s="69">
        <v>0.0</v>
      </c>
      <c r="S142" s="69">
        <v>0.0</v>
      </c>
      <c r="T142" s="69">
        <v>0.0</v>
      </c>
      <c r="U142" s="69">
        <v>0.0</v>
      </c>
      <c r="V142" s="69">
        <v>0.0</v>
      </c>
      <c r="W142" s="69">
        <v>0.0</v>
      </c>
      <c r="X142" s="13">
        <f t="shared" si="38"/>
        <v>0</v>
      </c>
      <c r="Y142" s="53"/>
      <c r="Z142" s="53"/>
    </row>
    <row r="143" ht="12.75" customHeight="1">
      <c r="A143" s="18"/>
      <c r="B143" s="49"/>
      <c r="C143" s="50" t="s">
        <v>122</v>
      </c>
      <c r="D143" s="51"/>
      <c r="E143" s="69">
        <v>0.0</v>
      </c>
      <c r="F143" s="69">
        <v>0.0</v>
      </c>
      <c r="G143" s="69">
        <v>0.0</v>
      </c>
      <c r="H143" s="69">
        <v>0.0</v>
      </c>
      <c r="I143" s="69">
        <v>0.0</v>
      </c>
      <c r="J143" s="69">
        <v>0.0</v>
      </c>
      <c r="K143" s="69">
        <v>0.0</v>
      </c>
      <c r="L143" s="69">
        <v>0.0</v>
      </c>
      <c r="M143" s="69">
        <v>0.0</v>
      </c>
      <c r="N143" s="69">
        <v>0.0</v>
      </c>
      <c r="O143" s="69">
        <v>0.0</v>
      </c>
      <c r="P143" s="69">
        <v>0.0</v>
      </c>
      <c r="Q143" s="69">
        <v>0.0</v>
      </c>
      <c r="R143" s="69">
        <v>0.0</v>
      </c>
      <c r="S143" s="69">
        <v>0.0</v>
      </c>
      <c r="T143" s="69">
        <v>0.0</v>
      </c>
      <c r="U143" s="69">
        <v>0.0</v>
      </c>
      <c r="V143" s="69">
        <v>0.0</v>
      </c>
      <c r="W143" s="69">
        <v>0.0</v>
      </c>
      <c r="X143" s="13">
        <f t="shared" si="38"/>
        <v>0</v>
      </c>
      <c r="Y143" s="5"/>
      <c r="Z143" s="5"/>
    </row>
    <row r="144" ht="12.75" customHeight="1">
      <c r="A144" s="18"/>
      <c r="B144" s="49"/>
      <c r="C144" s="50" t="s">
        <v>123</v>
      </c>
      <c r="D144" s="51"/>
      <c r="E144" s="69">
        <v>0.0</v>
      </c>
      <c r="F144" s="69">
        <v>0.0</v>
      </c>
      <c r="G144" s="69">
        <v>0.0</v>
      </c>
      <c r="H144" s="69">
        <v>0.0</v>
      </c>
      <c r="I144" s="69">
        <v>0.0</v>
      </c>
      <c r="J144" s="69">
        <v>0.0</v>
      </c>
      <c r="K144" s="69">
        <v>0.0</v>
      </c>
      <c r="L144" s="69">
        <v>0.0</v>
      </c>
      <c r="M144" s="69">
        <v>0.0</v>
      </c>
      <c r="N144" s="69">
        <v>0.0</v>
      </c>
      <c r="O144" s="69">
        <v>0.0</v>
      </c>
      <c r="P144" s="69">
        <v>0.0</v>
      </c>
      <c r="Q144" s="69">
        <v>0.0</v>
      </c>
      <c r="R144" s="69">
        <v>0.0</v>
      </c>
      <c r="S144" s="69">
        <v>0.0</v>
      </c>
      <c r="T144" s="69">
        <v>0.0</v>
      </c>
      <c r="U144" s="69">
        <v>0.0</v>
      </c>
      <c r="V144" s="69">
        <v>0.0</v>
      </c>
      <c r="W144" s="69">
        <v>0.0</v>
      </c>
      <c r="X144" s="13">
        <f t="shared" si="38"/>
        <v>0</v>
      </c>
      <c r="Y144" s="5"/>
      <c r="Z144" s="5"/>
    </row>
    <row r="145" ht="12.75" customHeight="1">
      <c r="A145" s="18"/>
      <c r="B145" s="49"/>
      <c r="C145" s="50" t="s">
        <v>124</v>
      </c>
      <c r="D145" s="51"/>
      <c r="E145" s="69">
        <v>0.0</v>
      </c>
      <c r="F145" s="69">
        <v>0.0</v>
      </c>
      <c r="G145" s="69">
        <v>0.0</v>
      </c>
      <c r="H145" s="69">
        <v>0.0</v>
      </c>
      <c r="I145" s="69">
        <v>0.0</v>
      </c>
      <c r="J145" s="69">
        <v>0.0</v>
      </c>
      <c r="K145" s="69">
        <v>0.0</v>
      </c>
      <c r="L145" s="69">
        <v>0.0</v>
      </c>
      <c r="M145" s="69">
        <v>0.0</v>
      </c>
      <c r="N145" s="69">
        <v>0.0</v>
      </c>
      <c r="O145" s="69">
        <v>0.0</v>
      </c>
      <c r="P145" s="69">
        <v>0.0</v>
      </c>
      <c r="Q145" s="69">
        <v>0.0</v>
      </c>
      <c r="R145" s="69">
        <v>0.0</v>
      </c>
      <c r="S145" s="69">
        <v>0.0</v>
      </c>
      <c r="T145" s="69">
        <v>0.0</v>
      </c>
      <c r="U145" s="69">
        <v>0.0</v>
      </c>
      <c r="V145" s="69">
        <v>0.0</v>
      </c>
      <c r="W145" s="69">
        <v>0.0</v>
      </c>
      <c r="X145" s="13">
        <f t="shared" si="38"/>
        <v>0</v>
      </c>
      <c r="Y145" s="5"/>
      <c r="Z145" s="5"/>
    </row>
    <row r="146" ht="12.75" customHeight="1">
      <c r="A146" s="19" t="s">
        <v>15</v>
      </c>
      <c r="B146" s="47" t="s">
        <v>47</v>
      </c>
      <c r="C146" s="15"/>
      <c r="D146" s="16"/>
      <c r="E146" s="56">
        <f t="shared" ref="E146:W146" si="39">SUM(E138:E145)</f>
        <v>0</v>
      </c>
      <c r="F146" s="56">
        <f t="shared" si="39"/>
        <v>0</v>
      </c>
      <c r="G146" s="56">
        <f t="shared" si="39"/>
        <v>0</v>
      </c>
      <c r="H146" s="56">
        <f t="shared" si="39"/>
        <v>0</v>
      </c>
      <c r="I146" s="56">
        <f t="shared" si="39"/>
        <v>0</v>
      </c>
      <c r="J146" s="56">
        <f t="shared" si="39"/>
        <v>0</v>
      </c>
      <c r="K146" s="56">
        <f t="shared" si="39"/>
        <v>0</v>
      </c>
      <c r="L146" s="56">
        <f t="shared" si="39"/>
        <v>0</v>
      </c>
      <c r="M146" s="56">
        <f t="shared" si="39"/>
        <v>0</v>
      </c>
      <c r="N146" s="56">
        <f t="shared" si="39"/>
        <v>0</v>
      </c>
      <c r="O146" s="56">
        <f t="shared" si="39"/>
        <v>0</v>
      </c>
      <c r="P146" s="56">
        <f t="shared" si="39"/>
        <v>0</v>
      </c>
      <c r="Q146" s="56">
        <f t="shared" si="39"/>
        <v>0</v>
      </c>
      <c r="R146" s="56">
        <f t="shared" si="39"/>
        <v>0</v>
      </c>
      <c r="S146" s="56">
        <f t="shared" si="39"/>
        <v>0</v>
      </c>
      <c r="T146" s="56">
        <f t="shared" si="39"/>
        <v>0</v>
      </c>
      <c r="U146" s="56">
        <f t="shared" si="39"/>
        <v>0</v>
      </c>
      <c r="V146" s="56">
        <f t="shared" si="39"/>
        <v>0</v>
      </c>
      <c r="W146" s="56">
        <f t="shared" si="39"/>
        <v>0</v>
      </c>
      <c r="X146" s="13">
        <f t="shared" si="38"/>
        <v>0</v>
      </c>
      <c r="Y146" s="5"/>
      <c r="Z146" s="5"/>
    </row>
    <row r="147" ht="12.75" customHeight="1">
      <c r="A147" s="57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13"/>
      <c r="Y147" s="5"/>
      <c r="Z147" s="5"/>
    </row>
    <row r="148" ht="12.75" customHeight="1">
      <c r="A148" s="30" t="s">
        <v>37</v>
      </c>
      <c r="B148" s="47" t="s">
        <v>125</v>
      </c>
      <c r="C148" s="48" t="s">
        <v>126</v>
      </c>
      <c r="D148" s="16"/>
      <c r="E148" s="69">
        <v>1.0</v>
      </c>
      <c r="F148" s="69">
        <v>2.0</v>
      </c>
      <c r="G148" s="69">
        <v>3.0</v>
      </c>
      <c r="H148" s="69">
        <v>1.0</v>
      </c>
      <c r="I148" s="69">
        <v>1.0</v>
      </c>
      <c r="J148" s="69">
        <v>2.0</v>
      </c>
      <c r="K148" s="69">
        <v>2.0</v>
      </c>
      <c r="L148" s="69">
        <v>2.0</v>
      </c>
      <c r="M148" s="69">
        <v>3.0</v>
      </c>
      <c r="N148" s="69">
        <v>1.0</v>
      </c>
      <c r="O148" s="69">
        <v>5.0</v>
      </c>
      <c r="P148" s="69">
        <v>1.0</v>
      </c>
      <c r="Q148" s="69">
        <v>2.0</v>
      </c>
      <c r="R148" s="69">
        <v>1.0</v>
      </c>
      <c r="S148" s="69">
        <v>2.0</v>
      </c>
      <c r="T148" s="69">
        <v>7.0</v>
      </c>
      <c r="U148" s="69">
        <v>2.0</v>
      </c>
      <c r="V148" s="69">
        <v>3.0</v>
      </c>
      <c r="W148" s="69">
        <v>0.0</v>
      </c>
      <c r="X148" s="13">
        <f t="shared" ref="X148:X156" si="40">SUM(E148:W148)</f>
        <v>41</v>
      </c>
      <c r="Y148" s="5"/>
      <c r="Z148" s="5"/>
    </row>
    <row r="149" ht="12.75" customHeight="1">
      <c r="A149" s="30" t="s">
        <v>39</v>
      </c>
      <c r="B149" s="49"/>
      <c r="C149" s="50" t="s">
        <v>127</v>
      </c>
      <c r="D149" s="51"/>
      <c r="E149" s="69">
        <v>1.0</v>
      </c>
      <c r="F149" s="69">
        <v>0.0</v>
      </c>
      <c r="G149" s="69">
        <v>2.0</v>
      </c>
      <c r="H149" s="69">
        <v>0.0</v>
      </c>
      <c r="I149" s="69">
        <v>0.0</v>
      </c>
      <c r="J149" s="69">
        <v>0.0</v>
      </c>
      <c r="K149" s="69">
        <v>0.0</v>
      </c>
      <c r="L149" s="69">
        <v>0.0</v>
      </c>
      <c r="M149" s="69">
        <v>2.0</v>
      </c>
      <c r="N149" s="69">
        <v>0.0</v>
      </c>
      <c r="O149" s="69">
        <v>0.0</v>
      </c>
      <c r="P149" s="69">
        <v>1.0</v>
      </c>
      <c r="Q149" s="69">
        <v>1.0</v>
      </c>
      <c r="R149" s="69">
        <v>2.0</v>
      </c>
      <c r="S149" s="69">
        <v>0.0</v>
      </c>
      <c r="T149" s="69">
        <v>2.0</v>
      </c>
      <c r="U149" s="69">
        <v>3.0</v>
      </c>
      <c r="V149" s="69">
        <v>1.0</v>
      </c>
      <c r="W149" s="69">
        <v>0.0</v>
      </c>
      <c r="X149" s="13">
        <f t="shared" si="40"/>
        <v>15</v>
      </c>
      <c r="Y149" s="5"/>
      <c r="Z149" s="5"/>
    </row>
    <row r="150" ht="12.75" customHeight="1">
      <c r="A150" s="18"/>
      <c r="B150" s="49"/>
      <c r="C150" s="50" t="s">
        <v>128</v>
      </c>
      <c r="D150" s="51"/>
      <c r="E150" s="69">
        <v>1.0</v>
      </c>
      <c r="F150" s="69">
        <v>1.0</v>
      </c>
      <c r="G150" s="69">
        <v>0.0</v>
      </c>
      <c r="H150" s="69">
        <v>0.0</v>
      </c>
      <c r="I150" s="69">
        <v>0.0</v>
      </c>
      <c r="J150" s="69">
        <v>1.0</v>
      </c>
      <c r="K150" s="69">
        <v>0.0</v>
      </c>
      <c r="L150" s="69">
        <v>0.0</v>
      </c>
      <c r="M150" s="69">
        <v>1.0</v>
      </c>
      <c r="N150" s="69">
        <v>1.0</v>
      </c>
      <c r="O150" s="69">
        <v>0.0</v>
      </c>
      <c r="P150" s="69">
        <v>0.0</v>
      </c>
      <c r="Q150" s="69">
        <v>0.0</v>
      </c>
      <c r="R150" s="69">
        <v>2.0</v>
      </c>
      <c r="S150" s="69">
        <v>0.0</v>
      </c>
      <c r="T150" s="69">
        <v>0.0</v>
      </c>
      <c r="U150" s="69">
        <v>0.0</v>
      </c>
      <c r="V150" s="69">
        <v>0.0</v>
      </c>
      <c r="W150" s="69">
        <v>0.0</v>
      </c>
      <c r="X150" s="13">
        <f t="shared" si="40"/>
        <v>7</v>
      </c>
      <c r="Y150" s="5"/>
      <c r="Z150" s="5"/>
    </row>
    <row r="151" ht="12.75" customHeight="1">
      <c r="A151" s="18"/>
      <c r="B151" s="49"/>
      <c r="C151" s="50" t="s">
        <v>129</v>
      </c>
      <c r="D151" s="51"/>
      <c r="E151" s="69">
        <v>0.0</v>
      </c>
      <c r="F151" s="69">
        <v>1.0</v>
      </c>
      <c r="G151" s="69">
        <v>0.0</v>
      </c>
      <c r="H151" s="69">
        <v>0.0</v>
      </c>
      <c r="I151" s="69">
        <v>0.0</v>
      </c>
      <c r="J151" s="69">
        <v>0.0</v>
      </c>
      <c r="K151" s="69">
        <v>0.0</v>
      </c>
      <c r="L151" s="69">
        <v>1.0</v>
      </c>
      <c r="M151" s="69">
        <v>0.0</v>
      </c>
      <c r="N151" s="69">
        <v>0.0</v>
      </c>
      <c r="O151" s="69">
        <v>2.0</v>
      </c>
      <c r="P151" s="69">
        <v>0.0</v>
      </c>
      <c r="Q151" s="69">
        <v>0.0</v>
      </c>
      <c r="R151" s="69">
        <v>0.0</v>
      </c>
      <c r="S151" s="69">
        <v>0.0</v>
      </c>
      <c r="T151" s="69">
        <v>1.0</v>
      </c>
      <c r="U151" s="69">
        <v>0.0</v>
      </c>
      <c r="V151" s="69">
        <v>0.0</v>
      </c>
      <c r="W151" s="69">
        <v>1.0</v>
      </c>
      <c r="X151" s="13">
        <f t="shared" si="40"/>
        <v>6</v>
      </c>
      <c r="Y151" s="1"/>
      <c r="Z151" s="1"/>
    </row>
    <row r="152" ht="12.75" customHeight="1">
      <c r="A152" s="18"/>
      <c r="B152" s="49"/>
      <c r="C152" s="50" t="s">
        <v>130</v>
      </c>
      <c r="D152" s="51"/>
      <c r="E152" s="69">
        <v>0.0</v>
      </c>
      <c r="F152" s="69">
        <v>0.0</v>
      </c>
      <c r="G152" s="69">
        <v>0.0</v>
      </c>
      <c r="H152" s="69">
        <v>0.0</v>
      </c>
      <c r="I152" s="69">
        <v>1.0</v>
      </c>
      <c r="J152" s="69">
        <v>0.0</v>
      </c>
      <c r="K152" s="69">
        <v>0.0</v>
      </c>
      <c r="L152" s="69">
        <v>0.0</v>
      </c>
      <c r="M152" s="69">
        <v>0.0</v>
      </c>
      <c r="N152" s="69">
        <v>0.0</v>
      </c>
      <c r="O152" s="69">
        <v>0.0</v>
      </c>
      <c r="P152" s="69">
        <v>1.0</v>
      </c>
      <c r="Q152" s="69">
        <v>0.0</v>
      </c>
      <c r="R152" s="69">
        <v>3.0</v>
      </c>
      <c r="S152" s="69">
        <v>0.0</v>
      </c>
      <c r="T152" s="69">
        <v>1.0</v>
      </c>
      <c r="U152" s="69">
        <v>0.0</v>
      </c>
      <c r="V152" s="69">
        <v>0.0</v>
      </c>
      <c r="W152" s="69">
        <v>0.0</v>
      </c>
      <c r="X152" s="13">
        <f t="shared" si="40"/>
        <v>6</v>
      </c>
      <c r="Y152" s="53"/>
      <c r="Z152" s="53"/>
    </row>
    <row r="153" ht="12.75" customHeight="1">
      <c r="A153" s="18"/>
      <c r="B153" s="49"/>
      <c r="C153" s="50" t="s">
        <v>131</v>
      </c>
      <c r="D153" s="51"/>
      <c r="E153" s="69">
        <v>0.0</v>
      </c>
      <c r="F153" s="69">
        <v>0.0</v>
      </c>
      <c r="G153" s="69">
        <v>0.0</v>
      </c>
      <c r="H153" s="69">
        <v>0.0</v>
      </c>
      <c r="I153" s="69">
        <v>0.0</v>
      </c>
      <c r="J153" s="69">
        <v>0.0</v>
      </c>
      <c r="K153" s="69">
        <v>1.0</v>
      </c>
      <c r="L153" s="69">
        <v>0.0</v>
      </c>
      <c r="M153" s="69">
        <v>0.0</v>
      </c>
      <c r="N153" s="69">
        <v>0.0</v>
      </c>
      <c r="O153" s="69">
        <v>0.0</v>
      </c>
      <c r="P153" s="69">
        <v>0.0</v>
      </c>
      <c r="Q153" s="69">
        <v>0.0</v>
      </c>
      <c r="R153" s="69">
        <v>0.0</v>
      </c>
      <c r="S153" s="69">
        <v>0.0</v>
      </c>
      <c r="T153" s="69">
        <v>1.0</v>
      </c>
      <c r="U153" s="69">
        <v>0.0</v>
      </c>
      <c r="V153" s="69">
        <v>0.0</v>
      </c>
      <c r="W153" s="69">
        <v>0.0</v>
      </c>
      <c r="X153" s="13">
        <f t="shared" si="40"/>
        <v>2</v>
      </c>
      <c r="Y153" s="5"/>
      <c r="Z153" s="5"/>
    </row>
    <row r="154" ht="12.75" customHeight="1">
      <c r="A154" s="18"/>
      <c r="B154" s="49"/>
      <c r="C154" s="50" t="s">
        <v>132</v>
      </c>
      <c r="D154" s="51"/>
      <c r="E154" s="69">
        <v>0.0</v>
      </c>
      <c r="F154" s="69">
        <v>0.0</v>
      </c>
      <c r="G154" s="69">
        <v>0.0</v>
      </c>
      <c r="H154" s="69">
        <v>0.0</v>
      </c>
      <c r="I154" s="69">
        <v>0.0</v>
      </c>
      <c r="J154" s="69">
        <v>0.0</v>
      </c>
      <c r="K154" s="69">
        <v>0.0</v>
      </c>
      <c r="L154" s="69">
        <v>0.0</v>
      </c>
      <c r="M154" s="69">
        <v>2.0</v>
      </c>
      <c r="N154" s="69">
        <v>0.0</v>
      </c>
      <c r="O154" s="69">
        <v>0.0</v>
      </c>
      <c r="P154" s="69">
        <v>0.0</v>
      </c>
      <c r="Q154" s="69">
        <v>0.0</v>
      </c>
      <c r="R154" s="69">
        <v>0.0</v>
      </c>
      <c r="S154" s="69">
        <v>0.0</v>
      </c>
      <c r="T154" s="69">
        <v>1.0</v>
      </c>
      <c r="U154" s="69">
        <v>0.0</v>
      </c>
      <c r="V154" s="69">
        <v>0.0</v>
      </c>
      <c r="W154" s="69">
        <v>0.0</v>
      </c>
      <c r="X154" s="13">
        <f t="shared" si="40"/>
        <v>3</v>
      </c>
      <c r="Y154" s="5"/>
      <c r="Z154" s="5"/>
    </row>
    <row r="155" ht="12.75" customHeight="1">
      <c r="A155" s="18"/>
      <c r="B155" s="49"/>
      <c r="C155" s="50" t="s">
        <v>133</v>
      </c>
      <c r="D155" s="51"/>
      <c r="E155" s="69">
        <v>8.0</v>
      </c>
      <c r="F155" s="69">
        <v>6.0</v>
      </c>
      <c r="G155" s="69">
        <v>7.0</v>
      </c>
      <c r="H155" s="69">
        <v>12.0</v>
      </c>
      <c r="I155" s="69">
        <v>7.0</v>
      </c>
      <c r="J155" s="69">
        <v>1.0</v>
      </c>
      <c r="K155" s="69">
        <v>8.0</v>
      </c>
      <c r="L155" s="69">
        <v>4.0</v>
      </c>
      <c r="M155" s="69">
        <v>19.0</v>
      </c>
      <c r="N155" s="69">
        <v>65.0</v>
      </c>
      <c r="O155" s="69">
        <v>52.0</v>
      </c>
      <c r="P155" s="69">
        <v>44.0</v>
      </c>
      <c r="Q155" s="69">
        <v>13.0</v>
      </c>
      <c r="R155" s="69">
        <v>39.0</v>
      </c>
      <c r="S155" s="69">
        <v>140.0</v>
      </c>
      <c r="T155" s="69">
        <v>38.0</v>
      </c>
      <c r="U155" s="69">
        <v>67.0</v>
      </c>
      <c r="V155" s="69">
        <v>202.0</v>
      </c>
      <c r="W155" s="69">
        <v>255.0</v>
      </c>
      <c r="X155" s="13">
        <f t="shared" si="40"/>
        <v>987</v>
      </c>
      <c r="Y155" s="5"/>
      <c r="Z155" s="5"/>
    </row>
    <row r="156" ht="12.75" customHeight="1">
      <c r="A156" s="19" t="s">
        <v>15</v>
      </c>
      <c r="B156" s="47" t="s">
        <v>47</v>
      </c>
      <c r="C156" s="15"/>
      <c r="D156" s="16"/>
      <c r="E156" s="56">
        <f t="shared" ref="E156:W156" si="41">SUM(E148:E155)</f>
        <v>11</v>
      </c>
      <c r="F156" s="56">
        <f t="shared" si="41"/>
        <v>10</v>
      </c>
      <c r="G156" s="56">
        <f t="shared" si="41"/>
        <v>12</v>
      </c>
      <c r="H156" s="56">
        <f t="shared" si="41"/>
        <v>13</v>
      </c>
      <c r="I156" s="56">
        <f t="shared" si="41"/>
        <v>9</v>
      </c>
      <c r="J156" s="56">
        <f t="shared" si="41"/>
        <v>4</v>
      </c>
      <c r="K156" s="56">
        <f t="shared" si="41"/>
        <v>11</v>
      </c>
      <c r="L156" s="56">
        <f t="shared" si="41"/>
        <v>7</v>
      </c>
      <c r="M156" s="56">
        <f t="shared" si="41"/>
        <v>27</v>
      </c>
      <c r="N156" s="56">
        <f t="shared" si="41"/>
        <v>67</v>
      </c>
      <c r="O156" s="56">
        <f t="shared" si="41"/>
        <v>59</v>
      </c>
      <c r="P156" s="56">
        <f t="shared" si="41"/>
        <v>47</v>
      </c>
      <c r="Q156" s="56">
        <f t="shared" si="41"/>
        <v>16</v>
      </c>
      <c r="R156" s="56">
        <f t="shared" si="41"/>
        <v>47</v>
      </c>
      <c r="S156" s="56">
        <f t="shared" si="41"/>
        <v>142</v>
      </c>
      <c r="T156" s="56">
        <f t="shared" si="41"/>
        <v>51</v>
      </c>
      <c r="U156" s="56">
        <f t="shared" si="41"/>
        <v>72</v>
      </c>
      <c r="V156" s="56">
        <f t="shared" si="41"/>
        <v>206</v>
      </c>
      <c r="W156" s="56">
        <f t="shared" si="41"/>
        <v>256</v>
      </c>
      <c r="X156" s="13">
        <f t="shared" si="40"/>
        <v>1067</v>
      </c>
      <c r="Y156" s="5"/>
      <c r="Z156" s="5"/>
    </row>
    <row r="157" ht="12.75" customHeight="1">
      <c r="A157" s="57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13"/>
      <c r="Y157" s="5"/>
      <c r="Z157" s="5"/>
    </row>
    <row r="158" ht="12.75" customHeight="1">
      <c r="A158" s="30" t="s">
        <v>37</v>
      </c>
      <c r="B158" s="47" t="s">
        <v>134</v>
      </c>
      <c r="C158" s="48" t="s">
        <v>135</v>
      </c>
      <c r="D158" s="16"/>
      <c r="E158" s="69">
        <v>0.0</v>
      </c>
      <c r="F158" s="69">
        <v>0.0</v>
      </c>
      <c r="G158" s="69">
        <v>0.0</v>
      </c>
      <c r="H158" s="69">
        <v>1.0</v>
      </c>
      <c r="I158" s="69">
        <v>0.0</v>
      </c>
      <c r="J158" s="69">
        <v>1.0</v>
      </c>
      <c r="K158" s="69">
        <v>0.0</v>
      </c>
      <c r="L158" s="69">
        <v>1.0</v>
      </c>
      <c r="M158" s="69">
        <v>0.0</v>
      </c>
      <c r="N158" s="69">
        <v>0.0</v>
      </c>
      <c r="O158" s="69">
        <v>0.0</v>
      </c>
      <c r="P158" s="69">
        <v>0.0</v>
      </c>
      <c r="Q158" s="69">
        <v>1.0</v>
      </c>
      <c r="R158" s="69">
        <v>0.0</v>
      </c>
      <c r="S158" s="69">
        <v>0.0</v>
      </c>
      <c r="T158" s="69">
        <v>0.0</v>
      </c>
      <c r="U158" s="69">
        <v>0.0</v>
      </c>
      <c r="V158" s="69">
        <v>0.0</v>
      </c>
      <c r="W158" s="69">
        <v>0.0</v>
      </c>
      <c r="X158" s="13">
        <f t="shared" ref="X158:X161" si="42">SUM(E158:W158)</f>
        <v>4</v>
      </c>
      <c r="Y158" s="5"/>
      <c r="Z158" s="5"/>
    </row>
    <row r="159" ht="12.75" customHeight="1">
      <c r="A159" s="30" t="s">
        <v>39</v>
      </c>
      <c r="B159" s="49"/>
      <c r="C159" s="50" t="s">
        <v>136</v>
      </c>
      <c r="D159" s="51"/>
      <c r="E159" s="69">
        <v>0.0</v>
      </c>
      <c r="F159" s="69">
        <v>4.0</v>
      </c>
      <c r="G159" s="69">
        <v>0.0</v>
      </c>
      <c r="H159" s="69">
        <v>0.0</v>
      </c>
      <c r="I159" s="69">
        <v>0.0</v>
      </c>
      <c r="J159" s="69">
        <v>0.0</v>
      </c>
      <c r="K159" s="69">
        <v>0.0</v>
      </c>
      <c r="L159" s="69">
        <v>2.0</v>
      </c>
      <c r="M159" s="69">
        <v>1.0</v>
      </c>
      <c r="N159" s="69">
        <v>0.0</v>
      </c>
      <c r="O159" s="69">
        <v>0.0</v>
      </c>
      <c r="P159" s="69">
        <v>0.0</v>
      </c>
      <c r="Q159" s="69">
        <v>1.0</v>
      </c>
      <c r="R159" s="69">
        <v>2.0</v>
      </c>
      <c r="S159" s="69">
        <v>0.0</v>
      </c>
      <c r="T159" s="69">
        <v>0.0</v>
      </c>
      <c r="U159" s="69">
        <v>1.0</v>
      </c>
      <c r="V159" s="69">
        <v>1.0</v>
      </c>
      <c r="W159" s="69">
        <v>0.0</v>
      </c>
      <c r="X159" s="13">
        <f t="shared" si="42"/>
        <v>12</v>
      </c>
      <c r="Y159" s="5"/>
      <c r="Z159" s="5"/>
    </row>
    <row r="160" ht="12.75" customHeight="1">
      <c r="A160" s="30"/>
      <c r="B160" s="49"/>
      <c r="C160" s="50" t="s">
        <v>137</v>
      </c>
      <c r="D160" s="51"/>
      <c r="E160" s="69">
        <v>0.0</v>
      </c>
      <c r="F160" s="69">
        <v>0.0</v>
      </c>
      <c r="G160" s="69">
        <v>0.0</v>
      </c>
      <c r="H160" s="69">
        <v>0.0</v>
      </c>
      <c r="I160" s="69">
        <v>0.0</v>
      </c>
      <c r="J160" s="69">
        <v>0.0</v>
      </c>
      <c r="K160" s="69">
        <v>0.0</v>
      </c>
      <c r="L160" s="69">
        <v>0.0</v>
      </c>
      <c r="M160" s="69">
        <v>0.0</v>
      </c>
      <c r="N160" s="69">
        <v>0.0</v>
      </c>
      <c r="O160" s="69">
        <v>0.0</v>
      </c>
      <c r="P160" s="69">
        <v>0.0</v>
      </c>
      <c r="Q160" s="69">
        <v>0.0</v>
      </c>
      <c r="R160" s="69">
        <v>0.0</v>
      </c>
      <c r="S160" s="69">
        <v>0.0</v>
      </c>
      <c r="T160" s="69">
        <v>0.0</v>
      </c>
      <c r="U160" s="69">
        <v>0.0</v>
      </c>
      <c r="V160" s="69">
        <v>0.0</v>
      </c>
      <c r="W160" s="69">
        <v>0.0</v>
      </c>
      <c r="X160" s="13">
        <f t="shared" si="42"/>
        <v>0</v>
      </c>
      <c r="Y160" s="5"/>
      <c r="Z160" s="5"/>
    </row>
    <row r="161" ht="12.75" customHeight="1">
      <c r="A161" s="19" t="s">
        <v>15</v>
      </c>
      <c r="B161" s="47" t="s">
        <v>47</v>
      </c>
      <c r="C161" s="15"/>
      <c r="D161" s="16"/>
      <c r="E161" s="56">
        <f t="shared" ref="E161:W161" si="43">SUM(E158:E160)</f>
        <v>0</v>
      </c>
      <c r="F161" s="56">
        <f t="shared" si="43"/>
        <v>4</v>
      </c>
      <c r="G161" s="56">
        <f t="shared" si="43"/>
        <v>0</v>
      </c>
      <c r="H161" s="56">
        <f t="shared" si="43"/>
        <v>1</v>
      </c>
      <c r="I161" s="56">
        <f t="shared" si="43"/>
        <v>0</v>
      </c>
      <c r="J161" s="56">
        <f t="shared" si="43"/>
        <v>1</v>
      </c>
      <c r="K161" s="56">
        <f t="shared" si="43"/>
        <v>0</v>
      </c>
      <c r="L161" s="56">
        <f t="shared" si="43"/>
        <v>3</v>
      </c>
      <c r="M161" s="56">
        <f t="shared" si="43"/>
        <v>1</v>
      </c>
      <c r="N161" s="56">
        <f t="shared" si="43"/>
        <v>0</v>
      </c>
      <c r="O161" s="56">
        <f t="shared" si="43"/>
        <v>0</v>
      </c>
      <c r="P161" s="56">
        <f t="shared" si="43"/>
        <v>0</v>
      </c>
      <c r="Q161" s="56">
        <f t="shared" si="43"/>
        <v>2</v>
      </c>
      <c r="R161" s="56">
        <f t="shared" si="43"/>
        <v>2</v>
      </c>
      <c r="S161" s="56">
        <f t="shared" si="43"/>
        <v>0</v>
      </c>
      <c r="T161" s="56">
        <f t="shared" si="43"/>
        <v>0</v>
      </c>
      <c r="U161" s="56">
        <f t="shared" si="43"/>
        <v>1</v>
      </c>
      <c r="V161" s="56">
        <f t="shared" si="43"/>
        <v>1</v>
      </c>
      <c r="W161" s="56">
        <f t="shared" si="43"/>
        <v>0</v>
      </c>
      <c r="X161" s="13">
        <f t="shared" si="42"/>
        <v>16</v>
      </c>
      <c r="Y161" s="5"/>
      <c r="Z161" s="5"/>
    </row>
    <row r="162" ht="12.75" customHeight="1">
      <c r="A162" s="57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13"/>
      <c r="Y162" s="5"/>
      <c r="Z162" s="5"/>
    </row>
    <row r="163" ht="15.0" customHeight="1">
      <c r="A163" s="30" t="s">
        <v>37</v>
      </c>
      <c r="B163" s="47" t="s">
        <v>138</v>
      </c>
      <c r="C163" s="48" t="s">
        <v>139</v>
      </c>
      <c r="D163" s="16"/>
      <c r="E163" s="69">
        <v>0.0</v>
      </c>
      <c r="F163" s="69">
        <v>0.0</v>
      </c>
      <c r="G163" s="69">
        <v>0.0</v>
      </c>
      <c r="H163" s="69">
        <v>0.0</v>
      </c>
      <c r="I163" s="69">
        <v>0.0</v>
      </c>
      <c r="J163" s="69">
        <v>0.0</v>
      </c>
      <c r="K163" s="69">
        <v>0.0</v>
      </c>
      <c r="L163" s="69">
        <v>0.0</v>
      </c>
      <c r="M163" s="69">
        <v>0.0</v>
      </c>
      <c r="N163" s="69">
        <v>0.0</v>
      </c>
      <c r="O163" s="69">
        <v>0.0</v>
      </c>
      <c r="P163" s="69">
        <v>0.0</v>
      </c>
      <c r="Q163" s="69">
        <v>1.0</v>
      </c>
      <c r="R163" s="69">
        <v>0.0</v>
      </c>
      <c r="S163" s="69">
        <v>0.0</v>
      </c>
      <c r="T163" s="69">
        <v>0.0</v>
      </c>
      <c r="U163" s="69">
        <v>0.0</v>
      </c>
      <c r="V163" s="69">
        <v>0.0</v>
      </c>
      <c r="W163" s="69">
        <v>0.0</v>
      </c>
      <c r="X163" s="13">
        <f t="shared" ref="X163:X165" si="44">SUM(E163:W163)</f>
        <v>1</v>
      </c>
      <c r="Y163" s="5"/>
      <c r="Z163" s="5"/>
    </row>
    <row r="164" ht="12.75" customHeight="1">
      <c r="A164" s="30" t="s">
        <v>39</v>
      </c>
      <c r="B164" s="47"/>
      <c r="C164" s="50" t="s">
        <v>140</v>
      </c>
      <c r="D164" s="62"/>
      <c r="E164" s="69">
        <v>0.0</v>
      </c>
      <c r="F164" s="69">
        <v>0.0</v>
      </c>
      <c r="G164" s="69">
        <v>0.0</v>
      </c>
      <c r="H164" s="69">
        <v>0.0</v>
      </c>
      <c r="I164" s="69">
        <v>0.0</v>
      </c>
      <c r="J164" s="69">
        <v>0.0</v>
      </c>
      <c r="K164" s="69">
        <v>0.0</v>
      </c>
      <c r="L164" s="69">
        <v>0.0</v>
      </c>
      <c r="M164" s="69">
        <v>0.0</v>
      </c>
      <c r="N164" s="69">
        <v>0.0</v>
      </c>
      <c r="O164" s="69">
        <v>0.0</v>
      </c>
      <c r="P164" s="69">
        <v>0.0</v>
      </c>
      <c r="Q164" s="69">
        <v>0.0</v>
      </c>
      <c r="R164" s="69">
        <v>2.0</v>
      </c>
      <c r="S164" s="69">
        <v>0.0</v>
      </c>
      <c r="T164" s="69">
        <v>0.0</v>
      </c>
      <c r="U164" s="69">
        <v>0.0</v>
      </c>
      <c r="V164" s="69">
        <v>0.0</v>
      </c>
      <c r="W164" s="69">
        <v>0.0</v>
      </c>
      <c r="X164" s="13">
        <f t="shared" si="44"/>
        <v>2</v>
      </c>
      <c r="Y164" s="5"/>
      <c r="Z164" s="5"/>
    </row>
    <row r="165" ht="12.75" customHeight="1">
      <c r="A165" s="19" t="s">
        <v>15</v>
      </c>
      <c r="B165" s="47" t="s">
        <v>47</v>
      </c>
      <c r="C165" s="15"/>
      <c r="D165" s="16"/>
      <c r="E165" s="56">
        <f t="shared" ref="E165:W165" si="45">SUM(E163:E164)</f>
        <v>0</v>
      </c>
      <c r="F165" s="56">
        <f t="shared" si="45"/>
        <v>0</v>
      </c>
      <c r="G165" s="56">
        <f t="shared" si="45"/>
        <v>0</v>
      </c>
      <c r="H165" s="56">
        <f t="shared" si="45"/>
        <v>0</v>
      </c>
      <c r="I165" s="56">
        <f t="shared" si="45"/>
        <v>0</v>
      </c>
      <c r="J165" s="56">
        <f t="shared" si="45"/>
        <v>0</v>
      </c>
      <c r="K165" s="56">
        <f t="shared" si="45"/>
        <v>0</v>
      </c>
      <c r="L165" s="56">
        <f t="shared" si="45"/>
        <v>0</v>
      </c>
      <c r="M165" s="56">
        <f t="shared" si="45"/>
        <v>0</v>
      </c>
      <c r="N165" s="56">
        <f t="shared" si="45"/>
        <v>0</v>
      </c>
      <c r="O165" s="56">
        <f t="shared" si="45"/>
        <v>0</v>
      </c>
      <c r="P165" s="56">
        <f t="shared" si="45"/>
        <v>0</v>
      </c>
      <c r="Q165" s="56">
        <f t="shared" si="45"/>
        <v>1</v>
      </c>
      <c r="R165" s="56">
        <f t="shared" si="45"/>
        <v>2</v>
      </c>
      <c r="S165" s="56">
        <f t="shared" si="45"/>
        <v>0</v>
      </c>
      <c r="T165" s="56">
        <f t="shared" si="45"/>
        <v>0</v>
      </c>
      <c r="U165" s="56">
        <f t="shared" si="45"/>
        <v>0</v>
      </c>
      <c r="V165" s="56">
        <f t="shared" si="45"/>
        <v>0</v>
      </c>
      <c r="W165" s="56">
        <f t="shared" si="45"/>
        <v>0</v>
      </c>
      <c r="X165" s="13">
        <f t="shared" si="44"/>
        <v>3</v>
      </c>
      <c r="Y165" s="1"/>
      <c r="Z165" s="1"/>
    </row>
    <row r="166" ht="12.75" customHeight="1">
      <c r="A166" s="57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13"/>
      <c r="Y166" s="53"/>
      <c r="Z166" s="53"/>
    </row>
    <row r="167" ht="12.75" customHeight="1">
      <c r="A167" s="30" t="s">
        <v>37</v>
      </c>
      <c r="B167" s="47" t="s">
        <v>141</v>
      </c>
      <c r="C167" s="48" t="s">
        <v>142</v>
      </c>
      <c r="D167" s="16"/>
      <c r="E167" s="69">
        <v>0.0</v>
      </c>
      <c r="F167" s="69">
        <v>0.0</v>
      </c>
      <c r="G167" s="69">
        <v>0.0</v>
      </c>
      <c r="H167" s="69">
        <v>0.0</v>
      </c>
      <c r="I167" s="69">
        <v>0.0</v>
      </c>
      <c r="J167" s="69">
        <v>1.0</v>
      </c>
      <c r="K167" s="69">
        <v>0.0</v>
      </c>
      <c r="L167" s="69">
        <v>0.0</v>
      </c>
      <c r="M167" s="69">
        <v>1.0</v>
      </c>
      <c r="N167" s="69">
        <v>0.0</v>
      </c>
      <c r="O167" s="69">
        <v>0.0</v>
      </c>
      <c r="P167" s="69">
        <v>0.0</v>
      </c>
      <c r="Q167" s="69">
        <v>0.0</v>
      </c>
      <c r="R167" s="69">
        <v>0.0</v>
      </c>
      <c r="S167" s="69">
        <v>1.0</v>
      </c>
      <c r="T167" s="69">
        <v>0.0</v>
      </c>
      <c r="U167" s="69">
        <v>0.0</v>
      </c>
      <c r="V167" s="69">
        <v>0.0</v>
      </c>
      <c r="W167" s="69">
        <v>0.0</v>
      </c>
      <c r="X167" s="13">
        <f t="shared" ref="X167:X175" si="46">SUM(E167:W167)</f>
        <v>3</v>
      </c>
      <c r="Y167" s="5"/>
      <c r="Z167" s="5"/>
    </row>
    <row r="168" ht="12.75" customHeight="1">
      <c r="A168" s="30" t="s">
        <v>39</v>
      </c>
      <c r="B168" s="49"/>
      <c r="C168" s="50" t="s">
        <v>143</v>
      </c>
      <c r="D168" s="51"/>
      <c r="E168" s="69">
        <v>0.0</v>
      </c>
      <c r="F168" s="69">
        <v>0.0</v>
      </c>
      <c r="G168" s="69">
        <v>0.0</v>
      </c>
      <c r="H168" s="69">
        <v>1.0</v>
      </c>
      <c r="I168" s="69">
        <v>0.0</v>
      </c>
      <c r="J168" s="69">
        <v>0.0</v>
      </c>
      <c r="K168" s="69">
        <v>0.0</v>
      </c>
      <c r="L168" s="69">
        <v>0.0</v>
      </c>
      <c r="M168" s="69">
        <v>0.0</v>
      </c>
      <c r="N168" s="69">
        <v>0.0</v>
      </c>
      <c r="O168" s="69">
        <v>0.0</v>
      </c>
      <c r="P168" s="69">
        <v>0.0</v>
      </c>
      <c r="Q168" s="69">
        <v>0.0</v>
      </c>
      <c r="R168" s="69">
        <v>0.0</v>
      </c>
      <c r="S168" s="69">
        <v>0.0</v>
      </c>
      <c r="T168" s="69">
        <v>0.0</v>
      </c>
      <c r="U168" s="69">
        <v>0.0</v>
      </c>
      <c r="V168" s="69">
        <v>0.0</v>
      </c>
      <c r="W168" s="69">
        <v>0.0</v>
      </c>
      <c r="X168" s="13">
        <f t="shared" si="46"/>
        <v>1</v>
      </c>
      <c r="Y168" s="5"/>
      <c r="Z168" s="5"/>
    </row>
    <row r="169" ht="12.75" customHeight="1">
      <c r="A169" s="18"/>
      <c r="B169" s="49"/>
      <c r="C169" s="50" t="s">
        <v>144</v>
      </c>
      <c r="D169" s="51"/>
      <c r="E169" s="69">
        <v>0.0</v>
      </c>
      <c r="F169" s="69">
        <v>0.0</v>
      </c>
      <c r="G169" s="69">
        <v>0.0</v>
      </c>
      <c r="H169" s="69">
        <v>0.0</v>
      </c>
      <c r="I169" s="69">
        <v>0.0</v>
      </c>
      <c r="J169" s="69">
        <v>0.0</v>
      </c>
      <c r="K169" s="69">
        <v>0.0</v>
      </c>
      <c r="L169" s="69">
        <v>0.0</v>
      </c>
      <c r="M169" s="69">
        <v>0.0</v>
      </c>
      <c r="N169" s="69">
        <v>0.0</v>
      </c>
      <c r="O169" s="69">
        <v>0.0</v>
      </c>
      <c r="P169" s="69">
        <v>0.0</v>
      </c>
      <c r="Q169" s="69">
        <v>0.0</v>
      </c>
      <c r="R169" s="69">
        <v>0.0</v>
      </c>
      <c r="S169" s="69">
        <v>0.0</v>
      </c>
      <c r="T169" s="69">
        <v>0.0</v>
      </c>
      <c r="U169" s="69">
        <v>0.0</v>
      </c>
      <c r="V169" s="69">
        <v>0.0</v>
      </c>
      <c r="W169" s="69">
        <v>0.0</v>
      </c>
      <c r="X169" s="13">
        <f t="shared" si="46"/>
        <v>0</v>
      </c>
      <c r="Y169" s="5"/>
      <c r="Z169" s="5"/>
    </row>
    <row r="170" ht="12.75" customHeight="1">
      <c r="A170" s="18"/>
      <c r="B170" s="49"/>
      <c r="C170" s="50" t="s">
        <v>145</v>
      </c>
      <c r="D170" s="51"/>
      <c r="E170" s="69">
        <v>0.0</v>
      </c>
      <c r="F170" s="69">
        <v>1.0</v>
      </c>
      <c r="G170" s="69">
        <v>0.0</v>
      </c>
      <c r="H170" s="69">
        <v>1.0</v>
      </c>
      <c r="I170" s="69">
        <v>0.0</v>
      </c>
      <c r="J170" s="69">
        <v>0.0</v>
      </c>
      <c r="K170" s="69">
        <v>0.0</v>
      </c>
      <c r="L170" s="69">
        <v>0.0</v>
      </c>
      <c r="M170" s="69">
        <v>1.0</v>
      </c>
      <c r="N170" s="69">
        <v>0.0</v>
      </c>
      <c r="O170" s="69">
        <v>0.0</v>
      </c>
      <c r="P170" s="69">
        <v>0.0</v>
      </c>
      <c r="Q170" s="69">
        <v>1.0</v>
      </c>
      <c r="R170" s="69">
        <v>0.0</v>
      </c>
      <c r="S170" s="69">
        <v>0.0</v>
      </c>
      <c r="T170" s="69">
        <v>0.0</v>
      </c>
      <c r="U170" s="69">
        <v>0.0</v>
      </c>
      <c r="V170" s="69">
        <v>0.0</v>
      </c>
      <c r="W170" s="69">
        <v>0.0</v>
      </c>
      <c r="X170" s="13">
        <f t="shared" si="46"/>
        <v>4</v>
      </c>
      <c r="Y170" s="5"/>
      <c r="Z170" s="5"/>
    </row>
    <row r="171" ht="12.75" customHeight="1">
      <c r="A171" s="18"/>
      <c r="B171" s="49"/>
      <c r="C171" s="50" t="s">
        <v>146</v>
      </c>
      <c r="D171" s="51"/>
      <c r="E171" s="69">
        <v>0.0</v>
      </c>
      <c r="F171" s="69">
        <v>0.0</v>
      </c>
      <c r="G171" s="69">
        <v>0.0</v>
      </c>
      <c r="H171" s="69">
        <v>0.0</v>
      </c>
      <c r="I171" s="69">
        <v>0.0</v>
      </c>
      <c r="J171" s="69">
        <v>0.0</v>
      </c>
      <c r="K171" s="69">
        <v>0.0</v>
      </c>
      <c r="L171" s="69">
        <v>0.0</v>
      </c>
      <c r="M171" s="69">
        <v>0.0</v>
      </c>
      <c r="N171" s="69">
        <v>0.0</v>
      </c>
      <c r="O171" s="69">
        <v>0.0</v>
      </c>
      <c r="P171" s="69">
        <v>1.0</v>
      </c>
      <c r="Q171" s="69">
        <v>1.0</v>
      </c>
      <c r="R171" s="69">
        <v>0.0</v>
      </c>
      <c r="S171" s="69">
        <v>0.0</v>
      </c>
      <c r="T171" s="69">
        <v>0.0</v>
      </c>
      <c r="U171" s="69">
        <v>0.0</v>
      </c>
      <c r="V171" s="69">
        <v>0.0</v>
      </c>
      <c r="W171" s="69">
        <v>0.0</v>
      </c>
      <c r="X171" s="13">
        <f t="shared" si="46"/>
        <v>2</v>
      </c>
      <c r="Y171" s="5"/>
      <c r="Z171" s="5"/>
    </row>
    <row r="172" ht="12.75" customHeight="1">
      <c r="A172" s="18"/>
      <c r="B172" s="49"/>
      <c r="C172" s="50" t="s">
        <v>147</v>
      </c>
      <c r="D172" s="51"/>
      <c r="E172" s="69">
        <v>0.0</v>
      </c>
      <c r="F172" s="69">
        <v>0.0</v>
      </c>
      <c r="G172" s="69">
        <v>0.0</v>
      </c>
      <c r="H172" s="69">
        <v>0.0</v>
      </c>
      <c r="I172" s="69">
        <v>0.0</v>
      </c>
      <c r="J172" s="69">
        <v>0.0</v>
      </c>
      <c r="K172" s="69">
        <v>0.0</v>
      </c>
      <c r="L172" s="69">
        <v>0.0</v>
      </c>
      <c r="M172" s="69">
        <v>1.0</v>
      </c>
      <c r="N172" s="69">
        <v>0.0</v>
      </c>
      <c r="O172" s="69">
        <v>0.0</v>
      </c>
      <c r="P172" s="69">
        <v>0.0</v>
      </c>
      <c r="Q172" s="69">
        <v>0.0</v>
      </c>
      <c r="R172" s="69">
        <v>0.0</v>
      </c>
      <c r="S172" s="69">
        <v>0.0</v>
      </c>
      <c r="T172" s="69">
        <v>0.0</v>
      </c>
      <c r="U172" s="69">
        <v>0.0</v>
      </c>
      <c r="V172" s="69">
        <v>0.0</v>
      </c>
      <c r="W172" s="69">
        <v>0.0</v>
      </c>
      <c r="X172" s="13">
        <f t="shared" si="46"/>
        <v>1</v>
      </c>
      <c r="Y172" s="5"/>
      <c r="Z172" s="5"/>
    </row>
    <row r="173" ht="12.75" customHeight="1">
      <c r="A173" s="18"/>
      <c r="B173" s="49"/>
      <c r="C173" s="50" t="s">
        <v>148</v>
      </c>
      <c r="D173" s="51"/>
      <c r="E173" s="69">
        <v>0.0</v>
      </c>
      <c r="F173" s="69">
        <v>0.0</v>
      </c>
      <c r="G173" s="69">
        <v>0.0</v>
      </c>
      <c r="H173" s="69">
        <v>0.0</v>
      </c>
      <c r="I173" s="69">
        <v>0.0</v>
      </c>
      <c r="J173" s="69">
        <v>0.0</v>
      </c>
      <c r="K173" s="69">
        <v>0.0</v>
      </c>
      <c r="L173" s="69">
        <v>0.0</v>
      </c>
      <c r="M173" s="69">
        <v>0.0</v>
      </c>
      <c r="N173" s="69">
        <v>0.0</v>
      </c>
      <c r="O173" s="69">
        <v>0.0</v>
      </c>
      <c r="P173" s="69">
        <v>0.0</v>
      </c>
      <c r="Q173" s="69">
        <v>0.0</v>
      </c>
      <c r="R173" s="69">
        <v>0.0</v>
      </c>
      <c r="S173" s="69">
        <v>0.0</v>
      </c>
      <c r="T173" s="69">
        <v>0.0</v>
      </c>
      <c r="U173" s="69">
        <v>0.0</v>
      </c>
      <c r="V173" s="69">
        <v>0.0</v>
      </c>
      <c r="W173" s="69">
        <v>0.0</v>
      </c>
      <c r="X173" s="13">
        <f t="shared" si="46"/>
        <v>0</v>
      </c>
      <c r="Y173" s="5"/>
      <c r="Z173" s="5"/>
    </row>
    <row r="174" ht="12.75" customHeight="1">
      <c r="A174" s="18"/>
      <c r="B174" s="49"/>
      <c r="C174" s="50" t="s">
        <v>149</v>
      </c>
      <c r="D174" s="51"/>
      <c r="E174" s="69">
        <v>0.0</v>
      </c>
      <c r="F174" s="69">
        <v>0.0</v>
      </c>
      <c r="G174" s="69">
        <v>1.0</v>
      </c>
      <c r="H174" s="69">
        <v>1.0</v>
      </c>
      <c r="I174" s="69">
        <v>2.0</v>
      </c>
      <c r="J174" s="69">
        <v>0.0</v>
      </c>
      <c r="K174" s="69">
        <v>0.0</v>
      </c>
      <c r="L174" s="69">
        <v>0.0</v>
      </c>
      <c r="M174" s="69">
        <v>0.0</v>
      </c>
      <c r="N174" s="69">
        <v>0.0</v>
      </c>
      <c r="O174" s="69">
        <v>0.0</v>
      </c>
      <c r="P174" s="69">
        <v>0.0</v>
      </c>
      <c r="Q174" s="69">
        <v>0.0</v>
      </c>
      <c r="R174" s="69">
        <v>0.0</v>
      </c>
      <c r="S174" s="69">
        <v>0.0</v>
      </c>
      <c r="T174" s="69">
        <v>0.0</v>
      </c>
      <c r="U174" s="69">
        <v>0.0</v>
      </c>
      <c r="V174" s="69">
        <v>0.0</v>
      </c>
      <c r="W174" s="69">
        <v>0.0</v>
      </c>
      <c r="X174" s="13">
        <f t="shared" si="46"/>
        <v>4</v>
      </c>
      <c r="Y174" s="5"/>
      <c r="Z174" s="5"/>
    </row>
    <row r="175" ht="15.0" customHeight="1">
      <c r="A175" s="19" t="s">
        <v>15</v>
      </c>
      <c r="B175" s="47" t="s">
        <v>47</v>
      </c>
      <c r="C175" s="15"/>
      <c r="D175" s="16"/>
      <c r="E175" s="56">
        <f t="shared" ref="E175:W175" si="47">SUM(E167:E174)</f>
        <v>0</v>
      </c>
      <c r="F175" s="56">
        <f t="shared" si="47"/>
        <v>1</v>
      </c>
      <c r="G175" s="56">
        <f t="shared" si="47"/>
        <v>1</v>
      </c>
      <c r="H175" s="56">
        <f t="shared" si="47"/>
        <v>3</v>
      </c>
      <c r="I175" s="56">
        <f t="shared" si="47"/>
        <v>2</v>
      </c>
      <c r="J175" s="56">
        <f t="shared" si="47"/>
        <v>1</v>
      </c>
      <c r="K175" s="56">
        <f t="shared" si="47"/>
        <v>0</v>
      </c>
      <c r="L175" s="56">
        <f t="shared" si="47"/>
        <v>0</v>
      </c>
      <c r="M175" s="56">
        <f t="shared" si="47"/>
        <v>3</v>
      </c>
      <c r="N175" s="56">
        <f t="shared" si="47"/>
        <v>0</v>
      </c>
      <c r="O175" s="56">
        <f t="shared" si="47"/>
        <v>0</v>
      </c>
      <c r="P175" s="56">
        <f t="shared" si="47"/>
        <v>1</v>
      </c>
      <c r="Q175" s="56">
        <f t="shared" si="47"/>
        <v>2</v>
      </c>
      <c r="R175" s="56">
        <f t="shared" si="47"/>
        <v>0</v>
      </c>
      <c r="S175" s="56">
        <f t="shared" si="47"/>
        <v>1</v>
      </c>
      <c r="T175" s="56">
        <f t="shared" si="47"/>
        <v>0</v>
      </c>
      <c r="U175" s="56">
        <f t="shared" si="47"/>
        <v>0</v>
      </c>
      <c r="V175" s="56">
        <f t="shared" si="47"/>
        <v>0</v>
      </c>
      <c r="W175" s="56">
        <f t="shared" si="47"/>
        <v>0</v>
      </c>
      <c r="X175" s="13">
        <f t="shared" si="46"/>
        <v>15</v>
      </c>
      <c r="Y175" s="5"/>
      <c r="Z175" s="5"/>
    </row>
    <row r="176" ht="12.75" customHeight="1">
      <c r="A176" s="57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13"/>
      <c r="Y176" s="1"/>
      <c r="Z176" s="1"/>
    </row>
    <row r="177" ht="12.75" customHeight="1">
      <c r="A177" s="30" t="s">
        <v>37</v>
      </c>
      <c r="B177" s="47" t="s">
        <v>150</v>
      </c>
      <c r="C177" s="48" t="s">
        <v>151</v>
      </c>
      <c r="D177" s="16"/>
      <c r="E177" s="69">
        <v>3.0</v>
      </c>
      <c r="F177" s="69">
        <v>0.0</v>
      </c>
      <c r="G177" s="69">
        <v>0.0</v>
      </c>
      <c r="H177" s="69">
        <v>2.0</v>
      </c>
      <c r="I177" s="69">
        <v>0.0</v>
      </c>
      <c r="J177" s="69">
        <v>0.0</v>
      </c>
      <c r="K177" s="69">
        <v>0.0</v>
      </c>
      <c r="L177" s="69">
        <v>0.0</v>
      </c>
      <c r="M177" s="69">
        <v>0.0</v>
      </c>
      <c r="N177" s="69">
        <v>1.0</v>
      </c>
      <c r="O177" s="69">
        <v>0.0</v>
      </c>
      <c r="P177" s="69">
        <v>1.0</v>
      </c>
      <c r="Q177" s="69">
        <v>4.0</v>
      </c>
      <c r="R177" s="69">
        <v>0.0</v>
      </c>
      <c r="S177" s="69">
        <v>0.0</v>
      </c>
      <c r="T177" s="69">
        <v>0.0</v>
      </c>
      <c r="U177" s="69">
        <v>0.0</v>
      </c>
      <c r="V177" s="69">
        <v>0.0</v>
      </c>
      <c r="W177" s="69">
        <v>0.0</v>
      </c>
      <c r="X177" s="13">
        <f t="shared" ref="X177:X181" si="48">SUM(E177:W177)</f>
        <v>11</v>
      </c>
    </row>
    <row r="178" ht="12.75" customHeight="1">
      <c r="A178" s="30"/>
      <c r="B178" s="47"/>
      <c r="C178" s="50" t="s">
        <v>152</v>
      </c>
      <c r="D178" s="62"/>
      <c r="E178" s="69">
        <v>1.0</v>
      </c>
      <c r="F178" s="69">
        <v>1.0</v>
      </c>
      <c r="G178" s="69">
        <v>1.0</v>
      </c>
      <c r="H178" s="69">
        <v>0.0</v>
      </c>
      <c r="I178" s="69">
        <v>0.0</v>
      </c>
      <c r="J178" s="69">
        <v>1.0</v>
      </c>
      <c r="K178" s="69">
        <v>0.0</v>
      </c>
      <c r="L178" s="69">
        <v>0.0</v>
      </c>
      <c r="M178" s="69">
        <v>0.0</v>
      </c>
      <c r="N178" s="69">
        <v>0.0</v>
      </c>
      <c r="O178" s="69">
        <v>0.0</v>
      </c>
      <c r="P178" s="69">
        <v>0.0</v>
      </c>
      <c r="Q178" s="69">
        <v>1.0</v>
      </c>
      <c r="R178" s="69">
        <v>0.0</v>
      </c>
      <c r="S178" s="69">
        <v>0.0</v>
      </c>
      <c r="T178" s="69">
        <v>0.0</v>
      </c>
      <c r="U178" s="69">
        <v>0.0</v>
      </c>
      <c r="V178" s="69">
        <v>0.0</v>
      </c>
      <c r="W178" s="69">
        <v>0.0</v>
      </c>
      <c r="X178" s="13">
        <f t="shared" si="48"/>
        <v>5</v>
      </c>
      <c r="Y178" s="5"/>
      <c r="Z178" s="5"/>
    </row>
    <row r="179" ht="12.75" customHeight="1">
      <c r="A179" s="30"/>
      <c r="B179" s="47"/>
      <c r="C179" s="50" t="s">
        <v>153</v>
      </c>
      <c r="D179" s="62"/>
      <c r="E179" s="69">
        <v>1.0</v>
      </c>
      <c r="F179" s="69">
        <v>0.0</v>
      </c>
      <c r="G179" s="69">
        <v>0.0</v>
      </c>
      <c r="H179" s="69">
        <v>0.0</v>
      </c>
      <c r="I179" s="69">
        <v>0.0</v>
      </c>
      <c r="J179" s="69">
        <v>0.0</v>
      </c>
      <c r="K179" s="69">
        <v>0.0</v>
      </c>
      <c r="L179" s="69">
        <v>0.0</v>
      </c>
      <c r="M179" s="69">
        <v>0.0</v>
      </c>
      <c r="N179" s="69">
        <v>0.0</v>
      </c>
      <c r="O179" s="69">
        <v>0.0</v>
      </c>
      <c r="P179" s="69">
        <v>0.0</v>
      </c>
      <c r="Q179" s="69">
        <v>0.0</v>
      </c>
      <c r="R179" s="69">
        <v>0.0</v>
      </c>
      <c r="S179" s="69">
        <v>0.0</v>
      </c>
      <c r="T179" s="69">
        <v>0.0</v>
      </c>
      <c r="U179" s="69">
        <v>0.0</v>
      </c>
      <c r="V179" s="69">
        <v>0.0</v>
      </c>
      <c r="W179" s="69">
        <v>0.0</v>
      </c>
      <c r="X179" s="13">
        <f t="shared" si="48"/>
        <v>1</v>
      </c>
      <c r="Y179" s="5"/>
      <c r="Z179" s="5"/>
    </row>
    <row r="180" ht="12.75" customHeight="1">
      <c r="A180" s="30" t="s">
        <v>39</v>
      </c>
      <c r="B180" s="49"/>
      <c r="C180" s="50" t="s">
        <v>154</v>
      </c>
      <c r="D180" s="51"/>
      <c r="E180" s="69">
        <v>0.0</v>
      </c>
      <c r="F180" s="69">
        <v>0.0</v>
      </c>
      <c r="G180" s="69">
        <v>0.0</v>
      </c>
      <c r="H180" s="69">
        <v>1.0</v>
      </c>
      <c r="I180" s="69">
        <v>0.0</v>
      </c>
      <c r="J180" s="69">
        <v>0.0</v>
      </c>
      <c r="K180" s="69">
        <v>0.0</v>
      </c>
      <c r="L180" s="69">
        <v>0.0</v>
      </c>
      <c r="M180" s="69">
        <v>0.0</v>
      </c>
      <c r="N180" s="69">
        <v>0.0</v>
      </c>
      <c r="O180" s="69">
        <v>0.0</v>
      </c>
      <c r="P180" s="69">
        <v>0.0</v>
      </c>
      <c r="Q180" s="69">
        <v>1.0</v>
      </c>
      <c r="R180" s="69">
        <v>0.0</v>
      </c>
      <c r="S180" s="69">
        <v>0.0</v>
      </c>
      <c r="T180" s="69">
        <v>0.0</v>
      </c>
      <c r="U180" s="69">
        <v>0.0</v>
      </c>
      <c r="V180" s="69">
        <v>0.0</v>
      </c>
      <c r="W180" s="69">
        <v>0.0</v>
      </c>
      <c r="X180" s="13">
        <f t="shared" si="48"/>
        <v>2</v>
      </c>
      <c r="Y180" s="5"/>
      <c r="Z180" s="5"/>
    </row>
    <row r="181" ht="12.75" customHeight="1">
      <c r="A181" s="19" t="s">
        <v>15</v>
      </c>
      <c r="B181" s="47" t="s">
        <v>47</v>
      </c>
      <c r="C181" s="15"/>
      <c r="D181" s="16"/>
      <c r="E181" s="56">
        <f t="shared" ref="E181:W181" si="49">SUM(E177:E180)</f>
        <v>5</v>
      </c>
      <c r="F181" s="56">
        <f t="shared" si="49"/>
        <v>1</v>
      </c>
      <c r="G181" s="56">
        <f t="shared" si="49"/>
        <v>1</v>
      </c>
      <c r="H181" s="56">
        <f t="shared" si="49"/>
        <v>3</v>
      </c>
      <c r="I181" s="56">
        <f t="shared" si="49"/>
        <v>0</v>
      </c>
      <c r="J181" s="56">
        <f t="shared" si="49"/>
        <v>1</v>
      </c>
      <c r="K181" s="56">
        <f t="shared" si="49"/>
        <v>0</v>
      </c>
      <c r="L181" s="56">
        <f t="shared" si="49"/>
        <v>0</v>
      </c>
      <c r="M181" s="56">
        <f t="shared" si="49"/>
        <v>0</v>
      </c>
      <c r="N181" s="56">
        <f t="shared" si="49"/>
        <v>1</v>
      </c>
      <c r="O181" s="56">
        <f t="shared" si="49"/>
        <v>0</v>
      </c>
      <c r="P181" s="56">
        <f t="shared" si="49"/>
        <v>1</v>
      </c>
      <c r="Q181" s="56">
        <f t="shared" si="49"/>
        <v>6</v>
      </c>
      <c r="R181" s="56">
        <f t="shared" si="49"/>
        <v>0</v>
      </c>
      <c r="S181" s="56">
        <f t="shared" si="49"/>
        <v>0</v>
      </c>
      <c r="T181" s="56">
        <f t="shared" si="49"/>
        <v>0</v>
      </c>
      <c r="U181" s="56">
        <f t="shared" si="49"/>
        <v>0</v>
      </c>
      <c r="V181" s="56">
        <f t="shared" si="49"/>
        <v>0</v>
      </c>
      <c r="W181" s="56">
        <f t="shared" si="49"/>
        <v>0</v>
      </c>
      <c r="X181" s="13">
        <f t="shared" si="48"/>
        <v>19</v>
      </c>
      <c r="Y181" s="5"/>
      <c r="Z181" s="5"/>
    </row>
    <row r="182" ht="12.75" customHeight="1">
      <c r="A182" s="57"/>
      <c r="B182" s="58"/>
      <c r="C182" s="58"/>
      <c r="D182" s="63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13"/>
      <c r="Y182" s="5"/>
      <c r="Z182" s="5"/>
    </row>
    <row r="183" ht="12.75" customHeight="1">
      <c r="A183" s="42" t="s">
        <v>155</v>
      </c>
      <c r="B183" s="14" t="s">
        <v>156</v>
      </c>
      <c r="C183" s="15"/>
      <c r="D183" s="16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5"/>
      <c r="Z183" s="5"/>
    </row>
    <row r="184" ht="12.75" customHeight="1">
      <c r="A184" s="42"/>
      <c r="B184" s="64" t="s">
        <v>157</v>
      </c>
      <c r="C184" s="65" t="s">
        <v>158</v>
      </c>
      <c r="D184" s="16"/>
      <c r="E184" s="19">
        <f t="shared" ref="E184:W184" si="50">E181+E175+E165+E161+E156+E146+E136+E129+E125+E115+E111+E101+E97+E93+E83+E73+E63+E53</f>
        <v>218</v>
      </c>
      <c r="F184" s="19">
        <f t="shared" si="50"/>
        <v>195</v>
      </c>
      <c r="G184" s="19">
        <f t="shared" si="50"/>
        <v>201</v>
      </c>
      <c r="H184" s="19">
        <f t="shared" si="50"/>
        <v>221</v>
      </c>
      <c r="I184" s="19">
        <f t="shared" si="50"/>
        <v>222</v>
      </c>
      <c r="J184" s="19">
        <f t="shared" si="50"/>
        <v>213</v>
      </c>
      <c r="K184" s="19">
        <f t="shared" si="50"/>
        <v>176</v>
      </c>
      <c r="L184" s="19">
        <f t="shared" si="50"/>
        <v>207</v>
      </c>
      <c r="M184" s="19">
        <f t="shared" si="50"/>
        <v>223</v>
      </c>
      <c r="N184" s="19">
        <f t="shared" si="50"/>
        <v>224</v>
      </c>
      <c r="O184" s="19">
        <f t="shared" si="50"/>
        <v>231</v>
      </c>
      <c r="P184" s="19">
        <f t="shared" si="50"/>
        <v>221</v>
      </c>
      <c r="Q184" s="19">
        <f t="shared" si="50"/>
        <v>213</v>
      </c>
      <c r="R184" s="19">
        <f t="shared" si="50"/>
        <v>165</v>
      </c>
      <c r="S184" s="19">
        <f t="shared" si="50"/>
        <v>179</v>
      </c>
      <c r="T184" s="19">
        <f t="shared" si="50"/>
        <v>213</v>
      </c>
      <c r="U184" s="19">
        <f t="shared" si="50"/>
        <v>211</v>
      </c>
      <c r="V184" s="19">
        <f t="shared" si="50"/>
        <v>236</v>
      </c>
      <c r="W184" s="19">
        <f t="shared" si="50"/>
        <v>274</v>
      </c>
      <c r="X184" s="13">
        <f t="shared" ref="X184:X186" si="51">SUM(E184:W184)</f>
        <v>4043</v>
      </c>
      <c r="Y184" s="5"/>
      <c r="Z184" s="5"/>
    </row>
    <row r="185" ht="12.75" customHeight="1">
      <c r="A185" s="35"/>
      <c r="B185" s="64" t="s">
        <v>159</v>
      </c>
      <c r="C185" s="65" t="s">
        <v>160</v>
      </c>
      <c r="D185" s="16"/>
      <c r="E185" s="69">
        <v>11.0</v>
      </c>
      <c r="F185" s="69">
        <v>12.0</v>
      </c>
      <c r="G185" s="69">
        <v>10.0</v>
      </c>
      <c r="H185" s="69">
        <v>6.0</v>
      </c>
      <c r="I185" s="69">
        <v>7.0</v>
      </c>
      <c r="J185" s="69">
        <v>15.0</v>
      </c>
      <c r="K185" s="69">
        <v>11.0</v>
      </c>
      <c r="L185" s="69">
        <v>8.0</v>
      </c>
      <c r="M185" s="69">
        <v>21.0</v>
      </c>
      <c r="N185" s="69">
        <v>7.0</v>
      </c>
      <c r="O185" s="69">
        <v>4.0</v>
      </c>
      <c r="P185" s="69">
        <v>16.0</v>
      </c>
      <c r="Q185" s="69">
        <v>22.0</v>
      </c>
      <c r="R185" s="69">
        <v>5.0</v>
      </c>
      <c r="S185" s="69">
        <v>5.0</v>
      </c>
      <c r="T185" s="69">
        <v>22.0</v>
      </c>
      <c r="U185" s="69">
        <v>15.0</v>
      </c>
      <c r="V185" s="69">
        <v>10.0</v>
      </c>
      <c r="W185" s="69">
        <v>2.0</v>
      </c>
      <c r="X185" s="13">
        <f t="shared" si="51"/>
        <v>209</v>
      </c>
      <c r="Y185" s="5"/>
      <c r="Z185" s="5"/>
    </row>
    <row r="186" ht="12.75" customHeight="1">
      <c r="A186" s="41"/>
      <c r="B186" s="64" t="s">
        <v>161</v>
      </c>
      <c r="C186" s="65" t="s">
        <v>162</v>
      </c>
      <c r="D186" s="16"/>
      <c r="E186" s="13">
        <f t="shared" ref="E186:W186" si="52">SUM(E184:E185)</f>
        <v>229</v>
      </c>
      <c r="F186" s="13">
        <f t="shared" si="52"/>
        <v>207</v>
      </c>
      <c r="G186" s="13">
        <f t="shared" si="52"/>
        <v>211</v>
      </c>
      <c r="H186" s="13">
        <f t="shared" si="52"/>
        <v>227</v>
      </c>
      <c r="I186" s="13">
        <f t="shared" si="52"/>
        <v>229</v>
      </c>
      <c r="J186" s="13">
        <f t="shared" si="52"/>
        <v>228</v>
      </c>
      <c r="K186" s="13">
        <f t="shared" si="52"/>
        <v>187</v>
      </c>
      <c r="L186" s="13">
        <f t="shared" si="52"/>
        <v>215</v>
      </c>
      <c r="M186" s="13">
        <f t="shared" si="52"/>
        <v>244</v>
      </c>
      <c r="N186" s="13">
        <f t="shared" si="52"/>
        <v>231</v>
      </c>
      <c r="O186" s="13">
        <f t="shared" si="52"/>
        <v>235</v>
      </c>
      <c r="P186" s="13">
        <f t="shared" si="52"/>
        <v>237</v>
      </c>
      <c r="Q186" s="13">
        <f t="shared" si="52"/>
        <v>235</v>
      </c>
      <c r="R186" s="13">
        <f t="shared" si="52"/>
        <v>170</v>
      </c>
      <c r="S186" s="13">
        <f t="shared" si="52"/>
        <v>184</v>
      </c>
      <c r="T186" s="13">
        <f t="shared" si="52"/>
        <v>235</v>
      </c>
      <c r="U186" s="13">
        <f t="shared" si="52"/>
        <v>226</v>
      </c>
      <c r="V186" s="13">
        <f t="shared" si="52"/>
        <v>246</v>
      </c>
      <c r="W186" s="13">
        <f t="shared" si="52"/>
        <v>276</v>
      </c>
      <c r="X186" s="13">
        <f t="shared" si="51"/>
        <v>4252</v>
      </c>
      <c r="Y186" s="5"/>
      <c r="Z186" s="5"/>
    </row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9">
    <mergeCell ref="B111:D111"/>
    <mergeCell ref="C113:D113"/>
    <mergeCell ref="B115:D115"/>
    <mergeCell ref="C117:D117"/>
    <mergeCell ref="B125:D125"/>
    <mergeCell ref="C127:D127"/>
    <mergeCell ref="B129:D129"/>
    <mergeCell ref="C131:D131"/>
    <mergeCell ref="B136:D136"/>
    <mergeCell ref="C138:D138"/>
    <mergeCell ref="B146:D146"/>
    <mergeCell ref="C148:D148"/>
    <mergeCell ref="B156:D156"/>
    <mergeCell ref="C158:D158"/>
    <mergeCell ref="B183:D183"/>
    <mergeCell ref="C184:D184"/>
    <mergeCell ref="C185:D185"/>
    <mergeCell ref="C186:D186"/>
    <mergeCell ref="B161:D161"/>
    <mergeCell ref="C163:D163"/>
    <mergeCell ref="B165:D165"/>
    <mergeCell ref="C167:D167"/>
    <mergeCell ref="B175:D175"/>
    <mergeCell ref="C177:D177"/>
    <mergeCell ref="B181:D181"/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3:D53"/>
    <mergeCell ref="C55:D55"/>
    <mergeCell ref="B63:D63"/>
    <mergeCell ref="C65:D65"/>
    <mergeCell ref="B73:D73"/>
    <mergeCell ref="C75:D75"/>
    <mergeCell ref="B83:D83"/>
    <mergeCell ref="C85:D85"/>
    <mergeCell ref="B93:D93"/>
    <mergeCell ref="C95:D95"/>
    <mergeCell ref="B97:D97"/>
    <mergeCell ref="C99:D99"/>
    <mergeCell ref="B101:D101"/>
    <mergeCell ref="C103:D103"/>
  </mergeCells>
  <conditionalFormatting sqref="E14:W15">
    <cfRule type="containsBlanks" dxfId="3" priority="1">
      <formula>LEN(TRIM(E14))=0</formula>
    </cfRule>
  </conditionalFormatting>
  <conditionalFormatting sqref="E19:W20">
    <cfRule type="containsBlanks" dxfId="3" priority="2">
      <formula>LEN(TRIM(E19))=0</formula>
    </cfRule>
  </conditionalFormatting>
  <conditionalFormatting sqref="E22:W23 E25:W26 E33:W33 E35:W35 E39:W40">
    <cfRule type="containsBlanks" dxfId="3" priority="3">
      <formula>LEN(TRIM(E22))=0</formula>
    </cfRule>
  </conditionalFormatting>
  <conditionalFormatting sqref="E30:W30">
    <cfRule type="expression" dxfId="0" priority="4">
      <formula>E30&lt;&gt;E47</formula>
    </cfRule>
  </conditionalFormatting>
  <conditionalFormatting sqref="E30:W30">
    <cfRule type="expression" dxfId="0" priority="5">
      <formula>E30&lt;&gt;E34</formula>
    </cfRule>
  </conditionalFormatting>
  <conditionalFormatting sqref="E34:W34">
    <cfRule type="expression" dxfId="1" priority="6">
      <formula>E30&lt;&gt;E34</formula>
    </cfRule>
  </conditionalFormatting>
  <conditionalFormatting sqref="E34:W34">
    <cfRule type="expression" dxfId="2" priority="7">
      <formula>E30=E34</formula>
    </cfRule>
  </conditionalFormatting>
  <conditionalFormatting sqref="E34:W34">
    <cfRule type="expression" dxfId="0" priority="8">
      <formula>E34&lt;&gt;E30</formula>
    </cfRule>
  </conditionalFormatting>
  <conditionalFormatting sqref="E34:W34">
    <cfRule type="expression" dxfId="0" priority="9">
      <formula>E34&lt;&gt;E64</formula>
    </cfRule>
  </conditionalFormatting>
  <conditionalFormatting sqref="E45:W52">
    <cfRule type="containsBlanks" dxfId="3" priority="10">
      <formula>LEN(TRIM(E45))=0</formula>
    </cfRule>
  </conditionalFormatting>
  <conditionalFormatting sqref="E55:W62">
    <cfRule type="containsBlanks" dxfId="3" priority="11">
      <formula>LEN(TRIM(E55))=0</formula>
    </cfRule>
  </conditionalFormatting>
  <conditionalFormatting sqref="E65:W72">
    <cfRule type="containsBlanks" dxfId="3" priority="12">
      <formula>LEN(TRIM(E65))=0</formula>
    </cfRule>
  </conditionalFormatting>
  <conditionalFormatting sqref="E75:W82">
    <cfRule type="containsBlanks" dxfId="3" priority="13">
      <formula>LEN(TRIM(E75))=0</formula>
    </cfRule>
  </conditionalFormatting>
  <conditionalFormatting sqref="E85:W92">
    <cfRule type="containsBlanks" dxfId="3" priority="14">
      <formula>LEN(TRIM(E85))=0</formula>
    </cfRule>
  </conditionalFormatting>
  <conditionalFormatting sqref="E95:W96">
    <cfRule type="containsBlanks" dxfId="3" priority="15">
      <formula>LEN(TRIM(E95))=0</formula>
    </cfRule>
  </conditionalFormatting>
  <conditionalFormatting sqref="E99:W100">
    <cfRule type="containsBlanks" dxfId="3" priority="16">
      <formula>LEN(TRIM(E99))=0</formula>
    </cfRule>
  </conditionalFormatting>
  <conditionalFormatting sqref="E103:W110">
    <cfRule type="containsBlanks" dxfId="3" priority="17">
      <formula>LEN(TRIM(E103))=0</formula>
    </cfRule>
  </conditionalFormatting>
  <conditionalFormatting sqref="E113:W114">
    <cfRule type="containsBlanks" dxfId="3" priority="18">
      <formula>LEN(TRIM(E113))=0</formula>
    </cfRule>
  </conditionalFormatting>
  <conditionalFormatting sqref="E117:W124">
    <cfRule type="containsBlanks" dxfId="3" priority="19">
      <formula>LEN(TRIM(E117))=0</formula>
    </cfRule>
  </conditionalFormatting>
  <conditionalFormatting sqref="E127:W128">
    <cfRule type="containsBlanks" dxfId="3" priority="20">
      <formula>LEN(TRIM(E127))=0</formula>
    </cfRule>
  </conditionalFormatting>
  <conditionalFormatting sqref="E131:W135">
    <cfRule type="containsBlanks" dxfId="3" priority="21">
      <formula>LEN(TRIM(E131))=0</formula>
    </cfRule>
  </conditionalFormatting>
  <conditionalFormatting sqref="E138:W145">
    <cfRule type="containsBlanks" dxfId="3" priority="22">
      <formula>LEN(TRIM(E138))=0</formula>
    </cfRule>
  </conditionalFormatting>
  <conditionalFormatting sqref="E148:W155">
    <cfRule type="containsBlanks" dxfId="3" priority="23">
      <formula>LEN(TRIM(E148))=0</formula>
    </cfRule>
  </conditionalFormatting>
  <conditionalFormatting sqref="E158:W160">
    <cfRule type="containsBlanks" dxfId="3" priority="24">
      <formula>LEN(TRIM(E158))=0</formula>
    </cfRule>
  </conditionalFormatting>
  <conditionalFormatting sqref="E163:W164">
    <cfRule type="containsBlanks" dxfId="3" priority="25">
      <formula>LEN(TRIM(E163))=0</formula>
    </cfRule>
  </conditionalFormatting>
  <conditionalFormatting sqref="E167:W174">
    <cfRule type="containsBlanks" dxfId="3" priority="26">
      <formula>LEN(TRIM(E167))=0</formula>
    </cfRule>
  </conditionalFormatting>
  <conditionalFormatting sqref="E177:W180">
    <cfRule type="containsBlanks" dxfId="3" priority="27">
      <formula>LEN(TRIM(E177))=0</formula>
    </cfRule>
  </conditionalFormatting>
  <conditionalFormatting sqref="E184:W185">
    <cfRule type="containsBlanks" dxfId="3" priority="28">
      <formula>LEN(TRIM(E184))=0</formula>
    </cfRule>
  </conditionalFormatting>
  <conditionalFormatting sqref="E186:W186">
    <cfRule type="expression" dxfId="0" priority="29">
      <formula>E186&lt;&gt;#REF!</formula>
    </cfRule>
  </conditionalFormatting>
  <conditionalFormatting sqref="E186:W186">
    <cfRule type="expression" dxfId="1" priority="30">
      <formula>#REF!&lt;&gt;E186</formula>
    </cfRule>
  </conditionalFormatting>
  <conditionalFormatting sqref="E186:W186">
    <cfRule type="expression" dxfId="2" priority="31">
      <formula>#REF!=E186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  <col customWidth="1" min="28" max="29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163</v>
      </c>
      <c r="D9" s="8" t="s">
        <v>209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165</v>
      </c>
      <c r="F13" s="13" t="s">
        <v>166</v>
      </c>
      <c r="G13" s="13" t="s">
        <v>167</v>
      </c>
      <c r="H13" s="13" t="s">
        <v>168</v>
      </c>
      <c r="I13" s="13" t="s">
        <v>169</v>
      </c>
      <c r="J13" s="13" t="s">
        <v>170</v>
      </c>
      <c r="K13" s="13" t="s">
        <v>171</v>
      </c>
      <c r="L13" s="13" t="s">
        <v>172</v>
      </c>
      <c r="M13" s="13" t="s">
        <v>173</v>
      </c>
      <c r="N13" s="13" t="s">
        <v>174</v>
      </c>
      <c r="O13" s="13" t="s">
        <v>175</v>
      </c>
      <c r="P13" s="13" t="s">
        <v>176</v>
      </c>
      <c r="Q13" s="13" t="s">
        <v>177</v>
      </c>
      <c r="R13" s="13" t="s">
        <v>178</v>
      </c>
      <c r="S13" s="13" t="s">
        <v>179</v>
      </c>
      <c r="T13" s="13" t="s">
        <v>180</v>
      </c>
      <c r="U13" s="13" t="s">
        <v>181</v>
      </c>
      <c r="V13" s="13" t="s">
        <v>182</v>
      </c>
      <c r="W13" s="13" t="s">
        <v>183</v>
      </c>
      <c r="X13" s="13" t="s">
        <v>184</v>
      </c>
      <c r="Y13" s="13" t="s">
        <v>185</v>
      </c>
      <c r="Z13" s="13" t="s">
        <v>186</v>
      </c>
      <c r="AA13" s="36"/>
    </row>
    <row r="14" ht="12.75" customHeight="1">
      <c r="A14" s="18"/>
      <c r="B14" s="22" t="s">
        <v>11</v>
      </c>
      <c r="C14" s="23"/>
      <c r="D14" s="19" t="s">
        <v>12</v>
      </c>
      <c r="E14" s="69">
        <v>142.0</v>
      </c>
      <c r="F14" s="69">
        <v>147.0</v>
      </c>
      <c r="G14" s="69">
        <v>140.0</v>
      </c>
      <c r="H14" s="69">
        <v>141.0</v>
      </c>
      <c r="I14" s="69">
        <v>141.0</v>
      </c>
      <c r="J14" s="69">
        <v>142.0</v>
      </c>
      <c r="K14" s="69">
        <v>122.0</v>
      </c>
      <c r="L14" s="69">
        <v>153.0</v>
      </c>
      <c r="M14" s="69">
        <v>154.0</v>
      </c>
      <c r="N14" s="69">
        <v>113.0</v>
      </c>
      <c r="O14" s="69">
        <v>131.0</v>
      </c>
      <c r="P14" s="69">
        <v>136.0</v>
      </c>
      <c r="Q14" s="69">
        <v>146.0</v>
      </c>
      <c r="R14" s="69">
        <v>138.0</v>
      </c>
      <c r="S14" s="69">
        <v>147.0</v>
      </c>
      <c r="T14" s="69">
        <v>127.0</v>
      </c>
      <c r="U14" s="69">
        <v>136.0</v>
      </c>
      <c r="V14" s="69">
        <v>142.0</v>
      </c>
      <c r="W14" s="69">
        <v>132.0</v>
      </c>
      <c r="X14" s="69">
        <v>133.0</v>
      </c>
      <c r="Y14" s="69">
        <v>134.0</v>
      </c>
      <c r="Z14" s="69">
        <v>148.0</v>
      </c>
      <c r="AA14" s="13">
        <f t="shared" ref="AA14:AA16" si="1">SUM(E14:Z14)</f>
        <v>3045</v>
      </c>
    </row>
    <row r="15" ht="12.75" customHeight="1">
      <c r="A15" s="18"/>
      <c r="B15" s="26"/>
      <c r="C15" s="27"/>
      <c r="D15" s="19" t="s">
        <v>13</v>
      </c>
      <c r="E15" s="69">
        <v>153.0</v>
      </c>
      <c r="F15" s="69">
        <v>130.0</v>
      </c>
      <c r="G15" s="69">
        <v>144.0</v>
      </c>
      <c r="H15" s="69">
        <v>149.0</v>
      </c>
      <c r="I15" s="69">
        <v>141.0</v>
      </c>
      <c r="J15" s="69">
        <v>129.0</v>
      </c>
      <c r="K15" s="69">
        <v>122.0</v>
      </c>
      <c r="L15" s="69">
        <v>125.0</v>
      </c>
      <c r="M15" s="69">
        <v>139.0</v>
      </c>
      <c r="N15" s="69">
        <v>115.0</v>
      </c>
      <c r="O15" s="69">
        <v>144.0</v>
      </c>
      <c r="P15" s="69">
        <v>150.0</v>
      </c>
      <c r="Q15" s="69">
        <v>135.0</v>
      </c>
      <c r="R15" s="69">
        <v>135.0</v>
      </c>
      <c r="S15" s="69">
        <v>148.0</v>
      </c>
      <c r="T15" s="69">
        <v>117.0</v>
      </c>
      <c r="U15" s="69">
        <v>142.0</v>
      </c>
      <c r="V15" s="69">
        <v>138.0</v>
      </c>
      <c r="W15" s="69">
        <v>141.0</v>
      </c>
      <c r="X15" s="69">
        <v>130.0</v>
      </c>
      <c r="Y15" s="69">
        <v>148.0</v>
      </c>
      <c r="Z15" s="69">
        <v>147.0</v>
      </c>
      <c r="AA15" s="13">
        <f t="shared" si="1"/>
        <v>3022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295</v>
      </c>
      <c r="F16" s="13">
        <f t="shared" si="2"/>
        <v>277</v>
      </c>
      <c r="G16" s="13">
        <f t="shared" si="2"/>
        <v>284</v>
      </c>
      <c r="H16" s="13">
        <f t="shared" si="2"/>
        <v>290</v>
      </c>
      <c r="I16" s="13">
        <f t="shared" si="2"/>
        <v>282</v>
      </c>
      <c r="J16" s="13">
        <f t="shared" si="2"/>
        <v>271</v>
      </c>
      <c r="K16" s="13">
        <f t="shared" si="2"/>
        <v>244</v>
      </c>
      <c r="L16" s="13">
        <f t="shared" si="2"/>
        <v>278</v>
      </c>
      <c r="M16" s="13">
        <f t="shared" si="2"/>
        <v>293</v>
      </c>
      <c r="N16" s="13">
        <f t="shared" si="2"/>
        <v>228</v>
      </c>
      <c r="O16" s="13">
        <f t="shared" si="2"/>
        <v>275</v>
      </c>
      <c r="P16" s="13">
        <f t="shared" si="2"/>
        <v>286</v>
      </c>
      <c r="Q16" s="13">
        <f t="shared" si="2"/>
        <v>281</v>
      </c>
      <c r="R16" s="13">
        <f t="shared" si="2"/>
        <v>273</v>
      </c>
      <c r="S16" s="13">
        <f t="shared" si="2"/>
        <v>295</v>
      </c>
      <c r="T16" s="13">
        <f t="shared" si="2"/>
        <v>244</v>
      </c>
      <c r="U16" s="13">
        <f t="shared" si="2"/>
        <v>278</v>
      </c>
      <c r="V16" s="13">
        <f t="shared" si="2"/>
        <v>280</v>
      </c>
      <c r="W16" s="13">
        <f t="shared" si="2"/>
        <v>273</v>
      </c>
      <c r="X16" s="13">
        <f t="shared" si="2"/>
        <v>263</v>
      </c>
      <c r="Y16" s="13">
        <f t="shared" si="2"/>
        <v>282</v>
      </c>
      <c r="Z16" s="13">
        <f t="shared" si="2"/>
        <v>295</v>
      </c>
      <c r="AA16" s="13">
        <f t="shared" si="1"/>
        <v>6067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0"/>
      <c r="O17" s="19"/>
      <c r="P17" s="19"/>
      <c r="Q17" s="19"/>
      <c r="R17" s="19"/>
      <c r="S17" s="70"/>
      <c r="T17" s="19"/>
      <c r="U17" s="19"/>
      <c r="V17" s="19"/>
      <c r="W17" s="19"/>
      <c r="X17" s="70"/>
      <c r="Y17" s="19"/>
      <c r="Z17" s="19"/>
      <c r="AA17" s="71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0"/>
      <c r="O18" s="19"/>
      <c r="P18" s="19"/>
      <c r="Q18" s="19"/>
      <c r="R18" s="19"/>
      <c r="S18" s="70"/>
      <c r="T18" s="19"/>
      <c r="U18" s="19"/>
      <c r="V18" s="19"/>
      <c r="W18" s="19"/>
      <c r="X18" s="70"/>
      <c r="Y18" s="19"/>
      <c r="Z18" s="19"/>
      <c r="AA18" s="71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69">
        <v>102.0</v>
      </c>
      <c r="F19" s="69">
        <v>119.0</v>
      </c>
      <c r="G19" s="69">
        <v>113.0</v>
      </c>
      <c r="H19" s="69">
        <v>114.0</v>
      </c>
      <c r="I19" s="69">
        <v>112.0</v>
      </c>
      <c r="J19" s="69">
        <v>109.0</v>
      </c>
      <c r="K19" s="69">
        <v>100.0</v>
      </c>
      <c r="L19" s="69">
        <v>100.0</v>
      </c>
      <c r="M19" s="69">
        <v>118.0</v>
      </c>
      <c r="N19" s="69">
        <v>93.0</v>
      </c>
      <c r="O19" s="69">
        <v>111.0</v>
      </c>
      <c r="P19" s="69">
        <v>104.0</v>
      </c>
      <c r="Q19" s="69">
        <v>111.0</v>
      </c>
      <c r="R19" s="69">
        <v>111.0</v>
      </c>
      <c r="S19" s="69">
        <v>110.0</v>
      </c>
      <c r="T19" s="69">
        <v>102.0</v>
      </c>
      <c r="U19" s="69">
        <v>107.0</v>
      </c>
      <c r="V19" s="69">
        <v>118.0</v>
      </c>
      <c r="W19" s="69">
        <v>99.0</v>
      </c>
      <c r="X19" s="69">
        <v>100.0</v>
      </c>
      <c r="Y19" s="69">
        <v>106.0</v>
      </c>
      <c r="Z19" s="69">
        <v>129.0</v>
      </c>
      <c r="AA19" s="13">
        <f t="shared" ref="AA19:AA30" si="3">SUM(E19:Z19)</f>
        <v>2388</v>
      </c>
    </row>
    <row r="20" ht="12.75" customHeight="1">
      <c r="A20" s="33"/>
      <c r="B20" s="27"/>
      <c r="C20" s="34"/>
      <c r="D20" s="19" t="s">
        <v>13</v>
      </c>
      <c r="E20" s="69">
        <v>116.0</v>
      </c>
      <c r="F20" s="69">
        <v>106.0</v>
      </c>
      <c r="G20" s="69">
        <v>117.0</v>
      </c>
      <c r="H20" s="69">
        <v>115.0</v>
      </c>
      <c r="I20" s="69">
        <v>125.0</v>
      </c>
      <c r="J20" s="69">
        <v>99.0</v>
      </c>
      <c r="K20" s="69">
        <v>101.0</v>
      </c>
      <c r="L20" s="69">
        <v>96.0</v>
      </c>
      <c r="M20" s="69">
        <v>109.0</v>
      </c>
      <c r="N20" s="69">
        <v>101.0</v>
      </c>
      <c r="O20" s="69">
        <v>132.0</v>
      </c>
      <c r="P20" s="69">
        <v>134.0</v>
      </c>
      <c r="Q20" s="69">
        <v>120.0</v>
      </c>
      <c r="R20" s="69">
        <v>104.0</v>
      </c>
      <c r="S20" s="69">
        <v>107.0</v>
      </c>
      <c r="T20" s="69">
        <v>107.0</v>
      </c>
      <c r="U20" s="69">
        <v>121.0</v>
      </c>
      <c r="V20" s="69">
        <v>125.0</v>
      </c>
      <c r="W20" s="69">
        <v>111.0</v>
      </c>
      <c r="X20" s="69">
        <v>103.0</v>
      </c>
      <c r="Y20" s="69">
        <v>129.0</v>
      </c>
      <c r="Z20" s="69">
        <v>129.0</v>
      </c>
      <c r="AA20" s="13">
        <f t="shared" si="3"/>
        <v>2507</v>
      </c>
    </row>
    <row r="21" ht="12.75" customHeight="1">
      <c r="A21" s="35"/>
      <c r="B21" s="28"/>
      <c r="C21" s="36"/>
      <c r="D21" s="13" t="s">
        <v>14</v>
      </c>
      <c r="E21" s="13">
        <f t="shared" ref="E21:Z21" si="4">SUM(E19:E20)</f>
        <v>218</v>
      </c>
      <c r="F21" s="13">
        <f t="shared" si="4"/>
        <v>225</v>
      </c>
      <c r="G21" s="13">
        <f t="shared" si="4"/>
        <v>230</v>
      </c>
      <c r="H21" s="13">
        <f t="shared" si="4"/>
        <v>229</v>
      </c>
      <c r="I21" s="13">
        <f t="shared" si="4"/>
        <v>237</v>
      </c>
      <c r="J21" s="13">
        <f t="shared" si="4"/>
        <v>208</v>
      </c>
      <c r="K21" s="13">
        <f t="shared" si="4"/>
        <v>201</v>
      </c>
      <c r="L21" s="13">
        <f t="shared" si="4"/>
        <v>196</v>
      </c>
      <c r="M21" s="13">
        <f t="shared" si="4"/>
        <v>227</v>
      </c>
      <c r="N21" s="13">
        <f t="shared" si="4"/>
        <v>194</v>
      </c>
      <c r="O21" s="13">
        <f t="shared" si="4"/>
        <v>243</v>
      </c>
      <c r="P21" s="13">
        <f t="shared" si="4"/>
        <v>238</v>
      </c>
      <c r="Q21" s="13">
        <f t="shared" si="4"/>
        <v>231</v>
      </c>
      <c r="R21" s="13">
        <f t="shared" si="4"/>
        <v>215</v>
      </c>
      <c r="S21" s="13">
        <f t="shared" si="4"/>
        <v>217</v>
      </c>
      <c r="T21" s="13">
        <f t="shared" si="4"/>
        <v>209</v>
      </c>
      <c r="U21" s="13">
        <f t="shared" si="4"/>
        <v>228</v>
      </c>
      <c r="V21" s="13">
        <f t="shared" si="4"/>
        <v>243</v>
      </c>
      <c r="W21" s="13">
        <f t="shared" si="4"/>
        <v>210</v>
      </c>
      <c r="X21" s="13">
        <f t="shared" si="4"/>
        <v>203</v>
      </c>
      <c r="Y21" s="13">
        <f t="shared" si="4"/>
        <v>235</v>
      </c>
      <c r="Z21" s="13">
        <f t="shared" si="4"/>
        <v>258</v>
      </c>
      <c r="AA21" s="13">
        <f t="shared" si="3"/>
        <v>4895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69">
        <v>0.0</v>
      </c>
      <c r="F22" s="69">
        <v>0.0</v>
      </c>
      <c r="G22" s="69">
        <v>0.0</v>
      </c>
      <c r="H22" s="69">
        <v>0.0</v>
      </c>
      <c r="I22" s="69">
        <v>0.0</v>
      </c>
      <c r="J22" s="69">
        <v>1.0</v>
      </c>
      <c r="K22" s="69">
        <v>0.0</v>
      </c>
      <c r="L22" s="69">
        <v>1.0</v>
      </c>
      <c r="M22" s="69">
        <v>1.0</v>
      </c>
      <c r="N22" s="69">
        <v>0.0</v>
      </c>
      <c r="O22" s="69">
        <v>0.0</v>
      </c>
      <c r="P22" s="69">
        <v>0.0</v>
      </c>
      <c r="Q22" s="69">
        <v>0.0</v>
      </c>
      <c r="R22" s="69">
        <v>0.0</v>
      </c>
      <c r="S22" s="69">
        <v>0.0</v>
      </c>
      <c r="T22" s="69">
        <v>1.0</v>
      </c>
      <c r="U22" s="69">
        <v>0.0</v>
      </c>
      <c r="V22" s="69">
        <v>0.0</v>
      </c>
      <c r="W22" s="69">
        <v>1.0</v>
      </c>
      <c r="X22" s="69">
        <v>0.0</v>
      </c>
      <c r="Y22" s="69">
        <v>0.0</v>
      </c>
      <c r="Z22" s="69">
        <v>0.0</v>
      </c>
      <c r="AA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69">
        <v>0.0</v>
      </c>
      <c r="F23" s="69">
        <v>0.0</v>
      </c>
      <c r="G23" s="69">
        <v>0.0</v>
      </c>
      <c r="H23" s="69">
        <v>0.0</v>
      </c>
      <c r="I23" s="69">
        <v>0.0</v>
      </c>
      <c r="J23" s="69">
        <v>1.0</v>
      </c>
      <c r="K23" s="69">
        <v>0.0</v>
      </c>
      <c r="L23" s="69">
        <v>0.0</v>
      </c>
      <c r="M23" s="69">
        <v>0.0</v>
      </c>
      <c r="N23" s="69">
        <v>0.0</v>
      </c>
      <c r="O23" s="69">
        <v>0.0</v>
      </c>
      <c r="P23" s="69">
        <v>0.0</v>
      </c>
      <c r="Q23" s="69">
        <v>1.0</v>
      </c>
      <c r="R23" s="69">
        <v>0.0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69">
        <v>0.0</v>
      </c>
      <c r="Y23" s="69">
        <v>0.0</v>
      </c>
      <c r="Z23" s="69">
        <v>0.0</v>
      </c>
      <c r="AA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Z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2</v>
      </c>
      <c r="K24" s="13">
        <f t="shared" si="5"/>
        <v>0</v>
      </c>
      <c r="L24" s="13">
        <f t="shared" si="5"/>
        <v>1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0</v>
      </c>
      <c r="W24" s="13">
        <f t="shared" si="5"/>
        <v>1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3"/>
        <v>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69">
        <v>0.0</v>
      </c>
      <c r="F25" s="69">
        <v>1.0</v>
      </c>
      <c r="G25" s="69">
        <v>0.0</v>
      </c>
      <c r="H25" s="69">
        <v>0.0</v>
      </c>
      <c r="I25" s="69">
        <v>1.0</v>
      </c>
      <c r="J25" s="69">
        <v>1.0</v>
      </c>
      <c r="K25" s="69">
        <v>1.0</v>
      </c>
      <c r="L25" s="69">
        <v>1.0</v>
      </c>
      <c r="M25" s="69">
        <v>2.0</v>
      </c>
      <c r="N25" s="69">
        <v>1.0</v>
      </c>
      <c r="O25" s="69">
        <v>0.0</v>
      </c>
      <c r="P25" s="69">
        <v>0.0</v>
      </c>
      <c r="Q25" s="69">
        <v>0.0</v>
      </c>
      <c r="R25" s="69">
        <v>3.0</v>
      </c>
      <c r="S25" s="69">
        <v>0.0</v>
      </c>
      <c r="T25" s="69">
        <v>1.0</v>
      </c>
      <c r="U25" s="69">
        <v>2.0</v>
      </c>
      <c r="V25" s="69">
        <v>0.0</v>
      </c>
      <c r="W25" s="69">
        <v>0.0</v>
      </c>
      <c r="X25" s="69">
        <v>2.0</v>
      </c>
      <c r="Y25" s="69">
        <v>1.0</v>
      </c>
      <c r="Z25" s="69">
        <v>0.0</v>
      </c>
      <c r="AA25" s="13">
        <f t="shared" si="3"/>
        <v>17</v>
      </c>
    </row>
    <row r="26" ht="12.75" customHeight="1">
      <c r="A26" s="33"/>
      <c r="B26" s="27"/>
      <c r="C26" s="34"/>
      <c r="D26" s="19" t="s">
        <v>13</v>
      </c>
      <c r="E26" s="69">
        <v>1.0</v>
      </c>
      <c r="F26" s="69">
        <v>1.0</v>
      </c>
      <c r="G26" s="69">
        <v>3.0</v>
      </c>
      <c r="H26" s="69">
        <v>1.0</v>
      </c>
      <c r="I26" s="69">
        <v>2.0</v>
      </c>
      <c r="J26" s="69">
        <v>1.0</v>
      </c>
      <c r="K26" s="69">
        <v>1.0</v>
      </c>
      <c r="L26" s="69">
        <v>2.0</v>
      </c>
      <c r="M26" s="69">
        <v>2.0</v>
      </c>
      <c r="N26" s="69">
        <v>4.0</v>
      </c>
      <c r="O26" s="69">
        <v>0.0</v>
      </c>
      <c r="P26" s="69">
        <v>0.0</v>
      </c>
      <c r="Q26" s="69">
        <v>0.0</v>
      </c>
      <c r="R26" s="69">
        <v>1.0</v>
      </c>
      <c r="S26" s="69">
        <v>2.0</v>
      </c>
      <c r="T26" s="69">
        <v>1.0</v>
      </c>
      <c r="U26" s="69">
        <v>0.0</v>
      </c>
      <c r="V26" s="69">
        <v>0.0</v>
      </c>
      <c r="W26" s="69">
        <v>0.0</v>
      </c>
      <c r="X26" s="69">
        <v>1.0</v>
      </c>
      <c r="Y26" s="69">
        <v>1.0</v>
      </c>
      <c r="Z26" s="69">
        <v>0.0</v>
      </c>
      <c r="AA26" s="13">
        <f t="shared" si="3"/>
        <v>24</v>
      </c>
    </row>
    <row r="27" ht="12.75" customHeight="1">
      <c r="A27" s="35"/>
      <c r="B27" s="28"/>
      <c r="C27" s="36"/>
      <c r="D27" s="13" t="s">
        <v>14</v>
      </c>
      <c r="E27" s="13">
        <f t="shared" ref="E27:Z27" si="6">SUM(E25:E26)</f>
        <v>1</v>
      </c>
      <c r="F27" s="13">
        <f t="shared" si="6"/>
        <v>2</v>
      </c>
      <c r="G27" s="13">
        <f t="shared" si="6"/>
        <v>3</v>
      </c>
      <c r="H27" s="13">
        <f t="shared" si="6"/>
        <v>1</v>
      </c>
      <c r="I27" s="13">
        <f t="shared" si="6"/>
        <v>3</v>
      </c>
      <c r="J27" s="13">
        <f t="shared" si="6"/>
        <v>2</v>
      </c>
      <c r="K27" s="13">
        <f t="shared" si="6"/>
        <v>2</v>
      </c>
      <c r="L27" s="13">
        <f t="shared" si="6"/>
        <v>3</v>
      </c>
      <c r="M27" s="13">
        <f t="shared" si="6"/>
        <v>4</v>
      </c>
      <c r="N27" s="13">
        <f t="shared" si="6"/>
        <v>5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4</v>
      </c>
      <c r="S27" s="13">
        <f t="shared" si="6"/>
        <v>2</v>
      </c>
      <c r="T27" s="13">
        <f t="shared" si="6"/>
        <v>2</v>
      </c>
      <c r="U27" s="13">
        <f t="shared" si="6"/>
        <v>2</v>
      </c>
      <c r="V27" s="13">
        <f t="shared" si="6"/>
        <v>0</v>
      </c>
      <c r="W27" s="13">
        <f t="shared" si="6"/>
        <v>0</v>
      </c>
      <c r="X27" s="13">
        <f t="shared" si="6"/>
        <v>3</v>
      </c>
      <c r="Y27" s="13">
        <f t="shared" si="6"/>
        <v>2</v>
      </c>
      <c r="Z27" s="13">
        <f t="shared" si="6"/>
        <v>0</v>
      </c>
      <c r="AA27" s="13">
        <f t="shared" si="3"/>
        <v>41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Z28" si="7">SUM(E19,E22,E25)</f>
        <v>102</v>
      </c>
      <c r="F28" s="13">
        <f t="shared" si="7"/>
        <v>120</v>
      </c>
      <c r="G28" s="13">
        <f t="shared" si="7"/>
        <v>113</v>
      </c>
      <c r="H28" s="13">
        <f t="shared" si="7"/>
        <v>114</v>
      </c>
      <c r="I28" s="13">
        <f t="shared" si="7"/>
        <v>113</v>
      </c>
      <c r="J28" s="13">
        <f t="shared" si="7"/>
        <v>111</v>
      </c>
      <c r="K28" s="13">
        <f t="shared" si="7"/>
        <v>101</v>
      </c>
      <c r="L28" s="13">
        <f t="shared" si="7"/>
        <v>102</v>
      </c>
      <c r="M28" s="13">
        <f t="shared" si="7"/>
        <v>121</v>
      </c>
      <c r="N28" s="13">
        <f t="shared" si="7"/>
        <v>94</v>
      </c>
      <c r="O28" s="13">
        <f t="shared" si="7"/>
        <v>111</v>
      </c>
      <c r="P28" s="13">
        <f t="shared" si="7"/>
        <v>104</v>
      </c>
      <c r="Q28" s="13">
        <f t="shared" si="7"/>
        <v>111</v>
      </c>
      <c r="R28" s="13">
        <f t="shared" si="7"/>
        <v>114</v>
      </c>
      <c r="S28" s="13">
        <f t="shared" si="7"/>
        <v>110</v>
      </c>
      <c r="T28" s="13">
        <f t="shared" si="7"/>
        <v>104</v>
      </c>
      <c r="U28" s="13">
        <f t="shared" si="7"/>
        <v>109</v>
      </c>
      <c r="V28" s="13">
        <f t="shared" si="7"/>
        <v>118</v>
      </c>
      <c r="W28" s="13">
        <f t="shared" si="7"/>
        <v>100</v>
      </c>
      <c r="X28" s="13">
        <f t="shared" si="7"/>
        <v>102</v>
      </c>
      <c r="Y28" s="13">
        <f t="shared" si="7"/>
        <v>107</v>
      </c>
      <c r="Z28" s="13">
        <f t="shared" si="7"/>
        <v>129</v>
      </c>
      <c r="AA28" s="13">
        <f t="shared" si="3"/>
        <v>2410</v>
      </c>
    </row>
    <row r="29" ht="12.75" customHeight="1">
      <c r="A29" s="35"/>
      <c r="B29" s="27"/>
      <c r="C29" s="34"/>
      <c r="D29" s="13" t="s">
        <v>13</v>
      </c>
      <c r="E29" s="13">
        <f t="shared" ref="E29:Z29" si="8">SUM(E20,E23,E26)</f>
        <v>117</v>
      </c>
      <c r="F29" s="13">
        <f t="shared" si="8"/>
        <v>107</v>
      </c>
      <c r="G29" s="13">
        <f t="shared" si="8"/>
        <v>120</v>
      </c>
      <c r="H29" s="13">
        <f t="shared" si="8"/>
        <v>116</v>
      </c>
      <c r="I29" s="13">
        <f t="shared" si="8"/>
        <v>127</v>
      </c>
      <c r="J29" s="13">
        <f t="shared" si="8"/>
        <v>101</v>
      </c>
      <c r="K29" s="13">
        <f t="shared" si="8"/>
        <v>102</v>
      </c>
      <c r="L29" s="13">
        <f t="shared" si="8"/>
        <v>98</v>
      </c>
      <c r="M29" s="13">
        <f t="shared" si="8"/>
        <v>111</v>
      </c>
      <c r="N29" s="13">
        <f t="shared" si="8"/>
        <v>105</v>
      </c>
      <c r="O29" s="13">
        <f t="shared" si="8"/>
        <v>132</v>
      </c>
      <c r="P29" s="13">
        <f t="shared" si="8"/>
        <v>134</v>
      </c>
      <c r="Q29" s="13">
        <f t="shared" si="8"/>
        <v>121</v>
      </c>
      <c r="R29" s="13">
        <f t="shared" si="8"/>
        <v>105</v>
      </c>
      <c r="S29" s="13">
        <f t="shared" si="8"/>
        <v>109</v>
      </c>
      <c r="T29" s="13">
        <f t="shared" si="8"/>
        <v>108</v>
      </c>
      <c r="U29" s="13">
        <f t="shared" si="8"/>
        <v>121</v>
      </c>
      <c r="V29" s="13">
        <f t="shared" si="8"/>
        <v>125</v>
      </c>
      <c r="W29" s="13">
        <f t="shared" si="8"/>
        <v>111</v>
      </c>
      <c r="X29" s="13">
        <f t="shared" si="8"/>
        <v>104</v>
      </c>
      <c r="Y29" s="13">
        <f t="shared" si="8"/>
        <v>130</v>
      </c>
      <c r="Z29" s="13">
        <f t="shared" si="8"/>
        <v>129</v>
      </c>
      <c r="AA29" s="13">
        <f t="shared" si="3"/>
        <v>2533</v>
      </c>
    </row>
    <row r="30" ht="12.75" customHeight="1">
      <c r="A30" s="35"/>
      <c r="B30" s="28"/>
      <c r="C30" s="36"/>
      <c r="D30" s="13" t="s">
        <v>14</v>
      </c>
      <c r="E30" s="13">
        <f t="shared" ref="E30:Z30" si="9">SUM(E28:E29)</f>
        <v>219</v>
      </c>
      <c r="F30" s="13">
        <f t="shared" si="9"/>
        <v>227</v>
      </c>
      <c r="G30" s="13">
        <f t="shared" si="9"/>
        <v>233</v>
      </c>
      <c r="H30" s="13">
        <f t="shared" si="9"/>
        <v>230</v>
      </c>
      <c r="I30" s="13">
        <f t="shared" si="9"/>
        <v>240</v>
      </c>
      <c r="J30" s="13">
        <f t="shared" si="9"/>
        <v>212</v>
      </c>
      <c r="K30" s="13">
        <f t="shared" si="9"/>
        <v>203</v>
      </c>
      <c r="L30" s="13">
        <f t="shared" si="9"/>
        <v>200</v>
      </c>
      <c r="M30" s="13">
        <f t="shared" si="9"/>
        <v>232</v>
      </c>
      <c r="N30" s="13">
        <f t="shared" si="9"/>
        <v>199</v>
      </c>
      <c r="O30" s="13">
        <f t="shared" si="9"/>
        <v>243</v>
      </c>
      <c r="P30" s="13">
        <f t="shared" si="9"/>
        <v>238</v>
      </c>
      <c r="Q30" s="13">
        <f t="shared" si="9"/>
        <v>232</v>
      </c>
      <c r="R30" s="13">
        <f t="shared" si="9"/>
        <v>219</v>
      </c>
      <c r="S30" s="13">
        <f t="shared" si="9"/>
        <v>219</v>
      </c>
      <c r="T30" s="13">
        <f t="shared" si="9"/>
        <v>212</v>
      </c>
      <c r="U30" s="13">
        <f t="shared" si="9"/>
        <v>230</v>
      </c>
      <c r="V30" s="13">
        <f t="shared" si="9"/>
        <v>243</v>
      </c>
      <c r="W30" s="13">
        <f t="shared" si="9"/>
        <v>211</v>
      </c>
      <c r="X30" s="13">
        <f t="shared" si="9"/>
        <v>206</v>
      </c>
      <c r="Y30" s="13">
        <f t="shared" si="9"/>
        <v>237</v>
      </c>
      <c r="Z30" s="13">
        <f t="shared" si="9"/>
        <v>258</v>
      </c>
      <c r="AA30" s="13">
        <f t="shared" si="3"/>
        <v>4943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0"/>
      <c r="O31" s="19"/>
      <c r="P31" s="19"/>
      <c r="Q31" s="19"/>
      <c r="R31" s="19"/>
      <c r="S31" s="70"/>
      <c r="T31" s="19"/>
      <c r="U31" s="19"/>
      <c r="V31" s="19"/>
      <c r="W31" s="19"/>
      <c r="X31" s="70"/>
      <c r="Y31" s="19"/>
      <c r="Z31" s="19"/>
      <c r="AA31" s="71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2"/>
      <c r="O32" s="13"/>
      <c r="P32" s="13"/>
      <c r="Q32" s="13"/>
      <c r="R32" s="13"/>
      <c r="S32" s="72"/>
      <c r="T32" s="13"/>
      <c r="U32" s="13"/>
      <c r="V32" s="13"/>
      <c r="W32" s="13"/>
      <c r="X32" s="72"/>
      <c r="Y32" s="13"/>
      <c r="Z32" s="13"/>
      <c r="AA32" s="71"/>
    </row>
    <row r="33" ht="12.75" customHeight="1">
      <c r="A33" s="19">
        <v>1.0</v>
      </c>
      <c r="B33" s="20" t="s">
        <v>27</v>
      </c>
      <c r="C33" s="15"/>
      <c r="D33" s="16"/>
      <c r="E33" s="69">
        <v>301.0</v>
      </c>
      <c r="F33" s="69">
        <v>283.0</v>
      </c>
      <c r="G33" s="69">
        <v>290.0</v>
      </c>
      <c r="H33" s="69">
        <v>296.0</v>
      </c>
      <c r="I33" s="69">
        <v>288.0</v>
      </c>
      <c r="J33" s="69">
        <v>277.0</v>
      </c>
      <c r="K33" s="69">
        <v>249.0</v>
      </c>
      <c r="L33" s="69">
        <v>294.0</v>
      </c>
      <c r="M33" s="69">
        <v>299.0</v>
      </c>
      <c r="N33" s="69">
        <v>253.0</v>
      </c>
      <c r="O33" s="69">
        <v>281.0</v>
      </c>
      <c r="P33" s="69">
        <v>292.0</v>
      </c>
      <c r="Q33" s="69">
        <v>298.0</v>
      </c>
      <c r="R33" s="69">
        <v>280.0</v>
      </c>
      <c r="S33" s="69">
        <v>301.0</v>
      </c>
      <c r="T33" s="69">
        <v>250.0</v>
      </c>
      <c r="U33" s="69">
        <v>284.0</v>
      </c>
      <c r="V33" s="69">
        <v>286.0</v>
      </c>
      <c r="W33" s="69">
        <v>279.0</v>
      </c>
      <c r="X33" s="69">
        <v>269.0</v>
      </c>
      <c r="Y33" s="69">
        <v>288.0</v>
      </c>
      <c r="Z33" s="69">
        <v>301.0</v>
      </c>
      <c r="AA33" s="13">
        <f t="shared" ref="AA33:AA36" si="10">SUM(E33:Z33)</f>
        <v>6239</v>
      </c>
    </row>
    <row r="34" ht="12.75" customHeight="1">
      <c r="A34" s="19">
        <v>2.0</v>
      </c>
      <c r="B34" s="20" t="s">
        <v>28</v>
      </c>
      <c r="C34" s="15"/>
      <c r="D34" s="16"/>
      <c r="E34" s="73">
        <v>219.0</v>
      </c>
      <c r="F34" s="73">
        <v>227.0</v>
      </c>
      <c r="G34" s="73">
        <v>233.0</v>
      </c>
      <c r="H34" s="73">
        <v>230.0</v>
      </c>
      <c r="I34" s="73">
        <v>240.0</v>
      </c>
      <c r="J34" s="73">
        <v>212.0</v>
      </c>
      <c r="K34" s="73">
        <v>203.0</v>
      </c>
      <c r="L34" s="73">
        <v>200.0</v>
      </c>
      <c r="M34" s="73">
        <v>232.0</v>
      </c>
      <c r="N34" s="73">
        <v>199.0</v>
      </c>
      <c r="O34" s="73">
        <v>243.0</v>
      </c>
      <c r="P34" s="73">
        <v>238.0</v>
      </c>
      <c r="Q34" s="73">
        <v>232.0</v>
      </c>
      <c r="R34" s="73">
        <v>219.0</v>
      </c>
      <c r="S34" s="73">
        <v>219.0</v>
      </c>
      <c r="T34" s="73">
        <v>212.0</v>
      </c>
      <c r="U34" s="73">
        <v>230.0</v>
      </c>
      <c r="V34" s="73">
        <v>243.0</v>
      </c>
      <c r="W34" s="73">
        <v>211.0</v>
      </c>
      <c r="X34" s="73">
        <v>206.0</v>
      </c>
      <c r="Y34" s="73">
        <v>237.0</v>
      </c>
      <c r="Z34" s="73">
        <v>258.0</v>
      </c>
      <c r="AA34" s="13">
        <f t="shared" si="10"/>
        <v>4943</v>
      </c>
    </row>
    <row r="35" ht="12.75" customHeight="1">
      <c r="A35" s="19">
        <v>3.0</v>
      </c>
      <c r="B35" s="20" t="s">
        <v>29</v>
      </c>
      <c r="C35" s="15"/>
      <c r="D35" s="16"/>
      <c r="E35" s="69">
        <v>0.0</v>
      </c>
      <c r="F35" s="69">
        <v>2.0</v>
      </c>
      <c r="G35" s="69">
        <v>0.0</v>
      </c>
      <c r="H35" s="69">
        <v>0.0</v>
      </c>
      <c r="I35" s="69">
        <v>2.0</v>
      </c>
      <c r="J35" s="69">
        <v>0.0</v>
      </c>
      <c r="K35" s="69">
        <v>0.0</v>
      </c>
      <c r="L35" s="69">
        <v>0.0</v>
      </c>
      <c r="M35" s="69">
        <v>2.0</v>
      </c>
      <c r="N35" s="69">
        <v>0.0</v>
      </c>
      <c r="O35" s="69">
        <v>0.0</v>
      </c>
      <c r="P35" s="69">
        <v>0.0</v>
      </c>
      <c r="Q35" s="69">
        <v>2.0</v>
      </c>
      <c r="R35" s="69">
        <v>1.0</v>
      </c>
      <c r="S35" s="69">
        <v>0.0</v>
      </c>
      <c r="T35" s="69">
        <v>0.0</v>
      </c>
      <c r="U35" s="69">
        <v>1.0</v>
      </c>
      <c r="V35" s="69">
        <v>1.0</v>
      </c>
      <c r="W35" s="69">
        <v>0.0</v>
      </c>
      <c r="X35" s="69">
        <v>2.0</v>
      </c>
      <c r="Y35" s="69">
        <v>0.0</v>
      </c>
      <c r="Z35" s="69">
        <v>0.0</v>
      </c>
      <c r="AA35" s="13">
        <f t="shared" si="10"/>
        <v>13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11">E33-(E34+E35)</f>
        <v>82</v>
      </c>
      <c r="F36" s="13">
        <f t="shared" si="11"/>
        <v>54</v>
      </c>
      <c r="G36" s="13">
        <f t="shared" si="11"/>
        <v>57</v>
      </c>
      <c r="H36" s="13">
        <f t="shared" si="11"/>
        <v>66</v>
      </c>
      <c r="I36" s="13">
        <f t="shared" si="11"/>
        <v>46</v>
      </c>
      <c r="J36" s="13">
        <f t="shared" si="11"/>
        <v>65</v>
      </c>
      <c r="K36" s="13">
        <f t="shared" si="11"/>
        <v>46</v>
      </c>
      <c r="L36" s="13">
        <f t="shared" si="11"/>
        <v>94</v>
      </c>
      <c r="M36" s="13">
        <f t="shared" si="11"/>
        <v>65</v>
      </c>
      <c r="N36" s="13">
        <f t="shared" si="11"/>
        <v>54</v>
      </c>
      <c r="O36" s="13">
        <f t="shared" si="11"/>
        <v>38</v>
      </c>
      <c r="P36" s="13">
        <f t="shared" si="11"/>
        <v>54</v>
      </c>
      <c r="Q36" s="13">
        <f t="shared" si="11"/>
        <v>64</v>
      </c>
      <c r="R36" s="13">
        <f t="shared" si="11"/>
        <v>60</v>
      </c>
      <c r="S36" s="13">
        <f t="shared" si="11"/>
        <v>82</v>
      </c>
      <c r="T36" s="13">
        <f t="shared" si="11"/>
        <v>38</v>
      </c>
      <c r="U36" s="13">
        <f t="shared" si="11"/>
        <v>53</v>
      </c>
      <c r="V36" s="13">
        <f t="shared" si="11"/>
        <v>42</v>
      </c>
      <c r="W36" s="13">
        <f t="shared" si="11"/>
        <v>68</v>
      </c>
      <c r="X36" s="13">
        <f t="shared" si="11"/>
        <v>61</v>
      </c>
      <c r="Y36" s="13">
        <f t="shared" si="11"/>
        <v>51</v>
      </c>
      <c r="Z36" s="13">
        <f t="shared" si="11"/>
        <v>43</v>
      </c>
      <c r="AA36" s="13">
        <f t="shared" si="10"/>
        <v>1283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0"/>
      <c r="O37" s="19"/>
      <c r="P37" s="19"/>
      <c r="Q37" s="19"/>
      <c r="R37" s="19"/>
      <c r="S37" s="70"/>
      <c r="T37" s="19"/>
      <c r="U37" s="19"/>
      <c r="V37" s="19"/>
      <c r="W37" s="19"/>
      <c r="X37" s="70"/>
      <c r="Y37" s="19"/>
      <c r="Z37" s="19"/>
      <c r="AA37" s="71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2"/>
      <c r="O38" s="13"/>
      <c r="P38" s="13"/>
      <c r="Q38" s="13"/>
      <c r="R38" s="13"/>
      <c r="S38" s="72"/>
      <c r="T38" s="13"/>
      <c r="U38" s="13"/>
      <c r="V38" s="13"/>
      <c r="W38" s="13"/>
      <c r="X38" s="72"/>
      <c r="Y38" s="13"/>
      <c r="Z38" s="13"/>
      <c r="AA38" s="71"/>
    </row>
    <row r="39" ht="12.75" customHeight="1">
      <c r="A39" s="30"/>
      <c r="B39" s="43" t="s">
        <v>33</v>
      </c>
      <c r="C39" s="23"/>
      <c r="D39" s="19" t="s">
        <v>12</v>
      </c>
      <c r="E39" s="69">
        <v>1.0</v>
      </c>
      <c r="F39" s="69">
        <v>0.0</v>
      </c>
      <c r="G39" s="69">
        <v>0.0</v>
      </c>
      <c r="H39" s="69">
        <v>0.0</v>
      </c>
      <c r="I39" s="69">
        <v>0.0</v>
      </c>
      <c r="J39" s="69">
        <v>0.0</v>
      </c>
      <c r="K39" s="69">
        <v>0.0</v>
      </c>
      <c r="L39" s="69">
        <v>0.0</v>
      </c>
      <c r="M39" s="69">
        <v>0.0</v>
      </c>
      <c r="N39" s="69">
        <v>0.0</v>
      </c>
      <c r="O39" s="69">
        <v>0.0</v>
      </c>
      <c r="P39" s="69">
        <v>0.0</v>
      </c>
      <c r="Q39" s="69">
        <v>0.0</v>
      </c>
      <c r="R39" s="69">
        <v>0.0</v>
      </c>
      <c r="S39" s="69">
        <v>2.0</v>
      </c>
      <c r="T39" s="69">
        <v>0.0</v>
      </c>
      <c r="U39" s="69">
        <v>0.0</v>
      </c>
      <c r="V39" s="69">
        <v>0.0</v>
      </c>
      <c r="W39" s="69">
        <v>0.0</v>
      </c>
      <c r="X39" s="69">
        <v>0.0</v>
      </c>
      <c r="Y39" s="69">
        <v>0.0</v>
      </c>
      <c r="Z39" s="69">
        <v>0.0</v>
      </c>
      <c r="AA39" s="13">
        <f t="shared" ref="AA39:AA41" si="12">SUM(E39:Z39)</f>
        <v>3</v>
      </c>
    </row>
    <row r="40" ht="12.75" customHeight="1">
      <c r="A40" s="33"/>
      <c r="C40" s="27"/>
      <c r="D40" s="19" t="s">
        <v>13</v>
      </c>
      <c r="E40" s="69">
        <v>0.0</v>
      </c>
      <c r="F40" s="69">
        <v>0.0</v>
      </c>
      <c r="G40" s="69">
        <v>0.0</v>
      </c>
      <c r="H40" s="69">
        <v>0.0</v>
      </c>
      <c r="I40" s="69">
        <v>0.0</v>
      </c>
      <c r="J40" s="69">
        <v>0.0</v>
      </c>
      <c r="K40" s="69">
        <v>0.0</v>
      </c>
      <c r="L40" s="69">
        <v>0.0</v>
      </c>
      <c r="M40" s="69">
        <v>0.0</v>
      </c>
      <c r="N40" s="69">
        <v>0.0</v>
      </c>
      <c r="O40" s="69">
        <v>0.0</v>
      </c>
      <c r="P40" s="69">
        <v>0.0</v>
      </c>
      <c r="Q40" s="69">
        <v>0.0</v>
      </c>
      <c r="R40" s="69">
        <v>0.0</v>
      </c>
      <c r="S40" s="69">
        <v>1.0</v>
      </c>
      <c r="T40" s="69">
        <v>0.0</v>
      </c>
      <c r="U40" s="69">
        <v>1.0</v>
      </c>
      <c r="V40" s="69">
        <v>0.0</v>
      </c>
      <c r="W40" s="69">
        <v>0.0</v>
      </c>
      <c r="X40" s="69">
        <v>0.0</v>
      </c>
      <c r="Y40" s="69">
        <v>0.0</v>
      </c>
      <c r="Z40" s="69">
        <v>0.0</v>
      </c>
      <c r="AA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Z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3</v>
      </c>
      <c r="T41" s="13">
        <f t="shared" si="13"/>
        <v>0</v>
      </c>
      <c r="U41" s="13">
        <f t="shared" si="13"/>
        <v>1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0"/>
      <c r="O42" s="19"/>
      <c r="P42" s="19"/>
      <c r="Q42" s="19"/>
      <c r="R42" s="19"/>
      <c r="S42" s="70"/>
      <c r="T42" s="19"/>
      <c r="U42" s="19"/>
      <c r="V42" s="19"/>
      <c r="W42" s="19"/>
      <c r="X42" s="70"/>
      <c r="Y42" s="19"/>
      <c r="Z42" s="19"/>
      <c r="A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2"/>
      <c r="O43" s="13"/>
      <c r="P43" s="13"/>
      <c r="Q43" s="13"/>
      <c r="R43" s="13"/>
      <c r="S43" s="72"/>
      <c r="T43" s="13"/>
      <c r="U43" s="13"/>
      <c r="V43" s="13"/>
      <c r="W43" s="13"/>
      <c r="X43" s="72"/>
      <c r="Y43" s="13"/>
      <c r="Z43" s="13"/>
      <c r="A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0"/>
      <c r="O44" s="19"/>
      <c r="P44" s="19"/>
      <c r="Q44" s="19"/>
      <c r="R44" s="19"/>
      <c r="S44" s="70"/>
      <c r="T44" s="19"/>
      <c r="U44" s="19"/>
      <c r="V44" s="19"/>
      <c r="W44" s="19"/>
      <c r="X44" s="70"/>
      <c r="Y44" s="19"/>
      <c r="Z44" s="19"/>
      <c r="AA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69">
        <v>2.0</v>
      </c>
      <c r="F45" s="69">
        <v>5.0</v>
      </c>
      <c r="G45" s="69">
        <v>6.0</v>
      </c>
      <c r="H45" s="69">
        <v>5.0</v>
      </c>
      <c r="I45" s="69">
        <v>6.0</v>
      </c>
      <c r="J45" s="69">
        <v>9.0</v>
      </c>
      <c r="K45" s="69">
        <v>3.0</v>
      </c>
      <c r="L45" s="69">
        <v>2.0</v>
      </c>
      <c r="M45" s="69">
        <v>4.0</v>
      </c>
      <c r="N45" s="69">
        <v>2.0</v>
      </c>
      <c r="O45" s="69">
        <v>2.0</v>
      </c>
      <c r="P45" s="69">
        <v>1.0</v>
      </c>
      <c r="Q45" s="69">
        <v>5.0</v>
      </c>
      <c r="R45" s="69">
        <v>4.0</v>
      </c>
      <c r="S45" s="69">
        <v>4.0</v>
      </c>
      <c r="T45" s="69">
        <v>3.0</v>
      </c>
      <c r="U45" s="69">
        <v>2.0</v>
      </c>
      <c r="V45" s="69">
        <v>5.0</v>
      </c>
      <c r="W45" s="69">
        <v>2.0</v>
      </c>
      <c r="X45" s="69">
        <v>1.0</v>
      </c>
      <c r="Y45" s="69">
        <v>3.0</v>
      </c>
      <c r="Z45" s="69">
        <v>7.0</v>
      </c>
      <c r="AA45" s="13">
        <f t="shared" ref="AA45:AA53" si="14">SUM(E45:Z45)</f>
        <v>83</v>
      </c>
    </row>
    <row r="46" ht="12.75" customHeight="1">
      <c r="A46" s="30" t="s">
        <v>39</v>
      </c>
      <c r="B46" s="49"/>
      <c r="C46" s="50" t="s">
        <v>40</v>
      </c>
      <c r="D46" s="51"/>
      <c r="E46" s="69">
        <v>6.0</v>
      </c>
      <c r="F46" s="69">
        <v>20.0</v>
      </c>
      <c r="G46" s="69">
        <v>6.0</v>
      </c>
      <c r="H46" s="69">
        <v>3.0</v>
      </c>
      <c r="I46" s="69">
        <v>7.0</v>
      </c>
      <c r="J46" s="69">
        <v>11.0</v>
      </c>
      <c r="K46" s="69">
        <v>6.0</v>
      </c>
      <c r="L46" s="69">
        <v>1.0</v>
      </c>
      <c r="M46" s="69">
        <v>3.0</v>
      </c>
      <c r="N46" s="69">
        <v>3.0</v>
      </c>
      <c r="O46" s="69">
        <v>1.0</v>
      </c>
      <c r="P46" s="69">
        <v>1.0</v>
      </c>
      <c r="Q46" s="69">
        <v>0.0</v>
      </c>
      <c r="R46" s="69">
        <v>3.0</v>
      </c>
      <c r="S46" s="69">
        <v>0.0</v>
      </c>
      <c r="T46" s="69">
        <v>0.0</v>
      </c>
      <c r="U46" s="69">
        <v>4.0</v>
      </c>
      <c r="V46" s="69">
        <v>1.0</v>
      </c>
      <c r="W46" s="69">
        <v>2.0</v>
      </c>
      <c r="X46" s="69">
        <v>0.0</v>
      </c>
      <c r="Y46" s="69">
        <v>1.0</v>
      </c>
      <c r="Z46" s="69">
        <v>16.0</v>
      </c>
      <c r="AA46" s="13">
        <f t="shared" si="14"/>
        <v>95</v>
      </c>
    </row>
    <row r="47" ht="12.75" customHeight="1">
      <c r="A47" s="18"/>
      <c r="B47" s="49"/>
      <c r="C47" s="50" t="s">
        <v>41</v>
      </c>
      <c r="D47" s="51"/>
      <c r="E47" s="69">
        <v>43.0</v>
      </c>
      <c r="F47" s="69">
        <v>35.0</v>
      </c>
      <c r="G47" s="69">
        <v>25.0</v>
      </c>
      <c r="H47" s="69">
        <v>11.0</v>
      </c>
      <c r="I47" s="69">
        <v>42.0</v>
      </c>
      <c r="J47" s="69">
        <v>23.0</v>
      </c>
      <c r="K47" s="69">
        <v>18.0</v>
      </c>
      <c r="L47" s="69">
        <v>0.0</v>
      </c>
      <c r="M47" s="69">
        <v>22.0</v>
      </c>
      <c r="N47" s="69">
        <v>0.0</v>
      </c>
      <c r="O47" s="69">
        <v>3.0</v>
      </c>
      <c r="P47" s="69">
        <v>2.0</v>
      </c>
      <c r="Q47" s="69">
        <v>9.0</v>
      </c>
      <c r="R47" s="69">
        <v>11.0</v>
      </c>
      <c r="S47" s="69">
        <v>21.0</v>
      </c>
      <c r="T47" s="69">
        <v>9.0</v>
      </c>
      <c r="U47" s="69">
        <v>19.0</v>
      </c>
      <c r="V47" s="69">
        <v>5.0</v>
      </c>
      <c r="W47" s="69">
        <v>12.0</v>
      </c>
      <c r="X47" s="69">
        <v>11.0</v>
      </c>
      <c r="Y47" s="69">
        <v>14.0</v>
      </c>
      <c r="Z47" s="69">
        <v>10.0</v>
      </c>
      <c r="AA47" s="13">
        <f t="shared" si="14"/>
        <v>345</v>
      </c>
    </row>
    <row r="48" ht="12.75" customHeight="1">
      <c r="A48" s="18"/>
      <c r="B48" s="49"/>
      <c r="C48" s="50" t="s">
        <v>42</v>
      </c>
      <c r="D48" s="51"/>
      <c r="E48" s="69">
        <v>0.0</v>
      </c>
      <c r="F48" s="69">
        <v>1.0</v>
      </c>
      <c r="G48" s="69">
        <v>0.0</v>
      </c>
      <c r="H48" s="69">
        <v>0.0</v>
      </c>
      <c r="I48" s="69">
        <v>1.0</v>
      </c>
      <c r="J48" s="69">
        <v>0.0</v>
      </c>
      <c r="K48" s="69">
        <v>0.0</v>
      </c>
      <c r="L48" s="69">
        <v>0.0</v>
      </c>
      <c r="M48" s="69">
        <v>0.0</v>
      </c>
      <c r="N48" s="69">
        <v>0.0</v>
      </c>
      <c r="O48" s="69">
        <v>0.0</v>
      </c>
      <c r="P48" s="69">
        <v>1.0</v>
      </c>
      <c r="Q48" s="69">
        <v>1.0</v>
      </c>
      <c r="R48" s="69">
        <v>1.0</v>
      </c>
      <c r="S48" s="69">
        <v>0.0</v>
      </c>
      <c r="T48" s="69">
        <v>0.0</v>
      </c>
      <c r="U48" s="69">
        <v>0.0</v>
      </c>
      <c r="V48" s="69">
        <v>0.0</v>
      </c>
      <c r="W48" s="69">
        <v>0.0</v>
      </c>
      <c r="X48" s="69">
        <v>0.0</v>
      </c>
      <c r="Y48" s="69">
        <v>0.0</v>
      </c>
      <c r="Z48" s="69">
        <v>0.0</v>
      </c>
      <c r="AA48" s="13">
        <f t="shared" si="14"/>
        <v>5</v>
      </c>
    </row>
    <row r="49" ht="12.75" customHeight="1">
      <c r="A49" s="18"/>
      <c r="B49" s="49"/>
      <c r="C49" s="50" t="s">
        <v>43</v>
      </c>
      <c r="D49" s="51"/>
      <c r="E49" s="69">
        <v>0.0</v>
      </c>
      <c r="F49" s="69">
        <v>0.0</v>
      </c>
      <c r="G49" s="69">
        <v>0.0</v>
      </c>
      <c r="H49" s="69">
        <v>4.0</v>
      </c>
      <c r="I49" s="69">
        <v>0.0</v>
      </c>
      <c r="J49" s="69">
        <v>0.0</v>
      </c>
      <c r="K49" s="69">
        <v>0.0</v>
      </c>
      <c r="L49" s="69">
        <v>0.0</v>
      </c>
      <c r="M49" s="69">
        <v>1.0</v>
      </c>
      <c r="N49" s="69">
        <v>0.0</v>
      </c>
      <c r="O49" s="69">
        <v>0.0</v>
      </c>
      <c r="P49" s="69">
        <v>0.0</v>
      </c>
      <c r="Q49" s="69">
        <v>0.0</v>
      </c>
      <c r="R49" s="69">
        <v>0.0</v>
      </c>
      <c r="S49" s="69">
        <v>0.0</v>
      </c>
      <c r="T49" s="69">
        <v>0.0</v>
      </c>
      <c r="U49" s="69">
        <v>0.0</v>
      </c>
      <c r="V49" s="69">
        <v>0.0</v>
      </c>
      <c r="W49" s="69">
        <v>0.0</v>
      </c>
      <c r="X49" s="69">
        <v>0.0</v>
      </c>
      <c r="Y49" s="69">
        <v>0.0</v>
      </c>
      <c r="Z49" s="69">
        <v>0.0</v>
      </c>
      <c r="AA49" s="13">
        <f t="shared" si="14"/>
        <v>5</v>
      </c>
    </row>
    <row r="50" ht="12.75" customHeight="1">
      <c r="A50" s="18"/>
      <c r="B50" s="49"/>
      <c r="C50" s="50" t="s">
        <v>44</v>
      </c>
      <c r="D50" s="51"/>
      <c r="E50" s="69">
        <v>0.0</v>
      </c>
      <c r="F50" s="69">
        <v>0.0</v>
      </c>
      <c r="G50" s="69">
        <v>0.0</v>
      </c>
      <c r="H50" s="69">
        <v>0.0</v>
      </c>
      <c r="I50" s="69">
        <v>0.0</v>
      </c>
      <c r="J50" s="69">
        <v>0.0</v>
      </c>
      <c r="K50" s="69">
        <v>0.0</v>
      </c>
      <c r="L50" s="69">
        <v>0.0</v>
      </c>
      <c r="M50" s="69">
        <v>0.0</v>
      </c>
      <c r="N50" s="69">
        <v>0.0</v>
      </c>
      <c r="O50" s="69">
        <v>0.0</v>
      </c>
      <c r="P50" s="69">
        <v>0.0</v>
      </c>
      <c r="Q50" s="69">
        <v>0.0</v>
      </c>
      <c r="R50" s="69">
        <v>0.0</v>
      </c>
      <c r="S50" s="69">
        <v>0.0</v>
      </c>
      <c r="T50" s="69">
        <v>0.0</v>
      </c>
      <c r="U50" s="69">
        <v>0.0</v>
      </c>
      <c r="V50" s="69">
        <v>0.0</v>
      </c>
      <c r="W50" s="69">
        <v>0.0</v>
      </c>
      <c r="X50" s="69">
        <v>0.0</v>
      </c>
      <c r="Y50" s="69">
        <v>0.0</v>
      </c>
      <c r="Z50" s="69">
        <v>0.0</v>
      </c>
      <c r="AA50" s="13">
        <f t="shared" si="14"/>
        <v>0</v>
      </c>
    </row>
    <row r="51" ht="12.75" customHeight="1">
      <c r="A51" s="18"/>
      <c r="B51" s="49"/>
      <c r="C51" s="50" t="s">
        <v>45</v>
      </c>
      <c r="D51" s="51"/>
      <c r="E51" s="69">
        <v>0.0</v>
      </c>
      <c r="F51" s="69">
        <v>0.0</v>
      </c>
      <c r="G51" s="69">
        <v>0.0</v>
      </c>
      <c r="H51" s="69">
        <v>0.0</v>
      </c>
      <c r="I51" s="69">
        <v>0.0</v>
      </c>
      <c r="J51" s="69">
        <v>0.0</v>
      </c>
      <c r="K51" s="69">
        <v>0.0</v>
      </c>
      <c r="L51" s="69">
        <v>0.0</v>
      </c>
      <c r="M51" s="69">
        <v>0.0</v>
      </c>
      <c r="N51" s="69">
        <v>0.0</v>
      </c>
      <c r="O51" s="69">
        <v>0.0</v>
      </c>
      <c r="P51" s="69">
        <v>0.0</v>
      </c>
      <c r="Q51" s="69">
        <v>0.0</v>
      </c>
      <c r="R51" s="69">
        <v>0.0</v>
      </c>
      <c r="S51" s="69">
        <v>0.0</v>
      </c>
      <c r="T51" s="69">
        <v>0.0</v>
      </c>
      <c r="U51" s="69">
        <v>1.0</v>
      </c>
      <c r="V51" s="69">
        <v>0.0</v>
      </c>
      <c r="W51" s="69">
        <v>0.0</v>
      </c>
      <c r="X51" s="69">
        <v>1.0</v>
      </c>
      <c r="Y51" s="69">
        <v>0.0</v>
      </c>
      <c r="Z51" s="69">
        <v>0.0</v>
      </c>
      <c r="AA51" s="13">
        <f t="shared" si="14"/>
        <v>2</v>
      </c>
    </row>
    <row r="52" ht="12.75" customHeight="1">
      <c r="A52" s="18"/>
      <c r="B52" s="49"/>
      <c r="C52" s="50" t="s">
        <v>46</v>
      </c>
      <c r="D52" s="51"/>
      <c r="E52" s="69">
        <v>1.0</v>
      </c>
      <c r="F52" s="69">
        <v>0.0</v>
      </c>
      <c r="G52" s="69">
        <v>0.0</v>
      </c>
      <c r="H52" s="69">
        <v>0.0</v>
      </c>
      <c r="I52" s="69">
        <v>1.0</v>
      </c>
      <c r="J52" s="69">
        <v>0.0</v>
      </c>
      <c r="K52" s="69">
        <v>0.0</v>
      </c>
      <c r="L52" s="69">
        <v>0.0</v>
      </c>
      <c r="M52" s="69">
        <v>0.0</v>
      </c>
      <c r="N52" s="69">
        <v>0.0</v>
      </c>
      <c r="O52" s="69">
        <v>0.0</v>
      </c>
      <c r="P52" s="69">
        <v>0.0</v>
      </c>
      <c r="Q52" s="69">
        <v>0.0</v>
      </c>
      <c r="R52" s="69">
        <v>5.0</v>
      </c>
      <c r="S52" s="69">
        <v>0.0</v>
      </c>
      <c r="T52" s="69">
        <v>0.0</v>
      </c>
      <c r="U52" s="69">
        <v>0.0</v>
      </c>
      <c r="V52" s="69">
        <v>0.0</v>
      </c>
      <c r="W52" s="69">
        <v>1.0</v>
      </c>
      <c r="X52" s="69">
        <v>1.0</v>
      </c>
      <c r="Y52" s="69">
        <v>0.0</v>
      </c>
      <c r="Z52" s="69">
        <v>4.0</v>
      </c>
      <c r="AA52" s="13">
        <f t="shared" si="14"/>
        <v>13</v>
      </c>
    </row>
    <row r="53" ht="12.75" customHeight="1">
      <c r="A53" s="19" t="s">
        <v>15</v>
      </c>
      <c r="B53" s="47" t="s">
        <v>47</v>
      </c>
      <c r="C53" s="15"/>
      <c r="D53" s="16"/>
      <c r="E53" s="56">
        <f t="shared" ref="E53:Z53" si="15">SUM(E45:E52)</f>
        <v>52</v>
      </c>
      <c r="F53" s="56">
        <f t="shared" si="15"/>
        <v>61</v>
      </c>
      <c r="G53" s="56">
        <f t="shared" si="15"/>
        <v>37</v>
      </c>
      <c r="H53" s="56">
        <f t="shared" si="15"/>
        <v>23</v>
      </c>
      <c r="I53" s="56">
        <f t="shared" si="15"/>
        <v>57</v>
      </c>
      <c r="J53" s="56">
        <f t="shared" si="15"/>
        <v>43</v>
      </c>
      <c r="K53" s="56">
        <f t="shared" si="15"/>
        <v>27</v>
      </c>
      <c r="L53" s="56">
        <f t="shared" si="15"/>
        <v>3</v>
      </c>
      <c r="M53" s="56">
        <f t="shared" si="15"/>
        <v>30</v>
      </c>
      <c r="N53" s="56">
        <f t="shared" si="15"/>
        <v>5</v>
      </c>
      <c r="O53" s="56">
        <f t="shared" si="15"/>
        <v>6</v>
      </c>
      <c r="P53" s="56">
        <f t="shared" si="15"/>
        <v>5</v>
      </c>
      <c r="Q53" s="56">
        <f t="shared" si="15"/>
        <v>15</v>
      </c>
      <c r="R53" s="56">
        <f t="shared" si="15"/>
        <v>24</v>
      </c>
      <c r="S53" s="56">
        <f t="shared" si="15"/>
        <v>25</v>
      </c>
      <c r="T53" s="56">
        <f t="shared" si="15"/>
        <v>12</v>
      </c>
      <c r="U53" s="56">
        <f t="shared" si="15"/>
        <v>26</v>
      </c>
      <c r="V53" s="56">
        <f t="shared" si="15"/>
        <v>11</v>
      </c>
      <c r="W53" s="56">
        <f t="shared" si="15"/>
        <v>17</v>
      </c>
      <c r="X53" s="56">
        <f t="shared" si="15"/>
        <v>14</v>
      </c>
      <c r="Y53" s="56">
        <f t="shared" si="15"/>
        <v>18</v>
      </c>
      <c r="Z53" s="56">
        <f t="shared" si="15"/>
        <v>37</v>
      </c>
      <c r="AA53" s="13">
        <f t="shared" si="14"/>
        <v>548</v>
      </c>
    </row>
    <row r="54" ht="12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13"/>
    </row>
    <row r="55" ht="15.0" customHeight="1">
      <c r="A55" s="30" t="s">
        <v>37</v>
      </c>
      <c r="B55" s="47" t="s">
        <v>19</v>
      </c>
      <c r="C55" s="48" t="s">
        <v>48</v>
      </c>
      <c r="D55" s="16"/>
      <c r="E55" s="69">
        <v>2.0</v>
      </c>
      <c r="F55" s="69">
        <v>10.0</v>
      </c>
      <c r="G55" s="69">
        <v>18.0</v>
      </c>
      <c r="H55" s="69">
        <v>11.0</v>
      </c>
      <c r="I55" s="69">
        <v>1.0</v>
      </c>
      <c r="J55" s="69">
        <v>10.0</v>
      </c>
      <c r="K55" s="69">
        <v>16.0</v>
      </c>
      <c r="L55" s="69">
        <v>5.0</v>
      </c>
      <c r="M55" s="69">
        <v>8.0</v>
      </c>
      <c r="N55" s="69">
        <v>12.0</v>
      </c>
      <c r="O55" s="69">
        <v>10.0</v>
      </c>
      <c r="P55" s="69">
        <v>11.0</v>
      </c>
      <c r="Q55" s="69">
        <v>15.0</v>
      </c>
      <c r="R55" s="69">
        <v>19.0</v>
      </c>
      <c r="S55" s="69">
        <v>24.0</v>
      </c>
      <c r="T55" s="69">
        <v>8.0</v>
      </c>
      <c r="U55" s="69">
        <v>12.0</v>
      </c>
      <c r="V55" s="69">
        <v>15.0</v>
      </c>
      <c r="W55" s="69">
        <v>9.0</v>
      </c>
      <c r="X55" s="69">
        <v>10.0</v>
      </c>
      <c r="Y55" s="69">
        <v>9.0</v>
      </c>
      <c r="Z55" s="69">
        <v>22.0</v>
      </c>
      <c r="AA55" s="13">
        <f t="shared" ref="AA55:AA63" si="16">SUM(E55:Z55)</f>
        <v>257</v>
      </c>
    </row>
    <row r="56" ht="12.75" customHeight="1">
      <c r="A56" s="30" t="s">
        <v>39</v>
      </c>
      <c r="B56" s="49"/>
      <c r="C56" s="50" t="s">
        <v>49</v>
      </c>
      <c r="D56" s="51"/>
      <c r="E56" s="69">
        <v>54.0</v>
      </c>
      <c r="F56" s="69">
        <v>52.0</v>
      </c>
      <c r="G56" s="69">
        <v>62.0</v>
      </c>
      <c r="H56" s="69">
        <v>55.0</v>
      </c>
      <c r="I56" s="69">
        <v>54.0</v>
      </c>
      <c r="J56" s="69">
        <v>100.0</v>
      </c>
      <c r="K56" s="69">
        <v>96.0</v>
      </c>
      <c r="L56" s="69">
        <v>53.0</v>
      </c>
      <c r="M56" s="69">
        <v>53.0</v>
      </c>
      <c r="N56" s="69">
        <v>59.0</v>
      </c>
      <c r="O56" s="69">
        <v>130.0</v>
      </c>
      <c r="P56" s="69">
        <v>115.0</v>
      </c>
      <c r="Q56" s="69">
        <v>124.0</v>
      </c>
      <c r="R56" s="69">
        <v>97.0</v>
      </c>
      <c r="S56" s="69">
        <v>71.0</v>
      </c>
      <c r="T56" s="69">
        <v>83.0</v>
      </c>
      <c r="U56" s="69">
        <v>80.0</v>
      </c>
      <c r="V56" s="69">
        <v>96.0</v>
      </c>
      <c r="W56" s="69">
        <v>77.0</v>
      </c>
      <c r="X56" s="69">
        <v>49.0</v>
      </c>
      <c r="Y56" s="69">
        <v>70.0</v>
      </c>
      <c r="Z56" s="69">
        <v>78.0</v>
      </c>
      <c r="AA56" s="13">
        <f t="shared" si="16"/>
        <v>1708</v>
      </c>
    </row>
    <row r="57" ht="12.75" customHeight="1">
      <c r="A57" s="18"/>
      <c r="B57" s="49"/>
      <c r="C57" s="50" t="s">
        <v>50</v>
      </c>
      <c r="D57" s="51"/>
      <c r="E57" s="69">
        <v>0.0</v>
      </c>
      <c r="F57" s="69">
        <v>6.0</v>
      </c>
      <c r="G57" s="69">
        <v>3.0</v>
      </c>
      <c r="H57" s="69">
        <v>1.0</v>
      </c>
      <c r="I57" s="69">
        <v>0.0</v>
      </c>
      <c r="J57" s="69">
        <v>0.0</v>
      </c>
      <c r="K57" s="69">
        <v>3.0</v>
      </c>
      <c r="L57" s="69">
        <v>0.0</v>
      </c>
      <c r="M57" s="69">
        <v>26.0</v>
      </c>
      <c r="N57" s="69">
        <v>2.0</v>
      </c>
      <c r="O57" s="69">
        <v>1.0</v>
      </c>
      <c r="P57" s="69">
        <v>1.0</v>
      </c>
      <c r="Q57" s="69">
        <v>0.0</v>
      </c>
      <c r="R57" s="69">
        <v>2.0</v>
      </c>
      <c r="S57" s="69">
        <v>0.0</v>
      </c>
      <c r="T57" s="69">
        <v>1.0</v>
      </c>
      <c r="U57" s="69">
        <v>3.0</v>
      </c>
      <c r="V57" s="69">
        <v>0.0</v>
      </c>
      <c r="W57" s="69">
        <v>2.0</v>
      </c>
      <c r="X57" s="69">
        <v>0.0</v>
      </c>
      <c r="Y57" s="69">
        <v>3.0</v>
      </c>
      <c r="Z57" s="69">
        <v>3.0</v>
      </c>
      <c r="AA57" s="13">
        <f t="shared" si="16"/>
        <v>57</v>
      </c>
    </row>
    <row r="58" ht="12.75" customHeight="1">
      <c r="A58" s="18"/>
      <c r="B58" s="49"/>
      <c r="C58" s="50" t="s">
        <v>51</v>
      </c>
      <c r="D58" s="51"/>
      <c r="E58" s="69">
        <v>0.0</v>
      </c>
      <c r="F58" s="69">
        <v>1.0</v>
      </c>
      <c r="G58" s="69">
        <v>2.0</v>
      </c>
      <c r="H58" s="69">
        <v>0.0</v>
      </c>
      <c r="I58" s="69">
        <v>1.0</v>
      </c>
      <c r="J58" s="69">
        <v>0.0</v>
      </c>
      <c r="K58" s="69">
        <v>0.0</v>
      </c>
      <c r="L58" s="69">
        <v>0.0</v>
      </c>
      <c r="M58" s="69">
        <v>2.0</v>
      </c>
      <c r="N58" s="69">
        <v>0.0</v>
      </c>
      <c r="O58" s="69">
        <v>1.0</v>
      </c>
      <c r="P58" s="69">
        <v>0.0</v>
      </c>
      <c r="Q58" s="69">
        <v>2.0</v>
      </c>
      <c r="R58" s="69">
        <v>1.0</v>
      </c>
      <c r="S58" s="69">
        <v>0.0</v>
      </c>
      <c r="T58" s="69">
        <v>0.0</v>
      </c>
      <c r="U58" s="69">
        <v>0.0</v>
      </c>
      <c r="V58" s="69">
        <v>2.0</v>
      </c>
      <c r="W58" s="69">
        <v>0.0</v>
      </c>
      <c r="X58" s="69">
        <v>1.0</v>
      </c>
      <c r="Y58" s="69">
        <v>1.0</v>
      </c>
      <c r="Z58" s="69">
        <v>0.0</v>
      </c>
      <c r="AA58" s="13">
        <f t="shared" si="16"/>
        <v>14</v>
      </c>
    </row>
    <row r="59" ht="12.75" customHeight="1">
      <c r="A59" s="18"/>
      <c r="B59" s="49"/>
      <c r="C59" s="50" t="s">
        <v>52</v>
      </c>
      <c r="D59" s="51"/>
      <c r="E59" s="69">
        <v>0.0</v>
      </c>
      <c r="F59" s="69">
        <v>0.0</v>
      </c>
      <c r="G59" s="69">
        <v>0.0</v>
      </c>
      <c r="H59" s="69">
        <v>0.0</v>
      </c>
      <c r="I59" s="69">
        <v>0.0</v>
      </c>
      <c r="J59" s="69">
        <v>1.0</v>
      </c>
      <c r="K59" s="69">
        <v>2.0</v>
      </c>
      <c r="L59" s="69">
        <v>0.0</v>
      </c>
      <c r="M59" s="69">
        <v>0.0</v>
      </c>
      <c r="N59" s="69">
        <v>0.0</v>
      </c>
      <c r="O59" s="69">
        <v>0.0</v>
      </c>
      <c r="P59" s="69">
        <v>0.0</v>
      </c>
      <c r="Q59" s="69">
        <v>0.0</v>
      </c>
      <c r="R59" s="69">
        <v>1.0</v>
      </c>
      <c r="S59" s="69">
        <v>0.0</v>
      </c>
      <c r="T59" s="69">
        <v>0.0</v>
      </c>
      <c r="U59" s="69">
        <v>1.0</v>
      </c>
      <c r="V59" s="69">
        <v>0.0</v>
      </c>
      <c r="W59" s="69">
        <v>0.0</v>
      </c>
      <c r="X59" s="69">
        <v>0.0</v>
      </c>
      <c r="Y59" s="69">
        <v>0.0</v>
      </c>
      <c r="Z59" s="69">
        <v>0.0</v>
      </c>
      <c r="AA59" s="13">
        <f t="shared" si="16"/>
        <v>5</v>
      </c>
    </row>
    <row r="60" ht="12.75" customHeight="1">
      <c r="A60" s="18"/>
      <c r="B60" s="49"/>
      <c r="C60" s="50" t="s">
        <v>53</v>
      </c>
      <c r="D60" s="51"/>
      <c r="E60" s="69">
        <v>0.0</v>
      </c>
      <c r="F60" s="69">
        <v>0.0</v>
      </c>
      <c r="G60" s="69">
        <v>0.0</v>
      </c>
      <c r="H60" s="69">
        <v>1.0</v>
      </c>
      <c r="I60" s="69">
        <v>0.0</v>
      </c>
      <c r="J60" s="69">
        <v>0.0</v>
      </c>
      <c r="K60" s="69">
        <v>0.0</v>
      </c>
      <c r="L60" s="69">
        <v>0.0</v>
      </c>
      <c r="M60" s="69">
        <v>0.0</v>
      </c>
      <c r="N60" s="69">
        <v>0.0</v>
      </c>
      <c r="O60" s="69">
        <v>0.0</v>
      </c>
      <c r="P60" s="69">
        <v>0.0</v>
      </c>
      <c r="Q60" s="69">
        <v>0.0</v>
      </c>
      <c r="R60" s="69">
        <v>0.0</v>
      </c>
      <c r="S60" s="69">
        <v>1.0</v>
      </c>
      <c r="T60" s="69">
        <v>0.0</v>
      </c>
      <c r="U60" s="69">
        <v>0.0</v>
      </c>
      <c r="V60" s="69">
        <v>0.0</v>
      </c>
      <c r="W60" s="69">
        <v>0.0</v>
      </c>
      <c r="X60" s="69">
        <v>0.0</v>
      </c>
      <c r="Y60" s="69">
        <v>1.0</v>
      </c>
      <c r="Z60" s="69">
        <v>0.0</v>
      </c>
      <c r="AA60" s="13">
        <f t="shared" si="16"/>
        <v>3</v>
      </c>
    </row>
    <row r="61" ht="12.75" customHeight="1">
      <c r="A61" s="18"/>
      <c r="B61" s="49"/>
      <c r="C61" s="50" t="s">
        <v>54</v>
      </c>
      <c r="D61" s="51"/>
      <c r="E61" s="69">
        <v>0.0</v>
      </c>
      <c r="F61" s="69">
        <v>0.0</v>
      </c>
      <c r="G61" s="69">
        <v>0.0</v>
      </c>
      <c r="H61" s="69">
        <v>0.0</v>
      </c>
      <c r="I61" s="69">
        <v>0.0</v>
      </c>
      <c r="J61" s="69">
        <v>0.0</v>
      </c>
      <c r="K61" s="69">
        <v>0.0</v>
      </c>
      <c r="L61" s="69">
        <v>0.0</v>
      </c>
      <c r="M61" s="69">
        <v>0.0</v>
      </c>
      <c r="N61" s="69">
        <v>0.0</v>
      </c>
      <c r="O61" s="69">
        <v>0.0</v>
      </c>
      <c r="P61" s="69">
        <v>1.0</v>
      </c>
      <c r="Q61" s="69">
        <v>0.0</v>
      </c>
      <c r="R61" s="69">
        <v>0.0</v>
      </c>
      <c r="S61" s="69">
        <v>0.0</v>
      </c>
      <c r="T61" s="69">
        <v>0.0</v>
      </c>
      <c r="U61" s="69">
        <v>0.0</v>
      </c>
      <c r="V61" s="69">
        <v>0.0</v>
      </c>
      <c r="W61" s="69">
        <v>0.0</v>
      </c>
      <c r="X61" s="69">
        <v>0.0</v>
      </c>
      <c r="Y61" s="69">
        <v>0.0</v>
      </c>
      <c r="Z61" s="69">
        <v>0.0</v>
      </c>
      <c r="AA61" s="13">
        <f t="shared" si="16"/>
        <v>1</v>
      </c>
    </row>
    <row r="62" ht="12.75" customHeight="1">
      <c r="A62" s="18"/>
      <c r="B62" s="49"/>
      <c r="C62" s="50" t="s">
        <v>55</v>
      </c>
      <c r="D62" s="51"/>
      <c r="E62" s="69">
        <v>0.0</v>
      </c>
      <c r="F62" s="69">
        <v>0.0</v>
      </c>
      <c r="G62" s="69">
        <v>0.0</v>
      </c>
      <c r="H62" s="69">
        <v>0.0</v>
      </c>
      <c r="I62" s="69">
        <v>0.0</v>
      </c>
      <c r="J62" s="69">
        <v>0.0</v>
      </c>
      <c r="K62" s="69">
        <v>0.0</v>
      </c>
      <c r="L62" s="69">
        <v>0.0</v>
      </c>
      <c r="M62" s="69">
        <v>0.0</v>
      </c>
      <c r="N62" s="69">
        <v>0.0</v>
      </c>
      <c r="O62" s="69">
        <v>1.0</v>
      </c>
      <c r="P62" s="69">
        <v>1.0</v>
      </c>
      <c r="Q62" s="69">
        <v>0.0</v>
      </c>
      <c r="R62" s="69">
        <v>0.0</v>
      </c>
      <c r="S62" s="69">
        <v>0.0</v>
      </c>
      <c r="T62" s="69">
        <v>0.0</v>
      </c>
      <c r="U62" s="69">
        <v>0.0</v>
      </c>
      <c r="V62" s="69">
        <v>0.0</v>
      </c>
      <c r="W62" s="69">
        <v>0.0</v>
      </c>
      <c r="X62" s="69">
        <v>1.0</v>
      </c>
      <c r="Y62" s="69">
        <v>0.0</v>
      </c>
      <c r="Z62" s="69">
        <v>0.0</v>
      </c>
      <c r="AA62" s="13">
        <f t="shared" si="16"/>
        <v>3</v>
      </c>
    </row>
    <row r="63" ht="12.75" customHeight="1">
      <c r="A63" s="19" t="s">
        <v>15</v>
      </c>
      <c r="B63" s="47" t="s">
        <v>47</v>
      </c>
      <c r="C63" s="15"/>
      <c r="D63" s="16"/>
      <c r="E63" s="56">
        <f t="shared" ref="E63:Z63" si="17">SUM(E55:E62)</f>
        <v>56</v>
      </c>
      <c r="F63" s="56">
        <f t="shared" si="17"/>
        <v>69</v>
      </c>
      <c r="G63" s="56">
        <f t="shared" si="17"/>
        <v>85</v>
      </c>
      <c r="H63" s="56">
        <f t="shared" si="17"/>
        <v>68</v>
      </c>
      <c r="I63" s="56">
        <f t="shared" si="17"/>
        <v>56</v>
      </c>
      <c r="J63" s="56">
        <f t="shared" si="17"/>
        <v>111</v>
      </c>
      <c r="K63" s="56">
        <f t="shared" si="17"/>
        <v>117</v>
      </c>
      <c r="L63" s="56">
        <f t="shared" si="17"/>
        <v>58</v>
      </c>
      <c r="M63" s="56">
        <f t="shared" si="17"/>
        <v>89</v>
      </c>
      <c r="N63" s="56">
        <f t="shared" si="17"/>
        <v>73</v>
      </c>
      <c r="O63" s="56">
        <f t="shared" si="17"/>
        <v>143</v>
      </c>
      <c r="P63" s="56">
        <f t="shared" si="17"/>
        <v>129</v>
      </c>
      <c r="Q63" s="56">
        <f t="shared" si="17"/>
        <v>141</v>
      </c>
      <c r="R63" s="56">
        <f t="shared" si="17"/>
        <v>120</v>
      </c>
      <c r="S63" s="56">
        <f t="shared" si="17"/>
        <v>96</v>
      </c>
      <c r="T63" s="56">
        <f t="shared" si="17"/>
        <v>92</v>
      </c>
      <c r="U63" s="56">
        <f t="shared" si="17"/>
        <v>96</v>
      </c>
      <c r="V63" s="56">
        <f t="shared" si="17"/>
        <v>113</v>
      </c>
      <c r="W63" s="56">
        <f t="shared" si="17"/>
        <v>88</v>
      </c>
      <c r="X63" s="56">
        <f t="shared" si="17"/>
        <v>61</v>
      </c>
      <c r="Y63" s="56">
        <f t="shared" si="17"/>
        <v>84</v>
      </c>
      <c r="Z63" s="56">
        <f t="shared" si="17"/>
        <v>103</v>
      </c>
      <c r="AA63" s="13">
        <f t="shared" si="16"/>
        <v>2048</v>
      </c>
    </row>
    <row r="64" ht="12.75" customHeight="1">
      <c r="A64" s="59"/>
      <c r="B64" s="60"/>
      <c r="C64" s="60"/>
      <c r="D64" s="60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13"/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69">
        <v>3.0</v>
      </c>
      <c r="F65" s="69">
        <v>3.0</v>
      </c>
      <c r="G65" s="69">
        <v>1.0</v>
      </c>
      <c r="H65" s="69">
        <v>2.0</v>
      </c>
      <c r="I65" s="69">
        <v>2.0</v>
      </c>
      <c r="J65" s="69">
        <v>2.0</v>
      </c>
      <c r="K65" s="69">
        <v>2.0</v>
      </c>
      <c r="L65" s="69">
        <v>3.0</v>
      </c>
      <c r="M65" s="69">
        <v>1.0</v>
      </c>
      <c r="N65" s="69">
        <v>2.0</v>
      </c>
      <c r="O65" s="69">
        <v>1.0</v>
      </c>
      <c r="P65" s="69">
        <v>2.0</v>
      </c>
      <c r="Q65" s="69">
        <v>2.0</v>
      </c>
      <c r="R65" s="69">
        <v>6.0</v>
      </c>
      <c r="S65" s="69">
        <v>10.0</v>
      </c>
      <c r="T65" s="69">
        <v>1.0</v>
      </c>
      <c r="U65" s="69">
        <v>3.0</v>
      </c>
      <c r="V65" s="69">
        <v>1.0</v>
      </c>
      <c r="W65" s="69">
        <v>2.0</v>
      </c>
      <c r="X65" s="69">
        <v>1.0</v>
      </c>
      <c r="Y65" s="69">
        <v>0.0</v>
      </c>
      <c r="Z65" s="69">
        <v>2.0</v>
      </c>
      <c r="AA65" s="13">
        <f t="shared" ref="AA65:AA73" si="18">SUM(E65:Z65)</f>
        <v>52</v>
      </c>
    </row>
    <row r="66" ht="12.75" customHeight="1">
      <c r="A66" s="30" t="s">
        <v>39</v>
      </c>
      <c r="B66" s="49"/>
      <c r="C66" s="50" t="s">
        <v>57</v>
      </c>
      <c r="D66" s="51"/>
      <c r="E66" s="69">
        <v>5.0</v>
      </c>
      <c r="F66" s="69">
        <v>1.0</v>
      </c>
      <c r="G66" s="69">
        <v>1.0</v>
      </c>
      <c r="H66" s="69">
        <v>0.0</v>
      </c>
      <c r="I66" s="69">
        <v>1.0</v>
      </c>
      <c r="J66" s="69">
        <v>1.0</v>
      </c>
      <c r="K66" s="69">
        <v>2.0</v>
      </c>
      <c r="L66" s="69">
        <v>0.0</v>
      </c>
      <c r="M66" s="69">
        <v>0.0</v>
      </c>
      <c r="N66" s="69">
        <v>0.0</v>
      </c>
      <c r="O66" s="69">
        <v>0.0</v>
      </c>
      <c r="P66" s="69">
        <v>1.0</v>
      </c>
      <c r="Q66" s="69">
        <v>1.0</v>
      </c>
      <c r="R66" s="69">
        <v>3.0</v>
      </c>
      <c r="S66" s="69">
        <v>2.0</v>
      </c>
      <c r="T66" s="69">
        <v>1.0</v>
      </c>
      <c r="U66" s="69">
        <v>1.0</v>
      </c>
      <c r="V66" s="69">
        <v>1.0</v>
      </c>
      <c r="W66" s="69">
        <v>0.0</v>
      </c>
      <c r="X66" s="69">
        <v>0.0</v>
      </c>
      <c r="Y66" s="69">
        <v>4.0</v>
      </c>
      <c r="Z66" s="69">
        <v>1.0</v>
      </c>
      <c r="AA66" s="13">
        <f t="shared" si="18"/>
        <v>26</v>
      </c>
    </row>
    <row r="67" ht="15.0" customHeight="1">
      <c r="A67" s="18"/>
      <c r="B67" s="49"/>
      <c r="C67" s="50" t="s">
        <v>58</v>
      </c>
      <c r="D67" s="51"/>
      <c r="E67" s="69">
        <v>1.0</v>
      </c>
      <c r="F67" s="69">
        <v>2.0</v>
      </c>
      <c r="G67" s="69">
        <v>0.0</v>
      </c>
      <c r="H67" s="69">
        <v>2.0</v>
      </c>
      <c r="I67" s="69">
        <v>1.0</v>
      </c>
      <c r="J67" s="69">
        <v>3.0</v>
      </c>
      <c r="K67" s="69">
        <v>3.0</v>
      </c>
      <c r="L67" s="69">
        <v>1.0</v>
      </c>
      <c r="M67" s="69">
        <v>3.0</v>
      </c>
      <c r="N67" s="69">
        <v>1.0</v>
      </c>
      <c r="O67" s="69">
        <v>2.0</v>
      </c>
      <c r="P67" s="69">
        <v>4.0</v>
      </c>
      <c r="Q67" s="69">
        <v>2.0</v>
      </c>
      <c r="R67" s="69">
        <v>0.0</v>
      </c>
      <c r="S67" s="69">
        <v>1.0</v>
      </c>
      <c r="T67" s="69">
        <v>3.0</v>
      </c>
      <c r="U67" s="69">
        <v>6.0</v>
      </c>
      <c r="V67" s="69">
        <v>2.0</v>
      </c>
      <c r="W67" s="69">
        <v>1.0</v>
      </c>
      <c r="X67" s="69">
        <v>2.0</v>
      </c>
      <c r="Y67" s="69">
        <v>3.0</v>
      </c>
      <c r="Z67" s="69">
        <v>2.0</v>
      </c>
      <c r="AA67" s="13">
        <f t="shared" si="18"/>
        <v>45</v>
      </c>
    </row>
    <row r="68" ht="12.75" customHeight="1">
      <c r="A68" s="18"/>
      <c r="B68" s="49"/>
      <c r="C68" s="50" t="s">
        <v>59</v>
      </c>
      <c r="D68" s="51"/>
      <c r="E68" s="69">
        <v>0.0</v>
      </c>
      <c r="F68" s="69">
        <v>0.0</v>
      </c>
      <c r="G68" s="69">
        <v>1.0</v>
      </c>
      <c r="H68" s="69">
        <v>1.0</v>
      </c>
      <c r="I68" s="69">
        <v>0.0</v>
      </c>
      <c r="J68" s="69">
        <v>0.0</v>
      </c>
      <c r="K68" s="69">
        <v>0.0</v>
      </c>
      <c r="L68" s="69">
        <v>0.0</v>
      </c>
      <c r="M68" s="69">
        <v>0.0</v>
      </c>
      <c r="N68" s="69">
        <v>0.0</v>
      </c>
      <c r="O68" s="69">
        <v>1.0</v>
      </c>
      <c r="P68" s="69">
        <v>0.0</v>
      </c>
      <c r="Q68" s="69">
        <v>0.0</v>
      </c>
      <c r="R68" s="69">
        <v>2.0</v>
      </c>
      <c r="S68" s="69">
        <v>0.0</v>
      </c>
      <c r="T68" s="69">
        <v>0.0</v>
      </c>
      <c r="U68" s="69">
        <v>0.0</v>
      </c>
      <c r="V68" s="69">
        <v>1.0</v>
      </c>
      <c r="W68" s="69">
        <v>0.0</v>
      </c>
      <c r="X68" s="69">
        <v>0.0</v>
      </c>
      <c r="Y68" s="69">
        <v>0.0</v>
      </c>
      <c r="Z68" s="69">
        <v>0.0</v>
      </c>
      <c r="AA68" s="13">
        <f t="shared" si="18"/>
        <v>6</v>
      </c>
    </row>
    <row r="69" ht="12.75" customHeight="1">
      <c r="A69" s="18"/>
      <c r="B69" s="49"/>
      <c r="C69" s="50" t="s">
        <v>60</v>
      </c>
      <c r="D69" s="51"/>
      <c r="E69" s="69">
        <v>0.0</v>
      </c>
      <c r="F69" s="69">
        <v>0.0</v>
      </c>
      <c r="G69" s="69">
        <v>0.0</v>
      </c>
      <c r="H69" s="69">
        <v>1.0</v>
      </c>
      <c r="I69" s="69">
        <v>0.0</v>
      </c>
      <c r="J69" s="69">
        <v>1.0</v>
      </c>
      <c r="K69" s="69">
        <v>0.0</v>
      </c>
      <c r="L69" s="69">
        <v>1.0</v>
      </c>
      <c r="M69" s="69">
        <v>0.0</v>
      </c>
      <c r="N69" s="69">
        <v>0.0</v>
      </c>
      <c r="O69" s="69">
        <v>0.0</v>
      </c>
      <c r="P69" s="69">
        <v>0.0</v>
      </c>
      <c r="Q69" s="69">
        <v>0.0</v>
      </c>
      <c r="R69" s="69">
        <v>0.0</v>
      </c>
      <c r="S69" s="69">
        <v>0.0</v>
      </c>
      <c r="T69" s="69">
        <v>0.0</v>
      </c>
      <c r="U69" s="69">
        <v>0.0</v>
      </c>
      <c r="V69" s="69">
        <v>0.0</v>
      </c>
      <c r="W69" s="69">
        <v>1.0</v>
      </c>
      <c r="X69" s="69">
        <v>0.0</v>
      </c>
      <c r="Y69" s="69">
        <v>0.0</v>
      </c>
      <c r="Z69" s="69">
        <v>0.0</v>
      </c>
      <c r="AA69" s="13">
        <f t="shared" si="18"/>
        <v>4</v>
      </c>
    </row>
    <row r="70" ht="12.75" customHeight="1">
      <c r="A70" s="18"/>
      <c r="B70" s="49"/>
      <c r="C70" s="50" t="s">
        <v>61</v>
      </c>
      <c r="D70" s="51"/>
      <c r="E70" s="69">
        <v>1.0</v>
      </c>
      <c r="F70" s="69">
        <v>1.0</v>
      </c>
      <c r="G70" s="69">
        <v>0.0</v>
      </c>
      <c r="H70" s="69">
        <v>0.0</v>
      </c>
      <c r="I70" s="69">
        <v>0.0</v>
      </c>
      <c r="J70" s="69">
        <v>0.0</v>
      </c>
      <c r="K70" s="69">
        <v>0.0</v>
      </c>
      <c r="L70" s="69">
        <v>0.0</v>
      </c>
      <c r="M70" s="69">
        <v>1.0</v>
      </c>
      <c r="N70" s="69">
        <v>0.0</v>
      </c>
      <c r="O70" s="69">
        <v>0.0</v>
      </c>
      <c r="P70" s="69">
        <v>0.0</v>
      </c>
      <c r="Q70" s="69">
        <v>0.0</v>
      </c>
      <c r="R70" s="69">
        <v>0.0</v>
      </c>
      <c r="S70" s="69">
        <v>3.0</v>
      </c>
      <c r="T70" s="69">
        <v>1.0</v>
      </c>
      <c r="U70" s="69">
        <v>1.0</v>
      </c>
      <c r="V70" s="69">
        <v>0.0</v>
      </c>
      <c r="W70" s="69">
        <v>0.0</v>
      </c>
      <c r="X70" s="69">
        <v>1.0</v>
      </c>
      <c r="Y70" s="69">
        <v>1.0</v>
      </c>
      <c r="Z70" s="69">
        <v>0.0</v>
      </c>
      <c r="AA70" s="13">
        <f t="shared" si="18"/>
        <v>10</v>
      </c>
    </row>
    <row r="71" ht="12.75" customHeight="1">
      <c r="A71" s="18"/>
      <c r="B71" s="49"/>
      <c r="C71" s="50" t="s">
        <v>62</v>
      </c>
      <c r="D71" s="51"/>
      <c r="E71" s="69">
        <v>9.0</v>
      </c>
      <c r="F71" s="69">
        <v>3.0</v>
      </c>
      <c r="G71" s="69">
        <v>1.0</v>
      </c>
      <c r="H71" s="69">
        <v>1.0</v>
      </c>
      <c r="I71" s="69">
        <v>0.0</v>
      </c>
      <c r="J71" s="69">
        <v>1.0</v>
      </c>
      <c r="K71" s="69">
        <v>1.0</v>
      </c>
      <c r="L71" s="69">
        <v>3.0</v>
      </c>
      <c r="M71" s="69">
        <v>0.0</v>
      </c>
      <c r="N71" s="69">
        <v>0.0</v>
      </c>
      <c r="O71" s="69">
        <v>1.0</v>
      </c>
      <c r="P71" s="69">
        <v>1.0</v>
      </c>
      <c r="Q71" s="69">
        <v>0.0</v>
      </c>
      <c r="R71" s="69">
        <v>0.0</v>
      </c>
      <c r="S71" s="69">
        <v>0.0</v>
      </c>
      <c r="T71" s="69">
        <v>0.0</v>
      </c>
      <c r="U71" s="69">
        <v>0.0</v>
      </c>
      <c r="V71" s="69">
        <v>0.0</v>
      </c>
      <c r="W71" s="69">
        <v>1.0</v>
      </c>
      <c r="X71" s="69">
        <v>1.0</v>
      </c>
      <c r="Y71" s="69">
        <v>0.0</v>
      </c>
      <c r="Z71" s="69">
        <v>1.0</v>
      </c>
      <c r="AA71" s="13">
        <f t="shared" si="18"/>
        <v>24</v>
      </c>
    </row>
    <row r="72" ht="12.75" customHeight="1">
      <c r="A72" s="18"/>
      <c r="B72" s="49"/>
      <c r="C72" s="50" t="s">
        <v>63</v>
      </c>
      <c r="D72" s="51"/>
      <c r="E72" s="69">
        <v>9.0</v>
      </c>
      <c r="F72" s="69">
        <v>5.0</v>
      </c>
      <c r="G72" s="69">
        <v>5.0</v>
      </c>
      <c r="H72" s="69">
        <v>17.0</v>
      </c>
      <c r="I72" s="69">
        <v>1.0</v>
      </c>
      <c r="J72" s="69">
        <v>5.0</v>
      </c>
      <c r="K72" s="69">
        <v>0.0</v>
      </c>
      <c r="L72" s="69">
        <v>0.0</v>
      </c>
      <c r="M72" s="69">
        <v>0.0</v>
      </c>
      <c r="N72" s="69">
        <v>1.0</v>
      </c>
      <c r="O72" s="69">
        <v>0.0</v>
      </c>
      <c r="P72" s="69">
        <v>0.0</v>
      </c>
      <c r="Q72" s="69">
        <v>0.0</v>
      </c>
      <c r="R72" s="69">
        <v>1.0</v>
      </c>
      <c r="S72" s="69">
        <v>0.0</v>
      </c>
      <c r="T72" s="69">
        <v>0.0</v>
      </c>
      <c r="U72" s="69">
        <v>0.0</v>
      </c>
      <c r="V72" s="69">
        <v>0.0</v>
      </c>
      <c r="W72" s="69">
        <v>2.0</v>
      </c>
      <c r="X72" s="69">
        <v>5.0</v>
      </c>
      <c r="Y72" s="69">
        <v>1.0</v>
      </c>
      <c r="Z72" s="69">
        <v>0.0</v>
      </c>
      <c r="AA72" s="13">
        <f t="shared" si="18"/>
        <v>52</v>
      </c>
    </row>
    <row r="73" ht="12.75" customHeight="1">
      <c r="A73" s="19" t="s">
        <v>15</v>
      </c>
      <c r="B73" s="47" t="s">
        <v>47</v>
      </c>
      <c r="C73" s="15"/>
      <c r="D73" s="16"/>
      <c r="E73" s="56">
        <f t="shared" ref="E73:Z73" si="19">SUM(E65:E72)</f>
        <v>28</v>
      </c>
      <c r="F73" s="56">
        <f t="shared" si="19"/>
        <v>15</v>
      </c>
      <c r="G73" s="56">
        <f t="shared" si="19"/>
        <v>9</v>
      </c>
      <c r="H73" s="56">
        <f t="shared" si="19"/>
        <v>24</v>
      </c>
      <c r="I73" s="56">
        <f t="shared" si="19"/>
        <v>5</v>
      </c>
      <c r="J73" s="56">
        <f t="shared" si="19"/>
        <v>13</v>
      </c>
      <c r="K73" s="56">
        <f t="shared" si="19"/>
        <v>8</v>
      </c>
      <c r="L73" s="56">
        <f t="shared" si="19"/>
        <v>8</v>
      </c>
      <c r="M73" s="56">
        <f t="shared" si="19"/>
        <v>5</v>
      </c>
      <c r="N73" s="56">
        <f t="shared" si="19"/>
        <v>4</v>
      </c>
      <c r="O73" s="56">
        <f t="shared" si="19"/>
        <v>5</v>
      </c>
      <c r="P73" s="56">
        <f t="shared" si="19"/>
        <v>8</v>
      </c>
      <c r="Q73" s="56">
        <f t="shared" si="19"/>
        <v>5</v>
      </c>
      <c r="R73" s="56">
        <f t="shared" si="19"/>
        <v>12</v>
      </c>
      <c r="S73" s="56">
        <f t="shared" si="19"/>
        <v>16</v>
      </c>
      <c r="T73" s="56">
        <f t="shared" si="19"/>
        <v>6</v>
      </c>
      <c r="U73" s="56">
        <f t="shared" si="19"/>
        <v>11</v>
      </c>
      <c r="V73" s="56">
        <f t="shared" si="19"/>
        <v>5</v>
      </c>
      <c r="W73" s="56">
        <f t="shared" si="19"/>
        <v>7</v>
      </c>
      <c r="X73" s="56">
        <f t="shared" si="19"/>
        <v>10</v>
      </c>
      <c r="Y73" s="56">
        <f t="shared" si="19"/>
        <v>9</v>
      </c>
      <c r="Z73" s="56">
        <f t="shared" si="19"/>
        <v>6</v>
      </c>
      <c r="AA73" s="13">
        <f t="shared" si="18"/>
        <v>219</v>
      </c>
    </row>
    <row r="74" ht="12.75" customHeight="1">
      <c r="A74" s="57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13"/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69">
        <v>1.0</v>
      </c>
      <c r="F75" s="69">
        <v>2.0</v>
      </c>
      <c r="G75" s="69">
        <v>1.0</v>
      </c>
      <c r="H75" s="69">
        <v>1.0</v>
      </c>
      <c r="I75" s="69">
        <v>1.0</v>
      </c>
      <c r="J75" s="69">
        <v>1.0</v>
      </c>
      <c r="K75" s="69">
        <v>1.0</v>
      </c>
      <c r="L75" s="69">
        <v>1.0</v>
      </c>
      <c r="M75" s="69">
        <v>0.0</v>
      </c>
      <c r="N75" s="69">
        <v>1.0</v>
      </c>
      <c r="O75" s="69">
        <v>3.0</v>
      </c>
      <c r="P75" s="69">
        <v>2.0</v>
      </c>
      <c r="Q75" s="69">
        <v>4.0</v>
      </c>
      <c r="R75" s="69">
        <v>2.0</v>
      </c>
      <c r="S75" s="69">
        <v>3.0</v>
      </c>
      <c r="T75" s="69">
        <v>1.0</v>
      </c>
      <c r="U75" s="69">
        <v>1.0</v>
      </c>
      <c r="V75" s="69">
        <v>0.0</v>
      </c>
      <c r="W75" s="69">
        <v>3.0</v>
      </c>
      <c r="X75" s="69">
        <v>4.0</v>
      </c>
      <c r="Y75" s="69">
        <v>1.0</v>
      </c>
      <c r="Z75" s="69">
        <v>1.0</v>
      </c>
      <c r="AA75" s="13">
        <f t="shared" ref="AA75:AA83" si="20">SUM(E75:Z75)</f>
        <v>35</v>
      </c>
    </row>
    <row r="76" ht="12.75" customHeight="1">
      <c r="A76" s="30" t="s">
        <v>39</v>
      </c>
      <c r="B76" s="49"/>
      <c r="C76" s="50" t="s">
        <v>65</v>
      </c>
      <c r="D76" s="51"/>
      <c r="E76" s="69">
        <v>2.0</v>
      </c>
      <c r="F76" s="69">
        <v>3.0</v>
      </c>
      <c r="G76" s="69">
        <v>1.0</v>
      </c>
      <c r="H76" s="69">
        <v>4.0</v>
      </c>
      <c r="I76" s="69">
        <v>1.0</v>
      </c>
      <c r="J76" s="69">
        <v>0.0</v>
      </c>
      <c r="K76" s="69">
        <v>3.0</v>
      </c>
      <c r="L76" s="69">
        <v>0.0</v>
      </c>
      <c r="M76" s="69">
        <v>2.0</v>
      </c>
      <c r="N76" s="69">
        <v>0.0</v>
      </c>
      <c r="O76" s="69">
        <v>0.0</v>
      </c>
      <c r="P76" s="69">
        <v>1.0</v>
      </c>
      <c r="Q76" s="69">
        <v>2.0</v>
      </c>
      <c r="R76" s="69">
        <v>0.0</v>
      </c>
      <c r="S76" s="69">
        <v>0.0</v>
      </c>
      <c r="T76" s="69">
        <v>1.0</v>
      </c>
      <c r="U76" s="69">
        <v>1.0</v>
      </c>
      <c r="V76" s="69">
        <v>0.0</v>
      </c>
      <c r="W76" s="69">
        <v>1.0</v>
      </c>
      <c r="X76" s="69">
        <v>1.0</v>
      </c>
      <c r="Y76" s="69">
        <v>4.0</v>
      </c>
      <c r="Z76" s="69">
        <v>0.0</v>
      </c>
      <c r="AA76" s="13">
        <f t="shared" si="20"/>
        <v>27</v>
      </c>
    </row>
    <row r="77" ht="12.75" customHeight="1">
      <c r="A77" s="18"/>
      <c r="B77" s="49"/>
      <c r="C77" s="50" t="s">
        <v>66</v>
      </c>
      <c r="D77" s="51"/>
      <c r="E77" s="69">
        <v>0.0</v>
      </c>
      <c r="F77" s="69">
        <v>0.0</v>
      </c>
      <c r="G77" s="69">
        <v>0.0</v>
      </c>
      <c r="H77" s="69">
        <v>2.0</v>
      </c>
      <c r="I77" s="69">
        <v>1.0</v>
      </c>
      <c r="J77" s="69">
        <v>0.0</v>
      </c>
      <c r="K77" s="69">
        <v>0.0</v>
      </c>
      <c r="L77" s="69">
        <v>0.0</v>
      </c>
      <c r="M77" s="69">
        <v>1.0</v>
      </c>
      <c r="N77" s="69">
        <v>0.0</v>
      </c>
      <c r="O77" s="69">
        <v>0.0</v>
      </c>
      <c r="P77" s="69">
        <v>0.0</v>
      </c>
      <c r="Q77" s="69">
        <v>0.0</v>
      </c>
      <c r="R77" s="69">
        <v>1.0</v>
      </c>
      <c r="S77" s="69">
        <v>2.0</v>
      </c>
      <c r="T77" s="69">
        <v>3.0</v>
      </c>
      <c r="U77" s="69">
        <v>1.0</v>
      </c>
      <c r="V77" s="69">
        <v>0.0</v>
      </c>
      <c r="W77" s="69">
        <v>0.0</v>
      </c>
      <c r="X77" s="69">
        <v>0.0</v>
      </c>
      <c r="Y77" s="69">
        <v>0.0</v>
      </c>
      <c r="Z77" s="69">
        <v>0.0</v>
      </c>
      <c r="AA77" s="13">
        <f t="shared" si="20"/>
        <v>11</v>
      </c>
    </row>
    <row r="78" ht="12.75" customHeight="1">
      <c r="A78" s="18"/>
      <c r="B78" s="49"/>
      <c r="C78" s="50" t="s">
        <v>67</v>
      </c>
      <c r="D78" s="51"/>
      <c r="E78" s="69">
        <v>0.0</v>
      </c>
      <c r="F78" s="69">
        <v>0.0</v>
      </c>
      <c r="G78" s="69">
        <v>0.0</v>
      </c>
      <c r="H78" s="69">
        <v>0.0</v>
      </c>
      <c r="I78" s="69">
        <v>0.0</v>
      </c>
      <c r="J78" s="69">
        <v>0.0</v>
      </c>
      <c r="K78" s="69">
        <v>0.0</v>
      </c>
      <c r="L78" s="69">
        <v>0.0</v>
      </c>
      <c r="M78" s="69">
        <v>0.0</v>
      </c>
      <c r="N78" s="69">
        <v>0.0</v>
      </c>
      <c r="O78" s="69">
        <v>0.0</v>
      </c>
      <c r="P78" s="69">
        <v>0.0</v>
      </c>
      <c r="Q78" s="69">
        <v>0.0</v>
      </c>
      <c r="R78" s="69">
        <v>0.0</v>
      </c>
      <c r="S78" s="69">
        <v>0.0</v>
      </c>
      <c r="T78" s="69">
        <v>0.0</v>
      </c>
      <c r="U78" s="69">
        <v>1.0</v>
      </c>
      <c r="V78" s="69">
        <v>0.0</v>
      </c>
      <c r="W78" s="69">
        <v>0.0</v>
      </c>
      <c r="X78" s="69">
        <v>1.0</v>
      </c>
      <c r="Y78" s="69">
        <v>0.0</v>
      </c>
      <c r="Z78" s="69">
        <v>1.0</v>
      </c>
      <c r="AA78" s="13">
        <f t="shared" si="20"/>
        <v>3</v>
      </c>
    </row>
    <row r="79" ht="15.0" customHeight="1">
      <c r="A79" s="18"/>
      <c r="B79" s="49"/>
      <c r="C79" s="50" t="s">
        <v>68</v>
      </c>
      <c r="D79" s="51"/>
      <c r="E79" s="69">
        <v>0.0</v>
      </c>
      <c r="F79" s="69">
        <v>0.0</v>
      </c>
      <c r="G79" s="69">
        <v>0.0</v>
      </c>
      <c r="H79" s="69">
        <v>0.0</v>
      </c>
      <c r="I79" s="69">
        <v>0.0</v>
      </c>
      <c r="J79" s="69">
        <v>0.0</v>
      </c>
      <c r="K79" s="69">
        <v>0.0</v>
      </c>
      <c r="L79" s="69">
        <v>0.0</v>
      </c>
      <c r="M79" s="69">
        <v>0.0</v>
      </c>
      <c r="N79" s="69">
        <v>0.0</v>
      </c>
      <c r="O79" s="69">
        <v>0.0</v>
      </c>
      <c r="P79" s="69">
        <v>0.0</v>
      </c>
      <c r="Q79" s="69">
        <v>0.0</v>
      </c>
      <c r="R79" s="69">
        <v>0.0</v>
      </c>
      <c r="S79" s="69">
        <v>0.0</v>
      </c>
      <c r="T79" s="69">
        <v>0.0</v>
      </c>
      <c r="U79" s="69">
        <v>0.0</v>
      </c>
      <c r="V79" s="69">
        <v>1.0</v>
      </c>
      <c r="W79" s="69">
        <v>0.0</v>
      </c>
      <c r="X79" s="69">
        <v>1.0</v>
      </c>
      <c r="Y79" s="69">
        <v>0.0</v>
      </c>
      <c r="Z79" s="69">
        <v>1.0</v>
      </c>
      <c r="AA79" s="13">
        <f t="shared" si="20"/>
        <v>3</v>
      </c>
    </row>
    <row r="80" ht="12.75" customHeight="1">
      <c r="A80" s="18"/>
      <c r="B80" s="49"/>
      <c r="C80" s="50" t="s">
        <v>69</v>
      </c>
      <c r="D80" s="51"/>
      <c r="E80" s="69">
        <v>0.0</v>
      </c>
      <c r="F80" s="69">
        <v>0.0</v>
      </c>
      <c r="G80" s="69">
        <v>0.0</v>
      </c>
      <c r="H80" s="69">
        <v>0.0</v>
      </c>
      <c r="I80" s="69">
        <v>0.0</v>
      </c>
      <c r="J80" s="69">
        <v>0.0</v>
      </c>
      <c r="K80" s="69">
        <v>0.0</v>
      </c>
      <c r="L80" s="69">
        <v>0.0</v>
      </c>
      <c r="M80" s="69">
        <v>0.0</v>
      </c>
      <c r="N80" s="69">
        <v>0.0</v>
      </c>
      <c r="O80" s="69">
        <v>1.0</v>
      </c>
      <c r="P80" s="69">
        <v>0.0</v>
      </c>
      <c r="Q80" s="69">
        <v>0.0</v>
      </c>
      <c r="R80" s="69">
        <v>0.0</v>
      </c>
      <c r="S80" s="69">
        <v>1.0</v>
      </c>
      <c r="T80" s="69">
        <v>3.0</v>
      </c>
      <c r="U80" s="69">
        <v>0.0</v>
      </c>
      <c r="V80" s="69">
        <v>0.0</v>
      </c>
      <c r="W80" s="69">
        <v>0.0</v>
      </c>
      <c r="X80" s="69">
        <v>0.0</v>
      </c>
      <c r="Y80" s="69">
        <v>0.0</v>
      </c>
      <c r="Z80" s="69">
        <v>0.0</v>
      </c>
      <c r="AA80" s="13">
        <f t="shared" si="20"/>
        <v>5</v>
      </c>
    </row>
    <row r="81" ht="12.75" customHeight="1">
      <c r="A81" s="18"/>
      <c r="B81" s="49"/>
      <c r="C81" s="50" t="s">
        <v>70</v>
      </c>
      <c r="D81" s="51"/>
      <c r="E81" s="69">
        <v>0.0</v>
      </c>
      <c r="F81" s="69">
        <v>0.0</v>
      </c>
      <c r="G81" s="69">
        <v>0.0</v>
      </c>
      <c r="H81" s="69">
        <v>0.0</v>
      </c>
      <c r="I81" s="69">
        <v>1.0</v>
      </c>
      <c r="J81" s="69">
        <v>0.0</v>
      </c>
      <c r="K81" s="69">
        <v>0.0</v>
      </c>
      <c r="L81" s="69">
        <v>0.0</v>
      </c>
      <c r="M81" s="69">
        <v>0.0</v>
      </c>
      <c r="N81" s="69">
        <v>0.0</v>
      </c>
      <c r="O81" s="69">
        <v>0.0</v>
      </c>
      <c r="P81" s="69">
        <v>0.0</v>
      </c>
      <c r="Q81" s="69">
        <v>0.0</v>
      </c>
      <c r="R81" s="69">
        <v>0.0</v>
      </c>
      <c r="S81" s="69">
        <v>0.0</v>
      </c>
      <c r="T81" s="69">
        <v>0.0</v>
      </c>
      <c r="U81" s="69">
        <v>0.0</v>
      </c>
      <c r="V81" s="69">
        <v>0.0</v>
      </c>
      <c r="W81" s="69">
        <v>0.0</v>
      </c>
      <c r="X81" s="69">
        <v>0.0</v>
      </c>
      <c r="Y81" s="69">
        <v>0.0</v>
      </c>
      <c r="Z81" s="69">
        <v>0.0</v>
      </c>
      <c r="AA81" s="13">
        <f t="shared" si="20"/>
        <v>1</v>
      </c>
    </row>
    <row r="82" ht="12.75" customHeight="1">
      <c r="A82" s="18"/>
      <c r="B82" s="49"/>
      <c r="C82" s="50" t="s">
        <v>71</v>
      </c>
      <c r="D82" s="51"/>
      <c r="E82" s="69">
        <v>0.0</v>
      </c>
      <c r="F82" s="69">
        <v>0.0</v>
      </c>
      <c r="G82" s="69">
        <v>0.0</v>
      </c>
      <c r="H82" s="69">
        <v>5.0</v>
      </c>
      <c r="I82" s="69">
        <v>1.0</v>
      </c>
      <c r="J82" s="69">
        <v>0.0</v>
      </c>
      <c r="K82" s="69">
        <v>0.0</v>
      </c>
      <c r="L82" s="69">
        <v>0.0</v>
      </c>
      <c r="M82" s="69">
        <v>0.0</v>
      </c>
      <c r="N82" s="69">
        <v>0.0</v>
      </c>
      <c r="O82" s="69">
        <v>0.0</v>
      </c>
      <c r="P82" s="69">
        <v>0.0</v>
      </c>
      <c r="Q82" s="69">
        <v>1.0</v>
      </c>
      <c r="R82" s="69">
        <v>3.0</v>
      </c>
      <c r="S82" s="69">
        <v>0.0</v>
      </c>
      <c r="T82" s="69">
        <v>0.0</v>
      </c>
      <c r="U82" s="69">
        <v>0.0</v>
      </c>
      <c r="V82" s="69">
        <v>2.0</v>
      </c>
      <c r="W82" s="69">
        <v>0.0</v>
      </c>
      <c r="X82" s="69">
        <v>0.0</v>
      </c>
      <c r="Y82" s="69">
        <v>0.0</v>
      </c>
      <c r="Z82" s="69">
        <v>0.0</v>
      </c>
      <c r="AA82" s="13">
        <f t="shared" si="20"/>
        <v>12</v>
      </c>
    </row>
    <row r="83" ht="12.75" customHeight="1">
      <c r="A83" s="19" t="s">
        <v>15</v>
      </c>
      <c r="B83" s="47" t="s">
        <v>47</v>
      </c>
      <c r="C83" s="15"/>
      <c r="D83" s="16"/>
      <c r="E83" s="56">
        <f t="shared" ref="E83:Z83" si="21">SUM(E75:E82)</f>
        <v>3</v>
      </c>
      <c r="F83" s="56">
        <f t="shared" si="21"/>
        <v>5</v>
      </c>
      <c r="G83" s="56">
        <f t="shared" si="21"/>
        <v>2</v>
      </c>
      <c r="H83" s="56">
        <f t="shared" si="21"/>
        <v>12</v>
      </c>
      <c r="I83" s="56">
        <f t="shared" si="21"/>
        <v>5</v>
      </c>
      <c r="J83" s="56">
        <f t="shared" si="21"/>
        <v>1</v>
      </c>
      <c r="K83" s="56">
        <f t="shared" si="21"/>
        <v>4</v>
      </c>
      <c r="L83" s="56">
        <f t="shared" si="21"/>
        <v>1</v>
      </c>
      <c r="M83" s="56">
        <f t="shared" si="21"/>
        <v>3</v>
      </c>
      <c r="N83" s="56">
        <f t="shared" si="21"/>
        <v>1</v>
      </c>
      <c r="O83" s="56">
        <f t="shared" si="21"/>
        <v>4</v>
      </c>
      <c r="P83" s="56">
        <f t="shared" si="21"/>
        <v>3</v>
      </c>
      <c r="Q83" s="56">
        <f t="shared" si="21"/>
        <v>7</v>
      </c>
      <c r="R83" s="56">
        <f t="shared" si="21"/>
        <v>6</v>
      </c>
      <c r="S83" s="56">
        <f t="shared" si="21"/>
        <v>6</v>
      </c>
      <c r="T83" s="56">
        <f t="shared" si="21"/>
        <v>8</v>
      </c>
      <c r="U83" s="56">
        <f t="shared" si="21"/>
        <v>4</v>
      </c>
      <c r="V83" s="56">
        <f t="shared" si="21"/>
        <v>3</v>
      </c>
      <c r="W83" s="56">
        <f t="shared" si="21"/>
        <v>4</v>
      </c>
      <c r="X83" s="56">
        <f t="shared" si="21"/>
        <v>7</v>
      </c>
      <c r="Y83" s="56">
        <f t="shared" si="21"/>
        <v>5</v>
      </c>
      <c r="Z83" s="56">
        <f t="shared" si="21"/>
        <v>3</v>
      </c>
      <c r="AA83" s="13">
        <f t="shared" si="20"/>
        <v>97</v>
      </c>
    </row>
    <row r="84" ht="12.75" customHeight="1">
      <c r="A84" s="57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13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69">
        <v>0.0</v>
      </c>
      <c r="F85" s="69">
        <v>1.0</v>
      </c>
      <c r="G85" s="69">
        <v>0.0</v>
      </c>
      <c r="H85" s="69">
        <v>0.0</v>
      </c>
      <c r="I85" s="69">
        <v>0.0</v>
      </c>
      <c r="J85" s="69">
        <v>1.0</v>
      </c>
      <c r="K85" s="69">
        <v>0.0</v>
      </c>
      <c r="L85" s="69">
        <v>0.0</v>
      </c>
      <c r="M85" s="69">
        <v>1.0</v>
      </c>
      <c r="N85" s="69">
        <v>0.0</v>
      </c>
      <c r="O85" s="69">
        <v>0.0</v>
      </c>
      <c r="P85" s="69">
        <v>1.0</v>
      </c>
      <c r="Q85" s="69">
        <v>1.0</v>
      </c>
      <c r="R85" s="69">
        <v>0.0</v>
      </c>
      <c r="S85" s="69">
        <v>0.0</v>
      </c>
      <c r="T85" s="69">
        <v>1.0</v>
      </c>
      <c r="U85" s="69">
        <v>0.0</v>
      </c>
      <c r="V85" s="69">
        <v>2.0</v>
      </c>
      <c r="W85" s="69">
        <v>0.0</v>
      </c>
      <c r="X85" s="69">
        <v>0.0</v>
      </c>
      <c r="Y85" s="69">
        <v>0.0</v>
      </c>
      <c r="Z85" s="69">
        <v>0.0</v>
      </c>
      <c r="AA85" s="13">
        <f t="shared" ref="AA85:AA93" si="22">SUM(E85:Z85)</f>
        <v>8</v>
      </c>
    </row>
    <row r="86" ht="12.75" customHeight="1">
      <c r="A86" s="30" t="s">
        <v>39</v>
      </c>
      <c r="B86" s="49"/>
      <c r="C86" s="50" t="s">
        <v>74</v>
      </c>
      <c r="D86" s="51"/>
      <c r="E86" s="69">
        <v>0.0</v>
      </c>
      <c r="F86" s="69">
        <v>1.0</v>
      </c>
      <c r="G86" s="69">
        <v>0.0</v>
      </c>
      <c r="H86" s="69">
        <v>0.0</v>
      </c>
      <c r="I86" s="69">
        <v>1.0</v>
      </c>
      <c r="J86" s="69">
        <v>0.0</v>
      </c>
      <c r="K86" s="69">
        <v>0.0</v>
      </c>
      <c r="L86" s="69">
        <v>0.0</v>
      </c>
      <c r="M86" s="69">
        <v>5.0</v>
      </c>
      <c r="N86" s="69">
        <v>1.0</v>
      </c>
      <c r="O86" s="69">
        <v>0.0</v>
      </c>
      <c r="P86" s="69">
        <v>1.0</v>
      </c>
      <c r="Q86" s="69">
        <v>0.0</v>
      </c>
      <c r="R86" s="69">
        <v>0.0</v>
      </c>
      <c r="S86" s="69">
        <v>1.0</v>
      </c>
      <c r="T86" s="69">
        <v>1.0</v>
      </c>
      <c r="U86" s="69">
        <v>0.0</v>
      </c>
      <c r="V86" s="69">
        <v>0.0</v>
      </c>
      <c r="W86" s="69">
        <v>1.0</v>
      </c>
      <c r="X86" s="69">
        <v>0.0</v>
      </c>
      <c r="Y86" s="69">
        <v>0.0</v>
      </c>
      <c r="Z86" s="69">
        <v>0.0</v>
      </c>
      <c r="AA86" s="13">
        <f t="shared" si="22"/>
        <v>12</v>
      </c>
    </row>
    <row r="87" ht="12.75" customHeight="1">
      <c r="A87" s="18"/>
      <c r="B87" s="49"/>
      <c r="C87" s="50" t="s">
        <v>75</v>
      </c>
      <c r="D87" s="51"/>
      <c r="E87" s="69">
        <v>10.0</v>
      </c>
      <c r="F87" s="69">
        <v>1.0</v>
      </c>
      <c r="G87" s="69">
        <v>4.0</v>
      </c>
      <c r="H87" s="69">
        <v>2.0</v>
      </c>
      <c r="I87" s="69">
        <v>0.0</v>
      </c>
      <c r="J87" s="69">
        <v>2.0</v>
      </c>
      <c r="K87" s="69">
        <v>4.0</v>
      </c>
      <c r="L87" s="69">
        <v>3.0</v>
      </c>
      <c r="M87" s="69">
        <v>21.0</v>
      </c>
      <c r="N87" s="69">
        <v>1.0</v>
      </c>
      <c r="O87" s="69">
        <v>1.0</v>
      </c>
      <c r="P87" s="69">
        <v>8.0</v>
      </c>
      <c r="Q87" s="69">
        <v>1.0</v>
      </c>
      <c r="R87" s="69">
        <v>7.0</v>
      </c>
      <c r="S87" s="69">
        <v>2.0</v>
      </c>
      <c r="T87" s="69">
        <v>3.0</v>
      </c>
      <c r="U87" s="69">
        <v>1.0</v>
      </c>
      <c r="V87" s="69">
        <v>1.0</v>
      </c>
      <c r="W87" s="69">
        <v>0.0</v>
      </c>
      <c r="X87" s="69">
        <v>9.0</v>
      </c>
      <c r="Y87" s="69">
        <v>1.0</v>
      </c>
      <c r="Z87" s="69">
        <v>2.0</v>
      </c>
      <c r="AA87" s="13">
        <f t="shared" si="22"/>
        <v>84</v>
      </c>
    </row>
    <row r="88" ht="12.75" customHeight="1">
      <c r="A88" s="18"/>
      <c r="B88" s="49"/>
      <c r="C88" s="50" t="s">
        <v>76</v>
      </c>
      <c r="D88" s="51"/>
      <c r="E88" s="69">
        <v>0.0</v>
      </c>
      <c r="F88" s="69">
        <v>0.0</v>
      </c>
      <c r="G88" s="69">
        <v>0.0</v>
      </c>
      <c r="H88" s="69">
        <v>0.0</v>
      </c>
      <c r="I88" s="69">
        <v>0.0</v>
      </c>
      <c r="J88" s="69">
        <v>0.0</v>
      </c>
      <c r="K88" s="69">
        <v>0.0</v>
      </c>
      <c r="L88" s="69">
        <v>0.0</v>
      </c>
      <c r="M88" s="69">
        <v>0.0</v>
      </c>
      <c r="N88" s="69">
        <v>0.0</v>
      </c>
      <c r="O88" s="69">
        <v>0.0</v>
      </c>
      <c r="P88" s="69">
        <v>0.0</v>
      </c>
      <c r="Q88" s="69">
        <v>0.0</v>
      </c>
      <c r="R88" s="69">
        <v>0.0</v>
      </c>
      <c r="S88" s="69">
        <v>0.0</v>
      </c>
      <c r="T88" s="69">
        <v>0.0</v>
      </c>
      <c r="U88" s="69">
        <v>0.0</v>
      </c>
      <c r="V88" s="69">
        <v>0.0</v>
      </c>
      <c r="W88" s="69">
        <v>0.0</v>
      </c>
      <c r="X88" s="69">
        <v>1.0</v>
      </c>
      <c r="Y88" s="69">
        <v>0.0</v>
      </c>
      <c r="Z88" s="69">
        <v>0.0</v>
      </c>
      <c r="AA88" s="13">
        <f t="shared" si="22"/>
        <v>1</v>
      </c>
    </row>
    <row r="89" ht="12.75" customHeight="1">
      <c r="A89" s="18"/>
      <c r="B89" s="49"/>
      <c r="C89" s="50" t="s">
        <v>77</v>
      </c>
      <c r="D89" s="51"/>
      <c r="E89" s="69">
        <v>0.0</v>
      </c>
      <c r="F89" s="69">
        <v>0.0</v>
      </c>
      <c r="G89" s="69">
        <v>0.0</v>
      </c>
      <c r="H89" s="69">
        <v>0.0</v>
      </c>
      <c r="I89" s="69">
        <v>0.0</v>
      </c>
      <c r="J89" s="69">
        <v>2.0</v>
      </c>
      <c r="K89" s="69">
        <v>0.0</v>
      </c>
      <c r="L89" s="69">
        <v>0.0</v>
      </c>
      <c r="M89" s="69">
        <v>0.0</v>
      </c>
      <c r="N89" s="69">
        <v>0.0</v>
      </c>
      <c r="O89" s="69">
        <v>0.0</v>
      </c>
      <c r="P89" s="69">
        <v>0.0</v>
      </c>
      <c r="Q89" s="69">
        <v>0.0</v>
      </c>
      <c r="R89" s="69">
        <v>0.0</v>
      </c>
      <c r="S89" s="69">
        <v>0.0</v>
      </c>
      <c r="T89" s="69">
        <v>0.0</v>
      </c>
      <c r="U89" s="69">
        <v>0.0</v>
      </c>
      <c r="V89" s="69">
        <v>0.0</v>
      </c>
      <c r="W89" s="69">
        <v>0.0</v>
      </c>
      <c r="X89" s="69">
        <v>0.0</v>
      </c>
      <c r="Y89" s="69">
        <v>0.0</v>
      </c>
      <c r="Z89" s="69">
        <v>0.0</v>
      </c>
      <c r="AA89" s="13">
        <f t="shared" si="22"/>
        <v>2</v>
      </c>
    </row>
    <row r="90" ht="12.75" customHeight="1">
      <c r="A90" s="18"/>
      <c r="B90" s="49"/>
      <c r="C90" s="50" t="s">
        <v>78</v>
      </c>
      <c r="D90" s="51"/>
      <c r="E90" s="69">
        <v>1.0</v>
      </c>
      <c r="F90" s="69">
        <v>0.0</v>
      </c>
      <c r="G90" s="69">
        <v>0.0</v>
      </c>
      <c r="H90" s="69">
        <v>0.0</v>
      </c>
      <c r="I90" s="69">
        <v>1.0</v>
      </c>
      <c r="J90" s="69">
        <v>0.0</v>
      </c>
      <c r="K90" s="69">
        <v>0.0</v>
      </c>
      <c r="L90" s="69">
        <v>1.0</v>
      </c>
      <c r="M90" s="69">
        <v>4.0</v>
      </c>
      <c r="N90" s="69">
        <v>0.0</v>
      </c>
      <c r="O90" s="69">
        <v>0.0</v>
      </c>
      <c r="P90" s="69">
        <v>1.0</v>
      </c>
      <c r="Q90" s="69">
        <v>0.0</v>
      </c>
      <c r="R90" s="69">
        <v>0.0</v>
      </c>
      <c r="S90" s="69">
        <v>0.0</v>
      </c>
      <c r="T90" s="69">
        <v>0.0</v>
      </c>
      <c r="U90" s="69">
        <v>0.0</v>
      </c>
      <c r="V90" s="69">
        <v>1.0</v>
      </c>
      <c r="W90" s="69">
        <v>0.0</v>
      </c>
      <c r="X90" s="69">
        <v>0.0</v>
      </c>
      <c r="Y90" s="69">
        <v>0.0</v>
      </c>
      <c r="Z90" s="69">
        <v>0.0</v>
      </c>
      <c r="AA90" s="13">
        <f t="shared" si="22"/>
        <v>9</v>
      </c>
    </row>
    <row r="91" ht="15.0" customHeight="1">
      <c r="A91" s="18"/>
      <c r="B91" s="49"/>
      <c r="C91" s="50" t="s">
        <v>79</v>
      </c>
      <c r="D91" s="51"/>
      <c r="E91" s="69">
        <v>0.0</v>
      </c>
      <c r="F91" s="69">
        <v>0.0</v>
      </c>
      <c r="G91" s="69">
        <v>0.0</v>
      </c>
      <c r="H91" s="69">
        <v>0.0</v>
      </c>
      <c r="I91" s="69">
        <v>0.0</v>
      </c>
      <c r="J91" s="69">
        <v>0.0</v>
      </c>
      <c r="K91" s="69">
        <v>0.0</v>
      </c>
      <c r="L91" s="69">
        <v>0.0</v>
      </c>
      <c r="M91" s="69">
        <v>0.0</v>
      </c>
      <c r="N91" s="69">
        <v>0.0</v>
      </c>
      <c r="O91" s="69">
        <v>0.0</v>
      </c>
      <c r="P91" s="69">
        <v>0.0</v>
      </c>
      <c r="Q91" s="69">
        <v>0.0</v>
      </c>
      <c r="R91" s="69">
        <v>0.0</v>
      </c>
      <c r="S91" s="69">
        <v>0.0</v>
      </c>
      <c r="T91" s="69">
        <v>0.0</v>
      </c>
      <c r="U91" s="69">
        <v>0.0</v>
      </c>
      <c r="V91" s="69">
        <v>0.0</v>
      </c>
      <c r="W91" s="69">
        <v>0.0</v>
      </c>
      <c r="X91" s="69">
        <v>0.0</v>
      </c>
      <c r="Y91" s="69">
        <v>0.0</v>
      </c>
      <c r="Z91" s="69">
        <v>0.0</v>
      </c>
      <c r="AA91" s="13">
        <f t="shared" si="22"/>
        <v>0</v>
      </c>
    </row>
    <row r="92" ht="12.75" customHeight="1">
      <c r="A92" s="18"/>
      <c r="B92" s="49"/>
      <c r="C92" s="50" t="s">
        <v>80</v>
      </c>
      <c r="D92" s="51"/>
      <c r="E92" s="69">
        <v>0.0</v>
      </c>
      <c r="F92" s="69">
        <v>0.0</v>
      </c>
      <c r="G92" s="69">
        <v>0.0</v>
      </c>
      <c r="H92" s="69">
        <v>0.0</v>
      </c>
      <c r="I92" s="69">
        <v>0.0</v>
      </c>
      <c r="J92" s="69">
        <v>0.0</v>
      </c>
      <c r="K92" s="69">
        <v>0.0</v>
      </c>
      <c r="L92" s="69">
        <v>0.0</v>
      </c>
      <c r="M92" s="69">
        <v>0.0</v>
      </c>
      <c r="N92" s="69">
        <v>0.0</v>
      </c>
      <c r="O92" s="69">
        <v>0.0</v>
      </c>
      <c r="P92" s="69">
        <v>0.0</v>
      </c>
      <c r="Q92" s="69">
        <v>0.0</v>
      </c>
      <c r="R92" s="69">
        <v>0.0</v>
      </c>
      <c r="S92" s="69">
        <v>0.0</v>
      </c>
      <c r="T92" s="69">
        <v>0.0</v>
      </c>
      <c r="U92" s="69">
        <v>0.0</v>
      </c>
      <c r="V92" s="69">
        <v>0.0</v>
      </c>
      <c r="W92" s="69">
        <v>0.0</v>
      </c>
      <c r="X92" s="69">
        <v>0.0</v>
      </c>
      <c r="Y92" s="69">
        <v>0.0</v>
      </c>
      <c r="Z92" s="69">
        <v>0.0</v>
      </c>
      <c r="AA92" s="13">
        <f t="shared" si="22"/>
        <v>0</v>
      </c>
    </row>
    <row r="93" ht="12.75" customHeight="1">
      <c r="A93" s="19" t="s">
        <v>15</v>
      </c>
      <c r="B93" s="47" t="s">
        <v>47</v>
      </c>
      <c r="C93" s="15"/>
      <c r="D93" s="16"/>
      <c r="E93" s="56">
        <f t="shared" ref="E93:Z93" si="23">SUM(E85:E92)</f>
        <v>11</v>
      </c>
      <c r="F93" s="56">
        <f t="shared" si="23"/>
        <v>3</v>
      </c>
      <c r="G93" s="56">
        <f t="shared" si="23"/>
        <v>4</v>
      </c>
      <c r="H93" s="56">
        <f t="shared" si="23"/>
        <v>2</v>
      </c>
      <c r="I93" s="56">
        <f t="shared" si="23"/>
        <v>2</v>
      </c>
      <c r="J93" s="56">
        <f t="shared" si="23"/>
        <v>5</v>
      </c>
      <c r="K93" s="56">
        <f t="shared" si="23"/>
        <v>4</v>
      </c>
      <c r="L93" s="56">
        <f t="shared" si="23"/>
        <v>4</v>
      </c>
      <c r="M93" s="56">
        <f t="shared" si="23"/>
        <v>31</v>
      </c>
      <c r="N93" s="56">
        <f t="shared" si="23"/>
        <v>2</v>
      </c>
      <c r="O93" s="56">
        <f t="shared" si="23"/>
        <v>1</v>
      </c>
      <c r="P93" s="56">
        <f t="shared" si="23"/>
        <v>11</v>
      </c>
      <c r="Q93" s="56">
        <f t="shared" si="23"/>
        <v>2</v>
      </c>
      <c r="R93" s="56">
        <f t="shared" si="23"/>
        <v>7</v>
      </c>
      <c r="S93" s="56">
        <f t="shared" si="23"/>
        <v>3</v>
      </c>
      <c r="T93" s="56">
        <f t="shared" si="23"/>
        <v>5</v>
      </c>
      <c r="U93" s="56">
        <f t="shared" si="23"/>
        <v>1</v>
      </c>
      <c r="V93" s="56">
        <f t="shared" si="23"/>
        <v>4</v>
      </c>
      <c r="W93" s="56">
        <f t="shared" si="23"/>
        <v>1</v>
      </c>
      <c r="X93" s="56">
        <f t="shared" si="23"/>
        <v>10</v>
      </c>
      <c r="Y93" s="56">
        <f t="shared" si="23"/>
        <v>1</v>
      </c>
      <c r="Z93" s="56">
        <f t="shared" si="23"/>
        <v>2</v>
      </c>
      <c r="AA93" s="13">
        <f t="shared" si="22"/>
        <v>116</v>
      </c>
    </row>
    <row r="94" ht="12.75" customHeight="1">
      <c r="A94" s="57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13"/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69">
        <v>0.0</v>
      </c>
      <c r="F95" s="69">
        <v>0.0</v>
      </c>
      <c r="G95" s="69">
        <v>1.0</v>
      </c>
      <c r="H95" s="69">
        <v>1.0</v>
      </c>
      <c r="I95" s="69">
        <v>0.0</v>
      </c>
      <c r="J95" s="69">
        <v>0.0</v>
      </c>
      <c r="K95" s="69">
        <v>0.0</v>
      </c>
      <c r="L95" s="69">
        <v>0.0</v>
      </c>
      <c r="M95" s="69">
        <v>0.0</v>
      </c>
      <c r="N95" s="69">
        <v>0.0</v>
      </c>
      <c r="O95" s="69">
        <v>0.0</v>
      </c>
      <c r="P95" s="69">
        <v>0.0</v>
      </c>
      <c r="Q95" s="69">
        <v>0.0</v>
      </c>
      <c r="R95" s="69">
        <v>0.0</v>
      </c>
      <c r="S95" s="69">
        <v>0.0</v>
      </c>
      <c r="T95" s="69">
        <v>0.0</v>
      </c>
      <c r="U95" s="69">
        <v>0.0</v>
      </c>
      <c r="V95" s="69">
        <v>0.0</v>
      </c>
      <c r="W95" s="69">
        <v>0.0</v>
      </c>
      <c r="X95" s="69">
        <v>0.0</v>
      </c>
      <c r="Y95" s="69">
        <v>0.0</v>
      </c>
      <c r="Z95" s="69">
        <v>0.0</v>
      </c>
      <c r="AA95" s="13">
        <f t="shared" ref="AA95:AA97" si="24">SUM(E95:Z95)</f>
        <v>2</v>
      </c>
    </row>
    <row r="96" ht="12.75" customHeight="1">
      <c r="A96" s="30" t="s">
        <v>39</v>
      </c>
      <c r="B96" s="49"/>
      <c r="C96" s="50" t="s">
        <v>83</v>
      </c>
      <c r="D96" s="62"/>
      <c r="E96" s="69">
        <v>0.0</v>
      </c>
      <c r="F96" s="69">
        <v>0.0</v>
      </c>
      <c r="G96" s="69">
        <v>0.0</v>
      </c>
      <c r="H96" s="69">
        <v>0.0</v>
      </c>
      <c r="I96" s="69">
        <v>0.0</v>
      </c>
      <c r="J96" s="69">
        <v>0.0</v>
      </c>
      <c r="K96" s="69">
        <v>1.0</v>
      </c>
      <c r="L96" s="69">
        <v>0.0</v>
      </c>
      <c r="M96" s="69">
        <v>0.0</v>
      </c>
      <c r="N96" s="69">
        <v>0.0</v>
      </c>
      <c r="O96" s="69">
        <v>0.0</v>
      </c>
      <c r="P96" s="69">
        <v>0.0</v>
      </c>
      <c r="Q96" s="69">
        <v>0.0</v>
      </c>
      <c r="R96" s="69">
        <v>0.0</v>
      </c>
      <c r="S96" s="69">
        <v>0.0</v>
      </c>
      <c r="T96" s="69">
        <v>0.0</v>
      </c>
      <c r="U96" s="69">
        <v>0.0</v>
      </c>
      <c r="V96" s="69">
        <v>0.0</v>
      </c>
      <c r="W96" s="69">
        <v>0.0</v>
      </c>
      <c r="X96" s="69">
        <v>0.0</v>
      </c>
      <c r="Y96" s="69">
        <v>1.0</v>
      </c>
      <c r="Z96" s="69">
        <v>0.0</v>
      </c>
      <c r="AA96" s="13">
        <f t="shared" si="24"/>
        <v>2</v>
      </c>
    </row>
    <row r="97" ht="12.75" customHeight="1">
      <c r="A97" s="19" t="s">
        <v>15</v>
      </c>
      <c r="B97" s="47" t="s">
        <v>47</v>
      </c>
      <c r="C97" s="15"/>
      <c r="D97" s="16"/>
      <c r="E97" s="56">
        <f t="shared" ref="E97:Z97" si="25">SUM(E95:E96)</f>
        <v>0</v>
      </c>
      <c r="F97" s="56">
        <f t="shared" si="25"/>
        <v>0</v>
      </c>
      <c r="G97" s="56">
        <f t="shared" si="25"/>
        <v>1</v>
      </c>
      <c r="H97" s="56">
        <f t="shared" si="25"/>
        <v>1</v>
      </c>
      <c r="I97" s="56">
        <f t="shared" si="25"/>
        <v>0</v>
      </c>
      <c r="J97" s="56">
        <f t="shared" si="25"/>
        <v>0</v>
      </c>
      <c r="K97" s="56">
        <f t="shared" si="25"/>
        <v>1</v>
      </c>
      <c r="L97" s="56">
        <f t="shared" si="25"/>
        <v>0</v>
      </c>
      <c r="M97" s="56">
        <f t="shared" si="25"/>
        <v>0</v>
      </c>
      <c r="N97" s="56">
        <f t="shared" si="25"/>
        <v>0</v>
      </c>
      <c r="O97" s="56">
        <f t="shared" si="25"/>
        <v>0</v>
      </c>
      <c r="P97" s="56">
        <f t="shared" si="25"/>
        <v>0</v>
      </c>
      <c r="Q97" s="56">
        <f t="shared" si="25"/>
        <v>0</v>
      </c>
      <c r="R97" s="56">
        <f t="shared" si="25"/>
        <v>0</v>
      </c>
      <c r="S97" s="56">
        <f t="shared" si="25"/>
        <v>0</v>
      </c>
      <c r="T97" s="56">
        <f t="shared" si="25"/>
        <v>0</v>
      </c>
      <c r="U97" s="56">
        <f t="shared" si="25"/>
        <v>0</v>
      </c>
      <c r="V97" s="56">
        <f t="shared" si="25"/>
        <v>0</v>
      </c>
      <c r="W97" s="56">
        <f t="shared" si="25"/>
        <v>0</v>
      </c>
      <c r="X97" s="56">
        <f t="shared" si="25"/>
        <v>0</v>
      </c>
      <c r="Y97" s="56">
        <f t="shared" si="25"/>
        <v>1</v>
      </c>
      <c r="Z97" s="56">
        <f t="shared" si="25"/>
        <v>0</v>
      </c>
      <c r="AA97" s="13">
        <f t="shared" si="24"/>
        <v>4</v>
      </c>
    </row>
    <row r="98" ht="12.75" customHeight="1">
      <c r="A98" s="57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13"/>
    </row>
    <row r="99" ht="12.75" customHeight="1">
      <c r="A99" s="30" t="s">
        <v>37</v>
      </c>
      <c r="B99" s="47" t="s">
        <v>84</v>
      </c>
      <c r="C99" s="48" t="s">
        <v>85</v>
      </c>
      <c r="D99" s="16"/>
      <c r="E99" s="69">
        <v>1.0</v>
      </c>
      <c r="F99" s="69">
        <v>1.0</v>
      </c>
      <c r="G99" s="69">
        <v>2.0</v>
      </c>
      <c r="H99" s="69">
        <v>3.0</v>
      </c>
      <c r="I99" s="69">
        <v>0.0</v>
      </c>
      <c r="J99" s="69">
        <v>0.0</v>
      </c>
      <c r="K99" s="69">
        <v>0.0</v>
      </c>
      <c r="L99" s="69">
        <v>3.0</v>
      </c>
      <c r="M99" s="69">
        <v>1.0</v>
      </c>
      <c r="N99" s="69">
        <v>3.0</v>
      </c>
      <c r="O99" s="69">
        <v>0.0</v>
      </c>
      <c r="P99" s="69">
        <v>1.0</v>
      </c>
      <c r="Q99" s="69">
        <v>0.0</v>
      </c>
      <c r="R99" s="69">
        <v>2.0</v>
      </c>
      <c r="S99" s="69">
        <v>6.0</v>
      </c>
      <c r="T99" s="69">
        <v>0.0</v>
      </c>
      <c r="U99" s="69">
        <v>2.0</v>
      </c>
      <c r="V99" s="69">
        <v>1.0</v>
      </c>
      <c r="W99" s="69">
        <v>3.0</v>
      </c>
      <c r="X99" s="69">
        <v>1.0</v>
      </c>
      <c r="Y99" s="69">
        <v>1.0</v>
      </c>
      <c r="Z99" s="69">
        <v>2.0</v>
      </c>
      <c r="AA99" s="13">
        <f t="shared" ref="AA99:AA101" si="26">SUM(E99:Z99)</f>
        <v>33</v>
      </c>
    </row>
    <row r="100" ht="12.75" customHeight="1">
      <c r="A100" s="30" t="s">
        <v>39</v>
      </c>
      <c r="B100" s="49"/>
      <c r="C100" s="50" t="s">
        <v>86</v>
      </c>
      <c r="D100" s="51"/>
      <c r="E100" s="69">
        <v>0.0</v>
      </c>
      <c r="F100" s="69">
        <v>1.0</v>
      </c>
      <c r="G100" s="69">
        <v>0.0</v>
      </c>
      <c r="H100" s="69">
        <v>0.0</v>
      </c>
      <c r="I100" s="69">
        <v>0.0</v>
      </c>
      <c r="J100" s="69">
        <v>0.0</v>
      </c>
      <c r="K100" s="69">
        <v>0.0</v>
      </c>
      <c r="L100" s="69">
        <v>1.0</v>
      </c>
      <c r="M100" s="69">
        <v>0.0</v>
      </c>
      <c r="N100" s="69">
        <v>0.0</v>
      </c>
      <c r="O100" s="69">
        <v>1.0</v>
      </c>
      <c r="P100" s="69">
        <v>1.0</v>
      </c>
      <c r="Q100" s="69">
        <v>0.0</v>
      </c>
      <c r="R100" s="69">
        <v>0.0</v>
      </c>
      <c r="S100" s="69">
        <v>0.0</v>
      </c>
      <c r="T100" s="69">
        <v>0.0</v>
      </c>
      <c r="U100" s="69">
        <v>0.0</v>
      </c>
      <c r="V100" s="69">
        <v>0.0</v>
      </c>
      <c r="W100" s="69">
        <v>0.0</v>
      </c>
      <c r="X100" s="69">
        <v>0.0</v>
      </c>
      <c r="Y100" s="69">
        <v>1.0</v>
      </c>
      <c r="Z100" s="69">
        <v>0.0</v>
      </c>
      <c r="AA100" s="13">
        <f t="shared" si="26"/>
        <v>5</v>
      </c>
    </row>
    <row r="101" ht="12.75" customHeight="1">
      <c r="A101" s="19" t="s">
        <v>15</v>
      </c>
      <c r="B101" s="47" t="s">
        <v>47</v>
      </c>
      <c r="C101" s="15"/>
      <c r="D101" s="16"/>
      <c r="E101" s="56">
        <f t="shared" ref="E101:Z101" si="27">SUM(E99:E100)</f>
        <v>1</v>
      </c>
      <c r="F101" s="56">
        <f t="shared" si="27"/>
        <v>2</v>
      </c>
      <c r="G101" s="56">
        <f t="shared" si="27"/>
        <v>2</v>
      </c>
      <c r="H101" s="56">
        <f t="shared" si="27"/>
        <v>3</v>
      </c>
      <c r="I101" s="56">
        <f t="shared" si="27"/>
        <v>0</v>
      </c>
      <c r="J101" s="56">
        <f t="shared" si="27"/>
        <v>0</v>
      </c>
      <c r="K101" s="56">
        <f t="shared" si="27"/>
        <v>0</v>
      </c>
      <c r="L101" s="56">
        <f t="shared" si="27"/>
        <v>4</v>
      </c>
      <c r="M101" s="56">
        <f t="shared" si="27"/>
        <v>1</v>
      </c>
      <c r="N101" s="56">
        <f t="shared" si="27"/>
        <v>3</v>
      </c>
      <c r="O101" s="56">
        <f t="shared" si="27"/>
        <v>1</v>
      </c>
      <c r="P101" s="56">
        <f t="shared" si="27"/>
        <v>2</v>
      </c>
      <c r="Q101" s="56">
        <f t="shared" si="27"/>
        <v>0</v>
      </c>
      <c r="R101" s="56">
        <f t="shared" si="27"/>
        <v>2</v>
      </c>
      <c r="S101" s="56">
        <f t="shared" si="27"/>
        <v>6</v>
      </c>
      <c r="T101" s="56">
        <f t="shared" si="27"/>
        <v>0</v>
      </c>
      <c r="U101" s="56">
        <f t="shared" si="27"/>
        <v>2</v>
      </c>
      <c r="V101" s="56">
        <f t="shared" si="27"/>
        <v>1</v>
      </c>
      <c r="W101" s="56">
        <f t="shared" si="27"/>
        <v>3</v>
      </c>
      <c r="X101" s="56">
        <f t="shared" si="27"/>
        <v>1</v>
      </c>
      <c r="Y101" s="56">
        <f t="shared" si="27"/>
        <v>2</v>
      </c>
      <c r="Z101" s="56">
        <f t="shared" si="27"/>
        <v>2</v>
      </c>
      <c r="AA101" s="13">
        <f t="shared" si="26"/>
        <v>38</v>
      </c>
    </row>
    <row r="102" ht="12.75" customHeight="1">
      <c r="A102" s="57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13"/>
    </row>
    <row r="103" ht="15.0" customHeight="1">
      <c r="A103" s="30" t="s">
        <v>37</v>
      </c>
      <c r="B103" s="47" t="s">
        <v>87</v>
      </c>
      <c r="C103" s="48" t="s">
        <v>88</v>
      </c>
      <c r="D103" s="16"/>
      <c r="E103" s="69">
        <v>0.0</v>
      </c>
      <c r="F103" s="69">
        <v>0.0</v>
      </c>
      <c r="G103" s="69">
        <v>1.0</v>
      </c>
      <c r="H103" s="69">
        <v>0.0</v>
      </c>
      <c r="I103" s="69">
        <v>0.0</v>
      </c>
      <c r="J103" s="69">
        <v>0.0</v>
      </c>
      <c r="K103" s="69">
        <v>0.0</v>
      </c>
      <c r="L103" s="69">
        <v>1.0</v>
      </c>
      <c r="M103" s="69">
        <v>0.0</v>
      </c>
      <c r="N103" s="69">
        <v>0.0</v>
      </c>
      <c r="O103" s="69">
        <v>2.0</v>
      </c>
      <c r="P103" s="69">
        <v>2.0</v>
      </c>
      <c r="Q103" s="69">
        <v>3.0</v>
      </c>
      <c r="R103" s="69">
        <v>2.0</v>
      </c>
      <c r="S103" s="69">
        <v>1.0</v>
      </c>
      <c r="T103" s="69">
        <v>0.0</v>
      </c>
      <c r="U103" s="69">
        <v>3.0</v>
      </c>
      <c r="V103" s="69">
        <v>2.0</v>
      </c>
      <c r="W103" s="69">
        <v>5.0</v>
      </c>
      <c r="X103" s="69">
        <v>1.0</v>
      </c>
      <c r="Y103" s="69">
        <v>1.0</v>
      </c>
      <c r="Z103" s="69">
        <v>0.0</v>
      </c>
      <c r="AA103" s="13">
        <f t="shared" ref="AA103:AA111" si="28">SUM(E103:Z103)</f>
        <v>24</v>
      </c>
    </row>
    <row r="104" ht="12.75" customHeight="1">
      <c r="A104" s="30" t="s">
        <v>39</v>
      </c>
      <c r="B104" s="49"/>
      <c r="C104" s="50" t="s">
        <v>89</v>
      </c>
      <c r="D104" s="51"/>
      <c r="E104" s="69">
        <v>0.0</v>
      </c>
      <c r="F104" s="69">
        <v>2.0</v>
      </c>
      <c r="G104" s="69">
        <v>0.0</v>
      </c>
      <c r="H104" s="69">
        <v>6.0</v>
      </c>
      <c r="I104" s="69">
        <v>4.0</v>
      </c>
      <c r="J104" s="69">
        <v>4.0</v>
      </c>
      <c r="K104" s="69">
        <v>7.0</v>
      </c>
      <c r="L104" s="69">
        <v>6.0</v>
      </c>
      <c r="M104" s="69">
        <v>2.0</v>
      </c>
      <c r="N104" s="69">
        <v>6.0</v>
      </c>
      <c r="O104" s="69">
        <v>15.0</v>
      </c>
      <c r="P104" s="69">
        <v>31.0</v>
      </c>
      <c r="Q104" s="69">
        <v>13.0</v>
      </c>
      <c r="R104" s="69">
        <v>16.0</v>
      </c>
      <c r="S104" s="69">
        <v>5.0</v>
      </c>
      <c r="T104" s="69">
        <v>34.0</v>
      </c>
      <c r="U104" s="69">
        <v>21.0</v>
      </c>
      <c r="V104" s="69">
        <v>33.0</v>
      </c>
      <c r="W104" s="69">
        <v>26.0</v>
      </c>
      <c r="X104" s="69">
        <v>29.0</v>
      </c>
      <c r="Y104" s="69">
        <v>12.0</v>
      </c>
      <c r="Z104" s="69">
        <v>1.0</v>
      </c>
      <c r="AA104" s="13">
        <f t="shared" si="28"/>
        <v>273</v>
      </c>
    </row>
    <row r="105" ht="12.75" customHeight="1">
      <c r="A105" s="18"/>
      <c r="B105" s="49"/>
      <c r="C105" s="50" t="s">
        <v>90</v>
      </c>
      <c r="D105" s="51"/>
      <c r="E105" s="69">
        <v>0.0</v>
      </c>
      <c r="F105" s="69">
        <v>0.0</v>
      </c>
      <c r="G105" s="69">
        <v>0.0</v>
      </c>
      <c r="H105" s="69">
        <v>0.0</v>
      </c>
      <c r="I105" s="69">
        <v>0.0</v>
      </c>
      <c r="J105" s="69">
        <v>0.0</v>
      </c>
      <c r="K105" s="69">
        <v>0.0</v>
      </c>
      <c r="L105" s="69">
        <v>0.0</v>
      </c>
      <c r="M105" s="69">
        <v>0.0</v>
      </c>
      <c r="N105" s="69">
        <v>0.0</v>
      </c>
      <c r="O105" s="69">
        <v>1.0</v>
      </c>
      <c r="P105" s="69">
        <v>0.0</v>
      </c>
      <c r="Q105" s="69">
        <v>0.0</v>
      </c>
      <c r="R105" s="69">
        <v>0.0</v>
      </c>
      <c r="S105" s="69">
        <v>0.0</v>
      </c>
      <c r="T105" s="69">
        <v>0.0</v>
      </c>
      <c r="U105" s="69">
        <v>0.0</v>
      </c>
      <c r="V105" s="69">
        <v>1.0</v>
      </c>
      <c r="W105" s="69">
        <v>0.0</v>
      </c>
      <c r="X105" s="69">
        <v>1.0</v>
      </c>
      <c r="Y105" s="69">
        <v>0.0</v>
      </c>
      <c r="Z105" s="69">
        <v>0.0</v>
      </c>
      <c r="AA105" s="13">
        <f t="shared" si="28"/>
        <v>3</v>
      </c>
    </row>
    <row r="106" ht="12.75" customHeight="1">
      <c r="A106" s="18"/>
      <c r="B106" s="49"/>
      <c r="C106" s="50" t="s">
        <v>91</v>
      </c>
      <c r="D106" s="51"/>
      <c r="E106" s="69">
        <v>0.0</v>
      </c>
      <c r="F106" s="69">
        <v>0.0</v>
      </c>
      <c r="G106" s="69">
        <v>0.0</v>
      </c>
      <c r="H106" s="69">
        <v>0.0</v>
      </c>
      <c r="I106" s="69">
        <v>0.0</v>
      </c>
      <c r="J106" s="69">
        <v>0.0</v>
      </c>
      <c r="K106" s="69">
        <v>0.0</v>
      </c>
      <c r="L106" s="69">
        <v>0.0</v>
      </c>
      <c r="M106" s="69">
        <v>0.0</v>
      </c>
      <c r="N106" s="69">
        <v>0.0</v>
      </c>
      <c r="O106" s="69">
        <v>0.0</v>
      </c>
      <c r="P106" s="69">
        <v>0.0</v>
      </c>
      <c r="Q106" s="69">
        <v>0.0</v>
      </c>
      <c r="R106" s="69">
        <v>0.0</v>
      </c>
      <c r="S106" s="69">
        <v>0.0</v>
      </c>
      <c r="T106" s="69">
        <v>0.0</v>
      </c>
      <c r="U106" s="69">
        <v>0.0</v>
      </c>
      <c r="V106" s="69">
        <v>0.0</v>
      </c>
      <c r="W106" s="69">
        <v>0.0</v>
      </c>
      <c r="X106" s="69">
        <v>0.0</v>
      </c>
      <c r="Y106" s="69">
        <v>0.0</v>
      </c>
      <c r="Z106" s="69">
        <v>0.0</v>
      </c>
      <c r="AA106" s="13">
        <f t="shared" si="28"/>
        <v>0</v>
      </c>
    </row>
    <row r="107" ht="12.75" customHeight="1">
      <c r="A107" s="18"/>
      <c r="B107" s="49"/>
      <c r="C107" s="50" t="s">
        <v>92</v>
      </c>
      <c r="D107" s="51"/>
      <c r="E107" s="69">
        <v>0.0</v>
      </c>
      <c r="F107" s="69">
        <v>1.0</v>
      </c>
      <c r="G107" s="69">
        <v>0.0</v>
      </c>
      <c r="H107" s="69">
        <v>0.0</v>
      </c>
      <c r="I107" s="69">
        <v>0.0</v>
      </c>
      <c r="J107" s="69">
        <v>0.0</v>
      </c>
      <c r="K107" s="69">
        <v>0.0</v>
      </c>
      <c r="L107" s="69">
        <v>0.0</v>
      </c>
      <c r="M107" s="69">
        <v>0.0</v>
      </c>
      <c r="N107" s="69">
        <v>0.0</v>
      </c>
      <c r="O107" s="69">
        <v>0.0</v>
      </c>
      <c r="P107" s="69">
        <v>0.0</v>
      </c>
      <c r="Q107" s="69">
        <v>0.0</v>
      </c>
      <c r="R107" s="69">
        <v>0.0</v>
      </c>
      <c r="S107" s="69">
        <v>0.0</v>
      </c>
      <c r="T107" s="69">
        <v>0.0</v>
      </c>
      <c r="U107" s="69">
        <v>0.0</v>
      </c>
      <c r="V107" s="69">
        <v>0.0</v>
      </c>
      <c r="W107" s="69">
        <v>0.0</v>
      </c>
      <c r="X107" s="69">
        <v>0.0</v>
      </c>
      <c r="Y107" s="69">
        <v>2.0</v>
      </c>
      <c r="Z107" s="69">
        <v>0.0</v>
      </c>
      <c r="AA107" s="13">
        <f t="shared" si="28"/>
        <v>3</v>
      </c>
    </row>
    <row r="108" ht="12.75" customHeight="1">
      <c r="A108" s="18"/>
      <c r="B108" s="49"/>
      <c r="C108" s="50" t="s">
        <v>93</v>
      </c>
      <c r="D108" s="51"/>
      <c r="E108" s="69">
        <v>0.0</v>
      </c>
      <c r="F108" s="69">
        <v>0.0</v>
      </c>
      <c r="G108" s="69">
        <v>0.0</v>
      </c>
      <c r="H108" s="69">
        <v>0.0</v>
      </c>
      <c r="I108" s="69">
        <v>0.0</v>
      </c>
      <c r="J108" s="69">
        <v>0.0</v>
      </c>
      <c r="K108" s="69">
        <v>0.0</v>
      </c>
      <c r="L108" s="69">
        <v>0.0</v>
      </c>
      <c r="M108" s="69">
        <v>0.0</v>
      </c>
      <c r="N108" s="69">
        <v>0.0</v>
      </c>
      <c r="O108" s="69">
        <v>0.0</v>
      </c>
      <c r="P108" s="69">
        <v>0.0</v>
      </c>
      <c r="Q108" s="69">
        <v>0.0</v>
      </c>
      <c r="R108" s="69">
        <v>0.0</v>
      </c>
      <c r="S108" s="69">
        <v>0.0</v>
      </c>
      <c r="T108" s="69">
        <v>0.0</v>
      </c>
      <c r="U108" s="69">
        <v>0.0</v>
      </c>
      <c r="V108" s="69">
        <v>0.0</v>
      </c>
      <c r="W108" s="69">
        <v>0.0</v>
      </c>
      <c r="X108" s="69">
        <v>0.0</v>
      </c>
      <c r="Y108" s="69">
        <v>0.0</v>
      </c>
      <c r="Z108" s="69">
        <v>0.0</v>
      </c>
      <c r="AA108" s="13">
        <f t="shared" si="28"/>
        <v>0</v>
      </c>
    </row>
    <row r="109" ht="12.75" customHeight="1">
      <c r="A109" s="18"/>
      <c r="B109" s="49"/>
      <c r="C109" s="50" t="s">
        <v>94</v>
      </c>
      <c r="D109" s="51"/>
      <c r="E109" s="69">
        <v>0.0</v>
      </c>
      <c r="F109" s="69">
        <v>0.0</v>
      </c>
      <c r="G109" s="69">
        <v>0.0</v>
      </c>
      <c r="H109" s="69">
        <v>0.0</v>
      </c>
      <c r="I109" s="69">
        <v>0.0</v>
      </c>
      <c r="J109" s="69">
        <v>0.0</v>
      </c>
      <c r="K109" s="69">
        <v>0.0</v>
      </c>
      <c r="L109" s="69">
        <v>0.0</v>
      </c>
      <c r="M109" s="69">
        <v>0.0</v>
      </c>
      <c r="N109" s="69">
        <v>0.0</v>
      </c>
      <c r="O109" s="69">
        <v>0.0</v>
      </c>
      <c r="P109" s="69">
        <v>0.0</v>
      </c>
      <c r="Q109" s="69">
        <v>0.0</v>
      </c>
      <c r="R109" s="69">
        <v>0.0</v>
      </c>
      <c r="S109" s="69">
        <v>0.0</v>
      </c>
      <c r="T109" s="69">
        <v>0.0</v>
      </c>
      <c r="U109" s="69">
        <v>0.0</v>
      </c>
      <c r="V109" s="69">
        <v>0.0</v>
      </c>
      <c r="W109" s="69">
        <v>0.0</v>
      </c>
      <c r="X109" s="69">
        <v>1.0</v>
      </c>
      <c r="Y109" s="69">
        <v>0.0</v>
      </c>
      <c r="Z109" s="69">
        <v>0.0</v>
      </c>
      <c r="AA109" s="13">
        <f t="shared" si="28"/>
        <v>1</v>
      </c>
    </row>
    <row r="110" ht="12.75" customHeight="1">
      <c r="A110" s="18"/>
      <c r="B110" s="49"/>
      <c r="C110" s="50" t="s">
        <v>95</v>
      </c>
      <c r="D110" s="51"/>
      <c r="E110" s="69">
        <v>0.0</v>
      </c>
      <c r="F110" s="69">
        <v>0.0</v>
      </c>
      <c r="G110" s="69">
        <v>0.0</v>
      </c>
      <c r="H110" s="69">
        <v>0.0</v>
      </c>
      <c r="I110" s="69">
        <v>0.0</v>
      </c>
      <c r="J110" s="69">
        <v>0.0</v>
      </c>
      <c r="K110" s="69">
        <v>0.0</v>
      </c>
      <c r="L110" s="69">
        <v>0.0</v>
      </c>
      <c r="M110" s="69">
        <v>0.0</v>
      </c>
      <c r="N110" s="69">
        <v>0.0</v>
      </c>
      <c r="O110" s="69">
        <v>0.0</v>
      </c>
      <c r="P110" s="69">
        <v>0.0</v>
      </c>
      <c r="Q110" s="69">
        <v>0.0</v>
      </c>
      <c r="R110" s="69">
        <v>0.0</v>
      </c>
      <c r="S110" s="69">
        <v>0.0</v>
      </c>
      <c r="T110" s="69">
        <v>0.0</v>
      </c>
      <c r="U110" s="69">
        <v>0.0</v>
      </c>
      <c r="V110" s="69">
        <v>0.0</v>
      </c>
      <c r="W110" s="69">
        <v>0.0</v>
      </c>
      <c r="X110" s="69">
        <v>0.0</v>
      </c>
      <c r="Y110" s="69">
        <v>0.0</v>
      </c>
      <c r="Z110" s="69">
        <v>0.0</v>
      </c>
      <c r="AA110" s="13">
        <f t="shared" si="28"/>
        <v>0</v>
      </c>
    </row>
    <row r="111" ht="12.75" customHeight="1">
      <c r="A111" s="19" t="s">
        <v>15</v>
      </c>
      <c r="B111" s="47" t="s">
        <v>47</v>
      </c>
      <c r="C111" s="15"/>
      <c r="D111" s="16"/>
      <c r="E111" s="56">
        <f t="shared" ref="E111:Z111" si="29">SUM(E103:E110)</f>
        <v>0</v>
      </c>
      <c r="F111" s="56">
        <f t="shared" si="29"/>
        <v>3</v>
      </c>
      <c r="G111" s="56">
        <f t="shared" si="29"/>
        <v>1</v>
      </c>
      <c r="H111" s="56">
        <f t="shared" si="29"/>
        <v>6</v>
      </c>
      <c r="I111" s="56">
        <f t="shared" si="29"/>
        <v>4</v>
      </c>
      <c r="J111" s="56">
        <f t="shared" si="29"/>
        <v>4</v>
      </c>
      <c r="K111" s="56">
        <f t="shared" si="29"/>
        <v>7</v>
      </c>
      <c r="L111" s="56">
        <f t="shared" si="29"/>
        <v>7</v>
      </c>
      <c r="M111" s="56">
        <f t="shared" si="29"/>
        <v>2</v>
      </c>
      <c r="N111" s="56">
        <f t="shared" si="29"/>
        <v>6</v>
      </c>
      <c r="O111" s="56">
        <f t="shared" si="29"/>
        <v>18</v>
      </c>
      <c r="P111" s="56">
        <f t="shared" si="29"/>
        <v>33</v>
      </c>
      <c r="Q111" s="56">
        <f t="shared" si="29"/>
        <v>16</v>
      </c>
      <c r="R111" s="56">
        <f t="shared" si="29"/>
        <v>18</v>
      </c>
      <c r="S111" s="56">
        <f t="shared" si="29"/>
        <v>6</v>
      </c>
      <c r="T111" s="56">
        <f t="shared" si="29"/>
        <v>34</v>
      </c>
      <c r="U111" s="56">
        <f t="shared" si="29"/>
        <v>24</v>
      </c>
      <c r="V111" s="56">
        <f t="shared" si="29"/>
        <v>36</v>
      </c>
      <c r="W111" s="56">
        <f t="shared" si="29"/>
        <v>31</v>
      </c>
      <c r="X111" s="56">
        <f t="shared" si="29"/>
        <v>32</v>
      </c>
      <c r="Y111" s="56">
        <f t="shared" si="29"/>
        <v>15</v>
      </c>
      <c r="Z111" s="56">
        <f t="shared" si="29"/>
        <v>1</v>
      </c>
      <c r="AA111" s="13">
        <f t="shared" si="28"/>
        <v>304</v>
      </c>
    </row>
    <row r="112" ht="12.75" customHeight="1">
      <c r="A112" s="57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13"/>
    </row>
    <row r="113" ht="12.75" customHeight="1">
      <c r="A113" s="30" t="s">
        <v>37</v>
      </c>
      <c r="B113" s="47" t="s">
        <v>96</v>
      </c>
      <c r="C113" s="48" t="s">
        <v>97</v>
      </c>
      <c r="D113" s="16"/>
      <c r="E113" s="69">
        <v>0.0</v>
      </c>
      <c r="F113" s="69">
        <v>0.0</v>
      </c>
      <c r="G113" s="69">
        <v>0.0</v>
      </c>
      <c r="H113" s="69">
        <v>0.0</v>
      </c>
      <c r="I113" s="69">
        <v>0.0</v>
      </c>
      <c r="J113" s="69">
        <v>0.0</v>
      </c>
      <c r="K113" s="69">
        <v>0.0</v>
      </c>
      <c r="L113" s="69">
        <v>0.0</v>
      </c>
      <c r="M113" s="69">
        <v>0.0</v>
      </c>
      <c r="N113" s="69">
        <v>0.0</v>
      </c>
      <c r="O113" s="69">
        <v>0.0</v>
      </c>
      <c r="P113" s="69">
        <v>0.0</v>
      </c>
      <c r="Q113" s="69">
        <v>0.0</v>
      </c>
      <c r="R113" s="69">
        <v>0.0</v>
      </c>
      <c r="S113" s="69">
        <v>0.0</v>
      </c>
      <c r="T113" s="69">
        <v>0.0</v>
      </c>
      <c r="U113" s="69">
        <v>0.0</v>
      </c>
      <c r="V113" s="69">
        <v>0.0</v>
      </c>
      <c r="W113" s="69">
        <v>0.0</v>
      </c>
      <c r="X113" s="69">
        <v>0.0</v>
      </c>
      <c r="Y113" s="69">
        <v>0.0</v>
      </c>
      <c r="Z113" s="69">
        <v>0.0</v>
      </c>
      <c r="AA113" s="13">
        <f t="shared" ref="AA113:AA115" si="30">SUM(E113:Z113)</f>
        <v>0</v>
      </c>
    </row>
    <row r="114" ht="12.75" customHeight="1">
      <c r="A114" s="30" t="s">
        <v>39</v>
      </c>
      <c r="B114" s="47"/>
      <c r="C114" s="50" t="s">
        <v>98</v>
      </c>
      <c r="D114" s="62"/>
      <c r="E114" s="69">
        <v>0.0</v>
      </c>
      <c r="F114" s="69">
        <v>0.0</v>
      </c>
      <c r="G114" s="69">
        <v>0.0</v>
      </c>
      <c r="H114" s="69">
        <v>0.0</v>
      </c>
      <c r="I114" s="69">
        <v>0.0</v>
      </c>
      <c r="J114" s="69">
        <v>0.0</v>
      </c>
      <c r="K114" s="69">
        <v>0.0</v>
      </c>
      <c r="L114" s="69">
        <v>0.0</v>
      </c>
      <c r="M114" s="69">
        <v>0.0</v>
      </c>
      <c r="N114" s="69">
        <v>0.0</v>
      </c>
      <c r="O114" s="69">
        <v>0.0</v>
      </c>
      <c r="P114" s="69">
        <v>0.0</v>
      </c>
      <c r="Q114" s="69">
        <v>1.0</v>
      </c>
      <c r="R114" s="69">
        <v>0.0</v>
      </c>
      <c r="S114" s="69">
        <v>0.0</v>
      </c>
      <c r="T114" s="69">
        <v>0.0</v>
      </c>
      <c r="U114" s="69">
        <v>0.0</v>
      </c>
      <c r="V114" s="69">
        <v>0.0</v>
      </c>
      <c r="W114" s="69">
        <v>0.0</v>
      </c>
      <c r="X114" s="69">
        <v>0.0</v>
      </c>
      <c r="Y114" s="69">
        <v>0.0</v>
      </c>
      <c r="Z114" s="69">
        <v>0.0</v>
      </c>
      <c r="AA114" s="13">
        <f t="shared" si="30"/>
        <v>1</v>
      </c>
    </row>
    <row r="115" ht="12.75" customHeight="1">
      <c r="A115" s="19" t="s">
        <v>15</v>
      </c>
      <c r="B115" s="47" t="s">
        <v>47</v>
      </c>
      <c r="C115" s="15"/>
      <c r="D115" s="16"/>
      <c r="E115" s="56">
        <f t="shared" ref="E115:Z115" si="31">SUM(E113:E114)</f>
        <v>0</v>
      </c>
      <c r="F115" s="56">
        <f t="shared" si="31"/>
        <v>0</v>
      </c>
      <c r="G115" s="56">
        <f t="shared" si="31"/>
        <v>0</v>
      </c>
      <c r="H115" s="56">
        <f t="shared" si="31"/>
        <v>0</v>
      </c>
      <c r="I115" s="56">
        <f t="shared" si="31"/>
        <v>0</v>
      </c>
      <c r="J115" s="56">
        <f t="shared" si="31"/>
        <v>0</v>
      </c>
      <c r="K115" s="56">
        <f t="shared" si="31"/>
        <v>0</v>
      </c>
      <c r="L115" s="56">
        <f t="shared" si="31"/>
        <v>0</v>
      </c>
      <c r="M115" s="56">
        <f t="shared" si="31"/>
        <v>0</v>
      </c>
      <c r="N115" s="56">
        <f t="shared" si="31"/>
        <v>0</v>
      </c>
      <c r="O115" s="56">
        <f t="shared" si="31"/>
        <v>0</v>
      </c>
      <c r="P115" s="56">
        <f t="shared" si="31"/>
        <v>0</v>
      </c>
      <c r="Q115" s="56">
        <f t="shared" si="31"/>
        <v>1</v>
      </c>
      <c r="R115" s="56">
        <f t="shared" si="31"/>
        <v>0</v>
      </c>
      <c r="S115" s="56">
        <f t="shared" si="31"/>
        <v>0</v>
      </c>
      <c r="T115" s="56">
        <f t="shared" si="31"/>
        <v>0</v>
      </c>
      <c r="U115" s="56">
        <f t="shared" si="31"/>
        <v>0</v>
      </c>
      <c r="V115" s="56">
        <f t="shared" si="31"/>
        <v>0</v>
      </c>
      <c r="W115" s="56">
        <f t="shared" si="31"/>
        <v>0</v>
      </c>
      <c r="X115" s="56">
        <f t="shared" si="31"/>
        <v>0</v>
      </c>
      <c r="Y115" s="56">
        <f t="shared" si="31"/>
        <v>0</v>
      </c>
      <c r="Z115" s="56">
        <f t="shared" si="31"/>
        <v>0</v>
      </c>
      <c r="AA115" s="13">
        <f t="shared" si="30"/>
        <v>1</v>
      </c>
    </row>
    <row r="116" ht="12.75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13"/>
    </row>
    <row r="117" ht="12.75" customHeight="1">
      <c r="A117" s="30" t="s">
        <v>37</v>
      </c>
      <c r="B117" s="47" t="s">
        <v>99</v>
      </c>
      <c r="C117" s="48" t="s">
        <v>100</v>
      </c>
      <c r="D117" s="16"/>
      <c r="E117" s="69">
        <v>0.0</v>
      </c>
      <c r="F117" s="69">
        <v>0.0</v>
      </c>
      <c r="G117" s="69">
        <v>0.0</v>
      </c>
      <c r="H117" s="69">
        <v>0.0</v>
      </c>
      <c r="I117" s="69">
        <v>0.0</v>
      </c>
      <c r="J117" s="69">
        <v>0.0</v>
      </c>
      <c r="K117" s="69">
        <v>0.0</v>
      </c>
      <c r="L117" s="69">
        <v>0.0</v>
      </c>
      <c r="M117" s="69">
        <v>0.0</v>
      </c>
      <c r="N117" s="69">
        <v>0.0</v>
      </c>
      <c r="O117" s="69">
        <v>0.0</v>
      </c>
      <c r="P117" s="69">
        <v>0.0</v>
      </c>
      <c r="Q117" s="69">
        <v>0.0</v>
      </c>
      <c r="R117" s="69">
        <v>0.0</v>
      </c>
      <c r="S117" s="69">
        <v>0.0</v>
      </c>
      <c r="T117" s="69">
        <v>0.0</v>
      </c>
      <c r="U117" s="69">
        <v>0.0</v>
      </c>
      <c r="V117" s="69">
        <v>0.0</v>
      </c>
      <c r="W117" s="69">
        <v>1.0</v>
      </c>
      <c r="X117" s="69">
        <v>0.0</v>
      </c>
      <c r="Y117" s="69">
        <v>0.0</v>
      </c>
      <c r="Z117" s="69">
        <v>0.0</v>
      </c>
      <c r="AA117" s="13">
        <f t="shared" ref="AA117:AA125" si="32">SUM(E117:Z117)</f>
        <v>1</v>
      </c>
      <c r="AB117" s="5"/>
      <c r="AC117" s="5"/>
    </row>
    <row r="118" ht="12.75" customHeight="1">
      <c r="A118" s="30" t="s">
        <v>39</v>
      </c>
      <c r="B118" s="49" t="s">
        <v>39</v>
      </c>
      <c r="C118" s="50" t="s">
        <v>101</v>
      </c>
      <c r="D118" s="51"/>
      <c r="E118" s="69">
        <v>0.0</v>
      </c>
      <c r="F118" s="69">
        <v>0.0</v>
      </c>
      <c r="G118" s="69">
        <v>0.0</v>
      </c>
      <c r="H118" s="69">
        <v>0.0</v>
      </c>
      <c r="I118" s="69">
        <v>0.0</v>
      </c>
      <c r="J118" s="69">
        <v>0.0</v>
      </c>
      <c r="K118" s="69">
        <v>0.0</v>
      </c>
      <c r="L118" s="69">
        <v>1.0</v>
      </c>
      <c r="M118" s="69">
        <v>0.0</v>
      </c>
      <c r="N118" s="69">
        <v>0.0</v>
      </c>
      <c r="O118" s="69">
        <v>0.0</v>
      </c>
      <c r="P118" s="69">
        <v>0.0</v>
      </c>
      <c r="Q118" s="69">
        <v>0.0</v>
      </c>
      <c r="R118" s="69">
        <v>1.0</v>
      </c>
      <c r="S118" s="69">
        <v>0.0</v>
      </c>
      <c r="T118" s="69">
        <v>0.0</v>
      </c>
      <c r="U118" s="69">
        <v>0.0</v>
      </c>
      <c r="V118" s="69">
        <v>0.0</v>
      </c>
      <c r="W118" s="69">
        <v>0.0</v>
      </c>
      <c r="X118" s="69">
        <v>0.0</v>
      </c>
      <c r="Y118" s="69">
        <v>0.0</v>
      </c>
      <c r="Z118" s="69">
        <v>0.0</v>
      </c>
      <c r="AA118" s="13">
        <f t="shared" si="32"/>
        <v>2</v>
      </c>
      <c r="AB118" s="5"/>
      <c r="AC118" s="5"/>
    </row>
    <row r="119" ht="12.75" customHeight="1">
      <c r="A119" s="18"/>
      <c r="B119" s="49"/>
      <c r="C119" s="50" t="s">
        <v>102</v>
      </c>
      <c r="D119" s="51"/>
      <c r="E119" s="69">
        <v>0.0</v>
      </c>
      <c r="F119" s="69">
        <v>0.0</v>
      </c>
      <c r="G119" s="69">
        <v>0.0</v>
      </c>
      <c r="H119" s="69">
        <v>0.0</v>
      </c>
      <c r="I119" s="69">
        <v>0.0</v>
      </c>
      <c r="J119" s="69">
        <v>0.0</v>
      </c>
      <c r="K119" s="69">
        <v>0.0</v>
      </c>
      <c r="L119" s="69">
        <v>0.0</v>
      </c>
      <c r="M119" s="69">
        <v>0.0</v>
      </c>
      <c r="N119" s="69">
        <v>0.0</v>
      </c>
      <c r="O119" s="69">
        <v>0.0</v>
      </c>
      <c r="P119" s="69">
        <v>0.0</v>
      </c>
      <c r="Q119" s="69">
        <v>0.0</v>
      </c>
      <c r="R119" s="69">
        <v>0.0</v>
      </c>
      <c r="S119" s="69">
        <v>0.0</v>
      </c>
      <c r="T119" s="69">
        <v>0.0</v>
      </c>
      <c r="U119" s="69">
        <v>0.0</v>
      </c>
      <c r="V119" s="69">
        <v>0.0</v>
      </c>
      <c r="W119" s="69">
        <v>0.0</v>
      </c>
      <c r="X119" s="69">
        <v>0.0</v>
      </c>
      <c r="Y119" s="69">
        <v>0.0</v>
      </c>
      <c r="Z119" s="69">
        <v>0.0</v>
      </c>
      <c r="AA119" s="13">
        <f t="shared" si="32"/>
        <v>0</v>
      </c>
      <c r="AB119" s="5"/>
      <c r="AC119" s="5"/>
    </row>
    <row r="120" ht="12.75" customHeight="1">
      <c r="A120" s="18"/>
      <c r="B120" s="49"/>
      <c r="C120" s="50" t="s">
        <v>103</v>
      </c>
      <c r="D120" s="51"/>
      <c r="E120" s="69">
        <v>0.0</v>
      </c>
      <c r="F120" s="69">
        <v>0.0</v>
      </c>
      <c r="G120" s="69">
        <v>0.0</v>
      </c>
      <c r="H120" s="69">
        <v>0.0</v>
      </c>
      <c r="I120" s="69">
        <v>0.0</v>
      </c>
      <c r="J120" s="69">
        <v>0.0</v>
      </c>
      <c r="K120" s="69">
        <v>0.0</v>
      </c>
      <c r="L120" s="69">
        <v>0.0</v>
      </c>
      <c r="M120" s="69">
        <v>0.0</v>
      </c>
      <c r="N120" s="69">
        <v>0.0</v>
      </c>
      <c r="O120" s="69">
        <v>0.0</v>
      </c>
      <c r="P120" s="69">
        <v>0.0</v>
      </c>
      <c r="Q120" s="69">
        <v>0.0</v>
      </c>
      <c r="R120" s="69">
        <v>0.0</v>
      </c>
      <c r="S120" s="69">
        <v>0.0</v>
      </c>
      <c r="T120" s="69">
        <v>0.0</v>
      </c>
      <c r="U120" s="69">
        <v>0.0</v>
      </c>
      <c r="V120" s="69">
        <v>0.0</v>
      </c>
      <c r="W120" s="69">
        <v>0.0</v>
      </c>
      <c r="X120" s="69">
        <v>0.0</v>
      </c>
      <c r="Y120" s="69">
        <v>0.0</v>
      </c>
      <c r="Z120" s="69">
        <v>0.0</v>
      </c>
      <c r="AA120" s="13">
        <f t="shared" si="32"/>
        <v>0</v>
      </c>
      <c r="AB120" s="5"/>
      <c r="AC120" s="5"/>
    </row>
    <row r="121" ht="12.75" customHeight="1">
      <c r="A121" s="18"/>
      <c r="B121" s="49"/>
      <c r="C121" s="50" t="s">
        <v>104</v>
      </c>
      <c r="D121" s="51"/>
      <c r="E121" s="69">
        <v>0.0</v>
      </c>
      <c r="F121" s="69">
        <v>0.0</v>
      </c>
      <c r="G121" s="69">
        <v>0.0</v>
      </c>
      <c r="H121" s="69">
        <v>0.0</v>
      </c>
      <c r="I121" s="69">
        <v>0.0</v>
      </c>
      <c r="J121" s="69">
        <v>0.0</v>
      </c>
      <c r="K121" s="69">
        <v>0.0</v>
      </c>
      <c r="L121" s="69">
        <v>0.0</v>
      </c>
      <c r="M121" s="69">
        <v>0.0</v>
      </c>
      <c r="N121" s="69">
        <v>0.0</v>
      </c>
      <c r="O121" s="69">
        <v>0.0</v>
      </c>
      <c r="P121" s="69">
        <v>0.0</v>
      </c>
      <c r="Q121" s="69">
        <v>0.0</v>
      </c>
      <c r="R121" s="69">
        <v>0.0</v>
      </c>
      <c r="S121" s="69">
        <v>0.0</v>
      </c>
      <c r="T121" s="69">
        <v>0.0</v>
      </c>
      <c r="U121" s="69">
        <v>0.0</v>
      </c>
      <c r="V121" s="69">
        <v>1.0</v>
      </c>
      <c r="W121" s="69">
        <v>1.0</v>
      </c>
      <c r="X121" s="69">
        <v>0.0</v>
      </c>
      <c r="Y121" s="69">
        <v>0.0</v>
      </c>
      <c r="Z121" s="69">
        <v>2.0</v>
      </c>
      <c r="AA121" s="13">
        <f t="shared" si="32"/>
        <v>4</v>
      </c>
      <c r="AB121" s="5"/>
      <c r="AC121" s="5"/>
    </row>
    <row r="122" ht="12.75" customHeight="1">
      <c r="A122" s="18"/>
      <c r="B122" s="49"/>
      <c r="C122" s="50" t="s">
        <v>105</v>
      </c>
      <c r="D122" s="51"/>
      <c r="E122" s="69">
        <v>0.0</v>
      </c>
      <c r="F122" s="69">
        <v>0.0</v>
      </c>
      <c r="G122" s="69">
        <v>0.0</v>
      </c>
      <c r="H122" s="69">
        <v>0.0</v>
      </c>
      <c r="I122" s="69">
        <v>0.0</v>
      </c>
      <c r="J122" s="69">
        <v>0.0</v>
      </c>
      <c r="K122" s="69">
        <v>0.0</v>
      </c>
      <c r="L122" s="69">
        <v>0.0</v>
      </c>
      <c r="M122" s="69">
        <v>0.0</v>
      </c>
      <c r="N122" s="69">
        <v>0.0</v>
      </c>
      <c r="O122" s="69">
        <v>0.0</v>
      </c>
      <c r="P122" s="69">
        <v>0.0</v>
      </c>
      <c r="Q122" s="69">
        <v>0.0</v>
      </c>
      <c r="R122" s="69">
        <v>0.0</v>
      </c>
      <c r="S122" s="69">
        <v>0.0</v>
      </c>
      <c r="T122" s="69">
        <v>0.0</v>
      </c>
      <c r="U122" s="69">
        <v>0.0</v>
      </c>
      <c r="V122" s="69">
        <v>0.0</v>
      </c>
      <c r="W122" s="69">
        <v>0.0</v>
      </c>
      <c r="X122" s="69">
        <v>0.0</v>
      </c>
      <c r="Y122" s="69">
        <v>0.0</v>
      </c>
      <c r="Z122" s="69">
        <v>0.0</v>
      </c>
      <c r="AA122" s="13">
        <f t="shared" si="32"/>
        <v>0</v>
      </c>
      <c r="AB122" s="5"/>
      <c r="AC122" s="5"/>
    </row>
    <row r="123" ht="12.75" customHeight="1">
      <c r="A123" s="18"/>
      <c r="B123" s="49"/>
      <c r="C123" s="50" t="s">
        <v>106</v>
      </c>
      <c r="D123" s="51"/>
      <c r="E123" s="69">
        <v>0.0</v>
      </c>
      <c r="F123" s="69">
        <v>0.0</v>
      </c>
      <c r="G123" s="69">
        <v>0.0</v>
      </c>
      <c r="H123" s="69">
        <v>0.0</v>
      </c>
      <c r="I123" s="69">
        <v>0.0</v>
      </c>
      <c r="J123" s="69">
        <v>0.0</v>
      </c>
      <c r="K123" s="69">
        <v>0.0</v>
      </c>
      <c r="L123" s="69">
        <v>0.0</v>
      </c>
      <c r="M123" s="69">
        <v>0.0</v>
      </c>
      <c r="N123" s="69">
        <v>0.0</v>
      </c>
      <c r="O123" s="69">
        <v>0.0</v>
      </c>
      <c r="P123" s="69">
        <v>0.0</v>
      </c>
      <c r="Q123" s="69">
        <v>0.0</v>
      </c>
      <c r="R123" s="69">
        <v>0.0</v>
      </c>
      <c r="S123" s="69">
        <v>0.0</v>
      </c>
      <c r="T123" s="69">
        <v>0.0</v>
      </c>
      <c r="U123" s="69">
        <v>0.0</v>
      </c>
      <c r="V123" s="69">
        <v>0.0</v>
      </c>
      <c r="W123" s="69">
        <v>0.0</v>
      </c>
      <c r="X123" s="69">
        <v>0.0</v>
      </c>
      <c r="Y123" s="69">
        <v>0.0</v>
      </c>
      <c r="Z123" s="69">
        <v>0.0</v>
      </c>
      <c r="AA123" s="13">
        <f t="shared" si="32"/>
        <v>0</v>
      </c>
      <c r="AB123" s="5"/>
      <c r="AC123" s="5"/>
    </row>
    <row r="124" ht="12.75" customHeight="1">
      <c r="A124" s="18"/>
      <c r="B124" s="49"/>
      <c r="C124" s="50" t="s">
        <v>107</v>
      </c>
      <c r="D124" s="51"/>
      <c r="E124" s="69">
        <v>0.0</v>
      </c>
      <c r="F124" s="69">
        <v>0.0</v>
      </c>
      <c r="G124" s="69">
        <v>0.0</v>
      </c>
      <c r="H124" s="69">
        <v>1.0</v>
      </c>
      <c r="I124" s="69">
        <v>0.0</v>
      </c>
      <c r="J124" s="69">
        <v>0.0</v>
      </c>
      <c r="K124" s="69">
        <v>0.0</v>
      </c>
      <c r="L124" s="69">
        <v>0.0</v>
      </c>
      <c r="M124" s="69">
        <v>0.0</v>
      </c>
      <c r="N124" s="69">
        <v>0.0</v>
      </c>
      <c r="O124" s="69">
        <v>0.0</v>
      </c>
      <c r="P124" s="69">
        <v>0.0</v>
      </c>
      <c r="Q124" s="69">
        <v>0.0</v>
      </c>
      <c r="R124" s="69">
        <v>0.0</v>
      </c>
      <c r="S124" s="69">
        <v>0.0</v>
      </c>
      <c r="T124" s="69">
        <v>0.0</v>
      </c>
      <c r="U124" s="69">
        <v>0.0</v>
      </c>
      <c r="V124" s="69">
        <v>0.0</v>
      </c>
      <c r="W124" s="69">
        <v>0.0</v>
      </c>
      <c r="X124" s="69">
        <v>0.0</v>
      </c>
      <c r="Y124" s="69">
        <v>0.0</v>
      </c>
      <c r="Z124" s="69">
        <v>0.0</v>
      </c>
      <c r="AA124" s="13">
        <f t="shared" si="32"/>
        <v>1</v>
      </c>
      <c r="AB124" s="5"/>
      <c r="AC124" s="5"/>
    </row>
    <row r="125" ht="12.75" customHeight="1">
      <c r="A125" s="19" t="s">
        <v>15</v>
      </c>
      <c r="B125" s="47" t="s">
        <v>47</v>
      </c>
      <c r="C125" s="15"/>
      <c r="D125" s="16"/>
      <c r="E125" s="56">
        <f t="shared" ref="E125:Z125" si="33">SUM(E117:E124)</f>
        <v>0</v>
      </c>
      <c r="F125" s="56">
        <f t="shared" si="33"/>
        <v>0</v>
      </c>
      <c r="G125" s="56">
        <f t="shared" si="33"/>
        <v>0</v>
      </c>
      <c r="H125" s="56">
        <f t="shared" si="33"/>
        <v>1</v>
      </c>
      <c r="I125" s="56">
        <f t="shared" si="33"/>
        <v>0</v>
      </c>
      <c r="J125" s="56">
        <f t="shared" si="33"/>
        <v>0</v>
      </c>
      <c r="K125" s="56">
        <f t="shared" si="33"/>
        <v>0</v>
      </c>
      <c r="L125" s="56">
        <f t="shared" si="33"/>
        <v>1</v>
      </c>
      <c r="M125" s="56">
        <f t="shared" si="33"/>
        <v>0</v>
      </c>
      <c r="N125" s="56">
        <f t="shared" si="33"/>
        <v>0</v>
      </c>
      <c r="O125" s="56">
        <f t="shared" si="33"/>
        <v>0</v>
      </c>
      <c r="P125" s="56">
        <f t="shared" si="33"/>
        <v>0</v>
      </c>
      <c r="Q125" s="56">
        <f t="shared" si="33"/>
        <v>0</v>
      </c>
      <c r="R125" s="56">
        <f t="shared" si="33"/>
        <v>1</v>
      </c>
      <c r="S125" s="56">
        <f t="shared" si="33"/>
        <v>0</v>
      </c>
      <c r="T125" s="56">
        <f t="shared" si="33"/>
        <v>0</v>
      </c>
      <c r="U125" s="56">
        <f t="shared" si="33"/>
        <v>0</v>
      </c>
      <c r="V125" s="56">
        <f t="shared" si="33"/>
        <v>1</v>
      </c>
      <c r="W125" s="56">
        <f t="shared" si="33"/>
        <v>2</v>
      </c>
      <c r="X125" s="56">
        <f t="shared" si="33"/>
        <v>0</v>
      </c>
      <c r="Y125" s="56">
        <f t="shared" si="33"/>
        <v>0</v>
      </c>
      <c r="Z125" s="56">
        <f t="shared" si="33"/>
        <v>2</v>
      </c>
      <c r="AA125" s="13">
        <f t="shared" si="32"/>
        <v>8</v>
      </c>
      <c r="AB125" s="5"/>
      <c r="AC125" s="5"/>
    </row>
    <row r="126" ht="12.75" customHeight="1">
      <c r="A126" s="57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13"/>
      <c r="AB126" s="5"/>
      <c r="AC126" s="5"/>
    </row>
    <row r="127" ht="15.0" customHeight="1">
      <c r="A127" s="30" t="s">
        <v>37</v>
      </c>
      <c r="B127" s="47" t="s">
        <v>108</v>
      </c>
      <c r="C127" s="48" t="s">
        <v>109</v>
      </c>
      <c r="D127" s="16"/>
      <c r="E127" s="69">
        <v>0.0</v>
      </c>
      <c r="F127" s="69">
        <v>0.0</v>
      </c>
      <c r="G127" s="69">
        <v>0.0</v>
      </c>
      <c r="H127" s="69">
        <v>0.0</v>
      </c>
      <c r="I127" s="69">
        <v>0.0</v>
      </c>
      <c r="J127" s="69">
        <v>0.0</v>
      </c>
      <c r="K127" s="69">
        <v>0.0</v>
      </c>
      <c r="L127" s="69">
        <v>0.0</v>
      </c>
      <c r="M127" s="69">
        <v>0.0</v>
      </c>
      <c r="N127" s="69">
        <v>0.0</v>
      </c>
      <c r="O127" s="69">
        <v>2.0</v>
      </c>
      <c r="P127" s="69">
        <v>0.0</v>
      </c>
      <c r="Q127" s="69">
        <v>0.0</v>
      </c>
      <c r="R127" s="69">
        <v>1.0</v>
      </c>
      <c r="S127" s="69">
        <v>1.0</v>
      </c>
      <c r="T127" s="69">
        <v>0.0</v>
      </c>
      <c r="U127" s="69">
        <v>0.0</v>
      </c>
      <c r="V127" s="69">
        <v>0.0</v>
      </c>
      <c r="W127" s="69">
        <v>0.0</v>
      </c>
      <c r="X127" s="69">
        <v>1.0</v>
      </c>
      <c r="Y127" s="69">
        <v>0.0</v>
      </c>
      <c r="Z127" s="69">
        <v>1.0</v>
      </c>
      <c r="AA127" s="13">
        <f t="shared" ref="AA127:AA129" si="34">SUM(E127:Z127)</f>
        <v>6</v>
      </c>
      <c r="AB127" s="5"/>
      <c r="AC127" s="5"/>
    </row>
    <row r="128" ht="12.75" customHeight="1">
      <c r="A128" s="30" t="s">
        <v>39</v>
      </c>
      <c r="B128" s="49"/>
      <c r="C128" s="50"/>
      <c r="D128" s="51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3">
        <f t="shared" si="34"/>
        <v>0</v>
      </c>
      <c r="AB128" s="5"/>
      <c r="AC128" s="5"/>
    </row>
    <row r="129" ht="12.75" customHeight="1">
      <c r="A129" s="19" t="s">
        <v>15</v>
      </c>
      <c r="B129" s="47" t="s">
        <v>47</v>
      </c>
      <c r="C129" s="15"/>
      <c r="D129" s="16"/>
      <c r="E129" s="56">
        <f t="shared" ref="E129:Z129" si="35">SUM(E127:E128)</f>
        <v>0</v>
      </c>
      <c r="F129" s="56">
        <f t="shared" si="35"/>
        <v>0</v>
      </c>
      <c r="G129" s="56">
        <f t="shared" si="35"/>
        <v>0</v>
      </c>
      <c r="H129" s="56">
        <f t="shared" si="35"/>
        <v>0</v>
      </c>
      <c r="I129" s="56">
        <f t="shared" si="35"/>
        <v>0</v>
      </c>
      <c r="J129" s="56">
        <f t="shared" si="35"/>
        <v>0</v>
      </c>
      <c r="K129" s="56">
        <f t="shared" si="35"/>
        <v>0</v>
      </c>
      <c r="L129" s="56">
        <f t="shared" si="35"/>
        <v>0</v>
      </c>
      <c r="M129" s="56">
        <f t="shared" si="35"/>
        <v>0</v>
      </c>
      <c r="N129" s="56">
        <f t="shared" si="35"/>
        <v>0</v>
      </c>
      <c r="O129" s="56">
        <f t="shared" si="35"/>
        <v>2</v>
      </c>
      <c r="P129" s="56">
        <f t="shared" si="35"/>
        <v>0</v>
      </c>
      <c r="Q129" s="56">
        <f t="shared" si="35"/>
        <v>0</v>
      </c>
      <c r="R129" s="56">
        <f t="shared" si="35"/>
        <v>1</v>
      </c>
      <c r="S129" s="56">
        <f t="shared" si="35"/>
        <v>1</v>
      </c>
      <c r="T129" s="56">
        <f t="shared" si="35"/>
        <v>0</v>
      </c>
      <c r="U129" s="56">
        <f t="shared" si="35"/>
        <v>0</v>
      </c>
      <c r="V129" s="56">
        <f t="shared" si="35"/>
        <v>0</v>
      </c>
      <c r="W129" s="56">
        <f t="shared" si="35"/>
        <v>0</v>
      </c>
      <c r="X129" s="56">
        <f t="shared" si="35"/>
        <v>1</v>
      </c>
      <c r="Y129" s="56">
        <f t="shared" si="35"/>
        <v>0</v>
      </c>
      <c r="Z129" s="56">
        <f t="shared" si="35"/>
        <v>1</v>
      </c>
      <c r="AA129" s="13">
        <f t="shared" si="34"/>
        <v>6</v>
      </c>
      <c r="AB129" s="5"/>
      <c r="AC129" s="5"/>
    </row>
    <row r="130" ht="12.75" customHeight="1">
      <c r="A130" s="57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13"/>
      <c r="AB130" s="1"/>
      <c r="AC130" s="1"/>
    </row>
    <row r="131" ht="12.75" customHeight="1">
      <c r="A131" s="30" t="s">
        <v>37</v>
      </c>
      <c r="B131" s="47" t="s">
        <v>110</v>
      </c>
      <c r="C131" s="48" t="s">
        <v>111</v>
      </c>
      <c r="D131" s="16"/>
      <c r="E131" s="69">
        <v>1.0</v>
      </c>
      <c r="F131" s="69">
        <v>1.0</v>
      </c>
      <c r="G131" s="69">
        <v>0.0</v>
      </c>
      <c r="H131" s="69">
        <v>0.0</v>
      </c>
      <c r="I131" s="69">
        <v>0.0</v>
      </c>
      <c r="J131" s="69">
        <v>0.0</v>
      </c>
      <c r="K131" s="69">
        <v>2.0</v>
      </c>
      <c r="L131" s="69">
        <v>1.0</v>
      </c>
      <c r="M131" s="69">
        <v>0.0</v>
      </c>
      <c r="N131" s="69">
        <v>0.0</v>
      </c>
      <c r="O131" s="69">
        <v>2.0</v>
      </c>
      <c r="P131" s="69">
        <v>3.0</v>
      </c>
      <c r="Q131" s="69">
        <v>2.0</v>
      </c>
      <c r="R131" s="69">
        <v>1.0</v>
      </c>
      <c r="S131" s="69">
        <v>3.0</v>
      </c>
      <c r="T131" s="69">
        <v>0.0</v>
      </c>
      <c r="U131" s="69">
        <v>2.0</v>
      </c>
      <c r="V131" s="69">
        <v>1.0</v>
      </c>
      <c r="W131" s="69">
        <v>0.0</v>
      </c>
      <c r="X131" s="69">
        <v>0.0</v>
      </c>
      <c r="Y131" s="69">
        <v>0.0</v>
      </c>
      <c r="Z131" s="69">
        <v>0.0</v>
      </c>
      <c r="AA131" s="13">
        <f t="shared" ref="AA131:AA136" si="36">SUM(E131:Z131)</f>
        <v>19</v>
      </c>
      <c r="AB131" s="53"/>
      <c r="AC131" s="53"/>
    </row>
    <row r="132" ht="12.75" customHeight="1">
      <c r="A132" s="30" t="s">
        <v>39</v>
      </c>
      <c r="B132" s="49"/>
      <c r="C132" s="50" t="s">
        <v>112</v>
      </c>
      <c r="D132" s="51"/>
      <c r="E132" s="69">
        <v>2.0</v>
      </c>
      <c r="F132" s="69">
        <v>0.0</v>
      </c>
      <c r="G132" s="69">
        <v>0.0</v>
      </c>
      <c r="H132" s="69">
        <v>0.0</v>
      </c>
      <c r="I132" s="69">
        <v>0.0</v>
      </c>
      <c r="J132" s="69">
        <v>0.0</v>
      </c>
      <c r="K132" s="69">
        <v>0.0</v>
      </c>
      <c r="L132" s="69">
        <v>1.0</v>
      </c>
      <c r="M132" s="69">
        <v>0.0</v>
      </c>
      <c r="N132" s="69">
        <v>2.0</v>
      </c>
      <c r="O132" s="69">
        <v>0.0</v>
      </c>
      <c r="P132" s="69">
        <v>1.0</v>
      </c>
      <c r="Q132" s="69">
        <v>3.0</v>
      </c>
      <c r="R132" s="69">
        <v>1.0</v>
      </c>
      <c r="S132" s="69">
        <v>1.0</v>
      </c>
      <c r="T132" s="69">
        <v>0.0</v>
      </c>
      <c r="U132" s="69">
        <v>1.0</v>
      </c>
      <c r="V132" s="69">
        <v>2.0</v>
      </c>
      <c r="W132" s="69">
        <v>1.0</v>
      </c>
      <c r="X132" s="69">
        <v>0.0</v>
      </c>
      <c r="Y132" s="69">
        <v>0.0</v>
      </c>
      <c r="Z132" s="69">
        <v>2.0</v>
      </c>
      <c r="AA132" s="13">
        <f t="shared" si="36"/>
        <v>17</v>
      </c>
      <c r="AB132" s="5"/>
      <c r="AC132" s="5"/>
    </row>
    <row r="133" ht="12.75" customHeight="1">
      <c r="A133" s="18"/>
      <c r="B133" s="49"/>
      <c r="C133" s="50" t="s">
        <v>113</v>
      </c>
      <c r="D133" s="51"/>
      <c r="E133" s="69">
        <v>0.0</v>
      </c>
      <c r="F133" s="69">
        <v>0.0</v>
      </c>
      <c r="G133" s="69">
        <v>0.0</v>
      </c>
      <c r="H133" s="69">
        <v>0.0</v>
      </c>
      <c r="I133" s="69">
        <v>0.0</v>
      </c>
      <c r="J133" s="69">
        <v>0.0</v>
      </c>
      <c r="K133" s="69">
        <v>1.0</v>
      </c>
      <c r="L133" s="69">
        <v>0.0</v>
      </c>
      <c r="M133" s="69">
        <v>0.0</v>
      </c>
      <c r="N133" s="69">
        <v>1.0</v>
      </c>
      <c r="O133" s="69">
        <v>2.0</v>
      </c>
      <c r="P133" s="69">
        <v>1.0</v>
      </c>
      <c r="Q133" s="69">
        <v>0.0</v>
      </c>
      <c r="R133" s="69">
        <v>1.0</v>
      </c>
      <c r="S133" s="69">
        <v>0.0</v>
      </c>
      <c r="T133" s="69">
        <v>0.0</v>
      </c>
      <c r="U133" s="69">
        <v>1.0</v>
      </c>
      <c r="V133" s="69">
        <v>1.0</v>
      </c>
      <c r="W133" s="69">
        <v>2.0</v>
      </c>
      <c r="X133" s="69">
        <v>0.0</v>
      </c>
      <c r="Y133" s="69">
        <v>0.0</v>
      </c>
      <c r="Z133" s="69">
        <v>0.0</v>
      </c>
      <c r="AA133" s="13">
        <f t="shared" si="36"/>
        <v>10</v>
      </c>
      <c r="AB133" s="5"/>
      <c r="AC133" s="5"/>
    </row>
    <row r="134" ht="12.75" customHeight="1">
      <c r="A134" s="18"/>
      <c r="B134" s="49"/>
      <c r="C134" s="50" t="s">
        <v>114</v>
      </c>
      <c r="D134" s="51"/>
      <c r="E134" s="69">
        <v>0.0</v>
      </c>
      <c r="F134" s="69">
        <v>0.0</v>
      </c>
      <c r="G134" s="69">
        <v>0.0</v>
      </c>
      <c r="H134" s="69">
        <v>0.0</v>
      </c>
      <c r="I134" s="69">
        <v>0.0</v>
      </c>
      <c r="J134" s="69">
        <v>0.0</v>
      </c>
      <c r="K134" s="69">
        <v>0.0</v>
      </c>
      <c r="L134" s="69">
        <v>1.0</v>
      </c>
      <c r="M134" s="69">
        <v>0.0</v>
      </c>
      <c r="N134" s="69">
        <v>0.0</v>
      </c>
      <c r="O134" s="69">
        <v>1.0</v>
      </c>
      <c r="P134" s="69">
        <v>0.0</v>
      </c>
      <c r="Q134" s="69">
        <v>1.0</v>
      </c>
      <c r="R134" s="69">
        <v>0.0</v>
      </c>
      <c r="S134" s="69">
        <v>0.0</v>
      </c>
      <c r="T134" s="69">
        <v>0.0</v>
      </c>
      <c r="U134" s="69">
        <v>0.0</v>
      </c>
      <c r="V134" s="69">
        <v>0.0</v>
      </c>
      <c r="W134" s="69">
        <v>0.0</v>
      </c>
      <c r="X134" s="69">
        <v>0.0</v>
      </c>
      <c r="Y134" s="69">
        <v>0.0</v>
      </c>
      <c r="Z134" s="69">
        <v>0.0</v>
      </c>
      <c r="AA134" s="13">
        <f t="shared" si="36"/>
        <v>3</v>
      </c>
      <c r="AB134" s="5"/>
      <c r="AC134" s="5"/>
    </row>
    <row r="135" ht="12.75" customHeight="1">
      <c r="A135" s="18"/>
      <c r="B135" s="49"/>
      <c r="C135" s="50" t="s">
        <v>115</v>
      </c>
      <c r="D135" s="51"/>
      <c r="E135" s="69">
        <v>0.0</v>
      </c>
      <c r="F135" s="69">
        <v>0.0</v>
      </c>
      <c r="G135" s="69">
        <v>0.0</v>
      </c>
      <c r="H135" s="69">
        <v>0.0</v>
      </c>
      <c r="I135" s="69">
        <v>0.0</v>
      </c>
      <c r="J135" s="69">
        <v>0.0</v>
      </c>
      <c r="K135" s="69">
        <v>0.0</v>
      </c>
      <c r="L135" s="69">
        <v>0.0</v>
      </c>
      <c r="M135" s="69">
        <v>0.0</v>
      </c>
      <c r="N135" s="69">
        <v>0.0</v>
      </c>
      <c r="O135" s="69">
        <v>0.0</v>
      </c>
      <c r="P135" s="69">
        <v>0.0</v>
      </c>
      <c r="Q135" s="69">
        <v>0.0</v>
      </c>
      <c r="R135" s="69">
        <v>0.0</v>
      </c>
      <c r="S135" s="69">
        <v>0.0</v>
      </c>
      <c r="T135" s="69">
        <v>0.0</v>
      </c>
      <c r="U135" s="69">
        <v>0.0</v>
      </c>
      <c r="V135" s="69">
        <v>0.0</v>
      </c>
      <c r="W135" s="69">
        <v>0.0</v>
      </c>
      <c r="X135" s="69">
        <v>0.0</v>
      </c>
      <c r="Y135" s="69">
        <v>0.0</v>
      </c>
      <c r="Z135" s="69">
        <v>0.0</v>
      </c>
      <c r="AA135" s="13">
        <f t="shared" si="36"/>
        <v>0</v>
      </c>
      <c r="AB135" s="5"/>
      <c r="AC135" s="5"/>
    </row>
    <row r="136" ht="12.75" customHeight="1">
      <c r="A136" s="19" t="s">
        <v>15</v>
      </c>
      <c r="B136" s="47" t="s">
        <v>47</v>
      </c>
      <c r="C136" s="15"/>
      <c r="D136" s="16"/>
      <c r="E136" s="56">
        <f t="shared" ref="E136:Z136" si="37">SUM(E131:E135)</f>
        <v>3</v>
      </c>
      <c r="F136" s="56">
        <f t="shared" si="37"/>
        <v>1</v>
      </c>
      <c r="G136" s="56">
        <f t="shared" si="37"/>
        <v>0</v>
      </c>
      <c r="H136" s="56">
        <f t="shared" si="37"/>
        <v>0</v>
      </c>
      <c r="I136" s="56">
        <f t="shared" si="37"/>
        <v>0</v>
      </c>
      <c r="J136" s="56">
        <f t="shared" si="37"/>
        <v>0</v>
      </c>
      <c r="K136" s="56">
        <f t="shared" si="37"/>
        <v>3</v>
      </c>
      <c r="L136" s="56">
        <f t="shared" si="37"/>
        <v>3</v>
      </c>
      <c r="M136" s="56">
        <f t="shared" si="37"/>
        <v>0</v>
      </c>
      <c r="N136" s="56">
        <f t="shared" si="37"/>
        <v>3</v>
      </c>
      <c r="O136" s="56">
        <f t="shared" si="37"/>
        <v>5</v>
      </c>
      <c r="P136" s="56">
        <f t="shared" si="37"/>
        <v>5</v>
      </c>
      <c r="Q136" s="56">
        <f t="shared" si="37"/>
        <v>6</v>
      </c>
      <c r="R136" s="56">
        <f t="shared" si="37"/>
        <v>3</v>
      </c>
      <c r="S136" s="56">
        <f t="shared" si="37"/>
        <v>4</v>
      </c>
      <c r="T136" s="56">
        <f t="shared" si="37"/>
        <v>0</v>
      </c>
      <c r="U136" s="56">
        <f t="shared" si="37"/>
        <v>4</v>
      </c>
      <c r="V136" s="56">
        <f t="shared" si="37"/>
        <v>4</v>
      </c>
      <c r="W136" s="56">
        <f t="shared" si="37"/>
        <v>3</v>
      </c>
      <c r="X136" s="56">
        <f t="shared" si="37"/>
        <v>0</v>
      </c>
      <c r="Y136" s="56">
        <f t="shared" si="37"/>
        <v>0</v>
      </c>
      <c r="Z136" s="56">
        <f t="shared" si="37"/>
        <v>2</v>
      </c>
      <c r="AA136" s="13">
        <f t="shared" si="36"/>
        <v>49</v>
      </c>
      <c r="AB136" s="5"/>
      <c r="AC136" s="5"/>
    </row>
    <row r="137" ht="12.75" customHeight="1">
      <c r="A137" s="57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13"/>
      <c r="AB137" s="5"/>
      <c r="AC137" s="5"/>
    </row>
    <row r="138" ht="12.75" customHeight="1">
      <c r="A138" s="30" t="s">
        <v>37</v>
      </c>
      <c r="B138" s="47" t="s">
        <v>116</v>
      </c>
      <c r="C138" s="48" t="s">
        <v>117</v>
      </c>
      <c r="D138" s="16"/>
      <c r="E138" s="69">
        <v>0.0</v>
      </c>
      <c r="F138" s="69">
        <v>0.0</v>
      </c>
      <c r="G138" s="69">
        <v>0.0</v>
      </c>
      <c r="H138" s="69">
        <v>0.0</v>
      </c>
      <c r="I138" s="69">
        <v>0.0</v>
      </c>
      <c r="J138" s="69">
        <v>0.0</v>
      </c>
      <c r="K138" s="69">
        <v>0.0</v>
      </c>
      <c r="L138" s="69">
        <v>0.0</v>
      </c>
      <c r="M138" s="69">
        <v>0.0</v>
      </c>
      <c r="N138" s="69">
        <v>0.0</v>
      </c>
      <c r="O138" s="69">
        <v>0.0</v>
      </c>
      <c r="P138" s="69">
        <v>0.0</v>
      </c>
      <c r="Q138" s="69">
        <v>0.0</v>
      </c>
      <c r="R138" s="69">
        <v>0.0</v>
      </c>
      <c r="S138" s="69">
        <v>0.0</v>
      </c>
      <c r="T138" s="69">
        <v>0.0</v>
      </c>
      <c r="U138" s="69">
        <v>0.0</v>
      </c>
      <c r="V138" s="69">
        <v>0.0</v>
      </c>
      <c r="W138" s="69">
        <v>0.0</v>
      </c>
      <c r="X138" s="69">
        <v>0.0</v>
      </c>
      <c r="Y138" s="69">
        <v>0.0</v>
      </c>
      <c r="Z138" s="69">
        <v>1.0</v>
      </c>
      <c r="AA138" s="13">
        <f t="shared" ref="AA138:AA146" si="38">SUM(E138:Z138)</f>
        <v>1</v>
      </c>
      <c r="AB138" s="5"/>
      <c r="AC138" s="5"/>
    </row>
    <row r="139" ht="15.0" customHeight="1">
      <c r="A139" s="30" t="s">
        <v>39</v>
      </c>
      <c r="B139" s="49"/>
      <c r="C139" s="50" t="s">
        <v>118</v>
      </c>
      <c r="D139" s="51"/>
      <c r="E139" s="69">
        <v>0.0</v>
      </c>
      <c r="F139" s="69">
        <v>0.0</v>
      </c>
      <c r="G139" s="69">
        <v>0.0</v>
      </c>
      <c r="H139" s="69">
        <v>0.0</v>
      </c>
      <c r="I139" s="69">
        <v>0.0</v>
      </c>
      <c r="J139" s="69">
        <v>0.0</v>
      </c>
      <c r="K139" s="69">
        <v>0.0</v>
      </c>
      <c r="L139" s="69">
        <v>0.0</v>
      </c>
      <c r="M139" s="69">
        <v>0.0</v>
      </c>
      <c r="N139" s="69">
        <v>0.0</v>
      </c>
      <c r="O139" s="69">
        <v>0.0</v>
      </c>
      <c r="P139" s="69">
        <v>0.0</v>
      </c>
      <c r="Q139" s="69">
        <v>0.0</v>
      </c>
      <c r="R139" s="69">
        <v>1.0</v>
      </c>
      <c r="S139" s="69">
        <v>0.0</v>
      </c>
      <c r="T139" s="69">
        <v>0.0</v>
      </c>
      <c r="U139" s="69">
        <v>0.0</v>
      </c>
      <c r="V139" s="69">
        <v>0.0</v>
      </c>
      <c r="W139" s="69">
        <v>0.0</v>
      </c>
      <c r="X139" s="69">
        <v>0.0</v>
      </c>
      <c r="Y139" s="69">
        <v>0.0</v>
      </c>
      <c r="Z139" s="69">
        <v>0.0</v>
      </c>
      <c r="AA139" s="13">
        <f t="shared" si="38"/>
        <v>1</v>
      </c>
      <c r="AB139" s="5"/>
      <c r="AC139" s="5"/>
    </row>
    <row r="140" ht="12.75" customHeight="1">
      <c r="A140" s="18"/>
      <c r="B140" s="49"/>
      <c r="C140" s="50" t="s">
        <v>119</v>
      </c>
      <c r="D140" s="51"/>
      <c r="E140" s="69">
        <v>0.0</v>
      </c>
      <c r="F140" s="69">
        <v>0.0</v>
      </c>
      <c r="G140" s="69">
        <v>0.0</v>
      </c>
      <c r="H140" s="69">
        <v>0.0</v>
      </c>
      <c r="I140" s="69">
        <v>0.0</v>
      </c>
      <c r="J140" s="69">
        <v>0.0</v>
      </c>
      <c r="K140" s="69">
        <v>0.0</v>
      </c>
      <c r="L140" s="69">
        <v>0.0</v>
      </c>
      <c r="M140" s="69">
        <v>0.0</v>
      </c>
      <c r="N140" s="69">
        <v>0.0</v>
      </c>
      <c r="O140" s="69">
        <v>0.0</v>
      </c>
      <c r="P140" s="69">
        <v>0.0</v>
      </c>
      <c r="Q140" s="69">
        <v>0.0</v>
      </c>
      <c r="R140" s="69">
        <v>0.0</v>
      </c>
      <c r="S140" s="69">
        <v>0.0</v>
      </c>
      <c r="T140" s="69">
        <v>0.0</v>
      </c>
      <c r="U140" s="69">
        <v>0.0</v>
      </c>
      <c r="V140" s="69">
        <v>0.0</v>
      </c>
      <c r="W140" s="69">
        <v>0.0</v>
      </c>
      <c r="X140" s="69">
        <v>0.0</v>
      </c>
      <c r="Y140" s="69">
        <v>0.0</v>
      </c>
      <c r="Z140" s="69">
        <v>0.0</v>
      </c>
      <c r="AA140" s="13">
        <f t="shared" si="38"/>
        <v>0</v>
      </c>
      <c r="AB140" s="5"/>
      <c r="AC140" s="5"/>
    </row>
    <row r="141" ht="12.75" customHeight="1">
      <c r="A141" s="18"/>
      <c r="B141" s="49"/>
      <c r="C141" s="50" t="s">
        <v>120</v>
      </c>
      <c r="D141" s="51"/>
      <c r="E141" s="69">
        <v>0.0</v>
      </c>
      <c r="F141" s="69">
        <v>0.0</v>
      </c>
      <c r="G141" s="69">
        <v>0.0</v>
      </c>
      <c r="H141" s="69">
        <v>0.0</v>
      </c>
      <c r="I141" s="69">
        <v>0.0</v>
      </c>
      <c r="J141" s="69">
        <v>0.0</v>
      </c>
      <c r="K141" s="69">
        <v>0.0</v>
      </c>
      <c r="L141" s="69">
        <v>0.0</v>
      </c>
      <c r="M141" s="69">
        <v>0.0</v>
      </c>
      <c r="N141" s="69">
        <v>0.0</v>
      </c>
      <c r="O141" s="69">
        <v>0.0</v>
      </c>
      <c r="P141" s="69">
        <v>0.0</v>
      </c>
      <c r="Q141" s="69">
        <v>0.0</v>
      </c>
      <c r="R141" s="69">
        <v>0.0</v>
      </c>
      <c r="S141" s="69">
        <v>0.0</v>
      </c>
      <c r="T141" s="69">
        <v>0.0</v>
      </c>
      <c r="U141" s="69">
        <v>0.0</v>
      </c>
      <c r="V141" s="69">
        <v>1.0</v>
      </c>
      <c r="W141" s="69">
        <v>0.0</v>
      </c>
      <c r="X141" s="69">
        <v>0.0</v>
      </c>
      <c r="Y141" s="69">
        <v>0.0</v>
      </c>
      <c r="Z141" s="69">
        <v>0.0</v>
      </c>
      <c r="AA141" s="13">
        <f t="shared" si="38"/>
        <v>1</v>
      </c>
      <c r="AB141" s="1"/>
      <c r="AC141" s="1"/>
    </row>
    <row r="142" ht="12.75" customHeight="1">
      <c r="A142" s="18"/>
      <c r="B142" s="49"/>
      <c r="C142" s="50" t="s">
        <v>121</v>
      </c>
      <c r="D142" s="51"/>
      <c r="E142" s="69">
        <v>0.0</v>
      </c>
      <c r="F142" s="69">
        <v>0.0</v>
      </c>
      <c r="G142" s="69">
        <v>0.0</v>
      </c>
      <c r="H142" s="69">
        <v>0.0</v>
      </c>
      <c r="I142" s="69">
        <v>0.0</v>
      </c>
      <c r="J142" s="69">
        <v>0.0</v>
      </c>
      <c r="K142" s="69">
        <v>0.0</v>
      </c>
      <c r="L142" s="69">
        <v>0.0</v>
      </c>
      <c r="M142" s="69">
        <v>0.0</v>
      </c>
      <c r="N142" s="69">
        <v>0.0</v>
      </c>
      <c r="O142" s="69">
        <v>0.0</v>
      </c>
      <c r="P142" s="69">
        <v>0.0</v>
      </c>
      <c r="Q142" s="69">
        <v>0.0</v>
      </c>
      <c r="R142" s="69">
        <v>0.0</v>
      </c>
      <c r="S142" s="69">
        <v>0.0</v>
      </c>
      <c r="T142" s="69">
        <v>0.0</v>
      </c>
      <c r="U142" s="69">
        <v>0.0</v>
      </c>
      <c r="V142" s="69">
        <v>0.0</v>
      </c>
      <c r="W142" s="69">
        <v>0.0</v>
      </c>
      <c r="X142" s="69">
        <v>0.0</v>
      </c>
      <c r="Y142" s="69">
        <v>0.0</v>
      </c>
      <c r="Z142" s="69">
        <v>0.0</v>
      </c>
      <c r="AA142" s="13">
        <f t="shared" si="38"/>
        <v>0</v>
      </c>
      <c r="AB142" s="53"/>
      <c r="AC142" s="53"/>
    </row>
    <row r="143" ht="12.75" customHeight="1">
      <c r="A143" s="18"/>
      <c r="B143" s="49"/>
      <c r="C143" s="50" t="s">
        <v>122</v>
      </c>
      <c r="D143" s="51"/>
      <c r="E143" s="69">
        <v>0.0</v>
      </c>
      <c r="F143" s="69">
        <v>0.0</v>
      </c>
      <c r="G143" s="69">
        <v>0.0</v>
      </c>
      <c r="H143" s="69">
        <v>0.0</v>
      </c>
      <c r="I143" s="69">
        <v>0.0</v>
      </c>
      <c r="J143" s="69">
        <v>0.0</v>
      </c>
      <c r="K143" s="69">
        <v>0.0</v>
      </c>
      <c r="L143" s="69">
        <v>0.0</v>
      </c>
      <c r="M143" s="69">
        <v>0.0</v>
      </c>
      <c r="N143" s="69">
        <v>0.0</v>
      </c>
      <c r="O143" s="69">
        <v>0.0</v>
      </c>
      <c r="P143" s="69">
        <v>0.0</v>
      </c>
      <c r="Q143" s="69">
        <v>0.0</v>
      </c>
      <c r="R143" s="69">
        <v>0.0</v>
      </c>
      <c r="S143" s="69">
        <v>0.0</v>
      </c>
      <c r="T143" s="69">
        <v>0.0</v>
      </c>
      <c r="U143" s="69">
        <v>0.0</v>
      </c>
      <c r="V143" s="69">
        <v>0.0</v>
      </c>
      <c r="W143" s="69">
        <v>0.0</v>
      </c>
      <c r="X143" s="69">
        <v>0.0</v>
      </c>
      <c r="Y143" s="69">
        <v>0.0</v>
      </c>
      <c r="Z143" s="69">
        <v>0.0</v>
      </c>
      <c r="AA143" s="13">
        <f t="shared" si="38"/>
        <v>0</v>
      </c>
      <c r="AB143" s="5"/>
      <c r="AC143" s="5"/>
    </row>
    <row r="144" ht="12.75" customHeight="1">
      <c r="A144" s="18"/>
      <c r="B144" s="49"/>
      <c r="C144" s="50" t="s">
        <v>123</v>
      </c>
      <c r="D144" s="51"/>
      <c r="E144" s="69">
        <v>0.0</v>
      </c>
      <c r="F144" s="69">
        <v>0.0</v>
      </c>
      <c r="G144" s="69">
        <v>0.0</v>
      </c>
      <c r="H144" s="69">
        <v>0.0</v>
      </c>
      <c r="I144" s="69">
        <v>0.0</v>
      </c>
      <c r="J144" s="69">
        <v>0.0</v>
      </c>
      <c r="K144" s="69">
        <v>0.0</v>
      </c>
      <c r="L144" s="69">
        <v>0.0</v>
      </c>
      <c r="M144" s="69">
        <v>0.0</v>
      </c>
      <c r="N144" s="69">
        <v>0.0</v>
      </c>
      <c r="O144" s="69">
        <v>0.0</v>
      </c>
      <c r="P144" s="69">
        <v>0.0</v>
      </c>
      <c r="Q144" s="69">
        <v>0.0</v>
      </c>
      <c r="R144" s="69">
        <v>0.0</v>
      </c>
      <c r="S144" s="69">
        <v>0.0</v>
      </c>
      <c r="T144" s="69">
        <v>0.0</v>
      </c>
      <c r="U144" s="69">
        <v>0.0</v>
      </c>
      <c r="V144" s="69">
        <v>0.0</v>
      </c>
      <c r="W144" s="69">
        <v>0.0</v>
      </c>
      <c r="X144" s="69">
        <v>0.0</v>
      </c>
      <c r="Y144" s="69">
        <v>0.0</v>
      </c>
      <c r="Z144" s="69">
        <v>0.0</v>
      </c>
      <c r="AA144" s="13">
        <f t="shared" si="38"/>
        <v>0</v>
      </c>
      <c r="AB144" s="5"/>
      <c r="AC144" s="5"/>
    </row>
    <row r="145" ht="12.75" customHeight="1">
      <c r="A145" s="18"/>
      <c r="B145" s="49"/>
      <c r="C145" s="50" t="s">
        <v>124</v>
      </c>
      <c r="D145" s="51"/>
      <c r="E145" s="69">
        <v>0.0</v>
      </c>
      <c r="F145" s="69">
        <v>0.0</v>
      </c>
      <c r="G145" s="69">
        <v>0.0</v>
      </c>
      <c r="H145" s="69">
        <v>0.0</v>
      </c>
      <c r="I145" s="69">
        <v>0.0</v>
      </c>
      <c r="J145" s="69">
        <v>0.0</v>
      </c>
      <c r="K145" s="69">
        <v>0.0</v>
      </c>
      <c r="L145" s="69">
        <v>0.0</v>
      </c>
      <c r="M145" s="69">
        <v>0.0</v>
      </c>
      <c r="N145" s="69">
        <v>0.0</v>
      </c>
      <c r="O145" s="69">
        <v>0.0</v>
      </c>
      <c r="P145" s="69">
        <v>0.0</v>
      </c>
      <c r="Q145" s="69">
        <v>0.0</v>
      </c>
      <c r="R145" s="69">
        <v>0.0</v>
      </c>
      <c r="S145" s="69">
        <v>0.0</v>
      </c>
      <c r="T145" s="69">
        <v>0.0</v>
      </c>
      <c r="U145" s="69">
        <v>0.0</v>
      </c>
      <c r="V145" s="69">
        <v>0.0</v>
      </c>
      <c r="W145" s="69">
        <v>0.0</v>
      </c>
      <c r="X145" s="69">
        <v>0.0</v>
      </c>
      <c r="Y145" s="69">
        <v>0.0</v>
      </c>
      <c r="Z145" s="69">
        <v>0.0</v>
      </c>
      <c r="AA145" s="13">
        <f t="shared" si="38"/>
        <v>0</v>
      </c>
      <c r="AB145" s="5"/>
      <c r="AC145" s="5"/>
    </row>
    <row r="146" ht="12.75" customHeight="1">
      <c r="A146" s="19" t="s">
        <v>15</v>
      </c>
      <c r="B146" s="47" t="s">
        <v>47</v>
      </c>
      <c r="C146" s="15"/>
      <c r="D146" s="16"/>
      <c r="E146" s="56">
        <f t="shared" ref="E146:Z146" si="39">SUM(E138:E145)</f>
        <v>0</v>
      </c>
      <c r="F146" s="56">
        <f t="shared" si="39"/>
        <v>0</v>
      </c>
      <c r="G146" s="56">
        <f t="shared" si="39"/>
        <v>0</v>
      </c>
      <c r="H146" s="56">
        <f t="shared" si="39"/>
        <v>0</v>
      </c>
      <c r="I146" s="56">
        <f t="shared" si="39"/>
        <v>0</v>
      </c>
      <c r="J146" s="56">
        <f t="shared" si="39"/>
        <v>0</v>
      </c>
      <c r="K146" s="56">
        <f t="shared" si="39"/>
        <v>0</v>
      </c>
      <c r="L146" s="56">
        <f t="shared" si="39"/>
        <v>0</v>
      </c>
      <c r="M146" s="56">
        <f t="shared" si="39"/>
        <v>0</v>
      </c>
      <c r="N146" s="56">
        <f t="shared" si="39"/>
        <v>0</v>
      </c>
      <c r="O146" s="56">
        <f t="shared" si="39"/>
        <v>0</v>
      </c>
      <c r="P146" s="56">
        <f t="shared" si="39"/>
        <v>0</v>
      </c>
      <c r="Q146" s="56">
        <f t="shared" si="39"/>
        <v>0</v>
      </c>
      <c r="R146" s="56">
        <f t="shared" si="39"/>
        <v>1</v>
      </c>
      <c r="S146" s="56">
        <f t="shared" si="39"/>
        <v>0</v>
      </c>
      <c r="T146" s="56">
        <f t="shared" si="39"/>
        <v>0</v>
      </c>
      <c r="U146" s="56">
        <f t="shared" si="39"/>
        <v>0</v>
      </c>
      <c r="V146" s="56">
        <f t="shared" si="39"/>
        <v>1</v>
      </c>
      <c r="W146" s="56">
        <f t="shared" si="39"/>
        <v>0</v>
      </c>
      <c r="X146" s="56">
        <f t="shared" si="39"/>
        <v>0</v>
      </c>
      <c r="Y146" s="56">
        <f t="shared" si="39"/>
        <v>0</v>
      </c>
      <c r="Z146" s="56">
        <f t="shared" si="39"/>
        <v>1</v>
      </c>
      <c r="AA146" s="13">
        <f t="shared" si="38"/>
        <v>3</v>
      </c>
      <c r="AB146" s="5"/>
      <c r="AC146" s="5"/>
    </row>
    <row r="147" ht="12.75" customHeight="1">
      <c r="A147" s="57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13"/>
      <c r="AB147" s="5"/>
      <c r="AC147" s="5"/>
    </row>
    <row r="148" ht="12.75" customHeight="1">
      <c r="A148" s="30" t="s">
        <v>37</v>
      </c>
      <c r="B148" s="47" t="s">
        <v>125</v>
      </c>
      <c r="C148" s="48" t="s">
        <v>126</v>
      </c>
      <c r="D148" s="16"/>
      <c r="E148" s="69">
        <v>5.0</v>
      </c>
      <c r="F148" s="69">
        <v>6.0</v>
      </c>
      <c r="G148" s="69">
        <v>7.0</v>
      </c>
      <c r="H148" s="69">
        <v>10.0</v>
      </c>
      <c r="I148" s="69">
        <v>8.0</v>
      </c>
      <c r="J148" s="69">
        <v>1.0</v>
      </c>
      <c r="K148" s="69">
        <v>3.0</v>
      </c>
      <c r="L148" s="69">
        <v>8.0</v>
      </c>
      <c r="M148" s="69">
        <v>5.0</v>
      </c>
      <c r="N148" s="69">
        <v>7.0</v>
      </c>
      <c r="O148" s="69">
        <v>8.0</v>
      </c>
      <c r="P148" s="69">
        <v>2.0</v>
      </c>
      <c r="Q148" s="69">
        <v>2.0</v>
      </c>
      <c r="R148" s="69">
        <v>1.0</v>
      </c>
      <c r="S148" s="69">
        <v>1.0</v>
      </c>
      <c r="T148" s="69">
        <v>3.0</v>
      </c>
      <c r="U148" s="69">
        <v>3.0</v>
      </c>
      <c r="V148" s="69">
        <v>2.0</v>
      </c>
      <c r="W148" s="69">
        <v>5.0</v>
      </c>
      <c r="X148" s="69">
        <v>3.0</v>
      </c>
      <c r="Y148" s="69">
        <v>3.0</v>
      </c>
      <c r="Z148" s="69">
        <v>3.0</v>
      </c>
      <c r="AA148" s="13">
        <f t="shared" ref="AA148:AA156" si="40">SUM(E148:Z148)</f>
        <v>96</v>
      </c>
      <c r="AB148" s="5"/>
      <c r="AC148" s="5"/>
    </row>
    <row r="149" ht="12.75" customHeight="1">
      <c r="A149" s="30" t="s">
        <v>39</v>
      </c>
      <c r="B149" s="49"/>
      <c r="C149" s="50" t="s">
        <v>127</v>
      </c>
      <c r="D149" s="51"/>
      <c r="E149" s="69">
        <v>2.0</v>
      </c>
      <c r="F149" s="69">
        <v>0.0</v>
      </c>
      <c r="G149" s="69">
        <v>1.0</v>
      </c>
      <c r="H149" s="69">
        <v>1.0</v>
      </c>
      <c r="I149" s="69">
        <v>0.0</v>
      </c>
      <c r="J149" s="69">
        <v>0.0</v>
      </c>
      <c r="K149" s="69">
        <v>1.0</v>
      </c>
      <c r="L149" s="69">
        <v>2.0</v>
      </c>
      <c r="M149" s="69">
        <v>1.0</v>
      </c>
      <c r="N149" s="69">
        <v>0.0</v>
      </c>
      <c r="O149" s="69">
        <v>2.0</v>
      </c>
      <c r="P149" s="69">
        <v>1.0</v>
      </c>
      <c r="Q149" s="69">
        <v>0.0</v>
      </c>
      <c r="R149" s="69">
        <v>1.0</v>
      </c>
      <c r="S149" s="69">
        <v>1.0</v>
      </c>
      <c r="T149" s="69">
        <v>2.0</v>
      </c>
      <c r="U149" s="69">
        <v>0.0</v>
      </c>
      <c r="V149" s="69">
        <v>0.0</v>
      </c>
      <c r="W149" s="69">
        <v>2.0</v>
      </c>
      <c r="X149" s="69">
        <v>3.0</v>
      </c>
      <c r="Y149" s="69">
        <v>0.0</v>
      </c>
      <c r="Z149" s="69">
        <v>1.0</v>
      </c>
      <c r="AA149" s="13">
        <f t="shared" si="40"/>
        <v>21</v>
      </c>
      <c r="AB149" s="5"/>
      <c r="AC149" s="5"/>
    </row>
    <row r="150" ht="12.75" customHeight="1">
      <c r="A150" s="18"/>
      <c r="B150" s="49"/>
      <c r="C150" s="50" t="s">
        <v>128</v>
      </c>
      <c r="D150" s="51"/>
      <c r="E150" s="69">
        <v>1.0</v>
      </c>
      <c r="F150" s="69">
        <v>0.0</v>
      </c>
      <c r="G150" s="69">
        <v>1.0</v>
      </c>
      <c r="H150" s="69">
        <v>0.0</v>
      </c>
      <c r="I150" s="69">
        <v>1.0</v>
      </c>
      <c r="J150" s="69">
        <v>0.0</v>
      </c>
      <c r="K150" s="69">
        <v>3.0</v>
      </c>
      <c r="L150" s="69">
        <v>1.0</v>
      </c>
      <c r="M150" s="69">
        <v>1.0</v>
      </c>
      <c r="N150" s="69">
        <v>0.0</v>
      </c>
      <c r="O150" s="69">
        <v>0.0</v>
      </c>
      <c r="P150" s="69">
        <v>1.0</v>
      </c>
      <c r="Q150" s="69">
        <v>0.0</v>
      </c>
      <c r="R150" s="69">
        <v>1.0</v>
      </c>
      <c r="S150" s="69">
        <v>1.0</v>
      </c>
      <c r="T150" s="69">
        <v>0.0</v>
      </c>
      <c r="U150" s="69">
        <v>0.0</v>
      </c>
      <c r="V150" s="69">
        <v>2.0</v>
      </c>
      <c r="W150" s="69">
        <v>0.0</v>
      </c>
      <c r="X150" s="69">
        <v>0.0</v>
      </c>
      <c r="Y150" s="69">
        <v>0.0</v>
      </c>
      <c r="Z150" s="69">
        <v>1.0</v>
      </c>
      <c r="AA150" s="13">
        <f t="shared" si="40"/>
        <v>14</v>
      </c>
      <c r="AB150" s="5"/>
      <c r="AC150" s="5"/>
    </row>
    <row r="151" ht="12.75" customHeight="1">
      <c r="A151" s="18"/>
      <c r="B151" s="49"/>
      <c r="C151" s="50" t="s">
        <v>129</v>
      </c>
      <c r="D151" s="51"/>
      <c r="E151" s="69">
        <v>1.0</v>
      </c>
      <c r="F151" s="69">
        <v>0.0</v>
      </c>
      <c r="G151" s="69">
        <v>1.0</v>
      </c>
      <c r="H151" s="69">
        <v>1.0</v>
      </c>
      <c r="I151" s="69">
        <v>1.0</v>
      </c>
      <c r="J151" s="69">
        <v>1.0</v>
      </c>
      <c r="K151" s="69">
        <v>0.0</v>
      </c>
      <c r="L151" s="69">
        <v>1.0</v>
      </c>
      <c r="M151" s="69">
        <v>1.0</v>
      </c>
      <c r="N151" s="69">
        <v>0.0</v>
      </c>
      <c r="O151" s="69">
        <v>0.0</v>
      </c>
      <c r="P151" s="69">
        <v>0.0</v>
      </c>
      <c r="Q151" s="69">
        <v>0.0</v>
      </c>
      <c r="R151" s="69">
        <v>0.0</v>
      </c>
      <c r="S151" s="69">
        <v>1.0</v>
      </c>
      <c r="T151" s="69">
        <v>0.0</v>
      </c>
      <c r="U151" s="69">
        <v>0.0</v>
      </c>
      <c r="V151" s="69">
        <v>0.0</v>
      </c>
      <c r="W151" s="69">
        <v>0.0</v>
      </c>
      <c r="X151" s="69">
        <v>0.0</v>
      </c>
      <c r="Y151" s="69">
        <v>0.0</v>
      </c>
      <c r="Z151" s="69">
        <v>0.0</v>
      </c>
      <c r="AA151" s="13">
        <f t="shared" si="40"/>
        <v>8</v>
      </c>
      <c r="AB151" s="1"/>
      <c r="AC151" s="1"/>
    </row>
    <row r="152" ht="12.75" customHeight="1">
      <c r="A152" s="18"/>
      <c r="B152" s="49"/>
      <c r="C152" s="50" t="s">
        <v>130</v>
      </c>
      <c r="D152" s="51"/>
      <c r="E152" s="69">
        <v>2.0</v>
      </c>
      <c r="F152" s="69">
        <v>0.0</v>
      </c>
      <c r="G152" s="69">
        <v>1.0</v>
      </c>
      <c r="H152" s="69">
        <v>0.0</v>
      </c>
      <c r="I152" s="69">
        <v>0.0</v>
      </c>
      <c r="J152" s="69">
        <v>0.0</v>
      </c>
      <c r="K152" s="69">
        <v>0.0</v>
      </c>
      <c r="L152" s="69">
        <v>1.0</v>
      </c>
      <c r="M152" s="69">
        <v>0.0</v>
      </c>
      <c r="N152" s="69">
        <v>0.0</v>
      </c>
      <c r="O152" s="69">
        <v>1.0</v>
      </c>
      <c r="P152" s="69">
        <v>0.0</v>
      </c>
      <c r="Q152" s="69">
        <v>3.0</v>
      </c>
      <c r="R152" s="69">
        <v>1.0</v>
      </c>
      <c r="S152" s="69">
        <v>0.0</v>
      </c>
      <c r="T152" s="69">
        <v>0.0</v>
      </c>
      <c r="U152" s="69">
        <v>0.0</v>
      </c>
      <c r="V152" s="69">
        <v>0.0</v>
      </c>
      <c r="W152" s="69">
        <v>0.0</v>
      </c>
      <c r="X152" s="69">
        <v>0.0</v>
      </c>
      <c r="Y152" s="69">
        <v>0.0</v>
      </c>
      <c r="Z152" s="69">
        <v>0.0</v>
      </c>
      <c r="AA152" s="13">
        <f t="shared" si="40"/>
        <v>9</v>
      </c>
      <c r="AB152" s="53"/>
      <c r="AC152" s="53"/>
    </row>
    <row r="153" ht="12.75" customHeight="1">
      <c r="A153" s="18"/>
      <c r="B153" s="49"/>
      <c r="C153" s="50" t="s">
        <v>131</v>
      </c>
      <c r="D153" s="51"/>
      <c r="E153" s="69">
        <v>0.0</v>
      </c>
      <c r="F153" s="69">
        <v>0.0</v>
      </c>
      <c r="G153" s="69">
        <v>0.0</v>
      </c>
      <c r="H153" s="69">
        <v>0.0</v>
      </c>
      <c r="I153" s="69">
        <v>0.0</v>
      </c>
      <c r="J153" s="69">
        <v>0.0</v>
      </c>
      <c r="K153" s="69">
        <v>0.0</v>
      </c>
      <c r="L153" s="69">
        <v>0.0</v>
      </c>
      <c r="M153" s="69">
        <v>0.0</v>
      </c>
      <c r="N153" s="69">
        <v>0.0</v>
      </c>
      <c r="O153" s="69">
        <v>0.0</v>
      </c>
      <c r="P153" s="69">
        <v>0.0</v>
      </c>
      <c r="Q153" s="69">
        <v>0.0</v>
      </c>
      <c r="R153" s="69">
        <v>0.0</v>
      </c>
      <c r="S153" s="69">
        <v>0.0</v>
      </c>
      <c r="T153" s="69">
        <v>0.0</v>
      </c>
      <c r="U153" s="69">
        <v>0.0</v>
      </c>
      <c r="V153" s="69">
        <v>0.0</v>
      </c>
      <c r="W153" s="69">
        <v>1.0</v>
      </c>
      <c r="X153" s="69">
        <v>0.0</v>
      </c>
      <c r="Y153" s="69">
        <v>0.0</v>
      </c>
      <c r="Z153" s="69">
        <v>0.0</v>
      </c>
      <c r="AA153" s="13">
        <f t="shared" si="40"/>
        <v>1</v>
      </c>
      <c r="AB153" s="5"/>
      <c r="AC153" s="5"/>
    </row>
    <row r="154" ht="12.75" customHeight="1">
      <c r="A154" s="18"/>
      <c r="B154" s="49"/>
      <c r="C154" s="50" t="s">
        <v>132</v>
      </c>
      <c r="D154" s="51"/>
      <c r="E154" s="69">
        <v>0.0</v>
      </c>
      <c r="F154" s="69">
        <v>0.0</v>
      </c>
      <c r="G154" s="69">
        <v>1.0</v>
      </c>
      <c r="H154" s="69">
        <v>1.0</v>
      </c>
      <c r="I154" s="69">
        <v>0.0</v>
      </c>
      <c r="J154" s="69">
        <v>0.0</v>
      </c>
      <c r="K154" s="69">
        <v>0.0</v>
      </c>
      <c r="L154" s="69">
        <v>0.0</v>
      </c>
      <c r="M154" s="69">
        <v>0.0</v>
      </c>
      <c r="N154" s="69">
        <v>0.0</v>
      </c>
      <c r="O154" s="69">
        <v>0.0</v>
      </c>
      <c r="P154" s="69">
        <v>1.0</v>
      </c>
      <c r="Q154" s="69">
        <v>0.0</v>
      </c>
      <c r="R154" s="69">
        <v>0.0</v>
      </c>
      <c r="S154" s="69">
        <v>0.0</v>
      </c>
      <c r="T154" s="69">
        <v>0.0</v>
      </c>
      <c r="U154" s="69">
        <v>0.0</v>
      </c>
      <c r="V154" s="69">
        <v>0.0</v>
      </c>
      <c r="W154" s="69">
        <v>0.0</v>
      </c>
      <c r="X154" s="69">
        <v>1.0</v>
      </c>
      <c r="Y154" s="69">
        <v>0.0</v>
      </c>
      <c r="Z154" s="69">
        <v>0.0</v>
      </c>
      <c r="AA154" s="13">
        <f t="shared" si="40"/>
        <v>4</v>
      </c>
      <c r="AB154" s="5"/>
      <c r="AC154" s="5"/>
    </row>
    <row r="155" ht="12.75" customHeight="1">
      <c r="A155" s="18"/>
      <c r="B155" s="49"/>
      <c r="C155" s="50" t="s">
        <v>133</v>
      </c>
      <c r="D155" s="51"/>
      <c r="E155" s="69">
        <v>46.0</v>
      </c>
      <c r="F155" s="69">
        <v>52.0</v>
      </c>
      <c r="G155" s="69">
        <v>71.0</v>
      </c>
      <c r="H155" s="69">
        <v>65.0</v>
      </c>
      <c r="I155" s="69">
        <v>94.0</v>
      </c>
      <c r="J155" s="69">
        <v>22.0</v>
      </c>
      <c r="K155" s="69">
        <v>19.0</v>
      </c>
      <c r="L155" s="69">
        <v>89.0</v>
      </c>
      <c r="M155" s="69">
        <v>47.0</v>
      </c>
      <c r="N155" s="69">
        <v>85.0</v>
      </c>
      <c r="O155" s="69">
        <v>30.0</v>
      </c>
      <c r="P155" s="69">
        <v>9.0</v>
      </c>
      <c r="Q155" s="69">
        <v>19.0</v>
      </c>
      <c r="R155" s="69">
        <v>7.0</v>
      </c>
      <c r="S155" s="69">
        <v>42.0</v>
      </c>
      <c r="T155" s="69">
        <v>44.0</v>
      </c>
      <c r="U155" s="69">
        <v>52.0</v>
      </c>
      <c r="V155" s="69">
        <v>51.0</v>
      </c>
      <c r="W155" s="69">
        <v>35.0</v>
      </c>
      <c r="X155" s="69">
        <v>50.0</v>
      </c>
      <c r="Y155" s="69">
        <v>70.0</v>
      </c>
      <c r="Z155" s="69">
        <v>74.0</v>
      </c>
      <c r="AA155" s="13">
        <f t="shared" si="40"/>
        <v>1073</v>
      </c>
      <c r="AB155" s="5"/>
      <c r="AC155" s="5"/>
    </row>
    <row r="156" ht="12.75" customHeight="1">
      <c r="A156" s="19" t="s">
        <v>15</v>
      </c>
      <c r="B156" s="47" t="s">
        <v>47</v>
      </c>
      <c r="C156" s="15"/>
      <c r="D156" s="16"/>
      <c r="E156" s="56">
        <f t="shared" ref="E156:Z156" si="41">SUM(E148:E155)</f>
        <v>57</v>
      </c>
      <c r="F156" s="56">
        <f t="shared" si="41"/>
        <v>58</v>
      </c>
      <c r="G156" s="56">
        <f t="shared" si="41"/>
        <v>83</v>
      </c>
      <c r="H156" s="56">
        <f t="shared" si="41"/>
        <v>78</v>
      </c>
      <c r="I156" s="56">
        <f t="shared" si="41"/>
        <v>104</v>
      </c>
      <c r="J156" s="56">
        <f t="shared" si="41"/>
        <v>24</v>
      </c>
      <c r="K156" s="56">
        <f t="shared" si="41"/>
        <v>26</v>
      </c>
      <c r="L156" s="56">
        <f t="shared" si="41"/>
        <v>102</v>
      </c>
      <c r="M156" s="56">
        <f t="shared" si="41"/>
        <v>55</v>
      </c>
      <c r="N156" s="56">
        <f t="shared" si="41"/>
        <v>92</v>
      </c>
      <c r="O156" s="56">
        <f t="shared" si="41"/>
        <v>41</v>
      </c>
      <c r="P156" s="56">
        <f t="shared" si="41"/>
        <v>14</v>
      </c>
      <c r="Q156" s="56">
        <f t="shared" si="41"/>
        <v>24</v>
      </c>
      <c r="R156" s="56">
        <f t="shared" si="41"/>
        <v>11</v>
      </c>
      <c r="S156" s="56">
        <f t="shared" si="41"/>
        <v>46</v>
      </c>
      <c r="T156" s="56">
        <f t="shared" si="41"/>
        <v>49</v>
      </c>
      <c r="U156" s="56">
        <f t="shared" si="41"/>
        <v>55</v>
      </c>
      <c r="V156" s="56">
        <f t="shared" si="41"/>
        <v>55</v>
      </c>
      <c r="W156" s="56">
        <f t="shared" si="41"/>
        <v>43</v>
      </c>
      <c r="X156" s="56">
        <f t="shared" si="41"/>
        <v>57</v>
      </c>
      <c r="Y156" s="56">
        <f t="shared" si="41"/>
        <v>73</v>
      </c>
      <c r="Z156" s="56">
        <f t="shared" si="41"/>
        <v>79</v>
      </c>
      <c r="AA156" s="13">
        <f t="shared" si="40"/>
        <v>1226</v>
      </c>
      <c r="AB156" s="5"/>
      <c r="AC156" s="5"/>
    </row>
    <row r="157" ht="12.75" customHeight="1">
      <c r="A157" s="57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13"/>
      <c r="AB157" s="5"/>
      <c r="AC157" s="5"/>
    </row>
    <row r="158" ht="12.75" customHeight="1">
      <c r="A158" s="30" t="s">
        <v>37</v>
      </c>
      <c r="B158" s="47" t="s">
        <v>134</v>
      </c>
      <c r="C158" s="48" t="s">
        <v>135</v>
      </c>
      <c r="D158" s="16"/>
      <c r="E158" s="69">
        <v>2.0</v>
      </c>
      <c r="F158" s="69">
        <v>0.0</v>
      </c>
      <c r="G158" s="69">
        <v>1.0</v>
      </c>
      <c r="H158" s="69">
        <v>1.0</v>
      </c>
      <c r="I158" s="69">
        <v>0.0</v>
      </c>
      <c r="J158" s="69">
        <v>1.0</v>
      </c>
      <c r="K158" s="69">
        <v>0.0</v>
      </c>
      <c r="L158" s="69">
        <v>0.0</v>
      </c>
      <c r="M158" s="69">
        <v>0.0</v>
      </c>
      <c r="N158" s="69">
        <v>0.0</v>
      </c>
      <c r="O158" s="69">
        <v>1.0</v>
      </c>
      <c r="P158" s="69">
        <v>0.0</v>
      </c>
      <c r="Q158" s="69">
        <v>3.0</v>
      </c>
      <c r="R158" s="69">
        <v>0.0</v>
      </c>
      <c r="S158" s="69">
        <v>0.0</v>
      </c>
      <c r="T158" s="69">
        <v>1.0</v>
      </c>
      <c r="U158" s="69">
        <v>0.0</v>
      </c>
      <c r="V158" s="69">
        <v>0.0</v>
      </c>
      <c r="W158" s="69">
        <v>1.0</v>
      </c>
      <c r="X158" s="69">
        <v>0.0</v>
      </c>
      <c r="Y158" s="69">
        <v>1.0</v>
      </c>
      <c r="Z158" s="69">
        <v>0.0</v>
      </c>
      <c r="AA158" s="13">
        <f t="shared" ref="AA158:AA161" si="42">SUM(E158:Z158)</f>
        <v>12</v>
      </c>
      <c r="AB158" s="5"/>
      <c r="AC158" s="5"/>
    </row>
    <row r="159" ht="12.75" customHeight="1">
      <c r="A159" s="30" t="s">
        <v>39</v>
      </c>
      <c r="B159" s="49"/>
      <c r="C159" s="50" t="s">
        <v>136</v>
      </c>
      <c r="D159" s="51"/>
      <c r="E159" s="69">
        <v>0.0</v>
      </c>
      <c r="F159" s="69">
        <v>1.0</v>
      </c>
      <c r="G159" s="69">
        <v>0.0</v>
      </c>
      <c r="H159" s="69">
        <v>1.0</v>
      </c>
      <c r="I159" s="69">
        <v>0.0</v>
      </c>
      <c r="J159" s="69">
        <v>0.0</v>
      </c>
      <c r="K159" s="69">
        <v>0.0</v>
      </c>
      <c r="L159" s="69">
        <v>0.0</v>
      </c>
      <c r="M159" s="69">
        <v>1.0</v>
      </c>
      <c r="N159" s="69">
        <v>0.0</v>
      </c>
      <c r="O159" s="69">
        <v>0.0</v>
      </c>
      <c r="P159" s="69">
        <v>0.0</v>
      </c>
      <c r="Q159" s="69">
        <v>0.0</v>
      </c>
      <c r="R159" s="69">
        <v>0.0</v>
      </c>
      <c r="S159" s="69">
        <v>0.0</v>
      </c>
      <c r="T159" s="69">
        <v>0.0</v>
      </c>
      <c r="U159" s="69">
        <v>1.0</v>
      </c>
      <c r="V159" s="69">
        <v>0.0</v>
      </c>
      <c r="W159" s="69">
        <v>1.0</v>
      </c>
      <c r="X159" s="69">
        <v>0.0</v>
      </c>
      <c r="Y159" s="69">
        <v>1.0</v>
      </c>
      <c r="Z159" s="69">
        <v>0.0</v>
      </c>
      <c r="AA159" s="13">
        <f t="shared" si="42"/>
        <v>6</v>
      </c>
      <c r="AB159" s="5"/>
      <c r="AC159" s="5"/>
    </row>
    <row r="160" ht="12.75" customHeight="1">
      <c r="A160" s="30"/>
      <c r="B160" s="49"/>
      <c r="C160" s="50" t="s">
        <v>137</v>
      </c>
      <c r="D160" s="51"/>
      <c r="E160" s="69">
        <v>0.0</v>
      </c>
      <c r="F160" s="69">
        <v>0.0</v>
      </c>
      <c r="G160" s="69">
        <v>1.0</v>
      </c>
      <c r="H160" s="69">
        <v>0.0</v>
      </c>
      <c r="I160" s="69">
        <v>0.0</v>
      </c>
      <c r="J160" s="69">
        <v>0.0</v>
      </c>
      <c r="K160" s="69">
        <v>0.0</v>
      </c>
      <c r="L160" s="69">
        <v>0.0</v>
      </c>
      <c r="M160" s="69">
        <v>0.0</v>
      </c>
      <c r="N160" s="69">
        <v>0.0</v>
      </c>
      <c r="O160" s="69">
        <v>0.0</v>
      </c>
      <c r="P160" s="69">
        <v>0.0</v>
      </c>
      <c r="Q160" s="69">
        <v>0.0</v>
      </c>
      <c r="R160" s="69">
        <v>0.0</v>
      </c>
      <c r="S160" s="69">
        <v>0.0</v>
      </c>
      <c r="T160" s="69">
        <v>0.0</v>
      </c>
      <c r="U160" s="69">
        <v>0.0</v>
      </c>
      <c r="V160" s="69">
        <v>0.0</v>
      </c>
      <c r="W160" s="69">
        <v>0.0</v>
      </c>
      <c r="X160" s="69">
        <v>0.0</v>
      </c>
      <c r="Y160" s="69">
        <v>1.0</v>
      </c>
      <c r="Z160" s="69">
        <v>0.0</v>
      </c>
      <c r="AA160" s="13">
        <f t="shared" si="42"/>
        <v>2</v>
      </c>
      <c r="AB160" s="5"/>
      <c r="AC160" s="5"/>
    </row>
    <row r="161" ht="12.75" customHeight="1">
      <c r="A161" s="19" t="s">
        <v>15</v>
      </c>
      <c r="B161" s="47" t="s">
        <v>47</v>
      </c>
      <c r="C161" s="15"/>
      <c r="D161" s="16"/>
      <c r="E161" s="56">
        <f t="shared" ref="E161:Z161" si="43">SUM(E158:E160)</f>
        <v>2</v>
      </c>
      <c r="F161" s="56">
        <f t="shared" si="43"/>
        <v>1</v>
      </c>
      <c r="G161" s="56">
        <f t="shared" si="43"/>
        <v>2</v>
      </c>
      <c r="H161" s="56">
        <f t="shared" si="43"/>
        <v>2</v>
      </c>
      <c r="I161" s="56">
        <f t="shared" si="43"/>
        <v>0</v>
      </c>
      <c r="J161" s="56">
        <f t="shared" si="43"/>
        <v>1</v>
      </c>
      <c r="K161" s="56">
        <f t="shared" si="43"/>
        <v>0</v>
      </c>
      <c r="L161" s="56">
        <f t="shared" si="43"/>
        <v>0</v>
      </c>
      <c r="M161" s="56">
        <f t="shared" si="43"/>
        <v>1</v>
      </c>
      <c r="N161" s="56">
        <f t="shared" si="43"/>
        <v>0</v>
      </c>
      <c r="O161" s="56">
        <f t="shared" si="43"/>
        <v>1</v>
      </c>
      <c r="P161" s="56">
        <f t="shared" si="43"/>
        <v>0</v>
      </c>
      <c r="Q161" s="56">
        <f t="shared" si="43"/>
        <v>3</v>
      </c>
      <c r="R161" s="56">
        <f t="shared" si="43"/>
        <v>0</v>
      </c>
      <c r="S161" s="56">
        <f t="shared" si="43"/>
        <v>0</v>
      </c>
      <c r="T161" s="56">
        <f t="shared" si="43"/>
        <v>1</v>
      </c>
      <c r="U161" s="56">
        <f t="shared" si="43"/>
        <v>1</v>
      </c>
      <c r="V161" s="56">
        <f t="shared" si="43"/>
        <v>0</v>
      </c>
      <c r="W161" s="56">
        <f t="shared" si="43"/>
        <v>2</v>
      </c>
      <c r="X161" s="56">
        <f t="shared" si="43"/>
        <v>0</v>
      </c>
      <c r="Y161" s="56">
        <f t="shared" si="43"/>
        <v>3</v>
      </c>
      <c r="Z161" s="56">
        <f t="shared" si="43"/>
        <v>0</v>
      </c>
      <c r="AA161" s="13">
        <f t="shared" si="42"/>
        <v>20</v>
      </c>
      <c r="AB161" s="5"/>
      <c r="AC161" s="5"/>
    </row>
    <row r="162" ht="12.75" customHeight="1">
      <c r="A162" s="57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13"/>
      <c r="AB162" s="5"/>
      <c r="AC162" s="5"/>
    </row>
    <row r="163" ht="15.0" customHeight="1">
      <c r="A163" s="30" t="s">
        <v>37</v>
      </c>
      <c r="B163" s="47" t="s">
        <v>138</v>
      </c>
      <c r="C163" s="48" t="s">
        <v>139</v>
      </c>
      <c r="D163" s="16"/>
      <c r="E163" s="69">
        <v>0.0</v>
      </c>
      <c r="F163" s="69">
        <v>0.0</v>
      </c>
      <c r="G163" s="69">
        <v>0.0</v>
      </c>
      <c r="H163" s="69">
        <v>0.0</v>
      </c>
      <c r="I163" s="69">
        <v>2.0</v>
      </c>
      <c r="J163" s="69">
        <v>0.0</v>
      </c>
      <c r="K163" s="69">
        <v>0.0</v>
      </c>
      <c r="L163" s="69">
        <v>0.0</v>
      </c>
      <c r="M163" s="69">
        <v>0.0</v>
      </c>
      <c r="N163" s="69">
        <v>0.0</v>
      </c>
      <c r="O163" s="69">
        <v>0.0</v>
      </c>
      <c r="P163" s="69">
        <v>0.0</v>
      </c>
      <c r="Q163" s="69">
        <v>0.0</v>
      </c>
      <c r="R163" s="69">
        <v>0.0</v>
      </c>
      <c r="S163" s="69">
        <v>0.0</v>
      </c>
      <c r="T163" s="69">
        <v>0.0</v>
      </c>
      <c r="U163" s="69">
        <v>0.0</v>
      </c>
      <c r="V163" s="69">
        <v>0.0</v>
      </c>
      <c r="W163" s="69">
        <v>0.0</v>
      </c>
      <c r="X163" s="69">
        <v>0.0</v>
      </c>
      <c r="Y163" s="69">
        <v>0.0</v>
      </c>
      <c r="Z163" s="69">
        <v>1.0</v>
      </c>
      <c r="AA163" s="13">
        <f t="shared" ref="AA163:AA165" si="44">SUM(E163:Z163)</f>
        <v>3</v>
      </c>
      <c r="AB163" s="5"/>
      <c r="AC163" s="5"/>
    </row>
    <row r="164" ht="12.75" customHeight="1">
      <c r="A164" s="30" t="s">
        <v>39</v>
      </c>
      <c r="B164" s="47"/>
      <c r="C164" s="50" t="s">
        <v>140</v>
      </c>
      <c r="D164" s="62"/>
      <c r="E164" s="69">
        <v>0.0</v>
      </c>
      <c r="F164" s="69">
        <v>0.0</v>
      </c>
      <c r="G164" s="69">
        <v>0.0</v>
      </c>
      <c r="H164" s="69">
        <v>0.0</v>
      </c>
      <c r="I164" s="69">
        <v>3.0</v>
      </c>
      <c r="J164" s="69">
        <v>0.0</v>
      </c>
      <c r="K164" s="69">
        <v>0.0</v>
      </c>
      <c r="L164" s="69">
        <v>0.0</v>
      </c>
      <c r="M164" s="69">
        <v>0.0</v>
      </c>
      <c r="N164" s="69">
        <v>0.0</v>
      </c>
      <c r="O164" s="69">
        <v>2.0</v>
      </c>
      <c r="P164" s="69">
        <v>3.0</v>
      </c>
      <c r="Q164" s="69">
        <v>0.0</v>
      </c>
      <c r="R164" s="69">
        <v>0.0</v>
      </c>
      <c r="S164" s="69">
        <v>0.0</v>
      </c>
      <c r="T164" s="69">
        <v>0.0</v>
      </c>
      <c r="U164" s="69">
        <v>0.0</v>
      </c>
      <c r="V164" s="69">
        <v>2.0</v>
      </c>
      <c r="W164" s="69">
        <v>0.0</v>
      </c>
      <c r="X164" s="69">
        <v>0.0</v>
      </c>
      <c r="Y164" s="69">
        <v>0.0</v>
      </c>
      <c r="Z164" s="69">
        <v>1.0</v>
      </c>
      <c r="AA164" s="13">
        <f t="shared" si="44"/>
        <v>11</v>
      </c>
      <c r="AB164" s="5"/>
      <c r="AC164" s="5"/>
    </row>
    <row r="165" ht="12.75" customHeight="1">
      <c r="A165" s="19" t="s">
        <v>15</v>
      </c>
      <c r="B165" s="47" t="s">
        <v>47</v>
      </c>
      <c r="C165" s="15"/>
      <c r="D165" s="16"/>
      <c r="E165" s="56">
        <f t="shared" ref="E165:Z165" si="45">SUM(E163:E164)</f>
        <v>0</v>
      </c>
      <c r="F165" s="56">
        <f t="shared" si="45"/>
        <v>0</v>
      </c>
      <c r="G165" s="56">
        <f t="shared" si="45"/>
        <v>0</v>
      </c>
      <c r="H165" s="56">
        <f t="shared" si="45"/>
        <v>0</v>
      </c>
      <c r="I165" s="56">
        <f t="shared" si="45"/>
        <v>5</v>
      </c>
      <c r="J165" s="56">
        <f t="shared" si="45"/>
        <v>0</v>
      </c>
      <c r="K165" s="56">
        <f t="shared" si="45"/>
        <v>0</v>
      </c>
      <c r="L165" s="56">
        <f t="shared" si="45"/>
        <v>0</v>
      </c>
      <c r="M165" s="56">
        <f t="shared" si="45"/>
        <v>0</v>
      </c>
      <c r="N165" s="56">
        <f t="shared" si="45"/>
        <v>0</v>
      </c>
      <c r="O165" s="56">
        <f t="shared" si="45"/>
        <v>2</v>
      </c>
      <c r="P165" s="56">
        <f t="shared" si="45"/>
        <v>3</v>
      </c>
      <c r="Q165" s="56">
        <f t="shared" si="45"/>
        <v>0</v>
      </c>
      <c r="R165" s="56">
        <f t="shared" si="45"/>
        <v>0</v>
      </c>
      <c r="S165" s="56">
        <f t="shared" si="45"/>
        <v>0</v>
      </c>
      <c r="T165" s="56">
        <f t="shared" si="45"/>
        <v>0</v>
      </c>
      <c r="U165" s="56">
        <f t="shared" si="45"/>
        <v>0</v>
      </c>
      <c r="V165" s="56">
        <f t="shared" si="45"/>
        <v>2</v>
      </c>
      <c r="W165" s="56">
        <f t="shared" si="45"/>
        <v>0</v>
      </c>
      <c r="X165" s="56">
        <f t="shared" si="45"/>
        <v>0</v>
      </c>
      <c r="Y165" s="56">
        <f t="shared" si="45"/>
        <v>0</v>
      </c>
      <c r="Z165" s="56">
        <f t="shared" si="45"/>
        <v>2</v>
      </c>
      <c r="AA165" s="13">
        <f t="shared" si="44"/>
        <v>14</v>
      </c>
      <c r="AB165" s="1"/>
      <c r="AC165" s="1"/>
    </row>
    <row r="166" ht="12.75" customHeight="1">
      <c r="A166" s="57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13"/>
      <c r="AB166" s="53"/>
      <c r="AC166" s="53"/>
    </row>
    <row r="167" ht="12.75" customHeight="1">
      <c r="A167" s="30" t="s">
        <v>37</v>
      </c>
      <c r="B167" s="47" t="s">
        <v>141</v>
      </c>
      <c r="C167" s="48" t="s">
        <v>142</v>
      </c>
      <c r="D167" s="16"/>
      <c r="E167" s="69">
        <v>0.0</v>
      </c>
      <c r="F167" s="69">
        <v>0.0</v>
      </c>
      <c r="G167" s="69">
        <v>0.0</v>
      </c>
      <c r="H167" s="69">
        <v>0.0</v>
      </c>
      <c r="I167" s="69">
        <v>0.0</v>
      </c>
      <c r="J167" s="69">
        <v>1.0</v>
      </c>
      <c r="K167" s="69">
        <v>0.0</v>
      </c>
      <c r="L167" s="69">
        <v>0.0</v>
      </c>
      <c r="M167" s="69">
        <v>0.0</v>
      </c>
      <c r="N167" s="69">
        <v>0.0</v>
      </c>
      <c r="O167" s="69">
        <v>0.0</v>
      </c>
      <c r="P167" s="69">
        <v>0.0</v>
      </c>
      <c r="Q167" s="69">
        <v>0.0</v>
      </c>
      <c r="R167" s="69">
        <v>1.0</v>
      </c>
      <c r="S167" s="69">
        <v>0.0</v>
      </c>
      <c r="T167" s="69">
        <v>0.0</v>
      </c>
      <c r="U167" s="69">
        <v>0.0</v>
      </c>
      <c r="V167" s="69">
        <v>1.0</v>
      </c>
      <c r="W167" s="69">
        <v>0.0</v>
      </c>
      <c r="X167" s="69">
        <v>0.0</v>
      </c>
      <c r="Y167" s="69">
        <v>0.0</v>
      </c>
      <c r="Z167" s="69">
        <v>1.0</v>
      </c>
      <c r="AA167" s="13">
        <f t="shared" ref="AA167:AA175" si="46">SUM(E167:Z167)</f>
        <v>4</v>
      </c>
      <c r="AB167" s="5"/>
      <c r="AC167" s="5"/>
    </row>
    <row r="168" ht="12.75" customHeight="1">
      <c r="A168" s="30" t="s">
        <v>39</v>
      </c>
      <c r="B168" s="49"/>
      <c r="C168" s="50" t="s">
        <v>143</v>
      </c>
      <c r="D168" s="51"/>
      <c r="E168" s="69">
        <v>0.0</v>
      </c>
      <c r="F168" s="69">
        <v>0.0</v>
      </c>
      <c r="G168" s="69">
        <v>0.0</v>
      </c>
      <c r="H168" s="69">
        <v>0.0</v>
      </c>
      <c r="I168" s="69">
        <v>0.0</v>
      </c>
      <c r="J168" s="69">
        <v>0.0</v>
      </c>
      <c r="K168" s="69">
        <v>0.0</v>
      </c>
      <c r="L168" s="69">
        <v>0.0</v>
      </c>
      <c r="M168" s="69">
        <v>0.0</v>
      </c>
      <c r="N168" s="69">
        <v>0.0</v>
      </c>
      <c r="O168" s="69">
        <v>0.0</v>
      </c>
      <c r="P168" s="69">
        <v>0.0</v>
      </c>
      <c r="Q168" s="69">
        <v>0.0</v>
      </c>
      <c r="R168" s="69">
        <v>3.0</v>
      </c>
      <c r="S168" s="69">
        <v>0.0</v>
      </c>
      <c r="T168" s="69">
        <v>0.0</v>
      </c>
      <c r="U168" s="69">
        <v>0.0</v>
      </c>
      <c r="V168" s="69">
        <v>0.0</v>
      </c>
      <c r="W168" s="69">
        <v>0.0</v>
      </c>
      <c r="X168" s="69">
        <v>0.0</v>
      </c>
      <c r="Y168" s="69">
        <v>0.0</v>
      </c>
      <c r="Z168" s="69">
        <v>0.0</v>
      </c>
      <c r="AA168" s="13">
        <f t="shared" si="46"/>
        <v>3</v>
      </c>
      <c r="AB168" s="5"/>
      <c r="AC168" s="5"/>
    </row>
    <row r="169" ht="12.75" customHeight="1">
      <c r="A169" s="18"/>
      <c r="B169" s="49"/>
      <c r="C169" s="50" t="s">
        <v>144</v>
      </c>
      <c r="D169" s="51"/>
      <c r="E169" s="69">
        <v>0.0</v>
      </c>
      <c r="F169" s="69">
        <v>0.0</v>
      </c>
      <c r="G169" s="69">
        <v>0.0</v>
      </c>
      <c r="H169" s="69">
        <v>0.0</v>
      </c>
      <c r="I169" s="69">
        <v>0.0</v>
      </c>
      <c r="J169" s="69">
        <v>0.0</v>
      </c>
      <c r="K169" s="69">
        <v>0.0</v>
      </c>
      <c r="L169" s="69">
        <v>0.0</v>
      </c>
      <c r="M169" s="69">
        <v>0.0</v>
      </c>
      <c r="N169" s="69">
        <v>0.0</v>
      </c>
      <c r="O169" s="69">
        <v>0.0</v>
      </c>
      <c r="P169" s="69">
        <v>0.0</v>
      </c>
      <c r="Q169" s="69">
        <v>0.0</v>
      </c>
      <c r="R169" s="69">
        <v>0.0</v>
      </c>
      <c r="S169" s="69">
        <v>0.0</v>
      </c>
      <c r="T169" s="69">
        <v>0.0</v>
      </c>
      <c r="U169" s="69">
        <v>0.0</v>
      </c>
      <c r="V169" s="69">
        <v>0.0</v>
      </c>
      <c r="W169" s="69">
        <v>0.0</v>
      </c>
      <c r="X169" s="69">
        <v>0.0</v>
      </c>
      <c r="Y169" s="69">
        <v>0.0</v>
      </c>
      <c r="Z169" s="69">
        <v>0.0</v>
      </c>
      <c r="AA169" s="13">
        <f t="shared" si="46"/>
        <v>0</v>
      </c>
      <c r="AB169" s="5"/>
      <c r="AC169" s="5"/>
    </row>
    <row r="170" ht="12.75" customHeight="1">
      <c r="A170" s="18"/>
      <c r="B170" s="49"/>
      <c r="C170" s="50" t="s">
        <v>145</v>
      </c>
      <c r="D170" s="51"/>
      <c r="E170" s="69">
        <v>0.0</v>
      </c>
      <c r="F170" s="69">
        <v>0.0</v>
      </c>
      <c r="G170" s="69">
        <v>0.0</v>
      </c>
      <c r="H170" s="69">
        <v>0.0</v>
      </c>
      <c r="I170" s="69">
        <v>0.0</v>
      </c>
      <c r="J170" s="69">
        <v>0.0</v>
      </c>
      <c r="K170" s="69">
        <v>0.0</v>
      </c>
      <c r="L170" s="69">
        <v>0.0</v>
      </c>
      <c r="M170" s="69">
        <v>0.0</v>
      </c>
      <c r="N170" s="69">
        <v>0.0</v>
      </c>
      <c r="O170" s="69">
        <v>0.0</v>
      </c>
      <c r="P170" s="69">
        <v>0.0</v>
      </c>
      <c r="Q170" s="69">
        <v>0.0</v>
      </c>
      <c r="R170" s="69">
        <v>0.0</v>
      </c>
      <c r="S170" s="69">
        <v>0.0</v>
      </c>
      <c r="T170" s="69">
        <v>0.0</v>
      </c>
      <c r="U170" s="69">
        <v>0.0</v>
      </c>
      <c r="V170" s="69">
        <v>0.0</v>
      </c>
      <c r="W170" s="69">
        <v>0.0</v>
      </c>
      <c r="X170" s="69">
        <v>0.0</v>
      </c>
      <c r="Y170" s="69">
        <v>0.0</v>
      </c>
      <c r="Z170" s="69">
        <v>0.0</v>
      </c>
      <c r="AA170" s="13">
        <f t="shared" si="46"/>
        <v>0</v>
      </c>
      <c r="AB170" s="5"/>
      <c r="AC170" s="5"/>
    </row>
    <row r="171" ht="12.75" customHeight="1">
      <c r="A171" s="18"/>
      <c r="B171" s="49"/>
      <c r="C171" s="50" t="s">
        <v>146</v>
      </c>
      <c r="D171" s="51"/>
      <c r="E171" s="69">
        <v>0.0</v>
      </c>
      <c r="F171" s="69">
        <v>1.0</v>
      </c>
      <c r="G171" s="69">
        <v>0.0</v>
      </c>
      <c r="H171" s="69">
        <v>0.0</v>
      </c>
      <c r="I171" s="69">
        <v>0.0</v>
      </c>
      <c r="J171" s="69">
        <v>0.0</v>
      </c>
      <c r="K171" s="69">
        <v>0.0</v>
      </c>
      <c r="L171" s="69">
        <v>0.0</v>
      </c>
      <c r="M171" s="69">
        <v>0.0</v>
      </c>
      <c r="N171" s="69">
        <v>0.0</v>
      </c>
      <c r="O171" s="69">
        <v>0.0</v>
      </c>
      <c r="P171" s="69">
        <v>0.0</v>
      </c>
      <c r="Q171" s="69">
        <v>0.0</v>
      </c>
      <c r="R171" s="69">
        <v>0.0</v>
      </c>
      <c r="S171" s="69">
        <v>0.0</v>
      </c>
      <c r="T171" s="69">
        <v>0.0</v>
      </c>
      <c r="U171" s="69">
        <v>0.0</v>
      </c>
      <c r="V171" s="69">
        <v>0.0</v>
      </c>
      <c r="W171" s="69">
        <v>0.0</v>
      </c>
      <c r="X171" s="69">
        <v>0.0</v>
      </c>
      <c r="Y171" s="69">
        <v>0.0</v>
      </c>
      <c r="Z171" s="69">
        <v>0.0</v>
      </c>
      <c r="AA171" s="13">
        <f t="shared" si="46"/>
        <v>1</v>
      </c>
      <c r="AB171" s="5"/>
      <c r="AC171" s="5"/>
    </row>
    <row r="172" ht="12.75" customHeight="1">
      <c r="A172" s="18"/>
      <c r="B172" s="49"/>
      <c r="C172" s="50" t="s">
        <v>147</v>
      </c>
      <c r="D172" s="51"/>
      <c r="E172" s="69">
        <v>0.0</v>
      </c>
      <c r="F172" s="69">
        <v>0.0</v>
      </c>
      <c r="G172" s="69">
        <v>0.0</v>
      </c>
      <c r="H172" s="69">
        <v>0.0</v>
      </c>
      <c r="I172" s="69">
        <v>0.0</v>
      </c>
      <c r="J172" s="69">
        <v>0.0</v>
      </c>
      <c r="K172" s="69">
        <v>0.0</v>
      </c>
      <c r="L172" s="69">
        <v>0.0</v>
      </c>
      <c r="M172" s="69">
        <v>0.0</v>
      </c>
      <c r="N172" s="69">
        <v>0.0</v>
      </c>
      <c r="O172" s="69">
        <v>0.0</v>
      </c>
      <c r="P172" s="69">
        <v>0.0</v>
      </c>
      <c r="Q172" s="69">
        <v>0.0</v>
      </c>
      <c r="R172" s="69">
        <v>0.0</v>
      </c>
      <c r="S172" s="69">
        <v>0.0</v>
      </c>
      <c r="T172" s="69">
        <v>0.0</v>
      </c>
      <c r="U172" s="69">
        <v>0.0</v>
      </c>
      <c r="V172" s="69">
        <v>0.0</v>
      </c>
      <c r="W172" s="69">
        <v>0.0</v>
      </c>
      <c r="X172" s="69">
        <v>0.0</v>
      </c>
      <c r="Y172" s="69">
        <v>0.0</v>
      </c>
      <c r="Z172" s="69">
        <v>0.0</v>
      </c>
      <c r="AA172" s="13">
        <f t="shared" si="46"/>
        <v>0</v>
      </c>
      <c r="AB172" s="5"/>
      <c r="AC172" s="5"/>
    </row>
    <row r="173" ht="12.75" customHeight="1">
      <c r="A173" s="18"/>
      <c r="B173" s="49"/>
      <c r="C173" s="50" t="s">
        <v>148</v>
      </c>
      <c r="D173" s="51"/>
      <c r="E173" s="69">
        <v>0.0</v>
      </c>
      <c r="F173" s="69">
        <v>0.0</v>
      </c>
      <c r="G173" s="69">
        <v>0.0</v>
      </c>
      <c r="H173" s="69">
        <v>0.0</v>
      </c>
      <c r="I173" s="69">
        <v>0.0</v>
      </c>
      <c r="J173" s="69">
        <v>0.0</v>
      </c>
      <c r="K173" s="69">
        <v>0.0</v>
      </c>
      <c r="L173" s="69">
        <v>0.0</v>
      </c>
      <c r="M173" s="69">
        <v>0.0</v>
      </c>
      <c r="N173" s="69">
        <v>0.0</v>
      </c>
      <c r="O173" s="69">
        <v>0.0</v>
      </c>
      <c r="P173" s="69">
        <v>0.0</v>
      </c>
      <c r="Q173" s="69">
        <v>0.0</v>
      </c>
      <c r="R173" s="69">
        <v>0.0</v>
      </c>
      <c r="S173" s="69">
        <v>0.0</v>
      </c>
      <c r="T173" s="69">
        <v>0.0</v>
      </c>
      <c r="U173" s="69">
        <v>0.0</v>
      </c>
      <c r="V173" s="69">
        <v>0.0</v>
      </c>
      <c r="W173" s="69">
        <v>0.0</v>
      </c>
      <c r="X173" s="69">
        <v>0.0</v>
      </c>
      <c r="Y173" s="69">
        <v>0.0</v>
      </c>
      <c r="Z173" s="69">
        <v>0.0</v>
      </c>
      <c r="AA173" s="13">
        <f t="shared" si="46"/>
        <v>0</v>
      </c>
      <c r="AB173" s="5"/>
      <c r="AC173" s="5"/>
    </row>
    <row r="174" ht="12.75" customHeight="1">
      <c r="A174" s="18"/>
      <c r="B174" s="49"/>
      <c r="C174" s="50" t="s">
        <v>149</v>
      </c>
      <c r="D174" s="51"/>
      <c r="E174" s="69">
        <v>0.0</v>
      </c>
      <c r="F174" s="69">
        <v>0.0</v>
      </c>
      <c r="G174" s="69">
        <v>0.0</v>
      </c>
      <c r="H174" s="69">
        <v>0.0</v>
      </c>
      <c r="I174" s="69">
        <v>0.0</v>
      </c>
      <c r="J174" s="69">
        <v>0.0</v>
      </c>
      <c r="K174" s="69">
        <v>0.0</v>
      </c>
      <c r="L174" s="69">
        <v>0.0</v>
      </c>
      <c r="M174" s="69">
        <v>0.0</v>
      </c>
      <c r="N174" s="69">
        <v>0.0</v>
      </c>
      <c r="O174" s="69">
        <v>0.0</v>
      </c>
      <c r="P174" s="69">
        <v>0.0</v>
      </c>
      <c r="Q174" s="69">
        <v>0.0</v>
      </c>
      <c r="R174" s="69">
        <v>0.0</v>
      </c>
      <c r="S174" s="69">
        <v>0.0</v>
      </c>
      <c r="T174" s="69">
        <v>0.0</v>
      </c>
      <c r="U174" s="69">
        <v>0.0</v>
      </c>
      <c r="V174" s="69">
        <v>0.0</v>
      </c>
      <c r="W174" s="69">
        <v>0.0</v>
      </c>
      <c r="X174" s="69">
        <v>0.0</v>
      </c>
      <c r="Y174" s="69">
        <v>0.0</v>
      </c>
      <c r="Z174" s="69">
        <v>0.0</v>
      </c>
      <c r="AA174" s="13">
        <f t="shared" si="46"/>
        <v>0</v>
      </c>
      <c r="AB174" s="5"/>
      <c r="AC174" s="5"/>
    </row>
    <row r="175" ht="15.0" customHeight="1">
      <c r="A175" s="19" t="s">
        <v>15</v>
      </c>
      <c r="B175" s="47" t="s">
        <v>47</v>
      </c>
      <c r="C175" s="15"/>
      <c r="D175" s="16"/>
      <c r="E175" s="56">
        <f t="shared" ref="E175:Z175" si="47">SUM(E167:E174)</f>
        <v>0</v>
      </c>
      <c r="F175" s="56">
        <f t="shared" si="47"/>
        <v>1</v>
      </c>
      <c r="G175" s="56">
        <f t="shared" si="47"/>
        <v>0</v>
      </c>
      <c r="H175" s="56">
        <f t="shared" si="47"/>
        <v>0</v>
      </c>
      <c r="I175" s="56">
        <f t="shared" si="47"/>
        <v>0</v>
      </c>
      <c r="J175" s="56">
        <f t="shared" si="47"/>
        <v>1</v>
      </c>
      <c r="K175" s="56">
        <f t="shared" si="47"/>
        <v>0</v>
      </c>
      <c r="L175" s="56">
        <f t="shared" si="47"/>
        <v>0</v>
      </c>
      <c r="M175" s="56">
        <f t="shared" si="47"/>
        <v>0</v>
      </c>
      <c r="N175" s="56">
        <f t="shared" si="47"/>
        <v>0</v>
      </c>
      <c r="O175" s="56">
        <f t="shared" si="47"/>
        <v>0</v>
      </c>
      <c r="P175" s="56">
        <f t="shared" si="47"/>
        <v>0</v>
      </c>
      <c r="Q175" s="56">
        <f t="shared" si="47"/>
        <v>0</v>
      </c>
      <c r="R175" s="56">
        <f t="shared" si="47"/>
        <v>4</v>
      </c>
      <c r="S175" s="56">
        <f t="shared" si="47"/>
        <v>0</v>
      </c>
      <c r="T175" s="56">
        <f t="shared" si="47"/>
        <v>0</v>
      </c>
      <c r="U175" s="56">
        <f t="shared" si="47"/>
        <v>0</v>
      </c>
      <c r="V175" s="56">
        <f t="shared" si="47"/>
        <v>1</v>
      </c>
      <c r="W175" s="56">
        <f t="shared" si="47"/>
        <v>0</v>
      </c>
      <c r="X175" s="56">
        <f t="shared" si="47"/>
        <v>0</v>
      </c>
      <c r="Y175" s="56">
        <f t="shared" si="47"/>
        <v>0</v>
      </c>
      <c r="Z175" s="56">
        <f t="shared" si="47"/>
        <v>1</v>
      </c>
      <c r="AA175" s="13">
        <f t="shared" si="46"/>
        <v>8</v>
      </c>
      <c r="AB175" s="5"/>
      <c r="AC175" s="5"/>
    </row>
    <row r="176" ht="12.75" customHeight="1">
      <c r="A176" s="57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13"/>
      <c r="AB176" s="1"/>
      <c r="AC176" s="1"/>
    </row>
    <row r="177" ht="12.75" customHeight="1">
      <c r="A177" s="30" t="s">
        <v>37</v>
      </c>
      <c r="B177" s="47" t="s">
        <v>150</v>
      </c>
      <c r="C177" s="48" t="s">
        <v>151</v>
      </c>
      <c r="D177" s="16"/>
      <c r="E177" s="69">
        <v>0.0</v>
      </c>
      <c r="F177" s="69">
        <v>0.0</v>
      </c>
      <c r="G177" s="69">
        <v>0.0</v>
      </c>
      <c r="H177" s="69">
        <v>0.0</v>
      </c>
      <c r="I177" s="69">
        <v>0.0</v>
      </c>
      <c r="J177" s="69">
        <v>0.0</v>
      </c>
      <c r="K177" s="69">
        <v>1.0</v>
      </c>
      <c r="L177" s="69">
        <v>0.0</v>
      </c>
      <c r="M177" s="69">
        <v>0.0</v>
      </c>
      <c r="N177" s="69">
        <v>0.0</v>
      </c>
      <c r="O177" s="69">
        <v>1.0</v>
      </c>
      <c r="P177" s="69">
        <v>8.0</v>
      </c>
      <c r="Q177" s="69">
        <v>1.0</v>
      </c>
      <c r="R177" s="69">
        <v>0.0</v>
      </c>
      <c r="S177" s="69">
        <v>1.0</v>
      </c>
      <c r="T177" s="69">
        <v>0.0</v>
      </c>
      <c r="U177" s="69">
        <v>0.0</v>
      </c>
      <c r="V177" s="69">
        <v>0.0</v>
      </c>
      <c r="W177" s="69">
        <v>1.0</v>
      </c>
      <c r="X177" s="69">
        <v>1.0</v>
      </c>
      <c r="Y177" s="69">
        <v>1.0</v>
      </c>
      <c r="Z177" s="69">
        <v>0.0</v>
      </c>
      <c r="AA177" s="13">
        <f t="shared" ref="AA177:AA181" si="48">SUM(E177:Z177)</f>
        <v>15</v>
      </c>
    </row>
    <row r="178" ht="12.75" customHeight="1">
      <c r="A178" s="30"/>
      <c r="B178" s="47"/>
      <c r="C178" s="50" t="s">
        <v>152</v>
      </c>
      <c r="D178" s="62"/>
      <c r="E178" s="69">
        <v>1.0</v>
      </c>
      <c r="F178" s="69">
        <v>0.0</v>
      </c>
      <c r="G178" s="69">
        <v>1.0</v>
      </c>
      <c r="H178" s="69">
        <v>0.0</v>
      </c>
      <c r="I178" s="69">
        <v>0.0</v>
      </c>
      <c r="J178" s="69">
        <v>0.0</v>
      </c>
      <c r="K178" s="69">
        <v>0.0</v>
      </c>
      <c r="L178" s="69">
        <v>0.0</v>
      </c>
      <c r="M178" s="69">
        <v>0.0</v>
      </c>
      <c r="N178" s="69">
        <v>0.0</v>
      </c>
      <c r="O178" s="69">
        <v>2.0</v>
      </c>
      <c r="P178" s="69">
        <v>6.0</v>
      </c>
      <c r="Q178" s="69">
        <v>0.0</v>
      </c>
      <c r="R178" s="69">
        <v>0.0</v>
      </c>
      <c r="S178" s="69">
        <v>0.0</v>
      </c>
      <c r="T178" s="69">
        <v>0.0</v>
      </c>
      <c r="U178" s="69">
        <v>1.0</v>
      </c>
      <c r="V178" s="69">
        <v>2.0</v>
      </c>
      <c r="W178" s="69">
        <v>0.0</v>
      </c>
      <c r="X178" s="69">
        <v>2.0</v>
      </c>
      <c r="Y178" s="69">
        <v>0.0</v>
      </c>
      <c r="Z178" s="69">
        <v>0.0</v>
      </c>
      <c r="AA178" s="13">
        <f t="shared" si="48"/>
        <v>15</v>
      </c>
      <c r="AB178" s="5"/>
      <c r="AC178" s="5"/>
    </row>
    <row r="179" ht="12.75" customHeight="1">
      <c r="A179" s="30"/>
      <c r="B179" s="47"/>
      <c r="C179" s="50" t="s">
        <v>153</v>
      </c>
      <c r="D179" s="62"/>
      <c r="E179" s="69">
        <v>0.0</v>
      </c>
      <c r="F179" s="69">
        <v>0.0</v>
      </c>
      <c r="G179" s="69">
        <v>0.0</v>
      </c>
      <c r="H179" s="69">
        <v>0.0</v>
      </c>
      <c r="I179" s="69">
        <v>0.0</v>
      </c>
      <c r="J179" s="69">
        <v>1.0</v>
      </c>
      <c r="K179" s="69">
        <v>0.0</v>
      </c>
      <c r="L179" s="69">
        <v>0.0</v>
      </c>
      <c r="M179" s="69">
        <v>0.0</v>
      </c>
      <c r="N179" s="69">
        <v>0.0</v>
      </c>
      <c r="O179" s="69">
        <v>6.0</v>
      </c>
      <c r="P179" s="69">
        <v>4.0</v>
      </c>
      <c r="Q179" s="69">
        <v>0.0</v>
      </c>
      <c r="R179" s="69">
        <v>1.0</v>
      </c>
      <c r="S179" s="69">
        <v>0.0</v>
      </c>
      <c r="T179" s="69">
        <v>0.0</v>
      </c>
      <c r="U179" s="69">
        <v>2.0</v>
      </c>
      <c r="V179" s="69">
        <v>1.0</v>
      </c>
      <c r="W179" s="69">
        <v>1.0</v>
      </c>
      <c r="X179" s="69">
        <v>0.0</v>
      </c>
      <c r="Y179" s="69">
        <v>0.0</v>
      </c>
      <c r="Z179" s="69">
        <v>1.0</v>
      </c>
      <c r="AA179" s="13">
        <f t="shared" si="48"/>
        <v>17</v>
      </c>
      <c r="AB179" s="5"/>
      <c r="AC179" s="5"/>
    </row>
    <row r="180" ht="12.75" customHeight="1">
      <c r="A180" s="30" t="s">
        <v>39</v>
      </c>
      <c r="B180" s="49"/>
      <c r="C180" s="50" t="s">
        <v>154</v>
      </c>
      <c r="D180" s="51"/>
      <c r="E180" s="69">
        <v>0.0</v>
      </c>
      <c r="F180" s="69">
        <v>0.0</v>
      </c>
      <c r="G180" s="69">
        <v>0.0</v>
      </c>
      <c r="H180" s="69">
        <v>0.0</v>
      </c>
      <c r="I180" s="69">
        <v>0.0</v>
      </c>
      <c r="J180" s="69">
        <v>0.0</v>
      </c>
      <c r="K180" s="69">
        <v>0.0</v>
      </c>
      <c r="L180" s="69">
        <v>0.0</v>
      </c>
      <c r="M180" s="69">
        <v>0.0</v>
      </c>
      <c r="N180" s="69">
        <v>0.0</v>
      </c>
      <c r="O180" s="69">
        <v>0.0</v>
      </c>
      <c r="P180" s="69">
        <v>0.0</v>
      </c>
      <c r="Q180" s="69">
        <v>0.0</v>
      </c>
      <c r="R180" s="69">
        <v>0.0</v>
      </c>
      <c r="S180" s="69">
        <v>0.0</v>
      </c>
      <c r="T180" s="69">
        <v>0.0</v>
      </c>
      <c r="U180" s="69">
        <v>0.0</v>
      </c>
      <c r="V180" s="69">
        <v>0.0</v>
      </c>
      <c r="W180" s="69">
        <v>0.0</v>
      </c>
      <c r="X180" s="69">
        <v>0.0</v>
      </c>
      <c r="Y180" s="69">
        <v>0.0</v>
      </c>
      <c r="Z180" s="69">
        <v>0.0</v>
      </c>
      <c r="AA180" s="13">
        <f t="shared" si="48"/>
        <v>0</v>
      </c>
      <c r="AB180" s="5"/>
      <c r="AC180" s="5"/>
    </row>
    <row r="181" ht="12.75" customHeight="1">
      <c r="A181" s="19" t="s">
        <v>15</v>
      </c>
      <c r="B181" s="47" t="s">
        <v>47</v>
      </c>
      <c r="C181" s="15"/>
      <c r="D181" s="16"/>
      <c r="E181" s="56">
        <f t="shared" ref="E181:Z181" si="49">SUM(E177:E180)</f>
        <v>1</v>
      </c>
      <c r="F181" s="56">
        <f t="shared" si="49"/>
        <v>0</v>
      </c>
      <c r="G181" s="56">
        <f t="shared" si="49"/>
        <v>1</v>
      </c>
      <c r="H181" s="56">
        <f t="shared" si="49"/>
        <v>0</v>
      </c>
      <c r="I181" s="56">
        <f t="shared" si="49"/>
        <v>0</v>
      </c>
      <c r="J181" s="56">
        <f t="shared" si="49"/>
        <v>1</v>
      </c>
      <c r="K181" s="56">
        <f t="shared" si="49"/>
        <v>1</v>
      </c>
      <c r="L181" s="56">
        <f t="shared" si="49"/>
        <v>0</v>
      </c>
      <c r="M181" s="56">
        <f t="shared" si="49"/>
        <v>0</v>
      </c>
      <c r="N181" s="56">
        <f t="shared" si="49"/>
        <v>0</v>
      </c>
      <c r="O181" s="56">
        <f t="shared" si="49"/>
        <v>9</v>
      </c>
      <c r="P181" s="56">
        <f t="shared" si="49"/>
        <v>18</v>
      </c>
      <c r="Q181" s="56">
        <f t="shared" si="49"/>
        <v>1</v>
      </c>
      <c r="R181" s="56">
        <f t="shared" si="49"/>
        <v>1</v>
      </c>
      <c r="S181" s="56">
        <f t="shared" si="49"/>
        <v>1</v>
      </c>
      <c r="T181" s="56">
        <f t="shared" si="49"/>
        <v>0</v>
      </c>
      <c r="U181" s="56">
        <f t="shared" si="49"/>
        <v>3</v>
      </c>
      <c r="V181" s="56">
        <f t="shared" si="49"/>
        <v>3</v>
      </c>
      <c r="W181" s="56">
        <f t="shared" si="49"/>
        <v>2</v>
      </c>
      <c r="X181" s="56">
        <f t="shared" si="49"/>
        <v>3</v>
      </c>
      <c r="Y181" s="56">
        <f t="shared" si="49"/>
        <v>1</v>
      </c>
      <c r="Z181" s="56">
        <f t="shared" si="49"/>
        <v>1</v>
      </c>
      <c r="AA181" s="13">
        <f t="shared" si="48"/>
        <v>47</v>
      </c>
      <c r="AB181" s="5"/>
      <c r="AC181" s="5"/>
    </row>
    <row r="182" ht="12.75" customHeight="1">
      <c r="A182" s="57"/>
      <c r="B182" s="58"/>
      <c r="C182" s="58"/>
      <c r="D182" s="63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13"/>
      <c r="AB182" s="5"/>
      <c r="AC182" s="5"/>
    </row>
    <row r="183" ht="12.75" customHeight="1">
      <c r="A183" s="42" t="s">
        <v>155</v>
      </c>
      <c r="B183" s="14" t="s">
        <v>156</v>
      </c>
      <c r="C183" s="15"/>
      <c r="D183" s="16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5"/>
      <c r="AC183" s="5"/>
    </row>
    <row r="184" ht="12.75" customHeight="1">
      <c r="A184" s="42"/>
      <c r="B184" s="64" t="s">
        <v>157</v>
      </c>
      <c r="C184" s="65" t="s">
        <v>158</v>
      </c>
      <c r="D184" s="16"/>
      <c r="E184" s="19">
        <f t="shared" ref="E184:Z184" si="50">E181+E175+E165+E161+E156+E146+E136+E129+E125+E115+E111+E101+E97+E93+E83+E73+E63+E53</f>
        <v>214</v>
      </c>
      <c r="F184" s="19">
        <f t="shared" si="50"/>
        <v>219</v>
      </c>
      <c r="G184" s="19">
        <f t="shared" si="50"/>
        <v>227</v>
      </c>
      <c r="H184" s="19">
        <f t="shared" si="50"/>
        <v>220</v>
      </c>
      <c r="I184" s="19">
        <f t="shared" si="50"/>
        <v>238</v>
      </c>
      <c r="J184" s="19">
        <f t="shared" si="50"/>
        <v>204</v>
      </c>
      <c r="K184" s="19">
        <f t="shared" si="50"/>
        <v>198</v>
      </c>
      <c r="L184" s="19">
        <f t="shared" si="50"/>
        <v>191</v>
      </c>
      <c r="M184" s="19">
        <f t="shared" si="50"/>
        <v>217</v>
      </c>
      <c r="N184" s="19">
        <f t="shared" si="50"/>
        <v>189</v>
      </c>
      <c r="O184" s="19">
        <f t="shared" si="50"/>
        <v>238</v>
      </c>
      <c r="P184" s="19">
        <f t="shared" si="50"/>
        <v>231</v>
      </c>
      <c r="Q184" s="19">
        <f t="shared" si="50"/>
        <v>221</v>
      </c>
      <c r="R184" s="19">
        <f t="shared" si="50"/>
        <v>211</v>
      </c>
      <c r="S184" s="19">
        <f t="shared" si="50"/>
        <v>210</v>
      </c>
      <c r="T184" s="19">
        <f t="shared" si="50"/>
        <v>207</v>
      </c>
      <c r="U184" s="19">
        <f t="shared" si="50"/>
        <v>227</v>
      </c>
      <c r="V184" s="19">
        <f t="shared" si="50"/>
        <v>240</v>
      </c>
      <c r="W184" s="19">
        <f t="shared" si="50"/>
        <v>203</v>
      </c>
      <c r="X184" s="19">
        <f t="shared" si="50"/>
        <v>196</v>
      </c>
      <c r="Y184" s="19">
        <f t="shared" si="50"/>
        <v>212</v>
      </c>
      <c r="Z184" s="19">
        <f t="shared" si="50"/>
        <v>243</v>
      </c>
      <c r="AA184" s="13">
        <f t="shared" ref="AA184:AA186" si="51">SUM(E184:Z184)</f>
        <v>4756</v>
      </c>
      <c r="AB184" s="5"/>
      <c r="AC184" s="5"/>
    </row>
    <row r="185" ht="12.75" customHeight="1">
      <c r="A185" s="35"/>
      <c r="B185" s="64" t="s">
        <v>159</v>
      </c>
      <c r="C185" s="65" t="s">
        <v>160</v>
      </c>
      <c r="D185" s="16"/>
      <c r="E185" s="69">
        <v>5.0</v>
      </c>
      <c r="F185" s="69">
        <v>8.0</v>
      </c>
      <c r="G185" s="69">
        <v>6.0</v>
      </c>
      <c r="H185" s="69">
        <v>10.0</v>
      </c>
      <c r="I185" s="69">
        <v>2.0</v>
      </c>
      <c r="J185" s="69">
        <v>8.0</v>
      </c>
      <c r="K185" s="69">
        <v>5.0</v>
      </c>
      <c r="L185" s="69">
        <v>9.0</v>
      </c>
      <c r="M185" s="69">
        <v>15.0</v>
      </c>
      <c r="N185" s="69">
        <v>10.0</v>
      </c>
      <c r="O185" s="69">
        <v>5.0</v>
      </c>
      <c r="P185" s="69">
        <v>7.0</v>
      </c>
      <c r="Q185" s="69">
        <v>11.0</v>
      </c>
      <c r="R185" s="69">
        <v>8.0</v>
      </c>
      <c r="S185" s="69">
        <v>9.0</v>
      </c>
      <c r="T185" s="69">
        <v>5.0</v>
      </c>
      <c r="U185" s="69">
        <v>3.0</v>
      </c>
      <c r="V185" s="69">
        <v>3.0</v>
      </c>
      <c r="W185" s="69">
        <v>8.0</v>
      </c>
      <c r="X185" s="69">
        <v>10.0</v>
      </c>
      <c r="Y185" s="69">
        <v>25.0</v>
      </c>
      <c r="Z185" s="69">
        <v>15.0</v>
      </c>
      <c r="AA185" s="13">
        <f t="shared" si="51"/>
        <v>187</v>
      </c>
      <c r="AB185" s="5"/>
      <c r="AC185" s="5"/>
    </row>
    <row r="186" ht="12.75" customHeight="1">
      <c r="A186" s="41"/>
      <c r="B186" s="64" t="s">
        <v>161</v>
      </c>
      <c r="C186" s="65" t="s">
        <v>162</v>
      </c>
      <c r="D186" s="16"/>
      <c r="E186" s="13">
        <f t="shared" ref="E186:Z186" si="52">SUM(E184:E185)</f>
        <v>219</v>
      </c>
      <c r="F186" s="13">
        <f t="shared" si="52"/>
        <v>227</v>
      </c>
      <c r="G186" s="13">
        <f t="shared" si="52"/>
        <v>233</v>
      </c>
      <c r="H186" s="13">
        <f t="shared" si="52"/>
        <v>230</v>
      </c>
      <c r="I186" s="13">
        <f t="shared" si="52"/>
        <v>240</v>
      </c>
      <c r="J186" s="13">
        <f t="shared" si="52"/>
        <v>212</v>
      </c>
      <c r="K186" s="13">
        <f t="shared" si="52"/>
        <v>203</v>
      </c>
      <c r="L186" s="13">
        <f t="shared" si="52"/>
        <v>200</v>
      </c>
      <c r="M186" s="13">
        <f t="shared" si="52"/>
        <v>232</v>
      </c>
      <c r="N186" s="13">
        <f t="shared" si="52"/>
        <v>199</v>
      </c>
      <c r="O186" s="13">
        <f t="shared" si="52"/>
        <v>243</v>
      </c>
      <c r="P186" s="13">
        <f t="shared" si="52"/>
        <v>238</v>
      </c>
      <c r="Q186" s="13">
        <f t="shared" si="52"/>
        <v>232</v>
      </c>
      <c r="R186" s="13">
        <f t="shared" si="52"/>
        <v>219</v>
      </c>
      <c r="S186" s="13">
        <f t="shared" si="52"/>
        <v>219</v>
      </c>
      <c r="T186" s="13">
        <f t="shared" si="52"/>
        <v>212</v>
      </c>
      <c r="U186" s="13">
        <f t="shared" si="52"/>
        <v>230</v>
      </c>
      <c r="V186" s="13">
        <f t="shared" si="52"/>
        <v>243</v>
      </c>
      <c r="W186" s="13">
        <f t="shared" si="52"/>
        <v>211</v>
      </c>
      <c r="X186" s="13">
        <f t="shared" si="52"/>
        <v>206</v>
      </c>
      <c r="Y186" s="13">
        <f t="shared" si="52"/>
        <v>237</v>
      </c>
      <c r="Z186" s="13">
        <f t="shared" si="52"/>
        <v>258</v>
      </c>
      <c r="AA186" s="13">
        <f t="shared" si="51"/>
        <v>4943</v>
      </c>
      <c r="AB186" s="5"/>
      <c r="AC186" s="5"/>
    </row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9">
    <mergeCell ref="B111:D111"/>
    <mergeCell ref="C113:D113"/>
    <mergeCell ref="B115:D115"/>
    <mergeCell ref="C117:D117"/>
    <mergeCell ref="B125:D125"/>
    <mergeCell ref="C127:D127"/>
    <mergeCell ref="B129:D129"/>
    <mergeCell ref="C131:D131"/>
    <mergeCell ref="B136:D136"/>
    <mergeCell ref="C138:D138"/>
    <mergeCell ref="B146:D146"/>
    <mergeCell ref="C148:D148"/>
    <mergeCell ref="B156:D156"/>
    <mergeCell ref="C158:D158"/>
    <mergeCell ref="B183:D183"/>
    <mergeCell ref="C184:D184"/>
    <mergeCell ref="C185:D185"/>
    <mergeCell ref="C186:D186"/>
    <mergeCell ref="B161:D161"/>
    <mergeCell ref="C163:D163"/>
    <mergeCell ref="B165:D165"/>
    <mergeCell ref="C167:D167"/>
    <mergeCell ref="B175:D175"/>
    <mergeCell ref="C177:D177"/>
    <mergeCell ref="B181:D181"/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3:D53"/>
    <mergeCell ref="C55:D55"/>
    <mergeCell ref="B63:D63"/>
    <mergeCell ref="C65:D65"/>
    <mergeCell ref="B73:D73"/>
    <mergeCell ref="C75:D75"/>
    <mergeCell ref="B83:D83"/>
    <mergeCell ref="C85:D85"/>
    <mergeCell ref="B93:D93"/>
    <mergeCell ref="C95:D95"/>
    <mergeCell ref="B97:D97"/>
    <mergeCell ref="C99:D99"/>
    <mergeCell ref="B101:D101"/>
    <mergeCell ref="C103:D103"/>
  </mergeCells>
  <conditionalFormatting sqref="E14:Z15">
    <cfRule type="containsBlanks" dxfId="3" priority="1">
      <formula>LEN(TRIM(E14))=0</formula>
    </cfRule>
  </conditionalFormatting>
  <conditionalFormatting sqref="E19:Z20">
    <cfRule type="containsBlanks" dxfId="3" priority="2">
      <formula>LEN(TRIM(E19))=0</formula>
    </cfRule>
  </conditionalFormatting>
  <conditionalFormatting sqref="E22:Z23 E25:Z26 E33:Z33 E35:Z35 E39:Z40">
    <cfRule type="containsBlanks" dxfId="3" priority="3">
      <formula>LEN(TRIM(E22))=0</formula>
    </cfRule>
  </conditionalFormatting>
  <conditionalFormatting sqref="E30:Z30">
    <cfRule type="expression" dxfId="0" priority="4">
      <formula>E30&lt;&gt;E47</formula>
    </cfRule>
  </conditionalFormatting>
  <conditionalFormatting sqref="E30:Z30">
    <cfRule type="expression" dxfId="0" priority="5">
      <formula>E30&lt;&gt;E34</formula>
    </cfRule>
  </conditionalFormatting>
  <conditionalFormatting sqref="E34:Z34">
    <cfRule type="expression" dxfId="1" priority="6">
      <formula>E30&lt;&gt;E34</formula>
    </cfRule>
  </conditionalFormatting>
  <conditionalFormatting sqref="E34:Z34">
    <cfRule type="expression" dxfId="2" priority="7">
      <formula>E30=E34</formula>
    </cfRule>
  </conditionalFormatting>
  <conditionalFormatting sqref="E34:Z34">
    <cfRule type="expression" dxfId="0" priority="8">
      <formula>E34&lt;&gt;E30</formula>
    </cfRule>
  </conditionalFormatting>
  <conditionalFormatting sqref="E34:Z34">
    <cfRule type="expression" dxfId="0" priority="9">
      <formula>E34&lt;&gt;E64</formula>
    </cfRule>
  </conditionalFormatting>
  <conditionalFormatting sqref="E45:Z52">
    <cfRule type="containsBlanks" dxfId="3" priority="10">
      <formula>LEN(TRIM(E45))=0</formula>
    </cfRule>
  </conditionalFormatting>
  <conditionalFormatting sqref="E55:Z62">
    <cfRule type="containsBlanks" dxfId="3" priority="11">
      <formula>LEN(TRIM(E55))=0</formula>
    </cfRule>
  </conditionalFormatting>
  <conditionalFormatting sqref="E65:Z72">
    <cfRule type="containsBlanks" dxfId="3" priority="12">
      <formula>LEN(TRIM(E65))=0</formula>
    </cfRule>
  </conditionalFormatting>
  <conditionalFormatting sqref="E75:Z82">
    <cfRule type="containsBlanks" dxfId="3" priority="13">
      <formula>LEN(TRIM(E75))=0</formula>
    </cfRule>
  </conditionalFormatting>
  <conditionalFormatting sqref="E85:Z92">
    <cfRule type="containsBlanks" dxfId="3" priority="14">
      <formula>LEN(TRIM(E85))=0</formula>
    </cfRule>
  </conditionalFormatting>
  <conditionalFormatting sqref="E95:Z96">
    <cfRule type="containsBlanks" dxfId="3" priority="15">
      <formula>LEN(TRIM(E95))=0</formula>
    </cfRule>
  </conditionalFormatting>
  <conditionalFormatting sqref="E99:Z100">
    <cfRule type="containsBlanks" dxfId="3" priority="16">
      <formula>LEN(TRIM(E99))=0</formula>
    </cfRule>
  </conditionalFormatting>
  <conditionalFormatting sqref="E103:Z110">
    <cfRule type="containsBlanks" dxfId="3" priority="17">
      <formula>LEN(TRIM(E103))=0</formula>
    </cfRule>
  </conditionalFormatting>
  <conditionalFormatting sqref="E113:Z114">
    <cfRule type="containsBlanks" dxfId="3" priority="18">
      <formula>LEN(TRIM(E113))=0</formula>
    </cfRule>
  </conditionalFormatting>
  <conditionalFormatting sqref="E117:Z124">
    <cfRule type="containsBlanks" dxfId="3" priority="19">
      <formula>LEN(TRIM(E117))=0</formula>
    </cfRule>
  </conditionalFormatting>
  <conditionalFormatting sqref="E127:Z128">
    <cfRule type="containsBlanks" dxfId="3" priority="20">
      <formula>LEN(TRIM(E127))=0</formula>
    </cfRule>
  </conditionalFormatting>
  <conditionalFormatting sqref="E131:Z135">
    <cfRule type="containsBlanks" dxfId="3" priority="21">
      <formula>LEN(TRIM(E131))=0</formula>
    </cfRule>
  </conditionalFormatting>
  <conditionalFormatting sqref="E138:Z145">
    <cfRule type="containsBlanks" dxfId="3" priority="22">
      <formula>LEN(TRIM(E138))=0</formula>
    </cfRule>
  </conditionalFormatting>
  <conditionalFormatting sqref="E148:Z155">
    <cfRule type="containsBlanks" dxfId="3" priority="23">
      <formula>LEN(TRIM(E148))=0</formula>
    </cfRule>
  </conditionalFormatting>
  <conditionalFormatting sqref="E158:Z160">
    <cfRule type="containsBlanks" dxfId="3" priority="24">
      <formula>LEN(TRIM(E158))=0</formula>
    </cfRule>
  </conditionalFormatting>
  <conditionalFormatting sqref="E163:Z164">
    <cfRule type="containsBlanks" dxfId="3" priority="25">
      <formula>LEN(TRIM(E163))=0</formula>
    </cfRule>
  </conditionalFormatting>
  <conditionalFormatting sqref="E167:Z174">
    <cfRule type="containsBlanks" dxfId="3" priority="26">
      <formula>LEN(TRIM(E167))=0</formula>
    </cfRule>
  </conditionalFormatting>
  <conditionalFormatting sqref="E177:Z180">
    <cfRule type="containsBlanks" dxfId="3" priority="27">
      <formula>LEN(TRIM(E177))=0</formula>
    </cfRule>
  </conditionalFormatting>
  <conditionalFormatting sqref="E184:Z185">
    <cfRule type="containsBlanks" dxfId="3" priority="28">
      <formula>LEN(TRIM(E184))=0</formula>
    </cfRule>
  </conditionalFormatting>
  <conditionalFormatting sqref="E186:Z186">
    <cfRule type="expression" dxfId="0" priority="29">
      <formula>E186&lt;&gt;#REF!</formula>
    </cfRule>
  </conditionalFormatting>
  <conditionalFormatting sqref="E186:Z186">
    <cfRule type="expression" dxfId="1" priority="30">
      <formula>#REF!&lt;&gt;E186</formula>
    </cfRule>
  </conditionalFormatting>
  <conditionalFormatting sqref="E186:Z186">
    <cfRule type="expression" dxfId="2" priority="31">
      <formula>#REF!=E186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  <col customWidth="1" min="28" max="29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163</v>
      </c>
      <c r="D9" s="8" t="s">
        <v>210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165</v>
      </c>
      <c r="F13" s="13" t="s">
        <v>166</v>
      </c>
      <c r="G13" s="13" t="s">
        <v>167</v>
      </c>
      <c r="H13" s="13" t="s">
        <v>168</v>
      </c>
      <c r="I13" s="13" t="s">
        <v>169</v>
      </c>
      <c r="J13" s="13" t="s">
        <v>170</v>
      </c>
      <c r="K13" s="13" t="s">
        <v>171</v>
      </c>
      <c r="L13" s="13" t="s">
        <v>172</v>
      </c>
      <c r="M13" s="13" t="s">
        <v>173</v>
      </c>
      <c r="N13" s="13" t="s">
        <v>174</v>
      </c>
      <c r="O13" s="13" t="s">
        <v>175</v>
      </c>
      <c r="P13" s="13" t="s">
        <v>176</v>
      </c>
      <c r="Q13" s="13" t="s">
        <v>177</v>
      </c>
      <c r="R13" s="13" t="s">
        <v>178</v>
      </c>
      <c r="S13" s="13" t="s">
        <v>179</v>
      </c>
      <c r="T13" s="13" t="s">
        <v>180</v>
      </c>
      <c r="U13" s="13" t="s">
        <v>181</v>
      </c>
      <c r="V13" s="13" t="s">
        <v>182</v>
      </c>
      <c r="W13" s="13" t="s">
        <v>183</v>
      </c>
      <c r="X13" s="13" t="s">
        <v>184</v>
      </c>
      <c r="Y13" s="13" t="s">
        <v>185</v>
      </c>
      <c r="Z13" s="13" t="s">
        <v>186</v>
      </c>
      <c r="AA13" s="36"/>
    </row>
    <row r="14" ht="12.75" customHeight="1">
      <c r="A14" s="18"/>
      <c r="B14" s="22" t="s">
        <v>11</v>
      </c>
      <c r="C14" s="23"/>
      <c r="D14" s="19" t="s">
        <v>12</v>
      </c>
      <c r="E14" s="69">
        <v>131.0</v>
      </c>
      <c r="F14" s="69">
        <v>134.0</v>
      </c>
      <c r="G14" s="69">
        <v>136.0</v>
      </c>
      <c r="H14" s="69">
        <v>143.0</v>
      </c>
      <c r="I14" s="69">
        <v>134.0</v>
      </c>
      <c r="J14" s="69">
        <v>129.0</v>
      </c>
      <c r="K14" s="69">
        <v>142.0</v>
      </c>
      <c r="L14" s="69">
        <v>141.0</v>
      </c>
      <c r="M14" s="69">
        <v>138.0</v>
      </c>
      <c r="N14" s="69">
        <v>150.0</v>
      </c>
      <c r="O14" s="69">
        <v>141.0</v>
      </c>
      <c r="P14" s="69">
        <v>147.0</v>
      </c>
      <c r="Q14" s="69">
        <v>156.0</v>
      </c>
      <c r="R14" s="69">
        <v>137.0</v>
      </c>
      <c r="S14" s="69">
        <v>123.0</v>
      </c>
      <c r="T14" s="69">
        <v>139.0</v>
      </c>
      <c r="U14" s="69">
        <v>132.0</v>
      </c>
      <c r="V14" s="69">
        <v>132.0</v>
      </c>
      <c r="W14" s="69">
        <v>133.0</v>
      </c>
      <c r="X14" s="69">
        <v>137.0</v>
      </c>
      <c r="Y14" s="69">
        <v>125.0</v>
      </c>
      <c r="Z14" s="69">
        <v>139.0</v>
      </c>
      <c r="AA14" s="13">
        <f t="shared" ref="AA14:AA16" si="1">SUM(E14:Z14)</f>
        <v>3019</v>
      </c>
    </row>
    <row r="15" ht="12.75" customHeight="1">
      <c r="A15" s="18"/>
      <c r="B15" s="26"/>
      <c r="C15" s="27"/>
      <c r="D15" s="19" t="s">
        <v>13</v>
      </c>
      <c r="E15" s="69">
        <v>144.0</v>
      </c>
      <c r="F15" s="69">
        <v>132.0</v>
      </c>
      <c r="G15" s="69">
        <v>137.0</v>
      </c>
      <c r="H15" s="69">
        <v>144.0</v>
      </c>
      <c r="I15" s="69">
        <v>136.0</v>
      </c>
      <c r="J15" s="69">
        <v>145.0</v>
      </c>
      <c r="K15" s="69">
        <v>134.0</v>
      </c>
      <c r="L15" s="69">
        <v>136.0</v>
      </c>
      <c r="M15" s="69">
        <v>148.0</v>
      </c>
      <c r="N15" s="69">
        <v>145.0</v>
      </c>
      <c r="O15" s="69">
        <v>140.0</v>
      </c>
      <c r="P15" s="69">
        <v>146.0</v>
      </c>
      <c r="Q15" s="69">
        <v>141.0</v>
      </c>
      <c r="R15" s="69">
        <v>124.0</v>
      </c>
      <c r="S15" s="69">
        <v>129.0</v>
      </c>
      <c r="T15" s="69">
        <v>125.0</v>
      </c>
      <c r="U15" s="69">
        <v>133.0</v>
      </c>
      <c r="V15" s="69">
        <v>137.0</v>
      </c>
      <c r="W15" s="69">
        <v>133.0</v>
      </c>
      <c r="X15" s="69">
        <v>137.0</v>
      </c>
      <c r="Y15" s="69">
        <v>133.0</v>
      </c>
      <c r="Z15" s="69">
        <v>133.0</v>
      </c>
      <c r="AA15" s="13">
        <f t="shared" si="1"/>
        <v>3012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275</v>
      </c>
      <c r="F16" s="13">
        <f t="shared" si="2"/>
        <v>266</v>
      </c>
      <c r="G16" s="13">
        <f t="shared" si="2"/>
        <v>273</v>
      </c>
      <c r="H16" s="13">
        <f t="shared" si="2"/>
        <v>287</v>
      </c>
      <c r="I16" s="13">
        <f t="shared" si="2"/>
        <v>270</v>
      </c>
      <c r="J16" s="13">
        <f t="shared" si="2"/>
        <v>274</v>
      </c>
      <c r="K16" s="13">
        <f t="shared" si="2"/>
        <v>276</v>
      </c>
      <c r="L16" s="13">
        <f t="shared" si="2"/>
        <v>277</v>
      </c>
      <c r="M16" s="13">
        <f t="shared" si="2"/>
        <v>286</v>
      </c>
      <c r="N16" s="13">
        <f t="shared" si="2"/>
        <v>295</v>
      </c>
      <c r="O16" s="13">
        <f t="shared" si="2"/>
        <v>281</v>
      </c>
      <c r="P16" s="13">
        <f t="shared" si="2"/>
        <v>293</v>
      </c>
      <c r="Q16" s="13">
        <f t="shared" si="2"/>
        <v>297</v>
      </c>
      <c r="R16" s="13">
        <f t="shared" si="2"/>
        <v>261</v>
      </c>
      <c r="S16" s="13">
        <f t="shared" si="2"/>
        <v>252</v>
      </c>
      <c r="T16" s="13">
        <f t="shared" si="2"/>
        <v>264</v>
      </c>
      <c r="U16" s="13">
        <f t="shared" si="2"/>
        <v>265</v>
      </c>
      <c r="V16" s="13">
        <f t="shared" si="2"/>
        <v>269</v>
      </c>
      <c r="W16" s="13">
        <f t="shared" si="2"/>
        <v>266</v>
      </c>
      <c r="X16" s="13">
        <f t="shared" si="2"/>
        <v>274</v>
      </c>
      <c r="Y16" s="13">
        <f t="shared" si="2"/>
        <v>258</v>
      </c>
      <c r="Z16" s="13">
        <f t="shared" si="2"/>
        <v>272</v>
      </c>
      <c r="AA16" s="13">
        <f t="shared" si="1"/>
        <v>6031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0"/>
      <c r="O17" s="19"/>
      <c r="P17" s="19"/>
      <c r="Q17" s="19"/>
      <c r="R17" s="19"/>
      <c r="S17" s="70"/>
      <c r="T17" s="19"/>
      <c r="U17" s="19"/>
      <c r="V17" s="19"/>
      <c r="W17" s="19"/>
      <c r="X17" s="70"/>
      <c r="Y17" s="19"/>
      <c r="Z17" s="19"/>
      <c r="AA17" s="71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0"/>
      <c r="O18" s="19"/>
      <c r="P18" s="19"/>
      <c r="Q18" s="19"/>
      <c r="R18" s="19"/>
      <c r="S18" s="70"/>
      <c r="T18" s="19"/>
      <c r="U18" s="19"/>
      <c r="V18" s="19"/>
      <c r="W18" s="19"/>
      <c r="X18" s="70"/>
      <c r="Y18" s="19"/>
      <c r="Z18" s="19"/>
      <c r="AA18" s="71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69">
        <v>102.0</v>
      </c>
      <c r="F19" s="69">
        <v>99.0</v>
      </c>
      <c r="G19" s="69">
        <v>104.0</v>
      </c>
      <c r="H19" s="69">
        <v>112.0</v>
      </c>
      <c r="I19" s="69">
        <v>106.0</v>
      </c>
      <c r="J19" s="69">
        <v>100.0</v>
      </c>
      <c r="K19" s="69">
        <v>106.0</v>
      </c>
      <c r="L19" s="69">
        <v>113.0</v>
      </c>
      <c r="M19" s="69">
        <v>101.0</v>
      </c>
      <c r="N19" s="69">
        <v>111.0</v>
      </c>
      <c r="O19" s="69">
        <v>108.0</v>
      </c>
      <c r="P19" s="69">
        <v>122.0</v>
      </c>
      <c r="Q19" s="69">
        <v>121.0</v>
      </c>
      <c r="R19" s="69">
        <v>111.0</v>
      </c>
      <c r="S19" s="69">
        <v>102.0</v>
      </c>
      <c r="T19" s="69">
        <v>110.0</v>
      </c>
      <c r="U19" s="69">
        <v>103.0</v>
      </c>
      <c r="V19" s="69">
        <v>94.0</v>
      </c>
      <c r="W19" s="69">
        <v>110.0</v>
      </c>
      <c r="X19" s="69">
        <v>100.0</v>
      </c>
      <c r="Y19" s="69">
        <v>99.0</v>
      </c>
      <c r="Z19" s="69">
        <v>108.0</v>
      </c>
      <c r="AA19" s="13">
        <f t="shared" ref="AA19:AA30" si="3">SUM(E19:Z19)</f>
        <v>2342</v>
      </c>
    </row>
    <row r="20" ht="12.75" customHeight="1">
      <c r="A20" s="33"/>
      <c r="B20" s="27"/>
      <c r="C20" s="34"/>
      <c r="D20" s="19" t="s">
        <v>13</v>
      </c>
      <c r="E20" s="69">
        <v>123.0</v>
      </c>
      <c r="F20" s="69">
        <v>109.0</v>
      </c>
      <c r="G20" s="69">
        <v>107.0</v>
      </c>
      <c r="H20" s="69">
        <v>111.0</v>
      </c>
      <c r="I20" s="69">
        <v>113.0</v>
      </c>
      <c r="J20" s="69">
        <v>117.0</v>
      </c>
      <c r="K20" s="69">
        <v>113.0</v>
      </c>
      <c r="L20" s="69">
        <v>108.0</v>
      </c>
      <c r="M20" s="69">
        <v>125.0</v>
      </c>
      <c r="N20" s="69">
        <v>113.0</v>
      </c>
      <c r="O20" s="69">
        <v>113.0</v>
      </c>
      <c r="P20" s="69">
        <v>118.0</v>
      </c>
      <c r="Q20" s="69">
        <v>110.0</v>
      </c>
      <c r="R20" s="69">
        <v>105.0</v>
      </c>
      <c r="S20" s="69">
        <v>115.0</v>
      </c>
      <c r="T20" s="69">
        <v>104.0</v>
      </c>
      <c r="U20" s="69">
        <v>95.0</v>
      </c>
      <c r="V20" s="69">
        <v>105.0</v>
      </c>
      <c r="W20" s="69">
        <v>105.0</v>
      </c>
      <c r="X20" s="69">
        <v>107.0</v>
      </c>
      <c r="Y20" s="69">
        <v>102.0</v>
      </c>
      <c r="Z20" s="69">
        <v>109.0</v>
      </c>
      <c r="AA20" s="13">
        <f t="shared" si="3"/>
        <v>2427</v>
      </c>
    </row>
    <row r="21" ht="12.75" customHeight="1">
      <c r="A21" s="35"/>
      <c r="B21" s="28"/>
      <c r="C21" s="36"/>
      <c r="D21" s="13" t="s">
        <v>14</v>
      </c>
      <c r="E21" s="13">
        <f t="shared" ref="E21:Z21" si="4">SUM(E19:E20)</f>
        <v>225</v>
      </c>
      <c r="F21" s="13">
        <f t="shared" si="4"/>
        <v>208</v>
      </c>
      <c r="G21" s="13">
        <f t="shared" si="4"/>
        <v>211</v>
      </c>
      <c r="H21" s="13">
        <f t="shared" si="4"/>
        <v>223</v>
      </c>
      <c r="I21" s="13">
        <f t="shared" si="4"/>
        <v>219</v>
      </c>
      <c r="J21" s="13">
        <f t="shared" si="4"/>
        <v>217</v>
      </c>
      <c r="K21" s="13">
        <f t="shared" si="4"/>
        <v>219</v>
      </c>
      <c r="L21" s="13">
        <f t="shared" si="4"/>
        <v>221</v>
      </c>
      <c r="M21" s="13">
        <f t="shared" si="4"/>
        <v>226</v>
      </c>
      <c r="N21" s="13">
        <f t="shared" si="4"/>
        <v>224</v>
      </c>
      <c r="O21" s="13">
        <f t="shared" si="4"/>
        <v>221</v>
      </c>
      <c r="P21" s="13">
        <f t="shared" si="4"/>
        <v>240</v>
      </c>
      <c r="Q21" s="13">
        <f t="shared" si="4"/>
        <v>231</v>
      </c>
      <c r="R21" s="13">
        <f t="shared" si="4"/>
        <v>216</v>
      </c>
      <c r="S21" s="13">
        <f t="shared" si="4"/>
        <v>217</v>
      </c>
      <c r="T21" s="13">
        <f t="shared" si="4"/>
        <v>214</v>
      </c>
      <c r="U21" s="13">
        <f t="shared" si="4"/>
        <v>198</v>
      </c>
      <c r="V21" s="13">
        <f t="shared" si="4"/>
        <v>199</v>
      </c>
      <c r="W21" s="13">
        <f t="shared" si="4"/>
        <v>215</v>
      </c>
      <c r="X21" s="13">
        <f t="shared" si="4"/>
        <v>207</v>
      </c>
      <c r="Y21" s="13">
        <f t="shared" si="4"/>
        <v>201</v>
      </c>
      <c r="Z21" s="13">
        <f t="shared" si="4"/>
        <v>217</v>
      </c>
      <c r="AA21" s="13">
        <f t="shared" si="3"/>
        <v>4769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69">
        <v>1.0</v>
      </c>
      <c r="F22" s="69">
        <v>0.0</v>
      </c>
      <c r="G22" s="69">
        <v>0.0</v>
      </c>
      <c r="H22" s="69">
        <v>0.0</v>
      </c>
      <c r="I22" s="69">
        <v>0.0</v>
      </c>
      <c r="J22" s="69">
        <v>0.0</v>
      </c>
      <c r="K22" s="69">
        <v>0.0</v>
      </c>
      <c r="L22" s="69">
        <v>0.0</v>
      </c>
      <c r="M22" s="69">
        <v>0.0</v>
      </c>
      <c r="N22" s="69">
        <v>0.0</v>
      </c>
      <c r="O22" s="69">
        <v>0.0</v>
      </c>
      <c r="P22" s="69">
        <v>0.0</v>
      </c>
      <c r="Q22" s="69">
        <v>0.0</v>
      </c>
      <c r="R22" s="69">
        <v>0.0</v>
      </c>
      <c r="S22" s="69">
        <v>0.0</v>
      </c>
      <c r="T22" s="69">
        <v>0.0</v>
      </c>
      <c r="U22" s="69">
        <v>0.0</v>
      </c>
      <c r="V22" s="69">
        <v>0.0</v>
      </c>
      <c r="W22" s="69">
        <v>0.0</v>
      </c>
      <c r="X22" s="69">
        <v>0.0</v>
      </c>
      <c r="Y22" s="69">
        <v>0.0</v>
      </c>
      <c r="Z22" s="69">
        <v>0.0</v>
      </c>
      <c r="AA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69">
        <v>0.0</v>
      </c>
      <c r="F23" s="69">
        <v>0.0</v>
      </c>
      <c r="G23" s="69">
        <v>0.0</v>
      </c>
      <c r="H23" s="69">
        <v>0.0</v>
      </c>
      <c r="I23" s="69">
        <v>0.0</v>
      </c>
      <c r="J23" s="69">
        <v>0.0</v>
      </c>
      <c r="K23" s="69">
        <v>0.0</v>
      </c>
      <c r="L23" s="69">
        <v>0.0</v>
      </c>
      <c r="M23" s="69">
        <v>0.0</v>
      </c>
      <c r="N23" s="69">
        <v>0.0</v>
      </c>
      <c r="O23" s="69">
        <v>0.0</v>
      </c>
      <c r="P23" s="69">
        <v>0.0</v>
      </c>
      <c r="Q23" s="69">
        <v>0.0</v>
      </c>
      <c r="R23" s="69">
        <v>0.0</v>
      </c>
      <c r="S23" s="69">
        <v>0.0</v>
      </c>
      <c r="T23" s="69">
        <v>0.0</v>
      </c>
      <c r="U23" s="69">
        <v>1.0</v>
      </c>
      <c r="V23" s="69">
        <v>0.0</v>
      </c>
      <c r="W23" s="69">
        <v>0.0</v>
      </c>
      <c r="X23" s="69">
        <v>0.0</v>
      </c>
      <c r="Y23" s="69">
        <v>0.0</v>
      </c>
      <c r="Z23" s="69">
        <v>0.0</v>
      </c>
      <c r="AA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Z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1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69">
        <v>2.0</v>
      </c>
      <c r="F25" s="69">
        <v>0.0</v>
      </c>
      <c r="G25" s="69">
        <v>3.0</v>
      </c>
      <c r="H25" s="69">
        <v>0.0</v>
      </c>
      <c r="I25" s="69">
        <v>1.0</v>
      </c>
      <c r="J25" s="69">
        <v>0.0</v>
      </c>
      <c r="K25" s="69">
        <v>1.0</v>
      </c>
      <c r="L25" s="69">
        <v>1.0</v>
      </c>
      <c r="M25" s="69">
        <v>0.0</v>
      </c>
      <c r="N25" s="69">
        <v>0.0</v>
      </c>
      <c r="O25" s="69">
        <v>0.0</v>
      </c>
      <c r="P25" s="69">
        <v>0.0</v>
      </c>
      <c r="Q25" s="69">
        <v>0.0</v>
      </c>
      <c r="R25" s="69">
        <v>0.0</v>
      </c>
      <c r="S25" s="69">
        <v>2.0</v>
      </c>
      <c r="T25" s="69">
        <v>0.0</v>
      </c>
      <c r="U25" s="69">
        <v>1.0</v>
      </c>
      <c r="V25" s="69">
        <v>1.0</v>
      </c>
      <c r="W25" s="69">
        <v>0.0</v>
      </c>
      <c r="X25" s="69">
        <v>2.0</v>
      </c>
      <c r="Y25" s="69">
        <v>1.0</v>
      </c>
      <c r="Z25" s="69">
        <v>1.0</v>
      </c>
      <c r="AA25" s="13">
        <f t="shared" si="3"/>
        <v>16</v>
      </c>
    </row>
    <row r="26" ht="12.75" customHeight="1">
      <c r="A26" s="33"/>
      <c r="B26" s="27"/>
      <c r="C26" s="34"/>
      <c r="D26" s="19" t="s">
        <v>13</v>
      </c>
      <c r="E26" s="69">
        <v>2.0</v>
      </c>
      <c r="F26" s="69">
        <v>0.0</v>
      </c>
      <c r="G26" s="69">
        <v>1.0</v>
      </c>
      <c r="H26" s="69">
        <v>0.0</v>
      </c>
      <c r="I26" s="69">
        <v>3.0</v>
      </c>
      <c r="J26" s="69">
        <v>2.0</v>
      </c>
      <c r="K26" s="69">
        <v>2.0</v>
      </c>
      <c r="L26" s="69">
        <v>1.0</v>
      </c>
      <c r="M26" s="69">
        <v>0.0</v>
      </c>
      <c r="N26" s="69">
        <v>0.0</v>
      </c>
      <c r="O26" s="69">
        <v>6.0</v>
      </c>
      <c r="P26" s="69">
        <v>2.0</v>
      </c>
      <c r="Q26" s="69">
        <v>0.0</v>
      </c>
      <c r="R26" s="69">
        <v>1.0</v>
      </c>
      <c r="S26" s="69">
        <v>0.0</v>
      </c>
      <c r="T26" s="69">
        <v>0.0</v>
      </c>
      <c r="U26" s="69">
        <v>2.0</v>
      </c>
      <c r="V26" s="69">
        <v>0.0</v>
      </c>
      <c r="W26" s="69">
        <v>0.0</v>
      </c>
      <c r="X26" s="69">
        <v>2.0</v>
      </c>
      <c r="Y26" s="69">
        <v>1.0</v>
      </c>
      <c r="Z26" s="69">
        <v>2.0</v>
      </c>
      <c r="AA26" s="13">
        <f t="shared" si="3"/>
        <v>27</v>
      </c>
    </row>
    <row r="27" ht="12.75" customHeight="1">
      <c r="A27" s="35"/>
      <c r="B27" s="28"/>
      <c r="C27" s="36"/>
      <c r="D27" s="13" t="s">
        <v>14</v>
      </c>
      <c r="E27" s="13">
        <f t="shared" ref="E27:Z27" si="6">SUM(E25:E26)</f>
        <v>4</v>
      </c>
      <c r="F27" s="13">
        <f t="shared" si="6"/>
        <v>0</v>
      </c>
      <c r="G27" s="13">
        <f t="shared" si="6"/>
        <v>4</v>
      </c>
      <c r="H27" s="13">
        <f t="shared" si="6"/>
        <v>0</v>
      </c>
      <c r="I27" s="13">
        <f t="shared" si="6"/>
        <v>4</v>
      </c>
      <c r="J27" s="13">
        <f t="shared" si="6"/>
        <v>2</v>
      </c>
      <c r="K27" s="13">
        <f t="shared" si="6"/>
        <v>3</v>
      </c>
      <c r="L27" s="13">
        <f t="shared" si="6"/>
        <v>2</v>
      </c>
      <c r="M27" s="13">
        <f t="shared" si="6"/>
        <v>0</v>
      </c>
      <c r="N27" s="13">
        <f t="shared" si="6"/>
        <v>0</v>
      </c>
      <c r="O27" s="13">
        <f t="shared" si="6"/>
        <v>6</v>
      </c>
      <c r="P27" s="13">
        <f t="shared" si="6"/>
        <v>2</v>
      </c>
      <c r="Q27" s="13">
        <f t="shared" si="6"/>
        <v>0</v>
      </c>
      <c r="R27" s="13">
        <f t="shared" si="6"/>
        <v>1</v>
      </c>
      <c r="S27" s="13">
        <f t="shared" si="6"/>
        <v>2</v>
      </c>
      <c r="T27" s="13">
        <f t="shared" si="6"/>
        <v>0</v>
      </c>
      <c r="U27" s="13">
        <f t="shared" si="6"/>
        <v>3</v>
      </c>
      <c r="V27" s="13">
        <f t="shared" si="6"/>
        <v>1</v>
      </c>
      <c r="W27" s="13">
        <f t="shared" si="6"/>
        <v>0</v>
      </c>
      <c r="X27" s="13">
        <f t="shared" si="6"/>
        <v>4</v>
      </c>
      <c r="Y27" s="13">
        <f t="shared" si="6"/>
        <v>2</v>
      </c>
      <c r="Z27" s="13">
        <f t="shared" si="6"/>
        <v>3</v>
      </c>
      <c r="AA27" s="13">
        <f t="shared" si="3"/>
        <v>43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Z28" si="7">SUM(E19,E22,E25)</f>
        <v>105</v>
      </c>
      <c r="F28" s="13">
        <f t="shared" si="7"/>
        <v>99</v>
      </c>
      <c r="G28" s="13">
        <f t="shared" si="7"/>
        <v>107</v>
      </c>
      <c r="H28" s="13">
        <f t="shared" si="7"/>
        <v>112</v>
      </c>
      <c r="I28" s="13">
        <f t="shared" si="7"/>
        <v>107</v>
      </c>
      <c r="J28" s="13">
        <f t="shared" si="7"/>
        <v>100</v>
      </c>
      <c r="K28" s="13">
        <f t="shared" si="7"/>
        <v>107</v>
      </c>
      <c r="L28" s="13">
        <f t="shared" si="7"/>
        <v>114</v>
      </c>
      <c r="M28" s="13">
        <f t="shared" si="7"/>
        <v>101</v>
      </c>
      <c r="N28" s="13">
        <f t="shared" si="7"/>
        <v>111</v>
      </c>
      <c r="O28" s="13">
        <f t="shared" si="7"/>
        <v>108</v>
      </c>
      <c r="P28" s="13">
        <f t="shared" si="7"/>
        <v>122</v>
      </c>
      <c r="Q28" s="13">
        <f t="shared" si="7"/>
        <v>121</v>
      </c>
      <c r="R28" s="13">
        <f t="shared" si="7"/>
        <v>111</v>
      </c>
      <c r="S28" s="13">
        <f t="shared" si="7"/>
        <v>104</v>
      </c>
      <c r="T28" s="13">
        <f t="shared" si="7"/>
        <v>110</v>
      </c>
      <c r="U28" s="13">
        <f t="shared" si="7"/>
        <v>104</v>
      </c>
      <c r="V28" s="13">
        <f t="shared" si="7"/>
        <v>95</v>
      </c>
      <c r="W28" s="13">
        <f t="shared" si="7"/>
        <v>110</v>
      </c>
      <c r="X28" s="13">
        <f t="shared" si="7"/>
        <v>102</v>
      </c>
      <c r="Y28" s="13">
        <f t="shared" si="7"/>
        <v>100</v>
      </c>
      <c r="Z28" s="13">
        <f t="shared" si="7"/>
        <v>109</v>
      </c>
      <c r="AA28" s="13">
        <f t="shared" si="3"/>
        <v>2359</v>
      </c>
    </row>
    <row r="29" ht="12.75" customHeight="1">
      <c r="A29" s="35"/>
      <c r="B29" s="27"/>
      <c r="C29" s="34"/>
      <c r="D29" s="13" t="s">
        <v>13</v>
      </c>
      <c r="E29" s="13">
        <f t="shared" ref="E29:Z29" si="8">SUM(E20,E23,E26)</f>
        <v>125</v>
      </c>
      <c r="F29" s="13">
        <f t="shared" si="8"/>
        <v>109</v>
      </c>
      <c r="G29" s="13">
        <f t="shared" si="8"/>
        <v>108</v>
      </c>
      <c r="H29" s="13">
        <f t="shared" si="8"/>
        <v>111</v>
      </c>
      <c r="I29" s="13">
        <f t="shared" si="8"/>
        <v>116</v>
      </c>
      <c r="J29" s="13">
        <f t="shared" si="8"/>
        <v>119</v>
      </c>
      <c r="K29" s="13">
        <f t="shared" si="8"/>
        <v>115</v>
      </c>
      <c r="L29" s="13">
        <f t="shared" si="8"/>
        <v>109</v>
      </c>
      <c r="M29" s="13">
        <f t="shared" si="8"/>
        <v>125</v>
      </c>
      <c r="N29" s="13">
        <f t="shared" si="8"/>
        <v>113</v>
      </c>
      <c r="O29" s="13">
        <f t="shared" si="8"/>
        <v>119</v>
      </c>
      <c r="P29" s="13">
        <f t="shared" si="8"/>
        <v>120</v>
      </c>
      <c r="Q29" s="13">
        <f t="shared" si="8"/>
        <v>110</v>
      </c>
      <c r="R29" s="13">
        <f t="shared" si="8"/>
        <v>106</v>
      </c>
      <c r="S29" s="13">
        <f t="shared" si="8"/>
        <v>115</v>
      </c>
      <c r="T29" s="13">
        <f t="shared" si="8"/>
        <v>104</v>
      </c>
      <c r="U29" s="13">
        <f t="shared" si="8"/>
        <v>98</v>
      </c>
      <c r="V29" s="13">
        <f t="shared" si="8"/>
        <v>105</v>
      </c>
      <c r="W29" s="13">
        <f t="shared" si="8"/>
        <v>105</v>
      </c>
      <c r="X29" s="13">
        <f t="shared" si="8"/>
        <v>109</v>
      </c>
      <c r="Y29" s="13">
        <f t="shared" si="8"/>
        <v>103</v>
      </c>
      <c r="Z29" s="13">
        <f t="shared" si="8"/>
        <v>111</v>
      </c>
      <c r="AA29" s="13">
        <f t="shared" si="3"/>
        <v>2455</v>
      </c>
    </row>
    <row r="30" ht="12.75" customHeight="1">
      <c r="A30" s="35"/>
      <c r="B30" s="28"/>
      <c r="C30" s="36"/>
      <c r="D30" s="13" t="s">
        <v>14</v>
      </c>
      <c r="E30" s="13">
        <f t="shared" ref="E30:Z30" si="9">SUM(E28:E29)</f>
        <v>230</v>
      </c>
      <c r="F30" s="13">
        <f t="shared" si="9"/>
        <v>208</v>
      </c>
      <c r="G30" s="13">
        <f t="shared" si="9"/>
        <v>215</v>
      </c>
      <c r="H30" s="13">
        <f t="shared" si="9"/>
        <v>223</v>
      </c>
      <c r="I30" s="13">
        <f t="shared" si="9"/>
        <v>223</v>
      </c>
      <c r="J30" s="13">
        <f t="shared" si="9"/>
        <v>219</v>
      </c>
      <c r="K30" s="13">
        <f t="shared" si="9"/>
        <v>222</v>
      </c>
      <c r="L30" s="13">
        <f t="shared" si="9"/>
        <v>223</v>
      </c>
      <c r="M30" s="13">
        <f t="shared" si="9"/>
        <v>226</v>
      </c>
      <c r="N30" s="13">
        <f t="shared" si="9"/>
        <v>224</v>
      </c>
      <c r="O30" s="13">
        <f t="shared" si="9"/>
        <v>227</v>
      </c>
      <c r="P30" s="13">
        <f t="shared" si="9"/>
        <v>242</v>
      </c>
      <c r="Q30" s="13">
        <f t="shared" si="9"/>
        <v>231</v>
      </c>
      <c r="R30" s="13">
        <f t="shared" si="9"/>
        <v>217</v>
      </c>
      <c r="S30" s="13">
        <f t="shared" si="9"/>
        <v>219</v>
      </c>
      <c r="T30" s="13">
        <f t="shared" si="9"/>
        <v>214</v>
      </c>
      <c r="U30" s="13">
        <f t="shared" si="9"/>
        <v>202</v>
      </c>
      <c r="V30" s="13">
        <f t="shared" si="9"/>
        <v>200</v>
      </c>
      <c r="W30" s="13">
        <f t="shared" si="9"/>
        <v>215</v>
      </c>
      <c r="X30" s="13">
        <f t="shared" si="9"/>
        <v>211</v>
      </c>
      <c r="Y30" s="13">
        <f t="shared" si="9"/>
        <v>203</v>
      </c>
      <c r="Z30" s="13">
        <f t="shared" si="9"/>
        <v>220</v>
      </c>
      <c r="AA30" s="13">
        <f t="shared" si="3"/>
        <v>4814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0"/>
      <c r="O31" s="19"/>
      <c r="P31" s="19"/>
      <c r="Q31" s="19"/>
      <c r="R31" s="19"/>
      <c r="S31" s="70"/>
      <c r="T31" s="19"/>
      <c r="U31" s="19"/>
      <c r="V31" s="19"/>
      <c r="W31" s="19"/>
      <c r="X31" s="70"/>
      <c r="Y31" s="19"/>
      <c r="Z31" s="19"/>
      <c r="AA31" s="71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2"/>
      <c r="O32" s="13"/>
      <c r="P32" s="13"/>
      <c r="Q32" s="13"/>
      <c r="R32" s="13"/>
      <c r="S32" s="72"/>
      <c r="T32" s="13"/>
      <c r="U32" s="13"/>
      <c r="V32" s="13"/>
      <c r="W32" s="13"/>
      <c r="X32" s="72"/>
      <c r="Y32" s="13"/>
      <c r="Z32" s="13"/>
      <c r="AA32" s="71"/>
    </row>
    <row r="33" ht="12.75" customHeight="1">
      <c r="A33" s="19">
        <v>1.0</v>
      </c>
      <c r="B33" s="20" t="s">
        <v>27</v>
      </c>
      <c r="C33" s="15"/>
      <c r="D33" s="16"/>
      <c r="E33" s="69">
        <v>280.0</v>
      </c>
      <c r="F33" s="69">
        <v>272.0</v>
      </c>
      <c r="G33" s="69">
        <v>279.0</v>
      </c>
      <c r="H33" s="69">
        <v>293.0</v>
      </c>
      <c r="I33" s="69">
        <v>276.0</v>
      </c>
      <c r="J33" s="69">
        <v>280.0</v>
      </c>
      <c r="K33" s="69">
        <v>282.0</v>
      </c>
      <c r="L33" s="69">
        <v>283.0</v>
      </c>
      <c r="M33" s="69">
        <v>292.0</v>
      </c>
      <c r="N33" s="69">
        <v>300.0</v>
      </c>
      <c r="O33" s="69">
        <v>287.0</v>
      </c>
      <c r="P33" s="69">
        <v>299.0</v>
      </c>
      <c r="Q33" s="69">
        <v>303.0</v>
      </c>
      <c r="R33" s="69">
        <v>266.0</v>
      </c>
      <c r="S33" s="69">
        <v>258.0</v>
      </c>
      <c r="T33" s="69">
        <v>270.0</v>
      </c>
      <c r="U33" s="69">
        <v>271.0</v>
      </c>
      <c r="V33" s="69">
        <v>275.0</v>
      </c>
      <c r="W33" s="69">
        <v>272.0</v>
      </c>
      <c r="X33" s="69">
        <v>280.0</v>
      </c>
      <c r="Y33" s="69">
        <v>264.0</v>
      </c>
      <c r="Z33" s="69">
        <v>278.0</v>
      </c>
      <c r="AA33" s="13">
        <f t="shared" ref="AA33:AA36" si="10">SUM(E33:Z33)</f>
        <v>6160</v>
      </c>
    </row>
    <row r="34" ht="12.75" customHeight="1">
      <c r="A34" s="19">
        <v>2.0</v>
      </c>
      <c r="B34" s="20" t="s">
        <v>28</v>
      </c>
      <c r="C34" s="15"/>
      <c r="D34" s="16"/>
      <c r="E34" s="73">
        <v>230.0</v>
      </c>
      <c r="F34" s="73">
        <v>208.0</v>
      </c>
      <c r="G34" s="73">
        <v>215.0</v>
      </c>
      <c r="H34" s="73">
        <v>223.0</v>
      </c>
      <c r="I34" s="73">
        <v>223.0</v>
      </c>
      <c r="J34" s="73">
        <v>219.0</v>
      </c>
      <c r="K34" s="73">
        <v>222.0</v>
      </c>
      <c r="L34" s="73">
        <v>223.0</v>
      </c>
      <c r="M34" s="73">
        <v>226.0</v>
      </c>
      <c r="N34" s="73">
        <v>224.0</v>
      </c>
      <c r="O34" s="73">
        <v>227.0</v>
      </c>
      <c r="P34" s="73">
        <v>242.0</v>
      </c>
      <c r="Q34" s="73">
        <v>231.0</v>
      </c>
      <c r="R34" s="73">
        <v>217.0</v>
      </c>
      <c r="S34" s="73">
        <v>219.0</v>
      </c>
      <c r="T34" s="73">
        <v>214.0</v>
      </c>
      <c r="U34" s="73">
        <v>202.0</v>
      </c>
      <c r="V34" s="73">
        <v>200.0</v>
      </c>
      <c r="W34" s="73">
        <v>215.0</v>
      </c>
      <c r="X34" s="73">
        <v>211.0</v>
      </c>
      <c r="Y34" s="73">
        <v>203.0</v>
      </c>
      <c r="Z34" s="73">
        <v>220.0</v>
      </c>
      <c r="AA34" s="13">
        <f t="shared" si="10"/>
        <v>4814</v>
      </c>
    </row>
    <row r="35" ht="12.75" customHeight="1">
      <c r="A35" s="19">
        <v>3.0</v>
      </c>
      <c r="B35" s="20" t="s">
        <v>29</v>
      </c>
      <c r="C35" s="15"/>
      <c r="D35" s="16"/>
      <c r="E35" s="69">
        <v>1.0</v>
      </c>
      <c r="F35" s="69">
        <v>0.0</v>
      </c>
      <c r="G35" s="69">
        <v>1.0</v>
      </c>
      <c r="H35" s="69">
        <v>0.0</v>
      </c>
      <c r="I35" s="69">
        <v>0.0</v>
      </c>
      <c r="J35" s="69">
        <v>0.0</v>
      </c>
      <c r="K35" s="69">
        <v>3.0</v>
      </c>
      <c r="L35" s="69">
        <v>0.0</v>
      </c>
      <c r="M35" s="69">
        <v>0.0</v>
      </c>
      <c r="N35" s="69">
        <v>0.0</v>
      </c>
      <c r="O35" s="69">
        <v>0.0</v>
      </c>
      <c r="P35" s="69">
        <v>1.0</v>
      </c>
      <c r="Q35" s="69">
        <v>2.0</v>
      </c>
      <c r="R35" s="69">
        <v>0.0</v>
      </c>
      <c r="S35" s="69">
        <v>0.0</v>
      </c>
      <c r="T35" s="69">
        <v>0.0</v>
      </c>
      <c r="U35" s="69">
        <v>0.0</v>
      </c>
      <c r="V35" s="69">
        <v>0.0</v>
      </c>
      <c r="W35" s="69">
        <v>0.0</v>
      </c>
      <c r="X35" s="69">
        <v>0.0</v>
      </c>
      <c r="Y35" s="69">
        <v>0.0</v>
      </c>
      <c r="Z35" s="69">
        <v>0.0</v>
      </c>
      <c r="AA35" s="13">
        <f t="shared" si="10"/>
        <v>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11">E33-(E34+E35)</f>
        <v>49</v>
      </c>
      <c r="F36" s="13">
        <f t="shared" si="11"/>
        <v>64</v>
      </c>
      <c r="G36" s="13">
        <f t="shared" si="11"/>
        <v>63</v>
      </c>
      <c r="H36" s="13">
        <f t="shared" si="11"/>
        <v>70</v>
      </c>
      <c r="I36" s="13">
        <f t="shared" si="11"/>
        <v>53</v>
      </c>
      <c r="J36" s="13">
        <f t="shared" si="11"/>
        <v>61</v>
      </c>
      <c r="K36" s="13">
        <f t="shared" si="11"/>
        <v>57</v>
      </c>
      <c r="L36" s="13">
        <f t="shared" si="11"/>
        <v>60</v>
      </c>
      <c r="M36" s="13">
        <f t="shared" si="11"/>
        <v>66</v>
      </c>
      <c r="N36" s="13">
        <f t="shared" si="11"/>
        <v>76</v>
      </c>
      <c r="O36" s="13">
        <f t="shared" si="11"/>
        <v>60</v>
      </c>
      <c r="P36" s="13">
        <f t="shared" si="11"/>
        <v>56</v>
      </c>
      <c r="Q36" s="13">
        <f t="shared" si="11"/>
        <v>70</v>
      </c>
      <c r="R36" s="13">
        <f t="shared" si="11"/>
        <v>49</v>
      </c>
      <c r="S36" s="13">
        <f t="shared" si="11"/>
        <v>39</v>
      </c>
      <c r="T36" s="13">
        <f t="shared" si="11"/>
        <v>56</v>
      </c>
      <c r="U36" s="13">
        <f t="shared" si="11"/>
        <v>69</v>
      </c>
      <c r="V36" s="13">
        <f t="shared" si="11"/>
        <v>75</v>
      </c>
      <c r="W36" s="13">
        <f t="shared" si="11"/>
        <v>57</v>
      </c>
      <c r="X36" s="13">
        <f t="shared" si="11"/>
        <v>69</v>
      </c>
      <c r="Y36" s="13">
        <f t="shared" si="11"/>
        <v>61</v>
      </c>
      <c r="Z36" s="13">
        <f t="shared" si="11"/>
        <v>58</v>
      </c>
      <c r="AA36" s="13">
        <f t="shared" si="10"/>
        <v>1338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0"/>
      <c r="O37" s="19"/>
      <c r="P37" s="19"/>
      <c r="Q37" s="19"/>
      <c r="R37" s="19"/>
      <c r="S37" s="70"/>
      <c r="T37" s="19"/>
      <c r="U37" s="19"/>
      <c r="V37" s="19"/>
      <c r="W37" s="19"/>
      <c r="X37" s="70"/>
      <c r="Y37" s="19"/>
      <c r="Z37" s="19"/>
      <c r="AA37" s="71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2"/>
      <c r="O38" s="13"/>
      <c r="P38" s="13"/>
      <c r="Q38" s="13"/>
      <c r="R38" s="13"/>
      <c r="S38" s="72"/>
      <c r="T38" s="13"/>
      <c r="U38" s="13"/>
      <c r="V38" s="13"/>
      <c r="W38" s="13"/>
      <c r="X38" s="72"/>
      <c r="Y38" s="13"/>
      <c r="Z38" s="13"/>
      <c r="AA38" s="71"/>
    </row>
    <row r="39" ht="12.75" customHeight="1">
      <c r="A39" s="30"/>
      <c r="B39" s="43" t="s">
        <v>33</v>
      </c>
      <c r="C39" s="23"/>
      <c r="D39" s="19" t="s">
        <v>12</v>
      </c>
      <c r="E39" s="69">
        <v>0.0</v>
      </c>
      <c r="F39" s="69">
        <v>0.0</v>
      </c>
      <c r="G39" s="69">
        <v>0.0</v>
      </c>
      <c r="H39" s="69">
        <v>1.0</v>
      </c>
      <c r="I39" s="69">
        <v>0.0</v>
      </c>
      <c r="J39" s="69">
        <v>0.0</v>
      </c>
      <c r="K39" s="69">
        <v>0.0</v>
      </c>
      <c r="L39" s="69">
        <v>0.0</v>
      </c>
      <c r="M39" s="69">
        <v>0.0</v>
      </c>
      <c r="N39" s="69">
        <v>0.0</v>
      </c>
      <c r="O39" s="69">
        <v>0.0</v>
      </c>
      <c r="P39" s="69">
        <v>0.0</v>
      </c>
      <c r="Q39" s="69">
        <v>0.0</v>
      </c>
      <c r="R39" s="69">
        <v>0.0</v>
      </c>
      <c r="S39" s="69">
        <v>0.0</v>
      </c>
      <c r="T39" s="69">
        <v>0.0</v>
      </c>
      <c r="U39" s="69">
        <v>0.0</v>
      </c>
      <c r="V39" s="69">
        <v>0.0</v>
      </c>
      <c r="W39" s="69">
        <v>0.0</v>
      </c>
      <c r="X39" s="69">
        <v>0.0</v>
      </c>
      <c r="Y39" s="69">
        <v>0.0</v>
      </c>
      <c r="Z39" s="69">
        <v>0.0</v>
      </c>
      <c r="AA39" s="13">
        <f t="shared" ref="AA39:AA41" si="12">SUM(E39:Z39)</f>
        <v>1</v>
      </c>
    </row>
    <row r="40" ht="12.75" customHeight="1">
      <c r="A40" s="33"/>
      <c r="C40" s="27"/>
      <c r="D40" s="19" t="s">
        <v>13</v>
      </c>
      <c r="E40" s="69">
        <v>0.0</v>
      </c>
      <c r="F40" s="69">
        <v>0.0</v>
      </c>
      <c r="G40" s="69">
        <v>0.0</v>
      </c>
      <c r="H40" s="69">
        <v>0.0</v>
      </c>
      <c r="I40" s="69">
        <v>0.0</v>
      </c>
      <c r="J40" s="69">
        <v>0.0</v>
      </c>
      <c r="K40" s="69">
        <v>0.0</v>
      </c>
      <c r="L40" s="69">
        <v>0.0</v>
      </c>
      <c r="M40" s="69">
        <v>0.0</v>
      </c>
      <c r="N40" s="69">
        <v>0.0</v>
      </c>
      <c r="O40" s="69">
        <v>0.0</v>
      </c>
      <c r="P40" s="69">
        <v>0.0</v>
      </c>
      <c r="Q40" s="69">
        <v>0.0</v>
      </c>
      <c r="R40" s="69">
        <v>0.0</v>
      </c>
      <c r="S40" s="69">
        <v>0.0</v>
      </c>
      <c r="T40" s="69">
        <v>0.0</v>
      </c>
      <c r="U40" s="69">
        <v>0.0</v>
      </c>
      <c r="V40" s="69">
        <v>0.0</v>
      </c>
      <c r="W40" s="69">
        <v>0.0</v>
      </c>
      <c r="X40" s="69">
        <v>0.0</v>
      </c>
      <c r="Y40" s="69">
        <v>0.0</v>
      </c>
      <c r="Z40" s="69">
        <v>0.0</v>
      </c>
      <c r="AA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Z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1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0"/>
      <c r="O42" s="19"/>
      <c r="P42" s="19"/>
      <c r="Q42" s="19"/>
      <c r="R42" s="19"/>
      <c r="S42" s="70"/>
      <c r="T42" s="19"/>
      <c r="U42" s="19"/>
      <c r="V42" s="19"/>
      <c r="W42" s="19"/>
      <c r="X42" s="70"/>
      <c r="Y42" s="19"/>
      <c r="Z42" s="19"/>
      <c r="A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2"/>
      <c r="O43" s="13"/>
      <c r="P43" s="13"/>
      <c r="Q43" s="13"/>
      <c r="R43" s="13"/>
      <c r="S43" s="72"/>
      <c r="T43" s="13"/>
      <c r="U43" s="13"/>
      <c r="V43" s="13"/>
      <c r="W43" s="13"/>
      <c r="X43" s="72"/>
      <c r="Y43" s="13"/>
      <c r="Z43" s="13"/>
      <c r="A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0"/>
      <c r="O44" s="19"/>
      <c r="P44" s="19"/>
      <c r="Q44" s="19"/>
      <c r="R44" s="19"/>
      <c r="S44" s="70"/>
      <c r="T44" s="19"/>
      <c r="U44" s="19"/>
      <c r="V44" s="19"/>
      <c r="W44" s="19"/>
      <c r="X44" s="70"/>
      <c r="Y44" s="19"/>
      <c r="Z44" s="19"/>
      <c r="AA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69">
        <v>15.0</v>
      </c>
      <c r="F45" s="69">
        <v>6.0</v>
      </c>
      <c r="G45" s="69">
        <v>8.0</v>
      </c>
      <c r="H45" s="69">
        <v>10.0</v>
      </c>
      <c r="I45" s="69">
        <v>13.0</v>
      </c>
      <c r="J45" s="69">
        <v>8.0</v>
      </c>
      <c r="K45" s="69">
        <v>9.0</v>
      </c>
      <c r="L45" s="69">
        <v>3.0</v>
      </c>
      <c r="M45" s="69">
        <v>4.0</v>
      </c>
      <c r="N45" s="69">
        <v>5.0</v>
      </c>
      <c r="O45" s="69">
        <v>6.0</v>
      </c>
      <c r="P45" s="69">
        <v>12.0</v>
      </c>
      <c r="Q45" s="69">
        <v>3.0</v>
      </c>
      <c r="R45" s="69">
        <v>4.0</v>
      </c>
      <c r="S45" s="69">
        <v>1.0</v>
      </c>
      <c r="T45" s="69">
        <v>12.0</v>
      </c>
      <c r="U45" s="69">
        <v>7.0</v>
      </c>
      <c r="V45" s="69">
        <v>11.0</v>
      </c>
      <c r="W45" s="69">
        <v>1.0</v>
      </c>
      <c r="X45" s="69">
        <v>4.0</v>
      </c>
      <c r="Y45" s="69">
        <v>4.0</v>
      </c>
      <c r="Z45" s="69">
        <v>9.0</v>
      </c>
      <c r="AA45" s="13">
        <f t="shared" ref="AA45:AA53" si="14">SUM(E45:Z45)</f>
        <v>155</v>
      </c>
    </row>
    <row r="46" ht="12.75" customHeight="1">
      <c r="A46" s="30" t="s">
        <v>39</v>
      </c>
      <c r="B46" s="49"/>
      <c r="C46" s="50" t="s">
        <v>40</v>
      </c>
      <c r="D46" s="51"/>
      <c r="E46" s="69">
        <v>15.0</v>
      </c>
      <c r="F46" s="69">
        <v>8.0</v>
      </c>
      <c r="G46" s="69">
        <v>0.0</v>
      </c>
      <c r="H46" s="69">
        <v>1.0</v>
      </c>
      <c r="I46" s="69">
        <v>7.0</v>
      </c>
      <c r="J46" s="69">
        <v>2.0</v>
      </c>
      <c r="K46" s="69">
        <v>3.0</v>
      </c>
      <c r="L46" s="69">
        <v>3.0</v>
      </c>
      <c r="M46" s="69">
        <v>4.0</v>
      </c>
      <c r="N46" s="69">
        <v>1.0</v>
      </c>
      <c r="O46" s="69">
        <v>3.0</v>
      </c>
      <c r="P46" s="69">
        <v>2.0</v>
      </c>
      <c r="Q46" s="69">
        <v>7.0</v>
      </c>
      <c r="R46" s="69">
        <v>7.0</v>
      </c>
      <c r="S46" s="69">
        <v>9.0</v>
      </c>
      <c r="T46" s="69">
        <v>1.0</v>
      </c>
      <c r="U46" s="69">
        <v>1.0</v>
      </c>
      <c r="V46" s="69">
        <v>1.0</v>
      </c>
      <c r="W46" s="69">
        <v>0.0</v>
      </c>
      <c r="X46" s="69">
        <v>1.0</v>
      </c>
      <c r="Y46" s="69">
        <v>2.0</v>
      </c>
      <c r="Z46" s="69">
        <v>1.0</v>
      </c>
      <c r="AA46" s="13">
        <f t="shared" si="14"/>
        <v>79</v>
      </c>
    </row>
    <row r="47" ht="12.75" customHeight="1">
      <c r="A47" s="18"/>
      <c r="B47" s="49"/>
      <c r="C47" s="50" t="s">
        <v>41</v>
      </c>
      <c r="D47" s="51"/>
      <c r="E47" s="69">
        <v>125.0</v>
      </c>
      <c r="F47" s="69">
        <v>86.0</v>
      </c>
      <c r="G47" s="69">
        <v>96.0</v>
      </c>
      <c r="H47" s="69">
        <v>127.0</v>
      </c>
      <c r="I47" s="69">
        <v>132.0</v>
      </c>
      <c r="J47" s="69">
        <v>127.0</v>
      </c>
      <c r="K47" s="69">
        <v>88.0</v>
      </c>
      <c r="L47" s="69">
        <v>54.0</v>
      </c>
      <c r="M47" s="69">
        <v>61.0</v>
      </c>
      <c r="N47" s="69">
        <v>84.0</v>
      </c>
      <c r="O47" s="69">
        <v>45.0</v>
      </c>
      <c r="P47" s="69">
        <v>67.0</v>
      </c>
      <c r="Q47" s="69">
        <v>47.0</v>
      </c>
      <c r="R47" s="69">
        <v>29.0</v>
      </c>
      <c r="S47" s="69">
        <v>31.0</v>
      </c>
      <c r="T47" s="69">
        <v>89.0</v>
      </c>
      <c r="U47" s="69">
        <v>78.0</v>
      </c>
      <c r="V47" s="69">
        <v>72.0</v>
      </c>
      <c r="W47" s="69">
        <v>45.0</v>
      </c>
      <c r="X47" s="69">
        <v>35.0</v>
      </c>
      <c r="Y47" s="69">
        <v>67.0</v>
      </c>
      <c r="Z47" s="69">
        <v>72.0</v>
      </c>
      <c r="AA47" s="13">
        <f t="shared" si="14"/>
        <v>1657</v>
      </c>
    </row>
    <row r="48" ht="12.75" customHeight="1">
      <c r="A48" s="18"/>
      <c r="B48" s="49"/>
      <c r="C48" s="50" t="s">
        <v>42</v>
      </c>
      <c r="D48" s="51"/>
      <c r="E48" s="69">
        <v>5.0</v>
      </c>
      <c r="F48" s="69">
        <v>2.0</v>
      </c>
      <c r="G48" s="69">
        <v>1.0</v>
      </c>
      <c r="H48" s="69">
        <v>1.0</v>
      </c>
      <c r="I48" s="69">
        <v>1.0</v>
      </c>
      <c r="J48" s="69">
        <v>1.0</v>
      </c>
      <c r="K48" s="69">
        <v>5.0</v>
      </c>
      <c r="L48" s="69">
        <v>2.0</v>
      </c>
      <c r="M48" s="69">
        <v>0.0</v>
      </c>
      <c r="N48" s="69">
        <v>2.0</v>
      </c>
      <c r="O48" s="69">
        <v>2.0</v>
      </c>
      <c r="P48" s="69">
        <v>0.0</v>
      </c>
      <c r="Q48" s="69">
        <v>0.0</v>
      </c>
      <c r="R48" s="69">
        <v>0.0</v>
      </c>
      <c r="S48" s="69">
        <v>2.0</v>
      </c>
      <c r="T48" s="69">
        <v>2.0</v>
      </c>
      <c r="U48" s="69">
        <v>2.0</v>
      </c>
      <c r="V48" s="69">
        <v>1.0</v>
      </c>
      <c r="W48" s="69">
        <v>2.0</v>
      </c>
      <c r="X48" s="69">
        <v>3.0</v>
      </c>
      <c r="Y48" s="69">
        <v>1.0</v>
      </c>
      <c r="Z48" s="69">
        <v>0.0</v>
      </c>
      <c r="AA48" s="13">
        <f t="shared" si="14"/>
        <v>35</v>
      </c>
    </row>
    <row r="49" ht="12.75" customHeight="1">
      <c r="A49" s="18"/>
      <c r="B49" s="49"/>
      <c r="C49" s="50" t="s">
        <v>43</v>
      </c>
      <c r="D49" s="51"/>
      <c r="E49" s="69">
        <v>0.0</v>
      </c>
      <c r="F49" s="69">
        <v>0.0</v>
      </c>
      <c r="G49" s="69">
        <v>0.0</v>
      </c>
      <c r="H49" s="69">
        <v>0.0</v>
      </c>
      <c r="I49" s="69">
        <v>0.0</v>
      </c>
      <c r="J49" s="69">
        <v>0.0</v>
      </c>
      <c r="K49" s="69">
        <v>0.0</v>
      </c>
      <c r="L49" s="69">
        <v>0.0</v>
      </c>
      <c r="M49" s="69">
        <v>1.0</v>
      </c>
      <c r="N49" s="69">
        <v>0.0</v>
      </c>
      <c r="O49" s="69">
        <v>0.0</v>
      </c>
      <c r="P49" s="69">
        <v>0.0</v>
      </c>
      <c r="Q49" s="69">
        <v>0.0</v>
      </c>
      <c r="R49" s="69">
        <v>0.0</v>
      </c>
      <c r="S49" s="69">
        <v>0.0</v>
      </c>
      <c r="T49" s="69">
        <v>0.0</v>
      </c>
      <c r="U49" s="69">
        <v>0.0</v>
      </c>
      <c r="V49" s="69">
        <v>0.0</v>
      </c>
      <c r="W49" s="69">
        <v>0.0</v>
      </c>
      <c r="X49" s="69">
        <v>0.0</v>
      </c>
      <c r="Y49" s="69">
        <v>0.0</v>
      </c>
      <c r="Z49" s="69">
        <v>0.0</v>
      </c>
      <c r="AA49" s="13">
        <f t="shared" si="14"/>
        <v>1</v>
      </c>
    </row>
    <row r="50" ht="12.75" customHeight="1">
      <c r="A50" s="18"/>
      <c r="B50" s="49"/>
      <c r="C50" s="50" t="s">
        <v>44</v>
      </c>
      <c r="D50" s="51"/>
      <c r="E50" s="69">
        <v>0.0</v>
      </c>
      <c r="F50" s="69">
        <v>0.0</v>
      </c>
      <c r="G50" s="69">
        <v>0.0</v>
      </c>
      <c r="H50" s="69">
        <v>1.0</v>
      </c>
      <c r="I50" s="69">
        <v>0.0</v>
      </c>
      <c r="J50" s="69">
        <v>0.0</v>
      </c>
      <c r="K50" s="69">
        <v>1.0</v>
      </c>
      <c r="L50" s="69">
        <v>1.0</v>
      </c>
      <c r="M50" s="69">
        <v>0.0</v>
      </c>
      <c r="N50" s="69">
        <v>0.0</v>
      </c>
      <c r="O50" s="69">
        <v>0.0</v>
      </c>
      <c r="P50" s="69">
        <v>1.0</v>
      </c>
      <c r="Q50" s="69">
        <v>0.0</v>
      </c>
      <c r="R50" s="69">
        <v>0.0</v>
      </c>
      <c r="S50" s="69">
        <v>0.0</v>
      </c>
      <c r="T50" s="69">
        <v>0.0</v>
      </c>
      <c r="U50" s="69">
        <v>2.0</v>
      </c>
      <c r="V50" s="69">
        <v>0.0</v>
      </c>
      <c r="W50" s="69">
        <v>2.0</v>
      </c>
      <c r="X50" s="69">
        <v>0.0</v>
      </c>
      <c r="Y50" s="69">
        <v>0.0</v>
      </c>
      <c r="Z50" s="69">
        <v>0.0</v>
      </c>
      <c r="AA50" s="13">
        <f t="shared" si="14"/>
        <v>8</v>
      </c>
    </row>
    <row r="51" ht="12.75" customHeight="1">
      <c r="A51" s="18"/>
      <c r="B51" s="49"/>
      <c r="C51" s="50" t="s">
        <v>45</v>
      </c>
      <c r="D51" s="51"/>
      <c r="E51" s="69">
        <v>1.0</v>
      </c>
      <c r="F51" s="69">
        <v>0.0</v>
      </c>
      <c r="G51" s="69">
        <v>0.0</v>
      </c>
      <c r="H51" s="69">
        <v>0.0</v>
      </c>
      <c r="I51" s="69">
        <v>0.0</v>
      </c>
      <c r="J51" s="69">
        <v>0.0</v>
      </c>
      <c r="K51" s="69">
        <v>1.0</v>
      </c>
      <c r="L51" s="69">
        <v>0.0</v>
      </c>
      <c r="M51" s="69">
        <v>0.0</v>
      </c>
      <c r="N51" s="69">
        <v>0.0</v>
      </c>
      <c r="O51" s="69">
        <v>0.0</v>
      </c>
      <c r="P51" s="69">
        <v>0.0</v>
      </c>
      <c r="Q51" s="69">
        <v>0.0</v>
      </c>
      <c r="R51" s="69">
        <v>0.0</v>
      </c>
      <c r="S51" s="69">
        <v>0.0</v>
      </c>
      <c r="T51" s="69">
        <v>0.0</v>
      </c>
      <c r="U51" s="69">
        <v>0.0</v>
      </c>
      <c r="V51" s="69">
        <v>1.0</v>
      </c>
      <c r="W51" s="69">
        <v>0.0</v>
      </c>
      <c r="X51" s="69">
        <v>0.0</v>
      </c>
      <c r="Y51" s="69">
        <v>0.0</v>
      </c>
      <c r="Z51" s="69">
        <v>0.0</v>
      </c>
      <c r="AA51" s="13">
        <f t="shared" si="14"/>
        <v>3</v>
      </c>
    </row>
    <row r="52" ht="12.75" customHeight="1">
      <c r="A52" s="18"/>
      <c r="B52" s="49"/>
      <c r="C52" s="50" t="s">
        <v>46</v>
      </c>
      <c r="D52" s="51"/>
      <c r="E52" s="69">
        <v>13.0</v>
      </c>
      <c r="F52" s="69">
        <v>4.0</v>
      </c>
      <c r="G52" s="69">
        <v>2.0</v>
      </c>
      <c r="H52" s="69">
        <v>0.0</v>
      </c>
      <c r="I52" s="69">
        <v>0.0</v>
      </c>
      <c r="J52" s="69">
        <v>0.0</v>
      </c>
      <c r="K52" s="69">
        <v>0.0</v>
      </c>
      <c r="L52" s="69">
        <v>0.0</v>
      </c>
      <c r="M52" s="69">
        <v>0.0</v>
      </c>
      <c r="N52" s="69">
        <v>0.0</v>
      </c>
      <c r="O52" s="69">
        <v>0.0</v>
      </c>
      <c r="P52" s="69">
        <v>0.0</v>
      </c>
      <c r="Q52" s="69">
        <v>0.0</v>
      </c>
      <c r="R52" s="69">
        <v>0.0</v>
      </c>
      <c r="S52" s="69">
        <v>1.0</v>
      </c>
      <c r="T52" s="69">
        <v>0.0</v>
      </c>
      <c r="U52" s="69">
        <v>0.0</v>
      </c>
      <c r="V52" s="69">
        <v>0.0</v>
      </c>
      <c r="W52" s="69">
        <v>0.0</v>
      </c>
      <c r="X52" s="69">
        <v>0.0</v>
      </c>
      <c r="Y52" s="69">
        <v>0.0</v>
      </c>
      <c r="Z52" s="69">
        <v>0.0</v>
      </c>
      <c r="AA52" s="13">
        <f t="shared" si="14"/>
        <v>20</v>
      </c>
    </row>
    <row r="53" ht="12.75" customHeight="1">
      <c r="A53" s="19" t="s">
        <v>15</v>
      </c>
      <c r="B53" s="47" t="s">
        <v>47</v>
      </c>
      <c r="C53" s="15"/>
      <c r="D53" s="16"/>
      <c r="E53" s="56">
        <f t="shared" ref="E53:Z53" si="15">SUM(E45:E52)</f>
        <v>174</v>
      </c>
      <c r="F53" s="56">
        <f t="shared" si="15"/>
        <v>106</v>
      </c>
      <c r="G53" s="56">
        <f t="shared" si="15"/>
        <v>107</v>
      </c>
      <c r="H53" s="56">
        <f t="shared" si="15"/>
        <v>140</v>
      </c>
      <c r="I53" s="56">
        <f t="shared" si="15"/>
        <v>153</v>
      </c>
      <c r="J53" s="56">
        <f t="shared" si="15"/>
        <v>138</v>
      </c>
      <c r="K53" s="56">
        <f t="shared" si="15"/>
        <v>107</v>
      </c>
      <c r="L53" s="56">
        <f t="shared" si="15"/>
        <v>63</v>
      </c>
      <c r="M53" s="56">
        <f t="shared" si="15"/>
        <v>70</v>
      </c>
      <c r="N53" s="56">
        <f t="shared" si="15"/>
        <v>92</v>
      </c>
      <c r="O53" s="56">
        <f t="shared" si="15"/>
        <v>56</v>
      </c>
      <c r="P53" s="56">
        <f t="shared" si="15"/>
        <v>82</v>
      </c>
      <c r="Q53" s="56">
        <f t="shared" si="15"/>
        <v>57</v>
      </c>
      <c r="R53" s="56">
        <f t="shared" si="15"/>
        <v>40</v>
      </c>
      <c r="S53" s="56">
        <f t="shared" si="15"/>
        <v>44</v>
      </c>
      <c r="T53" s="56">
        <f t="shared" si="15"/>
        <v>104</v>
      </c>
      <c r="U53" s="56">
        <f t="shared" si="15"/>
        <v>90</v>
      </c>
      <c r="V53" s="56">
        <f t="shared" si="15"/>
        <v>86</v>
      </c>
      <c r="W53" s="56">
        <f t="shared" si="15"/>
        <v>50</v>
      </c>
      <c r="X53" s="56">
        <f t="shared" si="15"/>
        <v>43</v>
      </c>
      <c r="Y53" s="56">
        <f t="shared" si="15"/>
        <v>74</v>
      </c>
      <c r="Z53" s="56">
        <f t="shared" si="15"/>
        <v>82</v>
      </c>
      <c r="AA53" s="13">
        <f t="shared" si="14"/>
        <v>1958</v>
      </c>
    </row>
    <row r="54" ht="12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13"/>
    </row>
    <row r="55" ht="15.0" customHeight="1">
      <c r="A55" s="30" t="s">
        <v>37</v>
      </c>
      <c r="B55" s="47" t="s">
        <v>19</v>
      </c>
      <c r="C55" s="48" t="s">
        <v>48</v>
      </c>
      <c r="D55" s="16"/>
      <c r="E55" s="69">
        <v>3.0</v>
      </c>
      <c r="F55" s="69">
        <v>3.0</v>
      </c>
      <c r="G55" s="69">
        <v>4.0</v>
      </c>
      <c r="H55" s="69">
        <v>12.0</v>
      </c>
      <c r="I55" s="69">
        <v>4.0</v>
      </c>
      <c r="J55" s="69">
        <v>8.0</v>
      </c>
      <c r="K55" s="69">
        <v>8.0</v>
      </c>
      <c r="L55" s="69">
        <v>14.0</v>
      </c>
      <c r="M55" s="69">
        <v>2.0</v>
      </c>
      <c r="N55" s="69">
        <v>8.0</v>
      </c>
      <c r="O55" s="69">
        <v>7.0</v>
      </c>
      <c r="P55" s="69">
        <v>6.0</v>
      </c>
      <c r="Q55" s="69">
        <v>0.0</v>
      </c>
      <c r="R55" s="69">
        <v>7.0</v>
      </c>
      <c r="S55" s="69">
        <v>0.0</v>
      </c>
      <c r="T55" s="69">
        <v>11.0</v>
      </c>
      <c r="U55" s="69">
        <v>13.0</v>
      </c>
      <c r="V55" s="69">
        <v>16.0</v>
      </c>
      <c r="W55" s="69">
        <v>4.0</v>
      </c>
      <c r="X55" s="69">
        <v>5.0</v>
      </c>
      <c r="Y55" s="69">
        <v>4.0</v>
      </c>
      <c r="Z55" s="69">
        <v>5.0</v>
      </c>
      <c r="AA55" s="13">
        <f t="shared" ref="AA55:AA63" si="16">SUM(E55:Z55)</f>
        <v>144</v>
      </c>
    </row>
    <row r="56" ht="12.75" customHeight="1">
      <c r="A56" s="30" t="s">
        <v>39</v>
      </c>
      <c r="B56" s="49"/>
      <c r="C56" s="50" t="s">
        <v>49</v>
      </c>
      <c r="D56" s="51"/>
      <c r="E56" s="69">
        <v>5.0</v>
      </c>
      <c r="F56" s="69">
        <v>2.0</v>
      </c>
      <c r="G56" s="69">
        <v>4.0</v>
      </c>
      <c r="H56" s="69">
        <v>2.0</v>
      </c>
      <c r="I56" s="69">
        <v>5.0</v>
      </c>
      <c r="J56" s="69">
        <v>3.0</v>
      </c>
      <c r="K56" s="69">
        <v>1.0</v>
      </c>
      <c r="L56" s="69">
        <v>3.0</v>
      </c>
      <c r="M56" s="69">
        <v>3.0</v>
      </c>
      <c r="N56" s="69">
        <v>10.0</v>
      </c>
      <c r="O56" s="69">
        <v>2.0</v>
      </c>
      <c r="P56" s="69">
        <v>2.0</v>
      </c>
      <c r="Q56" s="69">
        <v>64.0</v>
      </c>
      <c r="R56" s="69">
        <v>1.0</v>
      </c>
      <c r="S56" s="69">
        <v>2.0</v>
      </c>
      <c r="T56" s="69">
        <v>4.0</v>
      </c>
      <c r="U56" s="69">
        <v>8.0</v>
      </c>
      <c r="V56" s="69">
        <v>7.0</v>
      </c>
      <c r="W56" s="69">
        <v>6.0</v>
      </c>
      <c r="X56" s="69">
        <v>7.0</v>
      </c>
      <c r="Y56" s="69">
        <v>3.0</v>
      </c>
      <c r="Z56" s="69">
        <v>4.0</v>
      </c>
      <c r="AA56" s="13">
        <f t="shared" si="16"/>
        <v>148</v>
      </c>
    </row>
    <row r="57" ht="12.75" customHeight="1">
      <c r="A57" s="18"/>
      <c r="B57" s="49"/>
      <c r="C57" s="50" t="s">
        <v>50</v>
      </c>
      <c r="D57" s="51"/>
      <c r="E57" s="69">
        <v>1.0</v>
      </c>
      <c r="F57" s="69">
        <v>6.0</v>
      </c>
      <c r="G57" s="69">
        <v>2.0</v>
      </c>
      <c r="H57" s="69">
        <v>2.0</v>
      </c>
      <c r="I57" s="69">
        <v>2.0</v>
      </c>
      <c r="J57" s="69">
        <v>2.0</v>
      </c>
      <c r="K57" s="69">
        <v>1.0</v>
      </c>
      <c r="L57" s="69">
        <v>2.0</v>
      </c>
      <c r="M57" s="69">
        <v>3.0</v>
      </c>
      <c r="N57" s="69">
        <v>2.0</v>
      </c>
      <c r="O57" s="69">
        <v>2.0</v>
      </c>
      <c r="P57" s="69">
        <v>1.0</v>
      </c>
      <c r="Q57" s="69">
        <v>0.0</v>
      </c>
      <c r="R57" s="69">
        <v>1.0</v>
      </c>
      <c r="S57" s="69">
        <v>0.0</v>
      </c>
      <c r="T57" s="69">
        <v>2.0</v>
      </c>
      <c r="U57" s="69">
        <v>2.0</v>
      </c>
      <c r="V57" s="69">
        <v>7.0</v>
      </c>
      <c r="W57" s="69">
        <v>7.0</v>
      </c>
      <c r="X57" s="69">
        <v>5.0</v>
      </c>
      <c r="Y57" s="69">
        <v>1.0</v>
      </c>
      <c r="Z57" s="69">
        <v>9.0</v>
      </c>
      <c r="AA57" s="13">
        <f t="shared" si="16"/>
        <v>60</v>
      </c>
    </row>
    <row r="58" ht="12.75" customHeight="1">
      <c r="A58" s="18"/>
      <c r="B58" s="49"/>
      <c r="C58" s="50" t="s">
        <v>51</v>
      </c>
      <c r="D58" s="51"/>
      <c r="E58" s="69">
        <v>2.0</v>
      </c>
      <c r="F58" s="69">
        <v>3.0</v>
      </c>
      <c r="G58" s="69">
        <v>3.0</v>
      </c>
      <c r="H58" s="69">
        <v>0.0</v>
      </c>
      <c r="I58" s="69">
        <v>2.0</v>
      </c>
      <c r="J58" s="69">
        <v>0.0</v>
      </c>
      <c r="K58" s="69">
        <v>1.0</v>
      </c>
      <c r="L58" s="69">
        <v>2.0</v>
      </c>
      <c r="M58" s="69">
        <v>1.0</v>
      </c>
      <c r="N58" s="69">
        <v>0.0</v>
      </c>
      <c r="O58" s="69">
        <v>2.0</v>
      </c>
      <c r="P58" s="69">
        <v>0.0</v>
      </c>
      <c r="Q58" s="69">
        <v>0.0</v>
      </c>
      <c r="R58" s="69">
        <v>0.0</v>
      </c>
      <c r="S58" s="69">
        <v>0.0</v>
      </c>
      <c r="T58" s="69">
        <v>7.0</v>
      </c>
      <c r="U58" s="69">
        <v>0.0</v>
      </c>
      <c r="V58" s="69">
        <v>4.0</v>
      </c>
      <c r="W58" s="69">
        <v>5.0</v>
      </c>
      <c r="X58" s="69">
        <v>1.0</v>
      </c>
      <c r="Y58" s="69">
        <v>0.0</v>
      </c>
      <c r="Z58" s="69">
        <v>3.0</v>
      </c>
      <c r="AA58" s="13">
        <f t="shared" si="16"/>
        <v>36</v>
      </c>
    </row>
    <row r="59" ht="12.75" customHeight="1">
      <c r="A59" s="18"/>
      <c r="B59" s="49"/>
      <c r="C59" s="50" t="s">
        <v>52</v>
      </c>
      <c r="D59" s="51"/>
      <c r="E59" s="69">
        <v>1.0</v>
      </c>
      <c r="F59" s="69">
        <v>1.0</v>
      </c>
      <c r="G59" s="69">
        <v>0.0</v>
      </c>
      <c r="H59" s="69">
        <v>0.0</v>
      </c>
      <c r="I59" s="69">
        <v>0.0</v>
      </c>
      <c r="J59" s="69">
        <v>0.0</v>
      </c>
      <c r="K59" s="69">
        <v>0.0</v>
      </c>
      <c r="L59" s="69">
        <v>0.0</v>
      </c>
      <c r="M59" s="69">
        <v>0.0</v>
      </c>
      <c r="N59" s="69">
        <v>0.0</v>
      </c>
      <c r="O59" s="69">
        <v>0.0</v>
      </c>
      <c r="P59" s="69">
        <v>0.0</v>
      </c>
      <c r="Q59" s="69">
        <v>0.0</v>
      </c>
      <c r="R59" s="69">
        <v>1.0</v>
      </c>
      <c r="S59" s="69">
        <v>0.0</v>
      </c>
      <c r="T59" s="69">
        <v>1.0</v>
      </c>
      <c r="U59" s="69">
        <v>0.0</v>
      </c>
      <c r="V59" s="69">
        <v>1.0</v>
      </c>
      <c r="W59" s="69">
        <v>0.0</v>
      </c>
      <c r="X59" s="69">
        <v>0.0</v>
      </c>
      <c r="Y59" s="69">
        <v>0.0</v>
      </c>
      <c r="Z59" s="69">
        <v>1.0</v>
      </c>
      <c r="AA59" s="13">
        <f t="shared" si="16"/>
        <v>6</v>
      </c>
    </row>
    <row r="60" ht="12.75" customHeight="1">
      <c r="A60" s="18"/>
      <c r="B60" s="49"/>
      <c r="C60" s="50" t="s">
        <v>53</v>
      </c>
      <c r="D60" s="51"/>
      <c r="E60" s="69">
        <v>0.0</v>
      </c>
      <c r="F60" s="69">
        <v>0.0</v>
      </c>
      <c r="G60" s="69">
        <v>0.0</v>
      </c>
      <c r="H60" s="69">
        <v>0.0</v>
      </c>
      <c r="I60" s="69">
        <v>1.0</v>
      </c>
      <c r="J60" s="69">
        <v>0.0</v>
      </c>
      <c r="K60" s="69">
        <v>1.0</v>
      </c>
      <c r="L60" s="69">
        <v>1.0</v>
      </c>
      <c r="M60" s="69">
        <v>0.0</v>
      </c>
      <c r="N60" s="69">
        <v>1.0</v>
      </c>
      <c r="O60" s="69">
        <v>0.0</v>
      </c>
      <c r="P60" s="69">
        <v>0.0</v>
      </c>
      <c r="Q60" s="69">
        <v>0.0</v>
      </c>
      <c r="R60" s="69">
        <v>0.0</v>
      </c>
      <c r="S60" s="69">
        <v>1.0</v>
      </c>
      <c r="T60" s="69">
        <v>0.0</v>
      </c>
      <c r="U60" s="69">
        <v>0.0</v>
      </c>
      <c r="V60" s="69">
        <v>0.0</v>
      </c>
      <c r="W60" s="69">
        <v>1.0</v>
      </c>
      <c r="X60" s="69">
        <v>0.0</v>
      </c>
      <c r="Y60" s="69">
        <v>0.0</v>
      </c>
      <c r="Z60" s="69">
        <v>0.0</v>
      </c>
      <c r="AA60" s="13">
        <f t="shared" si="16"/>
        <v>6</v>
      </c>
    </row>
    <row r="61" ht="12.75" customHeight="1">
      <c r="A61" s="18"/>
      <c r="B61" s="49"/>
      <c r="C61" s="50" t="s">
        <v>54</v>
      </c>
      <c r="D61" s="51"/>
      <c r="E61" s="69">
        <v>0.0</v>
      </c>
      <c r="F61" s="69">
        <v>0.0</v>
      </c>
      <c r="G61" s="69">
        <v>0.0</v>
      </c>
      <c r="H61" s="69">
        <v>0.0</v>
      </c>
      <c r="I61" s="69">
        <v>0.0</v>
      </c>
      <c r="J61" s="69">
        <v>0.0</v>
      </c>
      <c r="K61" s="69">
        <v>0.0</v>
      </c>
      <c r="L61" s="69">
        <v>0.0</v>
      </c>
      <c r="M61" s="69">
        <v>0.0</v>
      </c>
      <c r="N61" s="69">
        <v>0.0</v>
      </c>
      <c r="O61" s="69">
        <v>0.0</v>
      </c>
      <c r="P61" s="69">
        <v>0.0</v>
      </c>
      <c r="Q61" s="69">
        <v>0.0</v>
      </c>
      <c r="R61" s="69">
        <v>0.0</v>
      </c>
      <c r="S61" s="69">
        <v>0.0</v>
      </c>
      <c r="T61" s="69">
        <v>0.0</v>
      </c>
      <c r="U61" s="69">
        <v>0.0</v>
      </c>
      <c r="V61" s="69">
        <v>0.0</v>
      </c>
      <c r="W61" s="69">
        <v>0.0</v>
      </c>
      <c r="X61" s="69">
        <v>0.0</v>
      </c>
      <c r="Y61" s="69">
        <v>0.0</v>
      </c>
      <c r="Z61" s="69">
        <v>0.0</v>
      </c>
      <c r="AA61" s="13">
        <f t="shared" si="16"/>
        <v>0</v>
      </c>
    </row>
    <row r="62" ht="12.75" customHeight="1">
      <c r="A62" s="18"/>
      <c r="B62" s="49"/>
      <c r="C62" s="50" t="s">
        <v>55</v>
      </c>
      <c r="D62" s="51"/>
      <c r="E62" s="69">
        <v>0.0</v>
      </c>
      <c r="F62" s="69">
        <v>0.0</v>
      </c>
      <c r="G62" s="69">
        <v>0.0</v>
      </c>
      <c r="H62" s="69">
        <v>0.0</v>
      </c>
      <c r="I62" s="69">
        <v>0.0</v>
      </c>
      <c r="J62" s="69">
        <v>1.0</v>
      </c>
      <c r="K62" s="69">
        <v>0.0</v>
      </c>
      <c r="L62" s="69">
        <v>0.0</v>
      </c>
      <c r="M62" s="69">
        <v>0.0</v>
      </c>
      <c r="N62" s="69">
        <v>0.0</v>
      </c>
      <c r="O62" s="69">
        <v>0.0</v>
      </c>
      <c r="P62" s="69">
        <v>0.0</v>
      </c>
      <c r="Q62" s="69">
        <v>0.0</v>
      </c>
      <c r="R62" s="69">
        <v>0.0</v>
      </c>
      <c r="S62" s="69">
        <v>0.0</v>
      </c>
      <c r="T62" s="69">
        <v>0.0</v>
      </c>
      <c r="U62" s="69">
        <v>0.0</v>
      </c>
      <c r="V62" s="69">
        <v>0.0</v>
      </c>
      <c r="W62" s="69">
        <v>0.0</v>
      </c>
      <c r="X62" s="69">
        <v>0.0</v>
      </c>
      <c r="Y62" s="69">
        <v>0.0</v>
      </c>
      <c r="Z62" s="69">
        <v>0.0</v>
      </c>
      <c r="AA62" s="13">
        <f t="shared" si="16"/>
        <v>1</v>
      </c>
    </row>
    <row r="63" ht="12.75" customHeight="1">
      <c r="A63" s="19" t="s">
        <v>15</v>
      </c>
      <c r="B63" s="47" t="s">
        <v>47</v>
      </c>
      <c r="C63" s="15"/>
      <c r="D63" s="16"/>
      <c r="E63" s="56">
        <f t="shared" ref="E63:Z63" si="17">SUM(E55:E62)</f>
        <v>12</v>
      </c>
      <c r="F63" s="56">
        <f t="shared" si="17"/>
        <v>15</v>
      </c>
      <c r="G63" s="56">
        <f t="shared" si="17"/>
        <v>13</v>
      </c>
      <c r="H63" s="56">
        <f t="shared" si="17"/>
        <v>16</v>
      </c>
      <c r="I63" s="56">
        <f t="shared" si="17"/>
        <v>14</v>
      </c>
      <c r="J63" s="56">
        <f t="shared" si="17"/>
        <v>14</v>
      </c>
      <c r="K63" s="56">
        <f t="shared" si="17"/>
        <v>12</v>
      </c>
      <c r="L63" s="56">
        <f t="shared" si="17"/>
        <v>22</v>
      </c>
      <c r="M63" s="56">
        <f t="shared" si="17"/>
        <v>9</v>
      </c>
      <c r="N63" s="56">
        <f t="shared" si="17"/>
        <v>21</v>
      </c>
      <c r="O63" s="56">
        <f t="shared" si="17"/>
        <v>13</v>
      </c>
      <c r="P63" s="56">
        <f t="shared" si="17"/>
        <v>9</v>
      </c>
      <c r="Q63" s="56">
        <f t="shared" si="17"/>
        <v>64</v>
      </c>
      <c r="R63" s="56">
        <f t="shared" si="17"/>
        <v>10</v>
      </c>
      <c r="S63" s="56">
        <f t="shared" si="17"/>
        <v>3</v>
      </c>
      <c r="T63" s="56">
        <f t="shared" si="17"/>
        <v>25</v>
      </c>
      <c r="U63" s="56">
        <f t="shared" si="17"/>
        <v>23</v>
      </c>
      <c r="V63" s="56">
        <f t="shared" si="17"/>
        <v>35</v>
      </c>
      <c r="W63" s="56">
        <f t="shared" si="17"/>
        <v>23</v>
      </c>
      <c r="X63" s="56">
        <f t="shared" si="17"/>
        <v>18</v>
      </c>
      <c r="Y63" s="56">
        <f t="shared" si="17"/>
        <v>8</v>
      </c>
      <c r="Z63" s="56">
        <f t="shared" si="17"/>
        <v>22</v>
      </c>
      <c r="AA63" s="13">
        <f t="shared" si="16"/>
        <v>401</v>
      </c>
    </row>
    <row r="64" ht="12.75" customHeight="1">
      <c r="A64" s="59"/>
      <c r="B64" s="60"/>
      <c r="C64" s="60"/>
      <c r="D64" s="60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13"/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69">
        <v>1.0</v>
      </c>
      <c r="F65" s="69">
        <v>7.0</v>
      </c>
      <c r="G65" s="69">
        <v>4.0</v>
      </c>
      <c r="H65" s="69">
        <v>4.0</v>
      </c>
      <c r="I65" s="69">
        <v>4.0</v>
      </c>
      <c r="J65" s="69">
        <v>2.0</v>
      </c>
      <c r="K65" s="69">
        <v>4.0</v>
      </c>
      <c r="L65" s="69">
        <v>10.0</v>
      </c>
      <c r="M65" s="69">
        <v>8.0</v>
      </c>
      <c r="N65" s="69">
        <v>3.0</v>
      </c>
      <c r="O65" s="69">
        <v>8.0</v>
      </c>
      <c r="P65" s="69">
        <v>9.0</v>
      </c>
      <c r="Q65" s="69">
        <v>1.0</v>
      </c>
      <c r="R65" s="69">
        <v>2.0</v>
      </c>
      <c r="S65" s="69">
        <v>0.0</v>
      </c>
      <c r="T65" s="69">
        <v>5.0</v>
      </c>
      <c r="U65" s="69">
        <v>4.0</v>
      </c>
      <c r="V65" s="69">
        <v>8.0</v>
      </c>
      <c r="W65" s="69">
        <v>6.0</v>
      </c>
      <c r="X65" s="69">
        <v>7.0</v>
      </c>
      <c r="Y65" s="69">
        <v>6.0</v>
      </c>
      <c r="Z65" s="69">
        <v>5.0</v>
      </c>
      <c r="AA65" s="13">
        <f t="shared" ref="AA65:AA73" si="18">SUM(E65:Z65)</f>
        <v>108</v>
      </c>
    </row>
    <row r="66" ht="12.75" customHeight="1">
      <c r="A66" s="30" t="s">
        <v>39</v>
      </c>
      <c r="B66" s="49"/>
      <c r="C66" s="50" t="s">
        <v>57</v>
      </c>
      <c r="D66" s="51"/>
      <c r="E66" s="69">
        <v>0.0</v>
      </c>
      <c r="F66" s="69">
        <v>2.0</v>
      </c>
      <c r="G66" s="69">
        <v>1.0</v>
      </c>
      <c r="H66" s="69">
        <v>0.0</v>
      </c>
      <c r="I66" s="69">
        <v>1.0</v>
      </c>
      <c r="J66" s="69">
        <v>0.0</v>
      </c>
      <c r="K66" s="69">
        <v>0.0</v>
      </c>
      <c r="L66" s="69">
        <v>2.0</v>
      </c>
      <c r="M66" s="69">
        <v>40.0</v>
      </c>
      <c r="N66" s="69">
        <v>18.0</v>
      </c>
      <c r="O66" s="69">
        <v>33.0</v>
      </c>
      <c r="P66" s="69">
        <v>6.0</v>
      </c>
      <c r="Q66" s="69">
        <v>23.0</v>
      </c>
      <c r="R66" s="69">
        <v>1.0</v>
      </c>
      <c r="S66" s="69">
        <v>0.0</v>
      </c>
      <c r="T66" s="69">
        <v>0.0</v>
      </c>
      <c r="U66" s="69">
        <v>0.0</v>
      </c>
      <c r="V66" s="69">
        <v>2.0</v>
      </c>
      <c r="W66" s="69">
        <v>3.0</v>
      </c>
      <c r="X66" s="69">
        <v>3.0</v>
      </c>
      <c r="Y66" s="69">
        <v>3.0</v>
      </c>
      <c r="Z66" s="69">
        <v>0.0</v>
      </c>
      <c r="AA66" s="13">
        <f t="shared" si="18"/>
        <v>138</v>
      </c>
    </row>
    <row r="67" ht="15.0" customHeight="1">
      <c r="A67" s="18"/>
      <c r="B67" s="49"/>
      <c r="C67" s="50" t="s">
        <v>58</v>
      </c>
      <c r="D67" s="51"/>
      <c r="E67" s="69">
        <v>3.0</v>
      </c>
      <c r="F67" s="69">
        <v>3.0</v>
      </c>
      <c r="G67" s="69">
        <v>1.0</v>
      </c>
      <c r="H67" s="69">
        <v>2.0</v>
      </c>
      <c r="I67" s="69">
        <v>3.0</v>
      </c>
      <c r="J67" s="69">
        <v>0.0</v>
      </c>
      <c r="K67" s="69">
        <v>3.0</v>
      </c>
      <c r="L67" s="69">
        <v>1.0</v>
      </c>
      <c r="M67" s="69">
        <v>4.0</v>
      </c>
      <c r="N67" s="69">
        <v>4.0</v>
      </c>
      <c r="O67" s="69">
        <v>0.0</v>
      </c>
      <c r="P67" s="69">
        <v>5.0</v>
      </c>
      <c r="Q67" s="69">
        <v>0.0</v>
      </c>
      <c r="R67" s="69">
        <v>2.0</v>
      </c>
      <c r="S67" s="69">
        <v>2.0</v>
      </c>
      <c r="T67" s="69">
        <v>0.0</v>
      </c>
      <c r="U67" s="69">
        <v>2.0</v>
      </c>
      <c r="V67" s="69">
        <v>3.0</v>
      </c>
      <c r="W67" s="69">
        <v>2.0</v>
      </c>
      <c r="X67" s="69">
        <v>3.0</v>
      </c>
      <c r="Y67" s="69">
        <v>5.0</v>
      </c>
      <c r="Z67" s="69">
        <v>0.0</v>
      </c>
      <c r="AA67" s="13">
        <f t="shared" si="18"/>
        <v>48</v>
      </c>
    </row>
    <row r="68" ht="12.75" customHeight="1">
      <c r="A68" s="18"/>
      <c r="B68" s="49"/>
      <c r="C68" s="50" t="s">
        <v>59</v>
      </c>
      <c r="D68" s="51"/>
      <c r="E68" s="69">
        <v>0.0</v>
      </c>
      <c r="F68" s="69">
        <v>1.0</v>
      </c>
      <c r="G68" s="69">
        <v>0.0</v>
      </c>
      <c r="H68" s="69">
        <v>0.0</v>
      </c>
      <c r="I68" s="69">
        <v>0.0</v>
      </c>
      <c r="J68" s="69">
        <v>1.0</v>
      </c>
      <c r="K68" s="69">
        <v>0.0</v>
      </c>
      <c r="L68" s="69">
        <v>0.0</v>
      </c>
      <c r="M68" s="69">
        <v>0.0</v>
      </c>
      <c r="N68" s="69">
        <v>0.0</v>
      </c>
      <c r="O68" s="69">
        <v>0.0</v>
      </c>
      <c r="P68" s="69">
        <v>1.0</v>
      </c>
      <c r="Q68" s="69">
        <v>0.0</v>
      </c>
      <c r="R68" s="69">
        <v>0.0</v>
      </c>
      <c r="S68" s="69">
        <v>0.0</v>
      </c>
      <c r="T68" s="69">
        <v>1.0</v>
      </c>
      <c r="U68" s="69">
        <v>1.0</v>
      </c>
      <c r="V68" s="69">
        <v>2.0</v>
      </c>
      <c r="W68" s="69">
        <v>2.0</v>
      </c>
      <c r="X68" s="69">
        <v>0.0</v>
      </c>
      <c r="Y68" s="69">
        <v>0.0</v>
      </c>
      <c r="Z68" s="69">
        <v>0.0</v>
      </c>
      <c r="AA68" s="13">
        <f t="shared" si="18"/>
        <v>9</v>
      </c>
    </row>
    <row r="69" ht="12.75" customHeight="1">
      <c r="A69" s="18"/>
      <c r="B69" s="49"/>
      <c r="C69" s="50" t="s">
        <v>60</v>
      </c>
      <c r="D69" s="51"/>
      <c r="E69" s="69">
        <v>0.0</v>
      </c>
      <c r="F69" s="69">
        <v>0.0</v>
      </c>
      <c r="G69" s="69">
        <v>0.0</v>
      </c>
      <c r="H69" s="69">
        <v>0.0</v>
      </c>
      <c r="I69" s="69">
        <v>0.0</v>
      </c>
      <c r="J69" s="69">
        <v>0.0</v>
      </c>
      <c r="K69" s="69">
        <v>1.0</v>
      </c>
      <c r="L69" s="69">
        <v>0.0</v>
      </c>
      <c r="M69" s="69">
        <v>0.0</v>
      </c>
      <c r="N69" s="69">
        <v>0.0</v>
      </c>
      <c r="O69" s="69">
        <v>0.0</v>
      </c>
      <c r="P69" s="69">
        <v>0.0</v>
      </c>
      <c r="Q69" s="69">
        <v>1.0</v>
      </c>
      <c r="R69" s="69">
        <v>0.0</v>
      </c>
      <c r="S69" s="69">
        <v>0.0</v>
      </c>
      <c r="T69" s="69">
        <v>1.0</v>
      </c>
      <c r="U69" s="69">
        <v>3.0</v>
      </c>
      <c r="V69" s="69">
        <v>0.0</v>
      </c>
      <c r="W69" s="69">
        <v>1.0</v>
      </c>
      <c r="X69" s="69">
        <v>0.0</v>
      </c>
      <c r="Y69" s="69">
        <v>1.0</v>
      </c>
      <c r="Z69" s="69">
        <v>0.0</v>
      </c>
      <c r="AA69" s="13">
        <f t="shared" si="18"/>
        <v>8</v>
      </c>
    </row>
    <row r="70" ht="12.75" customHeight="1">
      <c r="A70" s="18"/>
      <c r="B70" s="49"/>
      <c r="C70" s="50" t="s">
        <v>61</v>
      </c>
      <c r="D70" s="51"/>
      <c r="E70" s="69">
        <v>0.0</v>
      </c>
      <c r="F70" s="69">
        <v>3.0</v>
      </c>
      <c r="G70" s="69">
        <v>4.0</v>
      </c>
      <c r="H70" s="69">
        <v>0.0</v>
      </c>
      <c r="I70" s="69">
        <v>5.0</v>
      </c>
      <c r="J70" s="69">
        <v>2.0</v>
      </c>
      <c r="K70" s="69">
        <v>5.0</v>
      </c>
      <c r="L70" s="69">
        <v>6.0</v>
      </c>
      <c r="M70" s="69">
        <v>0.0</v>
      </c>
      <c r="N70" s="69">
        <v>1.0</v>
      </c>
      <c r="O70" s="69">
        <v>0.0</v>
      </c>
      <c r="P70" s="69">
        <v>2.0</v>
      </c>
      <c r="Q70" s="69">
        <v>1.0</v>
      </c>
      <c r="R70" s="69">
        <v>3.0</v>
      </c>
      <c r="S70" s="69">
        <v>10.0</v>
      </c>
      <c r="T70" s="69">
        <v>0.0</v>
      </c>
      <c r="U70" s="69">
        <v>1.0</v>
      </c>
      <c r="V70" s="69">
        <v>0.0</v>
      </c>
      <c r="W70" s="69">
        <v>8.0</v>
      </c>
      <c r="X70" s="69">
        <v>3.0</v>
      </c>
      <c r="Y70" s="69">
        <v>1.0</v>
      </c>
      <c r="Z70" s="69">
        <v>0.0</v>
      </c>
      <c r="AA70" s="13">
        <f t="shared" si="18"/>
        <v>55</v>
      </c>
    </row>
    <row r="71" ht="12.75" customHeight="1">
      <c r="A71" s="18"/>
      <c r="B71" s="49"/>
      <c r="C71" s="50" t="s">
        <v>62</v>
      </c>
      <c r="D71" s="51"/>
      <c r="E71" s="69">
        <v>0.0</v>
      </c>
      <c r="F71" s="69">
        <v>1.0</v>
      </c>
      <c r="G71" s="69">
        <v>1.0</v>
      </c>
      <c r="H71" s="69">
        <v>0.0</v>
      </c>
      <c r="I71" s="69">
        <v>0.0</v>
      </c>
      <c r="J71" s="69">
        <v>1.0</v>
      </c>
      <c r="K71" s="69">
        <v>2.0</v>
      </c>
      <c r="L71" s="69">
        <v>0.0</v>
      </c>
      <c r="M71" s="69">
        <v>0.0</v>
      </c>
      <c r="N71" s="69">
        <v>0.0</v>
      </c>
      <c r="O71" s="69">
        <v>0.0</v>
      </c>
      <c r="P71" s="69">
        <v>12.0</v>
      </c>
      <c r="Q71" s="69">
        <v>45.0</v>
      </c>
      <c r="R71" s="69">
        <v>0.0</v>
      </c>
      <c r="S71" s="69">
        <v>0.0</v>
      </c>
      <c r="T71" s="69">
        <v>1.0</v>
      </c>
      <c r="U71" s="69">
        <v>6.0</v>
      </c>
      <c r="V71" s="69">
        <v>0.0</v>
      </c>
      <c r="W71" s="69">
        <v>3.0</v>
      </c>
      <c r="X71" s="69">
        <v>38.0</v>
      </c>
      <c r="Y71" s="69">
        <v>7.0</v>
      </c>
      <c r="Z71" s="69">
        <v>15.0</v>
      </c>
      <c r="AA71" s="13">
        <f t="shared" si="18"/>
        <v>132</v>
      </c>
    </row>
    <row r="72" ht="12.75" customHeight="1">
      <c r="A72" s="18"/>
      <c r="B72" s="49"/>
      <c r="C72" s="50" t="s">
        <v>63</v>
      </c>
      <c r="D72" s="51"/>
      <c r="E72" s="69">
        <v>1.0</v>
      </c>
      <c r="F72" s="69">
        <v>7.0</v>
      </c>
      <c r="G72" s="69">
        <v>3.0</v>
      </c>
      <c r="H72" s="69">
        <v>1.0</v>
      </c>
      <c r="I72" s="69">
        <v>2.0</v>
      </c>
      <c r="J72" s="69">
        <v>3.0</v>
      </c>
      <c r="K72" s="69">
        <v>0.0</v>
      </c>
      <c r="L72" s="69">
        <v>0.0</v>
      </c>
      <c r="M72" s="69">
        <v>3.0</v>
      </c>
      <c r="N72" s="69">
        <v>0.0</v>
      </c>
      <c r="O72" s="69">
        <v>4.0</v>
      </c>
      <c r="P72" s="69">
        <v>0.0</v>
      </c>
      <c r="Q72" s="69">
        <v>0.0</v>
      </c>
      <c r="R72" s="69">
        <v>1.0</v>
      </c>
      <c r="S72" s="69">
        <v>0.0</v>
      </c>
      <c r="T72" s="69">
        <v>1.0</v>
      </c>
      <c r="U72" s="69">
        <v>9.0</v>
      </c>
      <c r="V72" s="69">
        <v>0.0</v>
      </c>
      <c r="W72" s="69">
        <v>0.0</v>
      </c>
      <c r="X72" s="69">
        <v>1.0</v>
      </c>
      <c r="Y72" s="69">
        <v>3.0</v>
      </c>
      <c r="Z72" s="69">
        <v>3.0</v>
      </c>
      <c r="AA72" s="13">
        <f t="shared" si="18"/>
        <v>42</v>
      </c>
    </row>
    <row r="73" ht="12.75" customHeight="1">
      <c r="A73" s="19" t="s">
        <v>15</v>
      </c>
      <c r="B73" s="47" t="s">
        <v>47</v>
      </c>
      <c r="C73" s="15"/>
      <c r="D73" s="16"/>
      <c r="E73" s="56">
        <f t="shared" ref="E73:Z73" si="19">SUM(E65:E72)</f>
        <v>5</v>
      </c>
      <c r="F73" s="56">
        <f t="shared" si="19"/>
        <v>24</v>
      </c>
      <c r="G73" s="56">
        <f t="shared" si="19"/>
        <v>14</v>
      </c>
      <c r="H73" s="56">
        <f t="shared" si="19"/>
        <v>7</v>
      </c>
      <c r="I73" s="56">
        <f t="shared" si="19"/>
        <v>15</v>
      </c>
      <c r="J73" s="56">
        <f t="shared" si="19"/>
        <v>9</v>
      </c>
      <c r="K73" s="56">
        <f t="shared" si="19"/>
        <v>15</v>
      </c>
      <c r="L73" s="56">
        <f t="shared" si="19"/>
        <v>19</v>
      </c>
      <c r="M73" s="56">
        <f t="shared" si="19"/>
        <v>55</v>
      </c>
      <c r="N73" s="56">
        <f t="shared" si="19"/>
        <v>26</v>
      </c>
      <c r="O73" s="56">
        <f t="shared" si="19"/>
        <v>45</v>
      </c>
      <c r="P73" s="56">
        <f t="shared" si="19"/>
        <v>35</v>
      </c>
      <c r="Q73" s="56">
        <f t="shared" si="19"/>
        <v>71</v>
      </c>
      <c r="R73" s="56">
        <f t="shared" si="19"/>
        <v>9</v>
      </c>
      <c r="S73" s="56">
        <f t="shared" si="19"/>
        <v>12</v>
      </c>
      <c r="T73" s="56">
        <f t="shared" si="19"/>
        <v>9</v>
      </c>
      <c r="U73" s="56">
        <f t="shared" si="19"/>
        <v>26</v>
      </c>
      <c r="V73" s="56">
        <f t="shared" si="19"/>
        <v>15</v>
      </c>
      <c r="W73" s="56">
        <f t="shared" si="19"/>
        <v>25</v>
      </c>
      <c r="X73" s="56">
        <f t="shared" si="19"/>
        <v>55</v>
      </c>
      <c r="Y73" s="56">
        <f t="shared" si="19"/>
        <v>26</v>
      </c>
      <c r="Z73" s="56">
        <f t="shared" si="19"/>
        <v>23</v>
      </c>
      <c r="AA73" s="13">
        <f t="shared" si="18"/>
        <v>540</v>
      </c>
    </row>
    <row r="74" ht="12.75" customHeight="1">
      <c r="A74" s="57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13"/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69">
        <v>1.0</v>
      </c>
      <c r="F75" s="69">
        <v>2.0</v>
      </c>
      <c r="G75" s="69">
        <v>3.0</v>
      </c>
      <c r="H75" s="69">
        <v>1.0</v>
      </c>
      <c r="I75" s="69">
        <v>1.0</v>
      </c>
      <c r="J75" s="69">
        <v>0.0</v>
      </c>
      <c r="K75" s="69">
        <v>4.0</v>
      </c>
      <c r="L75" s="69">
        <v>4.0</v>
      </c>
      <c r="M75" s="69">
        <v>1.0</v>
      </c>
      <c r="N75" s="69">
        <v>2.0</v>
      </c>
      <c r="O75" s="69">
        <v>1.0</v>
      </c>
      <c r="P75" s="69">
        <v>1.0</v>
      </c>
      <c r="Q75" s="69">
        <v>1.0</v>
      </c>
      <c r="R75" s="69">
        <v>3.0</v>
      </c>
      <c r="S75" s="69">
        <v>2.0</v>
      </c>
      <c r="T75" s="69">
        <v>3.0</v>
      </c>
      <c r="U75" s="69">
        <v>1.0</v>
      </c>
      <c r="V75" s="69">
        <v>7.0</v>
      </c>
      <c r="W75" s="69">
        <v>6.0</v>
      </c>
      <c r="X75" s="69">
        <v>2.0</v>
      </c>
      <c r="Y75" s="69">
        <v>1.0</v>
      </c>
      <c r="Z75" s="69">
        <v>1.0</v>
      </c>
      <c r="AA75" s="13">
        <f t="shared" ref="AA75:AA83" si="20">SUM(E75:Z75)</f>
        <v>48</v>
      </c>
    </row>
    <row r="76" ht="12.75" customHeight="1">
      <c r="A76" s="30" t="s">
        <v>39</v>
      </c>
      <c r="B76" s="49"/>
      <c r="C76" s="50" t="s">
        <v>65</v>
      </c>
      <c r="D76" s="51"/>
      <c r="E76" s="69">
        <v>0.0</v>
      </c>
      <c r="F76" s="69">
        <v>1.0</v>
      </c>
      <c r="G76" s="69">
        <v>0.0</v>
      </c>
      <c r="H76" s="69">
        <v>1.0</v>
      </c>
      <c r="I76" s="69">
        <v>2.0</v>
      </c>
      <c r="J76" s="69">
        <v>1.0</v>
      </c>
      <c r="K76" s="69">
        <v>1.0</v>
      </c>
      <c r="L76" s="69">
        <v>0.0</v>
      </c>
      <c r="M76" s="69">
        <v>1.0</v>
      </c>
      <c r="N76" s="69">
        <v>5.0</v>
      </c>
      <c r="O76" s="69">
        <v>0.0</v>
      </c>
      <c r="P76" s="69">
        <v>0.0</v>
      </c>
      <c r="Q76" s="69">
        <v>0.0</v>
      </c>
      <c r="R76" s="69">
        <v>3.0</v>
      </c>
      <c r="S76" s="69">
        <v>0.0</v>
      </c>
      <c r="T76" s="69">
        <v>0.0</v>
      </c>
      <c r="U76" s="69">
        <v>6.0</v>
      </c>
      <c r="V76" s="69">
        <v>3.0</v>
      </c>
      <c r="W76" s="69">
        <v>9.0</v>
      </c>
      <c r="X76" s="69">
        <v>5.0</v>
      </c>
      <c r="Y76" s="69">
        <v>3.0</v>
      </c>
      <c r="Z76" s="69">
        <v>8.0</v>
      </c>
      <c r="AA76" s="13">
        <f t="shared" si="20"/>
        <v>49</v>
      </c>
    </row>
    <row r="77" ht="12.75" customHeight="1">
      <c r="A77" s="18"/>
      <c r="B77" s="49"/>
      <c r="C77" s="50" t="s">
        <v>66</v>
      </c>
      <c r="D77" s="51"/>
      <c r="E77" s="69">
        <v>0.0</v>
      </c>
      <c r="F77" s="69">
        <v>7.0</v>
      </c>
      <c r="G77" s="69">
        <v>5.0</v>
      </c>
      <c r="H77" s="69">
        <v>1.0</v>
      </c>
      <c r="I77" s="69">
        <v>0.0</v>
      </c>
      <c r="J77" s="69">
        <v>0.0</v>
      </c>
      <c r="K77" s="69">
        <v>1.0</v>
      </c>
      <c r="L77" s="69">
        <v>0.0</v>
      </c>
      <c r="M77" s="69">
        <v>8.0</v>
      </c>
      <c r="N77" s="69">
        <v>13.0</v>
      </c>
      <c r="O77" s="69">
        <v>4.0</v>
      </c>
      <c r="P77" s="69">
        <v>0.0</v>
      </c>
      <c r="Q77" s="69">
        <v>1.0</v>
      </c>
      <c r="R77" s="69">
        <v>0.0</v>
      </c>
      <c r="S77" s="69">
        <v>2.0</v>
      </c>
      <c r="T77" s="69">
        <v>0.0</v>
      </c>
      <c r="U77" s="69">
        <v>2.0</v>
      </c>
      <c r="V77" s="69">
        <v>5.0</v>
      </c>
      <c r="W77" s="69">
        <v>3.0</v>
      </c>
      <c r="X77" s="69">
        <v>0.0</v>
      </c>
      <c r="Y77" s="69">
        <v>2.0</v>
      </c>
      <c r="Z77" s="69">
        <v>5.0</v>
      </c>
      <c r="AA77" s="13">
        <f t="shared" si="20"/>
        <v>59</v>
      </c>
    </row>
    <row r="78" ht="12.75" customHeight="1">
      <c r="A78" s="18"/>
      <c r="B78" s="49"/>
      <c r="C78" s="50" t="s">
        <v>67</v>
      </c>
      <c r="D78" s="51"/>
      <c r="E78" s="69">
        <v>0.0</v>
      </c>
      <c r="F78" s="69">
        <v>0.0</v>
      </c>
      <c r="G78" s="69">
        <v>0.0</v>
      </c>
      <c r="H78" s="69">
        <v>0.0</v>
      </c>
      <c r="I78" s="69">
        <v>0.0</v>
      </c>
      <c r="J78" s="69">
        <v>0.0</v>
      </c>
      <c r="K78" s="69">
        <v>0.0</v>
      </c>
      <c r="L78" s="69">
        <v>1.0</v>
      </c>
      <c r="M78" s="69">
        <v>0.0</v>
      </c>
      <c r="N78" s="69">
        <v>0.0</v>
      </c>
      <c r="O78" s="69">
        <v>1.0</v>
      </c>
      <c r="P78" s="69">
        <v>0.0</v>
      </c>
      <c r="Q78" s="69">
        <v>0.0</v>
      </c>
      <c r="R78" s="69">
        <v>0.0</v>
      </c>
      <c r="S78" s="69">
        <v>0.0</v>
      </c>
      <c r="T78" s="69">
        <v>0.0</v>
      </c>
      <c r="U78" s="69">
        <v>0.0</v>
      </c>
      <c r="V78" s="69">
        <v>2.0</v>
      </c>
      <c r="W78" s="69">
        <v>0.0</v>
      </c>
      <c r="X78" s="69">
        <v>1.0</v>
      </c>
      <c r="Y78" s="69">
        <v>1.0</v>
      </c>
      <c r="Z78" s="69">
        <v>0.0</v>
      </c>
      <c r="AA78" s="13">
        <f t="shared" si="20"/>
        <v>6</v>
      </c>
    </row>
    <row r="79" ht="15.0" customHeight="1">
      <c r="A79" s="18"/>
      <c r="B79" s="49"/>
      <c r="C79" s="50" t="s">
        <v>68</v>
      </c>
      <c r="D79" s="51"/>
      <c r="E79" s="69">
        <v>0.0</v>
      </c>
      <c r="F79" s="69">
        <v>0.0</v>
      </c>
      <c r="G79" s="69">
        <v>1.0</v>
      </c>
      <c r="H79" s="69">
        <v>1.0</v>
      </c>
      <c r="I79" s="69">
        <v>0.0</v>
      </c>
      <c r="J79" s="69">
        <v>0.0</v>
      </c>
      <c r="K79" s="69">
        <v>0.0</v>
      </c>
      <c r="L79" s="69">
        <v>0.0</v>
      </c>
      <c r="M79" s="69">
        <v>0.0</v>
      </c>
      <c r="N79" s="69">
        <v>0.0</v>
      </c>
      <c r="O79" s="69">
        <v>0.0</v>
      </c>
      <c r="P79" s="69">
        <v>1.0</v>
      </c>
      <c r="Q79" s="69">
        <v>0.0</v>
      </c>
      <c r="R79" s="69">
        <v>0.0</v>
      </c>
      <c r="S79" s="69">
        <v>0.0</v>
      </c>
      <c r="T79" s="69">
        <v>0.0</v>
      </c>
      <c r="U79" s="69">
        <v>0.0</v>
      </c>
      <c r="V79" s="69">
        <v>0.0</v>
      </c>
      <c r="W79" s="69">
        <v>0.0</v>
      </c>
      <c r="X79" s="69">
        <v>0.0</v>
      </c>
      <c r="Y79" s="69">
        <v>0.0</v>
      </c>
      <c r="Z79" s="69">
        <v>1.0</v>
      </c>
      <c r="AA79" s="13">
        <f t="shared" si="20"/>
        <v>4</v>
      </c>
    </row>
    <row r="80" ht="12.75" customHeight="1">
      <c r="A80" s="18"/>
      <c r="B80" s="49"/>
      <c r="C80" s="50" t="s">
        <v>69</v>
      </c>
      <c r="D80" s="51"/>
      <c r="E80" s="69">
        <v>0.0</v>
      </c>
      <c r="F80" s="69">
        <v>0.0</v>
      </c>
      <c r="G80" s="69">
        <v>0.0</v>
      </c>
      <c r="H80" s="69">
        <v>0.0</v>
      </c>
      <c r="I80" s="69">
        <v>0.0</v>
      </c>
      <c r="J80" s="69">
        <v>0.0</v>
      </c>
      <c r="K80" s="69">
        <v>1.0</v>
      </c>
      <c r="L80" s="69">
        <v>0.0</v>
      </c>
      <c r="M80" s="69">
        <v>0.0</v>
      </c>
      <c r="N80" s="69">
        <v>0.0</v>
      </c>
      <c r="O80" s="69">
        <v>0.0</v>
      </c>
      <c r="P80" s="69">
        <v>0.0</v>
      </c>
      <c r="Q80" s="69">
        <v>0.0</v>
      </c>
      <c r="R80" s="69">
        <v>0.0</v>
      </c>
      <c r="S80" s="69">
        <v>0.0</v>
      </c>
      <c r="T80" s="69">
        <v>0.0</v>
      </c>
      <c r="U80" s="69">
        <v>0.0</v>
      </c>
      <c r="V80" s="69">
        <v>1.0</v>
      </c>
      <c r="W80" s="69">
        <v>2.0</v>
      </c>
      <c r="X80" s="69">
        <v>0.0</v>
      </c>
      <c r="Y80" s="69">
        <v>0.0</v>
      </c>
      <c r="Z80" s="69">
        <v>0.0</v>
      </c>
      <c r="AA80" s="13">
        <f t="shared" si="20"/>
        <v>4</v>
      </c>
    </row>
    <row r="81" ht="12.75" customHeight="1">
      <c r="A81" s="18"/>
      <c r="B81" s="49"/>
      <c r="C81" s="50" t="s">
        <v>70</v>
      </c>
      <c r="D81" s="51"/>
      <c r="E81" s="69">
        <v>0.0</v>
      </c>
      <c r="F81" s="69">
        <v>0.0</v>
      </c>
      <c r="G81" s="69">
        <v>0.0</v>
      </c>
      <c r="H81" s="69">
        <v>0.0</v>
      </c>
      <c r="I81" s="69">
        <v>0.0</v>
      </c>
      <c r="J81" s="69">
        <v>0.0</v>
      </c>
      <c r="K81" s="69">
        <v>0.0</v>
      </c>
      <c r="L81" s="69">
        <v>0.0</v>
      </c>
      <c r="M81" s="69">
        <v>0.0</v>
      </c>
      <c r="N81" s="69">
        <v>0.0</v>
      </c>
      <c r="O81" s="69">
        <v>0.0</v>
      </c>
      <c r="P81" s="69">
        <v>0.0</v>
      </c>
      <c r="Q81" s="69">
        <v>0.0</v>
      </c>
      <c r="R81" s="69">
        <v>0.0</v>
      </c>
      <c r="S81" s="69">
        <v>0.0</v>
      </c>
      <c r="T81" s="69">
        <v>0.0</v>
      </c>
      <c r="U81" s="69">
        <v>0.0</v>
      </c>
      <c r="V81" s="69">
        <v>1.0</v>
      </c>
      <c r="W81" s="69">
        <v>0.0</v>
      </c>
      <c r="X81" s="69">
        <v>0.0</v>
      </c>
      <c r="Y81" s="69">
        <v>0.0</v>
      </c>
      <c r="Z81" s="69">
        <v>0.0</v>
      </c>
      <c r="AA81" s="13">
        <f t="shared" si="20"/>
        <v>1</v>
      </c>
    </row>
    <row r="82" ht="12.75" customHeight="1">
      <c r="A82" s="18"/>
      <c r="B82" s="49"/>
      <c r="C82" s="50" t="s">
        <v>71</v>
      </c>
      <c r="D82" s="51"/>
      <c r="E82" s="69">
        <v>0.0</v>
      </c>
      <c r="F82" s="69">
        <v>3.0</v>
      </c>
      <c r="G82" s="69">
        <v>2.0</v>
      </c>
      <c r="H82" s="69">
        <v>2.0</v>
      </c>
      <c r="I82" s="69">
        <v>0.0</v>
      </c>
      <c r="J82" s="69">
        <v>0.0</v>
      </c>
      <c r="K82" s="69">
        <v>0.0</v>
      </c>
      <c r="L82" s="69">
        <v>2.0</v>
      </c>
      <c r="M82" s="69">
        <v>1.0</v>
      </c>
      <c r="N82" s="69">
        <v>6.0</v>
      </c>
      <c r="O82" s="69">
        <v>1.0</v>
      </c>
      <c r="P82" s="69">
        <v>0.0</v>
      </c>
      <c r="Q82" s="69">
        <v>0.0</v>
      </c>
      <c r="R82" s="69">
        <v>4.0</v>
      </c>
      <c r="S82" s="69">
        <v>5.0</v>
      </c>
      <c r="T82" s="69">
        <v>3.0</v>
      </c>
      <c r="U82" s="69">
        <v>3.0</v>
      </c>
      <c r="V82" s="69">
        <v>5.0</v>
      </c>
      <c r="W82" s="69">
        <v>23.0</v>
      </c>
      <c r="X82" s="69">
        <v>27.0</v>
      </c>
      <c r="Y82" s="69">
        <v>2.0</v>
      </c>
      <c r="Z82" s="69">
        <v>3.0</v>
      </c>
      <c r="AA82" s="13">
        <f t="shared" si="20"/>
        <v>92</v>
      </c>
    </row>
    <row r="83" ht="12.75" customHeight="1">
      <c r="A83" s="19" t="s">
        <v>15</v>
      </c>
      <c r="B83" s="47" t="s">
        <v>47</v>
      </c>
      <c r="C83" s="15"/>
      <c r="D83" s="16"/>
      <c r="E83" s="56">
        <f t="shared" ref="E83:Z83" si="21">SUM(E75:E82)</f>
        <v>1</v>
      </c>
      <c r="F83" s="56">
        <f t="shared" si="21"/>
        <v>13</v>
      </c>
      <c r="G83" s="56">
        <f t="shared" si="21"/>
        <v>11</v>
      </c>
      <c r="H83" s="56">
        <f t="shared" si="21"/>
        <v>6</v>
      </c>
      <c r="I83" s="56">
        <f t="shared" si="21"/>
        <v>3</v>
      </c>
      <c r="J83" s="56">
        <f t="shared" si="21"/>
        <v>1</v>
      </c>
      <c r="K83" s="56">
        <f t="shared" si="21"/>
        <v>7</v>
      </c>
      <c r="L83" s="56">
        <f t="shared" si="21"/>
        <v>7</v>
      </c>
      <c r="M83" s="56">
        <f t="shared" si="21"/>
        <v>11</v>
      </c>
      <c r="N83" s="56">
        <f t="shared" si="21"/>
        <v>26</v>
      </c>
      <c r="O83" s="56">
        <f t="shared" si="21"/>
        <v>7</v>
      </c>
      <c r="P83" s="56">
        <f t="shared" si="21"/>
        <v>2</v>
      </c>
      <c r="Q83" s="56">
        <f t="shared" si="21"/>
        <v>2</v>
      </c>
      <c r="R83" s="56">
        <f t="shared" si="21"/>
        <v>10</v>
      </c>
      <c r="S83" s="56">
        <f t="shared" si="21"/>
        <v>9</v>
      </c>
      <c r="T83" s="56">
        <f t="shared" si="21"/>
        <v>6</v>
      </c>
      <c r="U83" s="56">
        <f t="shared" si="21"/>
        <v>12</v>
      </c>
      <c r="V83" s="56">
        <f t="shared" si="21"/>
        <v>24</v>
      </c>
      <c r="W83" s="56">
        <f t="shared" si="21"/>
        <v>43</v>
      </c>
      <c r="X83" s="56">
        <f t="shared" si="21"/>
        <v>35</v>
      </c>
      <c r="Y83" s="56">
        <f t="shared" si="21"/>
        <v>9</v>
      </c>
      <c r="Z83" s="56">
        <f t="shared" si="21"/>
        <v>18</v>
      </c>
      <c r="AA83" s="13">
        <f t="shared" si="20"/>
        <v>263</v>
      </c>
    </row>
    <row r="84" ht="12.75" customHeight="1">
      <c r="A84" s="57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13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69">
        <v>0.0</v>
      </c>
      <c r="F85" s="69">
        <v>2.0</v>
      </c>
      <c r="G85" s="69">
        <v>1.0</v>
      </c>
      <c r="H85" s="69">
        <v>1.0</v>
      </c>
      <c r="I85" s="69">
        <v>0.0</v>
      </c>
      <c r="J85" s="69">
        <v>0.0</v>
      </c>
      <c r="K85" s="69">
        <v>2.0</v>
      </c>
      <c r="L85" s="69">
        <v>5.0</v>
      </c>
      <c r="M85" s="69">
        <v>2.0</v>
      </c>
      <c r="N85" s="69">
        <v>4.0</v>
      </c>
      <c r="O85" s="69">
        <v>3.0</v>
      </c>
      <c r="P85" s="69">
        <v>1.0</v>
      </c>
      <c r="Q85" s="69">
        <v>0.0</v>
      </c>
      <c r="R85" s="69">
        <v>4.0</v>
      </c>
      <c r="S85" s="69">
        <v>1.0</v>
      </c>
      <c r="T85" s="69">
        <v>8.0</v>
      </c>
      <c r="U85" s="69">
        <v>0.0</v>
      </c>
      <c r="V85" s="69">
        <v>3.0</v>
      </c>
      <c r="W85" s="69">
        <v>3.0</v>
      </c>
      <c r="X85" s="69">
        <v>4.0</v>
      </c>
      <c r="Y85" s="69">
        <v>7.0</v>
      </c>
      <c r="Z85" s="69">
        <v>2.0</v>
      </c>
      <c r="AA85" s="13">
        <f t="shared" ref="AA85:AA93" si="22">SUM(E85:Z85)</f>
        <v>53</v>
      </c>
    </row>
    <row r="86" ht="12.75" customHeight="1">
      <c r="A86" s="30" t="s">
        <v>39</v>
      </c>
      <c r="B86" s="49"/>
      <c r="C86" s="50" t="s">
        <v>74</v>
      </c>
      <c r="D86" s="51"/>
      <c r="E86" s="69">
        <v>1.0</v>
      </c>
      <c r="F86" s="69">
        <v>0.0</v>
      </c>
      <c r="G86" s="69">
        <v>2.0</v>
      </c>
      <c r="H86" s="69">
        <v>0.0</v>
      </c>
      <c r="I86" s="69">
        <v>0.0</v>
      </c>
      <c r="J86" s="69">
        <v>0.0</v>
      </c>
      <c r="K86" s="69">
        <v>1.0</v>
      </c>
      <c r="L86" s="69">
        <v>0.0</v>
      </c>
      <c r="M86" s="69">
        <v>0.0</v>
      </c>
      <c r="N86" s="69">
        <v>0.0</v>
      </c>
      <c r="O86" s="69">
        <v>1.0</v>
      </c>
      <c r="P86" s="69">
        <v>1.0</v>
      </c>
      <c r="Q86" s="69">
        <v>2.0</v>
      </c>
      <c r="R86" s="69">
        <v>4.0</v>
      </c>
      <c r="S86" s="69">
        <v>1.0</v>
      </c>
      <c r="T86" s="69">
        <v>5.0</v>
      </c>
      <c r="U86" s="69">
        <v>4.0</v>
      </c>
      <c r="V86" s="69">
        <v>1.0</v>
      </c>
      <c r="W86" s="69">
        <v>0.0</v>
      </c>
      <c r="X86" s="69">
        <v>1.0</v>
      </c>
      <c r="Y86" s="69">
        <v>1.0</v>
      </c>
      <c r="Z86" s="69">
        <v>0.0</v>
      </c>
      <c r="AA86" s="13">
        <f t="shared" si="22"/>
        <v>25</v>
      </c>
    </row>
    <row r="87" ht="12.75" customHeight="1">
      <c r="A87" s="18"/>
      <c r="B87" s="49"/>
      <c r="C87" s="50" t="s">
        <v>75</v>
      </c>
      <c r="D87" s="51"/>
      <c r="E87" s="69">
        <v>15.0</v>
      </c>
      <c r="F87" s="69">
        <v>28.0</v>
      </c>
      <c r="G87" s="69">
        <v>48.0</v>
      </c>
      <c r="H87" s="69">
        <v>33.0</v>
      </c>
      <c r="I87" s="69">
        <v>15.0</v>
      </c>
      <c r="J87" s="69">
        <v>32.0</v>
      </c>
      <c r="K87" s="69">
        <v>48.0</v>
      </c>
      <c r="L87" s="69">
        <v>73.0</v>
      </c>
      <c r="M87" s="69">
        <v>54.0</v>
      </c>
      <c r="N87" s="69">
        <v>38.0</v>
      </c>
      <c r="O87" s="69">
        <v>48.0</v>
      </c>
      <c r="P87" s="69">
        <v>57.0</v>
      </c>
      <c r="Q87" s="69">
        <v>6.0</v>
      </c>
      <c r="R87" s="69">
        <v>13.0</v>
      </c>
      <c r="S87" s="69">
        <v>105.0</v>
      </c>
      <c r="T87" s="69">
        <v>23.0</v>
      </c>
      <c r="U87" s="69">
        <v>21.0</v>
      </c>
      <c r="V87" s="69">
        <v>15.0</v>
      </c>
      <c r="W87" s="69">
        <v>39.0</v>
      </c>
      <c r="X87" s="69">
        <v>41.0</v>
      </c>
      <c r="Y87" s="69">
        <v>50.0</v>
      </c>
      <c r="Z87" s="69">
        <v>40.0</v>
      </c>
      <c r="AA87" s="13">
        <f t="shared" si="22"/>
        <v>842</v>
      </c>
    </row>
    <row r="88" ht="12.75" customHeight="1">
      <c r="A88" s="18"/>
      <c r="B88" s="49"/>
      <c r="C88" s="50" t="s">
        <v>76</v>
      </c>
      <c r="D88" s="51"/>
      <c r="E88" s="69">
        <v>0.0</v>
      </c>
      <c r="F88" s="69">
        <v>0.0</v>
      </c>
      <c r="G88" s="69">
        <v>0.0</v>
      </c>
      <c r="H88" s="69">
        <v>0.0</v>
      </c>
      <c r="I88" s="69">
        <v>0.0</v>
      </c>
      <c r="J88" s="69">
        <v>0.0</v>
      </c>
      <c r="K88" s="69">
        <v>0.0</v>
      </c>
      <c r="L88" s="69">
        <v>0.0</v>
      </c>
      <c r="M88" s="69">
        <v>0.0</v>
      </c>
      <c r="N88" s="69">
        <v>0.0</v>
      </c>
      <c r="O88" s="69">
        <v>0.0</v>
      </c>
      <c r="P88" s="69">
        <v>0.0</v>
      </c>
      <c r="Q88" s="69">
        <v>0.0</v>
      </c>
      <c r="R88" s="69">
        <v>0.0</v>
      </c>
      <c r="S88" s="69">
        <v>0.0</v>
      </c>
      <c r="T88" s="69">
        <v>0.0</v>
      </c>
      <c r="U88" s="69">
        <v>0.0</v>
      </c>
      <c r="V88" s="69">
        <v>0.0</v>
      </c>
      <c r="W88" s="69">
        <v>0.0</v>
      </c>
      <c r="X88" s="69">
        <v>0.0</v>
      </c>
      <c r="Y88" s="69">
        <v>0.0</v>
      </c>
      <c r="Z88" s="69">
        <v>0.0</v>
      </c>
      <c r="AA88" s="13">
        <f t="shared" si="22"/>
        <v>0</v>
      </c>
    </row>
    <row r="89" ht="12.75" customHeight="1">
      <c r="A89" s="18"/>
      <c r="B89" s="49"/>
      <c r="C89" s="50" t="s">
        <v>77</v>
      </c>
      <c r="D89" s="51"/>
      <c r="E89" s="69">
        <v>1.0</v>
      </c>
      <c r="F89" s="69">
        <v>0.0</v>
      </c>
      <c r="G89" s="69">
        <v>0.0</v>
      </c>
      <c r="H89" s="69">
        <v>0.0</v>
      </c>
      <c r="I89" s="69">
        <v>1.0</v>
      </c>
      <c r="J89" s="69">
        <v>0.0</v>
      </c>
      <c r="K89" s="69">
        <v>0.0</v>
      </c>
      <c r="L89" s="69">
        <v>0.0</v>
      </c>
      <c r="M89" s="69">
        <v>0.0</v>
      </c>
      <c r="N89" s="69">
        <v>0.0</v>
      </c>
      <c r="O89" s="69">
        <v>0.0</v>
      </c>
      <c r="P89" s="69">
        <v>0.0</v>
      </c>
      <c r="Q89" s="69">
        <v>0.0</v>
      </c>
      <c r="R89" s="69">
        <v>1.0</v>
      </c>
      <c r="S89" s="69">
        <v>1.0</v>
      </c>
      <c r="T89" s="69">
        <v>2.0</v>
      </c>
      <c r="U89" s="69">
        <v>0.0</v>
      </c>
      <c r="V89" s="69">
        <v>0.0</v>
      </c>
      <c r="W89" s="69">
        <v>0.0</v>
      </c>
      <c r="X89" s="69">
        <v>0.0</v>
      </c>
      <c r="Y89" s="69">
        <v>0.0</v>
      </c>
      <c r="Z89" s="69">
        <v>1.0</v>
      </c>
      <c r="AA89" s="13">
        <f t="shared" si="22"/>
        <v>7</v>
      </c>
    </row>
    <row r="90" ht="12.75" customHeight="1">
      <c r="A90" s="18"/>
      <c r="B90" s="49"/>
      <c r="C90" s="50" t="s">
        <v>78</v>
      </c>
      <c r="D90" s="51"/>
      <c r="E90" s="69">
        <v>0.0</v>
      </c>
      <c r="F90" s="69">
        <v>0.0</v>
      </c>
      <c r="G90" s="69">
        <v>0.0</v>
      </c>
      <c r="H90" s="69">
        <v>0.0</v>
      </c>
      <c r="I90" s="69">
        <v>0.0</v>
      </c>
      <c r="J90" s="69">
        <v>1.0</v>
      </c>
      <c r="K90" s="69">
        <v>0.0</v>
      </c>
      <c r="L90" s="69">
        <v>0.0</v>
      </c>
      <c r="M90" s="69">
        <v>1.0</v>
      </c>
      <c r="N90" s="69">
        <v>0.0</v>
      </c>
      <c r="O90" s="69">
        <v>1.0</v>
      </c>
      <c r="P90" s="69">
        <v>13.0</v>
      </c>
      <c r="Q90" s="69">
        <v>0.0</v>
      </c>
      <c r="R90" s="69">
        <v>1.0</v>
      </c>
      <c r="S90" s="69">
        <v>0.0</v>
      </c>
      <c r="T90" s="69">
        <v>0.0</v>
      </c>
      <c r="U90" s="69">
        <v>1.0</v>
      </c>
      <c r="V90" s="69">
        <v>1.0</v>
      </c>
      <c r="W90" s="69">
        <v>0.0</v>
      </c>
      <c r="X90" s="69">
        <v>0.0</v>
      </c>
      <c r="Y90" s="69">
        <v>1.0</v>
      </c>
      <c r="Z90" s="69">
        <v>1.0</v>
      </c>
      <c r="AA90" s="13">
        <f t="shared" si="22"/>
        <v>21</v>
      </c>
    </row>
    <row r="91" ht="15.0" customHeight="1">
      <c r="A91" s="18"/>
      <c r="B91" s="49"/>
      <c r="C91" s="50" t="s">
        <v>79</v>
      </c>
      <c r="D91" s="51"/>
      <c r="E91" s="69">
        <v>0.0</v>
      </c>
      <c r="F91" s="69">
        <v>0.0</v>
      </c>
      <c r="G91" s="69">
        <v>0.0</v>
      </c>
      <c r="H91" s="69">
        <v>0.0</v>
      </c>
      <c r="I91" s="69">
        <v>0.0</v>
      </c>
      <c r="J91" s="69">
        <v>0.0</v>
      </c>
      <c r="K91" s="69">
        <v>0.0</v>
      </c>
      <c r="L91" s="69">
        <v>0.0</v>
      </c>
      <c r="M91" s="69">
        <v>0.0</v>
      </c>
      <c r="N91" s="69">
        <v>0.0</v>
      </c>
      <c r="O91" s="69">
        <v>0.0</v>
      </c>
      <c r="P91" s="69">
        <v>0.0</v>
      </c>
      <c r="Q91" s="69">
        <v>0.0</v>
      </c>
      <c r="R91" s="69">
        <v>0.0</v>
      </c>
      <c r="S91" s="69">
        <v>0.0</v>
      </c>
      <c r="T91" s="69">
        <v>0.0</v>
      </c>
      <c r="U91" s="69">
        <v>0.0</v>
      </c>
      <c r="V91" s="69">
        <v>0.0</v>
      </c>
      <c r="W91" s="69">
        <v>1.0</v>
      </c>
      <c r="X91" s="69">
        <v>0.0</v>
      </c>
      <c r="Y91" s="69">
        <v>0.0</v>
      </c>
      <c r="Z91" s="69">
        <v>0.0</v>
      </c>
      <c r="AA91" s="13">
        <f t="shared" si="22"/>
        <v>1</v>
      </c>
    </row>
    <row r="92" ht="12.75" customHeight="1">
      <c r="A92" s="18"/>
      <c r="B92" s="49"/>
      <c r="C92" s="50" t="s">
        <v>80</v>
      </c>
      <c r="D92" s="51"/>
      <c r="E92" s="69">
        <v>1.0</v>
      </c>
      <c r="F92" s="69">
        <v>0.0</v>
      </c>
      <c r="G92" s="69">
        <v>0.0</v>
      </c>
      <c r="H92" s="69">
        <v>0.0</v>
      </c>
      <c r="I92" s="69">
        <v>0.0</v>
      </c>
      <c r="J92" s="69">
        <v>0.0</v>
      </c>
      <c r="K92" s="69">
        <v>0.0</v>
      </c>
      <c r="L92" s="69">
        <v>0.0</v>
      </c>
      <c r="M92" s="69">
        <v>0.0</v>
      </c>
      <c r="N92" s="69">
        <v>0.0</v>
      </c>
      <c r="O92" s="69">
        <v>0.0</v>
      </c>
      <c r="P92" s="69">
        <v>0.0</v>
      </c>
      <c r="Q92" s="69">
        <v>0.0</v>
      </c>
      <c r="R92" s="69">
        <v>0.0</v>
      </c>
      <c r="S92" s="69">
        <v>0.0</v>
      </c>
      <c r="T92" s="69">
        <v>0.0</v>
      </c>
      <c r="U92" s="69">
        <v>0.0</v>
      </c>
      <c r="V92" s="69">
        <v>0.0</v>
      </c>
      <c r="W92" s="69">
        <v>0.0</v>
      </c>
      <c r="X92" s="69">
        <v>0.0</v>
      </c>
      <c r="Y92" s="69">
        <v>0.0</v>
      </c>
      <c r="Z92" s="69">
        <v>0.0</v>
      </c>
      <c r="AA92" s="13">
        <f t="shared" si="22"/>
        <v>1</v>
      </c>
    </row>
    <row r="93" ht="12.75" customHeight="1">
      <c r="A93" s="19" t="s">
        <v>15</v>
      </c>
      <c r="B93" s="47" t="s">
        <v>47</v>
      </c>
      <c r="C93" s="15"/>
      <c r="D93" s="16"/>
      <c r="E93" s="56">
        <f t="shared" ref="E93:Z93" si="23">SUM(E85:E92)</f>
        <v>18</v>
      </c>
      <c r="F93" s="56">
        <f t="shared" si="23"/>
        <v>30</v>
      </c>
      <c r="G93" s="56">
        <f t="shared" si="23"/>
        <v>51</v>
      </c>
      <c r="H93" s="56">
        <f t="shared" si="23"/>
        <v>34</v>
      </c>
      <c r="I93" s="56">
        <f t="shared" si="23"/>
        <v>16</v>
      </c>
      <c r="J93" s="56">
        <f t="shared" si="23"/>
        <v>33</v>
      </c>
      <c r="K93" s="56">
        <f t="shared" si="23"/>
        <v>51</v>
      </c>
      <c r="L93" s="56">
        <f t="shared" si="23"/>
        <v>78</v>
      </c>
      <c r="M93" s="56">
        <f t="shared" si="23"/>
        <v>57</v>
      </c>
      <c r="N93" s="56">
        <f t="shared" si="23"/>
        <v>42</v>
      </c>
      <c r="O93" s="56">
        <f t="shared" si="23"/>
        <v>53</v>
      </c>
      <c r="P93" s="56">
        <f t="shared" si="23"/>
        <v>72</v>
      </c>
      <c r="Q93" s="56">
        <f t="shared" si="23"/>
        <v>8</v>
      </c>
      <c r="R93" s="56">
        <f t="shared" si="23"/>
        <v>23</v>
      </c>
      <c r="S93" s="56">
        <f t="shared" si="23"/>
        <v>108</v>
      </c>
      <c r="T93" s="56">
        <f t="shared" si="23"/>
        <v>38</v>
      </c>
      <c r="U93" s="56">
        <f t="shared" si="23"/>
        <v>26</v>
      </c>
      <c r="V93" s="56">
        <f t="shared" si="23"/>
        <v>20</v>
      </c>
      <c r="W93" s="56">
        <f t="shared" si="23"/>
        <v>43</v>
      </c>
      <c r="X93" s="56">
        <f t="shared" si="23"/>
        <v>46</v>
      </c>
      <c r="Y93" s="56">
        <f t="shared" si="23"/>
        <v>59</v>
      </c>
      <c r="Z93" s="56">
        <f t="shared" si="23"/>
        <v>44</v>
      </c>
      <c r="AA93" s="13">
        <f t="shared" si="22"/>
        <v>950</v>
      </c>
    </row>
    <row r="94" ht="12.75" customHeight="1">
      <c r="A94" s="57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13"/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69">
        <v>0.0</v>
      </c>
      <c r="F95" s="69">
        <v>0.0</v>
      </c>
      <c r="G95" s="69">
        <v>0.0</v>
      </c>
      <c r="H95" s="69">
        <v>0.0</v>
      </c>
      <c r="I95" s="69">
        <v>0.0</v>
      </c>
      <c r="J95" s="69">
        <v>0.0</v>
      </c>
      <c r="K95" s="69">
        <v>0.0</v>
      </c>
      <c r="L95" s="69">
        <v>0.0</v>
      </c>
      <c r="M95" s="69">
        <v>0.0</v>
      </c>
      <c r="N95" s="69">
        <v>0.0</v>
      </c>
      <c r="O95" s="69">
        <v>0.0</v>
      </c>
      <c r="P95" s="69">
        <v>1.0</v>
      </c>
      <c r="Q95" s="69">
        <v>1.0</v>
      </c>
      <c r="R95" s="69">
        <v>0.0</v>
      </c>
      <c r="S95" s="69">
        <v>0.0</v>
      </c>
      <c r="T95" s="69">
        <v>0.0</v>
      </c>
      <c r="U95" s="69">
        <v>0.0</v>
      </c>
      <c r="V95" s="69">
        <v>0.0</v>
      </c>
      <c r="W95" s="69">
        <v>0.0</v>
      </c>
      <c r="X95" s="69">
        <v>1.0</v>
      </c>
      <c r="Y95" s="69">
        <v>1.0</v>
      </c>
      <c r="Z95" s="69">
        <v>1.0</v>
      </c>
      <c r="AA95" s="13">
        <f t="shared" ref="AA95:AA97" si="24">SUM(E95:Z95)</f>
        <v>5</v>
      </c>
    </row>
    <row r="96" ht="12.75" customHeight="1">
      <c r="A96" s="30" t="s">
        <v>39</v>
      </c>
      <c r="B96" s="49"/>
      <c r="C96" s="50" t="s">
        <v>83</v>
      </c>
      <c r="D96" s="62"/>
      <c r="E96" s="69">
        <v>0.0</v>
      </c>
      <c r="F96" s="69">
        <v>0.0</v>
      </c>
      <c r="G96" s="69">
        <v>0.0</v>
      </c>
      <c r="H96" s="69">
        <v>0.0</v>
      </c>
      <c r="I96" s="69">
        <v>1.0</v>
      </c>
      <c r="J96" s="69">
        <v>0.0</v>
      </c>
      <c r="K96" s="69">
        <v>0.0</v>
      </c>
      <c r="L96" s="69">
        <v>0.0</v>
      </c>
      <c r="M96" s="69">
        <v>0.0</v>
      </c>
      <c r="N96" s="69">
        <v>0.0</v>
      </c>
      <c r="O96" s="69">
        <v>0.0</v>
      </c>
      <c r="P96" s="69">
        <v>1.0</v>
      </c>
      <c r="Q96" s="69">
        <v>0.0</v>
      </c>
      <c r="R96" s="69">
        <v>0.0</v>
      </c>
      <c r="S96" s="69">
        <v>0.0</v>
      </c>
      <c r="T96" s="69">
        <v>1.0</v>
      </c>
      <c r="U96" s="69">
        <v>0.0</v>
      </c>
      <c r="V96" s="69">
        <v>0.0</v>
      </c>
      <c r="W96" s="69">
        <v>0.0</v>
      </c>
      <c r="X96" s="69">
        <v>0.0</v>
      </c>
      <c r="Y96" s="69">
        <v>0.0</v>
      </c>
      <c r="Z96" s="69">
        <v>0.0</v>
      </c>
      <c r="AA96" s="13">
        <f t="shared" si="24"/>
        <v>3</v>
      </c>
    </row>
    <row r="97" ht="12.75" customHeight="1">
      <c r="A97" s="19" t="s">
        <v>15</v>
      </c>
      <c r="B97" s="47" t="s">
        <v>47</v>
      </c>
      <c r="C97" s="15"/>
      <c r="D97" s="16"/>
      <c r="E97" s="56">
        <f t="shared" ref="E97:Z97" si="25">SUM(E95:E96)</f>
        <v>0</v>
      </c>
      <c r="F97" s="56">
        <f t="shared" si="25"/>
        <v>0</v>
      </c>
      <c r="G97" s="56">
        <f t="shared" si="25"/>
        <v>0</v>
      </c>
      <c r="H97" s="56">
        <f t="shared" si="25"/>
        <v>0</v>
      </c>
      <c r="I97" s="56">
        <f t="shared" si="25"/>
        <v>1</v>
      </c>
      <c r="J97" s="56">
        <f t="shared" si="25"/>
        <v>0</v>
      </c>
      <c r="K97" s="56">
        <f t="shared" si="25"/>
        <v>0</v>
      </c>
      <c r="L97" s="56">
        <f t="shared" si="25"/>
        <v>0</v>
      </c>
      <c r="M97" s="56">
        <f t="shared" si="25"/>
        <v>0</v>
      </c>
      <c r="N97" s="56">
        <f t="shared" si="25"/>
        <v>0</v>
      </c>
      <c r="O97" s="56">
        <f t="shared" si="25"/>
        <v>0</v>
      </c>
      <c r="P97" s="56">
        <f t="shared" si="25"/>
        <v>2</v>
      </c>
      <c r="Q97" s="56">
        <f t="shared" si="25"/>
        <v>1</v>
      </c>
      <c r="R97" s="56">
        <f t="shared" si="25"/>
        <v>0</v>
      </c>
      <c r="S97" s="56">
        <f t="shared" si="25"/>
        <v>0</v>
      </c>
      <c r="T97" s="56">
        <f t="shared" si="25"/>
        <v>1</v>
      </c>
      <c r="U97" s="56">
        <f t="shared" si="25"/>
        <v>0</v>
      </c>
      <c r="V97" s="56">
        <f t="shared" si="25"/>
        <v>0</v>
      </c>
      <c r="W97" s="56">
        <f t="shared" si="25"/>
        <v>0</v>
      </c>
      <c r="X97" s="56">
        <f t="shared" si="25"/>
        <v>1</v>
      </c>
      <c r="Y97" s="56">
        <f t="shared" si="25"/>
        <v>1</v>
      </c>
      <c r="Z97" s="56">
        <f t="shared" si="25"/>
        <v>1</v>
      </c>
      <c r="AA97" s="13">
        <f t="shared" si="24"/>
        <v>8</v>
      </c>
    </row>
    <row r="98" ht="12.75" customHeight="1">
      <c r="A98" s="57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13"/>
    </row>
    <row r="99" ht="12.75" customHeight="1">
      <c r="A99" s="30" t="s">
        <v>37</v>
      </c>
      <c r="B99" s="47" t="s">
        <v>84</v>
      </c>
      <c r="C99" s="48" t="s">
        <v>85</v>
      </c>
      <c r="D99" s="16"/>
      <c r="E99" s="69">
        <v>0.0</v>
      </c>
      <c r="F99" s="69">
        <v>0.0</v>
      </c>
      <c r="G99" s="69">
        <v>1.0</v>
      </c>
      <c r="H99" s="69">
        <v>2.0</v>
      </c>
      <c r="I99" s="69">
        <v>0.0</v>
      </c>
      <c r="J99" s="69">
        <v>2.0</v>
      </c>
      <c r="K99" s="69">
        <v>0.0</v>
      </c>
      <c r="L99" s="69">
        <v>0.0</v>
      </c>
      <c r="M99" s="69">
        <v>0.0</v>
      </c>
      <c r="N99" s="69">
        <v>0.0</v>
      </c>
      <c r="O99" s="69">
        <v>3.0</v>
      </c>
      <c r="P99" s="69">
        <v>3.0</v>
      </c>
      <c r="Q99" s="69">
        <v>0.0</v>
      </c>
      <c r="R99" s="69">
        <v>2.0</v>
      </c>
      <c r="S99" s="69">
        <v>2.0</v>
      </c>
      <c r="T99" s="69">
        <v>1.0</v>
      </c>
      <c r="U99" s="69">
        <v>0.0</v>
      </c>
      <c r="V99" s="69">
        <v>0.0</v>
      </c>
      <c r="W99" s="69">
        <v>1.0</v>
      </c>
      <c r="X99" s="69">
        <v>3.0</v>
      </c>
      <c r="Y99" s="69">
        <v>1.0</v>
      </c>
      <c r="Z99" s="69">
        <v>0.0</v>
      </c>
      <c r="AA99" s="13">
        <f t="shared" ref="AA99:AA101" si="26">SUM(E99:Z99)</f>
        <v>21</v>
      </c>
    </row>
    <row r="100" ht="12.75" customHeight="1">
      <c r="A100" s="30" t="s">
        <v>39</v>
      </c>
      <c r="B100" s="49"/>
      <c r="C100" s="50" t="s">
        <v>86</v>
      </c>
      <c r="D100" s="51"/>
      <c r="E100" s="69">
        <v>0.0</v>
      </c>
      <c r="F100" s="69">
        <v>0.0</v>
      </c>
      <c r="G100" s="69">
        <v>0.0</v>
      </c>
      <c r="H100" s="69">
        <v>0.0</v>
      </c>
      <c r="I100" s="69">
        <v>0.0</v>
      </c>
      <c r="J100" s="69">
        <v>0.0</v>
      </c>
      <c r="K100" s="69">
        <v>0.0</v>
      </c>
      <c r="L100" s="69">
        <v>0.0</v>
      </c>
      <c r="M100" s="69">
        <v>0.0</v>
      </c>
      <c r="N100" s="69">
        <v>0.0</v>
      </c>
      <c r="O100" s="69">
        <v>2.0</v>
      </c>
      <c r="P100" s="69">
        <v>0.0</v>
      </c>
      <c r="Q100" s="69">
        <v>1.0</v>
      </c>
      <c r="R100" s="69">
        <v>0.0</v>
      </c>
      <c r="S100" s="69">
        <v>0.0</v>
      </c>
      <c r="T100" s="69">
        <v>2.0</v>
      </c>
      <c r="U100" s="69">
        <v>0.0</v>
      </c>
      <c r="V100" s="69">
        <v>0.0</v>
      </c>
      <c r="W100" s="69">
        <v>0.0</v>
      </c>
      <c r="X100" s="69">
        <v>0.0</v>
      </c>
      <c r="Y100" s="69">
        <v>0.0</v>
      </c>
      <c r="Z100" s="69">
        <v>0.0</v>
      </c>
      <c r="AA100" s="13">
        <f t="shared" si="26"/>
        <v>5</v>
      </c>
    </row>
    <row r="101" ht="12.75" customHeight="1">
      <c r="A101" s="19" t="s">
        <v>15</v>
      </c>
      <c r="B101" s="47" t="s">
        <v>47</v>
      </c>
      <c r="C101" s="15"/>
      <c r="D101" s="16"/>
      <c r="E101" s="56">
        <f t="shared" ref="E101:Z101" si="27">SUM(E99:E100)</f>
        <v>0</v>
      </c>
      <c r="F101" s="56">
        <f t="shared" si="27"/>
        <v>0</v>
      </c>
      <c r="G101" s="56">
        <f t="shared" si="27"/>
        <v>1</v>
      </c>
      <c r="H101" s="56">
        <f t="shared" si="27"/>
        <v>2</v>
      </c>
      <c r="I101" s="56">
        <f t="shared" si="27"/>
        <v>0</v>
      </c>
      <c r="J101" s="56">
        <f t="shared" si="27"/>
        <v>2</v>
      </c>
      <c r="K101" s="56">
        <f t="shared" si="27"/>
        <v>0</v>
      </c>
      <c r="L101" s="56">
        <f t="shared" si="27"/>
        <v>0</v>
      </c>
      <c r="M101" s="56">
        <f t="shared" si="27"/>
        <v>0</v>
      </c>
      <c r="N101" s="56">
        <f t="shared" si="27"/>
        <v>0</v>
      </c>
      <c r="O101" s="56">
        <f t="shared" si="27"/>
        <v>5</v>
      </c>
      <c r="P101" s="56">
        <f t="shared" si="27"/>
        <v>3</v>
      </c>
      <c r="Q101" s="56">
        <f t="shared" si="27"/>
        <v>1</v>
      </c>
      <c r="R101" s="56">
        <f t="shared" si="27"/>
        <v>2</v>
      </c>
      <c r="S101" s="56">
        <f t="shared" si="27"/>
        <v>2</v>
      </c>
      <c r="T101" s="56">
        <f t="shared" si="27"/>
        <v>3</v>
      </c>
      <c r="U101" s="56">
        <f t="shared" si="27"/>
        <v>0</v>
      </c>
      <c r="V101" s="56">
        <f t="shared" si="27"/>
        <v>0</v>
      </c>
      <c r="W101" s="56">
        <f t="shared" si="27"/>
        <v>1</v>
      </c>
      <c r="X101" s="56">
        <f t="shared" si="27"/>
        <v>3</v>
      </c>
      <c r="Y101" s="56">
        <f t="shared" si="27"/>
        <v>1</v>
      </c>
      <c r="Z101" s="56">
        <f t="shared" si="27"/>
        <v>0</v>
      </c>
      <c r="AA101" s="13">
        <f t="shared" si="26"/>
        <v>26</v>
      </c>
    </row>
    <row r="102" ht="12.75" customHeight="1">
      <c r="A102" s="57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13"/>
    </row>
    <row r="103" ht="15.0" customHeight="1">
      <c r="A103" s="30" t="s">
        <v>37</v>
      </c>
      <c r="B103" s="47" t="s">
        <v>87</v>
      </c>
      <c r="C103" s="48" t="s">
        <v>88</v>
      </c>
      <c r="D103" s="16"/>
      <c r="E103" s="69">
        <v>0.0</v>
      </c>
      <c r="F103" s="69">
        <v>1.0</v>
      </c>
      <c r="G103" s="69">
        <v>1.0</v>
      </c>
      <c r="H103" s="69">
        <v>1.0</v>
      </c>
      <c r="I103" s="69">
        <v>0.0</v>
      </c>
      <c r="J103" s="69">
        <v>0.0</v>
      </c>
      <c r="K103" s="69">
        <v>0.0</v>
      </c>
      <c r="L103" s="69">
        <v>0.0</v>
      </c>
      <c r="M103" s="69">
        <v>0.0</v>
      </c>
      <c r="N103" s="69">
        <v>0.0</v>
      </c>
      <c r="O103" s="69">
        <v>0.0</v>
      </c>
      <c r="P103" s="69">
        <v>0.0</v>
      </c>
      <c r="Q103" s="69">
        <v>0.0</v>
      </c>
      <c r="R103" s="69">
        <v>0.0</v>
      </c>
      <c r="S103" s="69">
        <v>0.0</v>
      </c>
      <c r="T103" s="69">
        <v>0.0</v>
      </c>
      <c r="U103" s="69">
        <v>0.0</v>
      </c>
      <c r="V103" s="69">
        <v>1.0</v>
      </c>
      <c r="W103" s="69">
        <v>0.0</v>
      </c>
      <c r="X103" s="69">
        <v>0.0</v>
      </c>
      <c r="Y103" s="69">
        <v>0.0</v>
      </c>
      <c r="Z103" s="69">
        <v>0.0</v>
      </c>
      <c r="AA103" s="13">
        <f t="shared" ref="AA103:AA111" si="28">SUM(E103:Z103)</f>
        <v>4</v>
      </c>
    </row>
    <row r="104" ht="12.75" customHeight="1">
      <c r="A104" s="30" t="s">
        <v>39</v>
      </c>
      <c r="B104" s="49"/>
      <c r="C104" s="50" t="s">
        <v>89</v>
      </c>
      <c r="D104" s="51"/>
      <c r="E104" s="69">
        <v>1.0</v>
      </c>
      <c r="F104" s="69">
        <v>0.0</v>
      </c>
      <c r="G104" s="69">
        <v>0.0</v>
      </c>
      <c r="H104" s="69">
        <v>0.0</v>
      </c>
      <c r="I104" s="69">
        <v>1.0</v>
      </c>
      <c r="J104" s="69">
        <v>2.0</v>
      </c>
      <c r="K104" s="69">
        <v>1.0</v>
      </c>
      <c r="L104" s="69">
        <v>0.0</v>
      </c>
      <c r="M104" s="69">
        <v>0.0</v>
      </c>
      <c r="N104" s="69">
        <v>2.0</v>
      </c>
      <c r="O104" s="69">
        <v>0.0</v>
      </c>
      <c r="P104" s="69">
        <v>0.0</v>
      </c>
      <c r="Q104" s="69">
        <v>0.0</v>
      </c>
      <c r="R104" s="69">
        <v>0.0</v>
      </c>
      <c r="S104" s="69">
        <v>0.0</v>
      </c>
      <c r="T104" s="69">
        <v>1.0</v>
      </c>
      <c r="U104" s="69">
        <v>2.0</v>
      </c>
      <c r="V104" s="69">
        <v>0.0</v>
      </c>
      <c r="W104" s="69">
        <v>1.0</v>
      </c>
      <c r="X104" s="69">
        <v>0.0</v>
      </c>
      <c r="Y104" s="69">
        <v>0.0</v>
      </c>
      <c r="Z104" s="69">
        <v>0.0</v>
      </c>
      <c r="AA104" s="13">
        <f t="shared" si="28"/>
        <v>11</v>
      </c>
    </row>
    <row r="105" ht="12.75" customHeight="1">
      <c r="A105" s="18"/>
      <c r="B105" s="49"/>
      <c r="C105" s="50" t="s">
        <v>90</v>
      </c>
      <c r="D105" s="51"/>
      <c r="E105" s="69">
        <v>0.0</v>
      </c>
      <c r="F105" s="69">
        <v>0.0</v>
      </c>
      <c r="G105" s="69">
        <v>0.0</v>
      </c>
      <c r="H105" s="69">
        <v>0.0</v>
      </c>
      <c r="I105" s="69">
        <v>0.0</v>
      </c>
      <c r="J105" s="69">
        <v>0.0</v>
      </c>
      <c r="K105" s="69">
        <v>0.0</v>
      </c>
      <c r="L105" s="69">
        <v>0.0</v>
      </c>
      <c r="M105" s="69">
        <v>0.0</v>
      </c>
      <c r="N105" s="69">
        <v>0.0</v>
      </c>
      <c r="O105" s="69">
        <v>0.0</v>
      </c>
      <c r="P105" s="69">
        <v>0.0</v>
      </c>
      <c r="Q105" s="69">
        <v>0.0</v>
      </c>
      <c r="R105" s="69">
        <v>0.0</v>
      </c>
      <c r="S105" s="69">
        <v>0.0</v>
      </c>
      <c r="T105" s="69">
        <v>0.0</v>
      </c>
      <c r="U105" s="69">
        <v>0.0</v>
      </c>
      <c r="V105" s="69">
        <v>0.0</v>
      </c>
      <c r="W105" s="69">
        <v>0.0</v>
      </c>
      <c r="X105" s="69">
        <v>0.0</v>
      </c>
      <c r="Y105" s="69">
        <v>0.0</v>
      </c>
      <c r="Z105" s="69">
        <v>0.0</v>
      </c>
      <c r="AA105" s="13">
        <f t="shared" si="28"/>
        <v>0</v>
      </c>
    </row>
    <row r="106" ht="12.75" customHeight="1">
      <c r="A106" s="18"/>
      <c r="B106" s="49"/>
      <c r="C106" s="50" t="s">
        <v>91</v>
      </c>
      <c r="D106" s="51"/>
      <c r="E106" s="69">
        <v>0.0</v>
      </c>
      <c r="F106" s="69">
        <v>0.0</v>
      </c>
      <c r="G106" s="69">
        <v>0.0</v>
      </c>
      <c r="H106" s="69">
        <v>0.0</v>
      </c>
      <c r="I106" s="69">
        <v>0.0</v>
      </c>
      <c r="J106" s="69">
        <v>0.0</v>
      </c>
      <c r="K106" s="69">
        <v>0.0</v>
      </c>
      <c r="L106" s="69">
        <v>1.0</v>
      </c>
      <c r="M106" s="69">
        <v>0.0</v>
      </c>
      <c r="N106" s="69">
        <v>0.0</v>
      </c>
      <c r="O106" s="69">
        <v>0.0</v>
      </c>
      <c r="P106" s="69">
        <v>0.0</v>
      </c>
      <c r="Q106" s="69">
        <v>0.0</v>
      </c>
      <c r="R106" s="69">
        <v>1.0</v>
      </c>
      <c r="S106" s="69">
        <v>0.0</v>
      </c>
      <c r="T106" s="69">
        <v>0.0</v>
      </c>
      <c r="U106" s="69">
        <v>0.0</v>
      </c>
      <c r="V106" s="69">
        <v>0.0</v>
      </c>
      <c r="W106" s="69">
        <v>0.0</v>
      </c>
      <c r="X106" s="69">
        <v>1.0</v>
      </c>
      <c r="Y106" s="69">
        <v>0.0</v>
      </c>
      <c r="Z106" s="69">
        <v>0.0</v>
      </c>
      <c r="AA106" s="13">
        <f t="shared" si="28"/>
        <v>3</v>
      </c>
    </row>
    <row r="107" ht="12.75" customHeight="1">
      <c r="A107" s="18"/>
      <c r="B107" s="49"/>
      <c r="C107" s="50" t="s">
        <v>92</v>
      </c>
      <c r="D107" s="51"/>
      <c r="E107" s="69">
        <v>0.0</v>
      </c>
      <c r="F107" s="69">
        <v>0.0</v>
      </c>
      <c r="G107" s="69">
        <v>0.0</v>
      </c>
      <c r="H107" s="69">
        <v>0.0</v>
      </c>
      <c r="I107" s="69">
        <v>0.0</v>
      </c>
      <c r="J107" s="69">
        <v>0.0</v>
      </c>
      <c r="K107" s="69">
        <v>0.0</v>
      </c>
      <c r="L107" s="69">
        <v>0.0</v>
      </c>
      <c r="M107" s="69">
        <v>0.0</v>
      </c>
      <c r="N107" s="69">
        <v>0.0</v>
      </c>
      <c r="O107" s="69">
        <v>0.0</v>
      </c>
      <c r="P107" s="69">
        <v>0.0</v>
      </c>
      <c r="Q107" s="69">
        <v>0.0</v>
      </c>
      <c r="R107" s="69">
        <v>1.0</v>
      </c>
      <c r="S107" s="69">
        <v>0.0</v>
      </c>
      <c r="T107" s="69">
        <v>0.0</v>
      </c>
      <c r="U107" s="69">
        <v>0.0</v>
      </c>
      <c r="V107" s="69">
        <v>0.0</v>
      </c>
      <c r="W107" s="69">
        <v>0.0</v>
      </c>
      <c r="X107" s="69">
        <v>0.0</v>
      </c>
      <c r="Y107" s="69">
        <v>0.0</v>
      </c>
      <c r="Z107" s="69">
        <v>0.0</v>
      </c>
      <c r="AA107" s="13">
        <f t="shared" si="28"/>
        <v>1</v>
      </c>
    </row>
    <row r="108" ht="12.75" customHeight="1">
      <c r="A108" s="18"/>
      <c r="B108" s="49"/>
      <c r="C108" s="50" t="s">
        <v>93</v>
      </c>
      <c r="D108" s="51"/>
      <c r="E108" s="69">
        <v>0.0</v>
      </c>
      <c r="F108" s="69">
        <v>0.0</v>
      </c>
      <c r="G108" s="69">
        <v>0.0</v>
      </c>
      <c r="H108" s="69">
        <v>0.0</v>
      </c>
      <c r="I108" s="69">
        <v>0.0</v>
      </c>
      <c r="J108" s="69">
        <v>0.0</v>
      </c>
      <c r="K108" s="69">
        <v>0.0</v>
      </c>
      <c r="L108" s="69">
        <v>0.0</v>
      </c>
      <c r="M108" s="69">
        <v>0.0</v>
      </c>
      <c r="N108" s="69">
        <v>0.0</v>
      </c>
      <c r="O108" s="69">
        <v>0.0</v>
      </c>
      <c r="P108" s="69">
        <v>0.0</v>
      </c>
      <c r="Q108" s="69">
        <v>0.0</v>
      </c>
      <c r="R108" s="69">
        <v>0.0</v>
      </c>
      <c r="S108" s="69">
        <v>0.0</v>
      </c>
      <c r="T108" s="69">
        <v>0.0</v>
      </c>
      <c r="U108" s="69">
        <v>0.0</v>
      </c>
      <c r="V108" s="69">
        <v>0.0</v>
      </c>
      <c r="W108" s="69">
        <v>0.0</v>
      </c>
      <c r="X108" s="69">
        <v>0.0</v>
      </c>
      <c r="Y108" s="69">
        <v>0.0</v>
      </c>
      <c r="Z108" s="69">
        <v>0.0</v>
      </c>
      <c r="AA108" s="13">
        <f t="shared" si="28"/>
        <v>0</v>
      </c>
    </row>
    <row r="109" ht="12.75" customHeight="1">
      <c r="A109" s="18"/>
      <c r="B109" s="49"/>
      <c r="C109" s="50" t="s">
        <v>94</v>
      </c>
      <c r="D109" s="51"/>
      <c r="E109" s="69">
        <v>0.0</v>
      </c>
      <c r="F109" s="69">
        <v>0.0</v>
      </c>
      <c r="G109" s="69">
        <v>0.0</v>
      </c>
      <c r="H109" s="69">
        <v>0.0</v>
      </c>
      <c r="I109" s="69">
        <v>0.0</v>
      </c>
      <c r="J109" s="69">
        <v>0.0</v>
      </c>
      <c r="K109" s="69">
        <v>0.0</v>
      </c>
      <c r="L109" s="69">
        <v>0.0</v>
      </c>
      <c r="M109" s="69">
        <v>0.0</v>
      </c>
      <c r="N109" s="69">
        <v>0.0</v>
      </c>
      <c r="O109" s="69">
        <v>0.0</v>
      </c>
      <c r="P109" s="69">
        <v>0.0</v>
      </c>
      <c r="Q109" s="69">
        <v>0.0</v>
      </c>
      <c r="R109" s="69">
        <v>0.0</v>
      </c>
      <c r="S109" s="69">
        <v>0.0</v>
      </c>
      <c r="T109" s="69">
        <v>0.0</v>
      </c>
      <c r="U109" s="69">
        <v>0.0</v>
      </c>
      <c r="V109" s="69">
        <v>0.0</v>
      </c>
      <c r="W109" s="69">
        <v>0.0</v>
      </c>
      <c r="X109" s="69">
        <v>0.0</v>
      </c>
      <c r="Y109" s="69">
        <v>0.0</v>
      </c>
      <c r="Z109" s="69">
        <v>0.0</v>
      </c>
      <c r="AA109" s="13">
        <f t="shared" si="28"/>
        <v>0</v>
      </c>
    </row>
    <row r="110" ht="12.75" customHeight="1">
      <c r="A110" s="18"/>
      <c r="B110" s="49"/>
      <c r="C110" s="50" t="s">
        <v>95</v>
      </c>
      <c r="D110" s="51"/>
      <c r="E110" s="69">
        <v>0.0</v>
      </c>
      <c r="F110" s="69">
        <v>0.0</v>
      </c>
      <c r="G110" s="69">
        <v>0.0</v>
      </c>
      <c r="H110" s="69">
        <v>0.0</v>
      </c>
      <c r="I110" s="69">
        <v>0.0</v>
      </c>
      <c r="J110" s="69">
        <v>0.0</v>
      </c>
      <c r="K110" s="69">
        <v>0.0</v>
      </c>
      <c r="L110" s="69">
        <v>0.0</v>
      </c>
      <c r="M110" s="69">
        <v>0.0</v>
      </c>
      <c r="N110" s="69">
        <v>0.0</v>
      </c>
      <c r="O110" s="69">
        <v>0.0</v>
      </c>
      <c r="P110" s="69">
        <v>0.0</v>
      </c>
      <c r="Q110" s="69">
        <v>0.0</v>
      </c>
      <c r="R110" s="69">
        <v>0.0</v>
      </c>
      <c r="S110" s="69">
        <v>0.0</v>
      </c>
      <c r="T110" s="69">
        <v>0.0</v>
      </c>
      <c r="U110" s="69">
        <v>0.0</v>
      </c>
      <c r="V110" s="69">
        <v>0.0</v>
      </c>
      <c r="W110" s="69">
        <v>0.0</v>
      </c>
      <c r="X110" s="69">
        <v>0.0</v>
      </c>
      <c r="Y110" s="69">
        <v>0.0</v>
      </c>
      <c r="Z110" s="69">
        <v>0.0</v>
      </c>
      <c r="AA110" s="13">
        <f t="shared" si="28"/>
        <v>0</v>
      </c>
    </row>
    <row r="111" ht="12.75" customHeight="1">
      <c r="A111" s="19" t="s">
        <v>15</v>
      </c>
      <c r="B111" s="47" t="s">
        <v>47</v>
      </c>
      <c r="C111" s="15"/>
      <c r="D111" s="16"/>
      <c r="E111" s="56">
        <f t="shared" ref="E111:Z111" si="29">SUM(E103:E110)</f>
        <v>1</v>
      </c>
      <c r="F111" s="56">
        <f t="shared" si="29"/>
        <v>1</v>
      </c>
      <c r="G111" s="56">
        <f t="shared" si="29"/>
        <v>1</v>
      </c>
      <c r="H111" s="56">
        <f t="shared" si="29"/>
        <v>1</v>
      </c>
      <c r="I111" s="56">
        <f t="shared" si="29"/>
        <v>1</v>
      </c>
      <c r="J111" s="56">
        <f t="shared" si="29"/>
        <v>2</v>
      </c>
      <c r="K111" s="56">
        <f t="shared" si="29"/>
        <v>1</v>
      </c>
      <c r="L111" s="56">
        <f t="shared" si="29"/>
        <v>1</v>
      </c>
      <c r="M111" s="56">
        <f t="shared" si="29"/>
        <v>0</v>
      </c>
      <c r="N111" s="56">
        <f t="shared" si="29"/>
        <v>2</v>
      </c>
      <c r="O111" s="56">
        <f t="shared" si="29"/>
        <v>0</v>
      </c>
      <c r="P111" s="56">
        <f t="shared" si="29"/>
        <v>0</v>
      </c>
      <c r="Q111" s="56">
        <f t="shared" si="29"/>
        <v>0</v>
      </c>
      <c r="R111" s="56">
        <f t="shared" si="29"/>
        <v>2</v>
      </c>
      <c r="S111" s="56">
        <f t="shared" si="29"/>
        <v>0</v>
      </c>
      <c r="T111" s="56">
        <f t="shared" si="29"/>
        <v>1</v>
      </c>
      <c r="U111" s="56">
        <f t="shared" si="29"/>
        <v>2</v>
      </c>
      <c r="V111" s="56">
        <f t="shared" si="29"/>
        <v>1</v>
      </c>
      <c r="W111" s="56">
        <f t="shared" si="29"/>
        <v>1</v>
      </c>
      <c r="X111" s="56">
        <f t="shared" si="29"/>
        <v>1</v>
      </c>
      <c r="Y111" s="56">
        <f t="shared" si="29"/>
        <v>0</v>
      </c>
      <c r="Z111" s="56">
        <f t="shared" si="29"/>
        <v>0</v>
      </c>
      <c r="AA111" s="13">
        <f t="shared" si="28"/>
        <v>19</v>
      </c>
    </row>
    <row r="112" ht="12.75" customHeight="1">
      <c r="A112" s="57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13"/>
    </row>
    <row r="113" ht="12.75" customHeight="1">
      <c r="A113" s="30" t="s">
        <v>37</v>
      </c>
      <c r="B113" s="47" t="s">
        <v>96</v>
      </c>
      <c r="C113" s="48" t="s">
        <v>97</v>
      </c>
      <c r="D113" s="16"/>
      <c r="E113" s="69">
        <v>0.0</v>
      </c>
      <c r="F113" s="69">
        <v>0.0</v>
      </c>
      <c r="G113" s="69">
        <v>0.0</v>
      </c>
      <c r="H113" s="69">
        <v>0.0</v>
      </c>
      <c r="I113" s="69">
        <v>0.0</v>
      </c>
      <c r="J113" s="69">
        <v>0.0</v>
      </c>
      <c r="K113" s="69">
        <v>0.0</v>
      </c>
      <c r="L113" s="69">
        <v>0.0</v>
      </c>
      <c r="M113" s="69">
        <v>0.0</v>
      </c>
      <c r="N113" s="69">
        <v>0.0</v>
      </c>
      <c r="O113" s="69">
        <v>0.0</v>
      </c>
      <c r="P113" s="69">
        <v>0.0</v>
      </c>
      <c r="Q113" s="69">
        <v>0.0</v>
      </c>
      <c r="R113" s="69">
        <v>0.0</v>
      </c>
      <c r="S113" s="69">
        <v>0.0</v>
      </c>
      <c r="T113" s="69">
        <v>0.0</v>
      </c>
      <c r="U113" s="69">
        <v>0.0</v>
      </c>
      <c r="V113" s="69">
        <v>1.0</v>
      </c>
      <c r="W113" s="69">
        <v>0.0</v>
      </c>
      <c r="X113" s="69">
        <v>1.0</v>
      </c>
      <c r="Y113" s="69">
        <v>1.0</v>
      </c>
      <c r="Z113" s="69">
        <v>0.0</v>
      </c>
      <c r="AA113" s="13">
        <f t="shared" ref="AA113:AA115" si="30">SUM(E113:Z113)</f>
        <v>3</v>
      </c>
    </row>
    <row r="114" ht="12.75" customHeight="1">
      <c r="A114" s="30" t="s">
        <v>39</v>
      </c>
      <c r="B114" s="47"/>
      <c r="C114" s="50" t="s">
        <v>98</v>
      </c>
      <c r="D114" s="62"/>
      <c r="E114" s="69">
        <v>0.0</v>
      </c>
      <c r="F114" s="69">
        <v>0.0</v>
      </c>
      <c r="G114" s="69">
        <v>0.0</v>
      </c>
      <c r="H114" s="69">
        <v>0.0</v>
      </c>
      <c r="I114" s="69">
        <v>0.0</v>
      </c>
      <c r="J114" s="69">
        <v>0.0</v>
      </c>
      <c r="K114" s="69">
        <v>0.0</v>
      </c>
      <c r="L114" s="69">
        <v>0.0</v>
      </c>
      <c r="M114" s="69">
        <v>0.0</v>
      </c>
      <c r="N114" s="69">
        <v>0.0</v>
      </c>
      <c r="O114" s="69">
        <v>0.0</v>
      </c>
      <c r="P114" s="69">
        <v>0.0</v>
      </c>
      <c r="Q114" s="69">
        <v>0.0</v>
      </c>
      <c r="R114" s="69">
        <v>0.0</v>
      </c>
      <c r="S114" s="69">
        <v>0.0</v>
      </c>
      <c r="T114" s="69">
        <v>0.0</v>
      </c>
      <c r="U114" s="69">
        <v>0.0</v>
      </c>
      <c r="V114" s="69">
        <v>0.0</v>
      </c>
      <c r="W114" s="69">
        <v>0.0</v>
      </c>
      <c r="X114" s="69">
        <v>0.0</v>
      </c>
      <c r="Y114" s="69">
        <v>0.0</v>
      </c>
      <c r="Z114" s="69">
        <v>0.0</v>
      </c>
      <c r="AA114" s="13">
        <f t="shared" si="30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56">
        <f t="shared" ref="E115:Z115" si="31">SUM(E113:E114)</f>
        <v>0</v>
      </c>
      <c r="F115" s="56">
        <f t="shared" si="31"/>
        <v>0</v>
      </c>
      <c r="G115" s="56">
        <f t="shared" si="31"/>
        <v>0</v>
      </c>
      <c r="H115" s="56">
        <f t="shared" si="31"/>
        <v>0</v>
      </c>
      <c r="I115" s="56">
        <f t="shared" si="31"/>
        <v>0</v>
      </c>
      <c r="J115" s="56">
        <f t="shared" si="31"/>
        <v>0</v>
      </c>
      <c r="K115" s="56">
        <f t="shared" si="31"/>
        <v>0</v>
      </c>
      <c r="L115" s="56">
        <f t="shared" si="31"/>
        <v>0</v>
      </c>
      <c r="M115" s="56">
        <f t="shared" si="31"/>
        <v>0</v>
      </c>
      <c r="N115" s="56">
        <f t="shared" si="31"/>
        <v>0</v>
      </c>
      <c r="O115" s="56">
        <f t="shared" si="31"/>
        <v>0</v>
      </c>
      <c r="P115" s="56">
        <f t="shared" si="31"/>
        <v>0</v>
      </c>
      <c r="Q115" s="56">
        <f t="shared" si="31"/>
        <v>0</v>
      </c>
      <c r="R115" s="56">
        <f t="shared" si="31"/>
        <v>0</v>
      </c>
      <c r="S115" s="56">
        <f t="shared" si="31"/>
        <v>0</v>
      </c>
      <c r="T115" s="56">
        <f t="shared" si="31"/>
        <v>0</v>
      </c>
      <c r="U115" s="56">
        <f t="shared" si="31"/>
        <v>0</v>
      </c>
      <c r="V115" s="56">
        <f t="shared" si="31"/>
        <v>1</v>
      </c>
      <c r="W115" s="56">
        <f t="shared" si="31"/>
        <v>0</v>
      </c>
      <c r="X115" s="56">
        <f t="shared" si="31"/>
        <v>1</v>
      </c>
      <c r="Y115" s="56">
        <f t="shared" si="31"/>
        <v>1</v>
      </c>
      <c r="Z115" s="56">
        <f t="shared" si="31"/>
        <v>0</v>
      </c>
      <c r="AA115" s="13">
        <f t="shared" si="30"/>
        <v>3</v>
      </c>
    </row>
    <row r="116" ht="12.75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13"/>
    </row>
    <row r="117" ht="12.75" customHeight="1">
      <c r="A117" s="30" t="s">
        <v>37</v>
      </c>
      <c r="B117" s="47" t="s">
        <v>99</v>
      </c>
      <c r="C117" s="48" t="s">
        <v>100</v>
      </c>
      <c r="D117" s="16"/>
      <c r="E117" s="69">
        <v>0.0</v>
      </c>
      <c r="F117" s="69">
        <v>0.0</v>
      </c>
      <c r="G117" s="69">
        <v>0.0</v>
      </c>
      <c r="H117" s="69">
        <v>0.0</v>
      </c>
      <c r="I117" s="69">
        <v>0.0</v>
      </c>
      <c r="J117" s="69">
        <v>0.0</v>
      </c>
      <c r="K117" s="69">
        <v>1.0</v>
      </c>
      <c r="L117" s="69">
        <v>1.0</v>
      </c>
      <c r="M117" s="69">
        <v>0.0</v>
      </c>
      <c r="N117" s="69">
        <v>1.0</v>
      </c>
      <c r="O117" s="69">
        <v>0.0</v>
      </c>
      <c r="P117" s="69">
        <v>0.0</v>
      </c>
      <c r="Q117" s="69">
        <v>0.0</v>
      </c>
      <c r="R117" s="69">
        <v>0.0</v>
      </c>
      <c r="S117" s="69">
        <v>0.0</v>
      </c>
      <c r="T117" s="69">
        <v>0.0</v>
      </c>
      <c r="U117" s="69">
        <v>0.0</v>
      </c>
      <c r="V117" s="69">
        <v>0.0</v>
      </c>
      <c r="W117" s="69">
        <v>0.0</v>
      </c>
      <c r="X117" s="69">
        <v>0.0</v>
      </c>
      <c r="Y117" s="69">
        <v>0.0</v>
      </c>
      <c r="Z117" s="69">
        <v>0.0</v>
      </c>
      <c r="AA117" s="13">
        <f t="shared" ref="AA117:AA125" si="32">SUM(E117:Z117)</f>
        <v>3</v>
      </c>
      <c r="AB117" s="5"/>
      <c r="AC117" s="5"/>
    </row>
    <row r="118" ht="12.75" customHeight="1">
      <c r="A118" s="30" t="s">
        <v>39</v>
      </c>
      <c r="B118" s="49" t="s">
        <v>39</v>
      </c>
      <c r="C118" s="50" t="s">
        <v>101</v>
      </c>
      <c r="D118" s="51"/>
      <c r="E118" s="69">
        <v>0.0</v>
      </c>
      <c r="F118" s="69">
        <v>0.0</v>
      </c>
      <c r="G118" s="69">
        <v>0.0</v>
      </c>
      <c r="H118" s="69">
        <v>0.0</v>
      </c>
      <c r="I118" s="69">
        <v>0.0</v>
      </c>
      <c r="J118" s="69">
        <v>0.0</v>
      </c>
      <c r="K118" s="69">
        <v>0.0</v>
      </c>
      <c r="L118" s="69">
        <v>0.0</v>
      </c>
      <c r="M118" s="69">
        <v>0.0</v>
      </c>
      <c r="N118" s="69">
        <v>0.0</v>
      </c>
      <c r="O118" s="69">
        <v>0.0</v>
      </c>
      <c r="P118" s="69">
        <v>0.0</v>
      </c>
      <c r="Q118" s="69">
        <v>0.0</v>
      </c>
      <c r="R118" s="69">
        <v>0.0</v>
      </c>
      <c r="S118" s="69">
        <v>0.0</v>
      </c>
      <c r="T118" s="69">
        <v>0.0</v>
      </c>
      <c r="U118" s="69">
        <v>0.0</v>
      </c>
      <c r="V118" s="69">
        <v>0.0</v>
      </c>
      <c r="W118" s="69">
        <v>0.0</v>
      </c>
      <c r="X118" s="69">
        <v>0.0</v>
      </c>
      <c r="Y118" s="69">
        <v>0.0</v>
      </c>
      <c r="Z118" s="69">
        <v>0.0</v>
      </c>
      <c r="AA118" s="13">
        <f t="shared" si="32"/>
        <v>0</v>
      </c>
      <c r="AB118" s="5"/>
      <c r="AC118" s="5"/>
    </row>
    <row r="119" ht="12.75" customHeight="1">
      <c r="A119" s="18"/>
      <c r="B119" s="49"/>
      <c r="C119" s="50" t="s">
        <v>102</v>
      </c>
      <c r="D119" s="51"/>
      <c r="E119" s="69">
        <v>0.0</v>
      </c>
      <c r="F119" s="69">
        <v>0.0</v>
      </c>
      <c r="G119" s="69">
        <v>0.0</v>
      </c>
      <c r="H119" s="69">
        <v>0.0</v>
      </c>
      <c r="I119" s="69">
        <v>0.0</v>
      </c>
      <c r="J119" s="69">
        <v>0.0</v>
      </c>
      <c r="K119" s="69">
        <v>0.0</v>
      </c>
      <c r="L119" s="69">
        <v>0.0</v>
      </c>
      <c r="M119" s="69">
        <v>0.0</v>
      </c>
      <c r="N119" s="69">
        <v>0.0</v>
      </c>
      <c r="O119" s="69">
        <v>0.0</v>
      </c>
      <c r="P119" s="69">
        <v>1.0</v>
      </c>
      <c r="Q119" s="69">
        <v>0.0</v>
      </c>
      <c r="R119" s="69">
        <v>1.0</v>
      </c>
      <c r="S119" s="69">
        <v>0.0</v>
      </c>
      <c r="T119" s="69">
        <v>0.0</v>
      </c>
      <c r="U119" s="69">
        <v>0.0</v>
      </c>
      <c r="V119" s="69">
        <v>0.0</v>
      </c>
      <c r="W119" s="69">
        <v>0.0</v>
      </c>
      <c r="X119" s="69">
        <v>0.0</v>
      </c>
      <c r="Y119" s="69">
        <v>0.0</v>
      </c>
      <c r="Z119" s="69">
        <v>0.0</v>
      </c>
      <c r="AA119" s="13">
        <f t="shared" si="32"/>
        <v>2</v>
      </c>
      <c r="AB119" s="5"/>
      <c r="AC119" s="5"/>
    </row>
    <row r="120" ht="12.75" customHeight="1">
      <c r="A120" s="18"/>
      <c r="B120" s="49"/>
      <c r="C120" s="50" t="s">
        <v>103</v>
      </c>
      <c r="D120" s="51"/>
      <c r="E120" s="69">
        <v>0.0</v>
      </c>
      <c r="F120" s="69">
        <v>0.0</v>
      </c>
      <c r="G120" s="69">
        <v>0.0</v>
      </c>
      <c r="H120" s="69">
        <v>0.0</v>
      </c>
      <c r="I120" s="69">
        <v>0.0</v>
      </c>
      <c r="J120" s="69">
        <v>0.0</v>
      </c>
      <c r="K120" s="69">
        <v>0.0</v>
      </c>
      <c r="L120" s="69">
        <v>0.0</v>
      </c>
      <c r="M120" s="69">
        <v>0.0</v>
      </c>
      <c r="N120" s="69">
        <v>0.0</v>
      </c>
      <c r="O120" s="69">
        <v>0.0</v>
      </c>
      <c r="P120" s="69">
        <v>0.0</v>
      </c>
      <c r="Q120" s="69">
        <v>0.0</v>
      </c>
      <c r="R120" s="69">
        <v>0.0</v>
      </c>
      <c r="S120" s="69">
        <v>0.0</v>
      </c>
      <c r="T120" s="69">
        <v>0.0</v>
      </c>
      <c r="U120" s="69">
        <v>0.0</v>
      </c>
      <c r="V120" s="69">
        <v>0.0</v>
      </c>
      <c r="W120" s="69">
        <v>0.0</v>
      </c>
      <c r="X120" s="69">
        <v>0.0</v>
      </c>
      <c r="Y120" s="69">
        <v>0.0</v>
      </c>
      <c r="Z120" s="69">
        <v>0.0</v>
      </c>
      <c r="AA120" s="13">
        <f t="shared" si="32"/>
        <v>0</v>
      </c>
      <c r="AB120" s="5"/>
      <c r="AC120" s="5"/>
    </row>
    <row r="121" ht="12.75" customHeight="1">
      <c r="A121" s="18"/>
      <c r="B121" s="49"/>
      <c r="C121" s="50" t="s">
        <v>104</v>
      </c>
      <c r="D121" s="51"/>
      <c r="E121" s="69">
        <v>0.0</v>
      </c>
      <c r="F121" s="69">
        <v>0.0</v>
      </c>
      <c r="G121" s="69">
        <v>0.0</v>
      </c>
      <c r="H121" s="69">
        <v>0.0</v>
      </c>
      <c r="I121" s="69">
        <v>0.0</v>
      </c>
      <c r="J121" s="69">
        <v>0.0</v>
      </c>
      <c r="K121" s="69">
        <v>0.0</v>
      </c>
      <c r="L121" s="69">
        <v>0.0</v>
      </c>
      <c r="M121" s="69">
        <v>0.0</v>
      </c>
      <c r="N121" s="69">
        <v>0.0</v>
      </c>
      <c r="O121" s="69">
        <v>0.0</v>
      </c>
      <c r="P121" s="69">
        <v>0.0</v>
      </c>
      <c r="Q121" s="69">
        <v>0.0</v>
      </c>
      <c r="R121" s="69">
        <v>0.0</v>
      </c>
      <c r="S121" s="69">
        <v>0.0</v>
      </c>
      <c r="T121" s="69">
        <v>0.0</v>
      </c>
      <c r="U121" s="69">
        <v>0.0</v>
      </c>
      <c r="V121" s="69">
        <v>0.0</v>
      </c>
      <c r="W121" s="69">
        <v>2.0</v>
      </c>
      <c r="X121" s="69">
        <v>0.0</v>
      </c>
      <c r="Y121" s="69">
        <v>0.0</v>
      </c>
      <c r="Z121" s="69">
        <v>0.0</v>
      </c>
      <c r="AA121" s="13">
        <f t="shared" si="32"/>
        <v>2</v>
      </c>
      <c r="AB121" s="5"/>
      <c r="AC121" s="5"/>
    </row>
    <row r="122" ht="12.75" customHeight="1">
      <c r="A122" s="18"/>
      <c r="B122" s="49"/>
      <c r="C122" s="50" t="s">
        <v>105</v>
      </c>
      <c r="D122" s="51"/>
      <c r="E122" s="69">
        <v>0.0</v>
      </c>
      <c r="F122" s="69">
        <v>0.0</v>
      </c>
      <c r="G122" s="69">
        <v>0.0</v>
      </c>
      <c r="H122" s="69">
        <v>0.0</v>
      </c>
      <c r="I122" s="69">
        <v>0.0</v>
      </c>
      <c r="J122" s="69">
        <v>0.0</v>
      </c>
      <c r="K122" s="69">
        <v>0.0</v>
      </c>
      <c r="L122" s="69">
        <v>0.0</v>
      </c>
      <c r="M122" s="69">
        <v>0.0</v>
      </c>
      <c r="N122" s="69">
        <v>0.0</v>
      </c>
      <c r="O122" s="69">
        <v>0.0</v>
      </c>
      <c r="P122" s="69">
        <v>0.0</v>
      </c>
      <c r="Q122" s="69">
        <v>0.0</v>
      </c>
      <c r="R122" s="69">
        <v>0.0</v>
      </c>
      <c r="S122" s="69">
        <v>0.0</v>
      </c>
      <c r="T122" s="69">
        <v>0.0</v>
      </c>
      <c r="U122" s="69">
        <v>0.0</v>
      </c>
      <c r="V122" s="69">
        <v>0.0</v>
      </c>
      <c r="W122" s="69">
        <v>0.0</v>
      </c>
      <c r="X122" s="69">
        <v>0.0</v>
      </c>
      <c r="Y122" s="69">
        <v>0.0</v>
      </c>
      <c r="Z122" s="69">
        <v>0.0</v>
      </c>
      <c r="AA122" s="13">
        <f t="shared" si="32"/>
        <v>0</v>
      </c>
      <c r="AB122" s="5"/>
      <c r="AC122" s="5"/>
    </row>
    <row r="123" ht="12.75" customHeight="1">
      <c r="A123" s="18"/>
      <c r="B123" s="49"/>
      <c r="C123" s="50" t="s">
        <v>106</v>
      </c>
      <c r="D123" s="51"/>
      <c r="E123" s="69">
        <v>0.0</v>
      </c>
      <c r="F123" s="69">
        <v>0.0</v>
      </c>
      <c r="G123" s="69">
        <v>0.0</v>
      </c>
      <c r="H123" s="69">
        <v>0.0</v>
      </c>
      <c r="I123" s="69">
        <v>0.0</v>
      </c>
      <c r="J123" s="69">
        <v>0.0</v>
      </c>
      <c r="K123" s="69">
        <v>0.0</v>
      </c>
      <c r="L123" s="69">
        <v>0.0</v>
      </c>
      <c r="M123" s="69">
        <v>0.0</v>
      </c>
      <c r="N123" s="69">
        <v>0.0</v>
      </c>
      <c r="O123" s="69">
        <v>0.0</v>
      </c>
      <c r="P123" s="69">
        <v>0.0</v>
      </c>
      <c r="Q123" s="69">
        <v>0.0</v>
      </c>
      <c r="R123" s="69">
        <v>0.0</v>
      </c>
      <c r="S123" s="69">
        <v>0.0</v>
      </c>
      <c r="T123" s="69">
        <v>0.0</v>
      </c>
      <c r="U123" s="69">
        <v>0.0</v>
      </c>
      <c r="V123" s="69">
        <v>0.0</v>
      </c>
      <c r="W123" s="69">
        <v>0.0</v>
      </c>
      <c r="X123" s="69">
        <v>0.0</v>
      </c>
      <c r="Y123" s="69">
        <v>0.0</v>
      </c>
      <c r="Z123" s="69">
        <v>0.0</v>
      </c>
      <c r="AA123" s="13">
        <f t="shared" si="32"/>
        <v>0</v>
      </c>
      <c r="AB123" s="5"/>
      <c r="AC123" s="5"/>
    </row>
    <row r="124" ht="12.75" customHeight="1">
      <c r="A124" s="18"/>
      <c r="B124" s="49"/>
      <c r="C124" s="50" t="s">
        <v>107</v>
      </c>
      <c r="D124" s="51"/>
      <c r="E124" s="69">
        <v>0.0</v>
      </c>
      <c r="F124" s="69">
        <v>0.0</v>
      </c>
      <c r="G124" s="69">
        <v>0.0</v>
      </c>
      <c r="H124" s="69">
        <v>0.0</v>
      </c>
      <c r="I124" s="69">
        <v>0.0</v>
      </c>
      <c r="J124" s="69">
        <v>0.0</v>
      </c>
      <c r="K124" s="69">
        <v>0.0</v>
      </c>
      <c r="L124" s="69">
        <v>0.0</v>
      </c>
      <c r="M124" s="69">
        <v>0.0</v>
      </c>
      <c r="N124" s="69">
        <v>0.0</v>
      </c>
      <c r="O124" s="69">
        <v>0.0</v>
      </c>
      <c r="P124" s="69">
        <v>0.0</v>
      </c>
      <c r="Q124" s="69">
        <v>0.0</v>
      </c>
      <c r="R124" s="69">
        <v>0.0</v>
      </c>
      <c r="S124" s="69">
        <v>0.0</v>
      </c>
      <c r="T124" s="69">
        <v>0.0</v>
      </c>
      <c r="U124" s="69">
        <v>0.0</v>
      </c>
      <c r="V124" s="69">
        <v>0.0</v>
      </c>
      <c r="W124" s="69">
        <v>0.0</v>
      </c>
      <c r="X124" s="69">
        <v>0.0</v>
      </c>
      <c r="Y124" s="69">
        <v>0.0</v>
      </c>
      <c r="Z124" s="69">
        <v>0.0</v>
      </c>
      <c r="AA124" s="13">
        <f t="shared" si="32"/>
        <v>0</v>
      </c>
      <c r="AB124" s="5"/>
      <c r="AC124" s="5"/>
    </row>
    <row r="125" ht="12.75" customHeight="1">
      <c r="A125" s="19" t="s">
        <v>15</v>
      </c>
      <c r="B125" s="47" t="s">
        <v>47</v>
      </c>
      <c r="C125" s="15"/>
      <c r="D125" s="16"/>
      <c r="E125" s="56">
        <f t="shared" ref="E125:Z125" si="33">SUM(E117:E124)</f>
        <v>0</v>
      </c>
      <c r="F125" s="56">
        <f t="shared" si="33"/>
        <v>0</v>
      </c>
      <c r="G125" s="56">
        <f t="shared" si="33"/>
        <v>0</v>
      </c>
      <c r="H125" s="56">
        <f t="shared" si="33"/>
        <v>0</v>
      </c>
      <c r="I125" s="56">
        <f t="shared" si="33"/>
        <v>0</v>
      </c>
      <c r="J125" s="56">
        <f t="shared" si="33"/>
        <v>0</v>
      </c>
      <c r="K125" s="56">
        <f t="shared" si="33"/>
        <v>1</v>
      </c>
      <c r="L125" s="56">
        <f t="shared" si="33"/>
        <v>1</v>
      </c>
      <c r="M125" s="56">
        <f t="shared" si="33"/>
        <v>0</v>
      </c>
      <c r="N125" s="56">
        <f t="shared" si="33"/>
        <v>1</v>
      </c>
      <c r="O125" s="56">
        <f t="shared" si="33"/>
        <v>0</v>
      </c>
      <c r="P125" s="56">
        <f t="shared" si="33"/>
        <v>1</v>
      </c>
      <c r="Q125" s="56">
        <f t="shared" si="33"/>
        <v>0</v>
      </c>
      <c r="R125" s="56">
        <f t="shared" si="33"/>
        <v>1</v>
      </c>
      <c r="S125" s="56">
        <f t="shared" si="33"/>
        <v>0</v>
      </c>
      <c r="T125" s="56">
        <f t="shared" si="33"/>
        <v>0</v>
      </c>
      <c r="U125" s="56">
        <f t="shared" si="33"/>
        <v>0</v>
      </c>
      <c r="V125" s="56">
        <f t="shared" si="33"/>
        <v>0</v>
      </c>
      <c r="W125" s="56">
        <f t="shared" si="33"/>
        <v>2</v>
      </c>
      <c r="X125" s="56">
        <f t="shared" si="33"/>
        <v>0</v>
      </c>
      <c r="Y125" s="56">
        <f t="shared" si="33"/>
        <v>0</v>
      </c>
      <c r="Z125" s="56">
        <f t="shared" si="33"/>
        <v>0</v>
      </c>
      <c r="AA125" s="13">
        <f t="shared" si="32"/>
        <v>7</v>
      </c>
      <c r="AB125" s="5"/>
      <c r="AC125" s="5"/>
    </row>
    <row r="126" ht="12.75" customHeight="1">
      <c r="A126" s="57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13"/>
      <c r="AB126" s="5"/>
      <c r="AC126" s="5"/>
    </row>
    <row r="127" ht="15.0" customHeight="1">
      <c r="A127" s="30" t="s">
        <v>37</v>
      </c>
      <c r="B127" s="47" t="s">
        <v>108</v>
      </c>
      <c r="C127" s="48" t="s">
        <v>109</v>
      </c>
      <c r="D127" s="16"/>
      <c r="E127" s="69">
        <v>0.0</v>
      </c>
      <c r="F127" s="69">
        <v>0.0</v>
      </c>
      <c r="G127" s="69">
        <v>0.0</v>
      </c>
      <c r="H127" s="69">
        <v>1.0</v>
      </c>
      <c r="I127" s="69">
        <v>0.0</v>
      </c>
      <c r="J127" s="69">
        <v>0.0</v>
      </c>
      <c r="K127" s="69">
        <v>0.0</v>
      </c>
      <c r="L127" s="69">
        <v>2.0</v>
      </c>
      <c r="M127" s="69">
        <v>0.0</v>
      </c>
      <c r="N127" s="69">
        <v>0.0</v>
      </c>
      <c r="O127" s="69">
        <v>0.0</v>
      </c>
      <c r="P127" s="69">
        <v>0.0</v>
      </c>
      <c r="Q127" s="69">
        <v>0.0</v>
      </c>
      <c r="R127" s="69">
        <v>0.0</v>
      </c>
      <c r="S127" s="69">
        <v>0.0</v>
      </c>
      <c r="T127" s="69">
        <v>2.0</v>
      </c>
      <c r="U127" s="69">
        <v>0.0</v>
      </c>
      <c r="V127" s="69">
        <v>0.0</v>
      </c>
      <c r="W127" s="69">
        <v>1.0</v>
      </c>
      <c r="X127" s="69">
        <v>1.0</v>
      </c>
      <c r="Y127" s="69">
        <v>0.0</v>
      </c>
      <c r="Z127" s="69">
        <v>0.0</v>
      </c>
      <c r="AA127" s="13">
        <f t="shared" ref="AA127:AA129" si="34">SUM(E127:Z127)</f>
        <v>7</v>
      </c>
      <c r="AB127" s="5"/>
      <c r="AC127" s="5"/>
    </row>
    <row r="128" ht="12.75" customHeight="1">
      <c r="A128" s="30" t="s">
        <v>39</v>
      </c>
      <c r="B128" s="49"/>
      <c r="C128" s="50"/>
      <c r="D128" s="51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3">
        <f t="shared" si="34"/>
        <v>0</v>
      </c>
      <c r="AB128" s="5"/>
      <c r="AC128" s="5"/>
    </row>
    <row r="129" ht="12.75" customHeight="1">
      <c r="A129" s="19" t="s">
        <v>15</v>
      </c>
      <c r="B129" s="47" t="s">
        <v>47</v>
      </c>
      <c r="C129" s="15"/>
      <c r="D129" s="16"/>
      <c r="E129" s="56">
        <f t="shared" ref="E129:Z129" si="35">SUM(E127:E128)</f>
        <v>0</v>
      </c>
      <c r="F129" s="56">
        <f t="shared" si="35"/>
        <v>0</v>
      </c>
      <c r="G129" s="56">
        <f t="shared" si="35"/>
        <v>0</v>
      </c>
      <c r="H129" s="56">
        <f t="shared" si="35"/>
        <v>1</v>
      </c>
      <c r="I129" s="56">
        <f t="shared" si="35"/>
        <v>0</v>
      </c>
      <c r="J129" s="56">
        <f t="shared" si="35"/>
        <v>0</v>
      </c>
      <c r="K129" s="56">
        <f t="shared" si="35"/>
        <v>0</v>
      </c>
      <c r="L129" s="56">
        <f t="shared" si="35"/>
        <v>2</v>
      </c>
      <c r="M129" s="56">
        <f t="shared" si="35"/>
        <v>0</v>
      </c>
      <c r="N129" s="56">
        <f t="shared" si="35"/>
        <v>0</v>
      </c>
      <c r="O129" s="56">
        <f t="shared" si="35"/>
        <v>0</v>
      </c>
      <c r="P129" s="56">
        <f t="shared" si="35"/>
        <v>0</v>
      </c>
      <c r="Q129" s="56">
        <f t="shared" si="35"/>
        <v>0</v>
      </c>
      <c r="R129" s="56">
        <f t="shared" si="35"/>
        <v>0</v>
      </c>
      <c r="S129" s="56">
        <f t="shared" si="35"/>
        <v>0</v>
      </c>
      <c r="T129" s="56">
        <f t="shared" si="35"/>
        <v>2</v>
      </c>
      <c r="U129" s="56">
        <f t="shared" si="35"/>
        <v>0</v>
      </c>
      <c r="V129" s="56">
        <f t="shared" si="35"/>
        <v>0</v>
      </c>
      <c r="W129" s="56">
        <f t="shared" si="35"/>
        <v>1</v>
      </c>
      <c r="X129" s="56">
        <f t="shared" si="35"/>
        <v>1</v>
      </c>
      <c r="Y129" s="56">
        <f t="shared" si="35"/>
        <v>0</v>
      </c>
      <c r="Z129" s="56">
        <f t="shared" si="35"/>
        <v>0</v>
      </c>
      <c r="AA129" s="13">
        <f t="shared" si="34"/>
        <v>7</v>
      </c>
      <c r="AB129" s="5"/>
      <c r="AC129" s="5"/>
    </row>
    <row r="130" ht="12.75" customHeight="1">
      <c r="A130" s="57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13"/>
      <c r="AB130" s="1"/>
      <c r="AC130" s="1"/>
    </row>
    <row r="131" ht="12.75" customHeight="1">
      <c r="A131" s="30" t="s">
        <v>37</v>
      </c>
      <c r="B131" s="47" t="s">
        <v>110</v>
      </c>
      <c r="C131" s="48" t="s">
        <v>111</v>
      </c>
      <c r="D131" s="16"/>
      <c r="E131" s="69">
        <v>0.0</v>
      </c>
      <c r="F131" s="69">
        <v>0.0</v>
      </c>
      <c r="G131" s="69">
        <v>0.0</v>
      </c>
      <c r="H131" s="69">
        <v>0.0</v>
      </c>
      <c r="I131" s="69">
        <v>0.0</v>
      </c>
      <c r="J131" s="69">
        <v>0.0</v>
      </c>
      <c r="K131" s="69">
        <v>1.0</v>
      </c>
      <c r="L131" s="69">
        <v>1.0</v>
      </c>
      <c r="M131" s="69">
        <v>2.0</v>
      </c>
      <c r="N131" s="69">
        <v>3.0</v>
      </c>
      <c r="O131" s="69">
        <v>0.0</v>
      </c>
      <c r="P131" s="69">
        <v>0.0</v>
      </c>
      <c r="Q131" s="69">
        <v>0.0</v>
      </c>
      <c r="R131" s="69">
        <v>0.0</v>
      </c>
      <c r="S131" s="69">
        <v>0.0</v>
      </c>
      <c r="T131" s="69">
        <v>2.0</v>
      </c>
      <c r="U131" s="69">
        <v>0.0</v>
      </c>
      <c r="V131" s="69">
        <v>1.0</v>
      </c>
      <c r="W131" s="69">
        <v>0.0</v>
      </c>
      <c r="X131" s="69">
        <v>0.0</v>
      </c>
      <c r="Y131" s="69">
        <v>2.0</v>
      </c>
      <c r="Z131" s="69">
        <v>0.0</v>
      </c>
      <c r="AA131" s="13">
        <f t="shared" ref="AA131:AA136" si="36">SUM(E131:Z131)</f>
        <v>12</v>
      </c>
      <c r="AB131" s="53"/>
      <c r="AC131" s="53"/>
    </row>
    <row r="132" ht="12.75" customHeight="1">
      <c r="A132" s="30" t="s">
        <v>39</v>
      </c>
      <c r="B132" s="49"/>
      <c r="C132" s="50" t="s">
        <v>112</v>
      </c>
      <c r="D132" s="51"/>
      <c r="E132" s="69">
        <v>0.0</v>
      </c>
      <c r="F132" s="69">
        <v>0.0</v>
      </c>
      <c r="G132" s="69">
        <v>0.0</v>
      </c>
      <c r="H132" s="69">
        <v>0.0</v>
      </c>
      <c r="I132" s="69">
        <v>1.0</v>
      </c>
      <c r="J132" s="69">
        <v>0.0</v>
      </c>
      <c r="K132" s="69">
        <v>2.0</v>
      </c>
      <c r="L132" s="69">
        <v>0.0</v>
      </c>
      <c r="M132" s="69">
        <v>1.0</v>
      </c>
      <c r="N132" s="69">
        <v>1.0</v>
      </c>
      <c r="O132" s="69">
        <v>0.0</v>
      </c>
      <c r="P132" s="69">
        <v>2.0</v>
      </c>
      <c r="Q132" s="69">
        <v>0.0</v>
      </c>
      <c r="R132" s="69">
        <v>0.0</v>
      </c>
      <c r="S132" s="69">
        <v>0.0</v>
      </c>
      <c r="T132" s="69">
        <v>0.0</v>
      </c>
      <c r="U132" s="69">
        <v>1.0</v>
      </c>
      <c r="V132" s="69">
        <v>0.0</v>
      </c>
      <c r="W132" s="69">
        <v>1.0</v>
      </c>
      <c r="X132" s="69">
        <v>0.0</v>
      </c>
      <c r="Y132" s="69">
        <v>0.0</v>
      </c>
      <c r="Z132" s="69">
        <v>0.0</v>
      </c>
      <c r="AA132" s="13">
        <f t="shared" si="36"/>
        <v>9</v>
      </c>
      <c r="AB132" s="5"/>
      <c r="AC132" s="5"/>
    </row>
    <row r="133" ht="12.75" customHeight="1">
      <c r="A133" s="18"/>
      <c r="B133" s="49"/>
      <c r="C133" s="50" t="s">
        <v>113</v>
      </c>
      <c r="D133" s="51"/>
      <c r="E133" s="69">
        <v>1.0</v>
      </c>
      <c r="F133" s="69">
        <v>0.0</v>
      </c>
      <c r="G133" s="69">
        <v>0.0</v>
      </c>
      <c r="H133" s="69">
        <v>0.0</v>
      </c>
      <c r="I133" s="69">
        <v>0.0</v>
      </c>
      <c r="J133" s="69">
        <v>0.0</v>
      </c>
      <c r="K133" s="69">
        <v>0.0</v>
      </c>
      <c r="L133" s="69">
        <v>0.0</v>
      </c>
      <c r="M133" s="69">
        <v>0.0</v>
      </c>
      <c r="N133" s="69">
        <v>2.0</v>
      </c>
      <c r="O133" s="69">
        <v>0.0</v>
      </c>
      <c r="P133" s="69">
        <v>0.0</v>
      </c>
      <c r="Q133" s="69">
        <v>0.0</v>
      </c>
      <c r="R133" s="69">
        <v>0.0</v>
      </c>
      <c r="S133" s="69">
        <v>0.0</v>
      </c>
      <c r="T133" s="69">
        <v>0.0</v>
      </c>
      <c r="U133" s="69">
        <v>0.0</v>
      </c>
      <c r="V133" s="69">
        <v>0.0</v>
      </c>
      <c r="W133" s="69">
        <v>0.0</v>
      </c>
      <c r="X133" s="69">
        <v>0.0</v>
      </c>
      <c r="Y133" s="69">
        <v>0.0</v>
      </c>
      <c r="Z133" s="69">
        <v>0.0</v>
      </c>
      <c r="AA133" s="13">
        <f t="shared" si="36"/>
        <v>3</v>
      </c>
      <c r="AB133" s="5"/>
      <c r="AC133" s="5"/>
    </row>
    <row r="134" ht="12.75" customHeight="1">
      <c r="A134" s="18"/>
      <c r="B134" s="49"/>
      <c r="C134" s="50" t="s">
        <v>114</v>
      </c>
      <c r="D134" s="51"/>
      <c r="E134" s="69">
        <v>0.0</v>
      </c>
      <c r="F134" s="69">
        <v>0.0</v>
      </c>
      <c r="G134" s="69">
        <v>0.0</v>
      </c>
      <c r="H134" s="69">
        <v>0.0</v>
      </c>
      <c r="I134" s="69">
        <v>0.0</v>
      </c>
      <c r="J134" s="69">
        <v>0.0</v>
      </c>
      <c r="K134" s="69">
        <v>0.0</v>
      </c>
      <c r="L134" s="69">
        <v>0.0</v>
      </c>
      <c r="M134" s="69">
        <v>0.0</v>
      </c>
      <c r="N134" s="69">
        <v>0.0</v>
      </c>
      <c r="O134" s="69">
        <v>0.0</v>
      </c>
      <c r="P134" s="69">
        <v>0.0</v>
      </c>
      <c r="Q134" s="69">
        <v>0.0</v>
      </c>
      <c r="R134" s="69">
        <v>0.0</v>
      </c>
      <c r="S134" s="69">
        <v>0.0</v>
      </c>
      <c r="T134" s="69">
        <v>0.0</v>
      </c>
      <c r="U134" s="69">
        <v>0.0</v>
      </c>
      <c r="V134" s="69">
        <v>0.0</v>
      </c>
      <c r="W134" s="69">
        <v>1.0</v>
      </c>
      <c r="X134" s="69">
        <v>0.0</v>
      </c>
      <c r="Y134" s="69">
        <v>0.0</v>
      </c>
      <c r="Z134" s="69">
        <v>0.0</v>
      </c>
      <c r="AA134" s="13">
        <f t="shared" si="36"/>
        <v>1</v>
      </c>
      <c r="AB134" s="5"/>
      <c r="AC134" s="5"/>
    </row>
    <row r="135" ht="12.75" customHeight="1">
      <c r="A135" s="18"/>
      <c r="B135" s="49"/>
      <c r="C135" s="50" t="s">
        <v>115</v>
      </c>
      <c r="D135" s="51"/>
      <c r="E135" s="69">
        <v>0.0</v>
      </c>
      <c r="F135" s="69">
        <v>0.0</v>
      </c>
      <c r="G135" s="69">
        <v>0.0</v>
      </c>
      <c r="H135" s="69">
        <v>0.0</v>
      </c>
      <c r="I135" s="69">
        <v>0.0</v>
      </c>
      <c r="J135" s="69">
        <v>0.0</v>
      </c>
      <c r="K135" s="69">
        <v>0.0</v>
      </c>
      <c r="L135" s="69">
        <v>0.0</v>
      </c>
      <c r="M135" s="69">
        <v>0.0</v>
      </c>
      <c r="N135" s="69">
        <v>0.0</v>
      </c>
      <c r="O135" s="69">
        <v>0.0</v>
      </c>
      <c r="P135" s="69">
        <v>0.0</v>
      </c>
      <c r="Q135" s="69">
        <v>0.0</v>
      </c>
      <c r="R135" s="69">
        <v>0.0</v>
      </c>
      <c r="S135" s="69">
        <v>0.0</v>
      </c>
      <c r="T135" s="69">
        <v>0.0</v>
      </c>
      <c r="U135" s="69">
        <v>0.0</v>
      </c>
      <c r="V135" s="69">
        <v>0.0</v>
      </c>
      <c r="W135" s="69">
        <v>0.0</v>
      </c>
      <c r="X135" s="69">
        <v>0.0</v>
      </c>
      <c r="Y135" s="69">
        <v>0.0</v>
      </c>
      <c r="Z135" s="69">
        <v>0.0</v>
      </c>
      <c r="AA135" s="13">
        <f t="shared" si="36"/>
        <v>0</v>
      </c>
      <c r="AB135" s="5"/>
      <c r="AC135" s="5"/>
    </row>
    <row r="136" ht="12.75" customHeight="1">
      <c r="A136" s="19" t="s">
        <v>15</v>
      </c>
      <c r="B136" s="47" t="s">
        <v>47</v>
      </c>
      <c r="C136" s="15"/>
      <c r="D136" s="16"/>
      <c r="E136" s="56">
        <f t="shared" ref="E136:Z136" si="37">SUM(E131:E135)</f>
        <v>1</v>
      </c>
      <c r="F136" s="56">
        <f t="shared" si="37"/>
        <v>0</v>
      </c>
      <c r="G136" s="56">
        <f t="shared" si="37"/>
        <v>0</v>
      </c>
      <c r="H136" s="56">
        <f t="shared" si="37"/>
        <v>0</v>
      </c>
      <c r="I136" s="56">
        <f t="shared" si="37"/>
        <v>1</v>
      </c>
      <c r="J136" s="56">
        <f t="shared" si="37"/>
        <v>0</v>
      </c>
      <c r="K136" s="56">
        <f t="shared" si="37"/>
        <v>3</v>
      </c>
      <c r="L136" s="56">
        <f t="shared" si="37"/>
        <v>1</v>
      </c>
      <c r="M136" s="56">
        <f t="shared" si="37"/>
        <v>3</v>
      </c>
      <c r="N136" s="56">
        <f t="shared" si="37"/>
        <v>6</v>
      </c>
      <c r="O136" s="56">
        <f t="shared" si="37"/>
        <v>0</v>
      </c>
      <c r="P136" s="56">
        <f t="shared" si="37"/>
        <v>2</v>
      </c>
      <c r="Q136" s="56">
        <f t="shared" si="37"/>
        <v>0</v>
      </c>
      <c r="R136" s="56">
        <f t="shared" si="37"/>
        <v>0</v>
      </c>
      <c r="S136" s="56">
        <f t="shared" si="37"/>
        <v>0</v>
      </c>
      <c r="T136" s="56">
        <f t="shared" si="37"/>
        <v>2</v>
      </c>
      <c r="U136" s="56">
        <f t="shared" si="37"/>
        <v>1</v>
      </c>
      <c r="V136" s="56">
        <f t="shared" si="37"/>
        <v>1</v>
      </c>
      <c r="W136" s="56">
        <f t="shared" si="37"/>
        <v>2</v>
      </c>
      <c r="X136" s="56">
        <f t="shared" si="37"/>
        <v>0</v>
      </c>
      <c r="Y136" s="56">
        <f t="shared" si="37"/>
        <v>2</v>
      </c>
      <c r="Z136" s="56">
        <f t="shared" si="37"/>
        <v>0</v>
      </c>
      <c r="AA136" s="13">
        <f t="shared" si="36"/>
        <v>25</v>
      </c>
      <c r="AB136" s="5"/>
      <c r="AC136" s="5"/>
    </row>
    <row r="137" ht="12.75" customHeight="1">
      <c r="A137" s="57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13"/>
      <c r="AB137" s="5"/>
      <c r="AC137" s="5"/>
    </row>
    <row r="138" ht="12.75" customHeight="1">
      <c r="A138" s="30" t="s">
        <v>37</v>
      </c>
      <c r="B138" s="47" t="s">
        <v>116</v>
      </c>
      <c r="C138" s="48" t="s">
        <v>117</v>
      </c>
      <c r="D138" s="16"/>
      <c r="E138" s="69">
        <v>0.0</v>
      </c>
      <c r="F138" s="69">
        <v>0.0</v>
      </c>
      <c r="G138" s="69">
        <v>0.0</v>
      </c>
      <c r="H138" s="69">
        <v>0.0</v>
      </c>
      <c r="I138" s="69">
        <v>0.0</v>
      </c>
      <c r="J138" s="69">
        <v>0.0</v>
      </c>
      <c r="K138" s="69">
        <v>0.0</v>
      </c>
      <c r="L138" s="69">
        <v>0.0</v>
      </c>
      <c r="M138" s="69">
        <v>0.0</v>
      </c>
      <c r="N138" s="69">
        <v>0.0</v>
      </c>
      <c r="O138" s="69">
        <v>0.0</v>
      </c>
      <c r="P138" s="69">
        <v>0.0</v>
      </c>
      <c r="Q138" s="69">
        <v>0.0</v>
      </c>
      <c r="R138" s="69">
        <v>0.0</v>
      </c>
      <c r="S138" s="69">
        <v>0.0</v>
      </c>
      <c r="T138" s="69">
        <v>0.0</v>
      </c>
      <c r="U138" s="69">
        <v>0.0</v>
      </c>
      <c r="V138" s="69">
        <v>0.0</v>
      </c>
      <c r="W138" s="69">
        <v>0.0</v>
      </c>
      <c r="X138" s="69">
        <v>0.0</v>
      </c>
      <c r="Y138" s="69">
        <v>0.0</v>
      </c>
      <c r="Z138" s="69">
        <v>0.0</v>
      </c>
      <c r="AA138" s="13">
        <f t="shared" ref="AA138:AA146" si="38">SUM(E138:Z138)</f>
        <v>0</v>
      </c>
      <c r="AB138" s="5"/>
      <c r="AC138" s="5"/>
    </row>
    <row r="139" ht="15.0" customHeight="1">
      <c r="A139" s="30" t="s">
        <v>39</v>
      </c>
      <c r="B139" s="49"/>
      <c r="C139" s="50" t="s">
        <v>118</v>
      </c>
      <c r="D139" s="51"/>
      <c r="E139" s="69">
        <v>0.0</v>
      </c>
      <c r="F139" s="69">
        <v>0.0</v>
      </c>
      <c r="G139" s="69">
        <v>0.0</v>
      </c>
      <c r="H139" s="69">
        <v>0.0</v>
      </c>
      <c r="I139" s="69">
        <v>0.0</v>
      </c>
      <c r="J139" s="69">
        <v>0.0</v>
      </c>
      <c r="K139" s="69">
        <v>0.0</v>
      </c>
      <c r="L139" s="69">
        <v>0.0</v>
      </c>
      <c r="M139" s="69">
        <v>0.0</v>
      </c>
      <c r="N139" s="69">
        <v>0.0</v>
      </c>
      <c r="O139" s="69">
        <v>0.0</v>
      </c>
      <c r="P139" s="69">
        <v>0.0</v>
      </c>
      <c r="Q139" s="69">
        <v>0.0</v>
      </c>
      <c r="R139" s="69">
        <v>0.0</v>
      </c>
      <c r="S139" s="69">
        <v>0.0</v>
      </c>
      <c r="T139" s="69">
        <v>0.0</v>
      </c>
      <c r="U139" s="69">
        <v>0.0</v>
      </c>
      <c r="V139" s="69">
        <v>0.0</v>
      </c>
      <c r="W139" s="69">
        <v>0.0</v>
      </c>
      <c r="X139" s="69">
        <v>0.0</v>
      </c>
      <c r="Y139" s="69">
        <v>0.0</v>
      </c>
      <c r="Z139" s="69">
        <v>0.0</v>
      </c>
      <c r="AA139" s="13">
        <f t="shared" si="38"/>
        <v>0</v>
      </c>
      <c r="AB139" s="5"/>
      <c r="AC139" s="5"/>
    </row>
    <row r="140" ht="12.75" customHeight="1">
      <c r="A140" s="18"/>
      <c r="B140" s="49"/>
      <c r="C140" s="50" t="s">
        <v>119</v>
      </c>
      <c r="D140" s="51"/>
      <c r="E140" s="69">
        <v>0.0</v>
      </c>
      <c r="F140" s="69">
        <v>0.0</v>
      </c>
      <c r="G140" s="69">
        <v>0.0</v>
      </c>
      <c r="H140" s="69">
        <v>0.0</v>
      </c>
      <c r="I140" s="69">
        <v>0.0</v>
      </c>
      <c r="J140" s="69">
        <v>0.0</v>
      </c>
      <c r="K140" s="69">
        <v>0.0</v>
      </c>
      <c r="L140" s="69">
        <v>1.0</v>
      </c>
      <c r="M140" s="69">
        <v>0.0</v>
      </c>
      <c r="N140" s="69">
        <v>1.0</v>
      </c>
      <c r="O140" s="69">
        <v>0.0</v>
      </c>
      <c r="P140" s="69">
        <v>0.0</v>
      </c>
      <c r="Q140" s="69">
        <v>0.0</v>
      </c>
      <c r="R140" s="69">
        <v>0.0</v>
      </c>
      <c r="S140" s="69">
        <v>0.0</v>
      </c>
      <c r="T140" s="69">
        <v>0.0</v>
      </c>
      <c r="U140" s="69">
        <v>0.0</v>
      </c>
      <c r="V140" s="69">
        <v>0.0</v>
      </c>
      <c r="W140" s="69">
        <v>0.0</v>
      </c>
      <c r="X140" s="69">
        <v>0.0</v>
      </c>
      <c r="Y140" s="69">
        <v>0.0</v>
      </c>
      <c r="Z140" s="69">
        <v>0.0</v>
      </c>
      <c r="AA140" s="13">
        <f t="shared" si="38"/>
        <v>2</v>
      </c>
      <c r="AB140" s="5"/>
      <c r="AC140" s="5"/>
    </row>
    <row r="141" ht="12.75" customHeight="1">
      <c r="A141" s="18"/>
      <c r="B141" s="49"/>
      <c r="C141" s="50" t="s">
        <v>120</v>
      </c>
      <c r="D141" s="51"/>
      <c r="E141" s="69">
        <v>0.0</v>
      </c>
      <c r="F141" s="69">
        <v>0.0</v>
      </c>
      <c r="G141" s="69">
        <v>0.0</v>
      </c>
      <c r="H141" s="69">
        <v>0.0</v>
      </c>
      <c r="I141" s="69">
        <v>0.0</v>
      </c>
      <c r="J141" s="69">
        <v>0.0</v>
      </c>
      <c r="K141" s="69">
        <v>0.0</v>
      </c>
      <c r="L141" s="69">
        <v>0.0</v>
      </c>
      <c r="M141" s="69">
        <v>0.0</v>
      </c>
      <c r="N141" s="69">
        <v>0.0</v>
      </c>
      <c r="O141" s="69">
        <v>0.0</v>
      </c>
      <c r="P141" s="69">
        <v>0.0</v>
      </c>
      <c r="Q141" s="69">
        <v>0.0</v>
      </c>
      <c r="R141" s="69">
        <v>0.0</v>
      </c>
      <c r="S141" s="69">
        <v>0.0</v>
      </c>
      <c r="T141" s="69">
        <v>0.0</v>
      </c>
      <c r="U141" s="69">
        <v>0.0</v>
      </c>
      <c r="V141" s="69">
        <v>0.0</v>
      </c>
      <c r="W141" s="69">
        <v>0.0</v>
      </c>
      <c r="X141" s="69">
        <v>0.0</v>
      </c>
      <c r="Y141" s="69">
        <v>0.0</v>
      </c>
      <c r="Z141" s="69">
        <v>0.0</v>
      </c>
      <c r="AA141" s="13">
        <f t="shared" si="38"/>
        <v>0</v>
      </c>
      <c r="AB141" s="1"/>
      <c r="AC141" s="1"/>
    </row>
    <row r="142" ht="12.75" customHeight="1">
      <c r="A142" s="18"/>
      <c r="B142" s="49"/>
      <c r="C142" s="50" t="s">
        <v>121</v>
      </c>
      <c r="D142" s="51"/>
      <c r="E142" s="69">
        <v>0.0</v>
      </c>
      <c r="F142" s="69">
        <v>0.0</v>
      </c>
      <c r="G142" s="69">
        <v>0.0</v>
      </c>
      <c r="H142" s="69">
        <v>0.0</v>
      </c>
      <c r="I142" s="69">
        <v>0.0</v>
      </c>
      <c r="J142" s="69">
        <v>0.0</v>
      </c>
      <c r="K142" s="69">
        <v>0.0</v>
      </c>
      <c r="L142" s="69">
        <v>0.0</v>
      </c>
      <c r="M142" s="69">
        <v>0.0</v>
      </c>
      <c r="N142" s="69">
        <v>0.0</v>
      </c>
      <c r="O142" s="69">
        <v>0.0</v>
      </c>
      <c r="P142" s="69">
        <v>0.0</v>
      </c>
      <c r="Q142" s="69">
        <v>0.0</v>
      </c>
      <c r="R142" s="69">
        <v>0.0</v>
      </c>
      <c r="S142" s="69">
        <v>0.0</v>
      </c>
      <c r="T142" s="69">
        <v>0.0</v>
      </c>
      <c r="U142" s="69">
        <v>0.0</v>
      </c>
      <c r="V142" s="69">
        <v>0.0</v>
      </c>
      <c r="W142" s="69">
        <v>0.0</v>
      </c>
      <c r="X142" s="69">
        <v>0.0</v>
      </c>
      <c r="Y142" s="69">
        <v>0.0</v>
      </c>
      <c r="Z142" s="69">
        <v>0.0</v>
      </c>
      <c r="AA142" s="13">
        <f t="shared" si="38"/>
        <v>0</v>
      </c>
      <c r="AB142" s="53"/>
      <c r="AC142" s="53"/>
    </row>
    <row r="143" ht="12.75" customHeight="1">
      <c r="A143" s="18"/>
      <c r="B143" s="49"/>
      <c r="C143" s="50" t="s">
        <v>122</v>
      </c>
      <c r="D143" s="51"/>
      <c r="E143" s="69">
        <v>0.0</v>
      </c>
      <c r="F143" s="69">
        <v>0.0</v>
      </c>
      <c r="G143" s="69">
        <v>0.0</v>
      </c>
      <c r="H143" s="69">
        <v>0.0</v>
      </c>
      <c r="I143" s="69">
        <v>0.0</v>
      </c>
      <c r="J143" s="69">
        <v>0.0</v>
      </c>
      <c r="K143" s="69">
        <v>0.0</v>
      </c>
      <c r="L143" s="69">
        <v>0.0</v>
      </c>
      <c r="M143" s="69">
        <v>0.0</v>
      </c>
      <c r="N143" s="69">
        <v>0.0</v>
      </c>
      <c r="O143" s="69">
        <v>0.0</v>
      </c>
      <c r="P143" s="69">
        <v>0.0</v>
      </c>
      <c r="Q143" s="69">
        <v>0.0</v>
      </c>
      <c r="R143" s="69">
        <v>0.0</v>
      </c>
      <c r="S143" s="69">
        <v>0.0</v>
      </c>
      <c r="T143" s="69">
        <v>0.0</v>
      </c>
      <c r="U143" s="69">
        <v>0.0</v>
      </c>
      <c r="V143" s="69">
        <v>0.0</v>
      </c>
      <c r="W143" s="69">
        <v>0.0</v>
      </c>
      <c r="X143" s="69">
        <v>0.0</v>
      </c>
      <c r="Y143" s="69">
        <v>0.0</v>
      </c>
      <c r="Z143" s="69">
        <v>0.0</v>
      </c>
      <c r="AA143" s="13">
        <f t="shared" si="38"/>
        <v>0</v>
      </c>
      <c r="AB143" s="5"/>
      <c r="AC143" s="5"/>
    </row>
    <row r="144" ht="12.75" customHeight="1">
      <c r="A144" s="18"/>
      <c r="B144" s="49"/>
      <c r="C144" s="50" t="s">
        <v>123</v>
      </c>
      <c r="D144" s="51"/>
      <c r="E144" s="69">
        <v>0.0</v>
      </c>
      <c r="F144" s="69">
        <v>0.0</v>
      </c>
      <c r="G144" s="69">
        <v>0.0</v>
      </c>
      <c r="H144" s="69">
        <v>0.0</v>
      </c>
      <c r="I144" s="69">
        <v>0.0</v>
      </c>
      <c r="J144" s="69">
        <v>0.0</v>
      </c>
      <c r="K144" s="69">
        <v>0.0</v>
      </c>
      <c r="L144" s="69">
        <v>0.0</v>
      </c>
      <c r="M144" s="69">
        <v>0.0</v>
      </c>
      <c r="N144" s="69">
        <v>0.0</v>
      </c>
      <c r="O144" s="69">
        <v>0.0</v>
      </c>
      <c r="P144" s="69">
        <v>0.0</v>
      </c>
      <c r="Q144" s="69">
        <v>0.0</v>
      </c>
      <c r="R144" s="69">
        <v>0.0</v>
      </c>
      <c r="S144" s="69">
        <v>0.0</v>
      </c>
      <c r="T144" s="69">
        <v>0.0</v>
      </c>
      <c r="U144" s="69">
        <v>0.0</v>
      </c>
      <c r="V144" s="69">
        <v>0.0</v>
      </c>
      <c r="W144" s="69">
        <v>0.0</v>
      </c>
      <c r="X144" s="69">
        <v>0.0</v>
      </c>
      <c r="Y144" s="69">
        <v>0.0</v>
      </c>
      <c r="Z144" s="69">
        <v>0.0</v>
      </c>
      <c r="AA144" s="13">
        <f t="shared" si="38"/>
        <v>0</v>
      </c>
      <c r="AB144" s="5"/>
      <c r="AC144" s="5"/>
    </row>
    <row r="145" ht="12.75" customHeight="1">
      <c r="A145" s="18"/>
      <c r="B145" s="49"/>
      <c r="C145" s="50" t="s">
        <v>124</v>
      </c>
      <c r="D145" s="51"/>
      <c r="E145" s="69">
        <v>0.0</v>
      </c>
      <c r="F145" s="69">
        <v>0.0</v>
      </c>
      <c r="G145" s="69">
        <v>0.0</v>
      </c>
      <c r="H145" s="69">
        <v>0.0</v>
      </c>
      <c r="I145" s="69">
        <v>0.0</v>
      </c>
      <c r="J145" s="69">
        <v>0.0</v>
      </c>
      <c r="K145" s="69">
        <v>0.0</v>
      </c>
      <c r="L145" s="69">
        <v>0.0</v>
      </c>
      <c r="M145" s="69">
        <v>0.0</v>
      </c>
      <c r="N145" s="69">
        <v>0.0</v>
      </c>
      <c r="O145" s="69">
        <v>0.0</v>
      </c>
      <c r="P145" s="69">
        <v>0.0</v>
      </c>
      <c r="Q145" s="69">
        <v>0.0</v>
      </c>
      <c r="R145" s="69">
        <v>0.0</v>
      </c>
      <c r="S145" s="69">
        <v>0.0</v>
      </c>
      <c r="T145" s="69">
        <v>0.0</v>
      </c>
      <c r="U145" s="69">
        <v>0.0</v>
      </c>
      <c r="V145" s="69">
        <v>0.0</v>
      </c>
      <c r="W145" s="69">
        <v>0.0</v>
      </c>
      <c r="X145" s="69">
        <v>0.0</v>
      </c>
      <c r="Y145" s="69">
        <v>0.0</v>
      </c>
      <c r="Z145" s="69">
        <v>0.0</v>
      </c>
      <c r="AA145" s="13">
        <f t="shared" si="38"/>
        <v>0</v>
      </c>
      <c r="AB145" s="5"/>
      <c r="AC145" s="5"/>
    </row>
    <row r="146" ht="12.75" customHeight="1">
      <c r="A146" s="19" t="s">
        <v>15</v>
      </c>
      <c r="B146" s="47" t="s">
        <v>47</v>
      </c>
      <c r="C146" s="15"/>
      <c r="D146" s="16"/>
      <c r="E146" s="56">
        <f t="shared" ref="E146:Z146" si="39">SUM(E138:E145)</f>
        <v>0</v>
      </c>
      <c r="F146" s="56">
        <f t="shared" si="39"/>
        <v>0</v>
      </c>
      <c r="G146" s="56">
        <f t="shared" si="39"/>
        <v>0</v>
      </c>
      <c r="H146" s="56">
        <f t="shared" si="39"/>
        <v>0</v>
      </c>
      <c r="I146" s="56">
        <f t="shared" si="39"/>
        <v>0</v>
      </c>
      <c r="J146" s="56">
        <f t="shared" si="39"/>
        <v>0</v>
      </c>
      <c r="K146" s="56">
        <f t="shared" si="39"/>
        <v>0</v>
      </c>
      <c r="L146" s="56">
        <f t="shared" si="39"/>
        <v>1</v>
      </c>
      <c r="M146" s="56">
        <f t="shared" si="39"/>
        <v>0</v>
      </c>
      <c r="N146" s="56">
        <f t="shared" si="39"/>
        <v>1</v>
      </c>
      <c r="O146" s="56">
        <f t="shared" si="39"/>
        <v>0</v>
      </c>
      <c r="P146" s="56">
        <f t="shared" si="39"/>
        <v>0</v>
      </c>
      <c r="Q146" s="56">
        <f t="shared" si="39"/>
        <v>0</v>
      </c>
      <c r="R146" s="56">
        <f t="shared" si="39"/>
        <v>0</v>
      </c>
      <c r="S146" s="56">
        <f t="shared" si="39"/>
        <v>0</v>
      </c>
      <c r="T146" s="56">
        <f t="shared" si="39"/>
        <v>0</v>
      </c>
      <c r="U146" s="56">
        <f t="shared" si="39"/>
        <v>0</v>
      </c>
      <c r="V146" s="56">
        <f t="shared" si="39"/>
        <v>0</v>
      </c>
      <c r="W146" s="56">
        <f t="shared" si="39"/>
        <v>0</v>
      </c>
      <c r="X146" s="56">
        <f t="shared" si="39"/>
        <v>0</v>
      </c>
      <c r="Y146" s="56">
        <f t="shared" si="39"/>
        <v>0</v>
      </c>
      <c r="Z146" s="56">
        <f t="shared" si="39"/>
        <v>0</v>
      </c>
      <c r="AA146" s="13">
        <f t="shared" si="38"/>
        <v>2</v>
      </c>
      <c r="AB146" s="5"/>
      <c r="AC146" s="5"/>
    </row>
    <row r="147" ht="12.75" customHeight="1">
      <c r="A147" s="57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13"/>
      <c r="AB147" s="5"/>
      <c r="AC147" s="5"/>
    </row>
    <row r="148" ht="12.75" customHeight="1">
      <c r="A148" s="30" t="s">
        <v>37</v>
      </c>
      <c r="B148" s="47" t="s">
        <v>125</v>
      </c>
      <c r="C148" s="48" t="s">
        <v>126</v>
      </c>
      <c r="D148" s="16"/>
      <c r="E148" s="69">
        <v>1.0</v>
      </c>
      <c r="F148" s="69">
        <v>0.0</v>
      </c>
      <c r="G148" s="69">
        <v>1.0</v>
      </c>
      <c r="H148" s="69">
        <v>0.0</v>
      </c>
      <c r="I148" s="69">
        <v>2.0</v>
      </c>
      <c r="J148" s="69">
        <v>0.0</v>
      </c>
      <c r="K148" s="69">
        <v>3.0</v>
      </c>
      <c r="L148" s="69">
        <v>4.0</v>
      </c>
      <c r="M148" s="69">
        <v>0.0</v>
      </c>
      <c r="N148" s="69">
        <v>0.0</v>
      </c>
      <c r="O148" s="69">
        <v>4.0</v>
      </c>
      <c r="P148" s="69">
        <v>2.0</v>
      </c>
      <c r="Q148" s="69">
        <v>1.0</v>
      </c>
      <c r="R148" s="69">
        <v>4.0</v>
      </c>
      <c r="S148" s="69">
        <v>0.0</v>
      </c>
      <c r="T148" s="69">
        <v>3.0</v>
      </c>
      <c r="U148" s="69">
        <v>4.0</v>
      </c>
      <c r="V148" s="69">
        <v>2.0</v>
      </c>
      <c r="W148" s="69">
        <v>0.0</v>
      </c>
      <c r="X148" s="69">
        <v>0.0</v>
      </c>
      <c r="Y148" s="69">
        <v>2.0</v>
      </c>
      <c r="Z148" s="69">
        <v>2.0</v>
      </c>
      <c r="AA148" s="13">
        <f t="shared" ref="AA148:AA156" si="40">SUM(E148:Z148)</f>
        <v>35</v>
      </c>
      <c r="AB148" s="5"/>
      <c r="AC148" s="5"/>
    </row>
    <row r="149" ht="12.75" customHeight="1">
      <c r="A149" s="30" t="s">
        <v>39</v>
      </c>
      <c r="B149" s="49"/>
      <c r="C149" s="50" t="s">
        <v>127</v>
      </c>
      <c r="D149" s="51"/>
      <c r="E149" s="69">
        <v>0.0</v>
      </c>
      <c r="F149" s="69">
        <v>0.0</v>
      </c>
      <c r="G149" s="69">
        <v>0.0</v>
      </c>
      <c r="H149" s="69">
        <v>0.0</v>
      </c>
      <c r="I149" s="69">
        <v>0.0</v>
      </c>
      <c r="J149" s="69">
        <v>0.0</v>
      </c>
      <c r="K149" s="69">
        <v>0.0</v>
      </c>
      <c r="L149" s="69">
        <v>0.0</v>
      </c>
      <c r="M149" s="69">
        <v>1.0</v>
      </c>
      <c r="N149" s="69">
        <v>0.0</v>
      </c>
      <c r="O149" s="69">
        <v>0.0</v>
      </c>
      <c r="P149" s="69">
        <v>0.0</v>
      </c>
      <c r="Q149" s="69">
        <v>1.0</v>
      </c>
      <c r="R149" s="69">
        <v>0.0</v>
      </c>
      <c r="S149" s="69">
        <v>0.0</v>
      </c>
      <c r="T149" s="69">
        <v>2.0</v>
      </c>
      <c r="U149" s="69">
        <v>0.0</v>
      </c>
      <c r="V149" s="69">
        <v>0.0</v>
      </c>
      <c r="W149" s="69">
        <v>2.0</v>
      </c>
      <c r="X149" s="69">
        <v>0.0</v>
      </c>
      <c r="Y149" s="69">
        <v>0.0</v>
      </c>
      <c r="Z149" s="69">
        <v>0.0</v>
      </c>
      <c r="AA149" s="13">
        <f t="shared" si="40"/>
        <v>6</v>
      </c>
      <c r="AB149" s="5"/>
      <c r="AC149" s="5"/>
    </row>
    <row r="150" ht="12.75" customHeight="1">
      <c r="A150" s="18"/>
      <c r="B150" s="49"/>
      <c r="C150" s="50" t="s">
        <v>128</v>
      </c>
      <c r="D150" s="51"/>
      <c r="E150" s="69">
        <v>0.0</v>
      </c>
      <c r="F150" s="69">
        <v>0.0</v>
      </c>
      <c r="G150" s="69">
        <v>0.0</v>
      </c>
      <c r="H150" s="69">
        <v>0.0</v>
      </c>
      <c r="I150" s="69">
        <v>0.0</v>
      </c>
      <c r="J150" s="69">
        <v>0.0</v>
      </c>
      <c r="K150" s="69">
        <v>0.0</v>
      </c>
      <c r="L150" s="69">
        <v>0.0</v>
      </c>
      <c r="M150" s="69">
        <v>0.0</v>
      </c>
      <c r="N150" s="69">
        <v>0.0</v>
      </c>
      <c r="O150" s="69">
        <v>0.0</v>
      </c>
      <c r="P150" s="69">
        <v>1.0</v>
      </c>
      <c r="Q150" s="69">
        <v>0.0</v>
      </c>
      <c r="R150" s="69">
        <v>0.0</v>
      </c>
      <c r="S150" s="69">
        <v>0.0</v>
      </c>
      <c r="T150" s="69">
        <v>0.0</v>
      </c>
      <c r="U150" s="69">
        <v>0.0</v>
      </c>
      <c r="V150" s="69">
        <v>0.0</v>
      </c>
      <c r="W150" s="69">
        <v>0.0</v>
      </c>
      <c r="X150" s="69">
        <v>0.0</v>
      </c>
      <c r="Y150" s="69">
        <v>0.0</v>
      </c>
      <c r="Z150" s="69">
        <v>0.0</v>
      </c>
      <c r="AA150" s="13">
        <f t="shared" si="40"/>
        <v>1</v>
      </c>
      <c r="AB150" s="5"/>
      <c r="AC150" s="5"/>
    </row>
    <row r="151" ht="12.75" customHeight="1">
      <c r="A151" s="18"/>
      <c r="B151" s="49"/>
      <c r="C151" s="50" t="s">
        <v>129</v>
      </c>
      <c r="D151" s="51"/>
      <c r="E151" s="69">
        <v>1.0</v>
      </c>
      <c r="F151" s="69">
        <v>0.0</v>
      </c>
      <c r="G151" s="69">
        <v>0.0</v>
      </c>
      <c r="H151" s="69">
        <v>0.0</v>
      </c>
      <c r="I151" s="69">
        <v>2.0</v>
      </c>
      <c r="J151" s="69">
        <v>1.0</v>
      </c>
      <c r="K151" s="69">
        <v>0.0</v>
      </c>
      <c r="L151" s="69">
        <v>0.0</v>
      </c>
      <c r="M151" s="69">
        <v>0.0</v>
      </c>
      <c r="N151" s="69">
        <v>0.0</v>
      </c>
      <c r="O151" s="69">
        <v>2.0</v>
      </c>
      <c r="P151" s="69">
        <v>1.0</v>
      </c>
      <c r="Q151" s="69">
        <v>0.0</v>
      </c>
      <c r="R151" s="69">
        <v>0.0</v>
      </c>
      <c r="S151" s="69">
        <v>1.0</v>
      </c>
      <c r="T151" s="69">
        <v>1.0</v>
      </c>
      <c r="U151" s="69">
        <v>0.0</v>
      </c>
      <c r="V151" s="69">
        <v>1.0</v>
      </c>
      <c r="W151" s="69">
        <v>2.0</v>
      </c>
      <c r="X151" s="69">
        <v>0.0</v>
      </c>
      <c r="Y151" s="69">
        <v>0.0</v>
      </c>
      <c r="Z151" s="69">
        <v>0.0</v>
      </c>
      <c r="AA151" s="13">
        <f t="shared" si="40"/>
        <v>12</v>
      </c>
      <c r="AB151" s="1"/>
      <c r="AC151" s="1"/>
    </row>
    <row r="152" ht="12.75" customHeight="1">
      <c r="A152" s="18"/>
      <c r="B152" s="49"/>
      <c r="C152" s="50" t="s">
        <v>130</v>
      </c>
      <c r="D152" s="51"/>
      <c r="E152" s="69">
        <v>0.0</v>
      </c>
      <c r="F152" s="69">
        <v>1.0</v>
      </c>
      <c r="G152" s="69">
        <v>4.0</v>
      </c>
      <c r="H152" s="69">
        <v>0.0</v>
      </c>
      <c r="I152" s="69">
        <v>1.0</v>
      </c>
      <c r="J152" s="69">
        <v>0.0</v>
      </c>
      <c r="K152" s="69">
        <v>1.0</v>
      </c>
      <c r="L152" s="69">
        <v>1.0</v>
      </c>
      <c r="M152" s="69">
        <v>0.0</v>
      </c>
      <c r="N152" s="69">
        <v>0.0</v>
      </c>
      <c r="O152" s="69">
        <v>0.0</v>
      </c>
      <c r="P152" s="69">
        <v>0.0</v>
      </c>
      <c r="Q152" s="69">
        <v>2.0</v>
      </c>
      <c r="R152" s="69">
        <v>0.0</v>
      </c>
      <c r="S152" s="69">
        <v>0.0</v>
      </c>
      <c r="T152" s="69">
        <v>2.0</v>
      </c>
      <c r="U152" s="69">
        <v>0.0</v>
      </c>
      <c r="V152" s="69">
        <v>0.0</v>
      </c>
      <c r="W152" s="69">
        <v>6.0</v>
      </c>
      <c r="X152" s="69">
        <v>0.0</v>
      </c>
      <c r="Y152" s="69">
        <v>0.0</v>
      </c>
      <c r="Z152" s="69">
        <v>0.0</v>
      </c>
      <c r="AA152" s="13">
        <f t="shared" si="40"/>
        <v>18</v>
      </c>
      <c r="AB152" s="53"/>
      <c r="AC152" s="53"/>
    </row>
    <row r="153" ht="12.75" customHeight="1">
      <c r="A153" s="18"/>
      <c r="B153" s="49"/>
      <c r="C153" s="50" t="s">
        <v>131</v>
      </c>
      <c r="D153" s="51"/>
      <c r="E153" s="69">
        <v>0.0</v>
      </c>
      <c r="F153" s="69">
        <v>0.0</v>
      </c>
      <c r="G153" s="69">
        <v>0.0</v>
      </c>
      <c r="H153" s="69">
        <v>1.0</v>
      </c>
      <c r="I153" s="69">
        <v>0.0</v>
      </c>
      <c r="J153" s="69">
        <v>1.0</v>
      </c>
      <c r="K153" s="69">
        <v>0.0</v>
      </c>
      <c r="L153" s="69">
        <v>0.0</v>
      </c>
      <c r="M153" s="69">
        <v>0.0</v>
      </c>
      <c r="N153" s="69">
        <v>0.0</v>
      </c>
      <c r="O153" s="69">
        <v>2.0</v>
      </c>
      <c r="P153" s="69">
        <v>0.0</v>
      </c>
      <c r="Q153" s="69">
        <v>0.0</v>
      </c>
      <c r="R153" s="69">
        <v>0.0</v>
      </c>
      <c r="S153" s="69">
        <v>0.0</v>
      </c>
      <c r="T153" s="69">
        <v>0.0</v>
      </c>
      <c r="U153" s="69">
        <v>0.0</v>
      </c>
      <c r="V153" s="69">
        <v>0.0</v>
      </c>
      <c r="W153" s="69">
        <v>0.0</v>
      </c>
      <c r="X153" s="69">
        <v>0.0</v>
      </c>
      <c r="Y153" s="69">
        <v>0.0</v>
      </c>
      <c r="Z153" s="69">
        <v>0.0</v>
      </c>
      <c r="AA153" s="13">
        <f t="shared" si="40"/>
        <v>4</v>
      </c>
      <c r="AB153" s="5"/>
      <c r="AC153" s="5"/>
    </row>
    <row r="154" ht="12.75" customHeight="1">
      <c r="A154" s="18"/>
      <c r="B154" s="49"/>
      <c r="C154" s="50" t="s">
        <v>132</v>
      </c>
      <c r="D154" s="51"/>
      <c r="E154" s="69">
        <v>0.0</v>
      </c>
      <c r="F154" s="69">
        <v>0.0</v>
      </c>
      <c r="G154" s="69">
        <v>0.0</v>
      </c>
      <c r="H154" s="69">
        <v>0.0</v>
      </c>
      <c r="I154" s="69">
        <v>0.0</v>
      </c>
      <c r="J154" s="69">
        <v>0.0</v>
      </c>
      <c r="K154" s="69">
        <v>0.0</v>
      </c>
      <c r="L154" s="69">
        <v>0.0</v>
      </c>
      <c r="M154" s="69">
        <v>0.0</v>
      </c>
      <c r="N154" s="69">
        <v>0.0</v>
      </c>
      <c r="O154" s="69">
        <v>0.0</v>
      </c>
      <c r="P154" s="69">
        <v>2.0</v>
      </c>
      <c r="Q154" s="69">
        <v>0.0</v>
      </c>
      <c r="R154" s="69">
        <v>0.0</v>
      </c>
      <c r="S154" s="69">
        <v>0.0</v>
      </c>
      <c r="T154" s="69">
        <v>0.0</v>
      </c>
      <c r="U154" s="69">
        <v>0.0</v>
      </c>
      <c r="V154" s="69">
        <v>0.0</v>
      </c>
      <c r="W154" s="69">
        <v>0.0</v>
      </c>
      <c r="X154" s="69">
        <v>0.0</v>
      </c>
      <c r="Y154" s="69">
        <v>1.0</v>
      </c>
      <c r="Z154" s="69">
        <v>1.0</v>
      </c>
      <c r="AA154" s="13">
        <f t="shared" si="40"/>
        <v>4</v>
      </c>
      <c r="AB154" s="5"/>
      <c r="AC154" s="5"/>
    </row>
    <row r="155" ht="12.75" customHeight="1">
      <c r="A155" s="18"/>
      <c r="B155" s="49"/>
      <c r="C155" s="50" t="s">
        <v>133</v>
      </c>
      <c r="D155" s="51"/>
      <c r="E155" s="69">
        <v>0.0</v>
      </c>
      <c r="F155" s="69">
        <v>2.0</v>
      </c>
      <c r="G155" s="69">
        <v>4.0</v>
      </c>
      <c r="H155" s="69">
        <v>2.0</v>
      </c>
      <c r="I155" s="69">
        <v>1.0</v>
      </c>
      <c r="J155" s="69">
        <v>0.0</v>
      </c>
      <c r="K155" s="69">
        <v>8.0</v>
      </c>
      <c r="L155" s="69">
        <v>5.0</v>
      </c>
      <c r="M155" s="69">
        <v>8.0</v>
      </c>
      <c r="N155" s="69">
        <v>2.0</v>
      </c>
      <c r="O155" s="69">
        <v>31.0</v>
      </c>
      <c r="P155" s="69">
        <v>15.0</v>
      </c>
      <c r="Q155" s="69">
        <v>20.0</v>
      </c>
      <c r="R155" s="69">
        <v>90.0</v>
      </c>
      <c r="S155" s="69">
        <v>37.0</v>
      </c>
      <c r="T155" s="69">
        <v>4.0</v>
      </c>
      <c r="U155" s="69">
        <v>3.0</v>
      </c>
      <c r="V155" s="69">
        <v>2.0</v>
      </c>
      <c r="W155" s="69">
        <v>3.0</v>
      </c>
      <c r="X155" s="69">
        <v>0.0</v>
      </c>
      <c r="Y155" s="69">
        <v>1.0</v>
      </c>
      <c r="Z155" s="69">
        <v>11.0</v>
      </c>
      <c r="AA155" s="13">
        <f t="shared" si="40"/>
        <v>249</v>
      </c>
      <c r="AB155" s="5"/>
      <c r="AC155" s="5"/>
    </row>
    <row r="156" ht="12.75" customHeight="1">
      <c r="A156" s="19" t="s">
        <v>15</v>
      </c>
      <c r="B156" s="47" t="s">
        <v>47</v>
      </c>
      <c r="C156" s="15"/>
      <c r="D156" s="16"/>
      <c r="E156" s="56">
        <f t="shared" ref="E156:Z156" si="41">SUM(E148:E155)</f>
        <v>2</v>
      </c>
      <c r="F156" s="56">
        <f t="shared" si="41"/>
        <v>3</v>
      </c>
      <c r="G156" s="56">
        <f t="shared" si="41"/>
        <v>9</v>
      </c>
      <c r="H156" s="56">
        <f t="shared" si="41"/>
        <v>3</v>
      </c>
      <c r="I156" s="56">
        <f t="shared" si="41"/>
        <v>6</v>
      </c>
      <c r="J156" s="56">
        <f t="shared" si="41"/>
        <v>2</v>
      </c>
      <c r="K156" s="56">
        <f t="shared" si="41"/>
        <v>12</v>
      </c>
      <c r="L156" s="56">
        <f t="shared" si="41"/>
        <v>10</v>
      </c>
      <c r="M156" s="56">
        <f t="shared" si="41"/>
        <v>9</v>
      </c>
      <c r="N156" s="56">
        <f t="shared" si="41"/>
        <v>2</v>
      </c>
      <c r="O156" s="56">
        <f t="shared" si="41"/>
        <v>39</v>
      </c>
      <c r="P156" s="56">
        <f t="shared" si="41"/>
        <v>21</v>
      </c>
      <c r="Q156" s="56">
        <f t="shared" si="41"/>
        <v>24</v>
      </c>
      <c r="R156" s="56">
        <f t="shared" si="41"/>
        <v>94</v>
      </c>
      <c r="S156" s="56">
        <f t="shared" si="41"/>
        <v>38</v>
      </c>
      <c r="T156" s="56">
        <f t="shared" si="41"/>
        <v>12</v>
      </c>
      <c r="U156" s="56">
        <f t="shared" si="41"/>
        <v>7</v>
      </c>
      <c r="V156" s="56">
        <f t="shared" si="41"/>
        <v>5</v>
      </c>
      <c r="W156" s="56">
        <f t="shared" si="41"/>
        <v>13</v>
      </c>
      <c r="X156" s="56">
        <f t="shared" si="41"/>
        <v>0</v>
      </c>
      <c r="Y156" s="56">
        <f t="shared" si="41"/>
        <v>4</v>
      </c>
      <c r="Z156" s="56">
        <f t="shared" si="41"/>
        <v>14</v>
      </c>
      <c r="AA156" s="13">
        <f t="shared" si="40"/>
        <v>329</v>
      </c>
      <c r="AB156" s="5"/>
      <c r="AC156" s="5"/>
    </row>
    <row r="157" ht="12.75" customHeight="1">
      <c r="A157" s="57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13"/>
      <c r="AB157" s="5"/>
      <c r="AC157" s="5"/>
    </row>
    <row r="158" ht="12.75" customHeight="1">
      <c r="A158" s="30" t="s">
        <v>37</v>
      </c>
      <c r="B158" s="47" t="s">
        <v>134</v>
      </c>
      <c r="C158" s="48" t="s">
        <v>135</v>
      </c>
      <c r="D158" s="16"/>
      <c r="E158" s="69">
        <v>2.0</v>
      </c>
      <c r="F158" s="69">
        <v>4.0</v>
      </c>
      <c r="G158" s="69">
        <v>1.0</v>
      </c>
      <c r="H158" s="69">
        <v>0.0</v>
      </c>
      <c r="I158" s="69">
        <v>0.0</v>
      </c>
      <c r="J158" s="69">
        <v>1.0</v>
      </c>
      <c r="K158" s="69">
        <v>1.0</v>
      </c>
      <c r="L158" s="69">
        <v>0.0</v>
      </c>
      <c r="M158" s="69">
        <v>1.0</v>
      </c>
      <c r="N158" s="69">
        <v>0.0</v>
      </c>
      <c r="O158" s="69">
        <v>1.0</v>
      </c>
      <c r="P158" s="69">
        <v>0.0</v>
      </c>
      <c r="Q158" s="69">
        <v>0.0</v>
      </c>
      <c r="R158" s="69">
        <v>1.0</v>
      </c>
      <c r="S158" s="69">
        <v>0.0</v>
      </c>
      <c r="T158" s="69">
        <v>2.0</v>
      </c>
      <c r="U158" s="69">
        <v>2.0</v>
      </c>
      <c r="V158" s="69">
        <v>0.0</v>
      </c>
      <c r="W158" s="69">
        <v>2.0</v>
      </c>
      <c r="X158" s="69">
        <v>1.0</v>
      </c>
      <c r="Y158" s="69">
        <v>0.0</v>
      </c>
      <c r="Z158" s="69">
        <v>4.0</v>
      </c>
      <c r="AA158" s="13">
        <f t="shared" ref="AA158:AA161" si="42">SUM(E158:Z158)</f>
        <v>23</v>
      </c>
      <c r="AB158" s="5"/>
      <c r="AC158" s="5"/>
    </row>
    <row r="159" ht="12.75" customHeight="1">
      <c r="A159" s="30" t="s">
        <v>39</v>
      </c>
      <c r="B159" s="49"/>
      <c r="C159" s="50" t="s">
        <v>136</v>
      </c>
      <c r="D159" s="51"/>
      <c r="E159" s="69">
        <v>0.0</v>
      </c>
      <c r="F159" s="69">
        <v>1.0</v>
      </c>
      <c r="G159" s="69">
        <v>0.0</v>
      </c>
      <c r="H159" s="69">
        <v>0.0</v>
      </c>
      <c r="I159" s="69">
        <v>0.0</v>
      </c>
      <c r="J159" s="69">
        <v>1.0</v>
      </c>
      <c r="K159" s="69">
        <v>1.0</v>
      </c>
      <c r="L159" s="69">
        <v>2.0</v>
      </c>
      <c r="M159" s="69">
        <v>1.0</v>
      </c>
      <c r="N159" s="69">
        <v>0.0</v>
      </c>
      <c r="O159" s="69">
        <v>0.0</v>
      </c>
      <c r="P159" s="69">
        <v>1.0</v>
      </c>
      <c r="Q159" s="69">
        <v>0.0</v>
      </c>
      <c r="R159" s="69">
        <v>1.0</v>
      </c>
      <c r="S159" s="69">
        <v>0.0</v>
      </c>
      <c r="T159" s="69">
        <v>0.0</v>
      </c>
      <c r="U159" s="69">
        <v>1.0</v>
      </c>
      <c r="V159" s="69">
        <v>1.0</v>
      </c>
      <c r="W159" s="69">
        <v>1.0</v>
      </c>
      <c r="X159" s="69">
        <v>0.0</v>
      </c>
      <c r="Y159" s="69">
        <v>2.0</v>
      </c>
      <c r="Z159" s="69">
        <v>0.0</v>
      </c>
      <c r="AA159" s="13">
        <f t="shared" si="42"/>
        <v>13</v>
      </c>
      <c r="AB159" s="5"/>
      <c r="AC159" s="5"/>
    </row>
    <row r="160" ht="12.75" customHeight="1">
      <c r="A160" s="30"/>
      <c r="B160" s="49"/>
      <c r="C160" s="50" t="s">
        <v>137</v>
      </c>
      <c r="D160" s="51"/>
      <c r="E160" s="69">
        <v>0.0</v>
      </c>
      <c r="F160" s="69">
        <v>1.0</v>
      </c>
      <c r="G160" s="69">
        <v>0.0</v>
      </c>
      <c r="H160" s="69">
        <v>0.0</v>
      </c>
      <c r="I160" s="69">
        <v>0.0</v>
      </c>
      <c r="J160" s="69">
        <v>0.0</v>
      </c>
      <c r="K160" s="69">
        <v>0.0</v>
      </c>
      <c r="L160" s="69">
        <v>0.0</v>
      </c>
      <c r="M160" s="69">
        <v>0.0</v>
      </c>
      <c r="N160" s="69">
        <v>0.0</v>
      </c>
      <c r="O160" s="69">
        <v>0.0</v>
      </c>
      <c r="P160" s="69">
        <v>1.0</v>
      </c>
      <c r="Q160" s="69">
        <v>0.0</v>
      </c>
      <c r="R160" s="69">
        <v>0.0</v>
      </c>
      <c r="S160" s="69">
        <v>0.0</v>
      </c>
      <c r="T160" s="69">
        <v>0.0</v>
      </c>
      <c r="U160" s="69">
        <v>0.0</v>
      </c>
      <c r="V160" s="69">
        <v>0.0</v>
      </c>
      <c r="W160" s="69">
        <v>0.0</v>
      </c>
      <c r="X160" s="69">
        <v>0.0</v>
      </c>
      <c r="Y160" s="69">
        <v>0.0</v>
      </c>
      <c r="Z160" s="69">
        <v>1.0</v>
      </c>
      <c r="AA160" s="13">
        <f t="shared" si="42"/>
        <v>3</v>
      </c>
      <c r="AB160" s="5"/>
      <c r="AC160" s="5"/>
    </row>
    <row r="161" ht="12.75" customHeight="1">
      <c r="A161" s="19" t="s">
        <v>15</v>
      </c>
      <c r="B161" s="47" t="s">
        <v>47</v>
      </c>
      <c r="C161" s="15"/>
      <c r="D161" s="16"/>
      <c r="E161" s="56">
        <f t="shared" ref="E161:Z161" si="43">SUM(E158:E160)</f>
        <v>2</v>
      </c>
      <c r="F161" s="56">
        <f t="shared" si="43"/>
        <v>6</v>
      </c>
      <c r="G161" s="56">
        <f t="shared" si="43"/>
        <v>1</v>
      </c>
      <c r="H161" s="56">
        <f t="shared" si="43"/>
        <v>0</v>
      </c>
      <c r="I161" s="56">
        <f t="shared" si="43"/>
        <v>0</v>
      </c>
      <c r="J161" s="56">
        <f t="shared" si="43"/>
        <v>2</v>
      </c>
      <c r="K161" s="56">
        <f t="shared" si="43"/>
        <v>2</v>
      </c>
      <c r="L161" s="56">
        <f t="shared" si="43"/>
        <v>2</v>
      </c>
      <c r="M161" s="56">
        <f t="shared" si="43"/>
        <v>2</v>
      </c>
      <c r="N161" s="56">
        <f t="shared" si="43"/>
        <v>0</v>
      </c>
      <c r="O161" s="56">
        <f t="shared" si="43"/>
        <v>1</v>
      </c>
      <c r="P161" s="56">
        <f t="shared" si="43"/>
        <v>2</v>
      </c>
      <c r="Q161" s="56">
        <f t="shared" si="43"/>
        <v>0</v>
      </c>
      <c r="R161" s="56">
        <f t="shared" si="43"/>
        <v>2</v>
      </c>
      <c r="S161" s="56">
        <f t="shared" si="43"/>
        <v>0</v>
      </c>
      <c r="T161" s="56">
        <f t="shared" si="43"/>
        <v>2</v>
      </c>
      <c r="U161" s="56">
        <f t="shared" si="43"/>
        <v>3</v>
      </c>
      <c r="V161" s="56">
        <f t="shared" si="43"/>
        <v>1</v>
      </c>
      <c r="W161" s="56">
        <f t="shared" si="43"/>
        <v>3</v>
      </c>
      <c r="X161" s="56">
        <f t="shared" si="43"/>
        <v>1</v>
      </c>
      <c r="Y161" s="56">
        <f t="shared" si="43"/>
        <v>2</v>
      </c>
      <c r="Z161" s="56">
        <f t="shared" si="43"/>
        <v>5</v>
      </c>
      <c r="AA161" s="13">
        <f t="shared" si="42"/>
        <v>39</v>
      </c>
      <c r="AB161" s="5"/>
      <c r="AC161" s="5"/>
    </row>
    <row r="162" ht="12.75" customHeight="1">
      <c r="A162" s="57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13"/>
      <c r="AB162" s="5"/>
      <c r="AC162" s="5"/>
    </row>
    <row r="163" ht="15.0" customHeight="1">
      <c r="A163" s="30" t="s">
        <v>37</v>
      </c>
      <c r="B163" s="47" t="s">
        <v>138</v>
      </c>
      <c r="C163" s="48" t="s">
        <v>139</v>
      </c>
      <c r="D163" s="16"/>
      <c r="E163" s="69">
        <v>0.0</v>
      </c>
      <c r="F163" s="69">
        <v>0.0</v>
      </c>
      <c r="G163" s="69">
        <v>0.0</v>
      </c>
      <c r="H163" s="69">
        <v>1.0</v>
      </c>
      <c r="I163" s="69">
        <v>0.0</v>
      </c>
      <c r="J163" s="69">
        <v>0.0</v>
      </c>
      <c r="K163" s="69">
        <v>2.0</v>
      </c>
      <c r="L163" s="69">
        <v>0.0</v>
      </c>
      <c r="M163" s="69">
        <v>0.0</v>
      </c>
      <c r="N163" s="69">
        <v>0.0</v>
      </c>
      <c r="O163" s="69">
        <v>0.0</v>
      </c>
      <c r="P163" s="69">
        <v>0.0</v>
      </c>
      <c r="Q163" s="69">
        <v>0.0</v>
      </c>
      <c r="R163" s="69">
        <v>0.0</v>
      </c>
      <c r="S163" s="69">
        <v>0.0</v>
      </c>
      <c r="T163" s="69">
        <v>0.0</v>
      </c>
      <c r="U163" s="69">
        <v>0.0</v>
      </c>
      <c r="V163" s="69">
        <v>0.0</v>
      </c>
      <c r="W163" s="69">
        <v>0.0</v>
      </c>
      <c r="X163" s="69">
        <v>1.0</v>
      </c>
      <c r="Y163" s="69">
        <v>0.0</v>
      </c>
      <c r="Z163" s="69">
        <v>0.0</v>
      </c>
      <c r="AA163" s="13">
        <f t="shared" ref="AA163:AA165" si="44">SUM(E163:Z163)</f>
        <v>4</v>
      </c>
      <c r="AB163" s="5"/>
      <c r="AC163" s="5"/>
    </row>
    <row r="164" ht="12.75" customHeight="1">
      <c r="A164" s="30" t="s">
        <v>39</v>
      </c>
      <c r="B164" s="47"/>
      <c r="C164" s="50" t="s">
        <v>140</v>
      </c>
      <c r="D164" s="62"/>
      <c r="E164" s="69">
        <v>0.0</v>
      </c>
      <c r="F164" s="69">
        <v>0.0</v>
      </c>
      <c r="G164" s="69">
        <v>0.0</v>
      </c>
      <c r="H164" s="69">
        <v>0.0</v>
      </c>
      <c r="I164" s="69">
        <v>0.0</v>
      </c>
      <c r="J164" s="69">
        <v>4.0</v>
      </c>
      <c r="K164" s="69">
        <v>0.0</v>
      </c>
      <c r="L164" s="69">
        <v>0.0</v>
      </c>
      <c r="M164" s="69">
        <v>0.0</v>
      </c>
      <c r="N164" s="69">
        <v>0.0</v>
      </c>
      <c r="O164" s="69">
        <v>0.0</v>
      </c>
      <c r="P164" s="69">
        <v>0.0</v>
      </c>
      <c r="Q164" s="69">
        <v>0.0</v>
      </c>
      <c r="R164" s="69">
        <v>0.0</v>
      </c>
      <c r="S164" s="69">
        <v>0.0</v>
      </c>
      <c r="T164" s="69">
        <v>0.0</v>
      </c>
      <c r="U164" s="69">
        <v>0.0</v>
      </c>
      <c r="V164" s="69">
        <v>0.0</v>
      </c>
      <c r="W164" s="69">
        <v>0.0</v>
      </c>
      <c r="X164" s="69">
        <v>0.0</v>
      </c>
      <c r="Y164" s="69">
        <v>0.0</v>
      </c>
      <c r="Z164" s="69">
        <v>0.0</v>
      </c>
      <c r="AA164" s="13">
        <f t="shared" si="44"/>
        <v>4</v>
      </c>
      <c r="AB164" s="5"/>
      <c r="AC164" s="5"/>
    </row>
    <row r="165" ht="12.75" customHeight="1">
      <c r="A165" s="19" t="s">
        <v>15</v>
      </c>
      <c r="B165" s="47" t="s">
        <v>47</v>
      </c>
      <c r="C165" s="15"/>
      <c r="D165" s="16"/>
      <c r="E165" s="56">
        <f t="shared" ref="E165:Z165" si="45">SUM(E163:E164)</f>
        <v>0</v>
      </c>
      <c r="F165" s="56">
        <f t="shared" si="45"/>
        <v>0</v>
      </c>
      <c r="G165" s="56">
        <f t="shared" si="45"/>
        <v>0</v>
      </c>
      <c r="H165" s="56">
        <f t="shared" si="45"/>
        <v>1</v>
      </c>
      <c r="I165" s="56">
        <f t="shared" si="45"/>
        <v>0</v>
      </c>
      <c r="J165" s="56">
        <f t="shared" si="45"/>
        <v>4</v>
      </c>
      <c r="K165" s="56">
        <f t="shared" si="45"/>
        <v>2</v>
      </c>
      <c r="L165" s="56">
        <f t="shared" si="45"/>
        <v>0</v>
      </c>
      <c r="M165" s="56">
        <f t="shared" si="45"/>
        <v>0</v>
      </c>
      <c r="N165" s="56">
        <f t="shared" si="45"/>
        <v>0</v>
      </c>
      <c r="O165" s="56">
        <f t="shared" si="45"/>
        <v>0</v>
      </c>
      <c r="P165" s="56">
        <f t="shared" si="45"/>
        <v>0</v>
      </c>
      <c r="Q165" s="56">
        <f t="shared" si="45"/>
        <v>0</v>
      </c>
      <c r="R165" s="56">
        <f t="shared" si="45"/>
        <v>0</v>
      </c>
      <c r="S165" s="56">
        <f t="shared" si="45"/>
        <v>0</v>
      </c>
      <c r="T165" s="56">
        <f t="shared" si="45"/>
        <v>0</v>
      </c>
      <c r="U165" s="56">
        <f t="shared" si="45"/>
        <v>0</v>
      </c>
      <c r="V165" s="56">
        <f t="shared" si="45"/>
        <v>0</v>
      </c>
      <c r="W165" s="56">
        <f t="shared" si="45"/>
        <v>0</v>
      </c>
      <c r="X165" s="56">
        <f t="shared" si="45"/>
        <v>1</v>
      </c>
      <c r="Y165" s="56">
        <f t="shared" si="45"/>
        <v>0</v>
      </c>
      <c r="Z165" s="56">
        <f t="shared" si="45"/>
        <v>0</v>
      </c>
      <c r="AA165" s="13">
        <f t="shared" si="44"/>
        <v>8</v>
      </c>
      <c r="AB165" s="1"/>
      <c r="AC165" s="1"/>
    </row>
    <row r="166" ht="12.75" customHeight="1">
      <c r="A166" s="57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13"/>
      <c r="AB166" s="53"/>
      <c r="AC166" s="53"/>
    </row>
    <row r="167" ht="12.75" customHeight="1">
      <c r="A167" s="30" t="s">
        <v>37</v>
      </c>
      <c r="B167" s="47" t="s">
        <v>141</v>
      </c>
      <c r="C167" s="48" t="s">
        <v>142</v>
      </c>
      <c r="D167" s="16"/>
      <c r="E167" s="69">
        <v>0.0</v>
      </c>
      <c r="F167" s="69">
        <v>0.0</v>
      </c>
      <c r="G167" s="69">
        <v>0.0</v>
      </c>
      <c r="H167" s="69">
        <v>0.0</v>
      </c>
      <c r="I167" s="69">
        <v>0.0</v>
      </c>
      <c r="J167" s="69">
        <v>0.0</v>
      </c>
      <c r="K167" s="69">
        <v>1.0</v>
      </c>
      <c r="L167" s="69">
        <v>1.0</v>
      </c>
      <c r="M167" s="69">
        <v>0.0</v>
      </c>
      <c r="N167" s="69">
        <v>1.0</v>
      </c>
      <c r="O167" s="69">
        <v>0.0</v>
      </c>
      <c r="P167" s="69">
        <v>0.0</v>
      </c>
      <c r="Q167" s="69">
        <v>0.0</v>
      </c>
      <c r="R167" s="69">
        <v>0.0</v>
      </c>
      <c r="S167" s="69">
        <v>0.0</v>
      </c>
      <c r="T167" s="69">
        <v>0.0</v>
      </c>
      <c r="U167" s="69">
        <v>0.0</v>
      </c>
      <c r="V167" s="69">
        <v>0.0</v>
      </c>
      <c r="W167" s="69">
        <v>0.0</v>
      </c>
      <c r="X167" s="69">
        <v>0.0</v>
      </c>
      <c r="Y167" s="69">
        <v>0.0</v>
      </c>
      <c r="Z167" s="69">
        <v>0.0</v>
      </c>
      <c r="AA167" s="13">
        <f t="shared" ref="AA167:AA175" si="46">SUM(E167:Z167)</f>
        <v>3</v>
      </c>
      <c r="AB167" s="5"/>
      <c r="AC167" s="5"/>
    </row>
    <row r="168" ht="12.75" customHeight="1">
      <c r="A168" s="30" t="s">
        <v>39</v>
      </c>
      <c r="B168" s="49"/>
      <c r="C168" s="50" t="s">
        <v>143</v>
      </c>
      <c r="D168" s="51"/>
      <c r="E168" s="69">
        <v>0.0</v>
      </c>
      <c r="F168" s="69">
        <v>0.0</v>
      </c>
      <c r="G168" s="69">
        <v>0.0</v>
      </c>
      <c r="H168" s="69">
        <v>0.0</v>
      </c>
      <c r="I168" s="69">
        <v>0.0</v>
      </c>
      <c r="J168" s="69">
        <v>0.0</v>
      </c>
      <c r="K168" s="69">
        <v>0.0</v>
      </c>
      <c r="L168" s="69">
        <v>0.0</v>
      </c>
      <c r="M168" s="69">
        <v>0.0</v>
      </c>
      <c r="N168" s="69">
        <v>0.0</v>
      </c>
      <c r="O168" s="69">
        <v>0.0</v>
      </c>
      <c r="P168" s="69">
        <v>0.0</v>
      </c>
      <c r="Q168" s="69">
        <v>0.0</v>
      </c>
      <c r="R168" s="69">
        <v>0.0</v>
      </c>
      <c r="S168" s="69">
        <v>0.0</v>
      </c>
      <c r="T168" s="69">
        <v>1.0</v>
      </c>
      <c r="U168" s="69">
        <v>0.0</v>
      </c>
      <c r="V168" s="69">
        <v>1.0</v>
      </c>
      <c r="W168" s="69">
        <v>0.0</v>
      </c>
      <c r="X168" s="69">
        <v>0.0</v>
      </c>
      <c r="Y168" s="69">
        <v>0.0</v>
      </c>
      <c r="Z168" s="69">
        <v>0.0</v>
      </c>
      <c r="AA168" s="13">
        <f t="shared" si="46"/>
        <v>2</v>
      </c>
      <c r="AB168" s="5"/>
      <c r="AC168" s="5"/>
    </row>
    <row r="169" ht="12.75" customHeight="1">
      <c r="A169" s="18"/>
      <c r="B169" s="49"/>
      <c r="C169" s="50" t="s">
        <v>144</v>
      </c>
      <c r="D169" s="51"/>
      <c r="E169" s="69">
        <v>0.0</v>
      </c>
      <c r="F169" s="69">
        <v>0.0</v>
      </c>
      <c r="G169" s="69">
        <v>0.0</v>
      </c>
      <c r="H169" s="69">
        <v>0.0</v>
      </c>
      <c r="I169" s="69">
        <v>0.0</v>
      </c>
      <c r="J169" s="69">
        <v>0.0</v>
      </c>
      <c r="K169" s="69">
        <v>0.0</v>
      </c>
      <c r="L169" s="69">
        <v>0.0</v>
      </c>
      <c r="M169" s="69">
        <v>0.0</v>
      </c>
      <c r="N169" s="69">
        <v>0.0</v>
      </c>
      <c r="O169" s="69">
        <v>0.0</v>
      </c>
      <c r="P169" s="69">
        <v>0.0</v>
      </c>
      <c r="Q169" s="69">
        <v>0.0</v>
      </c>
      <c r="R169" s="69">
        <v>0.0</v>
      </c>
      <c r="S169" s="69">
        <v>0.0</v>
      </c>
      <c r="T169" s="69">
        <v>0.0</v>
      </c>
      <c r="U169" s="69">
        <v>0.0</v>
      </c>
      <c r="V169" s="69">
        <v>0.0</v>
      </c>
      <c r="W169" s="69">
        <v>0.0</v>
      </c>
      <c r="X169" s="69">
        <v>0.0</v>
      </c>
      <c r="Y169" s="69">
        <v>0.0</v>
      </c>
      <c r="Z169" s="69">
        <v>0.0</v>
      </c>
      <c r="AA169" s="13">
        <f t="shared" si="46"/>
        <v>0</v>
      </c>
      <c r="AB169" s="5"/>
      <c r="AC169" s="5"/>
    </row>
    <row r="170" ht="12.75" customHeight="1">
      <c r="A170" s="18"/>
      <c r="B170" s="49"/>
      <c r="C170" s="50" t="s">
        <v>145</v>
      </c>
      <c r="D170" s="51"/>
      <c r="E170" s="69">
        <v>0.0</v>
      </c>
      <c r="F170" s="69">
        <v>0.0</v>
      </c>
      <c r="G170" s="69">
        <v>0.0</v>
      </c>
      <c r="H170" s="69">
        <v>0.0</v>
      </c>
      <c r="I170" s="69">
        <v>0.0</v>
      </c>
      <c r="J170" s="69">
        <v>0.0</v>
      </c>
      <c r="K170" s="69">
        <v>0.0</v>
      </c>
      <c r="L170" s="69">
        <v>0.0</v>
      </c>
      <c r="M170" s="69">
        <v>0.0</v>
      </c>
      <c r="N170" s="69">
        <v>0.0</v>
      </c>
      <c r="O170" s="69">
        <v>0.0</v>
      </c>
      <c r="P170" s="69">
        <v>1.0</v>
      </c>
      <c r="Q170" s="69">
        <v>0.0</v>
      </c>
      <c r="R170" s="69">
        <v>0.0</v>
      </c>
      <c r="S170" s="69">
        <v>0.0</v>
      </c>
      <c r="T170" s="69">
        <v>0.0</v>
      </c>
      <c r="U170" s="69">
        <v>0.0</v>
      </c>
      <c r="V170" s="69">
        <v>0.0</v>
      </c>
      <c r="W170" s="69">
        <v>0.0</v>
      </c>
      <c r="X170" s="69">
        <v>0.0</v>
      </c>
      <c r="Y170" s="69">
        <v>0.0</v>
      </c>
      <c r="Z170" s="69">
        <v>0.0</v>
      </c>
      <c r="AA170" s="13">
        <f t="shared" si="46"/>
        <v>1</v>
      </c>
      <c r="AB170" s="5"/>
      <c r="AC170" s="5"/>
    </row>
    <row r="171" ht="12.75" customHeight="1">
      <c r="A171" s="18"/>
      <c r="B171" s="49"/>
      <c r="C171" s="50" t="s">
        <v>146</v>
      </c>
      <c r="D171" s="51"/>
      <c r="E171" s="69">
        <v>0.0</v>
      </c>
      <c r="F171" s="69">
        <v>0.0</v>
      </c>
      <c r="G171" s="69">
        <v>0.0</v>
      </c>
      <c r="H171" s="69">
        <v>0.0</v>
      </c>
      <c r="I171" s="69">
        <v>0.0</v>
      </c>
      <c r="J171" s="69">
        <v>0.0</v>
      </c>
      <c r="K171" s="69">
        <v>0.0</v>
      </c>
      <c r="L171" s="69">
        <v>0.0</v>
      </c>
      <c r="M171" s="69">
        <v>0.0</v>
      </c>
      <c r="N171" s="69">
        <v>0.0</v>
      </c>
      <c r="O171" s="69">
        <v>0.0</v>
      </c>
      <c r="P171" s="69">
        <v>0.0</v>
      </c>
      <c r="Q171" s="69">
        <v>0.0</v>
      </c>
      <c r="R171" s="69">
        <v>0.0</v>
      </c>
      <c r="S171" s="69">
        <v>0.0</v>
      </c>
      <c r="T171" s="69">
        <v>0.0</v>
      </c>
      <c r="U171" s="69">
        <v>0.0</v>
      </c>
      <c r="V171" s="69">
        <v>0.0</v>
      </c>
      <c r="W171" s="69">
        <v>0.0</v>
      </c>
      <c r="X171" s="69">
        <v>0.0</v>
      </c>
      <c r="Y171" s="69">
        <v>0.0</v>
      </c>
      <c r="Z171" s="69">
        <v>0.0</v>
      </c>
      <c r="AA171" s="13">
        <f t="shared" si="46"/>
        <v>0</v>
      </c>
      <c r="AB171" s="5"/>
      <c r="AC171" s="5"/>
    </row>
    <row r="172" ht="12.75" customHeight="1">
      <c r="A172" s="18"/>
      <c r="B172" s="49"/>
      <c r="C172" s="50" t="s">
        <v>147</v>
      </c>
      <c r="D172" s="51"/>
      <c r="E172" s="69">
        <v>0.0</v>
      </c>
      <c r="F172" s="69">
        <v>0.0</v>
      </c>
      <c r="G172" s="69">
        <v>0.0</v>
      </c>
      <c r="H172" s="69">
        <v>0.0</v>
      </c>
      <c r="I172" s="69">
        <v>0.0</v>
      </c>
      <c r="J172" s="69">
        <v>0.0</v>
      </c>
      <c r="K172" s="69">
        <v>0.0</v>
      </c>
      <c r="L172" s="69">
        <v>0.0</v>
      </c>
      <c r="M172" s="69">
        <v>0.0</v>
      </c>
      <c r="N172" s="69">
        <v>0.0</v>
      </c>
      <c r="O172" s="69">
        <v>0.0</v>
      </c>
      <c r="P172" s="69">
        <v>0.0</v>
      </c>
      <c r="Q172" s="69">
        <v>0.0</v>
      </c>
      <c r="R172" s="69">
        <v>0.0</v>
      </c>
      <c r="S172" s="69">
        <v>0.0</v>
      </c>
      <c r="T172" s="69">
        <v>0.0</v>
      </c>
      <c r="U172" s="69">
        <v>0.0</v>
      </c>
      <c r="V172" s="69">
        <v>0.0</v>
      </c>
      <c r="W172" s="69">
        <v>0.0</v>
      </c>
      <c r="X172" s="69">
        <v>0.0</v>
      </c>
      <c r="Y172" s="69">
        <v>0.0</v>
      </c>
      <c r="Z172" s="69">
        <v>0.0</v>
      </c>
      <c r="AA172" s="13">
        <f t="shared" si="46"/>
        <v>0</v>
      </c>
      <c r="AB172" s="5"/>
      <c r="AC172" s="5"/>
    </row>
    <row r="173" ht="12.75" customHeight="1">
      <c r="A173" s="18"/>
      <c r="B173" s="49"/>
      <c r="C173" s="50" t="s">
        <v>148</v>
      </c>
      <c r="D173" s="51"/>
      <c r="E173" s="69">
        <v>0.0</v>
      </c>
      <c r="F173" s="69">
        <v>0.0</v>
      </c>
      <c r="G173" s="69">
        <v>0.0</v>
      </c>
      <c r="H173" s="69">
        <v>0.0</v>
      </c>
      <c r="I173" s="69">
        <v>0.0</v>
      </c>
      <c r="J173" s="69">
        <v>0.0</v>
      </c>
      <c r="K173" s="69">
        <v>0.0</v>
      </c>
      <c r="L173" s="69">
        <v>0.0</v>
      </c>
      <c r="M173" s="69">
        <v>0.0</v>
      </c>
      <c r="N173" s="69">
        <v>0.0</v>
      </c>
      <c r="O173" s="69">
        <v>0.0</v>
      </c>
      <c r="P173" s="69">
        <v>0.0</v>
      </c>
      <c r="Q173" s="69">
        <v>0.0</v>
      </c>
      <c r="R173" s="69">
        <v>0.0</v>
      </c>
      <c r="S173" s="69">
        <v>0.0</v>
      </c>
      <c r="T173" s="69">
        <v>0.0</v>
      </c>
      <c r="U173" s="69">
        <v>0.0</v>
      </c>
      <c r="V173" s="69">
        <v>0.0</v>
      </c>
      <c r="W173" s="69">
        <v>0.0</v>
      </c>
      <c r="X173" s="69">
        <v>0.0</v>
      </c>
      <c r="Y173" s="69">
        <v>0.0</v>
      </c>
      <c r="Z173" s="69">
        <v>0.0</v>
      </c>
      <c r="AA173" s="13">
        <f t="shared" si="46"/>
        <v>0</v>
      </c>
      <c r="AB173" s="5"/>
      <c r="AC173" s="5"/>
    </row>
    <row r="174" ht="12.75" customHeight="1">
      <c r="A174" s="18"/>
      <c r="B174" s="49"/>
      <c r="C174" s="50" t="s">
        <v>149</v>
      </c>
      <c r="D174" s="51"/>
      <c r="E174" s="69">
        <v>0.0</v>
      </c>
      <c r="F174" s="69">
        <v>0.0</v>
      </c>
      <c r="G174" s="69">
        <v>0.0</v>
      </c>
      <c r="H174" s="69">
        <v>0.0</v>
      </c>
      <c r="I174" s="69">
        <v>0.0</v>
      </c>
      <c r="J174" s="69">
        <v>0.0</v>
      </c>
      <c r="K174" s="69">
        <v>0.0</v>
      </c>
      <c r="L174" s="69">
        <v>0.0</v>
      </c>
      <c r="M174" s="69">
        <v>0.0</v>
      </c>
      <c r="N174" s="69">
        <v>1.0</v>
      </c>
      <c r="O174" s="69">
        <v>0.0</v>
      </c>
      <c r="P174" s="69">
        <v>0.0</v>
      </c>
      <c r="Q174" s="69">
        <v>0.0</v>
      </c>
      <c r="R174" s="69">
        <v>0.0</v>
      </c>
      <c r="S174" s="69">
        <v>0.0</v>
      </c>
      <c r="T174" s="69">
        <v>0.0</v>
      </c>
      <c r="U174" s="69">
        <v>0.0</v>
      </c>
      <c r="V174" s="69">
        <v>0.0</v>
      </c>
      <c r="W174" s="69">
        <v>0.0</v>
      </c>
      <c r="X174" s="69">
        <v>0.0</v>
      </c>
      <c r="Y174" s="69">
        <v>0.0</v>
      </c>
      <c r="Z174" s="69">
        <v>0.0</v>
      </c>
      <c r="AA174" s="13">
        <f t="shared" si="46"/>
        <v>1</v>
      </c>
      <c r="AB174" s="5"/>
      <c r="AC174" s="5"/>
    </row>
    <row r="175" ht="15.0" customHeight="1">
      <c r="A175" s="19" t="s">
        <v>15</v>
      </c>
      <c r="B175" s="47" t="s">
        <v>47</v>
      </c>
      <c r="C175" s="15"/>
      <c r="D175" s="16"/>
      <c r="E175" s="56">
        <f t="shared" ref="E175:Z175" si="47">SUM(E167:E174)</f>
        <v>0</v>
      </c>
      <c r="F175" s="56">
        <f t="shared" si="47"/>
        <v>0</v>
      </c>
      <c r="G175" s="56">
        <f t="shared" si="47"/>
        <v>0</v>
      </c>
      <c r="H175" s="56">
        <f t="shared" si="47"/>
        <v>0</v>
      </c>
      <c r="I175" s="56">
        <f t="shared" si="47"/>
        <v>0</v>
      </c>
      <c r="J175" s="56">
        <f t="shared" si="47"/>
        <v>0</v>
      </c>
      <c r="K175" s="56">
        <f t="shared" si="47"/>
        <v>1</v>
      </c>
      <c r="L175" s="56">
        <f t="shared" si="47"/>
        <v>1</v>
      </c>
      <c r="M175" s="56">
        <f t="shared" si="47"/>
        <v>0</v>
      </c>
      <c r="N175" s="56">
        <f t="shared" si="47"/>
        <v>2</v>
      </c>
      <c r="O175" s="56">
        <f t="shared" si="47"/>
        <v>0</v>
      </c>
      <c r="P175" s="56">
        <f t="shared" si="47"/>
        <v>1</v>
      </c>
      <c r="Q175" s="56">
        <f t="shared" si="47"/>
        <v>0</v>
      </c>
      <c r="R175" s="56">
        <f t="shared" si="47"/>
        <v>0</v>
      </c>
      <c r="S175" s="56">
        <f t="shared" si="47"/>
        <v>0</v>
      </c>
      <c r="T175" s="56">
        <f t="shared" si="47"/>
        <v>1</v>
      </c>
      <c r="U175" s="56">
        <f t="shared" si="47"/>
        <v>0</v>
      </c>
      <c r="V175" s="56">
        <f t="shared" si="47"/>
        <v>1</v>
      </c>
      <c r="W175" s="56">
        <f t="shared" si="47"/>
        <v>0</v>
      </c>
      <c r="X175" s="56">
        <f t="shared" si="47"/>
        <v>0</v>
      </c>
      <c r="Y175" s="56">
        <f t="shared" si="47"/>
        <v>0</v>
      </c>
      <c r="Z175" s="56">
        <f t="shared" si="47"/>
        <v>0</v>
      </c>
      <c r="AA175" s="13">
        <f t="shared" si="46"/>
        <v>7</v>
      </c>
      <c r="AB175" s="5"/>
      <c r="AC175" s="5"/>
    </row>
    <row r="176" ht="12.75" customHeight="1">
      <c r="A176" s="57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13"/>
      <c r="AB176" s="1"/>
      <c r="AC176" s="1"/>
    </row>
    <row r="177" ht="12.75" customHeight="1">
      <c r="A177" s="30" t="s">
        <v>37</v>
      </c>
      <c r="B177" s="47" t="s">
        <v>150</v>
      </c>
      <c r="C177" s="48" t="s">
        <v>151</v>
      </c>
      <c r="D177" s="16"/>
      <c r="E177" s="69">
        <v>0.0</v>
      </c>
      <c r="F177" s="69">
        <v>0.0</v>
      </c>
      <c r="G177" s="69">
        <v>0.0</v>
      </c>
      <c r="H177" s="69">
        <v>0.0</v>
      </c>
      <c r="I177" s="69">
        <v>0.0</v>
      </c>
      <c r="J177" s="69">
        <v>0.0</v>
      </c>
      <c r="K177" s="69">
        <v>0.0</v>
      </c>
      <c r="L177" s="69">
        <v>0.0</v>
      </c>
      <c r="M177" s="69">
        <v>0.0</v>
      </c>
      <c r="N177" s="69">
        <v>0.0</v>
      </c>
      <c r="O177" s="69">
        <v>1.0</v>
      </c>
      <c r="P177" s="69">
        <v>0.0</v>
      </c>
      <c r="Q177" s="69">
        <v>0.0</v>
      </c>
      <c r="R177" s="69">
        <v>0.0</v>
      </c>
      <c r="S177" s="69">
        <v>0.0</v>
      </c>
      <c r="T177" s="69">
        <v>0.0</v>
      </c>
      <c r="U177" s="69">
        <v>0.0</v>
      </c>
      <c r="V177" s="69">
        <v>0.0</v>
      </c>
      <c r="W177" s="69">
        <v>0.0</v>
      </c>
      <c r="X177" s="69">
        <v>0.0</v>
      </c>
      <c r="Y177" s="69">
        <v>0.0</v>
      </c>
      <c r="Z177" s="69">
        <v>0.0</v>
      </c>
      <c r="AA177" s="13">
        <f t="shared" ref="AA177:AA181" si="48">SUM(E177:Z177)</f>
        <v>1</v>
      </c>
    </row>
    <row r="178" ht="12.75" customHeight="1">
      <c r="A178" s="30"/>
      <c r="B178" s="47"/>
      <c r="C178" s="50" t="s">
        <v>152</v>
      </c>
      <c r="D178" s="62"/>
      <c r="E178" s="69">
        <v>0.0</v>
      </c>
      <c r="F178" s="69">
        <v>0.0</v>
      </c>
      <c r="G178" s="69">
        <v>0.0</v>
      </c>
      <c r="H178" s="69">
        <v>0.0</v>
      </c>
      <c r="I178" s="69">
        <v>0.0</v>
      </c>
      <c r="J178" s="69">
        <v>1.0</v>
      </c>
      <c r="K178" s="69">
        <v>0.0</v>
      </c>
      <c r="L178" s="69">
        <v>0.0</v>
      </c>
      <c r="M178" s="69">
        <v>4.0</v>
      </c>
      <c r="N178" s="69">
        <v>1.0</v>
      </c>
      <c r="O178" s="69">
        <v>0.0</v>
      </c>
      <c r="P178" s="69">
        <v>0.0</v>
      </c>
      <c r="Q178" s="69">
        <v>0.0</v>
      </c>
      <c r="R178" s="69">
        <v>0.0</v>
      </c>
      <c r="S178" s="69">
        <v>0.0</v>
      </c>
      <c r="T178" s="69">
        <v>0.0</v>
      </c>
      <c r="U178" s="69">
        <v>0.0</v>
      </c>
      <c r="V178" s="69">
        <v>0.0</v>
      </c>
      <c r="W178" s="69">
        <v>0.0</v>
      </c>
      <c r="X178" s="69">
        <v>0.0</v>
      </c>
      <c r="Y178" s="69">
        <v>0.0</v>
      </c>
      <c r="Z178" s="69">
        <v>0.0</v>
      </c>
      <c r="AA178" s="13">
        <f t="shared" si="48"/>
        <v>6</v>
      </c>
      <c r="AB178" s="5"/>
      <c r="AC178" s="5"/>
    </row>
    <row r="179" ht="12.75" customHeight="1">
      <c r="A179" s="30"/>
      <c r="B179" s="47"/>
      <c r="C179" s="50" t="s">
        <v>153</v>
      </c>
      <c r="D179" s="62"/>
      <c r="E179" s="69">
        <v>0.0</v>
      </c>
      <c r="F179" s="69">
        <v>0.0</v>
      </c>
      <c r="G179" s="69">
        <v>0.0</v>
      </c>
      <c r="H179" s="69">
        <v>0.0</v>
      </c>
      <c r="I179" s="69">
        <v>0.0</v>
      </c>
      <c r="J179" s="69">
        <v>0.0</v>
      </c>
      <c r="K179" s="69">
        <v>0.0</v>
      </c>
      <c r="L179" s="69">
        <v>0.0</v>
      </c>
      <c r="M179" s="69">
        <v>0.0</v>
      </c>
      <c r="N179" s="69">
        <v>0.0</v>
      </c>
      <c r="O179" s="69">
        <v>0.0</v>
      </c>
      <c r="P179" s="69">
        <v>0.0</v>
      </c>
      <c r="Q179" s="69">
        <v>0.0</v>
      </c>
      <c r="R179" s="69">
        <v>0.0</v>
      </c>
      <c r="S179" s="69">
        <v>0.0</v>
      </c>
      <c r="T179" s="69">
        <v>0.0</v>
      </c>
      <c r="U179" s="69">
        <v>0.0</v>
      </c>
      <c r="V179" s="69">
        <v>0.0</v>
      </c>
      <c r="W179" s="69">
        <v>0.0</v>
      </c>
      <c r="X179" s="69">
        <v>0.0</v>
      </c>
      <c r="Y179" s="69">
        <v>0.0</v>
      </c>
      <c r="Z179" s="69">
        <v>0.0</v>
      </c>
      <c r="AA179" s="13">
        <f t="shared" si="48"/>
        <v>0</v>
      </c>
      <c r="AB179" s="5"/>
      <c r="AC179" s="5"/>
    </row>
    <row r="180" ht="12.75" customHeight="1">
      <c r="A180" s="30" t="s">
        <v>39</v>
      </c>
      <c r="B180" s="49"/>
      <c r="C180" s="50" t="s">
        <v>154</v>
      </c>
      <c r="D180" s="51"/>
      <c r="E180" s="69">
        <v>0.0</v>
      </c>
      <c r="F180" s="69">
        <v>0.0</v>
      </c>
      <c r="G180" s="69">
        <v>0.0</v>
      </c>
      <c r="H180" s="69">
        <v>0.0</v>
      </c>
      <c r="I180" s="69">
        <v>0.0</v>
      </c>
      <c r="J180" s="69">
        <v>0.0</v>
      </c>
      <c r="K180" s="69">
        <v>0.0</v>
      </c>
      <c r="L180" s="69">
        <v>0.0</v>
      </c>
      <c r="M180" s="69">
        <v>0.0</v>
      </c>
      <c r="N180" s="69">
        <v>0.0</v>
      </c>
      <c r="O180" s="69">
        <v>0.0</v>
      </c>
      <c r="P180" s="69">
        <v>0.0</v>
      </c>
      <c r="Q180" s="69">
        <v>0.0</v>
      </c>
      <c r="R180" s="69">
        <v>0.0</v>
      </c>
      <c r="S180" s="69">
        <v>0.0</v>
      </c>
      <c r="T180" s="69">
        <v>0.0</v>
      </c>
      <c r="U180" s="69">
        <v>0.0</v>
      </c>
      <c r="V180" s="69">
        <v>0.0</v>
      </c>
      <c r="W180" s="69">
        <v>0.0</v>
      </c>
      <c r="X180" s="69">
        <v>0.0</v>
      </c>
      <c r="Y180" s="69">
        <v>0.0</v>
      </c>
      <c r="Z180" s="69">
        <v>0.0</v>
      </c>
      <c r="AA180" s="13">
        <f t="shared" si="48"/>
        <v>0</v>
      </c>
      <c r="AB180" s="5"/>
      <c r="AC180" s="5"/>
    </row>
    <row r="181" ht="12.75" customHeight="1">
      <c r="A181" s="19" t="s">
        <v>15</v>
      </c>
      <c r="B181" s="47" t="s">
        <v>47</v>
      </c>
      <c r="C181" s="15"/>
      <c r="D181" s="16"/>
      <c r="E181" s="56">
        <f t="shared" ref="E181:Z181" si="49">SUM(E177:E180)</f>
        <v>0</v>
      </c>
      <c r="F181" s="56">
        <f t="shared" si="49"/>
        <v>0</v>
      </c>
      <c r="G181" s="56">
        <f t="shared" si="49"/>
        <v>0</v>
      </c>
      <c r="H181" s="56">
        <f t="shared" si="49"/>
        <v>0</v>
      </c>
      <c r="I181" s="56">
        <f t="shared" si="49"/>
        <v>0</v>
      </c>
      <c r="J181" s="56">
        <f t="shared" si="49"/>
        <v>1</v>
      </c>
      <c r="K181" s="56">
        <f t="shared" si="49"/>
        <v>0</v>
      </c>
      <c r="L181" s="56">
        <f t="shared" si="49"/>
        <v>0</v>
      </c>
      <c r="M181" s="56">
        <f t="shared" si="49"/>
        <v>4</v>
      </c>
      <c r="N181" s="56">
        <f t="shared" si="49"/>
        <v>1</v>
      </c>
      <c r="O181" s="56">
        <f t="shared" si="49"/>
        <v>1</v>
      </c>
      <c r="P181" s="56">
        <f t="shared" si="49"/>
        <v>0</v>
      </c>
      <c r="Q181" s="56">
        <f t="shared" si="49"/>
        <v>0</v>
      </c>
      <c r="R181" s="56">
        <f t="shared" si="49"/>
        <v>0</v>
      </c>
      <c r="S181" s="56">
        <f t="shared" si="49"/>
        <v>0</v>
      </c>
      <c r="T181" s="56">
        <f t="shared" si="49"/>
        <v>0</v>
      </c>
      <c r="U181" s="56">
        <f t="shared" si="49"/>
        <v>0</v>
      </c>
      <c r="V181" s="56">
        <f t="shared" si="49"/>
        <v>0</v>
      </c>
      <c r="W181" s="56">
        <f t="shared" si="49"/>
        <v>0</v>
      </c>
      <c r="X181" s="56">
        <f t="shared" si="49"/>
        <v>0</v>
      </c>
      <c r="Y181" s="56">
        <f t="shared" si="49"/>
        <v>0</v>
      </c>
      <c r="Z181" s="56">
        <f t="shared" si="49"/>
        <v>0</v>
      </c>
      <c r="AA181" s="13">
        <f t="shared" si="48"/>
        <v>7</v>
      </c>
      <c r="AB181" s="5"/>
      <c r="AC181" s="5"/>
    </row>
    <row r="182" ht="12.75" customHeight="1">
      <c r="A182" s="57"/>
      <c r="B182" s="58"/>
      <c r="C182" s="58"/>
      <c r="D182" s="63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13"/>
      <c r="AB182" s="5"/>
      <c r="AC182" s="5"/>
    </row>
    <row r="183" ht="12.75" customHeight="1">
      <c r="A183" s="42" t="s">
        <v>155</v>
      </c>
      <c r="B183" s="14" t="s">
        <v>156</v>
      </c>
      <c r="C183" s="15"/>
      <c r="D183" s="16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5"/>
      <c r="AC183" s="5"/>
    </row>
    <row r="184" ht="12.75" customHeight="1">
      <c r="A184" s="42"/>
      <c r="B184" s="64" t="s">
        <v>157</v>
      </c>
      <c r="C184" s="65" t="s">
        <v>158</v>
      </c>
      <c r="D184" s="16"/>
      <c r="E184" s="19">
        <f t="shared" ref="E184:Z184" si="50">E181+E175+E165+E161+E156+E146+E136+E129+E125+E115+E111+E101+E97+E93+E83+E73+E63+E53</f>
        <v>216</v>
      </c>
      <c r="F184" s="19">
        <f t="shared" si="50"/>
        <v>198</v>
      </c>
      <c r="G184" s="19">
        <f t="shared" si="50"/>
        <v>208</v>
      </c>
      <c r="H184" s="19">
        <f t="shared" si="50"/>
        <v>211</v>
      </c>
      <c r="I184" s="19">
        <f t="shared" si="50"/>
        <v>210</v>
      </c>
      <c r="J184" s="19">
        <f t="shared" si="50"/>
        <v>208</v>
      </c>
      <c r="K184" s="19">
        <f t="shared" si="50"/>
        <v>214</v>
      </c>
      <c r="L184" s="19">
        <f t="shared" si="50"/>
        <v>208</v>
      </c>
      <c r="M184" s="19">
        <f t="shared" si="50"/>
        <v>220</v>
      </c>
      <c r="N184" s="19">
        <f t="shared" si="50"/>
        <v>222</v>
      </c>
      <c r="O184" s="19">
        <f t="shared" si="50"/>
        <v>220</v>
      </c>
      <c r="P184" s="19">
        <f t="shared" si="50"/>
        <v>232</v>
      </c>
      <c r="Q184" s="19">
        <f t="shared" si="50"/>
        <v>228</v>
      </c>
      <c r="R184" s="19">
        <f t="shared" si="50"/>
        <v>193</v>
      </c>
      <c r="S184" s="19">
        <f t="shared" si="50"/>
        <v>216</v>
      </c>
      <c r="T184" s="19">
        <f t="shared" si="50"/>
        <v>206</v>
      </c>
      <c r="U184" s="19">
        <f t="shared" si="50"/>
        <v>190</v>
      </c>
      <c r="V184" s="19">
        <f t="shared" si="50"/>
        <v>190</v>
      </c>
      <c r="W184" s="19">
        <f t="shared" si="50"/>
        <v>207</v>
      </c>
      <c r="X184" s="19">
        <f t="shared" si="50"/>
        <v>206</v>
      </c>
      <c r="Y184" s="19">
        <f t="shared" si="50"/>
        <v>187</v>
      </c>
      <c r="Z184" s="19">
        <f t="shared" si="50"/>
        <v>209</v>
      </c>
      <c r="AA184" s="13">
        <f t="shared" ref="AA184:AA186" si="51">SUM(E184:Z184)</f>
        <v>4599</v>
      </c>
      <c r="AB184" s="5"/>
      <c r="AC184" s="5"/>
    </row>
    <row r="185" ht="12.75" customHeight="1">
      <c r="A185" s="35"/>
      <c r="B185" s="64" t="s">
        <v>159</v>
      </c>
      <c r="C185" s="65" t="s">
        <v>160</v>
      </c>
      <c r="D185" s="16"/>
      <c r="E185" s="69">
        <v>14.0</v>
      </c>
      <c r="F185" s="69">
        <v>10.0</v>
      </c>
      <c r="G185" s="69">
        <v>7.0</v>
      </c>
      <c r="H185" s="69">
        <v>12.0</v>
      </c>
      <c r="I185" s="69">
        <v>13.0</v>
      </c>
      <c r="J185" s="69">
        <v>11.0</v>
      </c>
      <c r="K185" s="69">
        <v>8.0</v>
      </c>
      <c r="L185" s="69">
        <v>15.0</v>
      </c>
      <c r="M185" s="69">
        <v>6.0</v>
      </c>
      <c r="N185" s="69">
        <v>2.0</v>
      </c>
      <c r="O185" s="69">
        <v>7.0</v>
      </c>
      <c r="P185" s="69">
        <v>10.0</v>
      </c>
      <c r="Q185" s="69">
        <v>3.0</v>
      </c>
      <c r="R185" s="69">
        <v>24.0</v>
      </c>
      <c r="S185" s="69">
        <v>3.0</v>
      </c>
      <c r="T185" s="69">
        <v>8.0</v>
      </c>
      <c r="U185" s="69">
        <v>12.0</v>
      </c>
      <c r="V185" s="69">
        <v>10.0</v>
      </c>
      <c r="W185" s="69">
        <v>8.0</v>
      </c>
      <c r="X185" s="69">
        <v>5.0</v>
      </c>
      <c r="Y185" s="69">
        <v>16.0</v>
      </c>
      <c r="Z185" s="69">
        <v>11.0</v>
      </c>
      <c r="AA185" s="13">
        <f t="shared" si="51"/>
        <v>215</v>
      </c>
      <c r="AB185" s="5"/>
      <c r="AC185" s="5"/>
    </row>
    <row r="186" ht="12.75" customHeight="1">
      <c r="A186" s="41"/>
      <c r="B186" s="64" t="s">
        <v>161</v>
      </c>
      <c r="C186" s="65" t="s">
        <v>162</v>
      </c>
      <c r="D186" s="16"/>
      <c r="E186" s="13">
        <f t="shared" ref="E186:Z186" si="52">SUM(E184:E185)</f>
        <v>230</v>
      </c>
      <c r="F186" s="13">
        <f t="shared" si="52"/>
        <v>208</v>
      </c>
      <c r="G186" s="13">
        <f t="shared" si="52"/>
        <v>215</v>
      </c>
      <c r="H186" s="13">
        <f t="shared" si="52"/>
        <v>223</v>
      </c>
      <c r="I186" s="13">
        <f t="shared" si="52"/>
        <v>223</v>
      </c>
      <c r="J186" s="13">
        <f t="shared" si="52"/>
        <v>219</v>
      </c>
      <c r="K186" s="13">
        <f t="shared" si="52"/>
        <v>222</v>
      </c>
      <c r="L186" s="13">
        <f t="shared" si="52"/>
        <v>223</v>
      </c>
      <c r="M186" s="13">
        <f t="shared" si="52"/>
        <v>226</v>
      </c>
      <c r="N186" s="13">
        <f t="shared" si="52"/>
        <v>224</v>
      </c>
      <c r="O186" s="13">
        <f t="shared" si="52"/>
        <v>227</v>
      </c>
      <c r="P186" s="13">
        <f t="shared" si="52"/>
        <v>242</v>
      </c>
      <c r="Q186" s="13">
        <f t="shared" si="52"/>
        <v>231</v>
      </c>
      <c r="R186" s="13">
        <f t="shared" si="52"/>
        <v>217</v>
      </c>
      <c r="S186" s="13">
        <f t="shared" si="52"/>
        <v>219</v>
      </c>
      <c r="T186" s="13">
        <f t="shared" si="52"/>
        <v>214</v>
      </c>
      <c r="U186" s="13">
        <f t="shared" si="52"/>
        <v>202</v>
      </c>
      <c r="V186" s="13">
        <f t="shared" si="52"/>
        <v>200</v>
      </c>
      <c r="W186" s="13">
        <f t="shared" si="52"/>
        <v>215</v>
      </c>
      <c r="X186" s="13">
        <f t="shared" si="52"/>
        <v>211</v>
      </c>
      <c r="Y186" s="13">
        <f t="shared" si="52"/>
        <v>203</v>
      </c>
      <c r="Z186" s="13">
        <f t="shared" si="52"/>
        <v>220</v>
      </c>
      <c r="AA186" s="13">
        <f t="shared" si="51"/>
        <v>4814</v>
      </c>
      <c r="AB186" s="5"/>
      <c r="AC186" s="5"/>
    </row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9">
    <mergeCell ref="B111:D111"/>
    <mergeCell ref="C113:D113"/>
    <mergeCell ref="B115:D115"/>
    <mergeCell ref="C117:D117"/>
    <mergeCell ref="B125:D125"/>
    <mergeCell ref="C127:D127"/>
    <mergeCell ref="B129:D129"/>
    <mergeCell ref="C131:D131"/>
    <mergeCell ref="B136:D136"/>
    <mergeCell ref="C138:D138"/>
    <mergeCell ref="B146:D146"/>
    <mergeCell ref="C148:D148"/>
    <mergeCell ref="B156:D156"/>
    <mergeCell ref="C158:D158"/>
    <mergeCell ref="B183:D183"/>
    <mergeCell ref="C184:D184"/>
    <mergeCell ref="C185:D185"/>
    <mergeCell ref="C186:D186"/>
    <mergeCell ref="B161:D161"/>
    <mergeCell ref="C163:D163"/>
    <mergeCell ref="B165:D165"/>
    <mergeCell ref="C167:D167"/>
    <mergeCell ref="B175:D175"/>
    <mergeCell ref="C177:D177"/>
    <mergeCell ref="B181:D181"/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3:D53"/>
    <mergeCell ref="C55:D55"/>
    <mergeCell ref="B63:D63"/>
    <mergeCell ref="C65:D65"/>
    <mergeCell ref="B73:D73"/>
    <mergeCell ref="C75:D75"/>
    <mergeCell ref="B83:D83"/>
    <mergeCell ref="C85:D85"/>
    <mergeCell ref="B93:D93"/>
    <mergeCell ref="C95:D95"/>
    <mergeCell ref="B97:D97"/>
    <mergeCell ref="C99:D99"/>
    <mergeCell ref="B101:D101"/>
    <mergeCell ref="C103:D103"/>
  </mergeCells>
  <conditionalFormatting sqref="E14:Z15">
    <cfRule type="containsBlanks" dxfId="3" priority="1">
      <formula>LEN(TRIM(E14))=0</formula>
    </cfRule>
  </conditionalFormatting>
  <conditionalFormatting sqref="E19:Z20">
    <cfRule type="containsBlanks" dxfId="3" priority="2">
      <formula>LEN(TRIM(E19))=0</formula>
    </cfRule>
  </conditionalFormatting>
  <conditionalFormatting sqref="E22:Z23 E25:Z26 E33:Z33 E35:Z35 E39:Z40">
    <cfRule type="containsBlanks" dxfId="3" priority="3">
      <formula>LEN(TRIM(E22))=0</formula>
    </cfRule>
  </conditionalFormatting>
  <conditionalFormatting sqref="E30:Z30">
    <cfRule type="expression" dxfId="0" priority="4">
      <formula>E30&lt;&gt;E47</formula>
    </cfRule>
  </conditionalFormatting>
  <conditionalFormatting sqref="E30:Z30">
    <cfRule type="expression" dxfId="0" priority="5">
      <formula>E30&lt;&gt;E34</formula>
    </cfRule>
  </conditionalFormatting>
  <conditionalFormatting sqref="E34:Z34">
    <cfRule type="expression" dxfId="1" priority="6">
      <formula>E30&lt;&gt;E34</formula>
    </cfRule>
  </conditionalFormatting>
  <conditionalFormatting sqref="E34:Z34">
    <cfRule type="expression" dxfId="2" priority="7">
      <formula>E30=E34</formula>
    </cfRule>
  </conditionalFormatting>
  <conditionalFormatting sqref="E34:Z34">
    <cfRule type="expression" dxfId="0" priority="8">
      <formula>E34&lt;&gt;E30</formula>
    </cfRule>
  </conditionalFormatting>
  <conditionalFormatting sqref="E34:Z34">
    <cfRule type="expression" dxfId="0" priority="9">
      <formula>E34&lt;&gt;E64</formula>
    </cfRule>
  </conditionalFormatting>
  <conditionalFormatting sqref="E45:Z52">
    <cfRule type="containsBlanks" dxfId="3" priority="10">
      <formula>LEN(TRIM(E45))=0</formula>
    </cfRule>
  </conditionalFormatting>
  <conditionalFormatting sqref="E55:Z62">
    <cfRule type="containsBlanks" dxfId="3" priority="11">
      <formula>LEN(TRIM(E55))=0</formula>
    </cfRule>
  </conditionalFormatting>
  <conditionalFormatting sqref="E65:Z72">
    <cfRule type="containsBlanks" dxfId="3" priority="12">
      <formula>LEN(TRIM(E65))=0</formula>
    </cfRule>
  </conditionalFormatting>
  <conditionalFormatting sqref="E75:Z82">
    <cfRule type="containsBlanks" dxfId="3" priority="13">
      <formula>LEN(TRIM(E75))=0</formula>
    </cfRule>
  </conditionalFormatting>
  <conditionalFormatting sqref="E85:Z92">
    <cfRule type="containsBlanks" dxfId="3" priority="14">
      <formula>LEN(TRIM(E85))=0</formula>
    </cfRule>
  </conditionalFormatting>
  <conditionalFormatting sqref="E95:Z96">
    <cfRule type="containsBlanks" dxfId="3" priority="15">
      <formula>LEN(TRIM(E95))=0</formula>
    </cfRule>
  </conditionalFormatting>
  <conditionalFormatting sqref="E99:Z100">
    <cfRule type="containsBlanks" dxfId="3" priority="16">
      <formula>LEN(TRIM(E99))=0</formula>
    </cfRule>
  </conditionalFormatting>
  <conditionalFormatting sqref="E103:Z110">
    <cfRule type="containsBlanks" dxfId="3" priority="17">
      <formula>LEN(TRIM(E103))=0</formula>
    </cfRule>
  </conditionalFormatting>
  <conditionalFormatting sqref="E113:Z114">
    <cfRule type="containsBlanks" dxfId="3" priority="18">
      <formula>LEN(TRIM(E113))=0</formula>
    </cfRule>
  </conditionalFormatting>
  <conditionalFormatting sqref="E117:Z124">
    <cfRule type="containsBlanks" dxfId="3" priority="19">
      <formula>LEN(TRIM(E117))=0</formula>
    </cfRule>
  </conditionalFormatting>
  <conditionalFormatting sqref="E127:Z128">
    <cfRule type="containsBlanks" dxfId="3" priority="20">
      <formula>LEN(TRIM(E127))=0</formula>
    </cfRule>
  </conditionalFormatting>
  <conditionalFormatting sqref="E131:Z135">
    <cfRule type="containsBlanks" dxfId="3" priority="21">
      <formula>LEN(TRIM(E131))=0</formula>
    </cfRule>
  </conditionalFormatting>
  <conditionalFormatting sqref="E138:Z145">
    <cfRule type="containsBlanks" dxfId="3" priority="22">
      <formula>LEN(TRIM(E138))=0</formula>
    </cfRule>
  </conditionalFormatting>
  <conditionalFormatting sqref="E148:Z155">
    <cfRule type="containsBlanks" dxfId="3" priority="23">
      <formula>LEN(TRIM(E148))=0</formula>
    </cfRule>
  </conditionalFormatting>
  <conditionalFormatting sqref="E158:Z160">
    <cfRule type="containsBlanks" dxfId="3" priority="24">
      <formula>LEN(TRIM(E158))=0</formula>
    </cfRule>
  </conditionalFormatting>
  <conditionalFormatting sqref="E163:Z164">
    <cfRule type="containsBlanks" dxfId="3" priority="25">
      <formula>LEN(TRIM(E163))=0</formula>
    </cfRule>
  </conditionalFormatting>
  <conditionalFormatting sqref="E167:Z174">
    <cfRule type="containsBlanks" dxfId="3" priority="26">
      <formula>LEN(TRIM(E167))=0</formula>
    </cfRule>
  </conditionalFormatting>
  <conditionalFormatting sqref="E177:Z180">
    <cfRule type="containsBlanks" dxfId="3" priority="27">
      <formula>LEN(TRIM(E177))=0</formula>
    </cfRule>
  </conditionalFormatting>
  <conditionalFormatting sqref="E184:Z185">
    <cfRule type="containsBlanks" dxfId="3" priority="28">
      <formula>LEN(TRIM(E184))=0</formula>
    </cfRule>
  </conditionalFormatting>
  <conditionalFormatting sqref="E186:Z186">
    <cfRule type="expression" dxfId="0" priority="29">
      <formula>E186&lt;&gt;#REF!</formula>
    </cfRule>
  </conditionalFormatting>
  <conditionalFormatting sqref="E186:Z186">
    <cfRule type="expression" dxfId="1" priority="30">
      <formula>#REF!&lt;&gt;E186</formula>
    </cfRule>
  </conditionalFormatting>
  <conditionalFormatting sqref="E186:Z186">
    <cfRule type="expression" dxfId="2" priority="31">
      <formula>#REF!=E186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6" width="8.71"/>
    <col customWidth="1" min="37" max="37" width="13.29"/>
    <col customWidth="1" min="38" max="39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163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/>
      <c r="AJ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165</v>
      </c>
      <c r="F13" s="13" t="s">
        <v>166</v>
      </c>
      <c r="G13" s="13" t="s">
        <v>167</v>
      </c>
      <c r="H13" s="13" t="s">
        <v>168</v>
      </c>
      <c r="I13" s="13" t="s">
        <v>169</v>
      </c>
      <c r="J13" s="13" t="s">
        <v>170</v>
      </c>
      <c r="K13" s="13" t="s">
        <v>171</v>
      </c>
      <c r="L13" s="13" t="s">
        <v>172</v>
      </c>
      <c r="M13" s="13" t="s">
        <v>173</v>
      </c>
      <c r="N13" s="13" t="s">
        <v>174</v>
      </c>
      <c r="O13" s="13" t="s">
        <v>175</v>
      </c>
      <c r="P13" s="13" t="s">
        <v>176</v>
      </c>
      <c r="Q13" s="13" t="s">
        <v>177</v>
      </c>
      <c r="R13" s="13" t="s">
        <v>178</v>
      </c>
      <c r="S13" s="13" t="s">
        <v>179</v>
      </c>
      <c r="T13" s="13" t="s">
        <v>180</v>
      </c>
      <c r="U13" s="13" t="s">
        <v>181</v>
      </c>
      <c r="V13" s="13" t="s">
        <v>182</v>
      </c>
      <c r="W13" s="13" t="s">
        <v>183</v>
      </c>
      <c r="X13" s="13" t="s">
        <v>184</v>
      </c>
      <c r="Y13" s="13" t="s">
        <v>185</v>
      </c>
      <c r="Z13" s="13" t="s">
        <v>186</v>
      </c>
      <c r="AA13" s="13" t="s">
        <v>187</v>
      </c>
      <c r="AB13" s="13" t="s">
        <v>188</v>
      </c>
      <c r="AC13" s="13" t="s">
        <v>189</v>
      </c>
      <c r="AD13" s="13" t="s">
        <v>190</v>
      </c>
      <c r="AE13" s="13" t="s">
        <v>191</v>
      </c>
      <c r="AF13" s="13" t="s">
        <v>192</v>
      </c>
      <c r="AG13" s="13" t="s">
        <v>193</v>
      </c>
      <c r="AH13" s="13" t="s">
        <v>194</v>
      </c>
      <c r="AI13" s="13" t="s">
        <v>195</v>
      </c>
      <c r="AJ13" s="13" t="s">
        <v>196</v>
      </c>
      <c r="AK13" s="36"/>
    </row>
    <row r="14" ht="12.75" customHeight="1">
      <c r="A14" s="18"/>
      <c r="B14" s="22" t="s">
        <v>11</v>
      </c>
      <c r="C14" s="23"/>
      <c r="D14" s="19" t="s">
        <v>12</v>
      </c>
      <c r="E14" s="69">
        <v>128.0</v>
      </c>
      <c r="F14" s="69">
        <v>130.0</v>
      </c>
      <c r="G14" s="69">
        <v>145.0</v>
      </c>
      <c r="H14" s="69">
        <v>137.0</v>
      </c>
      <c r="I14" s="69">
        <v>140.0</v>
      </c>
      <c r="J14" s="69">
        <v>140.0</v>
      </c>
      <c r="K14" s="69">
        <v>126.0</v>
      </c>
      <c r="L14" s="69">
        <v>133.0</v>
      </c>
      <c r="M14" s="69">
        <v>131.0</v>
      </c>
      <c r="N14" s="69">
        <v>137.0</v>
      </c>
      <c r="O14" s="69">
        <v>140.0</v>
      </c>
      <c r="P14" s="69">
        <v>134.0</v>
      </c>
      <c r="Q14" s="69">
        <v>129.0</v>
      </c>
      <c r="R14" s="69">
        <v>129.0</v>
      </c>
      <c r="S14" s="69">
        <v>128.0</v>
      </c>
      <c r="T14" s="69">
        <v>130.0</v>
      </c>
      <c r="U14" s="69">
        <v>130.0</v>
      </c>
      <c r="V14" s="69">
        <v>134.0</v>
      </c>
      <c r="W14" s="69">
        <v>128.0</v>
      </c>
      <c r="X14" s="69">
        <v>134.0</v>
      </c>
      <c r="Y14" s="69">
        <v>133.0</v>
      </c>
      <c r="Z14" s="69">
        <v>127.0</v>
      </c>
      <c r="AA14" s="69">
        <v>137.0</v>
      </c>
      <c r="AB14" s="69">
        <v>130.0</v>
      </c>
      <c r="AC14" s="69">
        <v>142.0</v>
      </c>
      <c r="AD14" s="69">
        <v>133.0</v>
      </c>
      <c r="AE14" s="69">
        <v>138.0</v>
      </c>
      <c r="AF14" s="69">
        <v>135.0</v>
      </c>
      <c r="AG14" s="69">
        <v>125.0</v>
      </c>
      <c r="AH14" s="69">
        <v>140.0</v>
      </c>
      <c r="AI14" s="69">
        <v>135.0</v>
      </c>
      <c r="AJ14" s="69">
        <v>135.0</v>
      </c>
      <c r="AK14" s="13">
        <f t="shared" ref="AK14:AK16" si="1">SUM(E14:AJ14)</f>
        <v>4273</v>
      </c>
    </row>
    <row r="15" ht="12.75" customHeight="1">
      <c r="A15" s="18"/>
      <c r="B15" s="26"/>
      <c r="C15" s="27"/>
      <c r="D15" s="19" t="s">
        <v>13</v>
      </c>
      <c r="E15" s="69">
        <v>123.0</v>
      </c>
      <c r="F15" s="69">
        <v>135.0</v>
      </c>
      <c r="G15" s="69">
        <v>138.0</v>
      </c>
      <c r="H15" s="69">
        <v>133.0</v>
      </c>
      <c r="I15" s="69">
        <v>125.0</v>
      </c>
      <c r="J15" s="69">
        <v>139.0</v>
      </c>
      <c r="K15" s="69">
        <v>135.0</v>
      </c>
      <c r="L15" s="69">
        <v>135.0</v>
      </c>
      <c r="M15" s="69">
        <v>140.0</v>
      </c>
      <c r="N15" s="69">
        <v>136.0</v>
      </c>
      <c r="O15" s="69">
        <v>131.0</v>
      </c>
      <c r="P15" s="69">
        <v>138.0</v>
      </c>
      <c r="Q15" s="69">
        <v>135.0</v>
      </c>
      <c r="R15" s="69">
        <v>137.0</v>
      </c>
      <c r="S15" s="69">
        <v>140.0</v>
      </c>
      <c r="T15" s="69">
        <v>132.0</v>
      </c>
      <c r="U15" s="69">
        <v>138.0</v>
      </c>
      <c r="V15" s="69">
        <v>125.0</v>
      </c>
      <c r="W15" s="69">
        <v>140.0</v>
      </c>
      <c r="X15" s="69">
        <v>134.0</v>
      </c>
      <c r="Y15" s="69">
        <v>130.0</v>
      </c>
      <c r="Z15" s="69">
        <v>135.0</v>
      </c>
      <c r="AA15" s="69">
        <v>133.0</v>
      </c>
      <c r="AB15" s="69">
        <v>130.0</v>
      </c>
      <c r="AC15" s="69">
        <v>135.0</v>
      </c>
      <c r="AD15" s="69">
        <v>133.0</v>
      </c>
      <c r="AE15" s="69">
        <v>135.0</v>
      </c>
      <c r="AF15" s="69">
        <v>122.0</v>
      </c>
      <c r="AG15" s="69">
        <v>121.0</v>
      </c>
      <c r="AH15" s="69">
        <v>126.0</v>
      </c>
      <c r="AI15" s="69">
        <v>133.0</v>
      </c>
      <c r="AJ15" s="69">
        <v>133.0</v>
      </c>
      <c r="AK15" s="13">
        <f t="shared" si="1"/>
        <v>4255</v>
      </c>
    </row>
    <row r="16" ht="12.75" customHeight="1">
      <c r="A16" s="25"/>
      <c r="B16" s="21"/>
      <c r="C16" s="28"/>
      <c r="D16" s="13" t="s">
        <v>14</v>
      </c>
      <c r="E16" s="13">
        <f t="shared" ref="E16:AJ16" si="2">SUM(E14:E15)</f>
        <v>251</v>
      </c>
      <c r="F16" s="13">
        <f t="shared" si="2"/>
        <v>265</v>
      </c>
      <c r="G16" s="13">
        <f t="shared" si="2"/>
        <v>283</v>
      </c>
      <c r="H16" s="13">
        <f t="shared" si="2"/>
        <v>270</v>
      </c>
      <c r="I16" s="13">
        <f t="shared" si="2"/>
        <v>265</v>
      </c>
      <c r="J16" s="13">
        <f t="shared" si="2"/>
        <v>279</v>
      </c>
      <c r="K16" s="13">
        <f t="shared" si="2"/>
        <v>261</v>
      </c>
      <c r="L16" s="13">
        <f t="shared" si="2"/>
        <v>268</v>
      </c>
      <c r="M16" s="13">
        <f t="shared" si="2"/>
        <v>271</v>
      </c>
      <c r="N16" s="13">
        <f t="shared" si="2"/>
        <v>273</v>
      </c>
      <c r="O16" s="13">
        <f t="shared" si="2"/>
        <v>271</v>
      </c>
      <c r="P16" s="13">
        <f t="shared" si="2"/>
        <v>272</v>
      </c>
      <c r="Q16" s="13">
        <f t="shared" si="2"/>
        <v>264</v>
      </c>
      <c r="R16" s="13">
        <f t="shared" si="2"/>
        <v>266</v>
      </c>
      <c r="S16" s="13">
        <f t="shared" si="2"/>
        <v>268</v>
      </c>
      <c r="T16" s="13">
        <f t="shared" si="2"/>
        <v>262</v>
      </c>
      <c r="U16" s="13">
        <f t="shared" si="2"/>
        <v>268</v>
      </c>
      <c r="V16" s="13">
        <f t="shared" si="2"/>
        <v>259</v>
      </c>
      <c r="W16" s="13">
        <f t="shared" si="2"/>
        <v>268</v>
      </c>
      <c r="X16" s="13">
        <f t="shared" si="2"/>
        <v>268</v>
      </c>
      <c r="Y16" s="13">
        <f t="shared" si="2"/>
        <v>263</v>
      </c>
      <c r="Z16" s="13">
        <f t="shared" si="2"/>
        <v>262</v>
      </c>
      <c r="AA16" s="13">
        <f t="shared" si="2"/>
        <v>270</v>
      </c>
      <c r="AB16" s="13">
        <f t="shared" si="2"/>
        <v>260</v>
      </c>
      <c r="AC16" s="13">
        <f t="shared" si="2"/>
        <v>277</v>
      </c>
      <c r="AD16" s="13">
        <f t="shared" si="2"/>
        <v>266</v>
      </c>
      <c r="AE16" s="13">
        <f t="shared" si="2"/>
        <v>273</v>
      </c>
      <c r="AF16" s="13">
        <f t="shared" si="2"/>
        <v>257</v>
      </c>
      <c r="AG16" s="13">
        <f t="shared" si="2"/>
        <v>246</v>
      </c>
      <c r="AH16" s="13">
        <f t="shared" si="2"/>
        <v>266</v>
      </c>
      <c r="AI16" s="13">
        <f t="shared" si="2"/>
        <v>268</v>
      </c>
      <c r="AJ16" s="13">
        <f t="shared" si="2"/>
        <v>268</v>
      </c>
      <c r="AK16" s="13">
        <f t="shared" si="1"/>
        <v>8528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0"/>
      <c r="O17" s="19"/>
      <c r="P17" s="19"/>
      <c r="Q17" s="19"/>
      <c r="R17" s="19"/>
      <c r="S17" s="70"/>
      <c r="T17" s="19"/>
      <c r="U17" s="19"/>
      <c r="V17" s="19"/>
      <c r="W17" s="19"/>
      <c r="X17" s="70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70"/>
      <c r="AJ17" s="19"/>
      <c r="AK17" s="71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0"/>
      <c r="O18" s="19"/>
      <c r="P18" s="19"/>
      <c r="Q18" s="19"/>
      <c r="R18" s="19"/>
      <c r="S18" s="70"/>
      <c r="T18" s="19"/>
      <c r="U18" s="19"/>
      <c r="V18" s="19"/>
      <c r="W18" s="19"/>
      <c r="X18" s="70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70"/>
      <c r="AJ18" s="19"/>
      <c r="AK18" s="71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69">
        <v>96.0</v>
      </c>
      <c r="F19" s="69">
        <v>92.0</v>
      </c>
      <c r="G19" s="69">
        <v>111.0</v>
      </c>
      <c r="H19" s="69">
        <v>107.0</v>
      </c>
      <c r="I19" s="69">
        <v>106.0</v>
      </c>
      <c r="J19" s="69">
        <v>108.0</v>
      </c>
      <c r="K19" s="69">
        <v>97.0</v>
      </c>
      <c r="L19" s="69">
        <v>102.0</v>
      </c>
      <c r="M19" s="69">
        <v>97.0</v>
      </c>
      <c r="N19" s="69">
        <v>114.0</v>
      </c>
      <c r="O19" s="69">
        <v>101.0</v>
      </c>
      <c r="P19" s="69">
        <v>90.0</v>
      </c>
      <c r="Q19" s="69">
        <v>99.0</v>
      </c>
      <c r="R19" s="69">
        <v>84.0</v>
      </c>
      <c r="S19" s="69">
        <v>83.0</v>
      </c>
      <c r="T19" s="69">
        <v>102.0</v>
      </c>
      <c r="U19" s="69">
        <v>97.0</v>
      </c>
      <c r="V19" s="69">
        <v>98.0</v>
      </c>
      <c r="W19" s="69">
        <v>102.0</v>
      </c>
      <c r="X19" s="69">
        <v>99.0</v>
      </c>
      <c r="Y19" s="69">
        <v>100.0</v>
      </c>
      <c r="Z19" s="69">
        <v>105.0</v>
      </c>
      <c r="AA19" s="69">
        <v>103.0</v>
      </c>
      <c r="AB19" s="69">
        <v>101.0</v>
      </c>
      <c r="AC19" s="69">
        <v>114.0</v>
      </c>
      <c r="AD19" s="69">
        <v>107.0</v>
      </c>
      <c r="AE19" s="69">
        <v>106.0</v>
      </c>
      <c r="AF19" s="69">
        <v>106.0</v>
      </c>
      <c r="AG19" s="69">
        <v>98.0</v>
      </c>
      <c r="AH19" s="69">
        <v>108.0</v>
      </c>
      <c r="AI19" s="69">
        <v>87.0</v>
      </c>
      <c r="AJ19" s="69">
        <v>108.0</v>
      </c>
      <c r="AK19" s="13">
        <f t="shared" ref="AK19:AK30" si="3">SUM(E19:AJ19)</f>
        <v>3228</v>
      </c>
    </row>
    <row r="20" ht="12.75" customHeight="1">
      <c r="A20" s="33"/>
      <c r="B20" s="27"/>
      <c r="C20" s="34"/>
      <c r="D20" s="19" t="s">
        <v>13</v>
      </c>
      <c r="E20" s="69">
        <v>100.0</v>
      </c>
      <c r="F20" s="69">
        <v>103.0</v>
      </c>
      <c r="G20" s="69">
        <v>109.0</v>
      </c>
      <c r="H20" s="69">
        <v>110.0</v>
      </c>
      <c r="I20" s="69">
        <v>112.0</v>
      </c>
      <c r="J20" s="69">
        <v>110.0</v>
      </c>
      <c r="K20" s="69">
        <v>105.0</v>
      </c>
      <c r="L20" s="69">
        <v>112.0</v>
      </c>
      <c r="M20" s="69">
        <v>106.0</v>
      </c>
      <c r="N20" s="69">
        <v>112.0</v>
      </c>
      <c r="O20" s="69">
        <v>103.0</v>
      </c>
      <c r="P20" s="69">
        <v>107.0</v>
      </c>
      <c r="Q20" s="69">
        <v>113.0</v>
      </c>
      <c r="R20" s="69">
        <v>106.0</v>
      </c>
      <c r="S20" s="69">
        <v>94.0</v>
      </c>
      <c r="T20" s="69">
        <v>109.0</v>
      </c>
      <c r="U20" s="69">
        <v>101.0</v>
      </c>
      <c r="V20" s="69">
        <v>100.0</v>
      </c>
      <c r="W20" s="69">
        <v>115.0</v>
      </c>
      <c r="X20" s="69">
        <v>90.0</v>
      </c>
      <c r="Y20" s="69">
        <v>101.0</v>
      </c>
      <c r="Z20" s="69">
        <v>108.0</v>
      </c>
      <c r="AA20" s="69">
        <v>106.0</v>
      </c>
      <c r="AB20" s="69">
        <v>105.0</v>
      </c>
      <c r="AC20" s="69">
        <v>112.0</v>
      </c>
      <c r="AD20" s="69">
        <v>104.0</v>
      </c>
      <c r="AE20" s="69">
        <v>100.0</v>
      </c>
      <c r="AF20" s="69">
        <v>101.0</v>
      </c>
      <c r="AG20" s="69">
        <v>85.0</v>
      </c>
      <c r="AH20" s="69">
        <v>95.0</v>
      </c>
      <c r="AI20" s="69">
        <v>105.0</v>
      </c>
      <c r="AJ20" s="69">
        <v>104.0</v>
      </c>
      <c r="AK20" s="13">
        <f t="shared" si="3"/>
        <v>3343</v>
      </c>
    </row>
    <row r="21" ht="12.75" customHeight="1">
      <c r="A21" s="35"/>
      <c r="B21" s="28"/>
      <c r="C21" s="36"/>
      <c r="D21" s="13" t="s">
        <v>14</v>
      </c>
      <c r="E21" s="13">
        <f t="shared" ref="E21:AJ21" si="4">SUM(E19:E20)</f>
        <v>196</v>
      </c>
      <c r="F21" s="13">
        <f t="shared" si="4"/>
        <v>195</v>
      </c>
      <c r="G21" s="13">
        <f t="shared" si="4"/>
        <v>220</v>
      </c>
      <c r="H21" s="13">
        <f t="shared" si="4"/>
        <v>217</v>
      </c>
      <c r="I21" s="13">
        <f t="shared" si="4"/>
        <v>218</v>
      </c>
      <c r="J21" s="13">
        <f t="shared" si="4"/>
        <v>218</v>
      </c>
      <c r="K21" s="13">
        <f t="shared" si="4"/>
        <v>202</v>
      </c>
      <c r="L21" s="13">
        <f t="shared" si="4"/>
        <v>214</v>
      </c>
      <c r="M21" s="13">
        <f t="shared" si="4"/>
        <v>203</v>
      </c>
      <c r="N21" s="13">
        <f t="shared" si="4"/>
        <v>226</v>
      </c>
      <c r="O21" s="13">
        <f t="shared" si="4"/>
        <v>204</v>
      </c>
      <c r="P21" s="13">
        <f t="shared" si="4"/>
        <v>197</v>
      </c>
      <c r="Q21" s="13">
        <f t="shared" si="4"/>
        <v>212</v>
      </c>
      <c r="R21" s="13">
        <f t="shared" si="4"/>
        <v>190</v>
      </c>
      <c r="S21" s="13">
        <f t="shared" si="4"/>
        <v>177</v>
      </c>
      <c r="T21" s="13">
        <f t="shared" si="4"/>
        <v>211</v>
      </c>
      <c r="U21" s="13">
        <f t="shared" si="4"/>
        <v>198</v>
      </c>
      <c r="V21" s="13">
        <f t="shared" si="4"/>
        <v>198</v>
      </c>
      <c r="W21" s="13">
        <f t="shared" si="4"/>
        <v>217</v>
      </c>
      <c r="X21" s="13">
        <f t="shared" si="4"/>
        <v>189</v>
      </c>
      <c r="Y21" s="13">
        <f t="shared" si="4"/>
        <v>201</v>
      </c>
      <c r="Z21" s="13">
        <f t="shared" si="4"/>
        <v>213</v>
      </c>
      <c r="AA21" s="13">
        <f t="shared" si="4"/>
        <v>209</v>
      </c>
      <c r="AB21" s="13">
        <f t="shared" si="4"/>
        <v>206</v>
      </c>
      <c r="AC21" s="13">
        <f t="shared" si="4"/>
        <v>226</v>
      </c>
      <c r="AD21" s="13">
        <f t="shared" si="4"/>
        <v>211</v>
      </c>
      <c r="AE21" s="13">
        <f t="shared" si="4"/>
        <v>206</v>
      </c>
      <c r="AF21" s="13">
        <f t="shared" si="4"/>
        <v>207</v>
      </c>
      <c r="AG21" s="13">
        <f t="shared" si="4"/>
        <v>183</v>
      </c>
      <c r="AH21" s="13">
        <f t="shared" si="4"/>
        <v>203</v>
      </c>
      <c r="AI21" s="13">
        <f t="shared" si="4"/>
        <v>192</v>
      </c>
      <c r="AJ21" s="13">
        <f t="shared" si="4"/>
        <v>212</v>
      </c>
      <c r="AK21" s="13">
        <f t="shared" si="3"/>
        <v>6571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69">
        <v>0.0</v>
      </c>
      <c r="F22" s="69">
        <v>0.0</v>
      </c>
      <c r="G22" s="69">
        <v>0.0</v>
      </c>
      <c r="H22" s="69">
        <v>0.0</v>
      </c>
      <c r="I22" s="69">
        <v>1.0</v>
      </c>
      <c r="J22" s="69">
        <v>0.0</v>
      </c>
      <c r="K22" s="69">
        <v>0.0</v>
      </c>
      <c r="L22" s="69">
        <v>0.0</v>
      </c>
      <c r="M22" s="69">
        <v>0.0</v>
      </c>
      <c r="N22" s="69">
        <v>0.0</v>
      </c>
      <c r="O22" s="69">
        <v>1.0</v>
      </c>
      <c r="P22" s="69">
        <v>0.0</v>
      </c>
      <c r="Q22" s="69">
        <v>1.0</v>
      </c>
      <c r="R22" s="69">
        <v>0.0</v>
      </c>
      <c r="S22" s="69">
        <v>0.0</v>
      </c>
      <c r="T22" s="69">
        <v>0.0</v>
      </c>
      <c r="U22" s="69">
        <v>0.0</v>
      </c>
      <c r="V22" s="69">
        <v>0.0</v>
      </c>
      <c r="W22" s="69">
        <v>0.0</v>
      </c>
      <c r="X22" s="69">
        <v>0.0</v>
      </c>
      <c r="Y22" s="69">
        <v>0.0</v>
      </c>
      <c r="Z22" s="69">
        <v>1.0</v>
      </c>
      <c r="AA22" s="69">
        <v>0.0</v>
      </c>
      <c r="AB22" s="69">
        <v>0.0</v>
      </c>
      <c r="AC22" s="69">
        <v>0.0</v>
      </c>
      <c r="AD22" s="69">
        <v>0.0</v>
      </c>
      <c r="AE22" s="69">
        <v>0.0</v>
      </c>
      <c r="AF22" s="69">
        <v>1.0</v>
      </c>
      <c r="AG22" s="69">
        <v>0.0</v>
      </c>
      <c r="AH22" s="69">
        <v>0.0</v>
      </c>
      <c r="AI22" s="69">
        <v>0.0</v>
      </c>
      <c r="AJ22" s="69">
        <v>0.0</v>
      </c>
      <c r="AK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69">
        <v>0.0</v>
      </c>
      <c r="F23" s="69">
        <v>0.0</v>
      </c>
      <c r="G23" s="69">
        <v>0.0</v>
      </c>
      <c r="H23" s="69">
        <v>0.0</v>
      </c>
      <c r="I23" s="69">
        <v>1.0</v>
      </c>
      <c r="J23" s="69">
        <v>0.0</v>
      </c>
      <c r="K23" s="69">
        <v>0.0</v>
      </c>
      <c r="L23" s="69">
        <v>0.0</v>
      </c>
      <c r="M23" s="69">
        <v>0.0</v>
      </c>
      <c r="N23" s="69">
        <v>0.0</v>
      </c>
      <c r="O23" s="69">
        <v>1.0</v>
      </c>
      <c r="P23" s="69">
        <v>0.0</v>
      </c>
      <c r="Q23" s="69">
        <v>0.0</v>
      </c>
      <c r="R23" s="69">
        <v>0.0</v>
      </c>
      <c r="S23" s="69">
        <v>0.0</v>
      </c>
      <c r="T23" s="69">
        <v>0.0</v>
      </c>
      <c r="U23" s="69">
        <v>1.0</v>
      </c>
      <c r="V23" s="69">
        <v>0.0</v>
      </c>
      <c r="W23" s="69">
        <v>0.0</v>
      </c>
      <c r="X23" s="69">
        <v>0.0</v>
      </c>
      <c r="Y23" s="69">
        <v>0.0</v>
      </c>
      <c r="Z23" s="69">
        <v>0.0</v>
      </c>
      <c r="AA23" s="69">
        <v>0.0</v>
      </c>
      <c r="AB23" s="69">
        <v>0.0</v>
      </c>
      <c r="AC23" s="69">
        <v>0.0</v>
      </c>
      <c r="AD23" s="69">
        <v>0.0</v>
      </c>
      <c r="AE23" s="69">
        <v>0.0</v>
      </c>
      <c r="AF23" s="69">
        <v>0.0</v>
      </c>
      <c r="AG23" s="69">
        <v>0.0</v>
      </c>
      <c r="AH23" s="69">
        <v>0.0</v>
      </c>
      <c r="AI23" s="69">
        <v>0.0</v>
      </c>
      <c r="AJ23" s="69">
        <v>0.0</v>
      </c>
      <c r="AK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J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2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1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1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3"/>
        <v>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69">
        <v>2.0</v>
      </c>
      <c r="F25" s="69">
        <v>2.0</v>
      </c>
      <c r="G25" s="69">
        <v>2.0</v>
      </c>
      <c r="H25" s="69">
        <v>0.0</v>
      </c>
      <c r="I25" s="69">
        <v>0.0</v>
      </c>
      <c r="J25" s="69">
        <v>1.0</v>
      </c>
      <c r="K25" s="69">
        <v>1.0</v>
      </c>
      <c r="L25" s="69">
        <v>0.0</v>
      </c>
      <c r="M25" s="69">
        <v>1.0</v>
      </c>
      <c r="N25" s="69">
        <v>0.0</v>
      </c>
      <c r="O25" s="69">
        <v>1.0</v>
      </c>
      <c r="P25" s="69">
        <v>2.0</v>
      </c>
      <c r="Q25" s="69">
        <v>2.0</v>
      </c>
      <c r="R25" s="69">
        <v>0.0</v>
      </c>
      <c r="S25" s="69">
        <v>0.0</v>
      </c>
      <c r="T25" s="69">
        <v>1.0</v>
      </c>
      <c r="U25" s="69">
        <v>0.0</v>
      </c>
      <c r="V25" s="69">
        <v>1.0</v>
      </c>
      <c r="W25" s="69">
        <v>0.0</v>
      </c>
      <c r="X25" s="69">
        <v>3.0</v>
      </c>
      <c r="Y25" s="69">
        <v>0.0</v>
      </c>
      <c r="Z25" s="69">
        <v>1.0</v>
      </c>
      <c r="AA25" s="69">
        <v>0.0</v>
      </c>
      <c r="AB25" s="69">
        <v>1.0</v>
      </c>
      <c r="AC25" s="69">
        <v>1.0</v>
      </c>
      <c r="AD25" s="69">
        <v>3.0</v>
      </c>
      <c r="AE25" s="69">
        <v>2.0</v>
      </c>
      <c r="AF25" s="69">
        <v>0.0</v>
      </c>
      <c r="AG25" s="69">
        <v>3.0</v>
      </c>
      <c r="AH25" s="69">
        <v>1.0</v>
      </c>
      <c r="AI25" s="69">
        <v>2.0</v>
      </c>
      <c r="AJ25" s="69">
        <v>2.0</v>
      </c>
      <c r="AK25" s="13">
        <f t="shared" si="3"/>
        <v>35</v>
      </c>
    </row>
    <row r="26" ht="12.75" customHeight="1">
      <c r="A26" s="33"/>
      <c r="B26" s="27"/>
      <c r="C26" s="34"/>
      <c r="D26" s="19" t="s">
        <v>13</v>
      </c>
      <c r="E26" s="69">
        <v>1.0</v>
      </c>
      <c r="F26" s="69">
        <v>2.0</v>
      </c>
      <c r="G26" s="69">
        <v>3.0</v>
      </c>
      <c r="H26" s="69">
        <v>0.0</v>
      </c>
      <c r="I26" s="69">
        <v>1.0</v>
      </c>
      <c r="J26" s="69">
        <v>1.0</v>
      </c>
      <c r="K26" s="69">
        <v>2.0</v>
      </c>
      <c r="L26" s="69">
        <v>0.0</v>
      </c>
      <c r="M26" s="69">
        <v>2.0</v>
      </c>
      <c r="N26" s="69">
        <v>4.0</v>
      </c>
      <c r="O26" s="69">
        <v>1.0</v>
      </c>
      <c r="P26" s="69">
        <v>2.0</v>
      </c>
      <c r="Q26" s="69">
        <v>2.0</v>
      </c>
      <c r="R26" s="69">
        <v>1.0</v>
      </c>
      <c r="S26" s="69">
        <v>0.0</v>
      </c>
      <c r="T26" s="69">
        <v>0.0</v>
      </c>
      <c r="U26" s="69">
        <v>2.0</v>
      </c>
      <c r="V26" s="69">
        <v>0.0</v>
      </c>
      <c r="W26" s="69">
        <v>0.0</v>
      </c>
      <c r="X26" s="69">
        <v>5.0</v>
      </c>
      <c r="Y26" s="69">
        <v>0.0</v>
      </c>
      <c r="Z26" s="69">
        <v>0.0</v>
      </c>
      <c r="AA26" s="69">
        <v>4.0</v>
      </c>
      <c r="AB26" s="69">
        <v>2.0</v>
      </c>
      <c r="AC26" s="69">
        <v>3.0</v>
      </c>
      <c r="AD26" s="69">
        <v>0.0</v>
      </c>
      <c r="AE26" s="69">
        <v>3.0</v>
      </c>
      <c r="AF26" s="69">
        <v>0.0</v>
      </c>
      <c r="AG26" s="69">
        <v>2.0</v>
      </c>
      <c r="AH26" s="69">
        <v>3.0</v>
      </c>
      <c r="AI26" s="69">
        <v>1.0</v>
      </c>
      <c r="AJ26" s="69">
        <v>1.0</v>
      </c>
      <c r="AK26" s="13">
        <f t="shared" si="3"/>
        <v>48</v>
      </c>
    </row>
    <row r="27" ht="12.75" customHeight="1">
      <c r="A27" s="35"/>
      <c r="B27" s="28"/>
      <c r="C27" s="36"/>
      <c r="D27" s="13" t="s">
        <v>14</v>
      </c>
      <c r="E27" s="13">
        <f t="shared" ref="E27:AJ27" si="6">SUM(E25:E26)</f>
        <v>3</v>
      </c>
      <c r="F27" s="13">
        <f t="shared" si="6"/>
        <v>4</v>
      </c>
      <c r="G27" s="13">
        <f t="shared" si="6"/>
        <v>5</v>
      </c>
      <c r="H27" s="13">
        <f t="shared" si="6"/>
        <v>0</v>
      </c>
      <c r="I27" s="13">
        <f t="shared" si="6"/>
        <v>1</v>
      </c>
      <c r="J27" s="13">
        <f t="shared" si="6"/>
        <v>2</v>
      </c>
      <c r="K27" s="13">
        <f t="shared" si="6"/>
        <v>3</v>
      </c>
      <c r="L27" s="13">
        <f t="shared" si="6"/>
        <v>0</v>
      </c>
      <c r="M27" s="13">
        <f t="shared" si="6"/>
        <v>3</v>
      </c>
      <c r="N27" s="13">
        <f t="shared" si="6"/>
        <v>4</v>
      </c>
      <c r="O27" s="13">
        <f t="shared" si="6"/>
        <v>2</v>
      </c>
      <c r="P27" s="13">
        <f t="shared" si="6"/>
        <v>4</v>
      </c>
      <c r="Q27" s="13">
        <f t="shared" si="6"/>
        <v>4</v>
      </c>
      <c r="R27" s="13">
        <f t="shared" si="6"/>
        <v>1</v>
      </c>
      <c r="S27" s="13">
        <f t="shared" si="6"/>
        <v>0</v>
      </c>
      <c r="T27" s="13">
        <f t="shared" si="6"/>
        <v>1</v>
      </c>
      <c r="U27" s="13">
        <f t="shared" si="6"/>
        <v>2</v>
      </c>
      <c r="V27" s="13">
        <f t="shared" si="6"/>
        <v>1</v>
      </c>
      <c r="W27" s="13">
        <f t="shared" si="6"/>
        <v>0</v>
      </c>
      <c r="X27" s="13">
        <f t="shared" si="6"/>
        <v>8</v>
      </c>
      <c r="Y27" s="13">
        <f t="shared" si="6"/>
        <v>0</v>
      </c>
      <c r="Z27" s="13">
        <f t="shared" si="6"/>
        <v>1</v>
      </c>
      <c r="AA27" s="13">
        <f t="shared" si="6"/>
        <v>4</v>
      </c>
      <c r="AB27" s="13">
        <f t="shared" si="6"/>
        <v>3</v>
      </c>
      <c r="AC27" s="13">
        <f t="shared" si="6"/>
        <v>4</v>
      </c>
      <c r="AD27" s="13">
        <f t="shared" si="6"/>
        <v>3</v>
      </c>
      <c r="AE27" s="13">
        <f t="shared" si="6"/>
        <v>5</v>
      </c>
      <c r="AF27" s="13">
        <f t="shared" si="6"/>
        <v>0</v>
      </c>
      <c r="AG27" s="13">
        <f t="shared" si="6"/>
        <v>5</v>
      </c>
      <c r="AH27" s="13">
        <f t="shared" si="6"/>
        <v>4</v>
      </c>
      <c r="AI27" s="13">
        <f t="shared" si="6"/>
        <v>3</v>
      </c>
      <c r="AJ27" s="13">
        <f t="shared" si="6"/>
        <v>3</v>
      </c>
      <c r="AK27" s="13">
        <f t="shared" si="3"/>
        <v>83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J28" si="7">SUM(E19,E22,E25)</f>
        <v>98</v>
      </c>
      <c r="F28" s="13">
        <f t="shared" si="7"/>
        <v>94</v>
      </c>
      <c r="G28" s="13">
        <f t="shared" si="7"/>
        <v>113</v>
      </c>
      <c r="H28" s="13">
        <f t="shared" si="7"/>
        <v>107</v>
      </c>
      <c r="I28" s="13">
        <f t="shared" si="7"/>
        <v>107</v>
      </c>
      <c r="J28" s="13">
        <f t="shared" si="7"/>
        <v>109</v>
      </c>
      <c r="K28" s="13">
        <f t="shared" si="7"/>
        <v>98</v>
      </c>
      <c r="L28" s="13">
        <f t="shared" si="7"/>
        <v>102</v>
      </c>
      <c r="M28" s="13">
        <f t="shared" si="7"/>
        <v>98</v>
      </c>
      <c r="N28" s="13">
        <f t="shared" si="7"/>
        <v>114</v>
      </c>
      <c r="O28" s="13">
        <f t="shared" si="7"/>
        <v>103</v>
      </c>
      <c r="P28" s="13">
        <f t="shared" si="7"/>
        <v>92</v>
      </c>
      <c r="Q28" s="13">
        <f t="shared" si="7"/>
        <v>102</v>
      </c>
      <c r="R28" s="13">
        <f t="shared" si="7"/>
        <v>84</v>
      </c>
      <c r="S28" s="13">
        <f t="shared" si="7"/>
        <v>83</v>
      </c>
      <c r="T28" s="13">
        <f t="shared" si="7"/>
        <v>103</v>
      </c>
      <c r="U28" s="13">
        <f t="shared" si="7"/>
        <v>97</v>
      </c>
      <c r="V28" s="13">
        <f t="shared" si="7"/>
        <v>99</v>
      </c>
      <c r="W28" s="13">
        <f t="shared" si="7"/>
        <v>102</v>
      </c>
      <c r="X28" s="13">
        <f t="shared" si="7"/>
        <v>102</v>
      </c>
      <c r="Y28" s="13">
        <f t="shared" si="7"/>
        <v>100</v>
      </c>
      <c r="Z28" s="13">
        <f t="shared" si="7"/>
        <v>107</v>
      </c>
      <c r="AA28" s="13">
        <f t="shared" si="7"/>
        <v>103</v>
      </c>
      <c r="AB28" s="13">
        <f t="shared" si="7"/>
        <v>102</v>
      </c>
      <c r="AC28" s="13">
        <f t="shared" si="7"/>
        <v>115</v>
      </c>
      <c r="AD28" s="13">
        <f t="shared" si="7"/>
        <v>110</v>
      </c>
      <c r="AE28" s="13">
        <f t="shared" si="7"/>
        <v>108</v>
      </c>
      <c r="AF28" s="13">
        <f t="shared" si="7"/>
        <v>107</v>
      </c>
      <c r="AG28" s="13">
        <f t="shared" si="7"/>
        <v>101</v>
      </c>
      <c r="AH28" s="13">
        <f t="shared" si="7"/>
        <v>109</v>
      </c>
      <c r="AI28" s="13">
        <f t="shared" si="7"/>
        <v>89</v>
      </c>
      <c r="AJ28" s="13">
        <f t="shared" si="7"/>
        <v>110</v>
      </c>
      <c r="AK28" s="13">
        <f t="shared" si="3"/>
        <v>3268</v>
      </c>
    </row>
    <row r="29" ht="12.75" customHeight="1">
      <c r="A29" s="35"/>
      <c r="B29" s="27"/>
      <c r="C29" s="34"/>
      <c r="D29" s="13" t="s">
        <v>13</v>
      </c>
      <c r="E29" s="13">
        <f t="shared" ref="E29:AJ29" si="8">SUM(E20,E23,E26)</f>
        <v>101</v>
      </c>
      <c r="F29" s="13">
        <f t="shared" si="8"/>
        <v>105</v>
      </c>
      <c r="G29" s="13">
        <f t="shared" si="8"/>
        <v>112</v>
      </c>
      <c r="H29" s="13">
        <f t="shared" si="8"/>
        <v>110</v>
      </c>
      <c r="I29" s="13">
        <f t="shared" si="8"/>
        <v>114</v>
      </c>
      <c r="J29" s="13">
        <f t="shared" si="8"/>
        <v>111</v>
      </c>
      <c r="K29" s="13">
        <f t="shared" si="8"/>
        <v>107</v>
      </c>
      <c r="L29" s="13">
        <f t="shared" si="8"/>
        <v>112</v>
      </c>
      <c r="M29" s="13">
        <f t="shared" si="8"/>
        <v>108</v>
      </c>
      <c r="N29" s="13">
        <f t="shared" si="8"/>
        <v>116</v>
      </c>
      <c r="O29" s="13">
        <f t="shared" si="8"/>
        <v>105</v>
      </c>
      <c r="P29" s="13">
        <f t="shared" si="8"/>
        <v>109</v>
      </c>
      <c r="Q29" s="13">
        <f t="shared" si="8"/>
        <v>115</v>
      </c>
      <c r="R29" s="13">
        <f t="shared" si="8"/>
        <v>107</v>
      </c>
      <c r="S29" s="13">
        <f t="shared" si="8"/>
        <v>94</v>
      </c>
      <c r="T29" s="13">
        <f t="shared" si="8"/>
        <v>109</v>
      </c>
      <c r="U29" s="13">
        <f t="shared" si="8"/>
        <v>104</v>
      </c>
      <c r="V29" s="13">
        <f t="shared" si="8"/>
        <v>100</v>
      </c>
      <c r="W29" s="13">
        <f t="shared" si="8"/>
        <v>115</v>
      </c>
      <c r="X29" s="13">
        <f t="shared" si="8"/>
        <v>95</v>
      </c>
      <c r="Y29" s="13">
        <f t="shared" si="8"/>
        <v>101</v>
      </c>
      <c r="Z29" s="13">
        <f t="shared" si="8"/>
        <v>108</v>
      </c>
      <c r="AA29" s="13">
        <f t="shared" si="8"/>
        <v>110</v>
      </c>
      <c r="AB29" s="13">
        <f t="shared" si="8"/>
        <v>107</v>
      </c>
      <c r="AC29" s="13">
        <f t="shared" si="8"/>
        <v>115</v>
      </c>
      <c r="AD29" s="13">
        <f t="shared" si="8"/>
        <v>104</v>
      </c>
      <c r="AE29" s="13">
        <f t="shared" si="8"/>
        <v>103</v>
      </c>
      <c r="AF29" s="13">
        <f t="shared" si="8"/>
        <v>101</v>
      </c>
      <c r="AG29" s="13">
        <f t="shared" si="8"/>
        <v>87</v>
      </c>
      <c r="AH29" s="13">
        <f t="shared" si="8"/>
        <v>98</v>
      </c>
      <c r="AI29" s="13">
        <f t="shared" si="8"/>
        <v>106</v>
      </c>
      <c r="AJ29" s="13">
        <f t="shared" si="8"/>
        <v>105</v>
      </c>
      <c r="AK29" s="13">
        <f t="shared" si="3"/>
        <v>3394</v>
      </c>
    </row>
    <row r="30" ht="12.75" customHeight="1">
      <c r="A30" s="35"/>
      <c r="B30" s="28"/>
      <c r="C30" s="36"/>
      <c r="D30" s="13" t="s">
        <v>14</v>
      </c>
      <c r="E30" s="13">
        <f t="shared" ref="E30:AJ30" si="9">SUM(E28:E29)</f>
        <v>199</v>
      </c>
      <c r="F30" s="13">
        <f t="shared" si="9"/>
        <v>199</v>
      </c>
      <c r="G30" s="13">
        <f t="shared" si="9"/>
        <v>225</v>
      </c>
      <c r="H30" s="13">
        <f t="shared" si="9"/>
        <v>217</v>
      </c>
      <c r="I30" s="13">
        <f t="shared" si="9"/>
        <v>221</v>
      </c>
      <c r="J30" s="13">
        <f t="shared" si="9"/>
        <v>220</v>
      </c>
      <c r="K30" s="13">
        <f t="shared" si="9"/>
        <v>205</v>
      </c>
      <c r="L30" s="13">
        <f t="shared" si="9"/>
        <v>214</v>
      </c>
      <c r="M30" s="13">
        <f t="shared" si="9"/>
        <v>206</v>
      </c>
      <c r="N30" s="13">
        <f t="shared" si="9"/>
        <v>230</v>
      </c>
      <c r="O30" s="13">
        <f t="shared" si="9"/>
        <v>208</v>
      </c>
      <c r="P30" s="13">
        <f t="shared" si="9"/>
        <v>201</v>
      </c>
      <c r="Q30" s="13">
        <f t="shared" si="9"/>
        <v>217</v>
      </c>
      <c r="R30" s="13">
        <f t="shared" si="9"/>
        <v>191</v>
      </c>
      <c r="S30" s="13">
        <f t="shared" si="9"/>
        <v>177</v>
      </c>
      <c r="T30" s="13">
        <f t="shared" si="9"/>
        <v>212</v>
      </c>
      <c r="U30" s="13">
        <f t="shared" si="9"/>
        <v>201</v>
      </c>
      <c r="V30" s="13">
        <f t="shared" si="9"/>
        <v>199</v>
      </c>
      <c r="W30" s="13">
        <f t="shared" si="9"/>
        <v>217</v>
      </c>
      <c r="X30" s="13">
        <f t="shared" si="9"/>
        <v>197</v>
      </c>
      <c r="Y30" s="13">
        <f t="shared" si="9"/>
        <v>201</v>
      </c>
      <c r="Z30" s="13">
        <f t="shared" si="9"/>
        <v>215</v>
      </c>
      <c r="AA30" s="13">
        <f t="shared" si="9"/>
        <v>213</v>
      </c>
      <c r="AB30" s="13">
        <f t="shared" si="9"/>
        <v>209</v>
      </c>
      <c r="AC30" s="13">
        <f t="shared" si="9"/>
        <v>230</v>
      </c>
      <c r="AD30" s="13">
        <f t="shared" si="9"/>
        <v>214</v>
      </c>
      <c r="AE30" s="13">
        <f t="shared" si="9"/>
        <v>211</v>
      </c>
      <c r="AF30" s="13">
        <f t="shared" si="9"/>
        <v>208</v>
      </c>
      <c r="AG30" s="13">
        <f t="shared" si="9"/>
        <v>188</v>
      </c>
      <c r="AH30" s="13">
        <f t="shared" si="9"/>
        <v>207</v>
      </c>
      <c r="AI30" s="13">
        <f t="shared" si="9"/>
        <v>195</v>
      </c>
      <c r="AJ30" s="13">
        <f t="shared" si="9"/>
        <v>215</v>
      </c>
      <c r="AK30" s="13">
        <f t="shared" si="3"/>
        <v>6662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0"/>
      <c r="O31" s="19"/>
      <c r="P31" s="19"/>
      <c r="Q31" s="19"/>
      <c r="R31" s="19"/>
      <c r="S31" s="70"/>
      <c r="T31" s="19"/>
      <c r="U31" s="19"/>
      <c r="V31" s="19"/>
      <c r="W31" s="19"/>
      <c r="X31" s="70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70"/>
      <c r="AJ31" s="19"/>
      <c r="AK31" s="71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2"/>
      <c r="O32" s="13"/>
      <c r="P32" s="13"/>
      <c r="Q32" s="13"/>
      <c r="R32" s="13"/>
      <c r="S32" s="72"/>
      <c r="T32" s="13"/>
      <c r="U32" s="13"/>
      <c r="V32" s="13"/>
      <c r="W32" s="13"/>
      <c r="X32" s="72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72"/>
      <c r="AJ32" s="13"/>
      <c r="AK32" s="71"/>
    </row>
    <row r="33" ht="12.75" customHeight="1">
      <c r="A33" s="19">
        <v>1.0</v>
      </c>
      <c r="B33" s="20" t="s">
        <v>27</v>
      </c>
      <c r="C33" s="15"/>
      <c r="D33" s="16"/>
      <c r="E33" s="69">
        <v>257.0</v>
      </c>
      <c r="F33" s="69">
        <v>271.0</v>
      </c>
      <c r="G33" s="69">
        <v>289.0</v>
      </c>
      <c r="H33" s="69">
        <v>276.0</v>
      </c>
      <c r="I33" s="69">
        <v>271.0</v>
      </c>
      <c r="J33" s="69">
        <v>285.0</v>
      </c>
      <c r="K33" s="69">
        <v>267.0</v>
      </c>
      <c r="L33" s="69">
        <v>284.0</v>
      </c>
      <c r="M33" s="69">
        <v>277.0</v>
      </c>
      <c r="N33" s="69">
        <v>279.0</v>
      </c>
      <c r="O33" s="69">
        <v>277.0</v>
      </c>
      <c r="P33" s="69">
        <v>278.0</v>
      </c>
      <c r="Q33" s="69">
        <v>269.0</v>
      </c>
      <c r="R33" s="69">
        <v>272.0</v>
      </c>
      <c r="S33" s="69">
        <v>274.0</v>
      </c>
      <c r="T33" s="69">
        <v>268.0</v>
      </c>
      <c r="U33" s="69">
        <v>274.0</v>
      </c>
      <c r="V33" s="69">
        <v>265.0</v>
      </c>
      <c r="W33" s="69">
        <v>274.0</v>
      </c>
      <c r="X33" s="69">
        <v>274.0</v>
      </c>
      <c r="Y33" s="69">
        <v>269.0</v>
      </c>
      <c r="Z33" s="69">
        <v>268.0</v>
      </c>
      <c r="AA33" s="69">
        <v>276.0</v>
      </c>
      <c r="AB33" s="69">
        <v>266.0</v>
      </c>
      <c r="AC33" s="69">
        <v>283.0</v>
      </c>
      <c r="AD33" s="69">
        <v>272.0</v>
      </c>
      <c r="AE33" s="69">
        <v>280.0</v>
      </c>
      <c r="AF33" s="69">
        <v>263.0</v>
      </c>
      <c r="AG33" s="69">
        <v>251.0</v>
      </c>
      <c r="AH33" s="69">
        <v>272.0</v>
      </c>
      <c r="AI33" s="69">
        <v>274.0</v>
      </c>
      <c r="AJ33" s="69">
        <v>274.0</v>
      </c>
      <c r="AK33" s="13">
        <f t="shared" ref="AK33:AK36" si="10">SUM(E33:AJ33)</f>
        <v>8729</v>
      </c>
    </row>
    <row r="34" ht="12.75" customHeight="1">
      <c r="A34" s="19">
        <v>2.0</v>
      </c>
      <c r="B34" s="20" t="s">
        <v>28</v>
      </c>
      <c r="C34" s="15"/>
      <c r="D34" s="16"/>
      <c r="E34" s="73">
        <v>199.0</v>
      </c>
      <c r="F34" s="73">
        <v>199.0</v>
      </c>
      <c r="G34" s="73">
        <v>225.0</v>
      </c>
      <c r="H34" s="73">
        <v>217.0</v>
      </c>
      <c r="I34" s="73">
        <v>221.0</v>
      </c>
      <c r="J34" s="73">
        <v>220.0</v>
      </c>
      <c r="K34" s="73">
        <v>205.0</v>
      </c>
      <c r="L34" s="73">
        <v>214.0</v>
      </c>
      <c r="M34" s="73">
        <v>206.0</v>
      </c>
      <c r="N34" s="73">
        <v>230.0</v>
      </c>
      <c r="O34" s="73">
        <v>208.0</v>
      </c>
      <c r="P34" s="73">
        <v>201.0</v>
      </c>
      <c r="Q34" s="73">
        <v>217.0</v>
      </c>
      <c r="R34" s="73">
        <v>191.0</v>
      </c>
      <c r="S34" s="73">
        <v>177.0</v>
      </c>
      <c r="T34" s="73">
        <v>212.0</v>
      </c>
      <c r="U34" s="73">
        <v>201.0</v>
      </c>
      <c r="V34" s="73">
        <v>199.0</v>
      </c>
      <c r="W34" s="73">
        <v>217.0</v>
      </c>
      <c r="X34" s="73">
        <v>197.0</v>
      </c>
      <c r="Y34" s="73">
        <v>201.0</v>
      </c>
      <c r="Z34" s="73">
        <v>215.0</v>
      </c>
      <c r="AA34" s="73">
        <v>213.0</v>
      </c>
      <c r="AB34" s="73">
        <v>209.0</v>
      </c>
      <c r="AC34" s="73">
        <v>230.0</v>
      </c>
      <c r="AD34" s="73">
        <v>214.0</v>
      </c>
      <c r="AE34" s="73">
        <v>211.0</v>
      </c>
      <c r="AF34" s="73">
        <v>208.0</v>
      </c>
      <c r="AG34" s="73">
        <v>188.0</v>
      </c>
      <c r="AH34" s="73">
        <v>207.0</v>
      </c>
      <c r="AI34" s="73">
        <v>195.0</v>
      </c>
      <c r="AJ34" s="73">
        <v>215.0</v>
      </c>
      <c r="AK34" s="13">
        <f t="shared" si="10"/>
        <v>6662</v>
      </c>
    </row>
    <row r="35" ht="12.75" customHeight="1">
      <c r="A35" s="19">
        <v>3.0</v>
      </c>
      <c r="B35" s="20" t="s">
        <v>29</v>
      </c>
      <c r="C35" s="15"/>
      <c r="D35" s="16"/>
      <c r="E35" s="69">
        <v>1.0</v>
      </c>
      <c r="F35" s="69">
        <v>0.0</v>
      </c>
      <c r="G35" s="69">
        <v>2.0</v>
      </c>
      <c r="H35" s="69">
        <v>0.0</v>
      </c>
      <c r="I35" s="69">
        <v>0.0</v>
      </c>
      <c r="J35" s="69">
        <v>0.0</v>
      </c>
      <c r="K35" s="69">
        <v>0.0</v>
      </c>
      <c r="L35" s="69">
        <v>2.0</v>
      </c>
      <c r="M35" s="69">
        <v>0.0</v>
      </c>
      <c r="N35" s="69">
        <v>0.0</v>
      </c>
      <c r="O35" s="69">
        <v>1.0</v>
      </c>
      <c r="P35" s="69">
        <v>0.0</v>
      </c>
      <c r="Q35" s="69">
        <v>0.0</v>
      </c>
      <c r="R35" s="69">
        <v>0.0</v>
      </c>
      <c r="S35" s="69">
        <v>0.0</v>
      </c>
      <c r="T35" s="69">
        <v>0.0</v>
      </c>
      <c r="U35" s="69">
        <v>0.0</v>
      </c>
      <c r="V35" s="69">
        <v>0.0</v>
      </c>
      <c r="W35" s="69">
        <v>0.0</v>
      </c>
      <c r="X35" s="69">
        <v>2.0</v>
      </c>
      <c r="Y35" s="69">
        <v>1.0</v>
      </c>
      <c r="Z35" s="69">
        <v>0.0</v>
      </c>
      <c r="AA35" s="69">
        <v>0.0</v>
      </c>
      <c r="AB35" s="69">
        <v>0.0</v>
      </c>
      <c r="AC35" s="69">
        <v>3.0</v>
      </c>
      <c r="AD35" s="69">
        <v>0.0</v>
      </c>
      <c r="AE35" s="69">
        <v>0.0</v>
      </c>
      <c r="AF35" s="69">
        <v>0.0</v>
      </c>
      <c r="AG35" s="69">
        <v>0.0</v>
      </c>
      <c r="AH35" s="69">
        <v>0.0</v>
      </c>
      <c r="AI35" s="69">
        <v>2.0</v>
      </c>
      <c r="AJ35" s="69">
        <v>0.0</v>
      </c>
      <c r="AK35" s="13">
        <f t="shared" si="10"/>
        <v>14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J36" si="11">E33-(E34+E35)</f>
        <v>57</v>
      </c>
      <c r="F36" s="13">
        <f t="shared" si="11"/>
        <v>72</v>
      </c>
      <c r="G36" s="13">
        <f t="shared" si="11"/>
        <v>62</v>
      </c>
      <c r="H36" s="13">
        <f t="shared" si="11"/>
        <v>59</v>
      </c>
      <c r="I36" s="13">
        <f t="shared" si="11"/>
        <v>50</v>
      </c>
      <c r="J36" s="13">
        <f t="shared" si="11"/>
        <v>65</v>
      </c>
      <c r="K36" s="13">
        <f t="shared" si="11"/>
        <v>62</v>
      </c>
      <c r="L36" s="13">
        <f t="shared" si="11"/>
        <v>68</v>
      </c>
      <c r="M36" s="13">
        <f t="shared" si="11"/>
        <v>71</v>
      </c>
      <c r="N36" s="13">
        <f t="shared" si="11"/>
        <v>49</v>
      </c>
      <c r="O36" s="13">
        <f t="shared" si="11"/>
        <v>68</v>
      </c>
      <c r="P36" s="13">
        <f t="shared" si="11"/>
        <v>77</v>
      </c>
      <c r="Q36" s="13">
        <f t="shared" si="11"/>
        <v>52</v>
      </c>
      <c r="R36" s="13">
        <f t="shared" si="11"/>
        <v>81</v>
      </c>
      <c r="S36" s="13">
        <f t="shared" si="11"/>
        <v>97</v>
      </c>
      <c r="T36" s="13">
        <f t="shared" si="11"/>
        <v>56</v>
      </c>
      <c r="U36" s="13">
        <f t="shared" si="11"/>
        <v>73</v>
      </c>
      <c r="V36" s="13">
        <f t="shared" si="11"/>
        <v>66</v>
      </c>
      <c r="W36" s="13">
        <f t="shared" si="11"/>
        <v>57</v>
      </c>
      <c r="X36" s="13">
        <f t="shared" si="11"/>
        <v>75</v>
      </c>
      <c r="Y36" s="13">
        <f t="shared" si="11"/>
        <v>67</v>
      </c>
      <c r="Z36" s="13">
        <f t="shared" si="11"/>
        <v>53</v>
      </c>
      <c r="AA36" s="13">
        <f t="shared" si="11"/>
        <v>63</v>
      </c>
      <c r="AB36" s="13">
        <f t="shared" si="11"/>
        <v>57</v>
      </c>
      <c r="AC36" s="13">
        <f t="shared" si="11"/>
        <v>50</v>
      </c>
      <c r="AD36" s="13">
        <f t="shared" si="11"/>
        <v>58</v>
      </c>
      <c r="AE36" s="13">
        <f t="shared" si="11"/>
        <v>69</v>
      </c>
      <c r="AF36" s="13">
        <f t="shared" si="11"/>
        <v>55</v>
      </c>
      <c r="AG36" s="13">
        <f t="shared" si="11"/>
        <v>63</v>
      </c>
      <c r="AH36" s="13">
        <f t="shared" si="11"/>
        <v>65</v>
      </c>
      <c r="AI36" s="13">
        <f t="shared" si="11"/>
        <v>77</v>
      </c>
      <c r="AJ36" s="13">
        <f t="shared" si="11"/>
        <v>59</v>
      </c>
      <c r="AK36" s="13">
        <f t="shared" si="10"/>
        <v>2053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19"/>
      <c r="AF37" s="19"/>
      <c r="AG37" s="19"/>
      <c r="AH37" s="19"/>
      <c r="AI37" s="70"/>
      <c r="AJ37" s="19"/>
      <c r="AK37" s="71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2"/>
      <c r="O38" s="13"/>
      <c r="P38" s="13"/>
      <c r="Q38" s="13"/>
      <c r="R38" s="13"/>
      <c r="S38" s="72"/>
      <c r="T38" s="13"/>
      <c r="U38" s="13"/>
      <c r="V38" s="13"/>
      <c r="W38" s="13"/>
      <c r="X38" s="72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72"/>
      <c r="AJ38" s="13"/>
      <c r="AK38" s="71"/>
    </row>
    <row r="39" ht="12.75" customHeight="1">
      <c r="A39" s="30"/>
      <c r="B39" s="43" t="s">
        <v>33</v>
      </c>
      <c r="C39" s="23"/>
      <c r="D39" s="19" t="s">
        <v>12</v>
      </c>
      <c r="E39" s="69">
        <v>0.0</v>
      </c>
      <c r="F39" s="69">
        <v>0.0</v>
      </c>
      <c r="G39" s="69">
        <v>0.0</v>
      </c>
      <c r="H39" s="69">
        <v>0.0</v>
      </c>
      <c r="I39" s="69">
        <v>0.0</v>
      </c>
      <c r="J39" s="69">
        <v>0.0</v>
      </c>
      <c r="K39" s="69">
        <v>0.0</v>
      </c>
      <c r="L39" s="69">
        <v>0.0</v>
      </c>
      <c r="M39" s="69">
        <v>0.0</v>
      </c>
      <c r="N39" s="69">
        <v>0.0</v>
      </c>
      <c r="O39" s="69">
        <v>1.0</v>
      </c>
      <c r="P39" s="69">
        <v>0.0</v>
      </c>
      <c r="Q39" s="69">
        <v>0.0</v>
      </c>
      <c r="R39" s="69">
        <v>0.0</v>
      </c>
      <c r="S39" s="69">
        <v>0.0</v>
      </c>
      <c r="T39" s="69">
        <v>0.0</v>
      </c>
      <c r="U39" s="69">
        <v>1.0</v>
      </c>
      <c r="V39" s="69">
        <v>0.0</v>
      </c>
      <c r="W39" s="69">
        <v>0.0</v>
      </c>
      <c r="X39" s="69">
        <v>0.0</v>
      </c>
      <c r="Y39" s="69">
        <v>0.0</v>
      </c>
      <c r="Z39" s="69">
        <v>0.0</v>
      </c>
      <c r="AA39" s="69">
        <v>0.0</v>
      </c>
      <c r="AB39" s="69">
        <v>0.0</v>
      </c>
      <c r="AC39" s="69">
        <v>0.0</v>
      </c>
      <c r="AD39" s="69">
        <v>0.0</v>
      </c>
      <c r="AE39" s="69">
        <v>0.0</v>
      </c>
      <c r="AF39" s="69">
        <v>0.0</v>
      </c>
      <c r="AG39" s="69">
        <v>0.0</v>
      </c>
      <c r="AH39" s="69">
        <v>0.0</v>
      </c>
      <c r="AI39" s="69">
        <v>0.0</v>
      </c>
      <c r="AJ39" s="69">
        <v>0.0</v>
      </c>
      <c r="AK39" s="13">
        <f t="shared" ref="AK39:AK41" si="12">SUM(E39:AJ39)</f>
        <v>2</v>
      </c>
    </row>
    <row r="40" ht="12.75" customHeight="1">
      <c r="A40" s="33"/>
      <c r="C40" s="27"/>
      <c r="D40" s="19" t="s">
        <v>13</v>
      </c>
      <c r="E40" s="69">
        <v>0.0</v>
      </c>
      <c r="F40" s="69">
        <v>0.0</v>
      </c>
      <c r="G40" s="69">
        <v>0.0</v>
      </c>
      <c r="H40" s="69">
        <v>0.0</v>
      </c>
      <c r="I40" s="69">
        <v>0.0</v>
      </c>
      <c r="J40" s="69">
        <v>0.0</v>
      </c>
      <c r="K40" s="69">
        <v>0.0</v>
      </c>
      <c r="L40" s="69">
        <v>0.0</v>
      </c>
      <c r="M40" s="69">
        <v>0.0</v>
      </c>
      <c r="N40" s="69">
        <v>0.0</v>
      </c>
      <c r="O40" s="69">
        <v>0.0</v>
      </c>
      <c r="P40" s="69">
        <v>0.0</v>
      </c>
      <c r="Q40" s="69">
        <v>0.0</v>
      </c>
      <c r="R40" s="69">
        <v>0.0</v>
      </c>
      <c r="S40" s="69">
        <v>0.0</v>
      </c>
      <c r="T40" s="69">
        <v>0.0</v>
      </c>
      <c r="U40" s="69">
        <v>2.0</v>
      </c>
      <c r="V40" s="69">
        <v>0.0</v>
      </c>
      <c r="W40" s="69">
        <v>0.0</v>
      </c>
      <c r="X40" s="69">
        <v>0.0</v>
      </c>
      <c r="Y40" s="69">
        <v>0.0</v>
      </c>
      <c r="Z40" s="69">
        <v>0.0</v>
      </c>
      <c r="AA40" s="69">
        <v>0.0</v>
      </c>
      <c r="AB40" s="69">
        <v>0.0</v>
      </c>
      <c r="AC40" s="69">
        <v>0.0</v>
      </c>
      <c r="AD40" s="69">
        <v>0.0</v>
      </c>
      <c r="AE40" s="69">
        <v>0.0</v>
      </c>
      <c r="AF40" s="69">
        <v>0.0</v>
      </c>
      <c r="AG40" s="69">
        <v>0.0</v>
      </c>
      <c r="AH40" s="69">
        <v>1.0</v>
      </c>
      <c r="AI40" s="69">
        <v>0.0</v>
      </c>
      <c r="AJ40" s="69">
        <v>0.0</v>
      </c>
      <c r="AK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J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3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1</v>
      </c>
      <c r="AI41" s="13">
        <f t="shared" si="13"/>
        <v>0</v>
      </c>
      <c r="AJ41" s="13">
        <f t="shared" si="13"/>
        <v>0</v>
      </c>
      <c r="AK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9"/>
      <c r="AF42" s="19"/>
      <c r="AG42" s="19"/>
      <c r="AH42" s="19"/>
      <c r="AI42" s="70"/>
      <c r="AJ42" s="19"/>
      <c r="AK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2"/>
      <c r="O43" s="13"/>
      <c r="P43" s="13"/>
      <c r="Q43" s="13"/>
      <c r="R43" s="13"/>
      <c r="S43" s="72"/>
      <c r="T43" s="13"/>
      <c r="U43" s="13"/>
      <c r="V43" s="13"/>
      <c r="W43" s="13"/>
      <c r="X43" s="72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72"/>
      <c r="AJ43" s="13"/>
      <c r="AK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0"/>
      <c r="O44" s="19"/>
      <c r="P44" s="19"/>
      <c r="Q44" s="19"/>
      <c r="R44" s="19"/>
      <c r="S44" s="70"/>
      <c r="T44" s="19"/>
      <c r="U44" s="19"/>
      <c r="V44" s="19"/>
      <c r="W44" s="19"/>
      <c r="X44" s="70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70"/>
      <c r="AJ44" s="19"/>
      <c r="AK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69">
        <v>4.0</v>
      </c>
      <c r="F45" s="69">
        <v>3.0</v>
      </c>
      <c r="G45" s="69">
        <v>2.0</v>
      </c>
      <c r="H45" s="69">
        <v>2.0</v>
      </c>
      <c r="I45" s="69">
        <v>2.0</v>
      </c>
      <c r="J45" s="69">
        <v>5.0</v>
      </c>
      <c r="K45" s="69">
        <v>3.0</v>
      </c>
      <c r="L45" s="69">
        <v>3.0</v>
      </c>
      <c r="M45" s="69">
        <v>2.0</v>
      </c>
      <c r="N45" s="69">
        <v>2.0</v>
      </c>
      <c r="O45" s="69">
        <v>6.0</v>
      </c>
      <c r="P45" s="69">
        <v>2.0</v>
      </c>
      <c r="Q45" s="69">
        <v>3.0</v>
      </c>
      <c r="R45" s="69">
        <v>1.0</v>
      </c>
      <c r="S45" s="69">
        <v>1.0</v>
      </c>
      <c r="T45" s="69">
        <v>8.0</v>
      </c>
      <c r="U45" s="69">
        <v>5.0</v>
      </c>
      <c r="V45" s="69">
        <v>5.0</v>
      </c>
      <c r="W45" s="69">
        <v>4.0</v>
      </c>
      <c r="X45" s="69">
        <v>9.0</v>
      </c>
      <c r="Y45" s="69">
        <v>4.0</v>
      </c>
      <c r="Z45" s="69">
        <v>3.0</v>
      </c>
      <c r="AA45" s="69">
        <v>2.0</v>
      </c>
      <c r="AB45" s="69">
        <v>4.0</v>
      </c>
      <c r="AC45" s="69">
        <v>3.0</v>
      </c>
      <c r="AD45" s="69">
        <v>10.0</v>
      </c>
      <c r="AE45" s="69">
        <v>7.0</v>
      </c>
      <c r="AF45" s="69">
        <v>4.0</v>
      </c>
      <c r="AG45" s="69">
        <v>0.0</v>
      </c>
      <c r="AH45" s="69">
        <v>0.0</v>
      </c>
      <c r="AI45" s="69">
        <v>1.0</v>
      </c>
      <c r="AJ45" s="69">
        <v>6.0</v>
      </c>
      <c r="AK45" s="13">
        <f t="shared" ref="AK45:AK53" si="14">SUM(E45:AJ45)</f>
        <v>116</v>
      </c>
    </row>
    <row r="46" ht="12.75" customHeight="1">
      <c r="A46" s="30" t="s">
        <v>39</v>
      </c>
      <c r="B46" s="49"/>
      <c r="C46" s="50" t="s">
        <v>40</v>
      </c>
      <c r="D46" s="51"/>
      <c r="E46" s="69">
        <v>12.0</v>
      </c>
      <c r="F46" s="69">
        <v>8.0</v>
      </c>
      <c r="G46" s="69">
        <v>4.0</v>
      </c>
      <c r="H46" s="69">
        <v>13.0</v>
      </c>
      <c r="I46" s="69">
        <v>6.0</v>
      </c>
      <c r="J46" s="69">
        <v>13.0</v>
      </c>
      <c r="K46" s="69">
        <v>6.0</v>
      </c>
      <c r="L46" s="69">
        <v>6.0</v>
      </c>
      <c r="M46" s="69">
        <v>8.0</v>
      </c>
      <c r="N46" s="69">
        <v>4.0</v>
      </c>
      <c r="O46" s="69">
        <v>6.0</v>
      </c>
      <c r="P46" s="69">
        <v>4.0</v>
      </c>
      <c r="Q46" s="69">
        <v>4.0</v>
      </c>
      <c r="R46" s="69">
        <v>4.0</v>
      </c>
      <c r="S46" s="69">
        <v>1.0</v>
      </c>
      <c r="T46" s="69">
        <v>5.0</v>
      </c>
      <c r="U46" s="69">
        <v>2.0</v>
      </c>
      <c r="V46" s="69">
        <v>17.0</v>
      </c>
      <c r="W46" s="69">
        <v>2.0</v>
      </c>
      <c r="X46" s="69">
        <v>7.0</v>
      </c>
      <c r="Y46" s="69">
        <v>2.0</v>
      </c>
      <c r="Z46" s="69">
        <v>2.0</v>
      </c>
      <c r="AA46" s="69">
        <v>5.0</v>
      </c>
      <c r="AB46" s="69">
        <v>0.0</v>
      </c>
      <c r="AC46" s="69">
        <v>4.0</v>
      </c>
      <c r="AD46" s="69">
        <v>6.0</v>
      </c>
      <c r="AE46" s="69">
        <v>1.0</v>
      </c>
      <c r="AF46" s="69">
        <v>8.0</v>
      </c>
      <c r="AG46" s="69">
        <v>1.0</v>
      </c>
      <c r="AH46" s="69">
        <v>0.0</v>
      </c>
      <c r="AI46" s="69">
        <v>3.0</v>
      </c>
      <c r="AJ46" s="69">
        <v>3.0</v>
      </c>
      <c r="AK46" s="13">
        <f t="shared" si="14"/>
        <v>167</v>
      </c>
    </row>
    <row r="47" ht="12.75" customHeight="1">
      <c r="A47" s="18"/>
      <c r="B47" s="49"/>
      <c r="C47" s="50" t="s">
        <v>41</v>
      </c>
      <c r="D47" s="51"/>
      <c r="E47" s="69">
        <v>8.0</v>
      </c>
      <c r="F47" s="69">
        <v>16.0</v>
      </c>
      <c r="G47" s="69">
        <v>24.0</v>
      </c>
      <c r="H47" s="69">
        <v>27.0</v>
      </c>
      <c r="I47" s="69">
        <v>12.0</v>
      </c>
      <c r="J47" s="69">
        <v>15.0</v>
      </c>
      <c r="K47" s="69">
        <v>10.0</v>
      </c>
      <c r="L47" s="69">
        <v>8.0</v>
      </c>
      <c r="M47" s="69">
        <v>8.0</v>
      </c>
      <c r="N47" s="69">
        <v>10.0</v>
      </c>
      <c r="O47" s="69">
        <v>28.0</v>
      </c>
      <c r="P47" s="69">
        <v>13.0</v>
      </c>
      <c r="Q47" s="69">
        <v>28.0</v>
      </c>
      <c r="R47" s="69">
        <v>18.0</v>
      </c>
      <c r="S47" s="69">
        <v>24.0</v>
      </c>
      <c r="T47" s="69">
        <v>33.0</v>
      </c>
      <c r="U47" s="69">
        <v>50.0</v>
      </c>
      <c r="V47" s="69">
        <v>22.0</v>
      </c>
      <c r="W47" s="69">
        <v>30.0</v>
      </c>
      <c r="X47" s="69">
        <v>40.0</v>
      </c>
      <c r="Y47" s="69">
        <v>24.0</v>
      </c>
      <c r="Z47" s="69">
        <v>22.0</v>
      </c>
      <c r="AA47" s="69">
        <v>23.0</v>
      </c>
      <c r="AB47" s="69">
        <v>25.0</v>
      </c>
      <c r="AC47" s="69">
        <v>30.0</v>
      </c>
      <c r="AD47" s="69">
        <v>43.0</v>
      </c>
      <c r="AE47" s="69">
        <v>34.0</v>
      </c>
      <c r="AF47" s="69">
        <v>8.0</v>
      </c>
      <c r="AG47" s="69">
        <v>17.0</v>
      </c>
      <c r="AH47" s="69">
        <v>21.0</v>
      </c>
      <c r="AI47" s="69">
        <v>4.0</v>
      </c>
      <c r="AJ47" s="69">
        <v>68.0</v>
      </c>
      <c r="AK47" s="13">
        <f t="shared" si="14"/>
        <v>743</v>
      </c>
    </row>
    <row r="48" ht="12.75" customHeight="1">
      <c r="A48" s="18"/>
      <c r="B48" s="49"/>
      <c r="C48" s="50" t="s">
        <v>42</v>
      </c>
      <c r="D48" s="51"/>
      <c r="E48" s="69">
        <v>0.0</v>
      </c>
      <c r="F48" s="69">
        <v>10.0</v>
      </c>
      <c r="G48" s="69">
        <v>4.0</v>
      </c>
      <c r="H48" s="69">
        <v>5.0</v>
      </c>
      <c r="I48" s="69">
        <v>16.0</v>
      </c>
      <c r="J48" s="69">
        <v>0.0</v>
      </c>
      <c r="K48" s="69">
        <v>1.0</v>
      </c>
      <c r="L48" s="69">
        <v>3.0</v>
      </c>
      <c r="M48" s="69">
        <v>6.0</v>
      </c>
      <c r="N48" s="69">
        <v>0.0</v>
      </c>
      <c r="O48" s="69">
        <v>1.0</v>
      </c>
      <c r="P48" s="69">
        <v>0.0</v>
      </c>
      <c r="Q48" s="69">
        <v>1.0</v>
      </c>
      <c r="R48" s="69">
        <v>0.0</v>
      </c>
      <c r="S48" s="69">
        <v>0.0</v>
      </c>
      <c r="T48" s="69">
        <v>2.0</v>
      </c>
      <c r="U48" s="69">
        <v>1.0</v>
      </c>
      <c r="V48" s="69">
        <v>1.0</v>
      </c>
      <c r="W48" s="69">
        <v>0.0</v>
      </c>
      <c r="X48" s="69">
        <v>1.0</v>
      </c>
      <c r="Y48" s="69">
        <v>1.0</v>
      </c>
      <c r="Z48" s="69">
        <v>1.0</v>
      </c>
      <c r="AA48" s="69">
        <v>4.0</v>
      </c>
      <c r="AB48" s="69">
        <v>0.0</v>
      </c>
      <c r="AC48" s="69">
        <v>1.0</v>
      </c>
      <c r="AD48" s="69">
        <v>4.0</v>
      </c>
      <c r="AE48" s="69">
        <v>0.0</v>
      </c>
      <c r="AF48" s="69">
        <v>0.0</v>
      </c>
      <c r="AG48" s="69">
        <v>0.0</v>
      </c>
      <c r="AH48" s="69">
        <v>0.0</v>
      </c>
      <c r="AI48" s="69">
        <v>0.0</v>
      </c>
      <c r="AJ48" s="69">
        <v>0.0</v>
      </c>
      <c r="AK48" s="13">
        <f t="shared" si="14"/>
        <v>63</v>
      </c>
    </row>
    <row r="49" ht="12.75" customHeight="1">
      <c r="A49" s="18"/>
      <c r="B49" s="49"/>
      <c r="C49" s="50" t="s">
        <v>43</v>
      </c>
      <c r="D49" s="51"/>
      <c r="E49" s="69">
        <v>1.0</v>
      </c>
      <c r="F49" s="69">
        <v>0.0</v>
      </c>
      <c r="G49" s="69">
        <v>0.0</v>
      </c>
      <c r="H49" s="69">
        <v>0.0</v>
      </c>
      <c r="I49" s="69">
        <v>0.0</v>
      </c>
      <c r="J49" s="69">
        <v>0.0</v>
      </c>
      <c r="K49" s="69">
        <v>0.0</v>
      </c>
      <c r="L49" s="69">
        <v>0.0</v>
      </c>
      <c r="M49" s="69">
        <v>0.0</v>
      </c>
      <c r="N49" s="69">
        <v>0.0</v>
      </c>
      <c r="O49" s="69">
        <v>0.0</v>
      </c>
      <c r="P49" s="69">
        <v>0.0</v>
      </c>
      <c r="Q49" s="69">
        <v>0.0</v>
      </c>
      <c r="R49" s="69">
        <v>0.0</v>
      </c>
      <c r="S49" s="69">
        <v>0.0</v>
      </c>
      <c r="T49" s="69">
        <v>0.0</v>
      </c>
      <c r="U49" s="69">
        <v>1.0</v>
      </c>
      <c r="V49" s="69">
        <v>0.0</v>
      </c>
      <c r="W49" s="69">
        <v>0.0</v>
      </c>
      <c r="X49" s="69">
        <v>0.0</v>
      </c>
      <c r="Y49" s="69">
        <v>0.0</v>
      </c>
      <c r="Z49" s="69">
        <v>1.0</v>
      </c>
      <c r="AA49" s="69">
        <v>0.0</v>
      </c>
      <c r="AB49" s="69">
        <v>0.0</v>
      </c>
      <c r="AC49" s="69">
        <v>0.0</v>
      </c>
      <c r="AD49" s="69">
        <v>0.0</v>
      </c>
      <c r="AE49" s="69">
        <v>0.0</v>
      </c>
      <c r="AF49" s="69">
        <v>0.0</v>
      </c>
      <c r="AG49" s="69">
        <v>0.0</v>
      </c>
      <c r="AH49" s="69">
        <v>0.0</v>
      </c>
      <c r="AI49" s="69">
        <v>0.0</v>
      </c>
      <c r="AJ49" s="69">
        <v>0.0</v>
      </c>
      <c r="AK49" s="13">
        <f t="shared" si="14"/>
        <v>3</v>
      </c>
    </row>
    <row r="50" ht="12.75" customHeight="1">
      <c r="A50" s="18"/>
      <c r="B50" s="49"/>
      <c r="C50" s="50" t="s">
        <v>44</v>
      </c>
      <c r="D50" s="51"/>
      <c r="E50" s="69">
        <v>1.0</v>
      </c>
      <c r="F50" s="69">
        <v>1.0</v>
      </c>
      <c r="G50" s="69">
        <v>1.0</v>
      </c>
      <c r="H50" s="69">
        <v>0.0</v>
      </c>
      <c r="I50" s="69">
        <v>0.0</v>
      </c>
      <c r="J50" s="69">
        <v>2.0</v>
      </c>
      <c r="K50" s="69">
        <v>0.0</v>
      </c>
      <c r="L50" s="69">
        <v>0.0</v>
      </c>
      <c r="M50" s="69">
        <v>1.0</v>
      </c>
      <c r="N50" s="69">
        <v>0.0</v>
      </c>
      <c r="O50" s="69">
        <v>0.0</v>
      </c>
      <c r="P50" s="69">
        <v>0.0</v>
      </c>
      <c r="Q50" s="69">
        <v>0.0</v>
      </c>
      <c r="R50" s="69">
        <v>0.0</v>
      </c>
      <c r="S50" s="69">
        <v>0.0</v>
      </c>
      <c r="T50" s="69">
        <v>0.0</v>
      </c>
      <c r="U50" s="69">
        <v>0.0</v>
      </c>
      <c r="V50" s="69">
        <v>0.0</v>
      </c>
      <c r="W50" s="69">
        <v>0.0</v>
      </c>
      <c r="X50" s="69">
        <v>0.0</v>
      </c>
      <c r="Y50" s="69">
        <v>0.0</v>
      </c>
      <c r="Z50" s="69">
        <v>0.0</v>
      </c>
      <c r="AA50" s="69">
        <v>0.0</v>
      </c>
      <c r="AB50" s="69">
        <v>0.0</v>
      </c>
      <c r="AC50" s="69">
        <v>1.0</v>
      </c>
      <c r="AD50" s="69">
        <v>0.0</v>
      </c>
      <c r="AE50" s="69">
        <v>0.0</v>
      </c>
      <c r="AF50" s="69">
        <v>0.0</v>
      </c>
      <c r="AG50" s="69">
        <v>1.0</v>
      </c>
      <c r="AH50" s="69">
        <v>0.0</v>
      </c>
      <c r="AI50" s="69">
        <v>0.0</v>
      </c>
      <c r="AJ50" s="69">
        <v>0.0</v>
      </c>
      <c r="AK50" s="13">
        <f t="shared" si="14"/>
        <v>8</v>
      </c>
    </row>
    <row r="51" ht="12.75" customHeight="1">
      <c r="A51" s="18"/>
      <c r="B51" s="49"/>
      <c r="C51" s="50" t="s">
        <v>45</v>
      </c>
      <c r="D51" s="51"/>
      <c r="E51" s="69">
        <v>0.0</v>
      </c>
      <c r="F51" s="69">
        <v>0.0</v>
      </c>
      <c r="G51" s="69">
        <v>0.0</v>
      </c>
      <c r="H51" s="69">
        <v>0.0</v>
      </c>
      <c r="I51" s="69">
        <v>0.0</v>
      </c>
      <c r="J51" s="69">
        <v>0.0</v>
      </c>
      <c r="K51" s="69">
        <v>0.0</v>
      </c>
      <c r="L51" s="69">
        <v>0.0</v>
      </c>
      <c r="M51" s="69">
        <v>1.0</v>
      </c>
      <c r="N51" s="69">
        <v>0.0</v>
      </c>
      <c r="O51" s="69">
        <v>0.0</v>
      </c>
      <c r="P51" s="69">
        <v>0.0</v>
      </c>
      <c r="Q51" s="69">
        <v>1.0</v>
      </c>
      <c r="R51" s="69">
        <v>1.0</v>
      </c>
      <c r="S51" s="69">
        <v>0.0</v>
      </c>
      <c r="T51" s="69">
        <v>0.0</v>
      </c>
      <c r="U51" s="69">
        <v>1.0</v>
      </c>
      <c r="V51" s="69">
        <v>0.0</v>
      </c>
      <c r="W51" s="69">
        <v>0.0</v>
      </c>
      <c r="X51" s="69">
        <v>1.0</v>
      </c>
      <c r="Y51" s="69">
        <v>0.0</v>
      </c>
      <c r="Z51" s="69">
        <v>0.0</v>
      </c>
      <c r="AA51" s="69">
        <v>0.0</v>
      </c>
      <c r="AB51" s="69">
        <v>0.0</v>
      </c>
      <c r="AC51" s="69">
        <v>0.0</v>
      </c>
      <c r="AD51" s="69">
        <v>0.0</v>
      </c>
      <c r="AE51" s="69">
        <v>0.0</v>
      </c>
      <c r="AF51" s="69">
        <v>0.0</v>
      </c>
      <c r="AG51" s="69">
        <v>0.0</v>
      </c>
      <c r="AH51" s="69">
        <v>1.0</v>
      </c>
      <c r="AI51" s="69">
        <v>0.0</v>
      </c>
      <c r="AJ51" s="69">
        <v>0.0</v>
      </c>
      <c r="AK51" s="13">
        <f t="shared" si="14"/>
        <v>6</v>
      </c>
    </row>
    <row r="52" ht="12.75" customHeight="1">
      <c r="A52" s="18"/>
      <c r="B52" s="49"/>
      <c r="C52" s="50" t="s">
        <v>46</v>
      </c>
      <c r="D52" s="51"/>
      <c r="E52" s="69">
        <v>0.0</v>
      </c>
      <c r="F52" s="69">
        <v>0.0</v>
      </c>
      <c r="G52" s="69">
        <v>0.0</v>
      </c>
      <c r="H52" s="69">
        <v>1.0</v>
      </c>
      <c r="I52" s="69">
        <v>1.0</v>
      </c>
      <c r="J52" s="69">
        <v>0.0</v>
      </c>
      <c r="K52" s="69">
        <v>1.0</v>
      </c>
      <c r="L52" s="69">
        <v>1.0</v>
      </c>
      <c r="M52" s="69">
        <v>1.0</v>
      </c>
      <c r="N52" s="69">
        <v>0.0</v>
      </c>
      <c r="O52" s="69">
        <v>1.0</v>
      </c>
      <c r="P52" s="69">
        <v>0.0</v>
      </c>
      <c r="Q52" s="69">
        <v>0.0</v>
      </c>
      <c r="R52" s="69">
        <v>2.0</v>
      </c>
      <c r="S52" s="69">
        <v>0.0</v>
      </c>
      <c r="T52" s="69">
        <v>6.0</v>
      </c>
      <c r="U52" s="69">
        <v>1.0</v>
      </c>
      <c r="V52" s="69">
        <v>3.0</v>
      </c>
      <c r="W52" s="69">
        <v>0.0</v>
      </c>
      <c r="X52" s="69">
        <v>0.0</v>
      </c>
      <c r="Y52" s="69">
        <v>0.0</v>
      </c>
      <c r="Z52" s="69">
        <v>1.0</v>
      </c>
      <c r="AA52" s="69">
        <v>0.0</v>
      </c>
      <c r="AB52" s="69">
        <v>0.0</v>
      </c>
      <c r="AC52" s="69">
        <v>0.0</v>
      </c>
      <c r="AD52" s="69">
        <v>0.0</v>
      </c>
      <c r="AE52" s="69">
        <v>0.0</v>
      </c>
      <c r="AF52" s="69">
        <v>0.0</v>
      </c>
      <c r="AG52" s="69">
        <v>0.0</v>
      </c>
      <c r="AH52" s="69">
        <v>3.0</v>
      </c>
      <c r="AI52" s="69">
        <v>2.0</v>
      </c>
      <c r="AJ52" s="69">
        <v>0.0</v>
      </c>
      <c r="AK52" s="13">
        <f t="shared" si="14"/>
        <v>24</v>
      </c>
    </row>
    <row r="53" ht="12.75" customHeight="1">
      <c r="A53" s="19" t="s">
        <v>15</v>
      </c>
      <c r="B53" s="47" t="s">
        <v>47</v>
      </c>
      <c r="C53" s="15"/>
      <c r="D53" s="16"/>
      <c r="E53" s="56">
        <f t="shared" ref="E53:AJ53" si="15">SUM(E45:E52)</f>
        <v>26</v>
      </c>
      <c r="F53" s="56">
        <f t="shared" si="15"/>
        <v>38</v>
      </c>
      <c r="G53" s="56">
        <f t="shared" si="15"/>
        <v>35</v>
      </c>
      <c r="H53" s="56">
        <f t="shared" si="15"/>
        <v>48</v>
      </c>
      <c r="I53" s="56">
        <f t="shared" si="15"/>
        <v>37</v>
      </c>
      <c r="J53" s="56">
        <f t="shared" si="15"/>
        <v>35</v>
      </c>
      <c r="K53" s="56">
        <f t="shared" si="15"/>
        <v>21</v>
      </c>
      <c r="L53" s="56">
        <f t="shared" si="15"/>
        <v>21</v>
      </c>
      <c r="M53" s="56">
        <f t="shared" si="15"/>
        <v>27</v>
      </c>
      <c r="N53" s="56">
        <f t="shared" si="15"/>
        <v>16</v>
      </c>
      <c r="O53" s="56">
        <f t="shared" si="15"/>
        <v>42</v>
      </c>
      <c r="P53" s="56">
        <f t="shared" si="15"/>
        <v>19</v>
      </c>
      <c r="Q53" s="56">
        <f t="shared" si="15"/>
        <v>37</v>
      </c>
      <c r="R53" s="56">
        <f t="shared" si="15"/>
        <v>26</v>
      </c>
      <c r="S53" s="56">
        <f t="shared" si="15"/>
        <v>26</v>
      </c>
      <c r="T53" s="56">
        <f t="shared" si="15"/>
        <v>54</v>
      </c>
      <c r="U53" s="56">
        <f t="shared" si="15"/>
        <v>61</v>
      </c>
      <c r="V53" s="56">
        <f t="shared" si="15"/>
        <v>48</v>
      </c>
      <c r="W53" s="56">
        <f t="shared" si="15"/>
        <v>36</v>
      </c>
      <c r="X53" s="56">
        <f t="shared" si="15"/>
        <v>58</v>
      </c>
      <c r="Y53" s="56">
        <f t="shared" si="15"/>
        <v>31</v>
      </c>
      <c r="Z53" s="56">
        <f t="shared" si="15"/>
        <v>30</v>
      </c>
      <c r="AA53" s="56">
        <f t="shared" si="15"/>
        <v>34</v>
      </c>
      <c r="AB53" s="56">
        <f t="shared" si="15"/>
        <v>29</v>
      </c>
      <c r="AC53" s="56">
        <f t="shared" si="15"/>
        <v>39</v>
      </c>
      <c r="AD53" s="56">
        <f t="shared" si="15"/>
        <v>63</v>
      </c>
      <c r="AE53" s="56">
        <f t="shared" si="15"/>
        <v>42</v>
      </c>
      <c r="AF53" s="56">
        <f t="shared" si="15"/>
        <v>20</v>
      </c>
      <c r="AG53" s="56">
        <f t="shared" si="15"/>
        <v>19</v>
      </c>
      <c r="AH53" s="56">
        <f t="shared" si="15"/>
        <v>25</v>
      </c>
      <c r="AI53" s="56">
        <f t="shared" si="15"/>
        <v>10</v>
      </c>
      <c r="AJ53" s="56">
        <f t="shared" si="15"/>
        <v>77</v>
      </c>
      <c r="AK53" s="13">
        <f t="shared" si="14"/>
        <v>1130</v>
      </c>
    </row>
    <row r="54" ht="12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13"/>
    </row>
    <row r="55" ht="15.0" customHeight="1">
      <c r="A55" s="30" t="s">
        <v>37</v>
      </c>
      <c r="B55" s="47" t="s">
        <v>19</v>
      </c>
      <c r="C55" s="48" t="s">
        <v>48</v>
      </c>
      <c r="D55" s="16"/>
      <c r="E55" s="69">
        <v>5.0</v>
      </c>
      <c r="F55" s="69">
        <v>6.0</v>
      </c>
      <c r="G55" s="69">
        <v>2.0</v>
      </c>
      <c r="H55" s="69">
        <v>2.0</v>
      </c>
      <c r="I55" s="69">
        <v>4.0</v>
      </c>
      <c r="J55" s="69">
        <v>14.0</v>
      </c>
      <c r="K55" s="69">
        <v>7.0</v>
      </c>
      <c r="L55" s="69">
        <v>7.0</v>
      </c>
      <c r="M55" s="69">
        <v>2.0</v>
      </c>
      <c r="N55" s="69">
        <v>10.0</v>
      </c>
      <c r="O55" s="69">
        <v>7.0</v>
      </c>
      <c r="P55" s="69">
        <v>4.0</v>
      </c>
      <c r="Q55" s="69">
        <v>1.0</v>
      </c>
      <c r="R55" s="69">
        <v>6.0</v>
      </c>
      <c r="S55" s="69">
        <v>5.0</v>
      </c>
      <c r="T55" s="69">
        <v>0.0</v>
      </c>
      <c r="U55" s="69">
        <v>7.0</v>
      </c>
      <c r="V55" s="69">
        <v>3.0</v>
      </c>
      <c r="W55" s="69">
        <v>6.0</v>
      </c>
      <c r="X55" s="69">
        <v>6.0</v>
      </c>
      <c r="Y55" s="69">
        <v>4.0</v>
      </c>
      <c r="Z55" s="69">
        <v>10.0</v>
      </c>
      <c r="AA55" s="69">
        <v>4.0</v>
      </c>
      <c r="AB55" s="69">
        <v>5.0</v>
      </c>
      <c r="AC55" s="69">
        <v>4.0</v>
      </c>
      <c r="AD55" s="69">
        <v>3.0</v>
      </c>
      <c r="AE55" s="69">
        <v>3.0</v>
      </c>
      <c r="AF55" s="69">
        <v>10.0</v>
      </c>
      <c r="AG55" s="69">
        <v>3.0</v>
      </c>
      <c r="AH55" s="69">
        <v>3.0</v>
      </c>
      <c r="AI55" s="69">
        <v>0.0</v>
      </c>
      <c r="AJ55" s="69">
        <v>5.0</v>
      </c>
      <c r="AK55" s="13">
        <f t="shared" ref="AK55:AK63" si="16">SUM(E55:AJ55)</f>
        <v>158</v>
      </c>
    </row>
    <row r="56" ht="12.75" customHeight="1">
      <c r="A56" s="30" t="s">
        <v>39</v>
      </c>
      <c r="B56" s="49"/>
      <c r="C56" s="50" t="s">
        <v>49</v>
      </c>
      <c r="D56" s="51"/>
      <c r="E56" s="69">
        <v>9.0</v>
      </c>
      <c r="F56" s="69">
        <v>4.0</v>
      </c>
      <c r="G56" s="69">
        <v>2.0</v>
      </c>
      <c r="H56" s="69">
        <v>6.0</v>
      </c>
      <c r="I56" s="69">
        <v>3.0</v>
      </c>
      <c r="J56" s="69">
        <v>3.0</v>
      </c>
      <c r="K56" s="69">
        <v>1.0</v>
      </c>
      <c r="L56" s="69">
        <v>6.0</v>
      </c>
      <c r="M56" s="69">
        <v>3.0</v>
      </c>
      <c r="N56" s="69">
        <v>2.0</v>
      </c>
      <c r="O56" s="69">
        <v>0.0</v>
      </c>
      <c r="P56" s="69">
        <v>5.0</v>
      </c>
      <c r="Q56" s="69">
        <v>1.0</v>
      </c>
      <c r="R56" s="69">
        <v>5.0</v>
      </c>
      <c r="S56" s="69">
        <v>12.0</v>
      </c>
      <c r="T56" s="69">
        <v>6.0</v>
      </c>
      <c r="U56" s="69">
        <v>0.0</v>
      </c>
      <c r="V56" s="69">
        <v>2.0</v>
      </c>
      <c r="W56" s="69">
        <v>2.0</v>
      </c>
      <c r="X56" s="69">
        <v>5.0</v>
      </c>
      <c r="Y56" s="69">
        <v>0.0</v>
      </c>
      <c r="Z56" s="69">
        <v>0.0</v>
      </c>
      <c r="AA56" s="69">
        <v>3.0</v>
      </c>
      <c r="AB56" s="69">
        <v>2.0</v>
      </c>
      <c r="AC56" s="69">
        <v>1.0</v>
      </c>
      <c r="AD56" s="69">
        <v>3.0</v>
      </c>
      <c r="AE56" s="69">
        <v>7.0</v>
      </c>
      <c r="AF56" s="69">
        <v>83.0</v>
      </c>
      <c r="AG56" s="69">
        <v>0.0</v>
      </c>
      <c r="AH56" s="69">
        <v>1.0</v>
      </c>
      <c r="AI56" s="69">
        <v>1.0</v>
      </c>
      <c r="AJ56" s="69">
        <v>1.0</v>
      </c>
      <c r="AK56" s="13">
        <f t="shared" si="16"/>
        <v>179</v>
      </c>
    </row>
    <row r="57" ht="12.75" customHeight="1">
      <c r="A57" s="18"/>
      <c r="B57" s="49"/>
      <c r="C57" s="50" t="s">
        <v>50</v>
      </c>
      <c r="D57" s="51"/>
      <c r="E57" s="69">
        <v>2.0</v>
      </c>
      <c r="F57" s="69">
        <v>2.0</v>
      </c>
      <c r="G57" s="69">
        <v>4.0</v>
      </c>
      <c r="H57" s="69">
        <v>4.0</v>
      </c>
      <c r="I57" s="69">
        <v>3.0</v>
      </c>
      <c r="J57" s="69">
        <v>4.0</v>
      </c>
      <c r="K57" s="69">
        <v>2.0</v>
      </c>
      <c r="L57" s="69">
        <v>5.0</v>
      </c>
      <c r="M57" s="69">
        <v>0.0</v>
      </c>
      <c r="N57" s="69">
        <v>7.0</v>
      </c>
      <c r="O57" s="69">
        <v>3.0</v>
      </c>
      <c r="P57" s="69">
        <v>2.0</v>
      </c>
      <c r="Q57" s="69">
        <v>3.0</v>
      </c>
      <c r="R57" s="69">
        <v>2.0</v>
      </c>
      <c r="S57" s="69">
        <v>7.0</v>
      </c>
      <c r="T57" s="69">
        <v>2.0</v>
      </c>
      <c r="U57" s="69">
        <v>3.0</v>
      </c>
      <c r="V57" s="69">
        <v>2.0</v>
      </c>
      <c r="W57" s="69">
        <v>3.0</v>
      </c>
      <c r="X57" s="69">
        <v>1.0</v>
      </c>
      <c r="Y57" s="69">
        <v>2.0</v>
      </c>
      <c r="Z57" s="69">
        <v>6.0</v>
      </c>
      <c r="AA57" s="69">
        <v>4.0</v>
      </c>
      <c r="AB57" s="69">
        <v>5.0</v>
      </c>
      <c r="AC57" s="69">
        <v>5.0</v>
      </c>
      <c r="AD57" s="69">
        <v>3.0</v>
      </c>
      <c r="AE57" s="69">
        <v>2.0</v>
      </c>
      <c r="AF57" s="69">
        <v>1.0</v>
      </c>
      <c r="AG57" s="69">
        <v>1.0</v>
      </c>
      <c r="AH57" s="69">
        <v>1.0</v>
      </c>
      <c r="AI57" s="69">
        <v>0.0</v>
      </c>
      <c r="AJ57" s="69">
        <v>0.0</v>
      </c>
      <c r="AK57" s="13">
        <f t="shared" si="16"/>
        <v>91</v>
      </c>
    </row>
    <row r="58" ht="12.75" customHeight="1">
      <c r="A58" s="18"/>
      <c r="B58" s="49"/>
      <c r="C58" s="50" t="s">
        <v>51</v>
      </c>
      <c r="D58" s="51"/>
      <c r="E58" s="69">
        <v>1.0</v>
      </c>
      <c r="F58" s="69">
        <v>1.0</v>
      </c>
      <c r="G58" s="69">
        <v>2.0</v>
      </c>
      <c r="H58" s="69">
        <v>0.0</v>
      </c>
      <c r="I58" s="69">
        <v>1.0</v>
      </c>
      <c r="J58" s="69">
        <v>2.0</v>
      </c>
      <c r="K58" s="69">
        <v>1.0</v>
      </c>
      <c r="L58" s="69">
        <v>0.0</v>
      </c>
      <c r="M58" s="69">
        <v>2.0</v>
      </c>
      <c r="N58" s="69">
        <v>0.0</v>
      </c>
      <c r="O58" s="69">
        <v>9.0</v>
      </c>
      <c r="P58" s="69">
        <v>2.0</v>
      </c>
      <c r="Q58" s="69">
        <v>4.0</v>
      </c>
      <c r="R58" s="69">
        <v>2.0</v>
      </c>
      <c r="S58" s="69">
        <v>0.0</v>
      </c>
      <c r="T58" s="69">
        <v>1.0</v>
      </c>
      <c r="U58" s="69">
        <v>0.0</v>
      </c>
      <c r="V58" s="69">
        <v>0.0</v>
      </c>
      <c r="W58" s="69">
        <v>2.0</v>
      </c>
      <c r="X58" s="69">
        <v>1.0</v>
      </c>
      <c r="Y58" s="69">
        <v>0.0</v>
      </c>
      <c r="Z58" s="69">
        <v>3.0</v>
      </c>
      <c r="AA58" s="69">
        <v>0.0</v>
      </c>
      <c r="AB58" s="69">
        <v>0.0</v>
      </c>
      <c r="AC58" s="69">
        <v>0.0</v>
      </c>
      <c r="AD58" s="69">
        <v>2.0</v>
      </c>
      <c r="AE58" s="69">
        <v>3.0</v>
      </c>
      <c r="AF58" s="69">
        <v>0.0</v>
      </c>
      <c r="AG58" s="69">
        <v>0.0</v>
      </c>
      <c r="AH58" s="69">
        <v>0.0</v>
      </c>
      <c r="AI58" s="69">
        <v>0.0</v>
      </c>
      <c r="AJ58" s="69">
        <v>0.0</v>
      </c>
      <c r="AK58" s="13">
        <f t="shared" si="16"/>
        <v>39</v>
      </c>
    </row>
    <row r="59" ht="12.75" customHeight="1">
      <c r="A59" s="18"/>
      <c r="B59" s="49"/>
      <c r="C59" s="50" t="s">
        <v>52</v>
      </c>
      <c r="D59" s="51"/>
      <c r="E59" s="69">
        <v>2.0</v>
      </c>
      <c r="F59" s="69">
        <v>0.0</v>
      </c>
      <c r="G59" s="69">
        <v>0.0</v>
      </c>
      <c r="H59" s="69">
        <v>0.0</v>
      </c>
      <c r="I59" s="69">
        <v>0.0</v>
      </c>
      <c r="J59" s="69">
        <v>1.0</v>
      </c>
      <c r="K59" s="69">
        <v>3.0</v>
      </c>
      <c r="L59" s="69">
        <v>0.0</v>
      </c>
      <c r="M59" s="69">
        <v>0.0</v>
      </c>
      <c r="N59" s="69">
        <v>0.0</v>
      </c>
      <c r="O59" s="69">
        <v>0.0</v>
      </c>
      <c r="P59" s="69">
        <v>2.0</v>
      </c>
      <c r="Q59" s="69">
        <v>0.0</v>
      </c>
      <c r="R59" s="69">
        <v>0.0</v>
      </c>
      <c r="S59" s="69">
        <v>0.0</v>
      </c>
      <c r="T59" s="69">
        <v>1.0</v>
      </c>
      <c r="U59" s="69">
        <v>1.0</v>
      </c>
      <c r="V59" s="69">
        <v>0.0</v>
      </c>
      <c r="W59" s="69">
        <v>1.0</v>
      </c>
      <c r="X59" s="69">
        <v>0.0</v>
      </c>
      <c r="Y59" s="69">
        <v>0.0</v>
      </c>
      <c r="Z59" s="69">
        <v>1.0</v>
      </c>
      <c r="AA59" s="69">
        <v>1.0</v>
      </c>
      <c r="AB59" s="69">
        <v>3.0</v>
      </c>
      <c r="AC59" s="69">
        <v>0.0</v>
      </c>
      <c r="AD59" s="69">
        <v>0.0</v>
      </c>
      <c r="AE59" s="69">
        <v>0.0</v>
      </c>
      <c r="AF59" s="69">
        <v>0.0</v>
      </c>
      <c r="AG59" s="69">
        <v>3.0</v>
      </c>
      <c r="AH59" s="69">
        <v>0.0</v>
      </c>
      <c r="AI59" s="69">
        <v>0.0</v>
      </c>
      <c r="AJ59" s="69">
        <v>0.0</v>
      </c>
      <c r="AK59" s="13">
        <f t="shared" si="16"/>
        <v>19</v>
      </c>
    </row>
    <row r="60" ht="12.75" customHeight="1">
      <c r="A60" s="18"/>
      <c r="B60" s="49"/>
      <c r="C60" s="50" t="s">
        <v>53</v>
      </c>
      <c r="D60" s="51"/>
      <c r="E60" s="69">
        <v>0.0</v>
      </c>
      <c r="F60" s="69">
        <v>0.0</v>
      </c>
      <c r="G60" s="69">
        <v>0.0</v>
      </c>
      <c r="H60" s="69">
        <v>0.0</v>
      </c>
      <c r="I60" s="69">
        <v>1.0</v>
      </c>
      <c r="J60" s="69">
        <v>1.0</v>
      </c>
      <c r="K60" s="69">
        <v>0.0</v>
      </c>
      <c r="L60" s="69">
        <v>1.0</v>
      </c>
      <c r="M60" s="69">
        <v>1.0</v>
      </c>
      <c r="N60" s="69">
        <v>0.0</v>
      </c>
      <c r="O60" s="69">
        <v>1.0</v>
      </c>
      <c r="P60" s="69">
        <v>0.0</v>
      </c>
      <c r="Q60" s="69">
        <v>0.0</v>
      </c>
      <c r="R60" s="69">
        <v>0.0</v>
      </c>
      <c r="S60" s="69">
        <v>0.0</v>
      </c>
      <c r="T60" s="69">
        <v>0.0</v>
      </c>
      <c r="U60" s="69">
        <v>0.0</v>
      </c>
      <c r="V60" s="69">
        <v>0.0</v>
      </c>
      <c r="W60" s="69">
        <v>0.0</v>
      </c>
      <c r="X60" s="69">
        <v>0.0</v>
      </c>
      <c r="Y60" s="69">
        <v>0.0</v>
      </c>
      <c r="Z60" s="69">
        <v>0.0</v>
      </c>
      <c r="AA60" s="69">
        <v>0.0</v>
      </c>
      <c r="AB60" s="69">
        <v>0.0</v>
      </c>
      <c r="AC60" s="69">
        <v>0.0</v>
      </c>
      <c r="AD60" s="69">
        <v>0.0</v>
      </c>
      <c r="AE60" s="69">
        <v>0.0</v>
      </c>
      <c r="AF60" s="69">
        <v>0.0</v>
      </c>
      <c r="AG60" s="69">
        <v>0.0</v>
      </c>
      <c r="AH60" s="69">
        <v>0.0</v>
      </c>
      <c r="AI60" s="69">
        <v>0.0</v>
      </c>
      <c r="AJ60" s="69">
        <v>1.0</v>
      </c>
      <c r="AK60" s="13">
        <f t="shared" si="16"/>
        <v>6</v>
      </c>
    </row>
    <row r="61" ht="12.75" customHeight="1">
      <c r="A61" s="18"/>
      <c r="B61" s="49"/>
      <c r="C61" s="50" t="s">
        <v>54</v>
      </c>
      <c r="D61" s="51"/>
      <c r="E61" s="69">
        <v>0.0</v>
      </c>
      <c r="F61" s="69">
        <v>0.0</v>
      </c>
      <c r="G61" s="69">
        <v>0.0</v>
      </c>
      <c r="H61" s="69">
        <v>0.0</v>
      </c>
      <c r="I61" s="69">
        <v>0.0</v>
      </c>
      <c r="J61" s="69">
        <v>0.0</v>
      </c>
      <c r="K61" s="69">
        <v>0.0</v>
      </c>
      <c r="L61" s="69">
        <v>0.0</v>
      </c>
      <c r="M61" s="69">
        <v>1.0</v>
      </c>
      <c r="N61" s="69">
        <v>0.0</v>
      </c>
      <c r="O61" s="69">
        <v>0.0</v>
      </c>
      <c r="P61" s="69">
        <v>0.0</v>
      </c>
      <c r="Q61" s="69">
        <v>0.0</v>
      </c>
      <c r="R61" s="69">
        <v>0.0</v>
      </c>
      <c r="S61" s="69">
        <v>0.0</v>
      </c>
      <c r="T61" s="69">
        <v>0.0</v>
      </c>
      <c r="U61" s="69">
        <v>0.0</v>
      </c>
      <c r="V61" s="69">
        <v>0.0</v>
      </c>
      <c r="W61" s="69">
        <v>0.0</v>
      </c>
      <c r="X61" s="69">
        <v>0.0</v>
      </c>
      <c r="Y61" s="69">
        <v>0.0</v>
      </c>
      <c r="Z61" s="69">
        <v>1.0</v>
      </c>
      <c r="AA61" s="69">
        <v>0.0</v>
      </c>
      <c r="AB61" s="69">
        <v>0.0</v>
      </c>
      <c r="AC61" s="69">
        <v>0.0</v>
      </c>
      <c r="AD61" s="69">
        <v>0.0</v>
      </c>
      <c r="AE61" s="69">
        <v>0.0</v>
      </c>
      <c r="AF61" s="69">
        <v>0.0</v>
      </c>
      <c r="AG61" s="69">
        <v>0.0</v>
      </c>
      <c r="AH61" s="69">
        <v>0.0</v>
      </c>
      <c r="AI61" s="69">
        <v>0.0</v>
      </c>
      <c r="AJ61" s="69">
        <v>0.0</v>
      </c>
      <c r="AK61" s="13">
        <f t="shared" si="16"/>
        <v>2</v>
      </c>
    </row>
    <row r="62" ht="12.75" customHeight="1">
      <c r="A62" s="18"/>
      <c r="B62" s="49"/>
      <c r="C62" s="50" t="s">
        <v>55</v>
      </c>
      <c r="D62" s="51"/>
      <c r="E62" s="69">
        <v>1.0</v>
      </c>
      <c r="F62" s="69">
        <v>0.0</v>
      </c>
      <c r="G62" s="69">
        <v>1.0</v>
      </c>
      <c r="H62" s="69">
        <v>0.0</v>
      </c>
      <c r="I62" s="69">
        <v>0.0</v>
      </c>
      <c r="J62" s="69">
        <v>0.0</v>
      </c>
      <c r="K62" s="69">
        <v>0.0</v>
      </c>
      <c r="L62" s="69">
        <v>1.0</v>
      </c>
      <c r="M62" s="69">
        <v>0.0</v>
      </c>
      <c r="N62" s="69">
        <v>0.0</v>
      </c>
      <c r="O62" s="69">
        <v>2.0</v>
      </c>
      <c r="P62" s="69">
        <v>0.0</v>
      </c>
      <c r="Q62" s="69">
        <v>1.0</v>
      </c>
      <c r="R62" s="69">
        <v>0.0</v>
      </c>
      <c r="S62" s="69">
        <v>0.0</v>
      </c>
      <c r="T62" s="69">
        <v>0.0</v>
      </c>
      <c r="U62" s="69">
        <v>0.0</v>
      </c>
      <c r="V62" s="69">
        <v>0.0</v>
      </c>
      <c r="W62" s="69">
        <v>0.0</v>
      </c>
      <c r="X62" s="69">
        <v>1.0</v>
      </c>
      <c r="Y62" s="69">
        <v>0.0</v>
      </c>
      <c r="Z62" s="69">
        <v>0.0</v>
      </c>
      <c r="AA62" s="69">
        <v>1.0</v>
      </c>
      <c r="AB62" s="69">
        <v>1.0</v>
      </c>
      <c r="AC62" s="69">
        <v>0.0</v>
      </c>
      <c r="AD62" s="69">
        <v>0.0</v>
      </c>
      <c r="AE62" s="69">
        <v>0.0</v>
      </c>
      <c r="AF62" s="69">
        <v>0.0</v>
      </c>
      <c r="AG62" s="69">
        <v>1.0</v>
      </c>
      <c r="AH62" s="69">
        <v>0.0</v>
      </c>
      <c r="AI62" s="69">
        <v>0.0</v>
      </c>
      <c r="AJ62" s="69">
        <v>1.0</v>
      </c>
      <c r="AK62" s="13">
        <f t="shared" si="16"/>
        <v>11</v>
      </c>
    </row>
    <row r="63" ht="12.75" customHeight="1">
      <c r="A63" s="19" t="s">
        <v>15</v>
      </c>
      <c r="B63" s="47" t="s">
        <v>47</v>
      </c>
      <c r="C63" s="15"/>
      <c r="D63" s="16"/>
      <c r="E63" s="56">
        <f t="shared" ref="E63:AJ63" si="17">SUM(E55:E62)</f>
        <v>20</v>
      </c>
      <c r="F63" s="56">
        <f t="shared" si="17"/>
        <v>13</v>
      </c>
      <c r="G63" s="56">
        <f t="shared" si="17"/>
        <v>11</v>
      </c>
      <c r="H63" s="56">
        <f t="shared" si="17"/>
        <v>12</v>
      </c>
      <c r="I63" s="56">
        <f t="shared" si="17"/>
        <v>12</v>
      </c>
      <c r="J63" s="56">
        <f t="shared" si="17"/>
        <v>25</v>
      </c>
      <c r="K63" s="56">
        <f t="shared" si="17"/>
        <v>14</v>
      </c>
      <c r="L63" s="56">
        <f t="shared" si="17"/>
        <v>20</v>
      </c>
      <c r="M63" s="56">
        <f t="shared" si="17"/>
        <v>9</v>
      </c>
      <c r="N63" s="56">
        <f t="shared" si="17"/>
        <v>19</v>
      </c>
      <c r="O63" s="56">
        <f t="shared" si="17"/>
        <v>22</v>
      </c>
      <c r="P63" s="56">
        <f t="shared" si="17"/>
        <v>15</v>
      </c>
      <c r="Q63" s="56">
        <f t="shared" si="17"/>
        <v>10</v>
      </c>
      <c r="R63" s="56">
        <f t="shared" si="17"/>
        <v>15</v>
      </c>
      <c r="S63" s="56">
        <f t="shared" si="17"/>
        <v>24</v>
      </c>
      <c r="T63" s="56">
        <f t="shared" si="17"/>
        <v>10</v>
      </c>
      <c r="U63" s="56">
        <f t="shared" si="17"/>
        <v>11</v>
      </c>
      <c r="V63" s="56">
        <f t="shared" si="17"/>
        <v>7</v>
      </c>
      <c r="W63" s="56">
        <f t="shared" si="17"/>
        <v>14</v>
      </c>
      <c r="X63" s="56">
        <f t="shared" si="17"/>
        <v>14</v>
      </c>
      <c r="Y63" s="56">
        <f t="shared" si="17"/>
        <v>6</v>
      </c>
      <c r="Z63" s="56">
        <f t="shared" si="17"/>
        <v>21</v>
      </c>
      <c r="AA63" s="56">
        <f t="shared" si="17"/>
        <v>13</v>
      </c>
      <c r="AB63" s="56">
        <f t="shared" si="17"/>
        <v>16</v>
      </c>
      <c r="AC63" s="56">
        <f t="shared" si="17"/>
        <v>10</v>
      </c>
      <c r="AD63" s="56">
        <f t="shared" si="17"/>
        <v>11</v>
      </c>
      <c r="AE63" s="56">
        <f t="shared" si="17"/>
        <v>15</v>
      </c>
      <c r="AF63" s="56">
        <f t="shared" si="17"/>
        <v>94</v>
      </c>
      <c r="AG63" s="56">
        <f t="shared" si="17"/>
        <v>8</v>
      </c>
      <c r="AH63" s="56">
        <f t="shared" si="17"/>
        <v>5</v>
      </c>
      <c r="AI63" s="56">
        <f t="shared" si="17"/>
        <v>1</v>
      </c>
      <c r="AJ63" s="56">
        <f t="shared" si="17"/>
        <v>8</v>
      </c>
      <c r="AK63" s="13">
        <f t="shared" si="16"/>
        <v>505</v>
      </c>
    </row>
    <row r="64" ht="12.75" customHeight="1">
      <c r="A64" s="59"/>
      <c r="B64" s="60"/>
      <c r="C64" s="60"/>
      <c r="D64" s="60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13"/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69">
        <v>3.0</v>
      </c>
      <c r="F65" s="69">
        <v>0.0</v>
      </c>
      <c r="G65" s="69">
        <v>7.0</v>
      </c>
      <c r="H65" s="69">
        <v>1.0</v>
      </c>
      <c r="I65" s="69">
        <v>6.0</v>
      </c>
      <c r="J65" s="69">
        <v>4.0</v>
      </c>
      <c r="K65" s="69">
        <v>2.0</v>
      </c>
      <c r="L65" s="69">
        <v>1.0</v>
      </c>
      <c r="M65" s="69">
        <v>7.0</v>
      </c>
      <c r="N65" s="69">
        <v>6.0</v>
      </c>
      <c r="O65" s="69">
        <v>4.0</v>
      </c>
      <c r="P65" s="69">
        <v>4.0</v>
      </c>
      <c r="Q65" s="69">
        <v>4.0</v>
      </c>
      <c r="R65" s="69">
        <v>3.0</v>
      </c>
      <c r="S65" s="69">
        <v>3.0</v>
      </c>
      <c r="T65" s="69">
        <v>7.0</v>
      </c>
      <c r="U65" s="69">
        <v>4.0</v>
      </c>
      <c r="V65" s="69">
        <v>3.0</v>
      </c>
      <c r="W65" s="69">
        <v>2.0</v>
      </c>
      <c r="X65" s="69">
        <v>3.0</v>
      </c>
      <c r="Y65" s="69">
        <v>6.0</v>
      </c>
      <c r="Z65" s="69">
        <v>5.0</v>
      </c>
      <c r="AA65" s="69">
        <v>8.0</v>
      </c>
      <c r="AB65" s="69">
        <v>2.0</v>
      </c>
      <c r="AC65" s="69">
        <v>0.0</v>
      </c>
      <c r="AD65" s="69">
        <v>2.0</v>
      </c>
      <c r="AE65" s="69">
        <v>2.0</v>
      </c>
      <c r="AF65" s="69">
        <v>1.0</v>
      </c>
      <c r="AG65" s="69">
        <v>3.0</v>
      </c>
      <c r="AH65" s="69">
        <v>1.0</v>
      </c>
      <c r="AI65" s="69">
        <v>1.0</v>
      </c>
      <c r="AJ65" s="69">
        <v>6.0</v>
      </c>
      <c r="AK65" s="13">
        <f t="shared" ref="AK65:AK73" si="18">SUM(E65:AJ65)</f>
        <v>111</v>
      </c>
    </row>
    <row r="66" ht="12.75" customHeight="1">
      <c r="A66" s="30" t="s">
        <v>39</v>
      </c>
      <c r="B66" s="49"/>
      <c r="C66" s="50" t="s">
        <v>57</v>
      </c>
      <c r="D66" s="51"/>
      <c r="E66" s="69">
        <v>1.0</v>
      </c>
      <c r="F66" s="69">
        <v>0.0</v>
      </c>
      <c r="G66" s="69">
        <v>2.0</v>
      </c>
      <c r="H66" s="69">
        <v>0.0</v>
      </c>
      <c r="I66" s="69">
        <v>1.0</v>
      </c>
      <c r="J66" s="69">
        <v>0.0</v>
      </c>
      <c r="K66" s="69">
        <v>2.0</v>
      </c>
      <c r="L66" s="69">
        <v>2.0</v>
      </c>
      <c r="M66" s="69">
        <v>2.0</v>
      </c>
      <c r="N66" s="69">
        <v>1.0</v>
      </c>
      <c r="O66" s="69">
        <v>2.0</v>
      </c>
      <c r="P66" s="69">
        <v>1.0</v>
      </c>
      <c r="Q66" s="69">
        <v>1.0</v>
      </c>
      <c r="R66" s="69">
        <v>3.0</v>
      </c>
      <c r="S66" s="69">
        <v>1.0</v>
      </c>
      <c r="T66" s="69">
        <v>2.0</v>
      </c>
      <c r="U66" s="69">
        <v>2.0</v>
      </c>
      <c r="V66" s="69">
        <v>0.0</v>
      </c>
      <c r="W66" s="69">
        <v>0.0</v>
      </c>
      <c r="X66" s="69">
        <v>2.0</v>
      </c>
      <c r="Y66" s="69">
        <v>3.0</v>
      </c>
      <c r="Z66" s="69">
        <v>7.0</v>
      </c>
      <c r="AA66" s="69">
        <v>4.0</v>
      </c>
      <c r="AB66" s="69">
        <v>1.0</v>
      </c>
      <c r="AC66" s="69">
        <v>0.0</v>
      </c>
      <c r="AD66" s="69">
        <v>1.0</v>
      </c>
      <c r="AE66" s="69">
        <v>1.0</v>
      </c>
      <c r="AF66" s="69">
        <v>6.0</v>
      </c>
      <c r="AG66" s="69">
        <v>0.0</v>
      </c>
      <c r="AH66" s="69">
        <v>0.0</v>
      </c>
      <c r="AI66" s="69">
        <v>0.0</v>
      </c>
      <c r="AJ66" s="69">
        <v>2.0</v>
      </c>
      <c r="AK66" s="13">
        <f t="shared" si="18"/>
        <v>50</v>
      </c>
    </row>
    <row r="67" ht="15.0" customHeight="1">
      <c r="A67" s="18"/>
      <c r="B67" s="49"/>
      <c r="C67" s="50" t="s">
        <v>58</v>
      </c>
      <c r="D67" s="51"/>
      <c r="E67" s="69">
        <v>7.0</v>
      </c>
      <c r="F67" s="69">
        <v>1.0</v>
      </c>
      <c r="G67" s="69">
        <v>3.0</v>
      </c>
      <c r="H67" s="69">
        <v>4.0</v>
      </c>
      <c r="I67" s="69">
        <v>6.0</v>
      </c>
      <c r="J67" s="69">
        <v>5.0</v>
      </c>
      <c r="K67" s="69">
        <v>11.0</v>
      </c>
      <c r="L67" s="69">
        <v>7.0</v>
      </c>
      <c r="M67" s="69">
        <v>6.0</v>
      </c>
      <c r="N67" s="69">
        <v>18.0</v>
      </c>
      <c r="O67" s="69">
        <v>3.0</v>
      </c>
      <c r="P67" s="69">
        <v>9.0</v>
      </c>
      <c r="Q67" s="69">
        <v>15.0</v>
      </c>
      <c r="R67" s="69">
        <v>3.0</v>
      </c>
      <c r="S67" s="69">
        <v>2.0</v>
      </c>
      <c r="T67" s="69">
        <v>2.0</v>
      </c>
      <c r="U67" s="69">
        <v>4.0</v>
      </c>
      <c r="V67" s="69">
        <v>12.0</v>
      </c>
      <c r="W67" s="69">
        <v>4.0</v>
      </c>
      <c r="X67" s="69">
        <v>16.0</v>
      </c>
      <c r="Y67" s="69">
        <v>8.0</v>
      </c>
      <c r="Z67" s="69">
        <v>0.0</v>
      </c>
      <c r="AA67" s="69">
        <v>4.0</v>
      </c>
      <c r="AB67" s="69">
        <v>3.0</v>
      </c>
      <c r="AC67" s="69">
        <v>3.0</v>
      </c>
      <c r="AD67" s="69">
        <v>15.0</v>
      </c>
      <c r="AE67" s="69">
        <v>3.0</v>
      </c>
      <c r="AF67" s="69">
        <v>7.0</v>
      </c>
      <c r="AG67" s="69">
        <v>1.0</v>
      </c>
      <c r="AH67" s="69">
        <v>2.0</v>
      </c>
      <c r="AI67" s="69">
        <v>3.0</v>
      </c>
      <c r="AJ67" s="69">
        <v>2.0</v>
      </c>
      <c r="AK67" s="13">
        <f t="shared" si="18"/>
        <v>189</v>
      </c>
    </row>
    <row r="68" ht="12.75" customHeight="1">
      <c r="A68" s="18"/>
      <c r="B68" s="49"/>
      <c r="C68" s="50" t="s">
        <v>59</v>
      </c>
      <c r="D68" s="51"/>
      <c r="E68" s="69">
        <v>2.0</v>
      </c>
      <c r="F68" s="69">
        <v>0.0</v>
      </c>
      <c r="G68" s="69">
        <v>1.0</v>
      </c>
      <c r="H68" s="69">
        <v>0.0</v>
      </c>
      <c r="I68" s="69">
        <v>1.0</v>
      </c>
      <c r="J68" s="69">
        <v>0.0</v>
      </c>
      <c r="K68" s="69">
        <v>0.0</v>
      </c>
      <c r="L68" s="69">
        <v>1.0</v>
      </c>
      <c r="M68" s="69">
        <v>0.0</v>
      </c>
      <c r="N68" s="69">
        <v>0.0</v>
      </c>
      <c r="O68" s="69">
        <v>2.0</v>
      </c>
      <c r="P68" s="69">
        <v>2.0</v>
      </c>
      <c r="Q68" s="69">
        <v>2.0</v>
      </c>
      <c r="R68" s="69">
        <v>0.0</v>
      </c>
      <c r="S68" s="69">
        <v>2.0</v>
      </c>
      <c r="T68" s="69">
        <v>2.0</v>
      </c>
      <c r="U68" s="69">
        <v>0.0</v>
      </c>
      <c r="V68" s="69">
        <v>0.0</v>
      </c>
      <c r="W68" s="69">
        <v>0.0</v>
      </c>
      <c r="X68" s="69">
        <v>0.0</v>
      </c>
      <c r="Y68" s="69">
        <v>1.0</v>
      </c>
      <c r="Z68" s="69">
        <v>2.0</v>
      </c>
      <c r="AA68" s="69">
        <v>0.0</v>
      </c>
      <c r="AB68" s="69">
        <v>0.0</v>
      </c>
      <c r="AC68" s="69">
        <v>0.0</v>
      </c>
      <c r="AD68" s="69">
        <v>0.0</v>
      </c>
      <c r="AE68" s="69">
        <v>1.0</v>
      </c>
      <c r="AF68" s="69">
        <v>1.0</v>
      </c>
      <c r="AG68" s="69">
        <v>0.0</v>
      </c>
      <c r="AH68" s="69">
        <v>0.0</v>
      </c>
      <c r="AI68" s="69">
        <v>2.0</v>
      </c>
      <c r="AJ68" s="69">
        <v>1.0</v>
      </c>
      <c r="AK68" s="13">
        <f t="shared" si="18"/>
        <v>23</v>
      </c>
    </row>
    <row r="69" ht="12.75" customHeight="1">
      <c r="A69" s="18"/>
      <c r="B69" s="49"/>
      <c r="C69" s="50" t="s">
        <v>60</v>
      </c>
      <c r="D69" s="51"/>
      <c r="E69" s="69">
        <v>0.0</v>
      </c>
      <c r="F69" s="69">
        <v>0.0</v>
      </c>
      <c r="G69" s="69">
        <v>0.0</v>
      </c>
      <c r="H69" s="69">
        <v>0.0</v>
      </c>
      <c r="I69" s="69">
        <v>2.0</v>
      </c>
      <c r="J69" s="69">
        <v>0.0</v>
      </c>
      <c r="K69" s="69">
        <v>0.0</v>
      </c>
      <c r="L69" s="69">
        <v>0.0</v>
      </c>
      <c r="M69" s="69">
        <v>1.0</v>
      </c>
      <c r="N69" s="69">
        <v>0.0</v>
      </c>
      <c r="O69" s="69">
        <v>1.0</v>
      </c>
      <c r="P69" s="69">
        <v>0.0</v>
      </c>
      <c r="Q69" s="69">
        <v>0.0</v>
      </c>
      <c r="R69" s="69">
        <v>0.0</v>
      </c>
      <c r="S69" s="69">
        <v>0.0</v>
      </c>
      <c r="T69" s="69">
        <v>1.0</v>
      </c>
      <c r="U69" s="69">
        <v>0.0</v>
      </c>
      <c r="V69" s="69">
        <v>0.0</v>
      </c>
      <c r="W69" s="69">
        <v>0.0</v>
      </c>
      <c r="X69" s="69">
        <v>0.0</v>
      </c>
      <c r="Y69" s="69">
        <v>0.0</v>
      </c>
      <c r="Z69" s="69">
        <v>1.0</v>
      </c>
      <c r="AA69" s="69">
        <v>1.0</v>
      </c>
      <c r="AB69" s="69">
        <v>0.0</v>
      </c>
      <c r="AC69" s="69">
        <v>0.0</v>
      </c>
      <c r="AD69" s="69">
        <v>0.0</v>
      </c>
      <c r="AE69" s="69">
        <v>0.0</v>
      </c>
      <c r="AF69" s="69">
        <v>1.0</v>
      </c>
      <c r="AG69" s="69">
        <v>0.0</v>
      </c>
      <c r="AH69" s="69">
        <v>1.0</v>
      </c>
      <c r="AI69" s="69">
        <v>0.0</v>
      </c>
      <c r="AJ69" s="69">
        <v>0.0</v>
      </c>
      <c r="AK69" s="13">
        <f t="shared" si="18"/>
        <v>9</v>
      </c>
    </row>
    <row r="70" ht="12.75" customHeight="1">
      <c r="A70" s="18"/>
      <c r="B70" s="49"/>
      <c r="C70" s="50" t="s">
        <v>61</v>
      </c>
      <c r="D70" s="51"/>
      <c r="E70" s="69">
        <v>18.0</v>
      </c>
      <c r="F70" s="69">
        <v>9.0</v>
      </c>
      <c r="G70" s="69">
        <v>11.0</v>
      </c>
      <c r="H70" s="69">
        <v>9.0</v>
      </c>
      <c r="I70" s="69">
        <v>3.0</v>
      </c>
      <c r="J70" s="69">
        <v>16.0</v>
      </c>
      <c r="K70" s="69">
        <v>12.0</v>
      </c>
      <c r="L70" s="69">
        <v>3.0</v>
      </c>
      <c r="M70" s="69">
        <v>11.0</v>
      </c>
      <c r="N70" s="69">
        <v>18.0</v>
      </c>
      <c r="O70" s="69">
        <v>6.0</v>
      </c>
      <c r="P70" s="69">
        <v>6.0</v>
      </c>
      <c r="Q70" s="69">
        <v>11.0</v>
      </c>
      <c r="R70" s="69">
        <v>10.0</v>
      </c>
      <c r="S70" s="69">
        <v>2.0</v>
      </c>
      <c r="T70" s="69">
        <v>16.0</v>
      </c>
      <c r="U70" s="69">
        <v>3.0</v>
      </c>
      <c r="V70" s="69">
        <v>10.0</v>
      </c>
      <c r="W70" s="69">
        <v>11.0</v>
      </c>
      <c r="X70" s="69">
        <v>8.0</v>
      </c>
      <c r="Y70" s="69">
        <v>4.0</v>
      </c>
      <c r="Z70" s="69">
        <v>16.0</v>
      </c>
      <c r="AA70" s="69">
        <v>10.0</v>
      </c>
      <c r="AB70" s="69">
        <v>9.0</v>
      </c>
      <c r="AC70" s="69">
        <v>2.0</v>
      </c>
      <c r="AD70" s="69">
        <v>9.0</v>
      </c>
      <c r="AE70" s="69">
        <v>1.0</v>
      </c>
      <c r="AF70" s="69">
        <v>27.0</v>
      </c>
      <c r="AG70" s="69">
        <v>7.0</v>
      </c>
      <c r="AH70" s="69">
        <v>0.0</v>
      </c>
      <c r="AI70" s="69">
        <v>0.0</v>
      </c>
      <c r="AJ70" s="69">
        <v>0.0</v>
      </c>
      <c r="AK70" s="13">
        <f t="shared" si="18"/>
        <v>278</v>
      </c>
    </row>
    <row r="71" ht="12.75" customHeight="1">
      <c r="A71" s="18"/>
      <c r="B71" s="49"/>
      <c r="C71" s="50" t="s">
        <v>62</v>
      </c>
      <c r="D71" s="51"/>
      <c r="E71" s="69">
        <v>0.0</v>
      </c>
      <c r="F71" s="69">
        <v>1.0</v>
      </c>
      <c r="G71" s="69">
        <v>9.0</v>
      </c>
      <c r="H71" s="69">
        <v>0.0</v>
      </c>
      <c r="I71" s="69">
        <v>0.0</v>
      </c>
      <c r="J71" s="69">
        <v>1.0</v>
      </c>
      <c r="K71" s="69">
        <v>3.0</v>
      </c>
      <c r="L71" s="69">
        <v>2.0</v>
      </c>
      <c r="M71" s="69">
        <v>2.0</v>
      </c>
      <c r="N71" s="69">
        <v>0.0</v>
      </c>
      <c r="O71" s="69">
        <v>4.0</v>
      </c>
      <c r="P71" s="69">
        <v>0.0</v>
      </c>
      <c r="Q71" s="69">
        <v>2.0</v>
      </c>
      <c r="R71" s="69">
        <v>5.0</v>
      </c>
      <c r="S71" s="69">
        <v>0.0</v>
      </c>
      <c r="T71" s="69">
        <v>0.0</v>
      </c>
      <c r="U71" s="69">
        <v>0.0</v>
      </c>
      <c r="V71" s="69">
        <v>0.0</v>
      </c>
      <c r="W71" s="69">
        <v>0.0</v>
      </c>
      <c r="X71" s="69">
        <v>1.0</v>
      </c>
      <c r="Y71" s="69">
        <v>0.0</v>
      </c>
      <c r="Z71" s="69">
        <v>0.0</v>
      </c>
      <c r="AA71" s="69">
        <v>0.0</v>
      </c>
      <c r="AB71" s="69">
        <v>0.0</v>
      </c>
      <c r="AC71" s="69">
        <v>0.0</v>
      </c>
      <c r="AD71" s="69">
        <v>0.0</v>
      </c>
      <c r="AE71" s="69">
        <v>1.0</v>
      </c>
      <c r="AF71" s="69">
        <v>0.0</v>
      </c>
      <c r="AG71" s="69">
        <v>0.0</v>
      </c>
      <c r="AH71" s="69">
        <v>0.0</v>
      </c>
      <c r="AI71" s="69">
        <v>0.0</v>
      </c>
      <c r="AJ71" s="69">
        <v>0.0</v>
      </c>
      <c r="AK71" s="13">
        <f t="shared" si="18"/>
        <v>31</v>
      </c>
    </row>
    <row r="72" ht="12.75" customHeight="1">
      <c r="A72" s="18"/>
      <c r="B72" s="49"/>
      <c r="C72" s="50" t="s">
        <v>63</v>
      </c>
      <c r="D72" s="51"/>
      <c r="E72" s="69">
        <v>3.0</v>
      </c>
      <c r="F72" s="69">
        <v>1.0</v>
      </c>
      <c r="G72" s="69">
        <v>1.0</v>
      </c>
      <c r="H72" s="69">
        <v>2.0</v>
      </c>
      <c r="I72" s="69">
        <v>0.0</v>
      </c>
      <c r="J72" s="69">
        <v>1.0</v>
      </c>
      <c r="K72" s="69">
        <v>0.0</v>
      </c>
      <c r="L72" s="69">
        <v>1.0</v>
      </c>
      <c r="M72" s="69">
        <v>2.0</v>
      </c>
      <c r="N72" s="69">
        <v>1.0</v>
      </c>
      <c r="O72" s="69">
        <v>0.0</v>
      </c>
      <c r="P72" s="69">
        <v>0.0</v>
      </c>
      <c r="Q72" s="69">
        <v>1.0</v>
      </c>
      <c r="R72" s="69">
        <v>1.0</v>
      </c>
      <c r="S72" s="69">
        <v>0.0</v>
      </c>
      <c r="T72" s="69">
        <v>5.0</v>
      </c>
      <c r="U72" s="69">
        <v>2.0</v>
      </c>
      <c r="V72" s="69">
        <v>1.0</v>
      </c>
      <c r="W72" s="69">
        <v>2.0</v>
      </c>
      <c r="X72" s="69">
        <v>1.0</v>
      </c>
      <c r="Y72" s="69">
        <v>5.0</v>
      </c>
      <c r="Z72" s="69">
        <v>0.0</v>
      </c>
      <c r="AA72" s="69">
        <v>1.0</v>
      </c>
      <c r="AB72" s="69">
        <v>0.0</v>
      </c>
      <c r="AC72" s="69">
        <v>2.0</v>
      </c>
      <c r="AD72" s="69">
        <v>0.0</v>
      </c>
      <c r="AE72" s="69">
        <v>1.0</v>
      </c>
      <c r="AF72" s="69">
        <v>1.0</v>
      </c>
      <c r="AG72" s="69">
        <v>0.0</v>
      </c>
      <c r="AH72" s="69">
        <v>0.0</v>
      </c>
      <c r="AI72" s="69">
        <v>0.0</v>
      </c>
      <c r="AJ72" s="69">
        <v>0.0</v>
      </c>
      <c r="AK72" s="13">
        <f t="shared" si="18"/>
        <v>35</v>
      </c>
    </row>
    <row r="73" ht="12.75" customHeight="1">
      <c r="A73" s="19" t="s">
        <v>15</v>
      </c>
      <c r="B73" s="47" t="s">
        <v>47</v>
      </c>
      <c r="C73" s="15"/>
      <c r="D73" s="16"/>
      <c r="E73" s="56">
        <f t="shared" ref="E73:AJ73" si="19">SUM(E65:E72)</f>
        <v>34</v>
      </c>
      <c r="F73" s="56">
        <f t="shared" si="19"/>
        <v>12</v>
      </c>
      <c r="G73" s="56">
        <f t="shared" si="19"/>
        <v>34</v>
      </c>
      <c r="H73" s="56">
        <f t="shared" si="19"/>
        <v>16</v>
      </c>
      <c r="I73" s="56">
        <f t="shared" si="19"/>
        <v>19</v>
      </c>
      <c r="J73" s="56">
        <f t="shared" si="19"/>
        <v>27</v>
      </c>
      <c r="K73" s="56">
        <f t="shared" si="19"/>
        <v>30</v>
      </c>
      <c r="L73" s="56">
        <f t="shared" si="19"/>
        <v>17</v>
      </c>
      <c r="M73" s="56">
        <f t="shared" si="19"/>
        <v>31</v>
      </c>
      <c r="N73" s="56">
        <f t="shared" si="19"/>
        <v>44</v>
      </c>
      <c r="O73" s="56">
        <f t="shared" si="19"/>
        <v>22</v>
      </c>
      <c r="P73" s="56">
        <f t="shared" si="19"/>
        <v>22</v>
      </c>
      <c r="Q73" s="56">
        <f t="shared" si="19"/>
        <v>36</v>
      </c>
      <c r="R73" s="56">
        <f t="shared" si="19"/>
        <v>25</v>
      </c>
      <c r="S73" s="56">
        <f t="shared" si="19"/>
        <v>10</v>
      </c>
      <c r="T73" s="56">
        <f t="shared" si="19"/>
        <v>35</v>
      </c>
      <c r="U73" s="56">
        <f t="shared" si="19"/>
        <v>15</v>
      </c>
      <c r="V73" s="56">
        <f t="shared" si="19"/>
        <v>26</v>
      </c>
      <c r="W73" s="56">
        <f t="shared" si="19"/>
        <v>19</v>
      </c>
      <c r="X73" s="56">
        <f t="shared" si="19"/>
        <v>31</v>
      </c>
      <c r="Y73" s="56">
        <f t="shared" si="19"/>
        <v>27</v>
      </c>
      <c r="Z73" s="56">
        <f t="shared" si="19"/>
        <v>31</v>
      </c>
      <c r="AA73" s="56">
        <f t="shared" si="19"/>
        <v>28</v>
      </c>
      <c r="AB73" s="56">
        <f t="shared" si="19"/>
        <v>15</v>
      </c>
      <c r="AC73" s="56">
        <f t="shared" si="19"/>
        <v>7</v>
      </c>
      <c r="AD73" s="56">
        <f t="shared" si="19"/>
        <v>27</v>
      </c>
      <c r="AE73" s="56">
        <f t="shared" si="19"/>
        <v>10</v>
      </c>
      <c r="AF73" s="56">
        <f t="shared" si="19"/>
        <v>44</v>
      </c>
      <c r="AG73" s="56">
        <f t="shared" si="19"/>
        <v>11</v>
      </c>
      <c r="AH73" s="56">
        <f t="shared" si="19"/>
        <v>4</v>
      </c>
      <c r="AI73" s="56">
        <f t="shared" si="19"/>
        <v>6</v>
      </c>
      <c r="AJ73" s="56">
        <f t="shared" si="19"/>
        <v>11</v>
      </c>
      <c r="AK73" s="13">
        <f t="shared" si="18"/>
        <v>726</v>
      </c>
    </row>
    <row r="74" ht="12.75" customHeight="1">
      <c r="A74" s="57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13"/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69">
        <v>0.0</v>
      </c>
      <c r="F75" s="69">
        <v>0.0</v>
      </c>
      <c r="G75" s="69">
        <v>1.0</v>
      </c>
      <c r="H75" s="69">
        <v>0.0</v>
      </c>
      <c r="I75" s="69">
        <v>2.0</v>
      </c>
      <c r="J75" s="69">
        <v>0.0</v>
      </c>
      <c r="K75" s="69">
        <v>1.0</v>
      </c>
      <c r="L75" s="69">
        <v>0.0</v>
      </c>
      <c r="M75" s="69">
        <v>0.0</v>
      </c>
      <c r="N75" s="69">
        <v>0.0</v>
      </c>
      <c r="O75" s="69">
        <v>1.0</v>
      </c>
      <c r="P75" s="69">
        <v>0.0</v>
      </c>
      <c r="Q75" s="69">
        <v>1.0</v>
      </c>
      <c r="R75" s="69">
        <v>1.0</v>
      </c>
      <c r="S75" s="69">
        <v>1.0</v>
      </c>
      <c r="T75" s="69">
        <v>1.0</v>
      </c>
      <c r="U75" s="69">
        <v>6.0</v>
      </c>
      <c r="V75" s="69">
        <v>4.0</v>
      </c>
      <c r="W75" s="69">
        <v>0.0</v>
      </c>
      <c r="X75" s="69">
        <v>2.0</v>
      </c>
      <c r="Y75" s="69">
        <v>2.0</v>
      </c>
      <c r="Z75" s="69">
        <v>1.0</v>
      </c>
      <c r="AA75" s="69">
        <v>0.0</v>
      </c>
      <c r="AB75" s="69">
        <v>4.0</v>
      </c>
      <c r="AC75" s="69">
        <v>1.0</v>
      </c>
      <c r="AD75" s="69">
        <v>1.0</v>
      </c>
      <c r="AE75" s="69">
        <v>4.0</v>
      </c>
      <c r="AF75" s="69">
        <v>2.0</v>
      </c>
      <c r="AG75" s="69">
        <v>0.0</v>
      </c>
      <c r="AH75" s="69">
        <v>0.0</v>
      </c>
      <c r="AI75" s="69">
        <v>0.0</v>
      </c>
      <c r="AJ75" s="69">
        <v>10.0</v>
      </c>
      <c r="AK75" s="13">
        <f t="shared" ref="AK75:AK83" si="20">SUM(E75:AJ75)</f>
        <v>46</v>
      </c>
    </row>
    <row r="76" ht="12.75" customHeight="1">
      <c r="A76" s="30" t="s">
        <v>39</v>
      </c>
      <c r="B76" s="49"/>
      <c r="C76" s="50" t="s">
        <v>65</v>
      </c>
      <c r="D76" s="51"/>
      <c r="E76" s="69">
        <v>6.0</v>
      </c>
      <c r="F76" s="69">
        <v>0.0</v>
      </c>
      <c r="G76" s="69">
        <v>3.0</v>
      </c>
      <c r="H76" s="69">
        <v>0.0</v>
      </c>
      <c r="I76" s="69">
        <v>0.0</v>
      </c>
      <c r="J76" s="69">
        <v>4.0</v>
      </c>
      <c r="K76" s="69">
        <v>0.0</v>
      </c>
      <c r="L76" s="69">
        <v>0.0</v>
      </c>
      <c r="M76" s="69">
        <v>2.0</v>
      </c>
      <c r="N76" s="69">
        <v>1.0</v>
      </c>
      <c r="O76" s="69">
        <v>1.0</v>
      </c>
      <c r="P76" s="69">
        <v>0.0</v>
      </c>
      <c r="Q76" s="69">
        <v>0.0</v>
      </c>
      <c r="R76" s="69">
        <v>0.0</v>
      </c>
      <c r="S76" s="69">
        <v>0.0</v>
      </c>
      <c r="T76" s="69">
        <v>10.0</v>
      </c>
      <c r="U76" s="69">
        <v>2.0</v>
      </c>
      <c r="V76" s="69">
        <v>2.0</v>
      </c>
      <c r="W76" s="69">
        <v>0.0</v>
      </c>
      <c r="X76" s="69">
        <v>2.0</v>
      </c>
      <c r="Y76" s="69">
        <v>4.0</v>
      </c>
      <c r="Z76" s="69">
        <v>0.0</v>
      </c>
      <c r="AA76" s="69">
        <v>0.0</v>
      </c>
      <c r="AB76" s="69">
        <v>2.0</v>
      </c>
      <c r="AC76" s="69">
        <v>2.0</v>
      </c>
      <c r="AD76" s="69">
        <v>2.0</v>
      </c>
      <c r="AE76" s="69">
        <v>2.0</v>
      </c>
      <c r="AF76" s="69">
        <v>2.0</v>
      </c>
      <c r="AG76" s="69">
        <v>0.0</v>
      </c>
      <c r="AH76" s="69">
        <v>0.0</v>
      </c>
      <c r="AI76" s="69">
        <v>0.0</v>
      </c>
      <c r="AJ76" s="69">
        <v>4.0</v>
      </c>
      <c r="AK76" s="13">
        <f t="shared" si="20"/>
        <v>51</v>
      </c>
    </row>
    <row r="77" ht="12.75" customHeight="1">
      <c r="A77" s="18"/>
      <c r="B77" s="49"/>
      <c r="C77" s="50" t="s">
        <v>66</v>
      </c>
      <c r="D77" s="51"/>
      <c r="E77" s="69">
        <v>0.0</v>
      </c>
      <c r="F77" s="69">
        <v>0.0</v>
      </c>
      <c r="G77" s="69">
        <v>0.0</v>
      </c>
      <c r="H77" s="69">
        <v>0.0</v>
      </c>
      <c r="I77" s="69">
        <v>0.0</v>
      </c>
      <c r="J77" s="69">
        <v>0.0</v>
      </c>
      <c r="K77" s="69">
        <v>0.0</v>
      </c>
      <c r="L77" s="69">
        <v>0.0</v>
      </c>
      <c r="M77" s="69">
        <v>0.0</v>
      </c>
      <c r="N77" s="69">
        <v>0.0</v>
      </c>
      <c r="O77" s="69">
        <v>0.0</v>
      </c>
      <c r="P77" s="69">
        <v>0.0</v>
      </c>
      <c r="Q77" s="69">
        <v>0.0</v>
      </c>
      <c r="R77" s="69">
        <v>1.0</v>
      </c>
      <c r="S77" s="69">
        <v>0.0</v>
      </c>
      <c r="T77" s="69">
        <v>1.0</v>
      </c>
      <c r="U77" s="69">
        <v>0.0</v>
      </c>
      <c r="V77" s="69">
        <v>0.0</v>
      </c>
      <c r="W77" s="69">
        <v>0.0</v>
      </c>
      <c r="X77" s="69">
        <v>0.0</v>
      </c>
      <c r="Y77" s="69">
        <v>1.0</v>
      </c>
      <c r="Z77" s="69">
        <v>0.0</v>
      </c>
      <c r="AA77" s="69">
        <v>3.0</v>
      </c>
      <c r="AB77" s="69">
        <v>0.0</v>
      </c>
      <c r="AC77" s="69">
        <v>0.0</v>
      </c>
      <c r="AD77" s="69">
        <v>0.0</v>
      </c>
      <c r="AE77" s="69">
        <v>0.0</v>
      </c>
      <c r="AF77" s="69">
        <v>0.0</v>
      </c>
      <c r="AG77" s="69">
        <v>0.0</v>
      </c>
      <c r="AH77" s="69">
        <v>0.0</v>
      </c>
      <c r="AI77" s="69">
        <v>0.0</v>
      </c>
      <c r="AJ77" s="69">
        <v>0.0</v>
      </c>
      <c r="AK77" s="13">
        <f t="shared" si="20"/>
        <v>6</v>
      </c>
    </row>
    <row r="78" ht="12.75" customHeight="1">
      <c r="A78" s="18"/>
      <c r="B78" s="49"/>
      <c r="C78" s="50" t="s">
        <v>67</v>
      </c>
      <c r="D78" s="51"/>
      <c r="E78" s="69">
        <v>0.0</v>
      </c>
      <c r="F78" s="69">
        <v>0.0</v>
      </c>
      <c r="G78" s="69">
        <v>0.0</v>
      </c>
      <c r="H78" s="69">
        <v>1.0</v>
      </c>
      <c r="I78" s="69">
        <v>0.0</v>
      </c>
      <c r="J78" s="69">
        <v>0.0</v>
      </c>
      <c r="K78" s="69">
        <v>0.0</v>
      </c>
      <c r="L78" s="69">
        <v>0.0</v>
      </c>
      <c r="M78" s="69">
        <v>0.0</v>
      </c>
      <c r="N78" s="69">
        <v>0.0</v>
      </c>
      <c r="O78" s="69">
        <v>0.0</v>
      </c>
      <c r="P78" s="69">
        <v>0.0</v>
      </c>
      <c r="Q78" s="69">
        <v>0.0</v>
      </c>
      <c r="R78" s="69">
        <v>0.0</v>
      </c>
      <c r="S78" s="69">
        <v>0.0</v>
      </c>
      <c r="T78" s="69">
        <v>0.0</v>
      </c>
      <c r="U78" s="69">
        <v>0.0</v>
      </c>
      <c r="V78" s="69">
        <v>0.0</v>
      </c>
      <c r="W78" s="69">
        <v>1.0</v>
      </c>
      <c r="X78" s="69">
        <v>0.0</v>
      </c>
      <c r="Y78" s="69">
        <v>0.0</v>
      </c>
      <c r="Z78" s="69">
        <v>1.0</v>
      </c>
      <c r="AA78" s="69">
        <v>0.0</v>
      </c>
      <c r="AB78" s="69">
        <v>0.0</v>
      </c>
      <c r="AC78" s="69">
        <v>2.0</v>
      </c>
      <c r="AD78" s="69">
        <v>0.0</v>
      </c>
      <c r="AE78" s="69">
        <v>0.0</v>
      </c>
      <c r="AF78" s="69">
        <v>0.0</v>
      </c>
      <c r="AG78" s="69">
        <v>0.0</v>
      </c>
      <c r="AH78" s="69">
        <v>0.0</v>
      </c>
      <c r="AI78" s="69">
        <v>0.0</v>
      </c>
      <c r="AJ78" s="69">
        <v>1.0</v>
      </c>
      <c r="AK78" s="13">
        <f t="shared" si="20"/>
        <v>6</v>
      </c>
    </row>
    <row r="79" ht="15.0" customHeight="1">
      <c r="A79" s="18"/>
      <c r="B79" s="49"/>
      <c r="C79" s="50" t="s">
        <v>68</v>
      </c>
      <c r="D79" s="51"/>
      <c r="E79" s="69">
        <v>0.0</v>
      </c>
      <c r="F79" s="69">
        <v>0.0</v>
      </c>
      <c r="G79" s="69">
        <v>1.0</v>
      </c>
      <c r="H79" s="69">
        <v>0.0</v>
      </c>
      <c r="I79" s="69">
        <v>1.0</v>
      </c>
      <c r="J79" s="69">
        <v>0.0</v>
      </c>
      <c r="K79" s="69">
        <v>0.0</v>
      </c>
      <c r="L79" s="69">
        <v>1.0</v>
      </c>
      <c r="M79" s="69">
        <v>0.0</v>
      </c>
      <c r="N79" s="69">
        <v>0.0</v>
      </c>
      <c r="O79" s="69">
        <v>0.0</v>
      </c>
      <c r="P79" s="69">
        <v>1.0</v>
      </c>
      <c r="Q79" s="69">
        <v>0.0</v>
      </c>
      <c r="R79" s="69">
        <v>0.0</v>
      </c>
      <c r="S79" s="69">
        <v>0.0</v>
      </c>
      <c r="T79" s="69">
        <v>0.0</v>
      </c>
      <c r="U79" s="69">
        <v>0.0</v>
      </c>
      <c r="V79" s="69">
        <v>0.0</v>
      </c>
      <c r="W79" s="69">
        <v>0.0</v>
      </c>
      <c r="X79" s="69">
        <v>0.0</v>
      </c>
      <c r="Y79" s="69">
        <v>0.0</v>
      </c>
      <c r="Z79" s="69">
        <v>1.0</v>
      </c>
      <c r="AA79" s="69">
        <v>0.0</v>
      </c>
      <c r="AB79" s="69">
        <v>0.0</v>
      </c>
      <c r="AC79" s="69">
        <v>0.0</v>
      </c>
      <c r="AD79" s="69">
        <v>0.0</v>
      </c>
      <c r="AE79" s="69">
        <v>0.0</v>
      </c>
      <c r="AF79" s="69">
        <v>0.0</v>
      </c>
      <c r="AG79" s="69">
        <v>0.0</v>
      </c>
      <c r="AH79" s="69">
        <v>0.0</v>
      </c>
      <c r="AI79" s="69">
        <v>0.0</v>
      </c>
      <c r="AJ79" s="69">
        <v>0.0</v>
      </c>
      <c r="AK79" s="13">
        <f t="shared" si="20"/>
        <v>5</v>
      </c>
    </row>
    <row r="80" ht="12.75" customHeight="1">
      <c r="A80" s="18"/>
      <c r="B80" s="49"/>
      <c r="C80" s="50" t="s">
        <v>69</v>
      </c>
      <c r="D80" s="51"/>
      <c r="E80" s="69">
        <v>0.0</v>
      </c>
      <c r="F80" s="69">
        <v>0.0</v>
      </c>
      <c r="G80" s="69">
        <v>0.0</v>
      </c>
      <c r="H80" s="69">
        <v>0.0</v>
      </c>
      <c r="I80" s="69">
        <v>0.0</v>
      </c>
      <c r="J80" s="69">
        <v>0.0</v>
      </c>
      <c r="K80" s="69">
        <v>0.0</v>
      </c>
      <c r="L80" s="69">
        <v>0.0</v>
      </c>
      <c r="M80" s="69">
        <v>0.0</v>
      </c>
      <c r="N80" s="69">
        <v>0.0</v>
      </c>
      <c r="O80" s="69">
        <v>0.0</v>
      </c>
      <c r="P80" s="69">
        <v>0.0</v>
      </c>
      <c r="Q80" s="69">
        <v>0.0</v>
      </c>
      <c r="R80" s="69">
        <v>0.0</v>
      </c>
      <c r="S80" s="69">
        <v>0.0</v>
      </c>
      <c r="T80" s="69">
        <v>0.0</v>
      </c>
      <c r="U80" s="69">
        <v>0.0</v>
      </c>
      <c r="V80" s="69">
        <v>0.0</v>
      </c>
      <c r="W80" s="69">
        <v>0.0</v>
      </c>
      <c r="X80" s="69">
        <v>0.0</v>
      </c>
      <c r="Y80" s="69">
        <v>0.0</v>
      </c>
      <c r="Z80" s="69">
        <v>0.0</v>
      </c>
      <c r="AA80" s="69">
        <v>0.0</v>
      </c>
      <c r="AB80" s="69">
        <v>0.0</v>
      </c>
      <c r="AC80" s="69">
        <v>0.0</v>
      </c>
      <c r="AD80" s="69">
        <v>0.0</v>
      </c>
      <c r="AE80" s="69">
        <v>2.0</v>
      </c>
      <c r="AF80" s="69">
        <v>0.0</v>
      </c>
      <c r="AG80" s="69">
        <v>0.0</v>
      </c>
      <c r="AH80" s="69">
        <v>0.0</v>
      </c>
      <c r="AI80" s="69">
        <v>0.0</v>
      </c>
      <c r="AJ80" s="69">
        <v>0.0</v>
      </c>
      <c r="AK80" s="13">
        <f t="shared" si="20"/>
        <v>2</v>
      </c>
    </row>
    <row r="81" ht="12.75" customHeight="1">
      <c r="A81" s="18"/>
      <c r="B81" s="49"/>
      <c r="C81" s="50" t="s">
        <v>70</v>
      </c>
      <c r="D81" s="51"/>
      <c r="E81" s="69">
        <v>0.0</v>
      </c>
      <c r="F81" s="69">
        <v>0.0</v>
      </c>
      <c r="G81" s="69">
        <v>0.0</v>
      </c>
      <c r="H81" s="69">
        <v>0.0</v>
      </c>
      <c r="I81" s="69">
        <v>0.0</v>
      </c>
      <c r="J81" s="69">
        <v>0.0</v>
      </c>
      <c r="K81" s="69">
        <v>0.0</v>
      </c>
      <c r="L81" s="69">
        <v>0.0</v>
      </c>
      <c r="M81" s="69">
        <v>0.0</v>
      </c>
      <c r="N81" s="69">
        <v>0.0</v>
      </c>
      <c r="O81" s="69">
        <v>0.0</v>
      </c>
      <c r="P81" s="69">
        <v>0.0</v>
      </c>
      <c r="Q81" s="69">
        <v>0.0</v>
      </c>
      <c r="R81" s="69">
        <v>0.0</v>
      </c>
      <c r="S81" s="69">
        <v>0.0</v>
      </c>
      <c r="T81" s="69">
        <v>0.0</v>
      </c>
      <c r="U81" s="69">
        <v>0.0</v>
      </c>
      <c r="V81" s="69">
        <v>0.0</v>
      </c>
      <c r="W81" s="69">
        <v>0.0</v>
      </c>
      <c r="X81" s="69">
        <v>0.0</v>
      </c>
      <c r="Y81" s="69">
        <v>0.0</v>
      </c>
      <c r="Z81" s="69">
        <v>0.0</v>
      </c>
      <c r="AA81" s="69">
        <v>0.0</v>
      </c>
      <c r="AB81" s="69">
        <v>0.0</v>
      </c>
      <c r="AC81" s="69">
        <v>0.0</v>
      </c>
      <c r="AD81" s="69">
        <v>0.0</v>
      </c>
      <c r="AE81" s="69">
        <v>0.0</v>
      </c>
      <c r="AF81" s="69">
        <v>0.0</v>
      </c>
      <c r="AG81" s="69">
        <v>0.0</v>
      </c>
      <c r="AH81" s="69">
        <v>0.0</v>
      </c>
      <c r="AI81" s="69">
        <v>0.0</v>
      </c>
      <c r="AJ81" s="69">
        <v>0.0</v>
      </c>
      <c r="AK81" s="13">
        <f t="shared" si="20"/>
        <v>0</v>
      </c>
    </row>
    <row r="82" ht="12.75" customHeight="1">
      <c r="A82" s="18"/>
      <c r="B82" s="49"/>
      <c r="C82" s="50" t="s">
        <v>71</v>
      </c>
      <c r="D82" s="51"/>
      <c r="E82" s="69">
        <v>0.0</v>
      </c>
      <c r="F82" s="69">
        <v>0.0</v>
      </c>
      <c r="G82" s="69">
        <v>0.0</v>
      </c>
      <c r="H82" s="69">
        <v>2.0</v>
      </c>
      <c r="I82" s="69">
        <v>1.0</v>
      </c>
      <c r="J82" s="69">
        <v>0.0</v>
      </c>
      <c r="K82" s="69">
        <v>2.0</v>
      </c>
      <c r="L82" s="69">
        <v>0.0</v>
      </c>
      <c r="M82" s="69">
        <v>3.0</v>
      </c>
      <c r="N82" s="69">
        <v>0.0</v>
      </c>
      <c r="O82" s="69">
        <v>0.0</v>
      </c>
      <c r="P82" s="69">
        <v>6.0</v>
      </c>
      <c r="Q82" s="69">
        <v>0.0</v>
      </c>
      <c r="R82" s="69">
        <v>0.0</v>
      </c>
      <c r="S82" s="69">
        <v>6.0</v>
      </c>
      <c r="T82" s="69">
        <v>12.0</v>
      </c>
      <c r="U82" s="69">
        <v>20.0</v>
      </c>
      <c r="V82" s="69">
        <v>5.0</v>
      </c>
      <c r="W82" s="69">
        <v>0.0</v>
      </c>
      <c r="X82" s="69">
        <v>0.0</v>
      </c>
      <c r="Y82" s="69">
        <v>1.0</v>
      </c>
      <c r="Z82" s="69">
        <v>0.0</v>
      </c>
      <c r="AA82" s="69">
        <v>0.0</v>
      </c>
      <c r="AB82" s="69">
        <v>1.0</v>
      </c>
      <c r="AC82" s="69">
        <v>0.0</v>
      </c>
      <c r="AD82" s="69">
        <v>0.0</v>
      </c>
      <c r="AE82" s="69">
        <v>0.0</v>
      </c>
      <c r="AF82" s="69">
        <v>2.0</v>
      </c>
      <c r="AG82" s="69">
        <v>1.0</v>
      </c>
      <c r="AH82" s="69">
        <v>0.0</v>
      </c>
      <c r="AI82" s="69">
        <v>0.0</v>
      </c>
      <c r="AJ82" s="69">
        <v>25.0</v>
      </c>
      <c r="AK82" s="13">
        <f t="shared" si="20"/>
        <v>87</v>
      </c>
    </row>
    <row r="83" ht="12.75" customHeight="1">
      <c r="A83" s="19" t="s">
        <v>15</v>
      </c>
      <c r="B83" s="47" t="s">
        <v>47</v>
      </c>
      <c r="C83" s="15"/>
      <c r="D83" s="16"/>
      <c r="E83" s="56">
        <f t="shared" ref="E83:AJ83" si="21">SUM(E75:E82)</f>
        <v>6</v>
      </c>
      <c r="F83" s="56">
        <f t="shared" si="21"/>
        <v>0</v>
      </c>
      <c r="G83" s="56">
        <f t="shared" si="21"/>
        <v>5</v>
      </c>
      <c r="H83" s="56">
        <f t="shared" si="21"/>
        <v>3</v>
      </c>
      <c r="I83" s="56">
        <f t="shared" si="21"/>
        <v>4</v>
      </c>
      <c r="J83" s="56">
        <f t="shared" si="21"/>
        <v>4</v>
      </c>
      <c r="K83" s="56">
        <f t="shared" si="21"/>
        <v>3</v>
      </c>
      <c r="L83" s="56">
        <f t="shared" si="21"/>
        <v>1</v>
      </c>
      <c r="M83" s="56">
        <f t="shared" si="21"/>
        <v>5</v>
      </c>
      <c r="N83" s="56">
        <f t="shared" si="21"/>
        <v>1</v>
      </c>
      <c r="O83" s="56">
        <f t="shared" si="21"/>
        <v>2</v>
      </c>
      <c r="P83" s="56">
        <f t="shared" si="21"/>
        <v>7</v>
      </c>
      <c r="Q83" s="56">
        <f t="shared" si="21"/>
        <v>1</v>
      </c>
      <c r="R83" s="56">
        <f t="shared" si="21"/>
        <v>2</v>
      </c>
      <c r="S83" s="56">
        <f t="shared" si="21"/>
        <v>7</v>
      </c>
      <c r="T83" s="56">
        <f t="shared" si="21"/>
        <v>24</v>
      </c>
      <c r="U83" s="56">
        <f t="shared" si="21"/>
        <v>28</v>
      </c>
      <c r="V83" s="56">
        <f t="shared" si="21"/>
        <v>11</v>
      </c>
      <c r="W83" s="56">
        <f t="shared" si="21"/>
        <v>1</v>
      </c>
      <c r="X83" s="56">
        <f t="shared" si="21"/>
        <v>4</v>
      </c>
      <c r="Y83" s="56">
        <f t="shared" si="21"/>
        <v>8</v>
      </c>
      <c r="Z83" s="56">
        <f t="shared" si="21"/>
        <v>3</v>
      </c>
      <c r="AA83" s="56">
        <f t="shared" si="21"/>
        <v>3</v>
      </c>
      <c r="AB83" s="56">
        <f t="shared" si="21"/>
        <v>7</v>
      </c>
      <c r="AC83" s="56">
        <f t="shared" si="21"/>
        <v>5</v>
      </c>
      <c r="AD83" s="56">
        <f t="shared" si="21"/>
        <v>3</v>
      </c>
      <c r="AE83" s="56">
        <f t="shared" si="21"/>
        <v>8</v>
      </c>
      <c r="AF83" s="56">
        <f t="shared" si="21"/>
        <v>6</v>
      </c>
      <c r="AG83" s="56">
        <f t="shared" si="21"/>
        <v>1</v>
      </c>
      <c r="AH83" s="56">
        <f t="shared" si="21"/>
        <v>0</v>
      </c>
      <c r="AI83" s="56">
        <f t="shared" si="21"/>
        <v>0</v>
      </c>
      <c r="AJ83" s="56">
        <f t="shared" si="21"/>
        <v>40</v>
      </c>
      <c r="AK83" s="13">
        <f t="shared" si="20"/>
        <v>203</v>
      </c>
    </row>
    <row r="84" ht="12.75" customHeight="1">
      <c r="A84" s="57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13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69">
        <v>1.0</v>
      </c>
      <c r="F85" s="69">
        <v>1.0</v>
      </c>
      <c r="G85" s="69">
        <v>1.0</v>
      </c>
      <c r="H85" s="69">
        <v>0.0</v>
      </c>
      <c r="I85" s="69">
        <v>1.0</v>
      </c>
      <c r="J85" s="69">
        <v>3.0</v>
      </c>
      <c r="K85" s="69">
        <v>5.0</v>
      </c>
      <c r="L85" s="69">
        <v>6.0</v>
      </c>
      <c r="M85" s="69">
        <v>4.0</v>
      </c>
      <c r="N85" s="69">
        <v>9.0</v>
      </c>
      <c r="O85" s="69">
        <v>1.0</v>
      </c>
      <c r="P85" s="69">
        <v>5.0</v>
      </c>
      <c r="Q85" s="69">
        <v>0.0</v>
      </c>
      <c r="R85" s="69">
        <v>1.0</v>
      </c>
      <c r="S85" s="69">
        <v>4.0</v>
      </c>
      <c r="T85" s="69">
        <v>0.0</v>
      </c>
      <c r="U85" s="69">
        <v>4.0</v>
      </c>
      <c r="V85" s="69">
        <v>0.0</v>
      </c>
      <c r="W85" s="69">
        <v>4.0</v>
      </c>
      <c r="X85" s="69">
        <v>2.0</v>
      </c>
      <c r="Y85" s="69">
        <v>2.0</v>
      </c>
      <c r="Z85" s="69">
        <v>7.0</v>
      </c>
      <c r="AA85" s="69">
        <v>2.0</v>
      </c>
      <c r="AB85" s="69">
        <v>2.0</v>
      </c>
      <c r="AC85" s="69">
        <v>2.0</v>
      </c>
      <c r="AD85" s="69">
        <v>4.0</v>
      </c>
      <c r="AE85" s="69">
        <v>3.0</v>
      </c>
      <c r="AF85" s="69">
        <v>0.0</v>
      </c>
      <c r="AG85" s="69">
        <v>1.0</v>
      </c>
      <c r="AH85" s="69">
        <v>1.0</v>
      </c>
      <c r="AI85" s="69">
        <v>3.0</v>
      </c>
      <c r="AJ85" s="69">
        <v>6.0</v>
      </c>
      <c r="AK85" s="13">
        <f t="shared" ref="AK85:AK93" si="22">SUM(E85:AJ85)</f>
        <v>85</v>
      </c>
    </row>
    <row r="86" ht="12.75" customHeight="1">
      <c r="A86" s="30" t="s">
        <v>39</v>
      </c>
      <c r="B86" s="49"/>
      <c r="C86" s="50" t="s">
        <v>74</v>
      </c>
      <c r="D86" s="51"/>
      <c r="E86" s="69">
        <v>1.0</v>
      </c>
      <c r="F86" s="69">
        <v>2.0</v>
      </c>
      <c r="G86" s="69">
        <v>4.0</v>
      </c>
      <c r="H86" s="69">
        <v>2.0</v>
      </c>
      <c r="I86" s="69">
        <v>0.0</v>
      </c>
      <c r="J86" s="69">
        <v>0.0</v>
      </c>
      <c r="K86" s="69">
        <v>0.0</v>
      </c>
      <c r="L86" s="69">
        <v>3.0</v>
      </c>
      <c r="M86" s="69">
        <v>2.0</v>
      </c>
      <c r="N86" s="69">
        <v>2.0</v>
      </c>
      <c r="O86" s="69">
        <v>0.0</v>
      </c>
      <c r="P86" s="69">
        <v>0.0</v>
      </c>
      <c r="Q86" s="69">
        <v>1.0</v>
      </c>
      <c r="R86" s="69">
        <v>2.0</v>
      </c>
      <c r="S86" s="69">
        <v>1.0</v>
      </c>
      <c r="T86" s="69">
        <v>1.0</v>
      </c>
      <c r="U86" s="69">
        <v>1.0</v>
      </c>
      <c r="V86" s="69">
        <v>0.0</v>
      </c>
      <c r="W86" s="69">
        <v>1.0</v>
      </c>
      <c r="X86" s="69">
        <v>0.0</v>
      </c>
      <c r="Y86" s="69">
        <v>2.0</v>
      </c>
      <c r="Z86" s="69">
        <v>0.0</v>
      </c>
      <c r="AA86" s="69">
        <v>2.0</v>
      </c>
      <c r="AB86" s="69">
        <v>2.0</v>
      </c>
      <c r="AC86" s="69">
        <v>1.0</v>
      </c>
      <c r="AD86" s="69">
        <v>1.0</v>
      </c>
      <c r="AE86" s="69">
        <v>0.0</v>
      </c>
      <c r="AF86" s="69">
        <v>0.0</v>
      </c>
      <c r="AG86" s="69">
        <v>1.0</v>
      </c>
      <c r="AH86" s="69">
        <v>0.0</v>
      </c>
      <c r="AI86" s="69">
        <v>0.0</v>
      </c>
      <c r="AJ86" s="69">
        <v>1.0</v>
      </c>
      <c r="AK86" s="13">
        <f t="shared" si="22"/>
        <v>33</v>
      </c>
    </row>
    <row r="87" ht="12.75" customHeight="1">
      <c r="A87" s="18"/>
      <c r="B87" s="49"/>
      <c r="C87" s="50" t="s">
        <v>75</v>
      </c>
      <c r="D87" s="51"/>
      <c r="E87" s="69">
        <v>71.0</v>
      </c>
      <c r="F87" s="69">
        <v>86.0</v>
      </c>
      <c r="G87" s="69">
        <v>80.0</v>
      </c>
      <c r="H87" s="69">
        <v>45.0</v>
      </c>
      <c r="I87" s="69">
        <v>49.0</v>
      </c>
      <c r="J87" s="69">
        <v>70.0</v>
      </c>
      <c r="K87" s="69">
        <v>94.0</v>
      </c>
      <c r="L87" s="69">
        <v>110.0</v>
      </c>
      <c r="M87" s="69">
        <v>63.0</v>
      </c>
      <c r="N87" s="69">
        <v>92.0</v>
      </c>
      <c r="O87" s="69">
        <v>45.0</v>
      </c>
      <c r="P87" s="69">
        <v>37.0</v>
      </c>
      <c r="Q87" s="69">
        <v>60.0</v>
      </c>
      <c r="R87" s="69">
        <v>93.0</v>
      </c>
      <c r="S87" s="69">
        <v>78.0</v>
      </c>
      <c r="T87" s="69">
        <v>51.0</v>
      </c>
      <c r="U87" s="69">
        <v>51.0</v>
      </c>
      <c r="V87" s="69">
        <v>67.0</v>
      </c>
      <c r="W87" s="69">
        <v>115.0</v>
      </c>
      <c r="X87" s="69">
        <v>54.0</v>
      </c>
      <c r="Y87" s="69">
        <v>86.0</v>
      </c>
      <c r="Z87" s="69">
        <v>88.0</v>
      </c>
      <c r="AA87" s="69">
        <v>59.0</v>
      </c>
      <c r="AB87" s="69">
        <v>85.0</v>
      </c>
      <c r="AC87" s="69">
        <v>98.0</v>
      </c>
      <c r="AD87" s="69">
        <v>51.0</v>
      </c>
      <c r="AE87" s="69">
        <v>106.0</v>
      </c>
      <c r="AF87" s="69">
        <v>27.0</v>
      </c>
      <c r="AG87" s="69">
        <v>22.0</v>
      </c>
      <c r="AH87" s="69">
        <v>31.0</v>
      </c>
      <c r="AI87" s="69">
        <v>77.0</v>
      </c>
      <c r="AJ87" s="69">
        <v>14.0</v>
      </c>
      <c r="AK87" s="13">
        <f t="shared" si="22"/>
        <v>2155</v>
      </c>
    </row>
    <row r="88" ht="12.75" customHeight="1">
      <c r="A88" s="18"/>
      <c r="B88" s="49"/>
      <c r="C88" s="50" t="s">
        <v>76</v>
      </c>
      <c r="D88" s="51"/>
      <c r="E88" s="69">
        <v>0.0</v>
      </c>
      <c r="F88" s="69">
        <v>0.0</v>
      </c>
      <c r="G88" s="69">
        <v>0.0</v>
      </c>
      <c r="H88" s="69">
        <v>2.0</v>
      </c>
      <c r="I88" s="69">
        <v>0.0</v>
      </c>
      <c r="J88" s="69">
        <v>0.0</v>
      </c>
      <c r="K88" s="69">
        <v>0.0</v>
      </c>
      <c r="L88" s="69">
        <v>0.0</v>
      </c>
      <c r="M88" s="69">
        <v>0.0</v>
      </c>
      <c r="N88" s="69">
        <v>0.0</v>
      </c>
      <c r="O88" s="69">
        <v>0.0</v>
      </c>
      <c r="P88" s="69">
        <v>0.0</v>
      </c>
      <c r="Q88" s="69">
        <v>0.0</v>
      </c>
      <c r="R88" s="69">
        <v>0.0</v>
      </c>
      <c r="S88" s="69">
        <v>0.0</v>
      </c>
      <c r="T88" s="69">
        <v>0.0</v>
      </c>
      <c r="U88" s="69">
        <v>0.0</v>
      </c>
      <c r="V88" s="69">
        <v>0.0</v>
      </c>
      <c r="W88" s="69">
        <v>1.0</v>
      </c>
      <c r="X88" s="69">
        <v>0.0</v>
      </c>
      <c r="Y88" s="69">
        <v>0.0</v>
      </c>
      <c r="Z88" s="69">
        <v>0.0</v>
      </c>
      <c r="AA88" s="69">
        <v>0.0</v>
      </c>
      <c r="AB88" s="69">
        <v>0.0</v>
      </c>
      <c r="AC88" s="69">
        <v>1.0</v>
      </c>
      <c r="AD88" s="69">
        <v>1.0</v>
      </c>
      <c r="AE88" s="69">
        <v>0.0</v>
      </c>
      <c r="AF88" s="69">
        <v>1.0</v>
      </c>
      <c r="AG88" s="69">
        <v>0.0</v>
      </c>
      <c r="AH88" s="69">
        <v>0.0</v>
      </c>
      <c r="AI88" s="69">
        <v>0.0</v>
      </c>
      <c r="AJ88" s="69">
        <v>1.0</v>
      </c>
      <c r="AK88" s="13">
        <f t="shared" si="22"/>
        <v>7</v>
      </c>
    </row>
    <row r="89" ht="12.75" customHeight="1">
      <c r="A89" s="18"/>
      <c r="B89" s="49"/>
      <c r="C89" s="50" t="s">
        <v>77</v>
      </c>
      <c r="D89" s="51"/>
      <c r="E89" s="69">
        <v>0.0</v>
      </c>
      <c r="F89" s="69">
        <v>0.0</v>
      </c>
      <c r="G89" s="69">
        <v>0.0</v>
      </c>
      <c r="H89" s="69">
        <v>0.0</v>
      </c>
      <c r="I89" s="69">
        <v>0.0</v>
      </c>
      <c r="J89" s="69">
        <v>0.0</v>
      </c>
      <c r="K89" s="69">
        <v>1.0</v>
      </c>
      <c r="L89" s="69">
        <v>0.0</v>
      </c>
      <c r="M89" s="69">
        <v>0.0</v>
      </c>
      <c r="N89" s="69">
        <v>0.0</v>
      </c>
      <c r="O89" s="69">
        <v>0.0</v>
      </c>
      <c r="P89" s="69">
        <v>0.0</v>
      </c>
      <c r="Q89" s="69">
        <v>0.0</v>
      </c>
      <c r="R89" s="69">
        <v>0.0</v>
      </c>
      <c r="S89" s="69">
        <v>0.0</v>
      </c>
      <c r="T89" s="69">
        <v>0.0</v>
      </c>
      <c r="U89" s="69">
        <v>1.0</v>
      </c>
      <c r="V89" s="69">
        <v>3.0</v>
      </c>
      <c r="W89" s="69">
        <v>1.0</v>
      </c>
      <c r="X89" s="69">
        <v>0.0</v>
      </c>
      <c r="Y89" s="69">
        <v>0.0</v>
      </c>
      <c r="Z89" s="69">
        <v>2.0</v>
      </c>
      <c r="AA89" s="69">
        <v>0.0</v>
      </c>
      <c r="AB89" s="69">
        <v>2.0</v>
      </c>
      <c r="AC89" s="69">
        <v>0.0</v>
      </c>
      <c r="AD89" s="69">
        <v>0.0</v>
      </c>
      <c r="AE89" s="69">
        <v>0.0</v>
      </c>
      <c r="AF89" s="69">
        <v>0.0</v>
      </c>
      <c r="AG89" s="69">
        <v>0.0</v>
      </c>
      <c r="AH89" s="69">
        <v>0.0</v>
      </c>
      <c r="AI89" s="69">
        <v>0.0</v>
      </c>
      <c r="AJ89" s="69">
        <v>1.0</v>
      </c>
      <c r="AK89" s="13">
        <f t="shared" si="22"/>
        <v>11</v>
      </c>
    </row>
    <row r="90" ht="12.75" customHeight="1">
      <c r="A90" s="18"/>
      <c r="B90" s="49"/>
      <c r="C90" s="50" t="s">
        <v>78</v>
      </c>
      <c r="D90" s="51"/>
      <c r="E90" s="69">
        <v>0.0</v>
      </c>
      <c r="F90" s="69">
        <v>4.0</v>
      </c>
      <c r="G90" s="69">
        <v>1.0</v>
      </c>
      <c r="H90" s="69">
        <v>1.0</v>
      </c>
      <c r="I90" s="69">
        <v>0.0</v>
      </c>
      <c r="J90" s="69">
        <v>1.0</v>
      </c>
      <c r="K90" s="69">
        <v>0.0</v>
      </c>
      <c r="L90" s="69">
        <v>0.0</v>
      </c>
      <c r="M90" s="69">
        <v>3.0</v>
      </c>
      <c r="N90" s="69">
        <v>1.0</v>
      </c>
      <c r="O90" s="69">
        <v>5.0</v>
      </c>
      <c r="P90" s="69">
        <v>1.0</v>
      </c>
      <c r="Q90" s="69">
        <v>0.0</v>
      </c>
      <c r="R90" s="69">
        <v>0.0</v>
      </c>
      <c r="S90" s="69">
        <v>0.0</v>
      </c>
      <c r="T90" s="69">
        <v>3.0</v>
      </c>
      <c r="U90" s="69">
        <v>0.0</v>
      </c>
      <c r="V90" s="69">
        <v>1.0</v>
      </c>
      <c r="W90" s="69">
        <v>0.0</v>
      </c>
      <c r="X90" s="69">
        <v>0.0</v>
      </c>
      <c r="Y90" s="69">
        <v>0.0</v>
      </c>
      <c r="Z90" s="69">
        <v>1.0</v>
      </c>
      <c r="AA90" s="69">
        <v>14.0</v>
      </c>
      <c r="AB90" s="69">
        <v>24.0</v>
      </c>
      <c r="AC90" s="69">
        <v>61.0</v>
      </c>
      <c r="AD90" s="69">
        <v>21.0</v>
      </c>
      <c r="AE90" s="69">
        <v>2.0</v>
      </c>
      <c r="AF90" s="69">
        <v>0.0</v>
      </c>
      <c r="AG90" s="69">
        <v>0.0</v>
      </c>
      <c r="AH90" s="69">
        <v>0.0</v>
      </c>
      <c r="AI90" s="69">
        <v>4.0</v>
      </c>
      <c r="AJ90" s="69">
        <v>23.0</v>
      </c>
      <c r="AK90" s="13">
        <f t="shared" si="22"/>
        <v>171</v>
      </c>
    </row>
    <row r="91" ht="15.0" customHeight="1">
      <c r="A91" s="18"/>
      <c r="B91" s="49"/>
      <c r="C91" s="50" t="s">
        <v>79</v>
      </c>
      <c r="D91" s="51"/>
      <c r="E91" s="69">
        <v>0.0</v>
      </c>
      <c r="F91" s="69">
        <v>0.0</v>
      </c>
      <c r="G91" s="69">
        <v>0.0</v>
      </c>
      <c r="H91" s="69">
        <v>0.0</v>
      </c>
      <c r="I91" s="69">
        <v>0.0</v>
      </c>
      <c r="J91" s="69">
        <v>0.0</v>
      </c>
      <c r="K91" s="69">
        <v>0.0</v>
      </c>
      <c r="L91" s="69">
        <v>0.0</v>
      </c>
      <c r="M91" s="69">
        <v>0.0</v>
      </c>
      <c r="N91" s="69">
        <v>0.0</v>
      </c>
      <c r="O91" s="69">
        <v>0.0</v>
      </c>
      <c r="P91" s="69">
        <v>0.0</v>
      </c>
      <c r="Q91" s="69">
        <v>0.0</v>
      </c>
      <c r="R91" s="69">
        <v>0.0</v>
      </c>
      <c r="S91" s="69">
        <v>0.0</v>
      </c>
      <c r="T91" s="69">
        <v>0.0</v>
      </c>
      <c r="U91" s="69">
        <v>0.0</v>
      </c>
      <c r="V91" s="69">
        <v>0.0</v>
      </c>
      <c r="W91" s="69">
        <v>0.0</v>
      </c>
      <c r="X91" s="69">
        <v>0.0</v>
      </c>
      <c r="Y91" s="69">
        <v>0.0</v>
      </c>
      <c r="Z91" s="69">
        <v>0.0</v>
      </c>
      <c r="AA91" s="69">
        <v>0.0</v>
      </c>
      <c r="AB91" s="69">
        <v>0.0</v>
      </c>
      <c r="AC91" s="69">
        <v>0.0</v>
      </c>
      <c r="AD91" s="69">
        <v>0.0</v>
      </c>
      <c r="AE91" s="69">
        <v>0.0</v>
      </c>
      <c r="AF91" s="69">
        <v>0.0</v>
      </c>
      <c r="AG91" s="69">
        <v>0.0</v>
      </c>
      <c r="AH91" s="69">
        <v>0.0</v>
      </c>
      <c r="AI91" s="69">
        <v>0.0</v>
      </c>
      <c r="AJ91" s="69">
        <v>0.0</v>
      </c>
      <c r="AK91" s="13">
        <f t="shared" si="22"/>
        <v>0</v>
      </c>
    </row>
    <row r="92" ht="12.75" customHeight="1">
      <c r="A92" s="18"/>
      <c r="B92" s="49"/>
      <c r="C92" s="50" t="s">
        <v>80</v>
      </c>
      <c r="D92" s="51"/>
      <c r="E92" s="69">
        <v>0.0</v>
      </c>
      <c r="F92" s="69">
        <v>0.0</v>
      </c>
      <c r="G92" s="69">
        <v>0.0</v>
      </c>
      <c r="H92" s="69">
        <v>0.0</v>
      </c>
      <c r="I92" s="69">
        <v>0.0</v>
      </c>
      <c r="J92" s="69">
        <v>0.0</v>
      </c>
      <c r="K92" s="69">
        <v>0.0</v>
      </c>
      <c r="L92" s="69">
        <v>0.0</v>
      </c>
      <c r="M92" s="69">
        <v>0.0</v>
      </c>
      <c r="N92" s="69">
        <v>0.0</v>
      </c>
      <c r="O92" s="69">
        <v>0.0</v>
      </c>
      <c r="P92" s="69">
        <v>2.0</v>
      </c>
      <c r="Q92" s="69">
        <v>0.0</v>
      </c>
      <c r="R92" s="69">
        <v>0.0</v>
      </c>
      <c r="S92" s="69">
        <v>0.0</v>
      </c>
      <c r="T92" s="69">
        <v>0.0</v>
      </c>
      <c r="U92" s="69">
        <v>0.0</v>
      </c>
      <c r="V92" s="69">
        <v>0.0</v>
      </c>
      <c r="W92" s="69">
        <v>0.0</v>
      </c>
      <c r="X92" s="69">
        <v>0.0</v>
      </c>
      <c r="Y92" s="69">
        <v>1.0</v>
      </c>
      <c r="Z92" s="69">
        <v>0.0</v>
      </c>
      <c r="AA92" s="69">
        <v>0.0</v>
      </c>
      <c r="AB92" s="69">
        <v>0.0</v>
      </c>
      <c r="AC92" s="69">
        <v>0.0</v>
      </c>
      <c r="AD92" s="69">
        <v>0.0</v>
      </c>
      <c r="AE92" s="69">
        <v>0.0</v>
      </c>
      <c r="AF92" s="69">
        <v>0.0</v>
      </c>
      <c r="AG92" s="69">
        <v>0.0</v>
      </c>
      <c r="AH92" s="69">
        <v>0.0</v>
      </c>
      <c r="AI92" s="69">
        <v>0.0</v>
      </c>
      <c r="AJ92" s="69">
        <v>0.0</v>
      </c>
      <c r="AK92" s="13">
        <f t="shared" si="22"/>
        <v>3</v>
      </c>
    </row>
    <row r="93" ht="12.75" customHeight="1">
      <c r="A93" s="19" t="s">
        <v>15</v>
      </c>
      <c r="B93" s="47" t="s">
        <v>47</v>
      </c>
      <c r="C93" s="15"/>
      <c r="D93" s="16"/>
      <c r="E93" s="56">
        <f t="shared" ref="E93:AJ93" si="23">SUM(E85:E92)</f>
        <v>73</v>
      </c>
      <c r="F93" s="56">
        <f t="shared" si="23"/>
        <v>93</v>
      </c>
      <c r="G93" s="56">
        <f t="shared" si="23"/>
        <v>86</v>
      </c>
      <c r="H93" s="56">
        <f t="shared" si="23"/>
        <v>50</v>
      </c>
      <c r="I93" s="56">
        <f t="shared" si="23"/>
        <v>50</v>
      </c>
      <c r="J93" s="56">
        <f t="shared" si="23"/>
        <v>74</v>
      </c>
      <c r="K93" s="56">
        <f t="shared" si="23"/>
        <v>100</v>
      </c>
      <c r="L93" s="56">
        <f t="shared" si="23"/>
        <v>119</v>
      </c>
      <c r="M93" s="56">
        <f t="shared" si="23"/>
        <v>72</v>
      </c>
      <c r="N93" s="56">
        <f t="shared" si="23"/>
        <v>104</v>
      </c>
      <c r="O93" s="56">
        <f t="shared" si="23"/>
        <v>51</v>
      </c>
      <c r="P93" s="56">
        <f t="shared" si="23"/>
        <v>45</v>
      </c>
      <c r="Q93" s="56">
        <f t="shared" si="23"/>
        <v>61</v>
      </c>
      <c r="R93" s="56">
        <f t="shared" si="23"/>
        <v>96</v>
      </c>
      <c r="S93" s="56">
        <f t="shared" si="23"/>
        <v>83</v>
      </c>
      <c r="T93" s="56">
        <f t="shared" si="23"/>
        <v>55</v>
      </c>
      <c r="U93" s="56">
        <f t="shared" si="23"/>
        <v>57</v>
      </c>
      <c r="V93" s="56">
        <f t="shared" si="23"/>
        <v>71</v>
      </c>
      <c r="W93" s="56">
        <f t="shared" si="23"/>
        <v>122</v>
      </c>
      <c r="X93" s="56">
        <f t="shared" si="23"/>
        <v>56</v>
      </c>
      <c r="Y93" s="56">
        <f t="shared" si="23"/>
        <v>91</v>
      </c>
      <c r="Z93" s="56">
        <f t="shared" si="23"/>
        <v>98</v>
      </c>
      <c r="AA93" s="56">
        <f t="shared" si="23"/>
        <v>77</v>
      </c>
      <c r="AB93" s="56">
        <f t="shared" si="23"/>
        <v>115</v>
      </c>
      <c r="AC93" s="56">
        <f t="shared" si="23"/>
        <v>163</v>
      </c>
      <c r="AD93" s="56">
        <f t="shared" si="23"/>
        <v>78</v>
      </c>
      <c r="AE93" s="56">
        <f t="shared" si="23"/>
        <v>111</v>
      </c>
      <c r="AF93" s="56">
        <f t="shared" si="23"/>
        <v>28</v>
      </c>
      <c r="AG93" s="56">
        <f t="shared" si="23"/>
        <v>24</v>
      </c>
      <c r="AH93" s="56">
        <f t="shared" si="23"/>
        <v>32</v>
      </c>
      <c r="AI93" s="56">
        <f t="shared" si="23"/>
        <v>84</v>
      </c>
      <c r="AJ93" s="56">
        <f t="shared" si="23"/>
        <v>46</v>
      </c>
      <c r="AK93" s="13">
        <f t="shared" si="22"/>
        <v>2465</v>
      </c>
    </row>
    <row r="94" ht="12.75" customHeight="1">
      <c r="A94" s="57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13"/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69">
        <v>0.0</v>
      </c>
      <c r="F95" s="69">
        <v>0.0</v>
      </c>
      <c r="G95" s="69">
        <v>0.0</v>
      </c>
      <c r="H95" s="69">
        <v>2.0</v>
      </c>
      <c r="I95" s="69">
        <v>1.0</v>
      </c>
      <c r="J95" s="69">
        <v>0.0</v>
      </c>
      <c r="K95" s="69">
        <v>0.0</v>
      </c>
      <c r="L95" s="69">
        <v>1.0</v>
      </c>
      <c r="M95" s="69">
        <v>1.0</v>
      </c>
      <c r="N95" s="69">
        <v>0.0</v>
      </c>
      <c r="O95" s="69">
        <v>0.0</v>
      </c>
      <c r="P95" s="69">
        <v>0.0</v>
      </c>
      <c r="Q95" s="69">
        <v>0.0</v>
      </c>
      <c r="R95" s="69">
        <v>1.0</v>
      </c>
      <c r="S95" s="69">
        <v>0.0</v>
      </c>
      <c r="T95" s="69">
        <v>0.0</v>
      </c>
      <c r="U95" s="69">
        <v>0.0</v>
      </c>
      <c r="V95" s="69">
        <v>0.0</v>
      </c>
      <c r="W95" s="69">
        <v>0.0</v>
      </c>
      <c r="X95" s="69">
        <v>0.0</v>
      </c>
      <c r="Y95" s="69">
        <v>0.0</v>
      </c>
      <c r="Z95" s="69">
        <v>1.0</v>
      </c>
      <c r="AA95" s="69">
        <v>0.0</v>
      </c>
      <c r="AB95" s="69">
        <v>0.0</v>
      </c>
      <c r="AC95" s="69">
        <v>0.0</v>
      </c>
      <c r="AD95" s="69">
        <v>0.0</v>
      </c>
      <c r="AE95" s="69">
        <v>0.0</v>
      </c>
      <c r="AF95" s="69">
        <v>0.0</v>
      </c>
      <c r="AG95" s="69">
        <v>0.0</v>
      </c>
      <c r="AH95" s="69">
        <v>0.0</v>
      </c>
      <c r="AI95" s="69">
        <v>0.0</v>
      </c>
      <c r="AJ95" s="69">
        <v>2.0</v>
      </c>
      <c r="AK95" s="13">
        <f t="shared" ref="AK95:AK97" si="24">SUM(E95:AJ95)</f>
        <v>9</v>
      </c>
    </row>
    <row r="96" ht="12.75" customHeight="1">
      <c r="A96" s="30" t="s">
        <v>39</v>
      </c>
      <c r="B96" s="49"/>
      <c r="C96" s="50" t="s">
        <v>83</v>
      </c>
      <c r="D96" s="62"/>
      <c r="E96" s="69">
        <v>1.0</v>
      </c>
      <c r="F96" s="69">
        <v>0.0</v>
      </c>
      <c r="G96" s="69">
        <v>1.0</v>
      </c>
      <c r="H96" s="69">
        <v>0.0</v>
      </c>
      <c r="I96" s="69">
        <v>0.0</v>
      </c>
      <c r="J96" s="69">
        <v>0.0</v>
      </c>
      <c r="K96" s="69">
        <v>0.0</v>
      </c>
      <c r="L96" s="69">
        <v>0.0</v>
      </c>
      <c r="M96" s="69">
        <v>0.0</v>
      </c>
      <c r="N96" s="69">
        <v>0.0</v>
      </c>
      <c r="O96" s="69">
        <v>0.0</v>
      </c>
      <c r="P96" s="69">
        <v>0.0</v>
      </c>
      <c r="Q96" s="69">
        <v>0.0</v>
      </c>
      <c r="R96" s="69">
        <v>0.0</v>
      </c>
      <c r="S96" s="69">
        <v>0.0</v>
      </c>
      <c r="T96" s="69">
        <v>0.0</v>
      </c>
      <c r="U96" s="69">
        <v>0.0</v>
      </c>
      <c r="V96" s="69">
        <v>0.0</v>
      </c>
      <c r="W96" s="69">
        <v>0.0</v>
      </c>
      <c r="X96" s="69">
        <v>0.0</v>
      </c>
      <c r="Y96" s="69">
        <v>0.0</v>
      </c>
      <c r="Z96" s="69">
        <v>0.0</v>
      </c>
      <c r="AA96" s="69">
        <v>0.0</v>
      </c>
      <c r="AB96" s="69">
        <v>0.0</v>
      </c>
      <c r="AC96" s="69">
        <v>0.0</v>
      </c>
      <c r="AD96" s="69">
        <v>0.0</v>
      </c>
      <c r="AE96" s="69">
        <v>0.0</v>
      </c>
      <c r="AF96" s="69">
        <v>0.0</v>
      </c>
      <c r="AG96" s="69">
        <v>0.0</v>
      </c>
      <c r="AH96" s="69">
        <v>0.0</v>
      </c>
      <c r="AI96" s="69">
        <v>0.0</v>
      </c>
      <c r="AJ96" s="69">
        <v>0.0</v>
      </c>
      <c r="AK96" s="13">
        <f t="shared" si="24"/>
        <v>2</v>
      </c>
    </row>
    <row r="97" ht="12.75" customHeight="1">
      <c r="A97" s="19" t="s">
        <v>15</v>
      </c>
      <c r="B97" s="47" t="s">
        <v>47</v>
      </c>
      <c r="C97" s="15"/>
      <c r="D97" s="16"/>
      <c r="E97" s="56">
        <f t="shared" ref="E97:AJ97" si="25">SUM(E95:E96)</f>
        <v>1</v>
      </c>
      <c r="F97" s="56">
        <f t="shared" si="25"/>
        <v>0</v>
      </c>
      <c r="G97" s="56">
        <f t="shared" si="25"/>
        <v>1</v>
      </c>
      <c r="H97" s="56">
        <f t="shared" si="25"/>
        <v>2</v>
      </c>
      <c r="I97" s="56">
        <f t="shared" si="25"/>
        <v>1</v>
      </c>
      <c r="J97" s="56">
        <f t="shared" si="25"/>
        <v>0</v>
      </c>
      <c r="K97" s="56">
        <f t="shared" si="25"/>
        <v>0</v>
      </c>
      <c r="L97" s="56">
        <f t="shared" si="25"/>
        <v>1</v>
      </c>
      <c r="M97" s="56">
        <f t="shared" si="25"/>
        <v>1</v>
      </c>
      <c r="N97" s="56">
        <f t="shared" si="25"/>
        <v>0</v>
      </c>
      <c r="O97" s="56">
        <f t="shared" si="25"/>
        <v>0</v>
      </c>
      <c r="P97" s="56">
        <f t="shared" si="25"/>
        <v>0</v>
      </c>
      <c r="Q97" s="56">
        <f t="shared" si="25"/>
        <v>0</v>
      </c>
      <c r="R97" s="56">
        <f t="shared" si="25"/>
        <v>1</v>
      </c>
      <c r="S97" s="56">
        <f t="shared" si="25"/>
        <v>0</v>
      </c>
      <c r="T97" s="56">
        <f t="shared" si="25"/>
        <v>0</v>
      </c>
      <c r="U97" s="56">
        <f t="shared" si="25"/>
        <v>0</v>
      </c>
      <c r="V97" s="56">
        <f t="shared" si="25"/>
        <v>0</v>
      </c>
      <c r="W97" s="56">
        <f t="shared" si="25"/>
        <v>0</v>
      </c>
      <c r="X97" s="56">
        <f t="shared" si="25"/>
        <v>0</v>
      </c>
      <c r="Y97" s="56">
        <f t="shared" si="25"/>
        <v>0</v>
      </c>
      <c r="Z97" s="56">
        <f t="shared" si="25"/>
        <v>1</v>
      </c>
      <c r="AA97" s="56">
        <f t="shared" si="25"/>
        <v>0</v>
      </c>
      <c r="AB97" s="56">
        <f t="shared" si="25"/>
        <v>0</v>
      </c>
      <c r="AC97" s="56">
        <f t="shared" si="25"/>
        <v>0</v>
      </c>
      <c r="AD97" s="56">
        <f t="shared" si="25"/>
        <v>0</v>
      </c>
      <c r="AE97" s="56">
        <f t="shared" si="25"/>
        <v>0</v>
      </c>
      <c r="AF97" s="56">
        <f t="shared" si="25"/>
        <v>0</v>
      </c>
      <c r="AG97" s="56">
        <f t="shared" si="25"/>
        <v>0</v>
      </c>
      <c r="AH97" s="56">
        <f t="shared" si="25"/>
        <v>0</v>
      </c>
      <c r="AI97" s="56">
        <f t="shared" si="25"/>
        <v>0</v>
      </c>
      <c r="AJ97" s="56">
        <f t="shared" si="25"/>
        <v>2</v>
      </c>
      <c r="AK97" s="13">
        <f t="shared" si="24"/>
        <v>11</v>
      </c>
    </row>
    <row r="98" ht="12.75" customHeight="1">
      <c r="A98" s="57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13"/>
    </row>
    <row r="99" ht="12.75" customHeight="1">
      <c r="A99" s="30" t="s">
        <v>37</v>
      </c>
      <c r="B99" s="47" t="s">
        <v>84</v>
      </c>
      <c r="C99" s="48" t="s">
        <v>85</v>
      </c>
      <c r="D99" s="16"/>
      <c r="E99" s="69">
        <v>0.0</v>
      </c>
      <c r="F99" s="69">
        <v>0.0</v>
      </c>
      <c r="G99" s="69">
        <v>1.0</v>
      </c>
      <c r="H99" s="69">
        <v>0.0</v>
      </c>
      <c r="I99" s="69">
        <v>1.0</v>
      </c>
      <c r="J99" s="69">
        <v>3.0</v>
      </c>
      <c r="K99" s="69">
        <v>0.0</v>
      </c>
      <c r="L99" s="69">
        <v>1.0</v>
      </c>
      <c r="M99" s="69">
        <v>1.0</v>
      </c>
      <c r="N99" s="69">
        <v>2.0</v>
      </c>
      <c r="O99" s="69">
        <v>0.0</v>
      </c>
      <c r="P99" s="69">
        <v>1.0</v>
      </c>
      <c r="Q99" s="69">
        <v>0.0</v>
      </c>
      <c r="R99" s="69">
        <v>0.0</v>
      </c>
      <c r="S99" s="69">
        <v>0.0</v>
      </c>
      <c r="T99" s="69">
        <v>0.0</v>
      </c>
      <c r="U99" s="69">
        <v>0.0</v>
      </c>
      <c r="V99" s="69">
        <v>0.0</v>
      </c>
      <c r="W99" s="69">
        <v>2.0</v>
      </c>
      <c r="X99" s="69">
        <v>0.0</v>
      </c>
      <c r="Y99" s="69">
        <v>3.0</v>
      </c>
      <c r="Z99" s="69">
        <v>0.0</v>
      </c>
      <c r="AA99" s="69">
        <v>3.0</v>
      </c>
      <c r="AB99" s="69">
        <v>2.0</v>
      </c>
      <c r="AC99" s="69">
        <v>0.0</v>
      </c>
      <c r="AD99" s="69">
        <v>2.0</v>
      </c>
      <c r="AE99" s="69">
        <v>0.0</v>
      </c>
      <c r="AF99" s="69">
        <v>0.0</v>
      </c>
      <c r="AG99" s="69">
        <v>1.0</v>
      </c>
      <c r="AH99" s="69">
        <v>1.0</v>
      </c>
      <c r="AI99" s="69">
        <v>0.0</v>
      </c>
      <c r="AJ99" s="69">
        <v>2.0</v>
      </c>
      <c r="AK99" s="13">
        <f t="shared" ref="AK99:AK101" si="26">SUM(E99:AJ99)</f>
        <v>26</v>
      </c>
    </row>
    <row r="100" ht="12.75" customHeight="1">
      <c r="A100" s="30" t="s">
        <v>39</v>
      </c>
      <c r="B100" s="49"/>
      <c r="C100" s="50" t="s">
        <v>86</v>
      </c>
      <c r="D100" s="51"/>
      <c r="E100" s="69">
        <v>0.0</v>
      </c>
      <c r="F100" s="69">
        <v>1.0</v>
      </c>
      <c r="G100" s="69">
        <v>0.0</v>
      </c>
      <c r="H100" s="69">
        <v>0.0</v>
      </c>
      <c r="I100" s="69">
        <v>0.0</v>
      </c>
      <c r="J100" s="69">
        <v>0.0</v>
      </c>
      <c r="K100" s="69">
        <v>0.0</v>
      </c>
      <c r="L100" s="69">
        <v>0.0</v>
      </c>
      <c r="M100" s="69">
        <v>1.0</v>
      </c>
      <c r="N100" s="69">
        <v>0.0</v>
      </c>
      <c r="O100" s="69">
        <v>0.0</v>
      </c>
      <c r="P100" s="69">
        <v>0.0</v>
      </c>
      <c r="Q100" s="69">
        <v>0.0</v>
      </c>
      <c r="R100" s="69">
        <v>0.0</v>
      </c>
      <c r="S100" s="69">
        <v>0.0</v>
      </c>
      <c r="T100" s="69">
        <v>0.0</v>
      </c>
      <c r="U100" s="69">
        <v>1.0</v>
      </c>
      <c r="V100" s="69">
        <v>0.0</v>
      </c>
      <c r="W100" s="69">
        <v>0.0</v>
      </c>
      <c r="X100" s="69">
        <v>0.0</v>
      </c>
      <c r="Y100" s="69">
        <v>0.0</v>
      </c>
      <c r="Z100" s="69">
        <v>0.0</v>
      </c>
      <c r="AA100" s="69">
        <v>0.0</v>
      </c>
      <c r="AB100" s="69">
        <v>1.0</v>
      </c>
      <c r="AC100" s="69">
        <v>0.0</v>
      </c>
      <c r="AD100" s="69">
        <v>0.0</v>
      </c>
      <c r="AE100" s="69">
        <v>0.0</v>
      </c>
      <c r="AF100" s="69">
        <v>0.0</v>
      </c>
      <c r="AG100" s="69">
        <v>0.0</v>
      </c>
      <c r="AH100" s="69">
        <v>1.0</v>
      </c>
      <c r="AI100" s="69">
        <v>0.0</v>
      </c>
      <c r="AJ100" s="69">
        <v>0.0</v>
      </c>
      <c r="AK100" s="13">
        <f t="shared" si="26"/>
        <v>5</v>
      </c>
    </row>
    <row r="101" ht="12.75" customHeight="1">
      <c r="A101" s="19" t="s">
        <v>15</v>
      </c>
      <c r="B101" s="47" t="s">
        <v>47</v>
      </c>
      <c r="C101" s="15"/>
      <c r="D101" s="16"/>
      <c r="E101" s="56">
        <f t="shared" ref="E101:AJ101" si="27">SUM(E99:E100)</f>
        <v>0</v>
      </c>
      <c r="F101" s="56">
        <f t="shared" si="27"/>
        <v>1</v>
      </c>
      <c r="G101" s="56">
        <f t="shared" si="27"/>
        <v>1</v>
      </c>
      <c r="H101" s="56">
        <f t="shared" si="27"/>
        <v>0</v>
      </c>
      <c r="I101" s="56">
        <f t="shared" si="27"/>
        <v>1</v>
      </c>
      <c r="J101" s="56">
        <f t="shared" si="27"/>
        <v>3</v>
      </c>
      <c r="K101" s="56">
        <f t="shared" si="27"/>
        <v>0</v>
      </c>
      <c r="L101" s="56">
        <f t="shared" si="27"/>
        <v>1</v>
      </c>
      <c r="M101" s="56">
        <f t="shared" si="27"/>
        <v>2</v>
      </c>
      <c r="N101" s="56">
        <f t="shared" si="27"/>
        <v>2</v>
      </c>
      <c r="O101" s="56">
        <f t="shared" si="27"/>
        <v>0</v>
      </c>
      <c r="P101" s="56">
        <f t="shared" si="27"/>
        <v>1</v>
      </c>
      <c r="Q101" s="56">
        <f t="shared" si="27"/>
        <v>0</v>
      </c>
      <c r="R101" s="56">
        <f t="shared" si="27"/>
        <v>0</v>
      </c>
      <c r="S101" s="56">
        <f t="shared" si="27"/>
        <v>0</v>
      </c>
      <c r="T101" s="56">
        <f t="shared" si="27"/>
        <v>0</v>
      </c>
      <c r="U101" s="56">
        <f t="shared" si="27"/>
        <v>1</v>
      </c>
      <c r="V101" s="56">
        <f t="shared" si="27"/>
        <v>0</v>
      </c>
      <c r="W101" s="56">
        <f t="shared" si="27"/>
        <v>2</v>
      </c>
      <c r="X101" s="56">
        <f t="shared" si="27"/>
        <v>0</v>
      </c>
      <c r="Y101" s="56">
        <f t="shared" si="27"/>
        <v>3</v>
      </c>
      <c r="Z101" s="56">
        <f t="shared" si="27"/>
        <v>0</v>
      </c>
      <c r="AA101" s="56">
        <f t="shared" si="27"/>
        <v>3</v>
      </c>
      <c r="AB101" s="56">
        <f t="shared" si="27"/>
        <v>3</v>
      </c>
      <c r="AC101" s="56">
        <f t="shared" si="27"/>
        <v>0</v>
      </c>
      <c r="AD101" s="56">
        <f t="shared" si="27"/>
        <v>2</v>
      </c>
      <c r="AE101" s="56">
        <f t="shared" si="27"/>
        <v>0</v>
      </c>
      <c r="AF101" s="56">
        <f t="shared" si="27"/>
        <v>0</v>
      </c>
      <c r="AG101" s="56">
        <f t="shared" si="27"/>
        <v>1</v>
      </c>
      <c r="AH101" s="56">
        <f t="shared" si="27"/>
        <v>2</v>
      </c>
      <c r="AI101" s="56">
        <f t="shared" si="27"/>
        <v>0</v>
      </c>
      <c r="AJ101" s="56">
        <f t="shared" si="27"/>
        <v>2</v>
      </c>
      <c r="AK101" s="13">
        <f t="shared" si="26"/>
        <v>31</v>
      </c>
    </row>
    <row r="102" ht="12.75" customHeight="1">
      <c r="A102" s="57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13"/>
    </row>
    <row r="103" ht="15.0" customHeight="1">
      <c r="A103" s="30" t="s">
        <v>37</v>
      </c>
      <c r="B103" s="47" t="s">
        <v>87</v>
      </c>
      <c r="C103" s="48" t="s">
        <v>88</v>
      </c>
      <c r="D103" s="16"/>
      <c r="E103" s="69">
        <v>0.0</v>
      </c>
      <c r="F103" s="69">
        <v>0.0</v>
      </c>
      <c r="G103" s="69">
        <v>0.0</v>
      </c>
      <c r="H103" s="69">
        <v>0.0</v>
      </c>
      <c r="I103" s="69">
        <v>0.0</v>
      </c>
      <c r="J103" s="69">
        <v>0.0</v>
      </c>
      <c r="K103" s="69">
        <v>1.0</v>
      </c>
      <c r="L103" s="69">
        <v>0.0</v>
      </c>
      <c r="M103" s="69">
        <v>1.0</v>
      </c>
      <c r="N103" s="69">
        <v>1.0</v>
      </c>
      <c r="O103" s="69">
        <v>0.0</v>
      </c>
      <c r="P103" s="69">
        <v>1.0</v>
      </c>
      <c r="Q103" s="69">
        <v>2.0</v>
      </c>
      <c r="R103" s="69">
        <v>0.0</v>
      </c>
      <c r="S103" s="69">
        <v>0.0</v>
      </c>
      <c r="T103" s="69">
        <v>1.0</v>
      </c>
      <c r="U103" s="69">
        <v>0.0</v>
      </c>
      <c r="V103" s="69">
        <v>0.0</v>
      </c>
      <c r="W103" s="69">
        <v>0.0</v>
      </c>
      <c r="X103" s="69">
        <v>0.0</v>
      </c>
      <c r="Y103" s="69">
        <v>0.0</v>
      </c>
      <c r="Z103" s="69">
        <v>0.0</v>
      </c>
      <c r="AA103" s="69">
        <v>0.0</v>
      </c>
      <c r="AB103" s="69">
        <v>0.0</v>
      </c>
      <c r="AC103" s="69">
        <v>0.0</v>
      </c>
      <c r="AD103" s="69">
        <v>0.0</v>
      </c>
      <c r="AE103" s="69">
        <v>0.0</v>
      </c>
      <c r="AF103" s="69">
        <v>0.0</v>
      </c>
      <c r="AG103" s="69">
        <v>0.0</v>
      </c>
      <c r="AH103" s="69">
        <v>0.0</v>
      </c>
      <c r="AI103" s="69">
        <v>0.0</v>
      </c>
      <c r="AJ103" s="69">
        <v>0.0</v>
      </c>
      <c r="AK103" s="13">
        <f t="shared" ref="AK103:AK111" si="28">SUM(E103:AJ103)</f>
        <v>7</v>
      </c>
    </row>
    <row r="104" ht="12.75" customHeight="1">
      <c r="A104" s="30" t="s">
        <v>39</v>
      </c>
      <c r="B104" s="49"/>
      <c r="C104" s="50" t="s">
        <v>89</v>
      </c>
      <c r="D104" s="51"/>
      <c r="E104" s="69">
        <v>6.0</v>
      </c>
      <c r="F104" s="69">
        <v>0.0</v>
      </c>
      <c r="G104" s="69">
        <v>7.0</v>
      </c>
      <c r="H104" s="69">
        <v>5.0</v>
      </c>
      <c r="I104" s="69">
        <v>0.0</v>
      </c>
      <c r="J104" s="69">
        <v>11.0</v>
      </c>
      <c r="K104" s="69">
        <v>9.0</v>
      </c>
      <c r="L104" s="69">
        <v>1.0</v>
      </c>
      <c r="M104" s="69">
        <v>1.0</v>
      </c>
      <c r="N104" s="69">
        <v>1.0</v>
      </c>
      <c r="O104" s="69">
        <v>2.0</v>
      </c>
      <c r="P104" s="69">
        <v>2.0</v>
      </c>
      <c r="Q104" s="69">
        <v>0.0</v>
      </c>
      <c r="R104" s="69">
        <v>0.0</v>
      </c>
      <c r="S104" s="69">
        <v>1.0</v>
      </c>
      <c r="T104" s="69">
        <v>3.0</v>
      </c>
      <c r="U104" s="69">
        <v>3.0</v>
      </c>
      <c r="V104" s="69">
        <v>0.0</v>
      </c>
      <c r="W104" s="69">
        <v>0.0</v>
      </c>
      <c r="X104" s="69">
        <v>0.0</v>
      </c>
      <c r="Y104" s="69">
        <v>0.0</v>
      </c>
      <c r="Z104" s="69">
        <v>1.0</v>
      </c>
      <c r="AA104" s="69">
        <v>0.0</v>
      </c>
      <c r="AB104" s="69">
        <v>0.0</v>
      </c>
      <c r="AC104" s="69">
        <v>0.0</v>
      </c>
      <c r="AD104" s="69">
        <v>0.0</v>
      </c>
      <c r="AE104" s="69">
        <v>0.0</v>
      </c>
      <c r="AF104" s="69">
        <v>0.0</v>
      </c>
      <c r="AG104" s="69">
        <v>1.0</v>
      </c>
      <c r="AH104" s="69">
        <v>0.0</v>
      </c>
      <c r="AI104" s="69">
        <v>0.0</v>
      </c>
      <c r="AJ104" s="69">
        <v>0.0</v>
      </c>
      <c r="AK104" s="13">
        <f t="shared" si="28"/>
        <v>54</v>
      </c>
    </row>
    <row r="105" ht="12.75" customHeight="1">
      <c r="A105" s="18"/>
      <c r="B105" s="49"/>
      <c r="C105" s="50" t="s">
        <v>90</v>
      </c>
      <c r="D105" s="51"/>
      <c r="E105" s="69">
        <v>0.0</v>
      </c>
      <c r="F105" s="69">
        <v>0.0</v>
      </c>
      <c r="G105" s="69">
        <v>0.0</v>
      </c>
      <c r="H105" s="69">
        <v>0.0</v>
      </c>
      <c r="I105" s="69">
        <v>0.0</v>
      </c>
      <c r="J105" s="69">
        <v>0.0</v>
      </c>
      <c r="K105" s="69">
        <v>0.0</v>
      </c>
      <c r="L105" s="69">
        <v>0.0</v>
      </c>
      <c r="M105" s="69">
        <v>0.0</v>
      </c>
      <c r="N105" s="69">
        <v>0.0</v>
      </c>
      <c r="O105" s="69">
        <v>0.0</v>
      </c>
      <c r="P105" s="69">
        <v>0.0</v>
      </c>
      <c r="Q105" s="69">
        <v>1.0</v>
      </c>
      <c r="R105" s="69">
        <v>0.0</v>
      </c>
      <c r="S105" s="69">
        <v>1.0</v>
      </c>
      <c r="T105" s="69">
        <v>0.0</v>
      </c>
      <c r="U105" s="69">
        <v>0.0</v>
      </c>
      <c r="V105" s="69">
        <v>0.0</v>
      </c>
      <c r="W105" s="69">
        <v>0.0</v>
      </c>
      <c r="X105" s="69">
        <v>0.0</v>
      </c>
      <c r="Y105" s="69">
        <v>0.0</v>
      </c>
      <c r="Z105" s="69">
        <v>0.0</v>
      </c>
      <c r="AA105" s="69">
        <v>0.0</v>
      </c>
      <c r="AB105" s="69">
        <v>0.0</v>
      </c>
      <c r="AC105" s="69">
        <v>0.0</v>
      </c>
      <c r="AD105" s="69">
        <v>0.0</v>
      </c>
      <c r="AE105" s="69">
        <v>0.0</v>
      </c>
      <c r="AF105" s="69">
        <v>0.0</v>
      </c>
      <c r="AG105" s="69">
        <v>0.0</v>
      </c>
      <c r="AH105" s="69">
        <v>0.0</v>
      </c>
      <c r="AI105" s="69">
        <v>0.0</v>
      </c>
      <c r="AJ105" s="69">
        <v>0.0</v>
      </c>
      <c r="AK105" s="13">
        <f t="shared" si="28"/>
        <v>2</v>
      </c>
    </row>
    <row r="106" ht="12.75" customHeight="1">
      <c r="A106" s="18"/>
      <c r="B106" s="49"/>
      <c r="C106" s="50" t="s">
        <v>91</v>
      </c>
      <c r="D106" s="51"/>
      <c r="E106" s="69">
        <v>1.0</v>
      </c>
      <c r="F106" s="69">
        <v>0.0</v>
      </c>
      <c r="G106" s="69">
        <v>0.0</v>
      </c>
      <c r="H106" s="69">
        <v>0.0</v>
      </c>
      <c r="I106" s="69">
        <v>0.0</v>
      </c>
      <c r="J106" s="69">
        <v>0.0</v>
      </c>
      <c r="K106" s="69">
        <v>1.0</v>
      </c>
      <c r="L106" s="69">
        <v>0.0</v>
      </c>
      <c r="M106" s="69">
        <v>0.0</v>
      </c>
      <c r="N106" s="69">
        <v>0.0</v>
      </c>
      <c r="O106" s="69">
        <v>0.0</v>
      </c>
      <c r="P106" s="69">
        <v>0.0</v>
      </c>
      <c r="Q106" s="69">
        <v>0.0</v>
      </c>
      <c r="R106" s="69">
        <v>1.0</v>
      </c>
      <c r="S106" s="69">
        <v>0.0</v>
      </c>
      <c r="T106" s="69">
        <v>0.0</v>
      </c>
      <c r="U106" s="69">
        <v>0.0</v>
      </c>
      <c r="V106" s="69">
        <v>0.0</v>
      </c>
      <c r="W106" s="69">
        <v>0.0</v>
      </c>
      <c r="X106" s="69">
        <v>0.0</v>
      </c>
      <c r="Y106" s="69">
        <v>0.0</v>
      </c>
      <c r="Z106" s="69">
        <v>0.0</v>
      </c>
      <c r="AA106" s="69">
        <v>0.0</v>
      </c>
      <c r="AB106" s="69">
        <v>0.0</v>
      </c>
      <c r="AC106" s="69">
        <v>0.0</v>
      </c>
      <c r="AD106" s="69">
        <v>0.0</v>
      </c>
      <c r="AE106" s="69">
        <v>0.0</v>
      </c>
      <c r="AF106" s="69">
        <v>0.0</v>
      </c>
      <c r="AG106" s="69">
        <v>0.0</v>
      </c>
      <c r="AH106" s="69">
        <v>0.0</v>
      </c>
      <c r="AI106" s="69">
        <v>0.0</v>
      </c>
      <c r="AJ106" s="69">
        <v>0.0</v>
      </c>
      <c r="AK106" s="13">
        <f t="shared" si="28"/>
        <v>3</v>
      </c>
    </row>
    <row r="107" ht="12.75" customHeight="1">
      <c r="A107" s="18"/>
      <c r="B107" s="49"/>
      <c r="C107" s="50" t="s">
        <v>92</v>
      </c>
      <c r="D107" s="51"/>
      <c r="E107" s="69">
        <v>0.0</v>
      </c>
      <c r="F107" s="69">
        <v>0.0</v>
      </c>
      <c r="G107" s="69">
        <v>0.0</v>
      </c>
      <c r="H107" s="69">
        <v>0.0</v>
      </c>
      <c r="I107" s="69">
        <v>0.0</v>
      </c>
      <c r="J107" s="69">
        <v>0.0</v>
      </c>
      <c r="K107" s="69">
        <v>0.0</v>
      </c>
      <c r="L107" s="69">
        <v>0.0</v>
      </c>
      <c r="M107" s="69">
        <v>0.0</v>
      </c>
      <c r="N107" s="69">
        <v>0.0</v>
      </c>
      <c r="O107" s="69">
        <v>0.0</v>
      </c>
      <c r="P107" s="69">
        <v>0.0</v>
      </c>
      <c r="Q107" s="69">
        <v>0.0</v>
      </c>
      <c r="R107" s="69">
        <v>0.0</v>
      </c>
      <c r="S107" s="69">
        <v>0.0</v>
      </c>
      <c r="T107" s="69">
        <v>0.0</v>
      </c>
      <c r="U107" s="69">
        <v>0.0</v>
      </c>
      <c r="V107" s="69">
        <v>0.0</v>
      </c>
      <c r="W107" s="69">
        <v>0.0</v>
      </c>
      <c r="X107" s="69">
        <v>0.0</v>
      </c>
      <c r="Y107" s="69">
        <v>0.0</v>
      </c>
      <c r="Z107" s="69">
        <v>0.0</v>
      </c>
      <c r="AA107" s="69">
        <v>0.0</v>
      </c>
      <c r="AB107" s="69">
        <v>0.0</v>
      </c>
      <c r="AC107" s="69">
        <v>0.0</v>
      </c>
      <c r="AD107" s="69">
        <v>0.0</v>
      </c>
      <c r="AE107" s="69">
        <v>0.0</v>
      </c>
      <c r="AF107" s="69">
        <v>0.0</v>
      </c>
      <c r="AG107" s="69">
        <v>0.0</v>
      </c>
      <c r="AH107" s="69">
        <v>1.0</v>
      </c>
      <c r="AI107" s="69">
        <v>0.0</v>
      </c>
      <c r="AJ107" s="69">
        <v>0.0</v>
      </c>
      <c r="AK107" s="13">
        <f t="shared" si="28"/>
        <v>1</v>
      </c>
    </row>
    <row r="108" ht="12.75" customHeight="1">
      <c r="A108" s="18"/>
      <c r="B108" s="49"/>
      <c r="C108" s="50" t="s">
        <v>93</v>
      </c>
      <c r="D108" s="51"/>
      <c r="E108" s="69">
        <v>0.0</v>
      </c>
      <c r="F108" s="69">
        <v>0.0</v>
      </c>
      <c r="G108" s="69">
        <v>0.0</v>
      </c>
      <c r="H108" s="69">
        <v>0.0</v>
      </c>
      <c r="I108" s="69">
        <v>0.0</v>
      </c>
      <c r="J108" s="69">
        <v>0.0</v>
      </c>
      <c r="K108" s="69">
        <v>0.0</v>
      </c>
      <c r="L108" s="69">
        <v>0.0</v>
      </c>
      <c r="M108" s="69">
        <v>0.0</v>
      </c>
      <c r="N108" s="69">
        <v>0.0</v>
      </c>
      <c r="O108" s="69">
        <v>0.0</v>
      </c>
      <c r="P108" s="69">
        <v>0.0</v>
      </c>
      <c r="Q108" s="69">
        <v>0.0</v>
      </c>
      <c r="R108" s="69">
        <v>0.0</v>
      </c>
      <c r="S108" s="69">
        <v>0.0</v>
      </c>
      <c r="T108" s="69">
        <v>0.0</v>
      </c>
      <c r="U108" s="69">
        <v>0.0</v>
      </c>
      <c r="V108" s="69">
        <v>0.0</v>
      </c>
      <c r="W108" s="69">
        <v>0.0</v>
      </c>
      <c r="X108" s="69">
        <v>0.0</v>
      </c>
      <c r="Y108" s="69">
        <v>0.0</v>
      </c>
      <c r="Z108" s="69">
        <v>0.0</v>
      </c>
      <c r="AA108" s="69">
        <v>0.0</v>
      </c>
      <c r="AB108" s="69">
        <v>0.0</v>
      </c>
      <c r="AC108" s="69">
        <v>0.0</v>
      </c>
      <c r="AD108" s="69">
        <v>0.0</v>
      </c>
      <c r="AE108" s="69">
        <v>0.0</v>
      </c>
      <c r="AF108" s="69">
        <v>0.0</v>
      </c>
      <c r="AG108" s="69">
        <v>0.0</v>
      </c>
      <c r="AH108" s="69">
        <v>0.0</v>
      </c>
      <c r="AI108" s="69">
        <v>0.0</v>
      </c>
      <c r="AJ108" s="69">
        <v>0.0</v>
      </c>
      <c r="AK108" s="13">
        <f t="shared" si="28"/>
        <v>0</v>
      </c>
    </row>
    <row r="109" ht="12.75" customHeight="1">
      <c r="A109" s="18"/>
      <c r="B109" s="49"/>
      <c r="C109" s="50" t="s">
        <v>94</v>
      </c>
      <c r="D109" s="51"/>
      <c r="E109" s="69">
        <v>0.0</v>
      </c>
      <c r="F109" s="69">
        <v>0.0</v>
      </c>
      <c r="G109" s="69">
        <v>0.0</v>
      </c>
      <c r="H109" s="69">
        <v>0.0</v>
      </c>
      <c r="I109" s="69">
        <v>0.0</v>
      </c>
      <c r="J109" s="69">
        <v>0.0</v>
      </c>
      <c r="K109" s="69">
        <v>0.0</v>
      </c>
      <c r="L109" s="69">
        <v>0.0</v>
      </c>
      <c r="M109" s="69">
        <v>0.0</v>
      </c>
      <c r="N109" s="69">
        <v>0.0</v>
      </c>
      <c r="O109" s="69">
        <v>1.0</v>
      </c>
      <c r="P109" s="69">
        <v>0.0</v>
      </c>
      <c r="Q109" s="69">
        <v>0.0</v>
      </c>
      <c r="R109" s="69">
        <v>0.0</v>
      </c>
      <c r="S109" s="69">
        <v>0.0</v>
      </c>
      <c r="T109" s="69">
        <v>0.0</v>
      </c>
      <c r="U109" s="69">
        <v>0.0</v>
      </c>
      <c r="V109" s="69">
        <v>0.0</v>
      </c>
      <c r="W109" s="69">
        <v>0.0</v>
      </c>
      <c r="X109" s="69">
        <v>0.0</v>
      </c>
      <c r="Y109" s="69">
        <v>0.0</v>
      </c>
      <c r="Z109" s="69">
        <v>0.0</v>
      </c>
      <c r="AA109" s="69">
        <v>0.0</v>
      </c>
      <c r="AB109" s="69">
        <v>0.0</v>
      </c>
      <c r="AC109" s="69">
        <v>0.0</v>
      </c>
      <c r="AD109" s="69">
        <v>0.0</v>
      </c>
      <c r="AE109" s="69">
        <v>0.0</v>
      </c>
      <c r="AF109" s="69">
        <v>0.0</v>
      </c>
      <c r="AG109" s="69">
        <v>0.0</v>
      </c>
      <c r="AH109" s="69">
        <v>0.0</v>
      </c>
      <c r="AI109" s="69">
        <v>0.0</v>
      </c>
      <c r="AJ109" s="69">
        <v>0.0</v>
      </c>
      <c r="AK109" s="13">
        <f t="shared" si="28"/>
        <v>1</v>
      </c>
    </row>
    <row r="110" ht="12.75" customHeight="1">
      <c r="A110" s="18"/>
      <c r="B110" s="49"/>
      <c r="C110" s="50" t="s">
        <v>95</v>
      </c>
      <c r="D110" s="51"/>
      <c r="E110" s="69">
        <v>0.0</v>
      </c>
      <c r="F110" s="69">
        <v>0.0</v>
      </c>
      <c r="G110" s="69">
        <v>0.0</v>
      </c>
      <c r="H110" s="69">
        <v>0.0</v>
      </c>
      <c r="I110" s="69">
        <v>0.0</v>
      </c>
      <c r="J110" s="69">
        <v>0.0</v>
      </c>
      <c r="K110" s="69">
        <v>0.0</v>
      </c>
      <c r="L110" s="69">
        <v>0.0</v>
      </c>
      <c r="M110" s="69">
        <v>0.0</v>
      </c>
      <c r="N110" s="69">
        <v>0.0</v>
      </c>
      <c r="O110" s="69">
        <v>0.0</v>
      </c>
      <c r="P110" s="69">
        <v>0.0</v>
      </c>
      <c r="Q110" s="69">
        <v>0.0</v>
      </c>
      <c r="R110" s="69">
        <v>0.0</v>
      </c>
      <c r="S110" s="69">
        <v>0.0</v>
      </c>
      <c r="T110" s="69">
        <v>0.0</v>
      </c>
      <c r="U110" s="69">
        <v>0.0</v>
      </c>
      <c r="V110" s="69">
        <v>0.0</v>
      </c>
      <c r="W110" s="69">
        <v>0.0</v>
      </c>
      <c r="X110" s="69">
        <v>0.0</v>
      </c>
      <c r="Y110" s="69">
        <v>0.0</v>
      </c>
      <c r="Z110" s="69">
        <v>0.0</v>
      </c>
      <c r="AA110" s="69">
        <v>0.0</v>
      </c>
      <c r="AB110" s="69">
        <v>0.0</v>
      </c>
      <c r="AC110" s="69">
        <v>0.0</v>
      </c>
      <c r="AD110" s="69">
        <v>0.0</v>
      </c>
      <c r="AE110" s="69">
        <v>0.0</v>
      </c>
      <c r="AF110" s="69">
        <v>0.0</v>
      </c>
      <c r="AG110" s="69">
        <v>0.0</v>
      </c>
      <c r="AH110" s="69">
        <v>0.0</v>
      </c>
      <c r="AI110" s="69">
        <v>0.0</v>
      </c>
      <c r="AJ110" s="69">
        <v>0.0</v>
      </c>
      <c r="AK110" s="13">
        <f t="shared" si="28"/>
        <v>0</v>
      </c>
    </row>
    <row r="111" ht="12.75" customHeight="1">
      <c r="A111" s="19" t="s">
        <v>15</v>
      </c>
      <c r="B111" s="47" t="s">
        <v>47</v>
      </c>
      <c r="C111" s="15"/>
      <c r="D111" s="16"/>
      <c r="E111" s="56">
        <f t="shared" ref="E111:AJ111" si="29">SUM(E103:E110)</f>
        <v>7</v>
      </c>
      <c r="F111" s="56">
        <f t="shared" si="29"/>
        <v>0</v>
      </c>
      <c r="G111" s="56">
        <f t="shared" si="29"/>
        <v>7</v>
      </c>
      <c r="H111" s="56">
        <f t="shared" si="29"/>
        <v>5</v>
      </c>
      <c r="I111" s="56">
        <f t="shared" si="29"/>
        <v>0</v>
      </c>
      <c r="J111" s="56">
        <f t="shared" si="29"/>
        <v>11</v>
      </c>
      <c r="K111" s="56">
        <f t="shared" si="29"/>
        <v>11</v>
      </c>
      <c r="L111" s="56">
        <f t="shared" si="29"/>
        <v>1</v>
      </c>
      <c r="M111" s="56">
        <f t="shared" si="29"/>
        <v>2</v>
      </c>
      <c r="N111" s="56">
        <f t="shared" si="29"/>
        <v>2</v>
      </c>
      <c r="O111" s="56">
        <f t="shared" si="29"/>
        <v>3</v>
      </c>
      <c r="P111" s="56">
        <f t="shared" si="29"/>
        <v>3</v>
      </c>
      <c r="Q111" s="56">
        <f t="shared" si="29"/>
        <v>3</v>
      </c>
      <c r="R111" s="56">
        <f t="shared" si="29"/>
        <v>1</v>
      </c>
      <c r="S111" s="56">
        <f t="shared" si="29"/>
        <v>2</v>
      </c>
      <c r="T111" s="56">
        <f t="shared" si="29"/>
        <v>4</v>
      </c>
      <c r="U111" s="56">
        <f t="shared" si="29"/>
        <v>3</v>
      </c>
      <c r="V111" s="56">
        <f t="shared" si="29"/>
        <v>0</v>
      </c>
      <c r="W111" s="56">
        <f t="shared" si="29"/>
        <v>0</v>
      </c>
      <c r="X111" s="56">
        <f t="shared" si="29"/>
        <v>0</v>
      </c>
      <c r="Y111" s="56">
        <f t="shared" si="29"/>
        <v>0</v>
      </c>
      <c r="Z111" s="56">
        <f t="shared" si="29"/>
        <v>1</v>
      </c>
      <c r="AA111" s="56">
        <f t="shared" si="29"/>
        <v>0</v>
      </c>
      <c r="AB111" s="56">
        <f t="shared" si="29"/>
        <v>0</v>
      </c>
      <c r="AC111" s="56">
        <f t="shared" si="29"/>
        <v>0</v>
      </c>
      <c r="AD111" s="56">
        <f t="shared" si="29"/>
        <v>0</v>
      </c>
      <c r="AE111" s="56">
        <f t="shared" si="29"/>
        <v>0</v>
      </c>
      <c r="AF111" s="56">
        <f t="shared" si="29"/>
        <v>0</v>
      </c>
      <c r="AG111" s="56">
        <f t="shared" si="29"/>
        <v>1</v>
      </c>
      <c r="AH111" s="56">
        <f t="shared" si="29"/>
        <v>1</v>
      </c>
      <c r="AI111" s="56">
        <f t="shared" si="29"/>
        <v>0</v>
      </c>
      <c r="AJ111" s="56">
        <f t="shared" si="29"/>
        <v>0</v>
      </c>
      <c r="AK111" s="13">
        <f t="shared" si="28"/>
        <v>68</v>
      </c>
    </row>
    <row r="112" ht="12.75" customHeight="1">
      <c r="A112" s="57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13"/>
    </row>
    <row r="113" ht="12.75" customHeight="1">
      <c r="A113" s="30" t="s">
        <v>37</v>
      </c>
      <c r="B113" s="47" t="s">
        <v>96</v>
      </c>
      <c r="C113" s="48" t="s">
        <v>97</v>
      </c>
      <c r="D113" s="16"/>
      <c r="E113" s="69">
        <v>0.0</v>
      </c>
      <c r="F113" s="69">
        <v>0.0</v>
      </c>
      <c r="G113" s="69">
        <v>0.0</v>
      </c>
      <c r="H113" s="69">
        <v>0.0</v>
      </c>
      <c r="I113" s="69">
        <v>0.0</v>
      </c>
      <c r="J113" s="69">
        <v>0.0</v>
      </c>
      <c r="K113" s="69">
        <v>0.0</v>
      </c>
      <c r="L113" s="69">
        <v>0.0</v>
      </c>
      <c r="M113" s="69">
        <v>0.0</v>
      </c>
      <c r="N113" s="69">
        <v>0.0</v>
      </c>
      <c r="O113" s="69">
        <v>0.0</v>
      </c>
      <c r="P113" s="69">
        <v>0.0</v>
      </c>
      <c r="Q113" s="69">
        <v>0.0</v>
      </c>
      <c r="R113" s="69">
        <v>0.0</v>
      </c>
      <c r="S113" s="69">
        <v>0.0</v>
      </c>
      <c r="T113" s="69">
        <v>1.0</v>
      </c>
      <c r="U113" s="69">
        <v>0.0</v>
      </c>
      <c r="V113" s="69">
        <v>1.0</v>
      </c>
      <c r="W113" s="69">
        <v>0.0</v>
      </c>
      <c r="X113" s="69">
        <v>0.0</v>
      </c>
      <c r="Y113" s="69">
        <v>0.0</v>
      </c>
      <c r="Z113" s="69">
        <v>0.0</v>
      </c>
      <c r="AA113" s="69">
        <v>0.0</v>
      </c>
      <c r="AB113" s="69">
        <v>0.0</v>
      </c>
      <c r="AC113" s="69">
        <v>0.0</v>
      </c>
      <c r="AD113" s="69">
        <v>0.0</v>
      </c>
      <c r="AE113" s="69">
        <v>0.0</v>
      </c>
      <c r="AF113" s="69">
        <v>0.0</v>
      </c>
      <c r="AG113" s="69">
        <v>0.0</v>
      </c>
      <c r="AH113" s="69">
        <v>0.0</v>
      </c>
      <c r="AI113" s="69">
        <v>0.0</v>
      </c>
      <c r="AJ113" s="69">
        <v>0.0</v>
      </c>
      <c r="AK113" s="13">
        <f t="shared" ref="AK113:AK115" si="30">SUM(E113:AJ113)</f>
        <v>2</v>
      </c>
    </row>
    <row r="114" ht="12.75" customHeight="1">
      <c r="A114" s="30" t="s">
        <v>39</v>
      </c>
      <c r="B114" s="47"/>
      <c r="C114" s="50" t="s">
        <v>98</v>
      </c>
      <c r="D114" s="62"/>
      <c r="E114" s="69">
        <v>0.0</v>
      </c>
      <c r="F114" s="69">
        <v>0.0</v>
      </c>
      <c r="G114" s="69">
        <v>0.0</v>
      </c>
      <c r="H114" s="69">
        <v>0.0</v>
      </c>
      <c r="I114" s="69">
        <v>0.0</v>
      </c>
      <c r="J114" s="69">
        <v>0.0</v>
      </c>
      <c r="K114" s="69">
        <v>0.0</v>
      </c>
      <c r="L114" s="69">
        <v>0.0</v>
      </c>
      <c r="M114" s="69">
        <v>0.0</v>
      </c>
      <c r="N114" s="69">
        <v>0.0</v>
      </c>
      <c r="O114" s="69">
        <v>0.0</v>
      </c>
      <c r="P114" s="69">
        <v>2.0</v>
      </c>
      <c r="Q114" s="69">
        <v>0.0</v>
      </c>
      <c r="R114" s="69">
        <v>0.0</v>
      </c>
      <c r="S114" s="69">
        <v>0.0</v>
      </c>
      <c r="T114" s="69">
        <v>0.0</v>
      </c>
      <c r="U114" s="69">
        <v>0.0</v>
      </c>
      <c r="V114" s="69">
        <v>0.0</v>
      </c>
      <c r="W114" s="69">
        <v>0.0</v>
      </c>
      <c r="X114" s="69">
        <v>0.0</v>
      </c>
      <c r="Y114" s="69">
        <v>0.0</v>
      </c>
      <c r="Z114" s="69">
        <v>0.0</v>
      </c>
      <c r="AA114" s="69">
        <v>0.0</v>
      </c>
      <c r="AB114" s="69">
        <v>0.0</v>
      </c>
      <c r="AC114" s="69">
        <v>0.0</v>
      </c>
      <c r="AD114" s="69">
        <v>0.0</v>
      </c>
      <c r="AE114" s="69">
        <v>0.0</v>
      </c>
      <c r="AF114" s="69">
        <v>0.0</v>
      </c>
      <c r="AG114" s="69">
        <v>0.0</v>
      </c>
      <c r="AH114" s="69">
        <v>0.0</v>
      </c>
      <c r="AI114" s="69">
        <v>0.0</v>
      </c>
      <c r="AJ114" s="69">
        <v>0.0</v>
      </c>
      <c r="AK114" s="13">
        <f t="shared" si="30"/>
        <v>2</v>
      </c>
    </row>
    <row r="115" ht="12.75" customHeight="1">
      <c r="A115" s="19" t="s">
        <v>15</v>
      </c>
      <c r="B115" s="47" t="s">
        <v>47</v>
      </c>
      <c r="C115" s="15"/>
      <c r="D115" s="16"/>
      <c r="E115" s="56">
        <f t="shared" ref="E115:AJ115" si="31">SUM(E113:E114)</f>
        <v>0</v>
      </c>
      <c r="F115" s="56">
        <f t="shared" si="31"/>
        <v>0</v>
      </c>
      <c r="G115" s="56">
        <f t="shared" si="31"/>
        <v>0</v>
      </c>
      <c r="H115" s="56">
        <f t="shared" si="31"/>
        <v>0</v>
      </c>
      <c r="I115" s="56">
        <f t="shared" si="31"/>
        <v>0</v>
      </c>
      <c r="J115" s="56">
        <f t="shared" si="31"/>
        <v>0</v>
      </c>
      <c r="K115" s="56">
        <f t="shared" si="31"/>
        <v>0</v>
      </c>
      <c r="L115" s="56">
        <f t="shared" si="31"/>
        <v>0</v>
      </c>
      <c r="M115" s="56">
        <f t="shared" si="31"/>
        <v>0</v>
      </c>
      <c r="N115" s="56">
        <f t="shared" si="31"/>
        <v>0</v>
      </c>
      <c r="O115" s="56">
        <f t="shared" si="31"/>
        <v>0</v>
      </c>
      <c r="P115" s="56">
        <f t="shared" si="31"/>
        <v>2</v>
      </c>
      <c r="Q115" s="56">
        <f t="shared" si="31"/>
        <v>0</v>
      </c>
      <c r="R115" s="56">
        <f t="shared" si="31"/>
        <v>0</v>
      </c>
      <c r="S115" s="56">
        <f t="shared" si="31"/>
        <v>0</v>
      </c>
      <c r="T115" s="56">
        <f t="shared" si="31"/>
        <v>1</v>
      </c>
      <c r="U115" s="56">
        <f t="shared" si="31"/>
        <v>0</v>
      </c>
      <c r="V115" s="56">
        <f t="shared" si="31"/>
        <v>1</v>
      </c>
      <c r="W115" s="56">
        <f t="shared" si="31"/>
        <v>0</v>
      </c>
      <c r="X115" s="56">
        <f t="shared" si="31"/>
        <v>0</v>
      </c>
      <c r="Y115" s="56">
        <f t="shared" si="31"/>
        <v>0</v>
      </c>
      <c r="Z115" s="56">
        <f t="shared" si="31"/>
        <v>0</v>
      </c>
      <c r="AA115" s="56">
        <f t="shared" si="31"/>
        <v>0</v>
      </c>
      <c r="AB115" s="56">
        <f t="shared" si="31"/>
        <v>0</v>
      </c>
      <c r="AC115" s="56">
        <f t="shared" si="31"/>
        <v>0</v>
      </c>
      <c r="AD115" s="56">
        <f t="shared" si="31"/>
        <v>0</v>
      </c>
      <c r="AE115" s="56">
        <f t="shared" si="31"/>
        <v>0</v>
      </c>
      <c r="AF115" s="56">
        <f t="shared" si="31"/>
        <v>0</v>
      </c>
      <c r="AG115" s="56">
        <f t="shared" si="31"/>
        <v>0</v>
      </c>
      <c r="AH115" s="56">
        <f t="shared" si="31"/>
        <v>0</v>
      </c>
      <c r="AI115" s="56">
        <f t="shared" si="31"/>
        <v>0</v>
      </c>
      <c r="AJ115" s="56">
        <f t="shared" si="31"/>
        <v>0</v>
      </c>
      <c r="AK115" s="13">
        <f t="shared" si="30"/>
        <v>4</v>
      </c>
    </row>
    <row r="116" ht="12.75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13"/>
    </row>
    <row r="117" ht="12.75" customHeight="1">
      <c r="A117" s="30" t="s">
        <v>37</v>
      </c>
      <c r="B117" s="47" t="s">
        <v>99</v>
      </c>
      <c r="C117" s="48" t="s">
        <v>100</v>
      </c>
      <c r="D117" s="16"/>
      <c r="E117" s="69">
        <v>0.0</v>
      </c>
      <c r="F117" s="69">
        <v>0.0</v>
      </c>
      <c r="G117" s="69">
        <v>0.0</v>
      </c>
      <c r="H117" s="69">
        <v>0.0</v>
      </c>
      <c r="I117" s="69">
        <v>1.0</v>
      </c>
      <c r="J117" s="69">
        <v>0.0</v>
      </c>
      <c r="K117" s="69">
        <v>0.0</v>
      </c>
      <c r="L117" s="69">
        <v>0.0</v>
      </c>
      <c r="M117" s="69">
        <v>0.0</v>
      </c>
      <c r="N117" s="69">
        <v>0.0</v>
      </c>
      <c r="O117" s="69">
        <v>1.0</v>
      </c>
      <c r="P117" s="69">
        <v>0.0</v>
      </c>
      <c r="Q117" s="69">
        <v>0.0</v>
      </c>
      <c r="R117" s="69">
        <v>0.0</v>
      </c>
      <c r="S117" s="69">
        <v>0.0</v>
      </c>
      <c r="T117" s="69">
        <v>0.0</v>
      </c>
      <c r="U117" s="69">
        <v>0.0</v>
      </c>
      <c r="V117" s="69">
        <v>0.0</v>
      </c>
      <c r="W117" s="69">
        <v>0.0</v>
      </c>
      <c r="X117" s="69">
        <v>0.0</v>
      </c>
      <c r="Y117" s="69">
        <v>0.0</v>
      </c>
      <c r="Z117" s="69">
        <v>0.0</v>
      </c>
      <c r="AA117" s="69">
        <v>0.0</v>
      </c>
      <c r="AB117" s="69">
        <v>0.0</v>
      </c>
      <c r="AC117" s="69">
        <v>0.0</v>
      </c>
      <c r="AD117" s="69">
        <v>0.0</v>
      </c>
      <c r="AE117" s="69">
        <v>0.0</v>
      </c>
      <c r="AF117" s="69">
        <v>0.0</v>
      </c>
      <c r="AG117" s="69">
        <v>0.0</v>
      </c>
      <c r="AH117" s="69">
        <v>0.0</v>
      </c>
      <c r="AI117" s="69">
        <v>0.0</v>
      </c>
      <c r="AJ117" s="69">
        <v>0.0</v>
      </c>
      <c r="AK117" s="13">
        <f t="shared" ref="AK117:AK125" si="32">SUM(E117:AJ117)</f>
        <v>2</v>
      </c>
      <c r="AL117" s="5"/>
      <c r="AM117" s="5"/>
    </row>
    <row r="118" ht="12.75" customHeight="1">
      <c r="A118" s="30" t="s">
        <v>39</v>
      </c>
      <c r="B118" s="49" t="s">
        <v>39</v>
      </c>
      <c r="C118" s="50" t="s">
        <v>101</v>
      </c>
      <c r="D118" s="51"/>
      <c r="E118" s="69">
        <v>0.0</v>
      </c>
      <c r="F118" s="69">
        <v>0.0</v>
      </c>
      <c r="G118" s="69">
        <v>0.0</v>
      </c>
      <c r="H118" s="69">
        <v>0.0</v>
      </c>
      <c r="I118" s="69">
        <v>0.0</v>
      </c>
      <c r="J118" s="69">
        <v>0.0</v>
      </c>
      <c r="K118" s="69">
        <v>0.0</v>
      </c>
      <c r="L118" s="69">
        <v>0.0</v>
      </c>
      <c r="M118" s="69">
        <v>0.0</v>
      </c>
      <c r="N118" s="69">
        <v>0.0</v>
      </c>
      <c r="O118" s="69">
        <v>0.0</v>
      </c>
      <c r="P118" s="69">
        <v>0.0</v>
      </c>
      <c r="Q118" s="69">
        <v>0.0</v>
      </c>
      <c r="R118" s="69">
        <v>0.0</v>
      </c>
      <c r="S118" s="69">
        <v>0.0</v>
      </c>
      <c r="T118" s="69">
        <v>0.0</v>
      </c>
      <c r="U118" s="69">
        <v>1.0</v>
      </c>
      <c r="V118" s="69">
        <v>0.0</v>
      </c>
      <c r="W118" s="69">
        <v>0.0</v>
      </c>
      <c r="X118" s="69">
        <v>0.0</v>
      </c>
      <c r="Y118" s="69">
        <v>0.0</v>
      </c>
      <c r="Z118" s="69">
        <v>0.0</v>
      </c>
      <c r="AA118" s="69">
        <v>0.0</v>
      </c>
      <c r="AB118" s="69">
        <v>0.0</v>
      </c>
      <c r="AC118" s="69">
        <v>0.0</v>
      </c>
      <c r="AD118" s="69">
        <v>0.0</v>
      </c>
      <c r="AE118" s="69">
        <v>0.0</v>
      </c>
      <c r="AF118" s="69">
        <v>0.0</v>
      </c>
      <c r="AG118" s="69">
        <v>0.0</v>
      </c>
      <c r="AH118" s="69">
        <v>0.0</v>
      </c>
      <c r="AI118" s="69">
        <v>0.0</v>
      </c>
      <c r="AJ118" s="69">
        <v>0.0</v>
      </c>
      <c r="AK118" s="13">
        <f t="shared" si="32"/>
        <v>1</v>
      </c>
      <c r="AL118" s="5"/>
      <c r="AM118" s="5"/>
    </row>
    <row r="119" ht="12.75" customHeight="1">
      <c r="A119" s="18"/>
      <c r="B119" s="49"/>
      <c r="C119" s="50" t="s">
        <v>102</v>
      </c>
      <c r="D119" s="51"/>
      <c r="E119" s="69">
        <v>0.0</v>
      </c>
      <c r="F119" s="69">
        <v>1.0</v>
      </c>
      <c r="G119" s="69">
        <v>0.0</v>
      </c>
      <c r="H119" s="69">
        <v>0.0</v>
      </c>
      <c r="I119" s="69">
        <v>0.0</v>
      </c>
      <c r="J119" s="69">
        <v>0.0</v>
      </c>
      <c r="K119" s="69">
        <v>0.0</v>
      </c>
      <c r="L119" s="69">
        <v>0.0</v>
      </c>
      <c r="M119" s="69">
        <v>0.0</v>
      </c>
      <c r="N119" s="69">
        <v>0.0</v>
      </c>
      <c r="O119" s="69">
        <v>0.0</v>
      </c>
      <c r="P119" s="69">
        <v>0.0</v>
      </c>
      <c r="Q119" s="69">
        <v>0.0</v>
      </c>
      <c r="R119" s="69">
        <v>0.0</v>
      </c>
      <c r="S119" s="69">
        <v>0.0</v>
      </c>
      <c r="T119" s="69">
        <v>0.0</v>
      </c>
      <c r="U119" s="69">
        <v>0.0</v>
      </c>
      <c r="V119" s="69">
        <v>0.0</v>
      </c>
      <c r="W119" s="69">
        <v>0.0</v>
      </c>
      <c r="X119" s="69">
        <v>0.0</v>
      </c>
      <c r="Y119" s="69">
        <v>0.0</v>
      </c>
      <c r="Z119" s="69">
        <v>0.0</v>
      </c>
      <c r="AA119" s="69">
        <v>0.0</v>
      </c>
      <c r="AB119" s="69">
        <v>0.0</v>
      </c>
      <c r="AC119" s="69">
        <v>0.0</v>
      </c>
      <c r="AD119" s="69">
        <v>1.0</v>
      </c>
      <c r="AE119" s="69">
        <v>0.0</v>
      </c>
      <c r="AF119" s="69">
        <v>0.0</v>
      </c>
      <c r="AG119" s="69">
        <v>0.0</v>
      </c>
      <c r="AH119" s="69">
        <v>0.0</v>
      </c>
      <c r="AI119" s="69">
        <v>0.0</v>
      </c>
      <c r="AJ119" s="69">
        <v>0.0</v>
      </c>
      <c r="AK119" s="13">
        <f t="shared" si="32"/>
        <v>2</v>
      </c>
      <c r="AL119" s="5"/>
      <c r="AM119" s="5"/>
    </row>
    <row r="120" ht="12.75" customHeight="1">
      <c r="A120" s="18"/>
      <c r="B120" s="49"/>
      <c r="C120" s="50" t="s">
        <v>103</v>
      </c>
      <c r="D120" s="51"/>
      <c r="E120" s="69">
        <v>0.0</v>
      </c>
      <c r="F120" s="69">
        <v>0.0</v>
      </c>
      <c r="G120" s="69">
        <v>0.0</v>
      </c>
      <c r="H120" s="69">
        <v>0.0</v>
      </c>
      <c r="I120" s="69">
        <v>1.0</v>
      </c>
      <c r="J120" s="69">
        <v>1.0</v>
      </c>
      <c r="K120" s="69">
        <v>0.0</v>
      </c>
      <c r="L120" s="69">
        <v>8.0</v>
      </c>
      <c r="M120" s="69">
        <v>0.0</v>
      </c>
      <c r="N120" s="69">
        <v>0.0</v>
      </c>
      <c r="O120" s="69">
        <v>0.0</v>
      </c>
      <c r="P120" s="69">
        <v>1.0</v>
      </c>
      <c r="Q120" s="69">
        <v>0.0</v>
      </c>
      <c r="R120" s="69">
        <v>1.0</v>
      </c>
      <c r="S120" s="69">
        <v>0.0</v>
      </c>
      <c r="T120" s="69">
        <v>1.0</v>
      </c>
      <c r="U120" s="69">
        <v>0.0</v>
      </c>
      <c r="V120" s="69">
        <v>0.0</v>
      </c>
      <c r="W120" s="69">
        <v>0.0</v>
      </c>
      <c r="X120" s="69">
        <v>0.0</v>
      </c>
      <c r="Y120" s="69">
        <v>0.0</v>
      </c>
      <c r="Z120" s="69">
        <v>0.0</v>
      </c>
      <c r="AA120" s="69">
        <v>0.0</v>
      </c>
      <c r="AB120" s="69">
        <v>0.0</v>
      </c>
      <c r="AC120" s="69">
        <v>0.0</v>
      </c>
      <c r="AD120" s="69">
        <v>0.0</v>
      </c>
      <c r="AE120" s="69">
        <v>0.0</v>
      </c>
      <c r="AF120" s="69">
        <v>0.0</v>
      </c>
      <c r="AG120" s="69">
        <v>0.0</v>
      </c>
      <c r="AH120" s="69">
        <v>0.0</v>
      </c>
      <c r="AI120" s="69">
        <v>0.0</v>
      </c>
      <c r="AJ120" s="69">
        <v>0.0</v>
      </c>
      <c r="AK120" s="13">
        <f t="shared" si="32"/>
        <v>13</v>
      </c>
      <c r="AL120" s="5"/>
      <c r="AM120" s="5"/>
    </row>
    <row r="121" ht="12.75" customHeight="1">
      <c r="A121" s="18"/>
      <c r="B121" s="49"/>
      <c r="C121" s="50" t="s">
        <v>104</v>
      </c>
      <c r="D121" s="51"/>
      <c r="E121" s="69">
        <v>0.0</v>
      </c>
      <c r="F121" s="69">
        <v>0.0</v>
      </c>
      <c r="G121" s="69">
        <v>0.0</v>
      </c>
      <c r="H121" s="69">
        <v>0.0</v>
      </c>
      <c r="I121" s="69">
        <v>0.0</v>
      </c>
      <c r="J121" s="69">
        <v>0.0</v>
      </c>
      <c r="K121" s="69">
        <v>0.0</v>
      </c>
      <c r="L121" s="69">
        <v>0.0</v>
      </c>
      <c r="M121" s="69">
        <v>0.0</v>
      </c>
      <c r="N121" s="69">
        <v>0.0</v>
      </c>
      <c r="O121" s="69">
        <v>0.0</v>
      </c>
      <c r="P121" s="69">
        <v>0.0</v>
      </c>
      <c r="Q121" s="69">
        <v>2.0</v>
      </c>
      <c r="R121" s="69">
        <v>0.0</v>
      </c>
      <c r="S121" s="69">
        <v>0.0</v>
      </c>
      <c r="T121" s="69">
        <v>0.0</v>
      </c>
      <c r="U121" s="69">
        <v>0.0</v>
      </c>
      <c r="V121" s="69">
        <v>0.0</v>
      </c>
      <c r="W121" s="69">
        <v>0.0</v>
      </c>
      <c r="X121" s="69">
        <v>0.0</v>
      </c>
      <c r="Y121" s="69">
        <v>0.0</v>
      </c>
      <c r="Z121" s="69">
        <v>0.0</v>
      </c>
      <c r="AA121" s="69">
        <v>0.0</v>
      </c>
      <c r="AB121" s="69">
        <v>0.0</v>
      </c>
      <c r="AC121" s="69">
        <v>0.0</v>
      </c>
      <c r="AD121" s="69">
        <v>0.0</v>
      </c>
      <c r="AE121" s="69">
        <v>0.0</v>
      </c>
      <c r="AF121" s="69">
        <v>0.0</v>
      </c>
      <c r="AG121" s="69">
        <v>0.0</v>
      </c>
      <c r="AH121" s="69">
        <v>0.0</v>
      </c>
      <c r="AI121" s="69">
        <v>0.0</v>
      </c>
      <c r="AJ121" s="69">
        <v>0.0</v>
      </c>
      <c r="AK121" s="13">
        <f t="shared" si="32"/>
        <v>2</v>
      </c>
      <c r="AL121" s="5"/>
      <c r="AM121" s="5"/>
    </row>
    <row r="122" ht="12.75" customHeight="1">
      <c r="A122" s="18"/>
      <c r="B122" s="49"/>
      <c r="C122" s="50" t="s">
        <v>105</v>
      </c>
      <c r="D122" s="51"/>
      <c r="E122" s="69">
        <v>0.0</v>
      </c>
      <c r="F122" s="69">
        <v>0.0</v>
      </c>
      <c r="G122" s="69">
        <v>0.0</v>
      </c>
      <c r="H122" s="69">
        <v>0.0</v>
      </c>
      <c r="I122" s="69">
        <v>0.0</v>
      </c>
      <c r="J122" s="69">
        <v>0.0</v>
      </c>
      <c r="K122" s="69">
        <v>0.0</v>
      </c>
      <c r="L122" s="69">
        <v>0.0</v>
      </c>
      <c r="M122" s="69">
        <v>0.0</v>
      </c>
      <c r="N122" s="69">
        <v>0.0</v>
      </c>
      <c r="O122" s="69">
        <v>0.0</v>
      </c>
      <c r="P122" s="69">
        <v>0.0</v>
      </c>
      <c r="Q122" s="69">
        <v>0.0</v>
      </c>
      <c r="R122" s="69">
        <v>0.0</v>
      </c>
      <c r="S122" s="69">
        <v>0.0</v>
      </c>
      <c r="T122" s="69">
        <v>0.0</v>
      </c>
      <c r="U122" s="69">
        <v>0.0</v>
      </c>
      <c r="V122" s="69">
        <v>0.0</v>
      </c>
      <c r="W122" s="69">
        <v>0.0</v>
      </c>
      <c r="X122" s="69">
        <v>0.0</v>
      </c>
      <c r="Y122" s="69">
        <v>0.0</v>
      </c>
      <c r="Z122" s="69">
        <v>0.0</v>
      </c>
      <c r="AA122" s="69">
        <v>0.0</v>
      </c>
      <c r="AB122" s="69">
        <v>0.0</v>
      </c>
      <c r="AC122" s="69">
        <v>0.0</v>
      </c>
      <c r="AD122" s="69">
        <v>0.0</v>
      </c>
      <c r="AE122" s="69">
        <v>0.0</v>
      </c>
      <c r="AF122" s="69">
        <v>0.0</v>
      </c>
      <c r="AG122" s="69">
        <v>0.0</v>
      </c>
      <c r="AH122" s="69">
        <v>0.0</v>
      </c>
      <c r="AI122" s="69">
        <v>0.0</v>
      </c>
      <c r="AJ122" s="69">
        <v>0.0</v>
      </c>
      <c r="AK122" s="13">
        <f t="shared" si="32"/>
        <v>0</v>
      </c>
      <c r="AL122" s="5"/>
      <c r="AM122" s="5"/>
    </row>
    <row r="123" ht="12.75" customHeight="1">
      <c r="A123" s="18"/>
      <c r="B123" s="49"/>
      <c r="C123" s="50" t="s">
        <v>106</v>
      </c>
      <c r="D123" s="51"/>
      <c r="E123" s="69">
        <v>0.0</v>
      </c>
      <c r="F123" s="69">
        <v>0.0</v>
      </c>
      <c r="G123" s="69">
        <v>0.0</v>
      </c>
      <c r="H123" s="69">
        <v>0.0</v>
      </c>
      <c r="I123" s="69">
        <v>0.0</v>
      </c>
      <c r="J123" s="69">
        <v>0.0</v>
      </c>
      <c r="K123" s="69">
        <v>0.0</v>
      </c>
      <c r="L123" s="69">
        <v>0.0</v>
      </c>
      <c r="M123" s="69">
        <v>0.0</v>
      </c>
      <c r="N123" s="69">
        <v>0.0</v>
      </c>
      <c r="O123" s="69">
        <v>0.0</v>
      </c>
      <c r="P123" s="69">
        <v>0.0</v>
      </c>
      <c r="Q123" s="69">
        <v>0.0</v>
      </c>
      <c r="R123" s="69">
        <v>0.0</v>
      </c>
      <c r="S123" s="69">
        <v>0.0</v>
      </c>
      <c r="T123" s="69">
        <v>0.0</v>
      </c>
      <c r="U123" s="69">
        <v>0.0</v>
      </c>
      <c r="V123" s="69">
        <v>1.0</v>
      </c>
      <c r="W123" s="69">
        <v>0.0</v>
      </c>
      <c r="X123" s="69">
        <v>0.0</v>
      </c>
      <c r="Y123" s="69">
        <v>0.0</v>
      </c>
      <c r="Z123" s="69">
        <v>0.0</v>
      </c>
      <c r="AA123" s="69">
        <v>0.0</v>
      </c>
      <c r="AB123" s="69">
        <v>0.0</v>
      </c>
      <c r="AC123" s="69">
        <v>0.0</v>
      </c>
      <c r="AD123" s="69">
        <v>0.0</v>
      </c>
      <c r="AE123" s="69">
        <v>0.0</v>
      </c>
      <c r="AF123" s="69">
        <v>0.0</v>
      </c>
      <c r="AG123" s="69">
        <v>0.0</v>
      </c>
      <c r="AH123" s="69">
        <v>0.0</v>
      </c>
      <c r="AI123" s="69">
        <v>0.0</v>
      </c>
      <c r="AJ123" s="69">
        <v>0.0</v>
      </c>
      <c r="AK123" s="13">
        <f t="shared" si="32"/>
        <v>1</v>
      </c>
      <c r="AL123" s="5"/>
      <c r="AM123" s="5"/>
    </row>
    <row r="124" ht="12.75" customHeight="1">
      <c r="A124" s="18"/>
      <c r="B124" s="49"/>
      <c r="C124" s="50" t="s">
        <v>107</v>
      </c>
      <c r="D124" s="51"/>
      <c r="E124" s="69">
        <v>0.0</v>
      </c>
      <c r="F124" s="69">
        <v>0.0</v>
      </c>
      <c r="G124" s="69">
        <v>1.0</v>
      </c>
      <c r="H124" s="69">
        <v>0.0</v>
      </c>
      <c r="I124" s="69">
        <v>0.0</v>
      </c>
      <c r="J124" s="69">
        <v>0.0</v>
      </c>
      <c r="K124" s="69">
        <v>0.0</v>
      </c>
      <c r="L124" s="69">
        <v>0.0</v>
      </c>
      <c r="M124" s="69">
        <v>0.0</v>
      </c>
      <c r="N124" s="69">
        <v>0.0</v>
      </c>
      <c r="O124" s="69">
        <v>0.0</v>
      </c>
      <c r="P124" s="69">
        <v>1.0</v>
      </c>
      <c r="Q124" s="69">
        <v>0.0</v>
      </c>
      <c r="R124" s="69">
        <v>0.0</v>
      </c>
      <c r="S124" s="69">
        <v>0.0</v>
      </c>
      <c r="T124" s="69">
        <v>0.0</v>
      </c>
      <c r="U124" s="69">
        <v>0.0</v>
      </c>
      <c r="V124" s="69">
        <v>0.0</v>
      </c>
      <c r="W124" s="69">
        <v>1.0</v>
      </c>
      <c r="X124" s="69">
        <v>0.0</v>
      </c>
      <c r="Y124" s="69">
        <v>0.0</v>
      </c>
      <c r="Z124" s="69">
        <v>0.0</v>
      </c>
      <c r="AA124" s="69">
        <v>0.0</v>
      </c>
      <c r="AB124" s="69">
        <v>0.0</v>
      </c>
      <c r="AC124" s="69">
        <v>0.0</v>
      </c>
      <c r="AD124" s="69">
        <v>0.0</v>
      </c>
      <c r="AE124" s="69">
        <v>0.0</v>
      </c>
      <c r="AF124" s="69">
        <v>0.0</v>
      </c>
      <c r="AG124" s="69">
        <v>0.0</v>
      </c>
      <c r="AH124" s="69">
        <v>0.0</v>
      </c>
      <c r="AI124" s="69">
        <v>0.0</v>
      </c>
      <c r="AJ124" s="69">
        <v>0.0</v>
      </c>
      <c r="AK124" s="13">
        <f t="shared" si="32"/>
        <v>3</v>
      </c>
      <c r="AL124" s="5"/>
      <c r="AM124" s="5"/>
    </row>
    <row r="125" ht="12.75" customHeight="1">
      <c r="A125" s="19" t="s">
        <v>15</v>
      </c>
      <c r="B125" s="47" t="s">
        <v>47</v>
      </c>
      <c r="C125" s="15"/>
      <c r="D125" s="16"/>
      <c r="E125" s="56">
        <f t="shared" ref="E125:AJ125" si="33">SUM(E117:E124)</f>
        <v>0</v>
      </c>
      <c r="F125" s="56">
        <f t="shared" si="33"/>
        <v>1</v>
      </c>
      <c r="G125" s="56">
        <f t="shared" si="33"/>
        <v>1</v>
      </c>
      <c r="H125" s="56">
        <f t="shared" si="33"/>
        <v>0</v>
      </c>
      <c r="I125" s="56">
        <f t="shared" si="33"/>
        <v>2</v>
      </c>
      <c r="J125" s="56">
        <f t="shared" si="33"/>
        <v>1</v>
      </c>
      <c r="K125" s="56">
        <f t="shared" si="33"/>
        <v>0</v>
      </c>
      <c r="L125" s="56">
        <f t="shared" si="33"/>
        <v>8</v>
      </c>
      <c r="M125" s="56">
        <f t="shared" si="33"/>
        <v>0</v>
      </c>
      <c r="N125" s="56">
        <f t="shared" si="33"/>
        <v>0</v>
      </c>
      <c r="O125" s="56">
        <f t="shared" si="33"/>
        <v>1</v>
      </c>
      <c r="P125" s="56">
        <f t="shared" si="33"/>
        <v>2</v>
      </c>
      <c r="Q125" s="56">
        <f t="shared" si="33"/>
        <v>2</v>
      </c>
      <c r="R125" s="56">
        <f t="shared" si="33"/>
        <v>1</v>
      </c>
      <c r="S125" s="56">
        <f t="shared" si="33"/>
        <v>0</v>
      </c>
      <c r="T125" s="56">
        <f t="shared" si="33"/>
        <v>1</v>
      </c>
      <c r="U125" s="56">
        <f t="shared" si="33"/>
        <v>1</v>
      </c>
      <c r="V125" s="56">
        <f t="shared" si="33"/>
        <v>1</v>
      </c>
      <c r="W125" s="56">
        <f t="shared" si="33"/>
        <v>1</v>
      </c>
      <c r="X125" s="56">
        <f t="shared" si="33"/>
        <v>0</v>
      </c>
      <c r="Y125" s="56">
        <f t="shared" si="33"/>
        <v>0</v>
      </c>
      <c r="Z125" s="56">
        <f t="shared" si="33"/>
        <v>0</v>
      </c>
      <c r="AA125" s="56">
        <f t="shared" si="33"/>
        <v>0</v>
      </c>
      <c r="AB125" s="56">
        <f t="shared" si="33"/>
        <v>0</v>
      </c>
      <c r="AC125" s="56">
        <f t="shared" si="33"/>
        <v>0</v>
      </c>
      <c r="AD125" s="56">
        <f t="shared" si="33"/>
        <v>1</v>
      </c>
      <c r="AE125" s="56">
        <f t="shared" si="33"/>
        <v>0</v>
      </c>
      <c r="AF125" s="56">
        <f t="shared" si="33"/>
        <v>0</v>
      </c>
      <c r="AG125" s="56">
        <f t="shared" si="33"/>
        <v>0</v>
      </c>
      <c r="AH125" s="56">
        <f t="shared" si="33"/>
        <v>0</v>
      </c>
      <c r="AI125" s="56">
        <f t="shared" si="33"/>
        <v>0</v>
      </c>
      <c r="AJ125" s="56">
        <f t="shared" si="33"/>
        <v>0</v>
      </c>
      <c r="AK125" s="13">
        <f t="shared" si="32"/>
        <v>24</v>
      </c>
      <c r="AL125" s="5"/>
      <c r="AM125" s="5"/>
    </row>
    <row r="126" ht="12.75" customHeight="1">
      <c r="A126" s="57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13"/>
      <c r="AL126" s="5"/>
      <c r="AM126" s="5"/>
    </row>
    <row r="127" ht="15.0" customHeight="1">
      <c r="A127" s="30" t="s">
        <v>37</v>
      </c>
      <c r="B127" s="47" t="s">
        <v>108</v>
      </c>
      <c r="C127" s="48" t="s">
        <v>109</v>
      </c>
      <c r="D127" s="16"/>
      <c r="E127" s="69">
        <v>0.0</v>
      </c>
      <c r="F127" s="69">
        <v>0.0</v>
      </c>
      <c r="G127" s="69">
        <v>1.0</v>
      </c>
      <c r="H127" s="69">
        <v>0.0</v>
      </c>
      <c r="I127" s="69">
        <v>1.0</v>
      </c>
      <c r="J127" s="69">
        <v>0.0</v>
      </c>
      <c r="K127" s="69">
        <v>0.0</v>
      </c>
      <c r="L127" s="69">
        <v>0.0</v>
      </c>
      <c r="M127" s="69">
        <v>0.0</v>
      </c>
      <c r="N127" s="69">
        <v>1.0</v>
      </c>
      <c r="O127" s="69">
        <v>0.0</v>
      </c>
      <c r="P127" s="69">
        <v>1.0</v>
      </c>
      <c r="Q127" s="69">
        <v>0.0</v>
      </c>
      <c r="R127" s="69">
        <v>0.0</v>
      </c>
      <c r="S127" s="69">
        <v>0.0</v>
      </c>
      <c r="T127" s="69">
        <v>0.0</v>
      </c>
      <c r="U127" s="69">
        <v>0.0</v>
      </c>
      <c r="V127" s="69">
        <v>0.0</v>
      </c>
      <c r="W127" s="69">
        <v>1.0</v>
      </c>
      <c r="X127" s="69">
        <v>0.0</v>
      </c>
      <c r="Y127" s="69">
        <v>0.0</v>
      </c>
      <c r="Z127" s="69">
        <v>0.0</v>
      </c>
      <c r="AA127" s="69">
        <v>1.0</v>
      </c>
      <c r="AB127" s="69">
        <v>0.0</v>
      </c>
      <c r="AC127" s="69">
        <v>0.0</v>
      </c>
      <c r="AD127" s="69">
        <v>0.0</v>
      </c>
      <c r="AE127" s="69">
        <v>0.0</v>
      </c>
      <c r="AF127" s="69">
        <v>0.0</v>
      </c>
      <c r="AG127" s="69">
        <v>1.0</v>
      </c>
      <c r="AH127" s="69">
        <v>0.0</v>
      </c>
      <c r="AI127" s="69">
        <v>0.0</v>
      </c>
      <c r="AJ127" s="69">
        <v>0.0</v>
      </c>
      <c r="AK127" s="13">
        <f t="shared" ref="AK127:AK129" si="34">SUM(E127:AJ127)</f>
        <v>7</v>
      </c>
      <c r="AL127" s="5"/>
      <c r="AM127" s="5"/>
    </row>
    <row r="128" ht="12.75" customHeight="1">
      <c r="A128" s="30" t="s">
        <v>39</v>
      </c>
      <c r="B128" s="49"/>
      <c r="C128" s="50"/>
      <c r="D128" s="51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3">
        <f t="shared" si="34"/>
        <v>0</v>
      </c>
      <c r="AL128" s="5"/>
      <c r="AM128" s="5"/>
    </row>
    <row r="129" ht="12.75" customHeight="1">
      <c r="A129" s="19" t="s">
        <v>15</v>
      </c>
      <c r="B129" s="47" t="s">
        <v>47</v>
      </c>
      <c r="C129" s="15"/>
      <c r="D129" s="16"/>
      <c r="E129" s="56">
        <f t="shared" ref="E129:AJ129" si="35">SUM(E127:E128)</f>
        <v>0</v>
      </c>
      <c r="F129" s="56">
        <f t="shared" si="35"/>
        <v>0</v>
      </c>
      <c r="G129" s="56">
        <f t="shared" si="35"/>
        <v>1</v>
      </c>
      <c r="H129" s="56">
        <f t="shared" si="35"/>
        <v>0</v>
      </c>
      <c r="I129" s="56">
        <f t="shared" si="35"/>
        <v>1</v>
      </c>
      <c r="J129" s="56">
        <f t="shared" si="35"/>
        <v>0</v>
      </c>
      <c r="K129" s="56">
        <f t="shared" si="35"/>
        <v>0</v>
      </c>
      <c r="L129" s="56">
        <f t="shared" si="35"/>
        <v>0</v>
      </c>
      <c r="M129" s="56">
        <f t="shared" si="35"/>
        <v>0</v>
      </c>
      <c r="N129" s="56">
        <f t="shared" si="35"/>
        <v>1</v>
      </c>
      <c r="O129" s="56">
        <f t="shared" si="35"/>
        <v>0</v>
      </c>
      <c r="P129" s="56">
        <f t="shared" si="35"/>
        <v>1</v>
      </c>
      <c r="Q129" s="56">
        <f t="shared" si="35"/>
        <v>0</v>
      </c>
      <c r="R129" s="56">
        <f t="shared" si="35"/>
        <v>0</v>
      </c>
      <c r="S129" s="56">
        <f t="shared" si="35"/>
        <v>0</v>
      </c>
      <c r="T129" s="56">
        <f t="shared" si="35"/>
        <v>0</v>
      </c>
      <c r="U129" s="56">
        <f t="shared" si="35"/>
        <v>0</v>
      </c>
      <c r="V129" s="56">
        <f t="shared" si="35"/>
        <v>0</v>
      </c>
      <c r="W129" s="56">
        <f t="shared" si="35"/>
        <v>1</v>
      </c>
      <c r="X129" s="56">
        <f t="shared" si="35"/>
        <v>0</v>
      </c>
      <c r="Y129" s="56">
        <f t="shared" si="35"/>
        <v>0</v>
      </c>
      <c r="Z129" s="56">
        <f t="shared" si="35"/>
        <v>0</v>
      </c>
      <c r="AA129" s="56">
        <f t="shared" si="35"/>
        <v>1</v>
      </c>
      <c r="AB129" s="56">
        <f t="shared" si="35"/>
        <v>0</v>
      </c>
      <c r="AC129" s="56">
        <f t="shared" si="35"/>
        <v>0</v>
      </c>
      <c r="AD129" s="56">
        <f t="shared" si="35"/>
        <v>0</v>
      </c>
      <c r="AE129" s="56">
        <f t="shared" si="35"/>
        <v>0</v>
      </c>
      <c r="AF129" s="56">
        <f t="shared" si="35"/>
        <v>0</v>
      </c>
      <c r="AG129" s="56">
        <f t="shared" si="35"/>
        <v>1</v>
      </c>
      <c r="AH129" s="56">
        <f t="shared" si="35"/>
        <v>0</v>
      </c>
      <c r="AI129" s="56">
        <f t="shared" si="35"/>
        <v>0</v>
      </c>
      <c r="AJ129" s="56">
        <f t="shared" si="35"/>
        <v>0</v>
      </c>
      <c r="AK129" s="13">
        <f t="shared" si="34"/>
        <v>7</v>
      </c>
      <c r="AL129" s="5"/>
      <c r="AM129" s="5"/>
    </row>
    <row r="130" ht="12.75" customHeight="1">
      <c r="A130" s="57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13"/>
      <c r="AL130" s="1"/>
      <c r="AM130" s="1"/>
    </row>
    <row r="131" ht="12.75" customHeight="1">
      <c r="A131" s="30" t="s">
        <v>37</v>
      </c>
      <c r="B131" s="47" t="s">
        <v>110</v>
      </c>
      <c r="C131" s="48" t="s">
        <v>111</v>
      </c>
      <c r="D131" s="16"/>
      <c r="E131" s="69">
        <v>0.0</v>
      </c>
      <c r="F131" s="69">
        <v>0.0</v>
      </c>
      <c r="G131" s="69">
        <v>0.0</v>
      </c>
      <c r="H131" s="69">
        <v>1.0</v>
      </c>
      <c r="I131" s="69">
        <v>0.0</v>
      </c>
      <c r="J131" s="69">
        <v>0.0</v>
      </c>
      <c r="K131" s="69">
        <v>0.0</v>
      </c>
      <c r="L131" s="69">
        <v>0.0</v>
      </c>
      <c r="M131" s="69">
        <v>0.0</v>
      </c>
      <c r="N131" s="69">
        <v>1.0</v>
      </c>
      <c r="O131" s="69">
        <v>0.0</v>
      </c>
      <c r="P131" s="69">
        <v>0.0</v>
      </c>
      <c r="Q131" s="69">
        <v>0.0</v>
      </c>
      <c r="R131" s="69">
        <v>1.0</v>
      </c>
      <c r="S131" s="69">
        <v>0.0</v>
      </c>
      <c r="T131" s="69">
        <v>0.0</v>
      </c>
      <c r="U131" s="69">
        <v>0.0</v>
      </c>
      <c r="V131" s="69">
        <v>0.0</v>
      </c>
      <c r="W131" s="69">
        <v>0.0</v>
      </c>
      <c r="X131" s="69">
        <v>0.0</v>
      </c>
      <c r="Y131" s="69">
        <v>1.0</v>
      </c>
      <c r="Z131" s="69">
        <v>0.0</v>
      </c>
      <c r="AA131" s="69">
        <v>0.0</v>
      </c>
      <c r="AB131" s="69">
        <v>0.0</v>
      </c>
      <c r="AC131" s="69">
        <v>0.0</v>
      </c>
      <c r="AD131" s="69">
        <v>0.0</v>
      </c>
      <c r="AE131" s="69">
        <v>0.0</v>
      </c>
      <c r="AF131" s="69">
        <v>0.0</v>
      </c>
      <c r="AG131" s="69">
        <v>0.0</v>
      </c>
      <c r="AH131" s="69">
        <v>0.0</v>
      </c>
      <c r="AI131" s="69">
        <v>0.0</v>
      </c>
      <c r="AJ131" s="69">
        <v>0.0</v>
      </c>
      <c r="AK131" s="13">
        <f t="shared" ref="AK131:AK136" si="36">SUM(E131:AJ131)</f>
        <v>4</v>
      </c>
      <c r="AL131" s="53"/>
      <c r="AM131" s="53"/>
    </row>
    <row r="132" ht="12.75" customHeight="1">
      <c r="A132" s="30" t="s">
        <v>39</v>
      </c>
      <c r="B132" s="49"/>
      <c r="C132" s="50" t="s">
        <v>112</v>
      </c>
      <c r="D132" s="51"/>
      <c r="E132" s="69">
        <v>1.0</v>
      </c>
      <c r="F132" s="69">
        <v>0.0</v>
      </c>
      <c r="G132" s="69">
        <v>1.0</v>
      </c>
      <c r="H132" s="69">
        <v>1.0</v>
      </c>
      <c r="I132" s="69">
        <v>0.0</v>
      </c>
      <c r="J132" s="69">
        <v>1.0</v>
      </c>
      <c r="K132" s="69">
        <v>0.0</v>
      </c>
      <c r="L132" s="69">
        <v>1.0</v>
      </c>
      <c r="M132" s="69">
        <v>0.0</v>
      </c>
      <c r="N132" s="69">
        <v>0.0</v>
      </c>
      <c r="O132" s="69">
        <v>1.0</v>
      </c>
      <c r="P132" s="69">
        <v>0.0</v>
      </c>
      <c r="Q132" s="69">
        <v>0.0</v>
      </c>
      <c r="R132" s="69">
        <v>0.0</v>
      </c>
      <c r="S132" s="69">
        <v>0.0</v>
      </c>
      <c r="T132" s="69">
        <v>0.0</v>
      </c>
      <c r="U132" s="69">
        <v>0.0</v>
      </c>
      <c r="V132" s="69">
        <v>0.0</v>
      </c>
      <c r="W132" s="69">
        <v>0.0</v>
      </c>
      <c r="X132" s="69">
        <v>0.0</v>
      </c>
      <c r="Y132" s="69">
        <v>0.0</v>
      </c>
      <c r="Z132" s="69">
        <v>0.0</v>
      </c>
      <c r="AA132" s="69">
        <v>0.0</v>
      </c>
      <c r="AB132" s="69">
        <v>0.0</v>
      </c>
      <c r="AC132" s="69">
        <v>0.0</v>
      </c>
      <c r="AD132" s="69">
        <v>0.0</v>
      </c>
      <c r="AE132" s="69">
        <v>0.0</v>
      </c>
      <c r="AF132" s="69">
        <v>0.0</v>
      </c>
      <c r="AG132" s="69">
        <v>0.0</v>
      </c>
      <c r="AH132" s="69">
        <v>0.0</v>
      </c>
      <c r="AI132" s="69">
        <v>0.0</v>
      </c>
      <c r="AJ132" s="69">
        <v>0.0</v>
      </c>
      <c r="AK132" s="13">
        <f t="shared" si="36"/>
        <v>6</v>
      </c>
      <c r="AL132" s="5"/>
      <c r="AM132" s="5"/>
    </row>
    <row r="133" ht="12.75" customHeight="1">
      <c r="A133" s="18"/>
      <c r="B133" s="49"/>
      <c r="C133" s="50" t="s">
        <v>113</v>
      </c>
      <c r="D133" s="51"/>
      <c r="E133" s="69">
        <v>0.0</v>
      </c>
      <c r="F133" s="69">
        <v>1.0</v>
      </c>
      <c r="G133" s="69">
        <v>0.0</v>
      </c>
      <c r="H133" s="69">
        <v>0.0</v>
      </c>
      <c r="I133" s="69">
        <v>0.0</v>
      </c>
      <c r="J133" s="69">
        <v>0.0</v>
      </c>
      <c r="K133" s="69">
        <v>1.0</v>
      </c>
      <c r="L133" s="69">
        <v>0.0</v>
      </c>
      <c r="M133" s="69">
        <v>0.0</v>
      </c>
      <c r="N133" s="69">
        <v>0.0</v>
      </c>
      <c r="O133" s="69">
        <v>1.0</v>
      </c>
      <c r="P133" s="69">
        <v>0.0</v>
      </c>
      <c r="Q133" s="69">
        <v>0.0</v>
      </c>
      <c r="R133" s="69">
        <v>2.0</v>
      </c>
      <c r="S133" s="69">
        <v>0.0</v>
      </c>
      <c r="T133" s="69">
        <v>0.0</v>
      </c>
      <c r="U133" s="69">
        <v>0.0</v>
      </c>
      <c r="V133" s="69">
        <v>0.0</v>
      </c>
      <c r="W133" s="69">
        <v>0.0</v>
      </c>
      <c r="X133" s="69">
        <v>0.0</v>
      </c>
      <c r="Y133" s="69">
        <v>0.0</v>
      </c>
      <c r="Z133" s="69">
        <v>1.0</v>
      </c>
      <c r="AA133" s="69">
        <v>0.0</v>
      </c>
      <c r="AB133" s="69">
        <v>0.0</v>
      </c>
      <c r="AC133" s="69">
        <v>0.0</v>
      </c>
      <c r="AD133" s="69">
        <v>1.0</v>
      </c>
      <c r="AE133" s="69">
        <v>0.0</v>
      </c>
      <c r="AF133" s="69">
        <v>1.0</v>
      </c>
      <c r="AG133" s="69">
        <v>0.0</v>
      </c>
      <c r="AH133" s="69">
        <v>0.0</v>
      </c>
      <c r="AI133" s="69">
        <v>0.0</v>
      </c>
      <c r="AJ133" s="69">
        <v>0.0</v>
      </c>
      <c r="AK133" s="13">
        <f t="shared" si="36"/>
        <v>8</v>
      </c>
      <c r="AL133" s="5"/>
      <c r="AM133" s="5"/>
    </row>
    <row r="134" ht="12.75" customHeight="1">
      <c r="A134" s="18"/>
      <c r="B134" s="49"/>
      <c r="C134" s="50" t="s">
        <v>114</v>
      </c>
      <c r="D134" s="51"/>
      <c r="E134" s="69">
        <v>0.0</v>
      </c>
      <c r="F134" s="69">
        <v>0.0</v>
      </c>
      <c r="G134" s="69">
        <v>0.0</v>
      </c>
      <c r="H134" s="69">
        <v>0.0</v>
      </c>
      <c r="I134" s="69">
        <v>0.0</v>
      </c>
      <c r="J134" s="69">
        <v>0.0</v>
      </c>
      <c r="K134" s="69">
        <v>0.0</v>
      </c>
      <c r="L134" s="69">
        <v>0.0</v>
      </c>
      <c r="M134" s="69">
        <v>0.0</v>
      </c>
      <c r="N134" s="69">
        <v>0.0</v>
      </c>
      <c r="O134" s="69">
        <v>0.0</v>
      </c>
      <c r="P134" s="69">
        <v>0.0</v>
      </c>
      <c r="Q134" s="69">
        <v>0.0</v>
      </c>
      <c r="R134" s="69">
        <v>0.0</v>
      </c>
      <c r="S134" s="69">
        <v>0.0</v>
      </c>
      <c r="T134" s="69">
        <v>0.0</v>
      </c>
      <c r="U134" s="69">
        <v>0.0</v>
      </c>
      <c r="V134" s="69">
        <v>0.0</v>
      </c>
      <c r="W134" s="69">
        <v>0.0</v>
      </c>
      <c r="X134" s="69">
        <v>0.0</v>
      </c>
      <c r="Y134" s="69">
        <v>0.0</v>
      </c>
      <c r="Z134" s="69">
        <v>0.0</v>
      </c>
      <c r="AA134" s="69">
        <v>0.0</v>
      </c>
      <c r="AB134" s="69">
        <v>0.0</v>
      </c>
      <c r="AC134" s="69">
        <v>0.0</v>
      </c>
      <c r="AD134" s="69">
        <v>0.0</v>
      </c>
      <c r="AE134" s="69">
        <v>0.0</v>
      </c>
      <c r="AF134" s="69">
        <v>0.0</v>
      </c>
      <c r="AG134" s="69">
        <v>0.0</v>
      </c>
      <c r="AH134" s="69">
        <v>0.0</v>
      </c>
      <c r="AI134" s="69">
        <v>0.0</v>
      </c>
      <c r="AJ134" s="69">
        <v>0.0</v>
      </c>
      <c r="AK134" s="13">
        <f t="shared" si="36"/>
        <v>0</v>
      </c>
      <c r="AL134" s="5"/>
      <c r="AM134" s="5"/>
    </row>
    <row r="135" ht="12.75" customHeight="1">
      <c r="A135" s="18"/>
      <c r="B135" s="49"/>
      <c r="C135" s="50" t="s">
        <v>115</v>
      </c>
      <c r="D135" s="51"/>
      <c r="E135" s="69">
        <v>0.0</v>
      </c>
      <c r="F135" s="69">
        <v>0.0</v>
      </c>
      <c r="G135" s="69">
        <v>0.0</v>
      </c>
      <c r="H135" s="69">
        <v>0.0</v>
      </c>
      <c r="I135" s="69">
        <v>0.0</v>
      </c>
      <c r="J135" s="69">
        <v>1.0</v>
      </c>
      <c r="K135" s="69">
        <v>0.0</v>
      </c>
      <c r="L135" s="69">
        <v>0.0</v>
      </c>
      <c r="M135" s="69">
        <v>0.0</v>
      </c>
      <c r="N135" s="69">
        <v>0.0</v>
      </c>
      <c r="O135" s="69">
        <v>0.0</v>
      </c>
      <c r="P135" s="69">
        <v>0.0</v>
      </c>
      <c r="Q135" s="69">
        <v>0.0</v>
      </c>
      <c r="R135" s="69">
        <v>0.0</v>
      </c>
      <c r="S135" s="69">
        <v>0.0</v>
      </c>
      <c r="T135" s="69">
        <v>0.0</v>
      </c>
      <c r="U135" s="69">
        <v>0.0</v>
      </c>
      <c r="V135" s="69">
        <v>0.0</v>
      </c>
      <c r="W135" s="69">
        <v>0.0</v>
      </c>
      <c r="X135" s="69">
        <v>0.0</v>
      </c>
      <c r="Y135" s="69">
        <v>0.0</v>
      </c>
      <c r="Z135" s="69">
        <v>0.0</v>
      </c>
      <c r="AA135" s="69">
        <v>0.0</v>
      </c>
      <c r="AB135" s="69">
        <v>0.0</v>
      </c>
      <c r="AC135" s="69">
        <v>0.0</v>
      </c>
      <c r="AD135" s="69">
        <v>0.0</v>
      </c>
      <c r="AE135" s="69">
        <v>0.0</v>
      </c>
      <c r="AF135" s="69">
        <v>0.0</v>
      </c>
      <c r="AG135" s="69">
        <v>0.0</v>
      </c>
      <c r="AH135" s="69">
        <v>0.0</v>
      </c>
      <c r="AI135" s="69">
        <v>0.0</v>
      </c>
      <c r="AJ135" s="69">
        <v>0.0</v>
      </c>
      <c r="AK135" s="13">
        <f t="shared" si="36"/>
        <v>1</v>
      </c>
      <c r="AL135" s="5"/>
      <c r="AM135" s="5"/>
    </row>
    <row r="136" ht="12.75" customHeight="1">
      <c r="A136" s="19" t="s">
        <v>15</v>
      </c>
      <c r="B136" s="47" t="s">
        <v>47</v>
      </c>
      <c r="C136" s="15"/>
      <c r="D136" s="16"/>
      <c r="E136" s="56">
        <f t="shared" ref="E136:AJ136" si="37">SUM(E131:E135)</f>
        <v>1</v>
      </c>
      <c r="F136" s="56">
        <f t="shared" si="37"/>
        <v>1</v>
      </c>
      <c r="G136" s="56">
        <f t="shared" si="37"/>
        <v>1</v>
      </c>
      <c r="H136" s="56">
        <f t="shared" si="37"/>
        <v>2</v>
      </c>
      <c r="I136" s="56">
        <f t="shared" si="37"/>
        <v>0</v>
      </c>
      <c r="J136" s="56">
        <f t="shared" si="37"/>
        <v>2</v>
      </c>
      <c r="K136" s="56">
        <f t="shared" si="37"/>
        <v>1</v>
      </c>
      <c r="L136" s="56">
        <f t="shared" si="37"/>
        <v>1</v>
      </c>
      <c r="M136" s="56">
        <f t="shared" si="37"/>
        <v>0</v>
      </c>
      <c r="N136" s="56">
        <f t="shared" si="37"/>
        <v>1</v>
      </c>
      <c r="O136" s="56">
        <f t="shared" si="37"/>
        <v>2</v>
      </c>
      <c r="P136" s="56">
        <f t="shared" si="37"/>
        <v>0</v>
      </c>
      <c r="Q136" s="56">
        <f t="shared" si="37"/>
        <v>0</v>
      </c>
      <c r="R136" s="56">
        <f t="shared" si="37"/>
        <v>3</v>
      </c>
      <c r="S136" s="56">
        <f t="shared" si="37"/>
        <v>0</v>
      </c>
      <c r="T136" s="56">
        <f t="shared" si="37"/>
        <v>0</v>
      </c>
      <c r="U136" s="56">
        <f t="shared" si="37"/>
        <v>0</v>
      </c>
      <c r="V136" s="56">
        <f t="shared" si="37"/>
        <v>0</v>
      </c>
      <c r="W136" s="56">
        <f t="shared" si="37"/>
        <v>0</v>
      </c>
      <c r="X136" s="56">
        <f t="shared" si="37"/>
        <v>0</v>
      </c>
      <c r="Y136" s="56">
        <f t="shared" si="37"/>
        <v>1</v>
      </c>
      <c r="Z136" s="56">
        <f t="shared" si="37"/>
        <v>1</v>
      </c>
      <c r="AA136" s="56">
        <f t="shared" si="37"/>
        <v>0</v>
      </c>
      <c r="AB136" s="56">
        <f t="shared" si="37"/>
        <v>0</v>
      </c>
      <c r="AC136" s="56">
        <f t="shared" si="37"/>
        <v>0</v>
      </c>
      <c r="AD136" s="56">
        <f t="shared" si="37"/>
        <v>1</v>
      </c>
      <c r="AE136" s="56">
        <f t="shared" si="37"/>
        <v>0</v>
      </c>
      <c r="AF136" s="56">
        <f t="shared" si="37"/>
        <v>1</v>
      </c>
      <c r="AG136" s="56">
        <f t="shared" si="37"/>
        <v>0</v>
      </c>
      <c r="AH136" s="56">
        <f t="shared" si="37"/>
        <v>0</v>
      </c>
      <c r="AI136" s="56">
        <f t="shared" si="37"/>
        <v>0</v>
      </c>
      <c r="AJ136" s="56">
        <f t="shared" si="37"/>
        <v>0</v>
      </c>
      <c r="AK136" s="13">
        <f t="shared" si="36"/>
        <v>19</v>
      </c>
      <c r="AL136" s="5"/>
      <c r="AM136" s="5"/>
    </row>
    <row r="137" ht="12.75" customHeight="1">
      <c r="A137" s="57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13"/>
      <c r="AL137" s="5"/>
      <c r="AM137" s="5"/>
    </row>
    <row r="138" ht="12.75" customHeight="1">
      <c r="A138" s="30" t="s">
        <v>37</v>
      </c>
      <c r="B138" s="47" t="s">
        <v>116</v>
      </c>
      <c r="C138" s="48" t="s">
        <v>117</v>
      </c>
      <c r="D138" s="16"/>
      <c r="E138" s="69">
        <v>0.0</v>
      </c>
      <c r="F138" s="69">
        <v>0.0</v>
      </c>
      <c r="G138" s="69">
        <v>0.0</v>
      </c>
      <c r="H138" s="69">
        <v>0.0</v>
      </c>
      <c r="I138" s="69">
        <v>0.0</v>
      </c>
      <c r="J138" s="69">
        <v>0.0</v>
      </c>
      <c r="K138" s="69">
        <v>0.0</v>
      </c>
      <c r="L138" s="69">
        <v>0.0</v>
      </c>
      <c r="M138" s="69">
        <v>0.0</v>
      </c>
      <c r="N138" s="69">
        <v>0.0</v>
      </c>
      <c r="O138" s="69">
        <v>0.0</v>
      </c>
      <c r="P138" s="69">
        <v>0.0</v>
      </c>
      <c r="Q138" s="69">
        <v>0.0</v>
      </c>
      <c r="R138" s="69">
        <v>0.0</v>
      </c>
      <c r="S138" s="69">
        <v>0.0</v>
      </c>
      <c r="T138" s="69">
        <v>0.0</v>
      </c>
      <c r="U138" s="69">
        <v>0.0</v>
      </c>
      <c r="V138" s="69">
        <v>0.0</v>
      </c>
      <c r="W138" s="69">
        <v>0.0</v>
      </c>
      <c r="X138" s="69">
        <v>0.0</v>
      </c>
      <c r="Y138" s="69">
        <v>0.0</v>
      </c>
      <c r="Z138" s="69">
        <v>0.0</v>
      </c>
      <c r="AA138" s="69">
        <v>0.0</v>
      </c>
      <c r="AB138" s="69">
        <v>0.0</v>
      </c>
      <c r="AC138" s="69">
        <v>0.0</v>
      </c>
      <c r="AD138" s="69">
        <v>0.0</v>
      </c>
      <c r="AE138" s="69">
        <v>0.0</v>
      </c>
      <c r="AF138" s="69">
        <v>0.0</v>
      </c>
      <c r="AG138" s="69">
        <v>0.0</v>
      </c>
      <c r="AH138" s="69">
        <v>0.0</v>
      </c>
      <c r="AI138" s="69">
        <v>0.0</v>
      </c>
      <c r="AJ138" s="69">
        <v>0.0</v>
      </c>
      <c r="AK138" s="13">
        <f t="shared" ref="AK138:AK146" si="38">SUM(E138:AJ138)</f>
        <v>0</v>
      </c>
      <c r="AL138" s="5"/>
      <c r="AM138" s="5"/>
    </row>
    <row r="139" ht="15.0" customHeight="1">
      <c r="A139" s="30" t="s">
        <v>39</v>
      </c>
      <c r="B139" s="49"/>
      <c r="C139" s="50" t="s">
        <v>118</v>
      </c>
      <c r="D139" s="51"/>
      <c r="E139" s="69">
        <v>0.0</v>
      </c>
      <c r="F139" s="69">
        <v>0.0</v>
      </c>
      <c r="G139" s="69">
        <v>0.0</v>
      </c>
      <c r="H139" s="69">
        <v>0.0</v>
      </c>
      <c r="I139" s="69">
        <v>0.0</v>
      </c>
      <c r="J139" s="69">
        <v>0.0</v>
      </c>
      <c r="K139" s="69">
        <v>0.0</v>
      </c>
      <c r="L139" s="69">
        <v>0.0</v>
      </c>
      <c r="M139" s="69">
        <v>0.0</v>
      </c>
      <c r="N139" s="69">
        <v>0.0</v>
      </c>
      <c r="O139" s="69">
        <v>0.0</v>
      </c>
      <c r="P139" s="69">
        <v>0.0</v>
      </c>
      <c r="Q139" s="69">
        <v>0.0</v>
      </c>
      <c r="R139" s="69">
        <v>0.0</v>
      </c>
      <c r="S139" s="69">
        <v>0.0</v>
      </c>
      <c r="T139" s="69">
        <v>0.0</v>
      </c>
      <c r="U139" s="69">
        <v>0.0</v>
      </c>
      <c r="V139" s="69">
        <v>0.0</v>
      </c>
      <c r="W139" s="69">
        <v>0.0</v>
      </c>
      <c r="X139" s="69">
        <v>0.0</v>
      </c>
      <c r="Y139" s="69">
        <v>0.0</v>
      </c>
      <c r="Z139" s="69">
        <v>0.0</v>
      </c>
      <c r="AA139" s="69">
        <v>0.0</v>
      </c>
      <c r="AB139" s="69">
        <v>0.0</v>
      </c>
      <c r="AC139" s="69">
        <v>0.0</v>
      </c>
      <c r="AD139" s="69">
        <v>0.0</v>
      </c>
      <c r="AE139" s="69">
        <v>0.0</v>
      </c>
      <c r="AF139" s="69">
        <v>0.0</v>
      </c>
      <c r="AG139" s="69">
        <v>0.0</v>
      </c>
      <c r="AH139" s="69">
        <v>0.0</v>
      </c>
      <c r="AI139" s="69">
        <v>0.0</v>
      </c>
      <c r="AJ139" s="69">
        <v>0.0</v>
      </c>
      <c r="AK139" s="13">
        <f t="shared" si="38"/>
        <v>0</v>
      </c>
      <c r="AL139" s="5"/>
      <c r="AM139" s="5"/>
    </row>
    <row r="140" ht="12.75" customHeight="1">
      <c r="A140" s="18"/>
      <c r="B140" s="49"/>
      <c r="C140" s="50" t="s">
        <v>119</v>
      </c>
      <c r="D140" s="51"/>
      <c r="E140" s="69">
        <v>0.0</v>
      </c>
      <c r="F140" s="69">
        <v>0.0</v>
      </c>
      <c r="G140" s="69">
        <v>0.0</v>
      </c>
      <c r="H140" s="69">
        <v>1.0</v>
      </c>
      <c r="I140" s="69">
        <v>0.0</v>
      </c>
      <c r="J140" s="69">
        <v>0.0</v>
      </c>
      <c r="K140" s="69">
        <v>0.0</v>
      </c>
      <c r="L140" s="69">
        <v>0.0</v>
      </c>
      <c r="M140" s="69">
        <v>0.0</v>
      </c>
      <c r="N140" s="69">
        <v>0.0</v>
      </c>
      <c r="O140" s="69">
        <v>0.0</v>
      </c>
      <c r="P140" s="69">
        <v>0.0</v>
      </c>
      <c r="Q140" s="69">
        <v>0.0</v>
      </c>
      <c r="R140" s="69">
        <v>0.0</v>
      </c>
      <c r="S140" s="69">
        <v>0.0</v>
      </c>
      <c r="T140" s="69">
        <v>0.0</v>
      </c>
      <c r="U140" s="69">
        <v>0.0</v>
      </c>
      <c r="V140" s="69">
        <v>0.0</v>
      </c>
      <c r="W140" s="69">
        <v>0.0</v>
      </c>
      <c r="X140" s="69">
        <v>0.0</v>
      </c>
      <c r="Y140" s="69">
        <v>0.0</v>
      </c>
      <c r="Z140" s="69">
        <v>0.0</v>
      </c>
      <c r="AA140" s="69">
        <v>0.0</v>
      </c>
      <c r="AB140" s="69">
        <v>0.0</v>
      </c>
      <c r="AC140" s="69">
        <v>0.0</v>
      </c>
      <c r="AD140" s="69">
        <v>0.0</v>
      </c>
      <c r="AE140" s="69">
        <v>0.0</v>
      </c>
      <c r="AF140" s="69">
        <v>0.0</v>
      </c>
      <c r="AG140" s="69">
        <v>0.0</v>
      </c>
      <c r="AH140" s="69">
        <v>0.0</v>
      </c>
      <c r="AI140" s="69">
        <v>0.0</v>
      </c>
      <c r="AJ140" s="69">
        <v>0.0</v>
      </c>
      <c r="AK140" s="13">
        <f t="shared" si="38"/>
        <v>1</v>
      </c>
      <c r="AL140" s="5"/>
      <c r="AM140" s="5"/>
    </row>
    <row r="141" ht="12.75" customHeight="1">
      <c r="A141" s="18"/>
      <c r="B141" s="49"/>
      <c r="C141" s="50" t="s">
        <v>120</v>
      </c>
      <c r="D141" s="51"/>
      <c r="E141" s="69">
        <v>0.0</v>
      </c>
      <c r="F141" s="69">
        <v>0.0</v>
      </c>
      <c r="G141" s="69">
        <v>0.0</v>
      </c>
      <c r="H141" s="69">
        <v>0.0</v>
      </c>
      <c r="I141" s="69">
        <v>0.0</v>
      </c>
      <c r="J141" s="69">
        <v>0.0</v>
      </c>
      <c r="K141" s="69">
        <v>0.0</v>
      </c>
      <c r="L141" s="69">
        <v>0.0</v>
      </c>
      <c r="M141" s="69">
        <v>0.0</v>
      </c>
      <c r="N141" s="69">
        <v>0.0</v>
      </c>
      <c r="O141" s="69">
        <v>0.0</v>
      </c>
      <c r="P141" s="69">
        <v>0.0</v>
      </c>
      <c r="Q141" s="69">
        <v>0.0</v>
      </c>
      <c r="R141" s="69">
        <v>2.0</v>
      </c>
      <c r="S141" s="69">
        <v>0.0</v>
      </c>
      <c r="T141" s="69">
        <v>0.0</v>
      </c>
      <c r="U141" s="69">
        <v>0.0</v>
      </c>
      <c r="V141" s="69">
        <v>0.0</v>
      </c>
      <c r="W141" s="69">
        <v>0.0</v>
      </c>
      <c r="X141" s="69">
        <v>0.0</v>
      </c>
      <c r="Y141" s="69">
        <v>0.0</v>
      </c>
      <c r="Z141" s="69">
        <v>0.0</v>
      </c>
      <c r="AA141" s="69">
        <v>0.0</v>
      </c>
      <c r="AB141" s="69">
        <v>0.0</v>
      </c>
      <c r="AC141" s="69">
        <v>0.0</v>
      </c>
      <c r="AD141" s="69">
        <v>0.0</v>
      </c>
      <c r="AE141" s="69">
        <v>0.0</v>
      </c>
      <c r="AF141" s="69">
        <v>0.0</v>
      </c>
      <c r="AG141" s="69">
        <v>0.0</v>
      </c>
      <c r="AH141" s="69">
        <v>0.0</v>
      </c>
      <c r="AI141" s="69">
        <v>0.0</v>
      </c>
      <c r="AJ141" s="69">
        <v>0.0</v>
      </c>
      <c r="AK141" s="13">
        <f t="shared" si="38"/>
        <v>2</v>
      </c>
      <c r="AL141" s="1"/>
      <c r="AM141" s="1"/>
    </row>
    <row r="142" ht="12.75" customHeight="1">
      <c r="A142" s="18"/>
      <c r="B142" s="49"/>
      <c r="C142" s="50" t="s">
        <v>121</v>
      </c>
      <c r="D142" s="51"/>
      <c r="E142" s="69">
        <v>0.0</v>
      </c>
      <c r="F142" s="69">
        <v>0.0</v>
      </c>
      <c r="G142" s="69">
        <v>0.0</v>
      </c>
      <c r="H142" s="69">
        <v>0.0</v>
      </c>
      <c r="I142" s="69">
        <v>0.0</v>
      </c>
      <c r="J142" s="69">
        <v>0.0</v>
      </c>
      <c r="K142" s="69">
        <v>0.0</v>
      </c>
      <c r="L142" s="69">
        <v>0.0</v>
      </c>
      <c r="M142" s="69">
        <v>0.0</v>
      </c>
      <c r="N142" s="69">
        <v>0.0</v>
      </c>
      <c r="O142" s="69">
        <v>0.0</v>
      </c>
      <c r="P142" s="69">
        <v>0.0</v>
      </c>
      <c r="Q142" s="69">
        <v>0.0</v>
      </c>
      <c r="R142" s="69">
        <v>0.0</v>
      </c>
      <c r="S142" s="69">
        <v>0.0</v>
      </c>
      <c r="T142" s="69">
        <v>0.0</v>
      </c>
      <c r="U142" s="69">
        <v>0.0</v>
      </c>
      <c r="V142" s="69">
        <v>0.0</v>
      </c>
      <c r="W142" s="69">
        <v>0.0</v>
      </c>
      <c r="X142" s="69">
        <v>0.0</v>
      </c>
      <c r="Y142" s="69">
        <v>0.0</v>
      </c>
      <c r="Z142" s="69">
        <v>0.0</v>
      </c>
      <c r="AA142" s="69">
        <v>0.0</v>
      </c>
      <c r="AB142" s="69">
        <v>0.0</v>
      </c>
      <c r="AC142" s="69">
        <v>0.0</v>
      </c>
      <c r="AD142" s="69">
        <v>0.0</v>
      </c>
      <c r="AE142" s="69">
        <v>0.0</v>
      </c>
      <c r="AF142" s="69">
        <v>0.0</v>
      </c>
      <c r="AG142" s="69">
        <v>0.0</v>
      </c>
      <c r="AH142" s="69">
        <v>0.0</v>
      </c>
      <c r="AI142" s="69">
        <v>0.0</v>
      </c>
      <c r="AJ142" s="69">
        <v>0.0</v>
      </c>
      <c r="AK142" s="13">
        <f t="shared" si="38"/>
        <v>0</v>
      </c>
      <c r="AL142" s="53"/>
      <c r="AM142" s="53"/>
    </row>
    <row r="143" ht="12.75" customHeight="1">
      <c r="A143" s="18"/>
      <c r="B143" s="49"/>
      <c r="C143" s="50" t="s">
        <v>122</v>
      </c>
      <c r="D143" s="51"/>
      <c r="E143" s="69">
        <v>0.0</v>
      </c>
      <c r="F143" s="69">
        <v>0.0</v>
      </c>
      <c r="G143" s="69">
        <v>0.0</v>
      </c>
      <c r="H143" s="69">
        <v>0.0</v>
      </c>
      <c r="I143" s="69">
        <v>0.0</v>
      </c>
      <c r="J143" s="69">
        <v>0.0</v>
      </c>
      <c r="K143" s="69">
        <v>0.0</v>
      </c>
      <c r="L143" s="69">
        <v>0.0</v>
      </c>
      <c r="M143" s="69">
        <v>0.0</v>
      </c>
      <c r="N143" s="69">
        <v>0.0</v>
      </c>
      <c r="O143" s="69">
        <v>0.0</v>
      </c>
      <c r="P143" s="69">
        <v>0.0</v>
      </c>
      <c r="Q143" s="69">
        <v>0.0</v>
      </c>
      <c r="R143" s="69">
        <v>0.0</v>
      </c>
      <c r="S143" s="69">
        <v>0.0</v>
      </c>
      <c r="T143" s="69">
        <v>0.0</v>
      </c>
      <c r="U143" s="69">
        <v>0.0</v>
      </c>
      <c r="V143" s="69">
        <v>0.0</v>
      </c>
      <c r="W143" s="69">
        <v>0.0</v>
      </c>
      <c r="X143" s="69">
        <v>0.0</v>
      </c>
      <c r="Y143" s="69">
        <v>0.0</v>
      </c>
      <c r="Z143" s="69">
        <v>0.0</v>
      </c>
      <c r="AA143" s="69">
        <v>0.0</v>
      </c>
      <c r="AB143" s="69">
        <v>0.0</v>
      </c>
      <c r="AC143" s="69">
        <v>0.0</v>
      </c>
      <c r="AD143" s="69">
        <v>0.0</v>
      </c>
      <c r="AE143" s="69">
        <v>0.0</v>
      </c>
      <c r="AF143" s="69">
        <v>0.0</v>
      </c>
      <c r="AG143" s="69">
        <v>0.0</v>
      </c>
      <c r="AH143" s="69">
        <v>0.0</v>
      </c>
      <c r="AI143" s="69">
        <v>0.0</v>
      </c>
      <c r="AJ143" s="69">
        <v>0.0</v>
      </c>
      <c r="AK143" s="13">
        <f t="shared" si="38"/>
        <v>0</v>
      </c>
      <c r="AL143" s="5"/>
      <c r="AM143" s="5"/>
    </row>
    <row r="144" ht="12.75" customHeight="1">
      <c r="A144" s="18"/>
      <c r="B144" s="49"/>
      <c r="C144" s="50" t="s">
        <v>123</v>
      </c>
      <c r="D144" s="51"/>
      <c r="E144" s="69">
        <v>0.0</v>
      </c>
      <c r="F144" s="69">
        <v>0.0</v>
      </c>
      <c r="G144" s="69">
        <v>0.0</v>
      </c>
      <c r="H144" s="69">
        <v>0.0</v>
      </c>
      <c r="I144" s="69">
        <v>0.0</v>
      </c>
      <c r="J144" s="69">
        <v>0.0</v>
      </c>
      <c r="K144" s="69">
        <v>0.0</v>
      </c>
      <c r="L144" s="69">
        <v>0.0</v>
      </c>
      <c r="M144" s="69">
        <v>0.0</v>
      </c>
      <c r="N144" s="69">
        <v>0.0</v>
      </c>
      <c r="O144" s="69">
        <v>0.0</v>
      </c>
      <c r="P144" s="69">
        <v>0.0</v>
      </c>
      <c r="Q144" s="69">
        <v>0.0</v>
      </c>
      <c r="R144" s="69">
        <v>0.0</v>
      </c>
      <c r="S144" s="69">
        <v>0.0</v>
      </c>
      <c r="T144" s="69">
        <v>0.0</v>
      </c>
      <c r="U144" s="69">
        <v>0.0</v>
      </c>
      <c r="V144" s="69">
        <v>0.0</v>
      </c>
      <c r="W144" s="69">
        <v>0.0</v>
      </c>
      <c r="X144" s="69">
        <v>0.0</v>
      </c>
      <c r="Y144" s="69">
        <v>0.0</v>
      </c>
      <c r="Z144" s="69">
        <v>0.0</v>
      </c>
      <c r="AA144" s="69">
        <v>0.0</v>
      </c>
      <c r="AB144" s="69">
        <v>0.0</v>
      </c>
      <c r="AC144" s="69">
        <v>0.0</v>
      </c>
      <c r="AD144" s="69">
        <v>0.0</v>
      </c>
      <c r="AE144" s="69">
        <v>0.0</v>
      </c>
      <c r="AF144" s="69">
        <v>0.0</v>
      </c>
      <c r="AG144" s="69">
        <v>0.0</v>
      </c>
      <c r="AH144" s="69">
        <v>0.0</v>
      </c>
      <c r="AI144" s="69">
        <v>0.0</v>
      </c>
      <c r="AJ144" s="69">
        <v>0.0</v>
      </c>
      <c r="AK144" s="13">
        <f t="shared" si="38"/>
        <v>0</v>
      </c>
      <c r="AL144" s="5"/>
      <c r="AM144" s="5"/>
    </row>
    <row r="145" ht="12.75" customHeight="1">
      <c r="A145" s="18"/>
      <c r="B145" s="49"/>
      <c r="C145" s="50" t="s">
        <v>124</v>
      </c>
      <c r="D145" s="51"/>
      <c r="E145" s="69">
        <v>0.0</v>
      </c>
      <c r="F145" s="69">
        <v>0.0</v>
      </c>
      <c r="G145" s="69">
        <v>0.0</v>
      </c>
      <c r="H145" s="69">
        <v>0.0</v>
      </c>
      <c r="I145" s="69">
        <v>0.0</v>
      </c>
      <c r="J145" s="69">
        <v>0.0</v>
      </c>
      <c r="K145" s="69">
        <v>0.0</v>
      </c>
      <c r="L145" s="69">
        <v>0.0</v>
      </c>
      <c r="M145" s="69">
        <v>0.0</v>
      </c>
      <c r="N145" s="69">
        <v>0.0</v>
      </c>
      <c r="O145" s="69">
        <v>0.0</v>
      </c>
      <c r="P145" s="69">
        <v>0.0</v>
      </c>
      <c r="Q145" s="69">
        <v>0.0</v>
      </c>
      <c r="R145" s="69">
        <v>0.0</v>
      </c>
      <c r="S145" s="69">
        <v>0.0</v>
      </c>
      <c r="T145" s="69">
        <v>0.0</v>
      </c>
      <c r="U145" s="69">
        <v>0.0</v>
      </c>
      <c r="V145" s="69">
        <v>0.0</v>
      </c>
      <c r="W145" s="69">
        <v>0.0</v>
      </c>
      <c r="X145" s="69">
        <v>0.0</v>
      </c>
      <c r="Y145" s="69">
        <v>0.0</v>
      </c>
      <c r="Z145" s="69">
        <v>0.0</v>
      </c>
      <c r="AA145" s="69">
        <v>0.0</v>
      </c>
      <c r="AB145" s="69">
        <v>0.0</v>
      </c>
      <c r="AC145" s="69">
        <v>0.0</v>
      </c>
      <c r="AD145" s="69">
        <v>0.0</v>
      </c>
      <c r="AE145" s="69">
        <v>0.0</v>
      </c>
      <c r="AF145" s="69">
        <v>0.0</v>
      </c>
      <c r="AG145" s="69">
        <v>0.0</v>
      </c>
      <c r="AH145" s="69">
        <v>0.0</v>
      </c>
      <c r="AI145" s="69">
        <v>1.0</v>
      </c>
      <c r="AJ145" s="69">
        <v>0.0</v>
      </c>
      <c r="AK145" s="13">
        <f t="shared" si="38"/>
        <v>1</v>
      </c>
      <c r="AL145" s="5"/>
      <c r="AM145" s="5"/>
    </row>
    <row r="146" ht="12.75" customHeight="1">
      <c r="A146" s="19" t="s">
        <v>15</v>
      </c>
      <c r="B146" s="47" t="s">
        <v>47</v>
      </c>
      <c r="C146" s="15"/>
      <c r="D146" s="16"/>
      <c r="E146" s="56">
        <f t="shared" ref="E146:AJ146" si="39">SUM(E138:E145)</f>
        <v>0</v>
      </c>
      <c r="F146" s="56">
        <f t="shared" si="39"/>
        <v>0</v>
      </c>
      <c r="G146" s="56">
        <f t="shared" si="39"/>
        <v>0</v>
      </c>
      <c r="H146" s="56">
        <f t="shared" si="39"/>
        <v>1</v>
      </c>
      <c r="I146" s="56">
        <f t="shared" si="39"/>
        <v>0</v>
      </c>
      <c r="J146" s="56">
        <f t="shared" si="39"/>
        <v>0</v>
      </c>
      <c r="K146" s="56">
        <f t="shared" si="39"/>
        <v>0</v>
      </c>
      <c r="L146" s="56">
        <f t="shared" si="39"/>
        <v>0</v>
      </c>
      <c r="M146" s="56">
        <f t="shared" si="39"/>
        <v>0</v>
      </c>
      <c r="N146" s="56">
        <f t="shared" si="39"/>
        <v>0</v>
      </c>
      <c r="O146" s="56">
        <f t="shared" si="39"/>
        <v>0</v>
      </c>
      <c r="P146" s="56">
        <f t="shared" si="39"/>
        <v>0</v>
      </c>
      <c r="Q146" s="56">
        <f t="shared" si="39"/>
        <v>0</v>
      </c>
      <c r="R146" s="56">
        <f t="shared" si="39"/>
        <v>2</v>
      </c>
      <c r="S146" s="56">
        <f t="shared" si="39"/>
        <v>0</v>
      </c>
      <c r="T146" s="56">
        <f t="shared" si="39"/>
        <v>0</v>
      </c>
      <c r="U146" s="56">
        <f t="shared" si="39"/>
        <v>0</v>
      </c>
      <c r="V146" s="56">
        <f t="shared" si="39"/>
        <v>0</v>
      </c>
      <c r="W146" s="56">
        <f t="shared" si="39"/>
        <v>0</v>
      </c>
      <c r="X146" s="56">
        <f t="shared" si="39"/>
        <v>0</v>
      </c>
      <c r="Y146" s="56">
        <f t="shared" si="39"/>
        <v>0</v>
      </c>
      <c r="Z146" s="56">
        <f t="shared" si="39"/>
        <v>0</v>
      </c>
      <c r="AA146" s="56">
        <f t="shared" si="39"/>
        <v>0</v>
      </c>
      <c r="AB146" s="56">
        <f t="shared" si="39"/>
        <v>0</v>
      </c>
      <c r="AC146" s="56">
        <f t="shared" si="39"/>
        <v>0</v>
      </c>
      <c r="AD146" s="56">
        <f t="shared" si="39"/>
        <v>0</v>
      </c>
      <c r="AE146" s="56">
        <f t="shared" si="39"/>
        <v>0</v>
      </c>
      <c r="AF146" s="56">
        <f t="shared" si="39"/>
        <v>0</v>
      </c>
      <c r="AG146" s="56">
        <f t="shared" si="39"/>
        <v>0</v>
      </c>
      <c r="AH146" s="56">
        <f t="shared" si="39"/>
        <v>0</v>
      </c>
      <c r="AI146" s="56">
        <f t="shared" si="39"/>
        <v>1</v>
      </c>
      <c r="AJ146" s="56">
        <f t="shared" si="39"/>
        <v>0</v>
      </c>
      <c r="AK146" s="13">
        <f t="shared" si="38"/>
        <v>4</v>
      </c>
      <c r="AL146" s="5"/>
      <c r="AM146" s="5"/>
    </row>
    <row r="147" ht="12.75" customHeight="1">
      <c r="A147" s="57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13"/>
      <c r="AL147" s="5"/>
      <c r="AM147" s="5"/>
    </row>
    <row r="148" ht="12.75" customHeight="1">
      <c r="A148" s="30" t="s">
        <v>37</v>
      </c>
      <c r="B148" s="47" t="s">
        <v>125</v>
      </c>
      <c r="C148" s="48" t="s">
        <v>126</v>
      </c>
      <c r="D148" s="16"/>
      <c r="E148" s="69">
        <v>0.0</v>
      </c>
      <c r="F148" s="69">
        <v>1.0</v>
      </c>
      <c r="G148" s="69">
        <v>1.0</v>
      </c>
      <c r="H148" s="69">
        <v>1.0</v>
      </c>
      <c r="I148" s="69">
        <v>4.0</v>
      </c>
      <c r="J148" s="69">
        <v>1.0</v>
      </c>
      <c r="K148" s="69">
        <v>0.0</v>
      </c>
      <c r="L148" s="69">
        <v>4.0</v>
      </c>
      <c r="M148" s="69">
        <v>5.0</v>
      </c>
      <c r="N148" s="69">
        <v>3.0</v>
      </c>
      <c r="O148" s="69">
        <v>3.0</v>
      </c>
      <c r="P148" s="69">
        <v>1.0</v>
      </c>
      <c r="Q148" s="69">
        <v>2.0</v>
      </c>
      <c r="R148" s="69">
        <v>3.0</v>
      </c>
      <c r="S148" s="69">
        <v>1.0</v>
      </c>
      <c r="T148" s="69">
        <v>0.0</v>
      </c>
      <c r="U148" s="69">
        <v>1.0</v>
      </c>
      <c r="V148" s="69">
        <v>1.0</v>
      </c>
      <c r="W148" s="69">
        <v>1.0</v>
      </c>
      <c r="X148" s="69">
        <v>0.0</v>
      </c>
      <c r="Y148" s="69">
        <v>2.0</v>
      </c>
      <c r="Z148" s="69">
        <v>0.0</v>
      </c>
      <c r="AA148" s="69">
        <v>3.0</v>
      </c>
      <c r="AB148" s="69">
        <v>1.0</v>
      </c>
      <c r="AC148" s="69">
        <v>0.0</v>
      </c>
      <c r="AD148" s="69">
        <v>0.0</v>
      </c>
      <c r="AE148" s="69">
        <v>1.0</v>
      </c>
      <c r="AF148" s="69">
        <v>0.0</v>
      </c>
      <c r="AG148" s="69">
        <v>2.0</v>
      </c>
      <c r="AH148" s="69">
        <v>3.0</v>
      </c>
      <c r="AI148" s="69">
        <v>0.0</v>
      </c>
      <c r="AJ148" s="69">
        <v>3.0</v>
      </c>
      <c r="AK148" s="13">
        <f t="shared" ref="AK148:AK156" si="40">SUM(E148:AJ148)</f>
        <v>48</v>
      </c>
      <c r="AL148" s="5"/>
      <c r="AM148" s="5"/>
    </row>
    <row r="149" ht="12.75" customHeight="1">
      <c r="A149" s="30" t="s">
        <v>39</v>
      </c>
      <c r="B149" s="49"/>
      <c r="C149" s="50" t="s">
        <v>127</v>
      </c>
      <c r="D149" s="51"/>
      <c r="E149" s="69">
        <v>0.0</v>
      </c>
      <c r="F149" s="69">
        <v>1.0</v>
      </c>
      <c r="G149" s="69">
        <v>1.0</v>
      </c>
      <c r="H149" s="69">
        <v>0.0</v>
      </c>
      <c r="I149" s="69">
        <v>2.0</v>
      </c>
      <c r="J149" s="69">
        <v>1.0</v>
      </c>
      <c r="K149" s="69">
        <v>0.0</v>
      </c>
      <c r="L149" s="69">
        <v>0.0</v>
      </c>
      <c r="M149" s="69">
        <v>0.0</v>
      </c>
      <c r="N149" s="69">
        <v>0.0</v>
      </c>
      <c r="O149" s="69">
        <v>1.0</v>
      </c>
      <c r="P149" s="69">
        <v>1.0</v>
      </c>
      <c r="Q149" s="69">
        <v>1.0</v>
      </c>
      <c r="R149" s="69">
        <v>0.0</v>
      </c>
      <c r="S149" s="69">
        <v>0.0</v>
      </c>
      <c r="T149" s="69">
        <v>0.0</v>
      </c>
      <c r="U149" s="69">
        <v>1.0</v>
      </c>
      <c r="V149" s="69">
        <v>2.0</v>
      </c>
      <c r="W149" s="69">
        <v>0.0</v>
      </c>
      <c r="X149" s="69">
        <v>1.0</v>
      </c>
      <c r="Y149" s="69">
        <v>0.0</v>
      </c>
      <c r="Z149" s="69">
        <v>0.0</v>
      </c>
      <c r="AA149" s="69">
        <v>0.0</v>
      </c>
      <c r="AB149" s="69">
        <v>2.0</v>
      </c>
      <c r="AC149" s="69">
        <v>0.0</v>
      </c>
      <c r="AD149" s="69">
        <v>0.0</v>
      </c>
      <c r="AE149" s="69">
        <v>0.0</v>
      </c>
      <c r="AF149" s="69">
        <v>0.0</v>
      </c>
      <c r="AG149" s="69">
        <v>0.0</v>
      </c>
      <c r="AH149" s="69">
        <v>0.0</v>
      </c>
      <c r="AI149" s="69">
        <v>0.0</v>
      </c>
      <c r="AJ149" s="69">
        <v>0.0</v>
      </c>
      <c r="AK149" s="13">
        <f t="shared" si="40"/>
        <v>14</v>
      </c>
      <c r="AL149" s="5"/>
      <c r="AM149" s="5"/>
    </row>
    <row r="150" ht="12.75" customHeight="1">
      <c r="A150" s="18"/>
      <c r="B150" s="49"/>
      <c r="C150" s="50" t="s">
        <v>128</v>
      </c>
      <c r="D150" s="51"/>
      <c r="E150" s="69">
        <v>0.0</v>
      </c>
      <c r="F150" s="69">
        <v>0.0</v>
      </c>
      <c r="G150" s="69">
        <v>1.0</v>
      </c>
      <c r="H150" s="69">
        <v>2.0</v>
      </c>
      <c r="I150" s="69">
        <v>0.0</v>
      </c>
      <c r="J150" s="69">
        <v>3.0</v>
      </c>
      <c r="K150" s="69">
        <v>0.0</v>
      </c>
      <c r="L150" s="69">
        <v>0.0</v>
      </c>
      <c r="M150" s="69">
        <v>0.0</v>
      </c>
      <c r="N150" s="69">
        <v>1.0</v>
      </c>
      <c r="O150" s="69">
        <v>1.0</v>
      </c>
      <c r="P150" s="69">
        <v>2.0</v>
      </c>
      <c r="Q150" s="69">
        <v>0.0</v>
      </c>
      <c r="R150" s="69">
        <v>0.0</v>
      </c>
      <c r="S150" s="69">
        <v>2.0</v>
      </c>
      <c r="T150" s="69">
        <v>0.0</v>
      </c>
      <c r="U150" s="69">
        <v>0.0</v>
      </c>
      <c r="V150" s="69">
        <v>0.0</v>
      </c>
      <c r="W150" s="69">
        <v>1.0</v>
      </c>
      <c r="X150" s="69">
        <v>0.0</v>
      </c>
      <c r="Y150" s="69">
        <v>1.0</v>
      </c>
      <c r="Z150" s="69">
        <v>1.0</v>
      </c>
      <c r="AA150" s="69">
        <v>0.0</v>
      </c>
      <c r="AB150" s="69">
        <v>0.0</v>
      </c>
      <c r="AC150" s="69">
        <v>0.0</v>
      </c>
      <c r="AD150" s="69">
        <v>0.0</v>
      </c>
      <c r="AE150" s="69">
        <v>2.0</v>
      </c>
      <c r="AF150" s="69">
        <v>0.0</v>
      </c>
      <c r="AG150" s="69">
        <v>0.0</v>
      </c>
      <c r="AH150" s="69">
        <v>1.0</v>
      </c>
      <c r="AI150" s="69">
        <v>0.0</v>
      </c>
      <c r="AJ150" s="69">
        <v>0.0</v>
      </c>
      <c r="AK150" s="13">
        <f t="shared" si="40"/>
        <v>18</v>
      </c>
      <c r="AL150" s="5"/>
      <c r="AM150" s="5"/>
    </row>
    <row r="151" ht="12.75" customHeight="1">
      <c r="A151" s="18"/>
      <c r="B151" s="49"/>
      <c r="C151" s="50" t="s">
        <v>129</v>
      </c>
      <c r="D151" s="51"/>
      <c r="E151" s="69">
        <v>0.0</v>
      </c>
      <c r="F151" s="69">
        <v>0.0</v>
      </c>
      <c r="G151" s="69">
        <v>1.0</v>
      </c>
      <c r="H151" s="69">
        <v>1.0</v>
      </c>
      <c r="I151" s="69">
        <v>0.0</v>
      </c>
      <c r="J151" s="69">
        <v>0.0</v>
      </c>
      <c r="K151" s="69">
        <v>1.0</v>
      </c>
      <c r="L151" s="69">
        <v>0.0</v>
      </c>
      <c r="M151" s="69">
        <v>0.0</v>
      </c>
      <c r="N151" s="69">
        <v>0.0</v>
      </c>
      <c r="O151" s="69">
        <v>0.0</v>
      </c>
      <c r="P151" s="69">
        <v>1.0</v>
      </c>
      <c r="Q151" s="69">
        <v>0.0</v>
      </c>
      <c r="R151" s="69">
        <v>0.0</v>
      </c>
      <c r="S151" s="69">
        <v>0.0</v>
      </c>
      <c r="T151" s="69">
        <v>1.0</v>
      </c>
      <c r="U151" s="69">
        <v>0.0</v>
      </c>
      <c r="V151" s="69">
        <v>0.0</v>
      </c>
      <c r="W151" s="69">
        <v>1.0</v>
      </c>
      <c r="X151" s="69">
        <v>0.0</v>
      </c>
      <c r="Y151" s="69">
        <v>0.0</v>
      </c>
      <c r="Z151" s="69">
        <v>0.0</v>
      </c>
      <c r="AA151" s="69">
        <v>0.0</v>
      </c>
      <c r="AB151" s="69">
        <v>0.0</v>
      </c>
      <c r="AC151" s="69">
        <v>0.0</v>
      </c>
      <c r="AD151" s="69">
        <v>0.0</v>
      </c>
      <c r="AE151" s="69">
        <v>0.0</v>
      </c>
      <c r="AF151" s="69">
        <v>0.0</v>
      </c>
      <c r="AG151" s="69">
        <v>0.0</v>
      </c>
      <c r="AH151" s="69">
        <v>1.0</v>
      </c>
      <c r="AI151" s="69">
        <v>0.0</v>
      </c>
      <c r="AJ151" s="69">
        <v>1.0</v>
      </c>
      <c r="AK151" s="13">
        <f t="shared" si="40"/>
        <v>8</v>
      </c>
      <c r="AL151" s="1"/>
      <c r="AM151" s="1"/>
    </row>
    <row r="152" ht="12.75" customHeight="1">
      <c r="A152" s="18"/>
      <c r="B152" s="49"/>
      <c r="C152" s="50" t="s">
        <v>130</v>
      </c>
      <c r="D152" s="51"/>
      <c r="E152" s="69">
        <v>2.0</v>
      </c>
      <c r="F152" s="69">
        <v>0.0</v>
      </c>
      <c r="G152" s="69">
        <v>0.0</v>
      </c>
      <c r="H152" s="69">
        <v>1.0</v>
      </c>
      <c r="I152" s="69">
        <v>0.0</v>
      </c>
      <c r="J152" s="69">
        <v>0.0</v>
      </c>
      <c r="K152" s="69">
        <v>0.0</v>
      </c>
      <c r="L152" s="69">
        <v>1.0</v>
      </c>
      <c r="M152" s="69">
        <v>0.0</v>
      </c>
      <c r="N152" s="69">
        <v>0.0</v>
      </c>
      <c r="O152" s="69">
        <v>0.0</v>
      </c>
      <c r="P152" s="69">
        <v>3.0</v>
      </c>
      <c r="Q152" s="69">
        <v>0.0</v>
      </c>
      <c r="R152" s="69">
        <v>0.0</v>
      </c>
      <c r="S152" s="69">
        <v>0.0</v>
      </c>
      <c r="T152" s="69">
        <v>0.0</v>
      </c>
      <c r="U152" s="69">
        <v>0.0</v>
      </c>
      <c r="V152" s="69">
        <v>5.0</v>
      </c>
      <c r="W152" s="69">
        <v>0.0</v>
      </c>
      <c r="X152" s="69">
        <v>0.0</v>
      </c>
      <c r="Y152" s="69">
        <v>0.0</v>
      </c>
      <c r="Z152" s="69">
        <v>0.0</v>
      </c>
      <c r="AA152" s="69">
        <v>1.0</v>
      </c>
      <c r="AB152" s="69">
        <v>0.0</v>
      </c>
      <c r="AC152" s="69">
        <v>0.0</v>
      </c>
      <c r="AD152" s="69">
        <v>0.0</v>
      </c>
      <c r="AE152" s="69">
        <v>1.0</v>
      </c>
      <c r="AF152" s="69">
        <v>0.0</v>
      </c>
      <c r="AG152" s="69">
        <v>0.0</v>
      </c>
      <c r="AH152" s="69">
        <v>0.0</v>
      </c>
      <c r="AI152" s="69">
        <v>0.0</v>
      </c>
      <c r="AJ152" s="69">
        <v>0.0</v>
      </c>
      <c r="AK152" s="13">
        <f t="shared" si="40"/>
        <v>14</v>
      </c>
      <c r="AL152" s="53"/>
      <c r="AM152" s="53"/>
    </row>
    <row r="153" ht="12.75" customHeight="1">
      <c r="A153" s="18"/>
      <c r="B153" s="49"/>
      <c r="C153" s="50" t="s">
        <v>131</v>
      </c>
      <c r="D153" s="51"/>
      <c r="E153" s="69">
        <v>1.0</v>
      </c>
      <c r="F153" s="69">
        <v>0.0</v>
      </c>
      <c r="G153" s="69">
        <v>0.0</v>
      </c>
      <c r="H153" s="69">
        <v>0.0</v>
      </c>
      <c r="I153" s="69">
        <v>0.0</v>
      </c>
      <c r="J153" s="69">
        <v>0.0</v>
      </c>
      <c r="K153" s="69">
        <v>0.0</v>
      </c>
      <c r="L153" s="69">
        <v>0.0</v>
      </c>
      <c r="M153" s="69">
        <v>0.0</v>
      </c>
      <c r="N153" s="69">
        <v>0.0</v>
      </c>
      <c r="O153" s="69">
        <v>1.0</v>
      </c>
      <c r="P153" s="69">
        <v>0.0</v>
      </c>
      <c r="Q153" s="69">
        <v>0.0</v>
      </c>
      <c r="R153" s="69">
        <v>0.0</v>
      </c>
      <c r="S153" s="69">
        <v>0.0</v>
      </c>
      <c r="T153" s="69">
        <v>0.0</v>
      </c>
      <c r="U153" s="69">
        <v>0.0</v>
      </c>
      <c r="V153" s="69">
        <v>0.0</v>
      </c>
      <c r="W153" s="69">
        <v>1.0</v>
      </c>
      <c r="X153" s="69">
        <v>0.0</v>
      </c>
      <c r="Y153" s="69">
        <v>1.0</v>
      </c>
      <c r="Z153" s="69">
        <v>0.0</v>
      </c>
      <c r="AA153" s="69">
        <v>0.0</v>
      </c>
      <c r="AB153" s="69">
        <v>0.0</v>
      </c>
      <c r="AC153" s="69">
        <v>0.0</v>
      </c>
      <c r="AD153" s="69">
        <v>0.0</v>
      </c>
      <c r="AE153" s="69">
        <v>0.0</v>
      </c>
      <c r="AF153" s="69">
        <v>0.0</v>
      </c>
      <c r="AG153" s="69">
        <v>0.0</v>
      </c>
      <c r="AH153" s="69">
        <v>0.0</v>
      </c>
      <c r="AI153" s="69">
        <v>0.0</v>
      </c>
      <c r="AJ153" s="69">
        <v>0.0</v>
      </c>
      <c r="AK153" s="13">
        <f t="shared" si="40"/>
        <v>4</v>
      </c>
      <c r="AL153" s="5"/>
      <c r="AM153" s="5"/>
    </row>
    <row r="154" ht="12.75" customHeight="1">
      <c r="A154" s="18"/>
      <c r="B154" s="49"/>
      <c r="C154" s="50" t="s">
        <v>132</v>
      </c>
      <c r="D154" s="51"/>
      <c r="E154" s="69">
        <v>0.0</v>
      </c>
      <c r="F154" s="69">
        <v>0.0</v>
      </c>
      <c r="G154" s="69">
        <v>0.0</v>
      </c>
      <c r="H154" s="69">
        <v>1.0</v>
      </c>
      <c r="I154" s="69">
        <v>0.0</v>
      </c>
      <c r="J154" s="69">
        <v>0.0</v>
      </c>
      <c r="K154" s="69">
        <v>0.0</v>
      </c>
      <c r="L154" s="69">
        <v>0.0</v>
      </c>
      <c r="M154" s="69">
        <v>0.0</v>
      </c>
      <c r="N154" s="69">
        <v>0.0</v>
      </c>
      <c r="O154" s="69">
        <v>0.0</v>
      </c>
      <c r="P154" s="69">
        <v>0.0</v>
      </c>
      <c r="Q154" s="69">
        <v>1.0</v>
      </c>
      <c r="R154" s="69">
        <v>0.0</v>
      </c>
      <c r="S154" s="69">
        <v>0.0</v>
      </c>
      <c r="T154" s="69">
        <v>0.0</v>
      </c>
      <c r="U154" s="69">
        <v>0.0</v>
      </c>
      <c r="V154" s="69">
        <v>0.0</v>
      </c>
      <c r="W154" s="69">
        <v>1.0</v>
      </c>
      <c r="X154" s="69">
        <v>0.0</v>
      </c>
      <c r="Y154" s="69">
        <v>0.0</v>
      </c>
      <c r="Z154" s="69">
        <v>0.0</v>
      </c>
      <c r="AA154" s="69">
        <v>0.0</v>
      </c>
      <c r="AB154" s="69">
        <v>0.0</v>
      </c>
      <c r="AC154" s="69">
        <v>0.0</v>
      </c>
      <c r="AD154" s="69">
        <v>0.0</v>
      </c>
      <c r="AE154" s="69">
        <v>0.0</v>
      </c>
      <c r="AF154" s="69">
        <v>0.0</v>
      </c>
      <c r="AG154" s="69">
        <v>0.0</v>
      </c>
      <c r="AH154" s="69">
        <v>1.0</v>
      </c>
      <c r="AI154" s="69">
        <v>0.0</v>
      </c>
      <c r="AJ154" s="69">
        <v>0.0</v>
      </c>
      <c r="AK154" s="13">
        <f t="shared" si="40"/>
        <v>4</v>
      </c>
      <c r="AL154" s="5"/>
      <c r="AM154" s="5"/>
    </row>
    <row r="155" ht="12.75" customHeight="1">
      <c r="A155" s="18"/>
      <c r="B155" s="49"/>
      <c r="C155" s="50" t="s">
        <v>133</v>
      </c>
      <c r="D155" s="51"/>
      <c r="E155" s="69">
        <v>17.0</v>
      </c>
      <c r="F155" s="69">
        <v>18.0</v>
      </c>
      <c r="G155" s="69">
        <v>12.0</v>
      </c>
      <c r="H155" s="69">
        <v>50.0</v>
      </c>
      <c r="I155" s="69">
        <v>65.0</v>
      </c>
      <c r="J155" s="69">
        <v>25.0</v>
      </c>
      <c r="K155" s="69">
        <v>9.0</v>
      </c>
      <c r="L155" s="69">
        <v>2.0</v>
      </c>
      <c r="M155" s="69">
        <v>28.0</v>
      </c>
      <c r="N155" s="69">
        <v>17.0</v>
      </c>
      <c r="O155" s="69">
        <v>44.0</v>
      </c>
      <c r="P155" s="69">
        <v>50.0</v>
      </c>
      <c r="Q155" s="69">
        <v>50.0</v>
      </c>
      <c r="R155" s="69">
        <v>4.0</v>
      </c>
      <c r="S155" s="69">
        <v>5.0</v>
      </c>
      <c r="T155" s="69">
        <v>10.0</v>
      </c>
      <c r="U155" s="69">
        <v>1.0</v>
      </c>
      <c r="V155" s="69">
        <v>1.0</v>
      </c>
      <c r="W155" s="69">
        <v>11.0</v>
      </c>
      <c r="X155" s="69">
        <v>11.0</v>
      </c>
      <c r="Y155" s="69">
        <v>18.0</v>
      </c>
      <c r="Z155" s="69">
        <v>12.0</v>
      </c>
      <c r="AA155" s="69">
        <v>33.0</v>
      </c>
      <c r="AB155" s="69">
        <v>10.0</v>
      </c>
      <c r="AC155" s="69">
        <v>1.0</v>
      </c>
      <c r="AD155" s="69">
        <v>3.0</v>
      </c>
      <c r="AE155" s="69">
        <v>3.0</v>
      </c>
      <c r="AF155" s="69">
        <v>9.0</v>
      </c>
      <c r="AG155" s="69">
        <v>111.0</v>
      </c>
      <c r="AH155" s="69">
        <v>124.0</v>
      </c>
      <c r="AI155" s="69">
        <v>90.0</v>
      </c>
      <c r="AJ155" s="69">
        <v>19.0</v>
      </c>
      <c r="AK155" s="13">
        <f t="shared" si="40"/>
        <v>863</v>
      </c>
      <c r="AL155" s="5"/>
      <c r="AM155" s="5"/>
    </row>
    <row r="156" ht="12.75" customHeight="1">
      <c r="A156" s="19" t="s">
        <v>15</v>
      </c>
      <c r="B156" s="47" t="s">
        <v>47</v>
      </c>
      <c r="C156" s="15"/>
      <c r="D156" s="16"/>
      <c r="E156" s="56">
        <f t="shared" ref="E156:AJ156" si="41">SUM(E148:E155)</f>
        <v>20</v>
      </c>
      <c r="F156" s="56">
        <f t="shared" si="41"/>
        <v>20</v>
      </c>
      <c r="G156" s="56">
        <f t="shared" si="41"/>
        <v>16</v>
      </c>
      <c r="H156" s="56">
        <f t="shared" si="41"/>
        <v>56</v>
      </c>
      <c r="I156" s="56">
        <f t="shared" si="41"/>
        <v>71</v>
      </c>
      <c r="J156" s="56">
        <f t="shared" si="41"/>
        <v>30</v>
      </c>
      <c r="K156" s="56">
        <f t="shared" si="41"/>
        <v>10</v>
      </c>
      <c r="L156" s="56">
        <f t="shared" si="41"/>
        <v>7</v>
      </c>
      <c r="M156" s="56">
        <f t="shared" si="41"/>
        <v>33</v>
      </c>
      <c r="N156" s="56">
        <f t="shared" si="41"/>
        <v>21</v>
      </c>
      <c r="O156" s="56">
        <f t="shared" si="41"/>
        <v>50</v>
      </c>
      <c r="P156" s="56">
        <f t="shared" si="41"/>
        <v>58</v>
      </c>
      <c r="Q156" s="56">
        <f t="shared" si="41"/>
        <v>54</v>
      </c>
      <c r="R156" s="56">
        <f t="shared" si="41"/>
        <v>7</v>
      </c>
      <c r="S156" s="56">
        <f t="shared" si="41"/>
        <v>8</v>
      </c>
      <c r="T156" s="56">
        <f t="shared" si="41"/>
        <v>11</v>
      </c>
      <c r="U156" s="56">
        <f t="shared" si="41"/>
        <v>3</v>
      </c>
      <c r="V156" s="56">
        <f t="shared" si="41"/>
        <v>9</v>
      </c>
      <c r="W156" s="56">
        <f t="shared" si="41"/>
        <v>16</v>
      </c>
      <c r="X156" s="56">
        <f t="shared" si="41"/>
        <v>12</v>
      </c>
      <c r="Y156" s="56">
        <f t="shared" si="41"/>
        <v>22</v>
      </c>
      <c r="Z156" s="56">
        <f t="shared" si="41"/>
        <v>13</v>
      </c>
      <c r="AA156" s="56">
        <f t="shared" si="41"/>
        <v>37</v>
      </c>
      <c r="AB156" s="56">
        <f t="shared" si="41"/>
        <v>13</v>
      </c>
      <c r="AC156" s="56">
        <f t="shared" si="41"/>
        <v>1</v>
      </c>
      <c r="AD156" s="56">
        <f t="shared" si="41"/>
        <v>3</v>
      </c>
      <c r="AE156" s="56">
        <f t="shared" si="41"/>
        <v>7</v>
      </c>
      <c r="AF156" s="56">
        <f t="shared" si="41"/>
        <v>9</v>
      </c>
      <c r="AG156" s="56">
        <f t="shared" si="41"/>
        <v>113</v>
      </c>
      <c r="AH156" s="56">
        <f t="shared" si="41"/>
        <v>130</v>
      </c>
      <c r="AI156" s="56">
        <f t="shared" si="41"/>
        <v>90</v>
      </c>
      <c r="AJ156" s="56">
        <f t="shared" si="41"/>
        <v>23</v>
      </c>
      <c r="AK156" s="13">
        <f t="shared" si="40"/>
        <v>973</v>
      </c>
      <c r="AL156" s="5"/>
      <c r="AM156" s="5"/>
    </row>
    <row r="157" ht="12.75" customHeight="1">
      <c r="A157" s="57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13"/>
      <c r="AL157" s="5"/>
      <c r="AM157" s="5"/>
    </row>
    <row r="158" ht="12.75" customHeight="1">
      <c r="A158" s="30" t="s">
        <v>37</v>
      </c>
      <c r="B158" s="47" t="s">
        <v>134</v>
      </c>
      <c r="C158" s="48" t="s">
        <v>135</v>
      </c>
      <c r="D158" s="16"/>
      <c r="E158" s="69">
        <v>2.0</v>
      </c>
      <c r="F158" s="69">
        <v>1.0</v>
      </c>
      <c r="G158" s="69">
        <v>1.0</v>
      </c>
      <c r="H158" s="69">
        <v>1.0</v>
      </c>
      <c r="I158" s="69">
        <v>1.0</v>
      </c>
      <c r="J158" s="69">
        <v>0.0</v>
      </c>
      <c r="K158" s="69">
        <v>1.0</v>
      </c>
      <c r="L158" s="69">
        <v>0.0</v>
      </c>
      <c r="M158" s="69">
        <v>2.0</v>
      </c>
      <c r="N158" s="69">
        <v>0.0</v>
      </c>
      <c r="O158" s="69">
        <v>1.0</v>
      </c>
      <c r="P158" s="69">
        <v>2.0</v>
      </c>
      <c r="Q158" s="69">
        <v>0.0</v>
      </c>
      <c r="R158" s="69">
        <v>0.0</v>
      </c>
      <c r="S158" s="69">
        <v>0.0</v>
      </c>
      <c r="T158" s="69">
        <v>0.0</v>
      </c>
      <c r="U158" s="69">
        <v>0.0</v>
      </c>
      <c r="V158" s="69">
        <v>0.0</v>
      </c>
      <c r="W158" s="69">
        <v>1.0</v>
      </c>
      <c r="X158" s="69">
        <v>1.0</v>
      </c>
      <c r="Y158" s="69">
        <v>0.0</v>
      </c>
      <c r="Z158" s="69">
        <v>0.0</v>
      </c>
      <c r="AA158" s="69">
        <v>0.0</v>
      </c>
      <c r="AB158" s="69">
        <v>0.0</v>
      </c>
      <c r="AC158" s="69">
        <v>1.0</v>
      </c>
      <c r="AD158" s="69">
        <v>2.0</v>
      </c>
      <c r="AE158" s="69">
        <v>0.0</v>
      </c>
      <c r="AF158" s="69">
        <v>1.0</v>
      </c>
      <c r="AG158" s="69">
        <v>0.0</v>
      </c>
      <c r="AH158" s="69">
        <v>0.0</v>
      </c>
      <c r="AI158" s="69">
        <v>0.0</v>
      </c>
      <c r="AJ158" s="69">
        <v>0.0</v>
      </c>
      <c r="AK158" s="13">
        <f t="shared" ref="AK158:AK161" si="42">SUM(E158:AJ158)</f>
        <v>18</v>
      </c>
      <c r="AL158" s="5"/>
      <c r="AM158" s="5"/>
    </row>
    <row r="159" ht="12.75" customHeight="1">
      <c r="A159" s="30" t="s">
        <v>39</v>
      </c>
      <c r="B159" s="49"/>
      <c r="C159" s="50" t="s">
        <v>136</v>
      </c>
      <c r="D159" s="51"/>
      <c r="E159" s="69">
        <v>0.0</v>
      </c>
      <c r="F159" s="69">
        <v>3.0</v>
      </c>
      <c r="G159" s="69">
        <v>1.0</v>
      </c>
      <c r="H159" s="69">
        <v>0.0</v>
      </c>
      <c r="I159" s="69">
        <v>1.0</v>
      </c>
      <c r="J159" s="69">
        <v>1.0</v>
      </c>
      <c r="K159" s="69">
        <v>2.0</v>
      </c>
      <c r="L159" s="69">
        <v>1.0</v>
      </c>
      <c r="M159" s="69">
        <v>0.0</v>
      </c>
      <c r="N159" s="69">
        <v>1.0</v>
      </c>
      <c r="O159" s="69">
        <v>1.0</v>
      </c>
      <c r="P159" s="69">
        <v>1.0</v>
      </c>
      <c r="Q159" s="69">
        <v>1.0</v>
      </c>
      <c r="R159" s="69">
        <v>1.0</v>
      </c>
      <c r="S159" s="69">
        <v>1.0</v>
      </c>
      <c r="T159" s="69">
        <v>1.0</v>
      </c>
      <c r="U159" s="69">
        <v>0.0</v>
      </c>
      <c r="V159" s="69">
        <v>1.0</v>
      </c>
      <c r="W159" s="69">
        <v>0.0</v>
      </c>
      <c r="X159" s="69">
        <v>2.0</v>
      </c>
      <c r="Y159" s="69">
        <v>1.0</v>
      </c>
      <c r="Z159" s="69">
        <v>1.0</v>
      </c>
      <c r="AA159" s="69">
        <v>2.0</v>
      </c>
      <c r="AB159" s="69">
        <v>1.0</v>
      </c>
      <c r="AC159" s="69">
        <v>0.0</v>
      </c>
      <c r="AD159" s="69">
        <v>0.0</v>
      </c>
      <c r="AE159" s="69">
        <v>0.0</v>
      </c>
      <c r="AF159" s="69">
        <v>0.0</v>
      </c>
      <c r="AG159" s="69">
        <v>1.0</v>
      </c>
      <c r="AH159" s="69">
        <v>0.0</v>
      </c>
      <c r="AI159" s="69">
        <v>0.0</v>
      </c>
      <c r="AJ159" s="69">
        <v>1.0</v>
      </c>
      <c r="AK159" s="13">
        <f t="shared" si="42"/>
        <v>26</v>
      </c>
      <c r="AL159" s="5"/>
      <c r="AM159" s="5"/>
    </row>
    <row r="160" ht="12.75" customHeight="1">
      <c r="A160" s="30"/>
      <c r="B160" s="49"/>
      <c r="C160" s="50" t="s">
        <v>137</v>
      </c>
      <c r="D160" s="51"/>
      <c r="E160" s="69">
        <v>0.0</v>
      </c>
      <c r="F160" s="69">
        <v>0.0</v>
      </c>
      <c r="G160" s="69">
        <v>0.0</v>
      </c>
      <c r="H160" s="69">
        <v>2.0</v>
      </c>
      <c r="I160" s="69">
        <v>0.0</v>
      </c>
      <c r="J160" s="69">
        <v>2.0</v>
      </c>
      <c r="K160" s="69">
        <v>1.0</v>
      </c>
      <c r="L160" s="69">
        <v>0.0</v>
      </c>
      <c r="M160" s="69">
        <v>1.0</v>
      </c>
      <c r="N160" s="69">
        <v>0.0</v>
      </c>
      <c r="O160" s="69">
        <v>0.0</v>
      </c>
      <c r="P160" s="69">
        <v>1.0</v>
      </c>
      <c r="Q160" s="69">
        <v>0.0</v>
      </c>
      <c r="R160" s="69">
        <v>1.0</v>
      </c>
      <c r="S160" s="69">
        <v>0.0</v>
      </c>
      <c r="T160" s="69">
        <v>1.0</v>
      </c>
      <c r="U160" s="69">
        <v>1.0</v>
      </c>
      <c r="V160" s="69">
        <v>0.0</v>
      </c>
      <c r="W160" s="69">
        <v>0.0</v>
      </c>
      <c r="X160" s="69">
        <v>0.0</v>
      </c>
      <c r="Y160" s="69">
        <v>0.0</v>
      </c>
      <c r="Z160" s="69">
        <v>0.0</v>
      </c>
      <c r="AA160" s="69">
        <v>1.0</v>
      </c>
      <c r="AB160" s="69">
        <v>1.0</v>
      </c>
      <c r="AC160" s="69">
        <v>0.0</v>
      </c>
      <c r="AD160" s="69">
        <v>0.0</v>
      </c>
      <c r="AE160" s="69">
        <v>0.0</v>
      </c>
      <c r="AF160" s="69">
        <v>0.0</v>
      </c>
      <c r="AG160" s="69">
        <v>0.0</v>
      </c>
      <c r="AH160" s="69">
        <v>0.0</v>
      </c>
      <c r="AI160" s="69">
        <v>0.0</v>
      </c>
      <c r="AJ160" s="69">
        <v>0.0</v>
      </c>
      <c r="AK160" s="13">
        <f t="shared" si="42"/>
        <v>12</v>
      </c>
      <c r="AL160" s="5"/>
      <c r="AM160" s="5"/>
    </row>
    <row r="161" ht="12.75" customHeight="1">
      <c r="A161" s="19" t="s">
        <v>15</v>
      </c>
      <c r="B161" s="47" t="s">
        <v>47</v>
      </c>
      <c r="C161" s="15"/>
      <c r="D161" s="16"/>
      <c r="E161" s="56">
        <f t="shared" ref="E161:AJ161" si="43">SUM(E158:E160)</f>
        <v>2</v>
      </c>
      <c r="F161" s="56">
        <f t="shared" si="43"/>
        <v>4</v>
      </c>
      <c r="G161" s="56">
        <f t="shared" si="43"/>
        <v>2</v>
      </c>
      <c r="H161" s="56">
        <f t="shared" si="43"/>
        <v>3</v>
      </c>
      <c r="I161" s="56">
        <f t="shared" si="43"/>
        <v>2</v>
      </c>
      <c r="J161" s="56">
        <f t="shared" si="43"/>
        <v>3</v>
      </c>
      <c r="K161" s="56">
        <f t="shared" si="43"/>
        <v>4</v>
      </c>
      <c r="L161" s="56">
        <f t="shared" si="43"/>
        <v>1</v>
      </c>
      <c r="M161" s="56">
        <f t="shared" si="43"/>
        <v>3</v>
      </c>
      <c r="N161" s="56">
        <f t="shared" si="43"/>
        <v>1</v>
      </c>
      <c r="O161" s="56">
        <f t="shared" si="43"/>
        <v>2</v>
      </c>
      <c r="P161" s="56">
        <f t="shared" si="43"/>
        <v>4</v>
      </c>
      <c r="Q161" s="56">
        <f t="shared" si="43"/>
        <v>1</v>
      </c>
      <c r="R161" s="56">
        <f t="shared" si="43"/>
        <v>2</v>
      </c>
      <c r="S161" s="56">
        <f t="shared" si="43"/>
        <v>1</v>
      </c>
      <c r="T161" s="56">
        <f t="shared" si="43"/>
        <v>2</v>
      </c>
      <c r="U161" s="56">
        <f t="shared" si="43"/>
        <v>1</v>
      </c>
      <c r="V161" s="56">
        <f t="shared" si="43"/>
        <v>1</v>
      </c>
      <c r="W161" s="56">
        <f t="shared" si="43"/>
        <v>1</v>
      </c>
      <c r="X161" s="56">
        <f t="shared" si="43"/>
        <v>3</v>
      </c>
      <c r="Y161" s="56">
        <f t="shared" si="43"/>
        <v>1</v>
      </c>
      <c r="Z161" s="56">
        <f t="shared" si="43"/>
        <v>1</v>
      </c>
      <c r="AA161" s="56">
        <f t="shared" si="43"/>
        <v>3</v>
      </c>
      <c r="AB161" s="56">
        <f t="shared" si="43"/>
        <v>2</v>
      </c>
      <c r="AC161" s="56">
        <f t="shared" si="43"/>
        <v>1</v>
      </c>
      <c r="AD161" s="56">
        <f t="shared" si="43"/>
        <v>2</v>
      </c>
      <c r="AE161" s="56">
        <f t="shared" si="43"/>
        <v>0</v>
      </c>
      <c r="AF161" s="56">
        <f t="shared" si="43"/>
        <v>1</v>
      </c>
      <c r="AG161" s="56">
        <f t="shared" si="43"/>
        <v>1</v>
      </c>
      <c r="AH161" s="56">
        <f t="shared" si="43"/>
        <v>0</v>
      </c>
      <c r="AI161" s="56">
        <f t="shared" si="43"/>
        <v>0</v>
      </c>
      <c r="AJ161" s="56">
        <f t="shared" si="43"/>
        <v>1</v>
      </c>
      <c r="AK161" s="13">
        <f t="shared" si="42"/>
        <v>56</v>
      </c>
      <c r="AL161" s="5"/>
      <c r="AM161" s="5"/>
    </row>
    <row r="162" ht="12.75" customHeight="1">
      <c r="A162" s="57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13"/>
      <c r="AL162" s="5"/>
      <c r="AM162" s="5"/>
    </row>
    <row r="163" ht="15.0" customHeight="1">
      <c r="A163" s="30" t="s">
        <v>37</v>
      </c>
      <c r="B163" s="47" t="s">
        <v>138</v>
      </c>
      <c r="C163" s="48" t="s">
        <v>139</v>
      </c>
      <c r="D163" s="16"/>
      <c r="E163" s="69">
        <v>0.0</v>
      </c>
      <c r="F163" s="69">
        <v>0.0</v>
      </c>
      <c r="G163" s="69">
        <v>0.0</v>
      </c>
      <c r="H163" s="69">
        <v>0.0</v>
      </c>
      <c r="I163" s="69">
        <v>0.0</v>
      </c>
      <c r="J163" s="69">
        <v>0.0</v>
      </c>
      <c r="K163" s="69">
        <v>0.0</v>
      </c>
      <c r="L163" s="69">
        <v>0.0</v>
      </c>
      <c r="M163" s="69">
        <v>0.0</v>
      </c>
      <c r="N163" s="69">
        <v>0.0</v>
      </c>
      <c r="O163" s="69">
        <v>0.0</v>
      </c>
      <c r="P163" s="69">
        <v>1.0</v>
      </c>
      <c r="Q163" s="69">
        <v>0.0</v>
      </c>
      <c r="R163" s="69">
        <v>0.0</v>
      </c>
      <c r="S163" s="69">
        <v>0.0</v>
      </c>
      <c r="T163" s="69">
        <v>0.0</v>
      </c>
      <c r="U163" s="69">
        <v>0.0</v>
      </c>
      <c r="V163" s="69">
        <v>0.0</v>
      </c>
      <c r="W163" s="69">
        <v>0.0</v>
      </c>
      <c r="X163" s="69">
        <v>0.0</v>
      </c>
      <c r="Y163" s="69">
        <v>0.0</v>
      </c>
      <c r="Z163" s="69">
        <v>0.0</v>
      </c>
      <c r="AA163" s="69">
        <v>1.0</v>
      </c>
      <c r="AB163" s="69">
        <v>1.0</v>
      </c>
      <c r="AC163" s="69">
        <v>0.0</v>
      </c>
      <c r="AD163" s="69">
        <v>0.0</v>
      </c>
      <c r="AE163" s="69">
        <v>0.0</v>
      </c>
      <c r="AF163" s="69">
        <v>0.0</v>
      </c>
      <c r="AG163" s="69">
        <v>0.0</v>
      </c>
      <c r="AH163" s="69">
        <v>0.0</v>
      </c>
      <c r="AI163" s="69">
        <v>0.0</v>
      </c>
      <c r="AJ163" s="69">
        <v>0.0</v>
      </c>
      <c r="AK163" s="13">
        <f t="shared" ref="AK163:AK165" si="44">SUM(E163:AJ163)</f>
        <v>3</v>
      </c>
      <c r="AL163" s="5"/>
      <c r="AM163" s="5"/>
    </row>
    <row r="164" ht="12.75" customHeight="1">
      <c r="A164" s="30" t="s">
        <v>39</v>
      </c>
      <c r="B164" s="47"/>
      <c r="C164" s="50" t="s">
        <v>140</v>
      </c>
      <c r="D164" s="62"/>
      <c r="E164" s="69">
        <v>0.0</v>
      </c>
      <c r="F164" s="69">
        <v>0.0</v>
      </c>
      <c r="G164" s="69">
        <v>0.0</v>
      </c>
      <c r="H164" s="69">
        <v>2.0</v>
      </c>
      <c r="I164" s="69">
        <v>0.0</v>
      </c>
      <c r="J164" s="69">
        <v>1.0</v>
      </c>
      <c r="K164" s="69">
        <v>0.0</v>
      </c>
      <c r="L164" s="69">
        <v>0.0</v>
      </c>
      <c r="M164" s="69">
        <v>0.0</v>
      </c>
      <c r="N164" s="69">
        <v>1.0</v>
      </c>
      <c r="O164" s="69">
        <v>0.0</v>
      </c>
      <c r="P164" s="69">
        <v>0.0</v>
      </c>
      <c r="Q164" s="69">
        <v>0.0</v>
      </c>
      <c r="R164" s="69">
        <v>0.0</v>
      </c>
      <c r="S164" s="69">
        <v>0.0</v>
      </c>
      <c r="T164" s="69">
        <v>0.0</v>
      </c>
      <c r="U164" s="69">
        <v>1.0</v>
      </c>
      <c r="V164" s="69">
        <v>0.0</v>
      </c>
      <c r="W164" s="69">
        <v>0.0</v>
      </c>
      <c r="X164" s="69">
        <v>1.0</v>
      </c>
      <c r="Y164" s="69">
        <v>0.0</v>
      </c>
      <c r="Z164" s="69">
        <v>0.0</v>
      </c>
      <c r="AA164" s="69">
        <v>1.0</v>
      </c>
      <c r="AB164" s="69">
        <v>1.0</v>
      </c>
      <c r="AC164" s="69">
        <v>0.0</v>
      </c>
      <c r="AD164" s="69">
        <v>0.0</v>
      </c>
      <c r="AE164" s="69">
        <v>1.0</v>
      </c>
      <c r="AF164" s="69">
        <v>0.0</v>
      </c>
      <c r="AG164" s="69">
        <v>0.0</v>
      </c>
      <c r="AH164" s="69">
        <v>0.0</v>
      </c>
      <c r="AI164" s="69">
        <v>0.0</v>
      </c>
      <c r="AJ164" s="69">
        <v>0.0</v>
      </c>
      <c r="AK164" s="13">
        <f t="shared" si="44"/>
        <v>9</v>
      </c>
      <c r="AL164" s="5"/>
      <c r="AM164" s="5"/>
    </row>
    <row r="165" ht="12.75" customHeight="1">
      <c r="A165" s="19" t="s">
        <v>15</v>
      </c>
      <c r="B165" s="47" t="s">
        <v>47</v>
      </c>
      <c r="C165" s="15"/>
      <c r="D165" s="16"/>
      <c r="E165" s="56">
        <f t="shared" ref="E165:AJ165" si="45">SUM(E163:E164)</f>
        <v>0</v>
      </c>
      <c r="F165" s="56">
        <f t="shared" si="45"/>
        <v>0</v>
      </c>
      <c r="G165" s="56">
        <f t="shared" si="45"/>
        <v>0</v>
      </c>
      <c r="H165" s="56">
        <f t="shared" si="45"/>
        <v>2</v>
      </c>
      <c r="I165" s="56">
        <f t="shared" si="45"/>
        <v>0</v>
      </c>
      <c r="J165" s="56">
        <f t="shared" si="45"/>
        <v>1</v>
      </c>
      <c r="K165" s="56">
        <f t="shared" si="45"/>
        <v>0</v>
      </c>
      <c r="L165" s="56">
        <f t="shared" si="45"/>
        <v>0</v>
      </c>
      <c r="M165" s="56">
        <f t="shared" si="45"/>
        <v>0</v>
      </c>
      <c r="N165" s="56">
        <f t="shared" si="45"/>
        <v>1</v>
      </c>
      <c r="O165" s="56">
        <f t="shared" si="45"/>
        <v>0</v>
      </c>
      <c r="P165" s="56">
        <f t="shared" si="45"/>
        <v>1</v>
      </c>
      <c r="Q165" s="56">
        <f t="shared" si="45"/>
        <v>0</v>
      </c>
      <c r="R165" s="56">
        <f t="shared" si="45"/>
        <v>0</v>
      </c>
      <c r="S165" s="56">
        <f t="shared" si="45"/>
        <v>0</v>
      </c>
      <c r="T165" s="56">
        <f t="shared" si="45"/>
        <v>0</v>
      </c>
      <c r="U165" s="56">
        <f t="shared" si="45"/>
        <v>1</v>
      </c>
      <c r="V165" s="56">
        <f t="shared" si="45"/>
        <v>0</v>
      </c>
      <c r="W165" s="56">
        <f t="shared" si="45"/>
        <v>0</v>
      </c>
      <c r="X165" s="56">
        <f t="shared" si="45"/>
        <v>1</v>
      </c>
      <c r="Y165" s="56">
        <f t="shared" si="45"/>
        <v>0</v>
      </c>
      <c r="Z165" s="56">
        <f t="shared" si="45"/>
        <v>0</v>
      </c>
      <c r="AA165" s="56">
        <f t="shared" si="45"/>
        <v>2</v>
      </c>
      <c r="AB165" s="56">
        <f t="shared" si="45"/>
        <v>2</v>
      </c>
      <c r="AC165" s="56">
        <f t="shared" si="45"/>
        <v>0</v>
      </c>
      <c r="AD165" s="56">
        <f t="shared" si="45"/>
        <v>0</v>
      </c>
      <c r="AE165" s="56">
        <f t="shared" si="45"/>
        <v>1</v>
      </c>
      <c r="AF165" s="56">
        <f t="shared" si="45"/>
        <v>0</v>
      </c>
      <c r="AG165" s="56">
        <f t="shared" si="45"/>
        <v>0</v>
      </c>
      <c r="AH165" s="56">
        <f t="shared" si="45"/>
        <v>0</v>
      </c>
      <c r="AI165" s="56">
        <f t="shared" si="45"/>
        <v>0</v>
      </c>
      <c r="AJ165" s="56">
        <f t="shared" si="45"/>
        <v>0</v>
      </c>
      <c r="AK165" s="13">
        <f t="shared" si="44"/>
        <v>12</v>
      </c>
      <c r="AL165" s="1"/>
      <c r="AM165" s="1"/>
    </row>
    <row r="166" ht="12.75" customHeight="1">
      <c r="A166" s="57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13"/>
      <c r="AL166" s="53"/>
      <c r="AM166" s="53"/>
    </row>
    <row r="167" ht="12.75" customHeight="1">
      <c r="A167" s="30" t="s">
        <v>37</v>
      </c>
      <c r="B167" s="47" t="s">
        <v>141</v>
      </c>
      <c r="C167" s="48" t="s">
        <v>142</v>
      </c>
      <c r="D167" s="16"/>
      <c r="E167" s="69">
        <v>0.0</v>
      </c>
      <c r="F167" s="69">
        <v>0.0</v>
      </c>
      <c r="G167" s="69">
        <v>0.0</v>
      </c>
      <c r="H167" s="69">
        <v>1.0</v>
      </c>
      <c r="I167" s="69">
        <v>0.0</v>
      </c>
      <c r="J167" s="69">
        <v>0.0</v>
      </c>
      <c r="K167" s="69">
        <v>1.0</v>
      </c>
      <c r="L167" s="69">
        <v>0.0</v>
      </c>
      <c r="M167" s="69">
        <v>0.0</v>
      </c>
      <c r="N167" s="69">
        <v>0.0</v>
      </c>
      <c r="O167" s="69">
        <v>0.0</v>
      </c>
      <c r="P167" s="69">
        <v>0.0</v>
      </c>
      <c r="Q167" s="69">
        <v>1.0</v>
      </c>
      <c r="R167" s="69">
        <v>0.0</v>
      </c>
      <c r="S167" s="69">
        <v>1.0</v>
      </c>
      <c r="T167" s="69">
        <v>0.0</v>
      </c>
      <c r="U167" s="69">
        <v>0.0</v>
      </c>
      <c r="V167" s="69">
        <v>0.0</v>
      </c>
      <c r="W167" s="69">
        <v>0.0</v>
      </c>
      <c r="X167" s="69">
        <v>0.0</v>
      </c>
      <c r="Y167" s="69">
        <v>0.0</v>
      </c>
      <c r="Z167" s="69">
        <v>0.0</v>
      </c>
      <c r="AA167" s="69">
        <v>1.0</v>
      </c>
      <c r="AB167" s="69">
        <v>0.0</v>
      </c>
      <c r="AC167" s="69">
        <v>0.0</v>
      </c>
      <c r="AD167" s="69">
        <v>0.0</v>
      </c>
      <c r="AE167" s="69">
        <v>0.0</v>
      </c>
      <c r="AF167" s="69">
        <v>0.0</v>
      </c>
      <c r="AG167" s="69">
        <v>0.0</v>
      </c>
      <c r="AH167" s="69">
        <v>2.0</v>
      </c>
      <c r="AI167" s="69">
        <v>0.0</v>
      </c>
      <c r="AJ167" s="69">
        <v>0.0</v>
      </c>
      <c r="AK167" s="13">
        <f t="shared" ref="AK167:AK175" si="46">SUM(E167:AJ167)</f>
        <v>7</v>
      </c>
      <c r="AL167" s="5"/>
      <c r="AM167" s="5"/>
    </row>
    <row r="168" ht="12.75" customHeight="1">
      <c r="A168" s="30" t="s">
        <v>39</v>
      </c>
      <c r="B168" s="49"/>
      <c r="C168" s="50" t="s">
        <v>143</v>
      </c>
      <c r="D168" s="51"/>
      <c r="E168" s="69">
        <v>0.0</v>
      </c>
      <c r="F168" s="69">
        <v>0.0</v>
      </c>
      <c r="G168" s="69">
        <v>0.0</v>
      </c>
      <c r="H168" s="69">
        <v>0.0</v>
      </c>
      <c r="I168" s="69">
        <v>2.0</v>
      </c>
      <c r="J168" s="69">
        <v>0.0</v>
      </c>
      <c r="K168" s="69">
        <v>0.0</v>
      </c>
      <c r="L168" s="69">
        <v>0.0</v>
      </c>
      <c r="M168" s="69">
        <v>0.0</v>
      </c>
      <c r="N168" s="69">
        <v>0.0</v>
      </c>
      <c r="O168" s="69">
        <v>1.0</v>
      </c>
      <c r="P168" s="69">
        <v>0.0</v>
      </c>
      <c r="Q168" s="69">
        <v>0.0</v>
      </c>
      <c r="R168" s="69">
        <v>0.0</v>
      </c>
      <c r="S168" s="69">
        <v>1.0</v>
      </c>
      <c r="T168" s="69">
        <v>0.0</v>
      </c>
      <c r="U168" s="69">
        <v>0.0</v>
      </c>
      <c r="V168" s="69">
        <v>4.0</v>
      </c>
      <c r="W168" s="69">
        <v>1.0</v>
      </c>
      <c r="X168" s="69">
        <v>1.0</v>
      </c>
      <c r="Y168" s="69">
        <v>0.0</v>
      </c>
      <c r="Z168" s="69">
        <v>0.0</v>
      </c>
      <c r="AA168" s="69">
        <v>0.0</v>
      </c>
      <c r="AB168" s="69">
        <v>0.0</v>
      </c>
      <c r="AC168" s="69">
        <v>0.0</v>
      </c>
      <c r="AD168" s="69">
        <v>0.0</v>
      </c>
      <c r="AE168" s="69">
        <v>0.0</v>
      </c>
      <c r="AF168" s="69">
        <v>0.0</v>
      </c>
      <c r="AG168" s="69">
        <v>0.0</v>
      </c>
      <c r="AH168" s="69">
        <v>0.0</v>
      </c>
      <c r="AI168" s="69">
        <v>0.0</v>
      </c>
      <c r="AJ168" s="69">
        <v>0.0</v>
      </c>
      <c r="AK168" s="13">
        <f t="shared" si="46"/>
        <v>10</v>
      </c>
      <c r="AL168" s="5"/>
      <c r="AM168" s="5"/>
    </row>
    <row r="169" ht="12.75" customHeight="1">
      <c r="A169" s="18"/>
      <c r="B169" s="49"/>
      <c r="C169" s="50" t="s">
        <v>144</v>
      </c>
      <c r="D169" s="51"/>
      <c r="E169" s="69">
        <v>0.0</v>
      </c>
      <c r="F169" s="69">
        <v>0.0</v>
      </c>
      <c r="G169" s="69">
        <v>1.0</v>
      </c>
      <c r="H169" s="69">
        <v>0.0</v>
      </c>
      <c r="I169" s="69">
        <v>0.0</v>
      </c>
      <c r="J169" s="69">
        <v>0.0</v>
      </c>
      <c r="K169" s="69">
        <v>0.0</v>
      </c>
      <c r="L169" s="69">
        <v>0.0</v>
      </c>
      <c r="M169" s="69">
        <v>0.0</v>
      </c>
      <c r="N169" s="69">
        <v>0.0</v>
      </c>
      <c r="O169" s="69">
        <v>0.0</v>
      </c>
      <c r="P169" s="69">
        <v>0.0</v>
      </c>
      <c r="Q169" s="69">
        <v>0.0</v>
      </c>
      <c r="R169" s="69">
        <v>0.0</v>
      </c>
      <c r="S169" s="69">
        <v>1.0</v>
      </c>
      <c r="T169" s="69">
        <v>0.0</v>
      </c>
      <c r="U169" s="69">
        <v>0.0</v>
      </c>
      <c r="V169" s="69">
        <v>0.0</v>
      </c>
      <c r="W169" s="69">
        <v>0.0</v>
      </c>
      <c r="X169" s="69">
        <v>0.0</v>
      </c>
      <c r="Y169" s="69">
        <v>0.0</v>
      </c>
      <c r="Z169" s="69">
        <v>1.0</v>
      </c>
      <c r="AA169" s="69">
        <v>1.0</v>
      </c>
      <c r="AB169" s="69">
        <v>0.0</v>
      </c>
      <c r="AC169" s="69">
        <v>0.0</v>
      </c>
      <c r="AD169" s="69">
        <v>0.0</v>
      </c>
      <c r="AE169" s="69">
        <v>0.0</v>
      </c>
      <c r="AF169" s="69">
        <v>0.0</v>
      </c>
      <c r="AG169" s="69">
        <v>0.0</v>
      </c>
      <c r="AH169" s="69">
        <v>0.0</v>
      </c>
      <c r="AI169" s="69">
        <v>0.0</v>
      </c>
      <c r="AJ169" s="69">
        <v>0.0</v>
      </c>
      <c r="AK169" s="13">
        <f t="shared" si="46"/>
        <v>4</v>
      </c>
      <c r="AL169" s="5"/>
      <c r="AM169" s="5"/>
    </row>
    <row r="170" ht="12.75" customHeight="1">
      <c r="A170" s="18"/>
      <c r="B170" s="49"/>
      <c r="C170" s="50" t="s">
        <v>145</v>
      </c>
      <c r="D170" s="51"/>
      <c r="E170" s="69">
        <v>0.0</v>
      </c>
      <c r="F170" s="69">
        <v>0.0</v>
      </c>
      <c r="G170" s="69">
        <v>1.0</v>
      </c>
      <c r="H170" s="69">
        <v>0.0</v>
      </c>
      <c r="I170" s="69">
        <v>0.0</v>
      </c>
      <c r="J170" s="69">
        <v>0.0</v>
      </c>
      <c r="K170" s="69">
        <v>0.0</v>
      </c>
      <c r="L170" s="69">
        <v>0.0</v>
      </c>
      <c r="M170" s="69">
        <v>0.0</v>
      </c>
      <c r="N170" s="69">
        <v>0.0</v>
      </c>
      <c r="O170" s="69">
        <v>0.0</v>
      </c>
      <c r="P170" s="69">
        <v>0.0</v>
      </c>
      <c r="Q170" s="69">
        <v>0.0</v>
      </c>
      <c r="R170" s="69">
        <v>0.0</v>
      </c>
      <c r="S170" s="69">
        <v>0.0</v>
      </c>
      <c r="T170" s="69">
        <v>0.0</v>
      </c>
      <c r="U170" s="69">
        <v>0.0</v>
      </c>
      <c r="V170" s="69">
        <v>0.0</v>
      </c>
      <c r="W170" s="69">
        <v>0.0</v>
      </c>
      <c r="X170" s="69">
        <v>0.0</v>
      </c>
      <c r="Y170" s="69">
        <v>0.0</v>
      </c>
      <c r="Z170" s="69">
        <v>0.0</v>
      </c>
      <c r="AA170" s="69">
        <v>1.0</v>
      </c>
      <c r="AB170" s="69">
        <v>0.0</v>
      </c>
      <c r="AC170" s="69">
        <v>0.0</v>
      </c>
      <c r="AD170" s="69">
        <v>0.0</v>
      </c>
      <c r="AE170" s="69">
        <v>1.0</v>
      </c>
      <c r="AF170" s="69">
        <v>0.0</v>
      </c>
      <c r="AG170" s="69">
        <v>0.0</v>
      </c>
      <c r="AH170" s="69">
        <v>0.0</v>
      </c>
      <c r="AI170" s="69">
        <v>1.0</v>
      </c>
      <c r="AJ170" s="69">
        <v>0.0</v>
      </c>
      <c r="AK170" s="13">
        <f t="shared" si="46"/>
        <v>4</v>
      </c>
      <c r="AL170" s="5"/>
      <c r="AM170" s="5"/>
    </row>
    <row r="171" ht="12.75" customHeight="1">
      <c r="A171" s="18"/>
      <c r="B171" s="49"/>
      <c r="C171" s="50" t="s">
        <v>146</v>
      </c>
      <c r="D171" s="51"/>
      <c r="E171" s="69">
        <v>0.0</v>
      </c>
      <c r="F171" s="69">
        <v>0.0</v>
      </c>
      <c r="G171" s="69">
        <v>0.0</v>
      </c>
      <c r="H171" s="69">
        <v>0.0</v>
      </c>
      <c r="I171" s="69">
        <v>0.0</v>
      </c>
      <c r="J171" s="69">
        <v>0.0</v>
      </c>
      <c r="K171" s="69">
        <v>0.0</v>
      </c>
      <c r="L171" s="69">
        <v>0.0</v>
      </c>
      <c r="M171" s="69">
        <v>0.0</v>
      </c>
      <c r="N171" s="69">
        <v>0.0</v>
      </c>
      <c r="O171" s="69">
        <v>0.0</v>
      </c>
      <c r="P171" s="69">
        <v>0.0</v>
      </c>
      <c r="Q171" s="69">
        <v>0.0</v>
      </c>
      <c r="R171" s="69">
        <v>0.0</v>
      </c>
      <c r="S171" s="69">
        <v>0.0</v>
      </c>
      <c r="T171" s="69">
        <v>0.0</v>
      </c>
      <c r="U171" s="69">
        <v>0.0</v>
      </c>
      <c r="V171" s="69">
        <v>1.0</v>
      </c>
      <c r="W171" s="69">
        <v>1.0</v>
      </c>
      <c r="X171" s="69">
        <v>0.0</v>
      </c>
      <c r="Y171" s="69">
        <v>0.0</v>
      </c>
      <c r="Z171" s="69">
        <v>0.0</v>
      </c>
      <c r="AA171" s="69">
        <v>0.0</v>
      </c>
      <c r="AB171" s="69">
        <v>0.0</v>
      </c>
      <c r="AC171" s="69">
        <v>0.0</v>
      </c>
      <c r="AD171" s="69">
        <v>0.0</v>
      </c>
      <c r="AE171" s="69">
        <v>0.0</v>
      </c>
      <c r="AF171" s="69">
        <v>0.0</v>
      </c>
      <c r="AG171" s="69">
        <v>0.0</v>
      </c>
      <c r="AH171" s="69">
        <v>0.0</v>
      </c>
      <c r="AI171" s="69">
        <v>0.0</v>
      </c>
      <c r="AJ171" s="69">
        <v>0.0</v>
      </c>
      <c r="AK171" s="13">
        <f t="shared" si="46"/>
        <v>2</v>
      </c>
      <c r="AL171" s="5"/>
      <c r="AM171" s="5"/>
    </row>
    <row r="172" ht="12.75" customHeight="1">
      <c r="A172" s="18"/>
      <c r="B172" s="49"/>
      <c r="C172" s="50" t="s">
        <v>147</v>
      </c>
      <c r="D172" s="51"/>
      <c r="E172" s="69">
        <v>0.0</v>
      </c>
      <c r="F172" s="69">
        <v>0.0</v>
      </c>
      <c r="G172" s="69">
        <v>0.0</v>
      </c>
      <c r="H172" s="69">
        <v>1.0</v>
      </c>
      <c r="I172" s="69">
        <v>0.0</v>
      </c>
      <c r="J172" s="69">
        <v>0.0</v>
      </c>
      <c r="K172" s="69">
        <v>0.0</v>
      </c>
      <c r="L172" s="69">
        <v>0.0</v>
      </c>
      <c r="M172" s="69">
        <v>0.0</v>
      </c>
      <c r="N172" s="69">
        <v>0.0</v>
      </c>
      <c r="O172" s="69">
        <v>0.0</v>
      </c>
      <c r="P172" s="69">
        <v>0.0</v>
      </c>
      <c r="Q172" s="69">
        <v>0.0</v>
      </c>
      <c r="R172" s="69">
        <v>0.0</v>
      </c>
      <c r="S172" s="69">
        <v>0.0</v>
      </c>
      <c r="T172" s="69">
        <v>0.0</v>
      </c>
      <c r="U172" s="69">
        <v>0.0</v>
      </c>
      <c r="V172" s="69">
        <v>0.0</v>
      </c>
      <c r="W172" s="69">
        <v>0.0</v>
      </c>
      <c r="X172" s="69">
        <v>0.0</v>
      </c>
      <c r="Y172" s="69">
        <v>0.0</v>
      </c>
      <c r="Z172" s="69">
        <v>0.0</v>
      </c>
      <c r="AA172" s="69">
        <v>0.0</v>
      </c>
      <c r="AB172" s="69">
        <v>0.0</v>
      </c>
      <c r="AC172" s="69">
        <v>0.0</v>
      </c>
      <c r="AD172" s="69">
        <v>0.0</v>
      </c>
      <c r="AE172" s="69">
        <v>0.0</v>
      </c>
      <c r="AF172" s="69">
        <v>0.0</v>
      </c>
      <c r="AG172" s="69">
        <v>0.0</v>
      </c>
      <c r="AH172" s="69">
        <v>0.0</v>
      </c>
      <c r="AI172" s="69">
        <v>0.0</v>
      </c>
      <c r="AJ172" s="69">
        <v>0.0</v>
      </c>
      <c r="AK172" s="13">
        <f t="shared" si="46"/>
        <v>1</v>
      </c>
      <c r="AL172" s="5"/>
      <c r="AM172" s="5"/>
    </row>
    <row r="173" ht="12.75" customHeight="1">
      <c r="A173" s="18"/>
      <c r="B173" s="49"/>
      <c r="C173" s="50" t="s">
        <v>148</v>
      </c>
      <c r="D173" s="51"/>
      <c r="E173" s="69">
        <v>0.0</v>
      </c>
      <c r="F173" s="69">
        <v>1.0</v>
      </c>
      <c r="G173" s="69">
        <v>0.0</v>
      </c>
      <c r="H173" s="69">
        <v>0.0</v>
      </c>
      <c r="I173" s="69">
        <v>0.0</v>
      </c>
      <c r="J173" s="69">
        <v>0.0</v>
      </c>
      <c r="K173" s="69">
        <v>0.0</v>
      </c>
      <c r="L173" s="69">
        <v>0.0</v>
      </c>
      <c r="M173" s="69">
        <v>0.0</v>
      </c>
      <c r="N173" s="69">
        <v>0.0</v>
      </c>
      <c r="O173" s="69">
        <v>0.0</v>
      </c>
      <c r="P173" s="69">
        <v>0.0</v>
      </c>
      <c r="Q173" s="69">
        <v>0.0</v>
      </c>
      <c r="R173" s="69">
        <v>1.0</v>
      </c>
      <c r="S173" s="69">
        <v>0.0</v>
      </c>
      <c r="T173" s="69">
        <v>0.0</v>
      </c>
      <c r="U173" s="69">
        <v>0.0</v>
      </c>
      <c r="V173" s="69">
        <v>1.0</v>
      </c>
      <c r="W173" s="69">
        <v>0.0</v>
      </c>
      <c r="X173" s="69">
        <v>0.0</v>
      </c>
      <c r="Y173" s="69">
        <v>0.0</v>
      </c>
      <c r="Z173" s="69">
        <v>0.0</v>
      </c>
      <c r="AA173" s="69">
        <v>0.0</v>
      </c>
      <c r="AB173" s="69">
        <v>0.0</v>
      </c>
      <c r="AC173" s="69">
        <v>0.0</v>
      </c>
      <c r="AD173" s="69">
        <v>0.0</v>
      </c>
      <c r="AE173" s="69">
        <v>0.0</v>
      </c>
      <c r="AF173" s="69">
        <v>0.0</v>
      </c>
      <c r="AG173" s="69">
        <v>0.0</v>
      </c>
      <c r="AH173" s="69">
        <v>0.0</v>
      </c>
      <c r="AI173" s="69">
        <v>0.0</v>
      </c>
      <c r="AJ173" s="69">
        <v>0.0</v>
      </c>
      <c r="AK173" s="13">
        <f t="shared" si="46"/>
        <v>3</v>
      </c>
      <c r="AL173" s="5"/>
      <c r="AM173" s="5"/>
    </row>
    <row r="174" ht="12.75" customHeight="1">
      <c r="A174" s="18"/>
      <c r="B174" s="49"/>
      <c r="C174" s="50" t="s">
        <v>149</v>
      </c>
      <c r="D174" s="51"/>
      <c r="E174" s="69">
        <v>0.0</v>
      </c>
      <c r="F174" s="69">
        <v>0.0</v>
      </c>
      <c r="G174" s="69">
        <v>0.0</v>
      </c>
      <c r="H174" s="69">
        <v>0.0</v>
      </c>
      <c r="I174" s="69">
        <v>0.0</v>
      </c>
      <c r="J174" s="69">
        <v>0.0</v>
      </c>
      <c r="K174" s="69">
        <v>0.0</v>
      </c>
      <c r="L174" s="69">
        <v>0.0</v>
      </c>
      <c r="M174" s="69">
        <v>0.0</v>
      </c>
      <c r="N174" s="69">
        <v>0.0</v>
      </c>
      <c r="O174" s="69">
        <v>1.0</v>
      </c>
      <c r="P174" s="69">
        <v>0.0</v>
      </c>
      <c r="Q174" s="69">
        <v>0.0</v>
      </c>
      <c r="R174" s="69">
        <v>0.0</v>
      </c>
      <c r="S174" s="69">
        <v>0.0</v>
      </c>
      <c r="T174" s="69">
        <v>2.0</v>
      </c>
      <c r="U174" s="69">
        <v>0.0</v>
      </c>
      <c r="V174" s="69">
        <v>1.0</v>
      </c>
      <c r="W174" s="69">
        <v>0.0</v>
      </c>
      <c r="X174" s="69">
        <v>0.0</v>
      </c>
      <c r="Y174" s="69">
        <v>0.0</v>
      </c>
      <c r="Z174" s="69">
        <v>0.0</v>
      </c>
      <c r="AA174" s="69">
        <v>0.0</v>
      </c>
      <c r="AB174" s="69">
        <v>0.0</v>
      </c>
      <c r="AC174" s="69">
        <v>0.0</v>
      </c>
      <c r="AD174" s="69">
        <v>0.0</v>
      </c>
      <c r="AE174" s="69">
        <v>0.0</v>
      </c>
      <c r="AF174" s="69">
        <v>0.0</v>
      </c>
      <c r="AG174" s="69">
        <v>0.0</v>
      </c>
      <c r="AH174" s="69">
        <v>0.0</v>
      </c>
      <c r="AI174" s="69">
        <v>0.0</v>
      </c>
      <c r="AJ174" s="69">
        <v>0.0</v>
      </c>
      <c r="AK174" s="13">
        <f t="shared" si="46"/>
        <v>4</v>
      </c>
      <c r="AL174" s="5"/>
      <c r="AM174" s="5"/>
    </row>
    <row r="175" ht="15.0" customHeight="1">
      <c r="A175" s="19" t="s">
        <v>15</v>
      </c>
      <c r="B175" s="47" t="s">
        <v>47</v>
      </c>
      <c r="C175" s="15"/>
      <c r="D175" s="16"/>
      <c r="E175" s="56">
        <f t="shared" ref="E175:AJ175" si="47">SUM(E167:E174)</f>
        <v>0</v>
      </c>
      <c r="F175" s="56">
        <f t="shared" si="47"/>
        <v>1</v>
      </c>
      <c r="G175" s="56">
        <f t="shared" si="47"/>
        <v>2</v>
      </c>
      <c r="H175" s="56">
        <f t="shared" si="47"/>
        <v>2</v>
      </c>
      <c r="I175" s="56">
        <f t="shared" si="47"/>
        <v>2</v>
      </c>
      <c r="J175" s="56">
        <f t="shared" si="47"/>
        <v>0</v>
      </c>
      <c r="K175" s="56">
        <f t="shared" si="47"/>
        <v>1</v>
      </c>
      <c r="L175" s="56">
        <f t="shared" si="47"/>
        <v>0</v>
      </c>
      <c r="M175" s="56">
        <f t="shared" si="47"/>
        <v>0</v>
      </c>
      <c r="N175" s="56">
        <f t="shared" si="47"/>
        <v>0</v>
      </c>
      <c r="O175" s="56">
        <f t="shared" si="47"/>
        <v>2</v>
      </c>
      <c r="P175" s="56">
        <f t="shared" si="47"/>
        <v>0</v>
      </c>
      <c r="Q175" s="56">
        <f t="shared" si="47"/>
        <v>1</v>
      </c>
      <c r="R175" s="56">
        <f t="shared" si="47"/>
        <v>1</v>
      </c>
      <c r="S175" s="56">
        <f t="shared" si="47"/>
        <v>3</v>
      </c>
      <c r="T175" s="56">
        <f t="shared" si="47"/>
        <v>2</v>
      </c>
      <c r="U175" s="56">
        <f t="shared" si="47"/>
        <v>0</v>
      </c>
      <c r="V175" s="56">
        <f t="shared" si="47"/>
        <v>7</v>
      </c>
      <c r="W175" s="56">
        <f t="shared" si="47"/>
        <v>2</v>
      </c>
      <c r="X175" s="56">
        <f t="shared" si="47"/>
        <v>1</v>
      </c>
      <c r="Y175" s="56">
        <f t="shared" si="47"/>
        <v>0</v>
      </c>
      <c r="Z175" s="56">
        <f t="shared" si="47"/>
        <v>1</v>
      </c>
      <c r="AA175" s="56">
        <f t="shared" si="47"/>
        <v>3</v>
      </c>
      <c r="AB175" s="56">
        <f t="shared" si="47"/>
        <v>0</v>
      </c>
      <c r="AC175" s="56">
        <f t="shared" si="47"/>
        <v>0</v>
      </c>
      <c r="AD175" s="56">
        <f t="shared" si="47"/>
        <v>0</v>
      </c>
      <c r="AE175" s="56">
        <f t="shared" si="47"/>
        <v>1</v>
      </c>
      <c r="AF175" s="56">
        <f t="shared" si="47"/>
        <v>0</v>
      </c>
      <c r="AG175" s="56">
        <f t="shared" si="47"/>
        <v>0</v>
      </c>
      <c r="AH175" s="56">
        <f t="shared" si="47"/>
        <v>2</v>
      </c>
      <c r="AI175" s="56">
        <f t="shared" si="47"/>
        <v>1</v>
      </c>
      <c r="AJ175" s="56">
        <f t="shared" si="47"/>
        <v>0</v>
      </c>
      <c r="AK175" s="13">
        <f t="shared" si="46"/>
        <v>35</v>
      </c>
      <c r="AL175" s="5"/>
      <c r="AM175" s="5"/>
    </row>
    <row r="176" ht="12.75" customHeight="1">
      <c r="A176" s="57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13"/>
      <c r="AL176" s="1"/>
      <c r="AM176" s="1"/>
    </row>
    <row r="177" ht="12.75" customHeight="1">
      <c r="A177" s="30" t="s">
        <v>37</v>
      </c>
      <c r="B177" s="47" t="s">
        <v>150</v>
      </c>
      <c r="C177" s="48" t="s">
        <v>151</v>
      </c>
      <c r="D177" s="16"/>
      <c r="E177" s="69">
        <v>0.0</v>
      </c>
      <c r="F177" s="69">
        <v>0.0</v>
      </c>
      <c r="G177" s="69">
        <v>0.0</v>
      </c>
      <c r="H177" s="69">
        <v>0.0</v>
      </c>
      <c r="I177" s="69">
        <v>0.0</v>
      </c>
      <c r="J177" s="69">
        <v>0.0</v>
      </c>
      <c r="K177" s="69">
        <v>0.0</v>
      </c>
      <c r="L177" s="69">
        <v>0.0</v>
      </c>
      <c r="M177" s="69">
        <v>0.0</v>
      </c>
      <c r="N177" s="69">
        <v>0.0</v>
      </c>
      <c r="O177" s="69">
        <v>0.0</v>
      </c>
      <c r="P177" s="69">
        <v>0.0</v>
      </c>
      <c r="Q177" s="69">
        <v>0.0</v>
      </c>
      <c r="R177" s="69">
        <v>0.0</v>
      </c>
      <c r="S177" s="69">
        <v>0.0</v>
      </c>
      <c r="T177" s="69">
        <v>0.0</v>
      </c>
      <c r="U177" s="69">
        <v>0.0</v>
      </c>
      <c r="V177" s="69">
        <v>0.0</v>
      </c>
      <c r="W177" s="69">
        <v>0.0</v>
      </c>
      <c r="X177" s="69">
        <v>0.0</v>
      </c>
      <c r="Y177" s="69">
        <v>0.0</v>
      </c>
      <c r="Z177" s="69">
        <v>0.0</v>
      </c>
      <c r="AA177" s="69">
        <v>1.0</v>
      </c>
      <c r="AB177" s="69">
        <v>0.0</v>
      </c>
      <c r="AC177" s="69">
        <v>0.0</v>
      </c>
      <c r="AD177" s="69">
        <v>1.0</v>
      </c>
      <c r="AE177" s="69">
        <v>0.0</v>
      </c>
      <c r="AF177" s="69">
        <v>0.0</v>
      </c>
      <c r="AG177" s="69">
        <v>0.0</v>
      </c>
      <c r="AH177" s="69">
        <v>1.0</v>
      </c>
      <c r="AI177" s="69">
        <v>0.0</v>
      </c>
      <c r="AJ177" s="69">
        <v>0.0</v>
      </c>
      <c r="AK177" s="13">
        <f t="shared" ref="AK177:AK181" si="48">SUM(E177:AJ177)</f>
        <v>3</v>
      </c>
    </row>
    <row r="178" ht="12.75" customHeight="1">
      <c r="A178" s="30"/>
      <c r="B178" s="47"/>
      <c r="C178" s="50" t="s">
        <v>152</v>
      </c>
      <c r="D178" s="62"/>
      <c r="E178" s="69">
        <v>0.0</v>
      </c>
      <c r="F178" s="69">
        <v>0.0</v>
      </c>
      <c r="G178" s="69">
        <v>0.0</v>
      </c>
      <c r="H178" s="69">
        <v>0.0</v>
      </c>
      <c r="I178" s="69">
        <v>0.0</v>
      </c>
      <c r="J178" s="69">
        <v>0.0</v>
      </c>
      <c r="K178" s="69">
        <v>0.0</v>
      </c>
      <c r="L178" s="69">
        <v>0.0</v>
      </c>
      <c r="M178" s="69">
        <v>0.0</v>
      </c>
      <c r="N178" s="69">
        <v>0.0</v>
      </c>
      <c r="O178" s="69">
        <v>0.0</v>
      </c>
      <c r="P178" s="69">
        <v>1.0</v>
      </c>
      <c r="Q178" s="69">
        <v>0.0</v>
      </c>
      <c r="R178" s="69">
        <v>0.0</v>
      </c>
      <c r="S178" s="69">
        <v>0.0</v>
      </c>
      <c r="T178" s="69">
        <v>0.0</v>
      </c>
      <c r="U178" s="69">
        <v>0.0</v>
      </c>
      <c r="V178" s="69">
        <v>0.0</v>
      </c>
      <c r="W178" s="69">
        <v>0.0</v>
      </c>
      <c r="X178" s="69">
        <v>0.0</v>
      </c>
      <c r="Y178" s="69">
        <v>0.0</v>
      </c>
      <c r="Z178" s="69">
        <v>0.0</v>
      </c>
      <c r="AA178" s="69">
        <v>0.0</v>
      </c>
      <c r="AB178" s="69">
        <v>0.0</v>
      </c>
      <c r="AC178" s="69">
        <v>0.0</v>
      </c>
      <c r="AD178" s="69">
        <v>0.0</v>
      </c>
      <c r="AE178" s="69">
        <v>0.0</v>
      </c>
      <c r="AF178" s="69">
        <v>0.0</v>
      </c>
      <c r="AG178" s="69">
        <v>0.0</v>
      </c>
      <c r="AH178" s="69">
        <v>0.0</v>
      </c>
      <c r="AI178" s="69">
        <v>0.0</v>
      </c>
      <c r="AJ178" s="69">
        <v>0.0</v>
      </c>
      <c r="AK178" s="13">
        <f t="shared" si="48"/>
        <v>1</v>
      </c>
      <c r="AL178" s="5"/>
      <c r="AM178" s="5"/>
    </row>
    <row r="179" ht="12.75" customHeight="1">
      <c r="A179" s="30"/>
      <c r="B179" s="47"/>
      <c r="C179" s="50" t="s">
        <v>153</v>
      </c>
      <c r="D179" s="62"/>
      <c r="E179" s="69">
        <v>0.0</v>
      </c>
      <c r="F179" s="69">
        <v>0.0</v>
      </c>
      <c r="G179" s="69">
        <v>0.0</v>
      </c>
      <c r="H179" s="69">
        <v>1.0</v>
      </c>
      <c r="I179" s="69">
        <v>0.0</v>
      </c>
      <c r="J179" s="69">
        <v>0.0</v>
      </c>
      <c r="K179" s="69">
        <v>0.0</v>
      </c>
      <c r="L179" s="69">
        <v>0.0</v>
      </c>
      <c r="M179" s="69">
        <v>0.0</v>
      </c>
      <c r="N179" s="69">
        <v>0.0</v>
      </c>
      <c r="O179" s="69">
        <v>0.0</v>
      </c>
      <c r="P179" s="69">
        <v>0.0</v>
      </c>
      <c r="Q179" s="69">
        <v>0.0</v>
      </c>
      <c r="R179" s="69">
        <v>0.0</v>
      </c>
      <c r="S179" s="69">
        <v>0.0</v>
      </c>
      <c r="T179" s="69">
        <v>0.0</v>
      </c>
      <c r="U179" s="69">
        <v>0.0</v>
      </c>
      <c r="V179" s="69">
        <v>0.0</v>
      </c>
      <c r="W179" s="69">
        <v>0.0</v>
      </c>
      <c r="X179" s="69">
        <v>0.0</v>
      </c>
      <c r="Y179" s="69">
        <v>0.0</v>
      </c>
      <c r="Z179" s="69">
        <v>0.0</v>
      </c>
      <c r="AA179" s="69">
        <v>0.0</v>
      </c>
      <c r="AB179" s="69">
        <v>0.0</v>
      </c>
      <c r="AC179" s="69">
        <v>0.0</v>
      </c>
      <c r="AD179" s="69">
        <v>0.0</v>
      </c>
      <c r="AE179" s="69">
        <v>0.0</v>
      </c>
      <c r="AF179" s="69">
        <v>0.0</v>
      </c>
      <c r="AG179" s="69">
        <v>0.0</v>
      </c>
      <c r="AH179" s="69">
        <v>0.0</v>
      </c>
      <c r="AI179" s="69">
        <v>0.0</v>
      </c>
      <c r="AJ179" s="69">
        <v>0.0</v>
      </c>
      <c r="AK179" s="13">
        <f t="shared" si="48"/>
        <v>1</v>
      </c>
      <c r="AL179" s="5"/>
      <c r="AM179" s="5"/>
    </row>
    <row r="180" ht="12.75" customHeight="1">
      <c r="A180" s="30" t="s">
        <v>39</v>
      </c>
      <c r="B180" s="49"/>
      <c r="C180" s="50" t="s">
        <v>154</v>
      </c>
      <c r="D180" s="51"/>
      <c r="E180" s="69">
        <v>0.0</v>
      </c>
      <c r="F180" s="69">
        <v>0.0</v>
      </c>
      <c r="G180" s="69">
        <v>0.0</v>
      </c>
      <c r="H180" s="69">
        <v>0.0</v>
      </c>
      <c r="I180" s="69">
        <v>0.0</v>
      </c>
      <c r="J180" s="69">
        <v>0.0</v>
      </c>
      <c r="K180" s="69">
        <v>0.0</v>
      </c>
      <c r="L180" s="69">
        <v>0.0</v>
      </c>
      <c r="M180" s="69">
        <v>0.0</v>
      </c>
      <c r="N180" s="69">
        <v>0.0</v>
      </c>
      <c r="O180" s="69">
        <v>0.0</v>
      </c>
      <c r="P180" s="69">
        <v>0.0</v>
      </c>
      <c r="Q180" s="69">
        <v>0.0</v>
      </c>
      <c r="R180" s="69">
        <v>0.0</v>
      </c>
      <c r="S180" s="69">
        <v>0.0</v>
      </c>
      <c r="T180" s="69">
        <v>0.0</v>
      </c>
      <c r="U180" s="69">
        <v>0.0</v>
      </c>
      <c r="V180" s="69">
        <v>0.0</v>
      </c>
      <c r="W180" s="69">
        <v>0.0</v>
      </c>
      <c r="X180" s="69">
        <v>0.0</v>
      </c>
      <c r="Y180" s="69">
        <v>0.0</v>
      </c>
      <c r="Z180" s="69">
        <v>0.0</v>
      </c>
      <c r="AA180" s="69">
        <v>0.0</v>
      </c>
      <c r="AB180" s="69">
        <v>0.0</v>
      </c>
      <c r="AC180" s="69">
        <v>1.0</v>
      </c>
      <c r="AD180" s="69">
        <v>0.0</v>
      </c>
      <c r="AE180" s="69">
        <v>0.0</v>
      </c>
      <c r="AF180" s="69">
        <v>0.0</v>
      </c>
      <c r="AG180" s="69">
        <v>0.0</v>
      </c>
      <c r="AH180" s="69">
        <v>0.0</v>
      </c>
      <c r="AI180" s="69">
        <v>0.0</v>
      </c>
      <c r="AJ180" s="69">
        <v>0.0</v>
      </c>
      <c r="AK180" s="13">
        <f t="shared" si="48"/>
        <v>1</v>
      </c>
      <c r="AL180" s="5"/>
      <c r="AM180" s="5"/>
    </row>
    <row r="181" ht="12.75" customHeight="1">
      <c r="A181" s="19" t="s">
        <v>15</v>
      </c>
      <c r="B181" s="47" t="s">
        <v>47</v>
      </c>
      <c r="C181" s="15"/>
      <c r="D181" s="16"/>
      <c r="E181" s="56">
        <f t="shared" ref="E181:AJ181" si="49">SUM(E177:E180)</f>
        <v>0</v>
      </c>
      <c r="F181" s="56">
        <f t="shared" si="49"/>
        <v>0</v>
      </c>
      <c r="G181" s="56">
        <f t="shared" si="49"/>
        <v>0</v>
      </c>
      <c r="H181" s="56">
        <f t="shared" si="49"/>
        <v>1</v>
      </c>
      <c r="I181" s="56">
        <f t="shared" si="49"/>
        <v>0</v>
      </c>
      <c r="J181" s="56">
        <f t="shared" si="49"/>
        <v>0</v>
      </c>
      <c r="K181" s="56">
        <f t="shared" si="49"/>
        <v>0</v>
      </c>
      <c r="L181" s="56">
        <f t="shared" si="49"/>
        <v>0</v>
      </c>
      <c r="M181" s="56">
        <f t="shared" si="49"/>
        <v>0</v>
      </c>
      <c r="N181" s="56">
        <f t="shared" si="49"/>
        <v>0</v>
      </c>
      <c r="O181" s="56">
        <f t="shared" si="49"/>
        <v>0</v>
      </c>
      <c r="P181" s="56">
        <f t="shared" si="49"/>
        <v>1</v>
      </c>
      <c r="Q181" s="56">
        <f t="shared" si="49"/>
        <v>0</v>
      </c>
      <c r="R181" s="56">
        <f t="shared" si="49"/>
        <v>0</v>
      </c>
      <c r="S181" s="56">
        <f t="shared" si="49"/>
        <v>0</v>
      </c>
      <c r="T181" s="56">
        <f t="shared" si="49"/>
        <v>0</v>
      </c>
      <c r="U181" s="56">
        <f t="shared" si="49"/>
        <v>0</v>
      </c>
      <c r="V181" s="56">
        <f t="shared" si="49"/>
        <v>0</v>
      </c>
      <c r="W181" s="56">
        <f t="shared" si="49"/>
        <v>0</v>
      </c>
      <c r="X181" s="56">
        <f t="shared" si="49"/>
        <v>0</v>
      </c>
      <c r="Y181" s="56">
        <f t="shared" si="49"/>
        <v>0</v>
      </c>
      <c r="Z181" s="56">
        <f t="shared" si="49"/>
        <v>0</v>
      </c>
      <c r="AA181" s="56">
        <f t="shared" si="49"/>
        <v>1</v>
      </c>
      <c r="AB181" s="56">
        <f t="shared" si="49"/>
        <v>0</v>
      </c>
      <c r="AC181" s="56">
        <f t="shared" si="49"/>
        <v>1</v>
      </c>
      <c r="AD181" s="56">
        <f t="shared" si="49"/>
        <v>1</v>
      </c>
      <c r="AE181" s="56">
        <f t="shared" si="49"/>
        <v>0</v>
      </c>
      <c r="AF181" s="56">
        <f t="shared" si="49"/>
        <v>0</v>
      </c>
      <c r="AG181" s="56">
        <f t="shared" si="49"/>
        <v>0</v>
      </c>
      <c r="AH181" s="56">
        <f t="shared" si="49"/>
        <v>1</v>
      </c>
      <c r="AI181" s="56">
        <f t="shared" si="49"/>
        <v>0</v>
      </c>
      <c r="AJ181" s="56">
        <f t="shared" si="49"/>
        <v>0</v>
      </c>
      <c r="AK181" s="13">
        <f t="shared" si="48"/>
        <v>6</v>
      </c>
      <c r="AL181" s="5"/>
      <c r="AM181" s="5"/>
    </row>
    <row r="182" ht="12.75" customHeight="1">
      <c r="A182" s="57"/>
      <c r="B182" s="58"/>
      <c r="C182" s="58"/>
      <c r="D182" s="63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13"/>
      <c r="AL182" s="5"/>
      <c r="AM182" s="5"/>
    </row>
    <row r="183" ht="12.75" customHeight="1">
      <c r="A183" s="42" t="s">
        <v>155</v>
      </c>
      <c r="B183" s="14" t="s">
        <v>156</v>
      </c>
      <c r="C183" s="15"/>
      <c r="D183" s="16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5"/>
      <c r="AM183" s="5"/>
    </row>
    <row r="184" ht="12.75" customHeight="1">
      <c r="A184" s="42"/>
      <c r="B184" s="64" t="s">
        <v>157</v>
      </c>
      <c r="C184" s="65" t="s">
        <v>158</v>
      </c>
      <c r="D184" s="16"/>
      <c r="E184" s="19">
        <f t="shared" ref="E184:AJ184" si="50">E181+E175+E165+E161+E156+E146+E136+E129+E125+E115+E111+E101+E97+E93+E83+E73+E63+E53</f>
        <v>190</v>
      </c>
      <c r="F184" s="19">
        <f t="shared" si="50"/>
        <v>184</v>
      </c>
      <c r="G184" s="19">
        <f t="shared" si="50"/>
        <v>203</v>
      </c>
      <c r="H184" s="19">
        <f t="shared" si="50"/>
        <v>203</v>
      </c>
      <c r="I184" s="19">
        <f t="shared" si="50"/>
        <v>202</v>
      </c>
      <c r="J184" s="19">
        <f t="shared" si="50"/>
        <v>216</v>
      </c>
      <c r="K184" s="19">
        <f t="shared" si="50"/>
        <v>195</v>
      </c>
      <c r="L184" s="19">
        <f t="shared" si="50"/>
        <v>198</v>
      </c>
      <c r="M184" s="19">
        <f t="shared" si="50"/>
        <v>185</v>
      </c>
      <c r="N184" s="19">
        <f t="shared" si="50"/>
        <v>213</v>
      </c>
      <c r="O184" s="19">
        <f t="shared" si="50"/>
        <v>199</v>
      </c>
      <c r="P184" s="19">
        <f t="shared" si="50"/>
        <v>181</v>
      </c>
      <c r="Q184" s="19">
        <f t="shared" si="50"/>
        <v>206</v>
      </c>
      <c r="R184" s="19">
        <f t="shared" si="50"/>
        <v>182</v>
      </c>
      <c r="S184" s="19">
        <f t="shared" si="50"/>
        <v>164</v>
      </c>
      <c r="T184" s="19">
        <f t="shared" si="50"/>
        <v>199</v>
      </c>
      <c r="U184" s="19">
        <f t="shared" si="50"/>
        <v>182</v>
      </c>
      <c r="V184" s="19">
        <f t="shared" si="50"/>
        <v>182</v>
      </c>
      <c r="W184" s="19">
        <f t="shared" si="50"/>
        <v>215</v>
      </c>
      <c r="X184" s="19">
        <f t="shared" si="50"/>
        <v>180</v>
      </c>
      <c r="Y184" s="19">
        <f t="shared" si="50"/>
        <v>190</v>
      </c>
      <c r="Z184" s="19">
        <f t="shared" si="50"/>
        <v>201</v>
      </c>
      <c r="AA184" s="19">
        <f t="shared" si="50"/>
        <v>205</v>
      </c>
      <c r="AB184" s="19">
        <f t="shared" si="50"/>
        <v>202</v>
      </c>
      <c r="AC184" s="19">
        <f t="shared" si="50"/>
        <v>227</v>
      </c>
      <c r="AD184" s="19">
        <f t="shared" si="50"/>
        <v>192</v>
      </c>
      <c r="AE184" s="19">
        <f t="shared" si="50"/>
        <v>195</v>
      </c>
      <c r="AF184" s="19">
        <f t="shared" si="50"/>
        <v>203</v>
      </c>
      <c r="AG184" s="19">
        <f t="shared" si="50"/>
        <v>180</v>
      </c>
      <c r="AH184" s="19">
        <f t="shared" si="50"/>
        <v>202</v>
      </c>
      <c r="AI184" s="19">
        <f t="shared" si="50"/>
        <v>193</v>
      </c>
      <c r="AJ184" s="19">
        <f t="shared" si="50"/>
        <v>210</v>
      </c>
      <c r="AK184" s="13">
        <f t="shared" ref="AK184:AK186" si="51">SUM(E184:AJ184)</f>
        <v>6279</v>
      </c>
      <c r="AL184" s="5"/>
      <c r="AM184" s="5"/>
    </row>
    <row r="185" ht="12.75" customHeight="1">
      <c r="A185" s="35"/>
      <c r="B185" s="64" t="s">
        <v>159</v>
      </c>
      <c r="C185" s="65" t="s">
        <v>160</v>
      </c>
      <c r="D185" s="16"/>
      <c r="E185" s="69">
        <v>9.0</v>
      </c>
      <c r="F185" s="69">
        <v>15.0</v>
      </c>
      <c r="G185" s="69">
        <v>22.0</v>
      </c>
      <c r="H185" s="69">
        <v>14.0</v>
      </c>
      <c r="I185" s="69">
        <v>19.0</v>
      </c>
      <c r="J185" s="69">
        <v>4.0</v>
      </c>
      <c r="K185" s="69">
        <v>10.0</v>
      </c>
      <c r="L185" s="69">
        <v>16.0</v>
      </c>
      <c r="M185" s="69">
        <v>21.0</v>
      </c>
      <c r="N185" s="69">
        <v>17.0</v>
      </c>
      <c r="O185" s="69">
        <v>9.0</v>
      </c>
      <c r="P185" s="69">
        <v>20.0</v>
      </c>
      <c r="Q185" s="69">
        <v>11.0</v>
      </c>
      <c r="R185" s="69">
        <v>9.0</v>
      </c>
      <c r="S185" s="69">
        <v>13.0</v>
      </c>
      <c r="T185" s="69">
        <v>13.0</v>
      </c>
      <c r="U185" s="69">
        <v>19.0</v>
      </c>
      <c r="V185" s="69">
        <v>17.0</v>
      </c>
      <c r="W185" s="69">
        <v>2.0</v>
      </c>
      <c r="X185" s="69">
        <v>17.0</v>
      </c>
      <c r="Y185" s="69">
        <v>11.0</v>
      </c>
      <c r="Z185" s="69">
        <v>14.0</v>
      </c>
      <c r="AA185" s="69">
        <v>8.0</v>
      </c>
      <c r="AB185" s="69">
        <v>7.0</v>
      </c>
      <c r="AC185" s="69">
        <v>3.0</v>
      </c>
      <c r="AD185" s="69">
        <v>22.0</v>
      </c>
      <c r="AE185" s="69">
        <v>16.0</v>
      </c>
      <c r="AF185" s="69">
        <v>5.0</v>
      </c>
      <c r="AG185" s="69">
        <v>8.0</v>
      </c>
      <c r="AH185" s="69">
        <v>5.0</v>
      </c>
      <c r="AI185" s="69">
        <v>2.0</v>
      </c>
      <c r="AJ185" s="69">
        <v>5.0</v>
      </c>
      <c r="AK185" s="13">
        <f t="shared" si="51"/>
        <v>383</v>
      </c>
      <c r="AL185" s="5"/>
      <c r="AM185" s="5"/>
    </row>
    <row r="186" ht="12.75" customHeight="1">
      <c r="A186" s="41"/>
      <c r="B186" s="64" t="s">
        <v>161</v>
      </c>
      <c r="C186" s="65" t="s">
        <v>162</v>
      </c>
      <c r="D186" s="16"/>
      <c r="E186" s="13">
        <f t="shared" ref="E186:AJ186" si="52">SUM(E184:E185)</f>
        <v>199</v>
      </c>
      <c r="F186" s="13">
        <f t="shared" si="52"/>
        <v>199</v>
      </c>
      <c r="G186" s="13">
        <f t="shared" si="52"/>
        <v>225</v>
      </c>
      <c r="H186" s="13">
        <f t="shared" si="52"/>
        <v>217</v>
      </c>
      <c r="I186" s="13">
        <f t="shared" si="52"/>
        <v>221</v>
      </c>
      <c r="J186" s="13">
        <f t="shared" si="52"/>
        <v>220</v>
      </c>
      <c r="K186" s="13">
        <f t="shared" si="52"/>
        <v>205</v>
      </c>
      <c r="L186" s="13">
        <f t="shared" si="52"/>
        <v>214</v>
      </c>
      <c r="M186" s="13">
        <f t="shared" si="52"/>
        <v>206</v>
      </c>
      <c r="N186" s="13">
        <f t="shared" si="52"/>
        <v>230</v>
      </c>
      <c r="O186" s="13">
        <f t="shared" si="52"/>
        <v>208</v>
      </c>
      <c r="P186" s="13">
        <f t="shared" si="52"/>
        <v>201</v>
      </c>
      <c r="Q186" s="13">
        <f t="shared" si="52"/>
        <v>217</v>
      </c>
      <c r="R186" s="13">
        <f t="shared" si="52"/>
        <v>191</v>
      </c>
      <c r="S186" s="13">
        <f t="shared" si="52"/>
        <v>177</v>
      </c>
      <c r="T186" s="13">
        <f t="shared" si="52"/>
        <v>212</v>
      </c>
      <c r="U186" s="13">
        <f t="shared" si="52"/>
        <v>201</v>
      </c>
      <c r="V186" s="13">
        <f t="shared" si="52"/>
        <v>199</v>
      </c>
      <c r="W186" s="13">
        <f t="shared" si="52"/>
        <v>217</v>
      </c>
      <c r="X186" s="13">
        <f t="shared" si="52"/>
        <v>197</v>
      </c>
      <c r="Y186" s="13">
        <f t="shared" si="52"/>
        <v>201</v>
      </c>
      <c r="Z186" s="13">
        <f t="shared" si="52"/>
        <v>215</v>
      </c>
      <c r="AA186" s="13">
        <f t="shared" si="52"/>
        <v>213</v>
      </c>
      <c r="AB186" s="13">
        <f t="shared" si="52"/>
        <v>209</v>
      </c>
      <c r="AC186" s="13">
        <f t="shared" si="52"/>
        <v>230</v>
      </c>
      <c r="AD186" s="13">
        <f t="shared" si="52"/>
        <v>214</v>
      </c>
      <c r="AE186" s="13">
        <f t="shared" si="52"/>
        <v>211</v>
      </c>
      <c r="AF186" s="13">
        <f t="shared" si="52"/>
        <v>208</v>
      </c>
      <c r="AG186" s="13">
        <f t="shared" si="52"/>
        <v>188</v>
      </c>
      <c r="AH186" s="13">
        <f t="shared" si="52"/>
        <v>207</v>
      </c>
      <c r="AI186" s="13">
        <f t="shared" si="52"/>
        <v>195</v>
      </c>
      <c r="AJ186" s="13">
        <f t="shared" si="52"/>
        <v>215</v>
      </c>
      <c r="AK186" s="13">
        <f t="shared" si="51"/>
        <v>6662</v>
      </c>
      <c r="AL186" s="5"/>
      <c r="AM186" s="5"/>
    </row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9">
    <mergeCell ref="B73:D73"/>
    <mergeCell ref="C75:D75"/>
    <mergeCell ref="B83:D83"/>
    <mergeCell ref="C85:D85"/>
    <mergeCell ref="B93:D93"/>
    <mergeCell ref="C95:D95"/>
    <mergeCell ref="B97:D97"/>
    <mergeCell ref="C99:D99"/>
    <mergeCell ref="B101:D101"/>
    <mergeCell ref="C103:D103"/>
    <mergeCell ref="B111:D111"/>
    <mergeCell ref="C113:D113"/>
    <mergeCell ref="B115:D115"/>
    <mergeCell ref="C117:D117"/>
    <mergeCell ref="B129:D129"/>
    <mergeCell ref="C131:D131"/>
    <mergeCell ref="B136:D136"/>
    <mergeCell ref="C138:D138"/>
    <mergeCell ref="B146:D146"/>
    <mergeCell ref="C148:D148"/>
    <mergeCell ref="B156:D156"/>
    <mergeCell ref="B181:D181"/>
    <mergeCell ref="B183:D183"/>
    <mergeCell ref="C184:D184"/>
    <mergeCell ref="C185:D185"/>
    <mergeCell ref="C186:D186"/>
    <mergeCell ref="C158:D158"/>
    <mergeCell ref="B161:D161"/>
    <mergeCell ref="C163:D163"/>
    <mergeCell ref="B165:D165"/>
    <mergeCell ref="C167:D167"/>
    <mergeCell ref="B175:D175"/>
    <mergeCell ref="C177:D177"/>
    <mergeCell ref="B12:D12"/>
    <mergeCell ref="E12:AJ12"/>
    <mergeCell ref="AK12:A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D37"/>
    <mergeCell ref="B38:D38"/>
    <mergeCell ref="B39:C41"/>
    <mergeCell ref="A42:D42"/>
    <mergeCell ref="E42:AD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B53:D53"/>
    <mergeCell ref="C55:D55"/>
    <mergeCell ref="B63:D63"/>
    <mergeCell ref="C65:D65"/>
    <mergeCell ref="B125:D125"/>
    <mergeCell ref="C127:D127"/>
  </mergeCells>
  <conditionalFormatting sqref="E14:AJ15">
    <cfRule type="containsBlanks" dxfId="3" priority="1">
      <formula>LEN(TRIM(E14))=0</formula>
    </cfRule>
  </conditionalFormatting>
  <conditionalFormatting sqref="E19:AJ20">
    <cfRule type="containsBlanks" dxfId="3" priority="2">
      <formula>LEN(TRIM(E19))=0</formula>
    </cfRule>
  </conditionalFormatting>
  <conditionalFormatting sqref="E22:AJ23 E25:AJ26 E33:AJ33 E35:AJ35 E39:AJ40">
    <cfRule type="containsBlanks" dxfId="3" priority="3">
      <formula>LEN(TRIM(E22))=0</formula>
    </cfRule>
  </conditionalFormatting>
  <conditionalFormatting sqref="E30:AJ30">
    <cfRule type="expression" dxfId="0" priority="4">
      <formula>E30&lt;&gt;E47</formula>
    </cfRule>
  </conditionalFormatting>
  <conditionalFormatting sqref="E30:AJ30">
    <cfRule type="expression" dxfId="0" priority="5">
      <formula>E30&lt;&gt;E34</formula>
    </cfRule>
  </conditionalFormatting>
  <conditionalFormatting sqref="E34:AJ34">
    <cfRule type="expression" dxfId="1" priority="6">
      <formula>E30&lt;&gt;E34</formula>
    </cfRule>
  </conditionalFormatting>
  <conditionalFormatting sqref="E34:AJ34">
    <cfRule type="expression" dxfId="2" priority="7">
      <formula>E30=E34</formula>
    </cfRule>
  </conditionalFormatting>
  <conditionalFormatting sqref="E34:AJ34">
    <cfRule type="expression" dxfId="0" priority="8">
      <formula>E34&lt;&gt;E30</formula>
    </cfRule>
  </conditionalFormatting>
  <conditionalFormatting sqref="E34:AJ34">
    <cfRule type="expression" dxfId="0" priority="9">
      <formula>E34&lt;&gt;E64</formula>
    </cfRule>
  </conditionalFormatting>
  <conditionalFormatting sqref="E45:AJ52">
    <cfRule type="containsBlanks" dxfId="3" priority="10">
      <formula>LEN(TRIM(E45))=0</formula>
    </cfRule>
  </conditionalFormatting>
  <conditionalFormatting sqref="E55:AJ62">
    <cfRule type="containsBlanks" dxfId="3" priority="11">
      <formula>LEN(TRIM(E55))=0</formula>
    </cfRule>
  </conditionalFormatting>
  <conditionalFormatting sqref="E65:AJ72">
    <cfRule type="containsBlanks" dxfId="3" priority="12">
      <formula>LEN(TRIM(E65))=0</formula>
    </cfRule>
  </conditionalFormatting>
  <conditionalFormatting sqref="E75:AJ82">
    <cfRule type="containsBlanks" dxfId="3" priority="13">
      <formula>LEN(TRIM(E75))=0</formula>
    </cfRule>
  </conditionalFormatting>
  <conditionalFormatting sqref="E85:AJ92">
    <cfRule type="containsBlanks" dxfId="3" priority="14">
      <formula>LEN(TRIM(E85))=0</formula>
    </cfRule>
  </conditionalFormatting>
  <conditionalFormatting sqref="E95:AJ96">
    <cfRule type="containsBlanks" dxfId="3" priority="15">
      <formula>LEN(TRIM(E95))=0</formula>
    </cfRule>
  </conditionalFormatting>
  <conditionalFormatting sqref="E99:AJ100">
    <cfRule type="containsBlanks" dxfId="3" priority="16">
      <formula>LEN(TRIM(E99))=0</formula>
    </cfRule>
  </conditionalFormatting>
  <conditionalFormatting sqref="E103:AJ110">
    <cfRule type="containsBlanks" dxfId="3" priority="17">
      <formula>LEN(TRIM(E103))=0</formula>
    </cfRule>
  </conditionalFormatting>
  <conditionalFormatting sqref="E113:AJ114">
    <cfRule type="containsBlanks" dxfId="3" priority="18">
      <formula>LEN(TRIM(E113))=0</formula>
    </cfRule>
  </conditionalFormatting>
  <conditionalFormatting sqref="E117:AJ124">
    <cfRule type="containsBlanks" dxfId="3" priority="19">
      <formula>LEN(TRIM(E117))=0</formula>
    </cfRule>
  </conditionalFormatting>
  <conditionalFormatting sqref="E127:AJ128">
    <cfRule type="containsBlanks" dxfId="3" priority="20">
      <formula>LEN(TRIM(E127))=0</formula>
    </cfRule>
  </conditionalFormatting>
  <conditionalFormatting sqref="E131:AJ135">
    <cfRule type="containsBlanks" dxfId="3" priority="21">
      <formula>LEN(TRIM(E131))=0</formula>
    </cfRule>
  </conditionalFormatting>
  <conditionalFormatting sqref="E138:AJ145">
    <cfRule type="containsBlanks" dxfId="3" priority="22">
      <formula>LEN(TRIM(E138))=0</formula>
    </cfRule>
  </conditionalFormatting>
  <conditionalFormatting sqref="E148:AJ155">
    <cfRule type="containsBlanks" dxfId="3" priority="23">
      <formula>LEN(TRIM(E148))=0</formula>
    </cfRule>
  </conditionalFormatting>
  <conditionalFormatting sqref="E158:AJ160">
    <cfRule type="containsBlanks" dxfId="3" priority="24">
      <formula>LEN(TRIM(E158))=0</formula>
    </cfRule>
  </conditionalFormatting>
  <conditionalFormatting sqref="E163:AJ164">
    <cfRule type="containsBlanks" dxfId="3" priority="25">
      <formula>LEN(TRIM(E163))=0</formula>
    </cfRule>
  </conditionalFormatting>
  <conditionalFormatting sqref="E167:AJ174">
    <cfRule type="containsBlanks" dxfId="3" priority="26">
      <formula>LEN(TRIM(E167))=0</formula>
    </cfRule>
  </conditionalFormatting>
  <conditionalFormatting sqref="E177:AJ180">
    <cfRule type="containsBlanks" dxfId="3" priority="27">
      <formula>LEN(TRIM(E177))=0</formula>
    </cfRule>
  </conditionalFormatting>
  <conditionalFormatting sqref="E184:AJ185">
    <cfRule type="containsBlanks" dxfId="3" priority="28">
      <formula>LEN(TRIM(E184))=0</formula>
    </cfRule>
  </conditionalFormatting>
  <conditionalFormatting sqref="E186:AJ186">
    <cfRule type="expression" dxfId="0" priority="29">
      <formula>E186&lt;&gt;#REF!</formula>
    </cfRule>
  </conditionalFormatting>
  <conditionalFormatting sqref="E186:AJ186">
    <cfRule type="expression" dxfId="1" priority="30">
      <formula>#REF!&lt;&gt;E186</formula>
    </cfRule>
  </conditionalFormatting>
  <conditionalFormatting sqref="E186:AJ186">
    <cfRule type="expression" dxfId="2" priority="31">
      <formula>#REF!=E186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  <col customWidth="1" min="33" max="34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163</v>
      </c>
      <c r="D9" s="8" t="s">
        <v>211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165</v>
      </c>
      <c r="F13" s="13" t="s">
        <v>166</v>
      </c>
      <c r="G13" s="13" t="s">
        <v>167</v>
      </c>
      <c r="H13" s="13" t="s">
        <v>168</v>
      </c>
      <c r="I13" s="13" t="s">
        <v>169</v>
      </c>
      <c r="J13" s="13" t="s">
        <v>170</v>
      </c>
      <c r="K13" s="13" t="s">
        <v>171</v>
      </c>
      <c r="L13" s="13" t="s">
        <v>172</v>
      </c>
      <c r="M13" s="13" t="s">
        <v>173</v>
      </c>
      <c r="N13" s="13" t="s">
        <v>174</v>
      </c>
      <c r="O13" s="13" t="s">
        <v>175</v>
      </c>
      <c r="P13" s="13" t="s">
        <v>176</v>
      </c>
      <c r="Q13" s="13" t="s">
        <v>177</v>
      </c>
      <c r="R13" s="13" t="s">
        <v>178</v>
      </c>
      <c r="S13" s="13" t="s">
        <v>179</v>
      </c>
      <c r="T13" s="13" t="s">
        <v>180</v>
      </c>
      <c r="U13" s="13" t="s">
        <v>181</v>
      </c>
      <c r="V13" s="13" t="s">
        <v>182</v>
      </c>
      <c r="W13" s="13" t="s">
        <v>183</v>
      </c>
      <c r="X13" s="13" t="s">
        <v>184</v>
      </c>
      <c r="Y13" s="13" t="s">
        <v>185</v>
      </c>
      <c r="Z13" s="13" t="s">
        <v>186</v>
      </c>
      <c r="AA13" s="13" t="s">
        <v>187</v>
      </c>
      <c r="AB13" s="13" t="s">
        <v>188</v>
      </c>
      <c r="AC13" s="13" t="s">
        <v>189</v>
      </c>
      <c r="AD13" s="13" t="s">
        <v>190</v>
      </c>
      <c r="AE13" s="13" t="s">
        <v>191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69">
        <v>135.0</v>
      </c>
      <c r="F14" s="69">
        <v>123.0</v>
      </c>
      <c r="G14" s="69">
        <v>136.0</v>
      </c>
      <c r="H14" s="69">
        <v>133.0</v>
      </c>
      <c r="I14" s="69">
        <v>128.0</v>
      </c>
      <c r="J14" s="69">
        <v>133.0</v>
      </c>
      <c r="K14" s="69">
        <v>136.0</v>
      </c>
      <c r="L14" s="69">
        <v>143.0</v>
      </c>
      <c r="M14" s="69">
        <v>129.0</v>
      </c>
      <c r="N14" s="69">
        <v>138.0</v>
      </c>
      <c r="O14" s="69">
        <v>134.0</v>
      </c>
      <c r="P14" s="69">
        <v>128.0</v>
      </c>
      <c r="Q14" s="69">
        <v>143.0</v>
      </c>
      <c r="R14" s="69">
        <v>137.0</v>
      </c>
      <c r="S14" s="69">
        <v>135.0</v>
      </c>
      <c r="T14" s="69">
        <v>129.0</v>
      </c>
      <c r="U14" s="69">
        <v>110.0</v>
      </c>
      <c r="V14" s="69">
        <v>120.0</v>
      </c>
      <c r="W14" s="69">
        <v>117.0</v>
      </c>
      <c r="X14" s="69">
        <v>112.0</v>
      </c>
      <c r="Y14" s="69">
        <v>116.0</v>
      </c>
      <c r="Z14" s="69">
        <v>117.0</v>
      </c>
      <c r="AA14" s="69">
        <v>127.0</v>
      </c>
      <c r="AB14" s="69">
        <v>133.0</v>
      </c>
      <c r="AC14" s="69">
        <v>147.0</v>
      </c>
      <c r="AD14" s="69">
        <v>143.0</v>
      </c>
      <c r="AE14" s="69">
        <v>147.0</v>
      </c>
      <c r="AF14" s="13">
        <f t="shared" ref="AF14:AF16" si="1">SUM(E14:AE14)</f>
        <v>3529</v>
      </c>
    </row>
    <row r="15" ht="12.75" customHeight="1">
      <c r="A15" s="18"/>
      <c r="B15" s="26"/>
      <c r="C15" s="27"/>
      <c r="D15" s="19" t="s">
        <v>13</v>
      </c>
      <c r="E15" s="69">
        <v>136.0</v>
      </c>
      <c r="F15" s="69">
        <v>136.0</v>
      </c>
      <c r="G15" s="69">
        <v>135.0</v>
      </c>
      <c r="H15" s="69">
        <v>122.0</v>
      </c>
      <c r="I15" s="69">
        <v>135.0</v>
      </c>
      <c r="J15" s="69">
        <v>133.0</v>
      </c>
      <c r="K15" s="69">
        <v>128.0</v>
      </c>
      <c r="L15" s="69">
        <v>118.0</v>
      </c>
      <c r="M15" s="69">
        <v>140.0</v>
      </c>
      <c r="N15" s="69">
        <v>122.0</v>
      </c>
      <c r="O15" s="69">
        <v>126.0</v>
      </c>
      <c r="P15" s="69">
        <v>148.0</v>
      </c>
      <c r="Q15" s="69">
        <v>125.0</v>
      </c>
      <c r="R15" s="69">
        <v>131.0</v>
      </c>
      <c r="S15" s="69">
        <v>135.0</v>
      </c>
      <c r="T15" s="69">
        <v>138.0</v>
      </c>
      <c r="U15" s="69">
        <v>118.0</v>
      </c>
      <c r="V15" s="69">
        <v>121.0</v>
      </c>
      <c r="W15" s="69">
        <v>130.0</v>
      </c>
      <c r="X15" s="69">
        <v>131.0</v>
      </c>
      <c r="Y15" s="69">
        <v>128.0</v>
      </c>
      <c r="Z15" s="69">
        <v>119.0</v>
      </c>
      <c r="AA15" s="69">
        <v>141.0</v>
      </c>
      <c r="AB15" s="69">
        <v>146.0</v>
      </c>
      <c r="AC15" s="69">
        <v>142.0</v>
      </c>
      <c r="AD15" s="69">
        <v>153.0</v>
      </c>
      <c r="AE15" s="69">
        <v>147.0</v>
      </c>
      <c r="AF15" s="13">
        <f t="shared" si="1"/>
        <v>3584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271</v>
      </c>
      <c r="F16" s="13">
        <f t="shared" si="2"/>
        <v>259</v>
      </c>
      <c r="G16" s="13">
        <f t="shared" si="2"/>
        <v>271</v>
      </c>
      <c r="H16" s="13">
        <f t="shared" si="2"/>
        <v>255</v>
      </c>
      <c r="I16" s="13">
        <f t="shared" si="2"/>
        <v>263</v>
      </c>
      <c r="J16" s="13">
        <f t="shared" si="2"/>
        <v>266</v>
      </c>
      <c r="K16" s="13">
        <f t="shared" si="2"/>
        <v>264</v>
      </c>
      <c r="L16" s="13">
        <f t="shared" si="2"/>
        <v>261</v>
      </c>
      <c r="M16" s="13">
        <f t="shared" si="2"/>
        <v>269</v>
      </c>
      <c r="N16" s="13">
        <f t="shared" si="2"/>
        <v>260</v>
      </c>
      <c r="O16" s="13">
        <f t="shared" si="2"/>
        <v>260</v>
      </c>
      <c r="P16" s="13">
        <f t="shared" si="2"/>
        <v>276</v>
      </c>
      <c r="Q16" s="13">
        <f t="shared" si="2"/>
        <v>268</v>
      </c>
      <c r="R16" s="13">
        <f t="shared" si="2"/>
        <v>268</v>
      </c>
      <c r="S16" s="13">
        <f t="shared" si="2"/>
        <v>270</v>
      </c>
      <c r="T16" s="13">
        <f t="shared" si="2"/>
        <v>267</v>
      </c>
      <c r="U16" s="13">
        <f t="shared" si="2"/>
        <v>228</v>
      </c>
      <c r="V16" s="13">
        <f t="shared" si="2"/>
        <v>241</v>
      </c>
      <c r="W16" s="13">
        <f t="shared" si="2"/>
        <v>247</v>
      </c>
      <c r="X16" s="13">
        <f t="shared" si="2"/>
        <v>243</v>
      </c>
      <c r="Y16" s="13">
        <f t="shared" si="2"/>
        <v>244</v>
      </c>
      <c r="Z16" s="13">
        <f t="shared" si="2"/>
        <v>236</v>
      </c>
      <c r="AA16" s="13">
        <f t="shared" si="2"/>
        <v>268</v>
      </c>
      <c r="AB16" s="13">
        <f t="shared" si="2"/>
        <v>279</v>
      </c>
      <c r="AC16" s="13">
        <f t="shared" si="2"/>
        <v>289</v>
      </c>
      <c r="AD16" s="13">
        <f t="shared" si="2"/>
        <v>296</v>
      </c>
      <c r="AE16" s="13">
        <f t="shared" si="2"/>
        <v>294</v>
      </c>
      <c r="AF16" s="13">
        <f t="shared" si="1"/>
        <v>7113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0"/>
      <c r="O17" s="19"/>
      <c r="P17" s="19"/>
      <c r="Q17" s="19"/>
      <c r="R17" s="19"/>
      <c r="S17" s="70"/>
      <c r="T17" s="19"/>
      <c r="U17" s="19"/>
      <c r="V17" s="19"/>
      <c r="W17" s="19"/>
      <c r="X17" s="70"/>
      <c r="Y17" s="19"/>
      <c r="Z17" s="19"/>
      <c r="AA17" s="19"/>
      <c r="AB17" s="19"/>
      <c r="AC17" s="70"/>
      <c r="AD17" s="19"/>
      <c r="AE17" s="19"/>
      <c r="AF17" s="71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0"/>
      <c r="O18" s="19"/>
      <c r="P18" s="19"/>
      <c r="Q18" s="19"/>
      <c r="R18" s="19"/>
      <c r="S18" s="70"/>
      <c r="T18" s="19"/>
      <c r="U18" s="19"/>
      <c r="V18" s="19"/>
      <c r="W18" s="19"/>
      <c r="X18" s="70"/>
      <c r="Y18" s="19"/>
      <c r="Z18" s="19"/>
      <c r="AA18" s="19"/>
      <c r="AB18" s="19"/>
      <c r="AC18" s="70"/>
      <c r="AD18" s="19"/>
      <c r="AE18" s="19"/>
      <c r="AF18" s="71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69">
        <v>104.0</v>
      </c>
      <c r="F19" s="69">
        <v>105.0</v>
      </c>
      <c r="G19" s="69">
        <v>100.0</v>
      </c>
      <c r="H19" s="69">
        <v>102.0</v>
      </c>
      <c r="I19" s="69">
        <v>90.0</v>
      </c>
      <c r="J19" s="69">
        <v>99.0</v>
      </c>
      <c r="K19" s="69">
        <v>108.0</v>
      </c>
      <c r="L19" s="69">
        <v>103.0</v>
      </c>
      <c r="M19" s="69">
        <v>86.0</v>
      </c>
      <c r="N19" s="69">
        <v>102.0</v>
      </c>
      <c r="O19" s="69">
        <v>98.0</v>
      </c>
      <c r="P19" s="69">
        <v>96.0</v>
      </c>
      <c r="Q19" s="69">
        <v>99.0</v>
      </c>
      <c r="R19" s="69">
        <v>93.0</v>
      </c>
      <c r="S19" s="69">
        <v>103.0</v>
      </c>
      <c r="T19" s="69">
        <v>99.0</v>
      </c>
      <c r="U19" s="69">
        <v>89.0</v>
      </c>
      <c r="V19" s="69">
        <v>109.0</v>
      </c>
      <c r="W19" s="69">
        <v>88.0</v>
      </c>
      <c r="X19" s="69">
        <v>85.0</v>
      </c>
      <c r="Y19" s="69">
        <v>94.0</v>
      </c>
      <c r="Z19" s="69">
        <v>98.0</v>
      </c>
      <c r="AA19" s="69">
        <v>105.0</v>
      </c>
      <c r="AB19" s="69">
        <v>104.0</v>
      </c>
      <c r="AC19" s="69">
        <v>123.0</v>
      </c>
      <c r="AD19" s="69">
        <v>119.0</v>
      </c>
      <c r="AE19" s="69">
        <v>110.0</v>
      </c>
      <c r="AF19" s="13">
        <f t="shared" ref="AF19:AF30" si="3">SUM(E19:AE19)</f>
        <v>2711</v>
      </c>
    </row>
    <row r="20" ht="12.75" customHeight="1">
      <c r="A20" s="33"/>
      <c r="B20" s="27"/>
      <c r="C20" s="34"/>
      <c r="D20" s="19" t="s">
        <v>13</v>
      </c>
      <c r="E20" s="69">
        <v>105.0</v>
      </c>
      <c r="F20" s="69">
        <v>117.0</v>
      </c>
      <c r="G20" s="69">
        <v>106.0</v>
      </c>
      <c r="H20" s="69">
        <v>88.0</v>
      </c>
      <c r="I20" s="69">
        <v>95.0</v>
      </c>
      <c r="J20" s="69">
        <v>107.0</v>
      </c>
      <c r="K20" s="69">
        <v>108.0</v>
      </c>
      <c r="L20" s="69">
        <v>96.0</v>
      </c>
      <c r="M20" s="69">
        <v>103.0</v>
      </c>
      <c r="N20" s="69">
        <v>102.0</v>
      </c>
      <c r="O20" s="69">
        <v>102.0</v>
      </c>
      <c r="P20" s="69">
        <v>112.0</v>
      </c>
      <c r="Q20" s="69">
        <v>105.0</v>
      </c>
      <c r="R20" s="69">
        <v>99.0</v>
      </c>
      <c r="S20" s="69">
        <v>104.0</v>
      </c>
      <c r="T20" s="69">
        <v>101.0</v>
      </c>
      <c r="U20" s="69">
        <v>93.0</v>
      </c>
      <c r="V20" s="69">
        <v>95.0</v>
      </c>
      <c r="W20" s="69">
        <v>105.0</v>
      </c>
      <c r="X20" s="69">
        <v>105.0</v>
      </c>
      <c r="Y20" s="69">
        <v>98.0</v>
      </c>
      <c r="Z20" s="69">
        <v>105.0</v>
      </c>
      <c r="AA20" s="69">
        <v>112.0</v>
      </c>
      <c r="AB20" s="69">
        <v>123.0</v>
      </c>
      <c r="AC20" s="69">
        <v>123.0</v>
      </c>
      <c r="AD20" s="69">
        <v>127.0</v>
      </c>
      <c r="AE20" s="69">
        <v>113.0</v>
      </c>
      <c r="AF20" s="13">
        <f t="shared" si="3"/>
        <v>2849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209</v>
      </c>
      <c r="F21" s="13">
        <f t="shared" si="4"/>
        <v>222</v>
      </c>
      <c r="G21" s="13">
        <f t="shared" si="4"/>
        <v>206</v>
      </c>
      <c r="H21" s="13">
        <f t="shared" si="4"/>
        <v>190</v>
      </c>
      <c r="I21" s="13">
        <f t="shared" si="4"/>
        <v>185</v>
      </c>
      <c r="J21" s="13">
        <f t="shared" si="4"/>
        <v>206</v>
      </c>
      <c r="K21" s="13">
        <f t="shared" si="4"/>
        <v>216</v>
      </c>
      <c r="L21" s="13">
        <f t="shared" si="4"/>
        <v>199</v>
      </c>
      <c r="M21" s="13">
        <f t="shared" si="4"/>
        <v>189</v>
      </c>
      <c r="N21" s="13">
        <f t="shared" si="4"/>
        <v>204</v>
      </c>
      <c r="O21" s="13">
        <f t="shared" si="4"/>
        <v>200</v>
      </c>
      <c r="P21" s="13">
        <f t="shared" si="4"/>
        <v>208</v>
      </c>
      <c r="Q21" s="13">
        <f t="shared" si="4"/>
        <v>204</v>
      </c>
      <c r="R21" s="13">
        <f t="shared" si="4"/>
        <v>192</v>
      </c>
      <c r="S21" s="13">
        <f t="shared" si="4"/>
        <v>207</v>
      </c>
      <c r="T21" s="13">
        <f t="shared" si="4"/>
        <v>200</v>
      </c>
      <c r="U21" s="13">
        <f t="shared" si="4"/>
        <v>182</v>
      </c>
      <c r="V21" s="13">
        <f t="shared" si="4"/>
        <v>204</v>
      </c>
      <c r="W21" s="13">
        <f t="shared" si="4"/>
        <v>193</v>
      </c>
      <c r="X21" s="13">
        <f t="shared" si="4"/>
        <v>190</v>
      </c>
      <c r="Y21" s="13">
        <f t="shared" si="4"/>
        <v>192</v>
      </c>
      <c r="Z21" s="13">
        <f t="shared" si="4"/>
        <v>203</v>
      </c>
      <c r="AA21" s="13">
        <f t="shared" si="4"/>
        <v>217</v>
      </c>
      <c r="AB21" s="13">
        <f t="shared" si="4"/>
        <v>227</v>
      </c>
      <c r="AC21" s="13">
        <f t="shared" si="4"/>
        <v>246</v>
      </c>
      <c r="AD21" s="13">
        <f t="shared" si="4"/>
        <v>246</v>
      </c>
      <c r="AE21" s="13">
        <f t="shared" si="4"/>
        <v>223</v>
      </c>
      <c r="AF21" s="13">
        <f t="shared" si="3"/>
        <v>5560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69">
        <v>0.0</v>
      </c>
      <c r="F22" s="69">
        <v>0.0</v>
      </c>
      <c r="G22" s="69">
        <v>0.0</v>
      </c>
      <c r="H22" s="69">
        <v>0.0</v>
      </c>
      <c r="I22" s="69">
        <v>0.0</v>
      </c>
      <c r="J22" s="69">
        <v>0.0</v>
      </c>
      <c r="K22" s="69">
        <v>0.0</v>
      </c>
      <c r="L22" s="69">
        <v>0.0</v>
      </c>
      <c r="M22" s="69">
        <v>0.0</v>
      </c>
      <c r="N22" s="69">
        <v>0.0</v>
      </c>
      <c r="O22" s="69">
        <v>0.0</v>
      </c>
      <c r="P22" s="69">
        <v>0.0</v>
      </c>
      <c r="Q22" s="69">
        <v>1.0</v>
      </c>
      <c r="R22" s="69">
        <v>0.0</v>
      </c>
      <c r="S22" s="69">
        <v>0.0</v>
      </c>
      <c r="T22" s="69">
        <v>1.0</v>
      </c>
      <c r="U22" s="69">
        <v>0.0</v>
      </c>
      <c r="V22" s="69">
        <v>0.0</v>
      </c>
      <c r="W22" s="69">
        <v>0.0</v>
      </c>
      <c r="X22" s="69">
        <v>0.0</v>
      </c>
      <c r="Y22" s="69">
        <v>0.0</v>
      </c>
      <c r="Z22" s="69">
        <v>0.0</v>
      </c>
      <c r="AA22" s="69">
        <v>0.0</v>
      </c>
      <c r="AB22" s="69">
        <v>0.0</v>
      </c>
      <c r="AC22" s="69">
        <v>0.0</v>
      </c>
      <c r="AD22" s="69">
        <v>0.0</v>
      </c>
      <c r="AE22" s="69">
        <v>0.0</v>
      </c>
      <c r="AF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69">
        <v>0.0</v>
      </c>
      <c r="F23" s="69">
        <v>0.0</v>
      </c>
      <c r="G23" s="69">
        <v>0.0</v>
      </c>
      <c r="H23" s="69">
        <v>0.0</v>
      </c>
      <c r="I23" s="69">
        <v>0.0</v>
      </c>
      <c r="J23" s="69">
        <v>0.0</v>
      </c>
      <c r="K23" s="69">
        <v>0.0</v>
      </c>
      <c r="L23" s="69">
        <v>0.0</v>
      </c>
      <c r="M23" s="69">
        <v>0.0</v>
      </c>
      <c r="N23" s="69">
        <v>0.0</v>
      </c>
      <c r="O23" s="69">
        <v>0.0</v>
      </c>
      <c r="P23" s="69">
        <v>0.0</v>
      </c>
      <c r="Q23" s="69">
        <v>0.0</v>
      </c>
      <c r="R23" s="69">
        <v>0.0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69">
        <v>0.0</v>
      </c>
      <c r="Y23" s="69">
        <v>0.0</v>
      </c>
      <c r="Z23" s="69">
        <v>0.0</v>
      </c>
      <c r="AA23" s="69">
        <v>0.0</v>
      </c>
      <c r="AB23" s="69">
        <v>0.0</v>
      </c>
      <c r="AC23" s="69">
        <v>0.0</v>
      </c>
      <c r="AD23" s="69">
        <v>0.0</v>
      </c>
      <c r="AE23" s="69">
        <v>0.0</v>
      </c>
      <c r="AF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69">
        <v>0.0</v>
      </c>
      <c r="F25" s="69">
        <v>2.0</v>
      </c>
      <c r="G25" s="69">
        <v>2.0</v>
      </c>
      <c r="H25" s="69">
        <v>0.0</v>
      </c>
      <c r="I25" s="69">
        <v>3.0</v>
      </c>
      <c r="J25" s="69">
        <v>2.0</v>
      </c>
      <c r="K25" s="69">
        <v>0.0</v>
      </c>
      <c r="L25" s="69">
        <v>0.0</v>
      </c>
      <c r="M25" s="69">
        <v>0.0</v>
      </c>
      <c r="N25" s="69">
        <v>3.0</v>
      </c>
      <c r="O25" s="69">
        <v>1.0</v>
      </c>
      <c r="P25" s="69">
        <v>2.0</v>
      </c>
      <c r="Q25" s="69">
        <v>1.0</v>
      </c>
      <c r="R25" s="69">
        <v>1.0</v>
      </c>
      <c r="S25" s="69">
        <v>0.0</v>
      </c>
      <c r="T25" s="69">
        <v>0.0</v>
      </c>
      <c r="U25" s="69">
        <v>1.0</v>
      </c>
      <c r="V25" s="69">
        <v>2.0</v>
      </c>
      <c r="W25" s="69">
        <v>2.0</v>
      </c>
      <c r="X25" s="69">
        <v>1.0</v>
      </c>
      <c r="Y25" s="69">
        <v>0.0</v>
      </c>
      <c r="Z25" s="69">
        <v>1.0</v>
      </c>
      <c r="AA25" s="69">
        <v>4.0</v>
      </c>
      <c r="AB25" s="69">
        <v>0.0</v>
      </c>
      <c r="AC25" s="69">
        <v>1.0</v>
      </c>
      <c r="AD25" s="69">
        <v>1.0</v>
      </c>
      <c r="AE25" s="69">
        <v>0.0</v>
      </c>
      <c r="AF25" s="13">
        <f t="shared" si="3"/>
        <v>30</v>
      </c>
    </row>
    <row r="26" ht="12.75" customHeight="1">
      <c r="A26" s="33"/>
      <c r="B26" s="27"/>
      <c r="C26" s="34"/>
      <c r="D26" s="19" t="s">
        <v>13</v>
      </c>
      <c r="E26" s="69">
        <v>0.0</v>
      </c>
      <c r="F26" s="69">
        <v>3.0</v>
      </c>
      <c r="G26" s="69">
        <v>2.0</v>
      </c>
      <c r="H26" s="69">
        <v>0.0</v>
      </c>
      <c r="I26" s="69">
        <v>1.0</v>
      </c>
      <c r="J26" s="69">
        <v>0.0</v>
      </c>
      <c r="K26" s="69">
        <v>1.0</v>
      </c>
      <c r="L26" s="69">
        <v>0.0</v>
      </c>
      <c r="M26" s="69">
        <v>1.0</v>
      </c>
      <c r="N26" s="69">
        <v>3.0</v>
      </c>
      <c r="O26" s="69">
        <v>0.0</v>
      </c>
      <c r="P26" s="69">
        <v>0.0</v>
      </c>
      <c r="Q26" s="69">
        <v>0.0</v>
      </c>
      <c r="R26" s="69">
        <v>1.0</v>
      </c>
      <c r="S26" s="69">
        <v>2.0</v>
      </c>
      <c r="T26" s="69">
        <v>0.0</v>
      </c>
      <c r="U26" s="69">
        <v>2.0</v>
      </c>
      <c r="V26" s="69">
        <v>0.0</v>
      </c>
      <c r="W26" s="69">
        <v>0.0</v>
      </c>
      <c r="X26" s="69">
        <v>3.0</v>
      </c>
      <c r="Y26" s="69">
        <v>0.0</v>
      </c>
      <c r="Z26" s="69">
        <v>0.0</v>
      </c>
      <c r="AA26" s="69">
        <v>3.0</v>
      </c>
      <c r="AB26" s="69">
        <v>0.0</v>
      </c>
      <c r="AC26" s="69">
        <v>2.0</v>
      </c>
      <c r="AD26" s="69">
        <v>2.0</v>
      </c>
      <c r="AE26" s="69">
        <v>0.0</v>
      </c>
      <c r="AF26" s="13">
        <f t="shared" si="3"/>
        <v>26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0</v>
      </c>
      <c r="F27" s="13">
        <f t="shared" si="6"/>
        <v>5</v>
      </c>
      <c r="G27" s="13">
        <f t="shared" si="6"/>
        <v>4</v>
      </c>
      <c r="H27" s="13">
        <f t="shared" si="6"/>
        <v>0</v>
      </c>
      <c r="I27" s="13">
        <f t="shared" si="6"/>
        <v>4</v>
      </c>
      <c r="J27" s="13">
        <f t="shared" si="6"/>
        <v>2</v>
      </c>
      <c r="K27" s="13">
        <f t="shared" si="6"/>
        <v>1</v>
      </c>
      <c r="L27" s="13">
        <f t="shared" si="6"/>
        <v>0</v>
      </c>
      <c r="M27" s="13">
        <f t="shared" si="6"/>
        <v>1</v>
      </c>
      <c r="N27" s="13">
        <f t="shared" si="6"/>
        <v>6</v>
      </c>
      <c r="O27" s="13">
        <f t="shared" si="6"/>
        <v>1</v>
      </c>
      <c r="P27" s="13">
        <f t="shared" si="6"/>
        <v>2</v>
      </c>
      <c r="Q27" s="13">
        <f t="shared" si="6"/>
        <v>1</v>
      </c>
      <c r="R27" s="13">
        <f t="shared" si="6"/>
        <v>2</v>
      </c>
      <c r="S27" s="13">
        <f t="shared" si="6"/>
        <v>2</v>
      </c>
      <c r="T27" s="13">
        <f t="shared" si="6"/>
        <v>0</v>
      </c>
      <c r="U27" s="13">
        <f t="shared" si="6"/>
        <v>3</v>
      </c>
      <c r="V27" s="13">
        <f t="shared" si="6"/>
        <v>2</v>
      </c>
      <c r="W27" s="13">
        <f t="shared" si="6"/>
        <v>2</v>
      </c>
      <c r="X27" s="13">
        <f t="shared" si="6"/>
        <v>4</v>
      </c>
      <c r="Y27" s="13">
        <f t="shared" si="6"/>
        <v>0</v>
      </c>
      <c r="Z27" s="13">
        <f t="shared" si="6"/>
        <v>1</v>
      </c>
      <c r="AA27" s="13">
        <f t="shared" si="6"/>
        <v>7</v>
      </c>
      <c r="AB27" s="13">
        <f t="shared" si="6"/>
        <v>0</v>
      </c>
      <c r="AC27" s="13">
        <f t="shared" si="6"/>
        <v>3</v>
      </c>
      <c r="AD27" s="13">
        <f t="shared" si="6"/>
        <v>3</v>
      </c>
      <c r="AE27" s="13">
        <f t="shared" si="6"/>
        <v>0</v>
      </c>
      <c r="AF27" s="13">
        <f t="shared" si="3"/>
        <v>56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104</v>
      </c>
      <c r="F28" s="13">
        <f t="shared" si="7"/>
        <v>107</v>
      </c>
      <c r="G28" s="13">
        <f t="shared" si="7"/>
        <v>102</v>
      </c>
      <c r="H28" s="13">
        <f t="shared" si="7"/>
        <v>102</v>
      </c>
      <c r="I28" s="13">
        <f t="shared" si="7"/>
        <v>93</v>
      </c>
      <c r="J28" s="13">
        <f t="shared" si="7"/>
        <v>101</v>
      </c>
      <c r="K28" s="13">
        <f t="shared" si="7"/>
        <v>108</v>
      </c>
      <c r="L28" s="13">
        <f t="shared" si="7"/>
        <v>103</v>
      </c>
      <c r="M28" s="13">
        <f t="shared" si="7"/>
        <v>86</v>
      </c>
      <c r="N28" s="13">
        <f t="shared" si="7"/>
        <v>105</v>
      </c>
      <c r="O28" s="13">
        <f t="shared" si="7"/>
        <v>99</v>
      </c>
      <c r="P28" s="13">
        <f t="shared" si="7"/>
        <v>98</v>
      </c>
      <c r="Q28" s="13">
        <f t="shared" si="7"/>
        <v>101</v>
      </c>
      <c r="R28" s="13">
        <f t="shared" si="7"/>
        <v>94</v>
      </c>
      <c r="S28" s="13">
        <f t="shared" si="7"/>
        <v>103</v>
      </c>
      <c r="T28" s="13">
        <f t="shared" si="7"/>
        <v>100</v>
      </c>
      <c r="U28" s="13">
        <f t="shared" si="7"/>
        <v>90</v>
      </c>
      <c r="V28" s="13">
        <f t="shared" si="7"/>
        <v>111</v>
      </c>
      <c r="W28" s="13">
        <f t="shared" si="7"/>
        <v>90</v>
      </c>
      <c r="X28" s="13">
        <f t="shared" si="7"/>
        <v>86</v>
      </c>
      <c r="Y28" s="13">
        <f t="shared" si="7"/>
        <v>94</v>
      </c>
      <c r="Z28" s="13">
        <f t="shared" si="7"/>
        <v>99</v>
      </c>
      <c r="AA28" s="13">
        <f t="shared" si="7"/>
        <v>109</v>
      </c>
      <c r="AB28" s="13">
        <f t="shared" si="7"/>
        <v>104</v>
      </c>
      <c r="AC28" s="13">
        <f t="shared" si="7"/>
        <v>124</v>
      </c>
      <c r="AD28" s="13">
        <f t="shared" si="7"/>
        <v>120</v>
      </c>
      <c r="AE28" s="13">
        <f t="shared" si="7"/>
        <v>110</v>
      </c>
      <c r="AF28" s="13">
        <f t="shared" si="3"/>
        <v>2743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105</v>
      </c>
      <c r="F29" s="13">
        <f t="shared" si="8"/>
        <v>120</v>
      </c>
      <c r="G29" s="13">
        <f t="shared" si="8"/>
        <v>108</v>
      </c>
      <c r="H29" s="13">
        <f t="shared" si="8"/>
        <v>88</v>
      </c>
      <c r="I29" s="13">
        <f t="shared" si="8"/>
        <v>96</v>
      </c>
      <c r="J29" s="13">
        <f t="shared" si="8"/>
        <v>107</v>
      </c>
      <c r="K29" s="13">
        <f t="shared" si="8"/>
        <v>109</v>
      </c>
      <c r="L29" s="13">
        <f t="shared" si="8"/>
        <v>96</v>
      </c>
      <c r="M29" s="13">
        <f t="shared" si="8"/>
        <v>104</v>
      </c>
      <c r="N29" s="13">
        <f t="shared" si="8"/>
        <v>105</v>
      </c>
      <c r="O29" s="13">
        <f t="shared" si="8"/>
        <v>102</v>
      </c>
      <c r="P29" s="13">
        <f t="shared" si="8"/>
        <v>112</v>
      </c>
      <c r="Q29" s="13">
        <f t="shared" si="8"/>
        <v>105</v>
      </c>
      <c r="R29" s="13">
        <f t="shared" si="8"/>
        <v>100</v>
      </c>
      <c r="S29" s="13">
        <f t="shared" si="8"/>
        <v>106</v>
      </c>
      <c r="T29" s="13">
        <f t="shared" si="8"/>
        <v>101</v>
      </c>
      <c r="U29" s="13">
        <f t="shared" si="8"/>
        <v>95</v>
      </c>
      <c r="V29" s="13">
        <f t="shared" si="8"/>
        <v>95</v>
      </c>
      <c r="W29" s="13">
        <f t="shared" si="8"/>
        <v>105</v>
      </c>
      <c r="X29" s="13">
        <f t="shared" si="8"/>
        <v>108</v>
      </c>
      <c r="Y29" s="13">
        <f t="shared" si="8"/>
        <v>98</v>
      </c>
      <c r="Z29" s="13">
        <f t="shared" si="8"/>
        <v>105</v>
      </c>
      <c r="AA29" s="13">
        <f t="shared" si="8"/>
        <v>115</v>
      </c>
      <c r="AB29" s="13">
        <f t="shared" si="8"/>
        <v>123</v>
      </c>
      <c r="AC29" s="13">
        <f t="shared" si="8"/>
        <v>125</v>
      </c>
      <c r="AD29" s="13">
        <f t="shared" si="8"/>
        <v>129</v>
      </c>
      <c r="AE29" s="13">
        <f t="shared" si="8"/>
        <v>113</v>
      </c>
      <c r="AF29" s="13">
        <f t="shared" si="3"/>
        <v>2875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209</v>
      </c>
      <c r="F30" s="13">
        <f t="shared" si="9"/>
        <v>227</v>
      </c>
      <c r="G30" s="13">
        <f t="shared" si="9"/>
        <v>210</v>
      </c>
      <c r="H30" s="13">
        <f t="shared" si="9"/>
        <v>190</v>
      </c>
      <c r="I30" s="13">
        <f t="shared" si="9"/>
        <v>189</v>
      </c>
      <c r="J30" s="13">
        <f t="shared" si="9"/>
        <v>208</v>
      </c>
      <c r="K30" s="13">
        <f t="shared" si="9"/>
        <v>217</v>
      </c>
      <c r="L30" s="13">
        <f t="shared" si="9"/>
        <v>199</v>
      </c>
      <c r="M30" s="13">
        <f t="shared" si="9"/>
        <v>190</v>
      </c>
      <c r="N30" s="13">
        <f t="shared" si="9"/>
        <v>210</v>
      </c>
      <c r="O30" s="13">
        <f t="shared" si="9"/>
        <v>201</v>
      </c>
      <c r="P30" s="13">
        <f t="shared" si="9"/>
        <v>210</v>
      </c>
      <c r="Q30" s="13">
        <f t="shared" si="9"/>
        <v>206</v>
      </c>
      <c r="R30" s="13">
        <f t="shared" si="9"/>
        <v>194</v>
      </c>
      <c r="S30" s="13">
        <f t="shared" si="9"/>
        <v>209</v>
      </c>
      <c r="T30" s="13">
        <f t="shared" si="9"/>
        <v>201</v>
      </c>
      <c r="U30" s="13">
        <f t="shared" si="9"/>
        <v>185</v>
      </c>
      <c r="V30" s="13">
        <f t="shared" si="9"/>
        <v>206</v>
      </c>
      <c r="W30" s="13">
        <f t="shared" si="9"/>
        <v>195</v>
      </c>
      <c r="X30" s="13">
        <f t="shared" si="9"/>
        <v>194</v>
      </c>
      <c r="Y30" s="13">
        <f t="shared" si="9"/>
        <v>192</v>
      </c>
      <c r="Z30" s="13">
        <f t="shared" si="9"/>
        <v>204</v>
      </c>
      <c r="AA30" s="13">
        <f t="shared" si="9"/>
        <v>224</v>
      </c>
      <c r="AB30" s="13">
        <f t="shared" si="9"/>
        <v>227</v>
      </c>
      <c r="AC30" s="13">
        <f t="shared" si="9"/>
        <v>249</v>
      </c>
      <c r="AD30" s="13">
        <f t="shared" si="9"/>
        <v>249</v>
      </c>
      <c r="AE30" s="13">
        <f t="shared" si="9"/>
        <v>223</v>
      </c>
      <c r="AF30" s="13">
        <f t="shared" si="3"/>
        <v>5618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0"/>
      <c r="O31" s="19"/>
      <c r="P31" s="19"/>
      <c r="Q31" s="19"/>
      <c r="R31" s="19"/>
      <c r="S31" s="70"/>
      <c r="T31" s="19"/>
      <c r="U31" s="19"/>
      <c r="V31" s="19"/>
      <c r="W31" s="19"/>
      <c r="X31" s="70"/>
      <c r="Y31" s="19"/>
      <c r="Z31" s="19"/>
      <c r="AA31" s="19"/>
      <c r="AB31" s="19"/>
      <c r="AC31" s="70"/>
      <c r="AD31" s="19"/>
      <c r="AE31" s="19"/>
      <c r="AF31" s="71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2"/>
      <c r="O32" s="13"/>
      <c r="P32" s="13"/>
      <c r="Q32" s="13"/>
      <c r="R32" s="13"/>
      <c r="S32" s="72"/>
      <c r="T32" s="13"/>
      <c r="U32" s="13"/>
      <c r="V32" s="13"/>
      <c r="W32" s="13"/>
      <c r="X32" s="72"/>
      <c r="Y32" s="13"/>
      <c r="Z32" s="13"/>
      <c r="AA32" s="13"/>
      <c r="AB32" s="13"/>
      <c r="AC32" s="72"/>
      <c r="AD32" s="13"/>
      <c r="AE32" s="13"/>
      <c r="AF32" s="71"/>
    </row>
    <row r="33" ht="12.75" customHeight="1">
      <c r="A33" s="19">
        <v>1.0</v>
      </c>
      <c r="B33" s="20" t="s">
        <v>27</v>
      </c>
      <c r="C33" s="15"/>
      <c r="D33" s="16"/>
      <c r="E33" s="69">
        <v>277.0</v>
      </c>
      <c r="F33" s="69">
        <v>265.0</v>
      </c>
      <c r="G33" s="69">
        <v>277.0</v>
      </c>
      <c r="H33" s="69">
        <v>262.0</v>
      </c>
      <c r="I33" s="69">
        <v>269.0</v>
      </c>
      <c r="J33" s="69">
        <v>272.0</v>
      </c>
      <c r="K33" s="69">
        <v>270.0</v>
      </c>
      <c r="L33" s="69">
        <v>267.0</v>
      </c>
      <c r="M33" s="69">
        <v>275.0</v>
      </c>
      <c r="N33" s="69">
        <v>266.0</v>
      </c>
      <c r="O33" s="69">
        <v>266.0</v>
      </c>
      <c r="P33" s="69">
        <v>282.0</v>
      </c>
      <c r="Q33" s="69">
        <v>274.0</v>
      </c>
      <c r="R33" s="69">
        <v>274.0</v>
      </c>
      <c r="S33" s="69">
        <v>276.0</v>
      </c>
      <c r="T33" s="69">
        <v>273.0</v>
      </c>
      <c r="U33" s="69">
        <v>233.0</v>
      </c>
      <c r="V33" s="69">
        <v>246.0</v>
      </c>
      <c r="W33" s="69">
        <v>252.0</v>
      </c>
      <c r="X33" s="69">
        <v>249.0</v>
      </c>
      <c r="Y33" s="69">
        <v>249.0</v>
      </c>
      <c r="Z33" s="69">
        <v>241.0</v>
      </c>
      <c r="AA33" s="69">
        <v>274.0</v>
      </c>
      <c r="AB33" s="69">
        <v>285.0</v>
      </c>
      <c r="AC33" s="69">
        <v>295.0</v>
      </c>
      <c r="AD33" s="69">
        <v>303.0</v>
      </c>
      <c r="AE33" s="69">
        <v>300.0</v>
      </c>
      <c r="AF33" s="13">
        <f t="shared" ref="AF33:AF36" si="10">SUM(E33:AE33)</f>
        <v>7272</v>
      </c>
    </row>
    <row r="34" ht="12.75" customHeight="1">
      <c r="A34" s="19">
        <v>2.0</v>
      </c>
      <c r="B34" s="20" t="s">
        <v>28</v>
      </c>
      <c r="C34" s="15"/>
      <c r="D34" s="16"/>
      <c r="E34" s="73">
        <v>209.0</v>
      </c>
      <c r="F34" s="73">
        <v>227.0</v>
      </c>
      <c r="G34" s="73">
        <v>210.0</v>
      </c>
      <c r="H34" s="73">
        <v>190.0</v>
      </c>
      <c r="I34" s="73">
        <v>189.0</v>
      </c>
      <c r="J34" s="73">
        <v>208.0</v>
      </c>
      <c r="K34" s="73">
        <v>217.0</v>
      </c>
      <c r="L34" s="73">
        <v>199.0</v>
      </c>
      <c r="M34" s="73">
        <v>190.0</v>
      </c>
      <c r="N34" s="73">
        <v>210.0</v>
      </c>
      <c r="O34" s="73">
        <v>201.0</v>
      </c>
      <c r="P34" s="73">
        <v>210.0</v>
      </c>
      <c r="Q34" s="73">
        <v>206.0</v>
      </c>
      <c r="R34" s="73">
        <v>194.0</v>
      </c>
      <c r="S34" s="73">
        <v>209.0</v>
      </c>
      <c r="T34" s="73">
        <v>201.0</v>
      </c>
      <c r="U34" s="73">
        <v>185.0</v>
      </c>
      <c r="V34" s="73">
        <v>206.0</v>
      </c>
      <c r="W34" s="73">
        <v>195.0</v>
      </c>
      <c r="X34" s="73">
        <v>194.0</v>
      </c>
      <c r="Y34" s="73">
        <v>192.0</v>
      </c>
      <c r="Z34" s="73">
        <v>204.0</v>
      </c>
      <c r="AA34" s="73">
        <v>224.0</v>
      </c>
      <c r="AB34" s="73">
        <v>227.0</v>
      </c>
      <c r="AC34" s="73">
        <v>249.0</v>
      </c>
      <c r="AD34" s="73">
        <v>249.0</v>
      </c>
      <c r="AE34" s="73">
        <v>223.0</v>
      </c>
      <c r="AF34" s="13">
        <f t="shared" si="10"/>
        <v>5618</v>
      </c>
    </row>
    <row r="35" ht="12.75" customHeight="1">
      <c r="A35" s="19">
        <v>3.0</v>
      </c>
      <c r="B35" s="20" t="s">
        <v>29</v>
      </c>
      <c r="C35" s="15"/>
      <c r="D35" s="16"/>
      <c r="E35" s="69">
        <v>1.0</v>
      </c>
      <c r="F35" s="69">
        <v>0.0</v>
      </c>
      <c r="G35" s="69">
        <v>3.0</v>
      </c>
      <c r="H35" s="69">
        <v>0.0</v>
      </c>
      <c r="I35" s="69">
        <v>0.0</v>
      </c>
      <c r="J35" s="69">
        <v>1.0</v>
      </c>
      <c r="K35" s="69">
        <v>0.0</v>
      </c>
      <c r="L35" s="69">
        <v>0.0</v>
      </c>
      <c r="M35" s="69">
        <v>0.0</v>
      </c>
      <c r="N35" s="69">
        <v>0.0</v>
      </c>
      <c r="O35" s="69">
        <v>0.0</v>
      </c>
      <c r="P35" s="69">
        <v>0.0</v>
      </c>
      <c r="Q35" s="69">
        <v>1.0</v>
      </c>
      <c r="R35" s="69">
        <v>0.0</v>
      </c>
      <c r="S35" s="69">
        <v>1.0</v>
      </c>
      <c r="T35" s="69">
        <v>0.0</v>
      </c>
      <c r="U35" s="69">
        <v>0.0</v>
      </c>
      <c r="V35" s="69">
        <v>2.0</v>
      </c>
      <c r="W35" s="69">
        <v>1.0</v>
      </c>
      <c r="X35" s="69">
        <v>0.0</v>
      </c>
      <c r="Y35" s="69">
        <v>0.0</v>
      </c>
      <c r="Z35" s="69">
        <v>0.0</v>
      </c>
      <c r="AA35" s="69">
        <v>0.0</v>
      </c>
      <c r="AB35" s="69">
        <v>1.0</v>
      </c>
      <c r="AC35" s="69">
        <v>2.0</v>
      </c>
      <c r="AD35" s="69">
        <v>0.0</v>
      </c>
      <c r="AE35" s="69">
        <v>1.0</v>
      </c>
      <c r="AF35" s="13">
        <f t="shared" si="10"/>
        <v>14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67</v>
      </c>
      <c r="F36" s="13">
        <f t="shared" si="11"/>
        <v>38</v>
      </c>
      <c r="G36" s="13">
        <f t="shared" si="11"/>
        <v>64</v>
      </c>
      <c r="H36" s="13">
        <f t="shared" si="11"/>
        <v>72</v>
      </c>
      <c r="I36" s="13">
        <f t="shared" si="11"/>
        <v>80</v>
      </c>
      <c r="J36" s="13">
        <f t="shared" si="11"/>
        <v>63</v>
      </c>
      <c r="K36" s="13">
        <f t="shared" si="11"/>
        <v>53</v>
      </c>
      <c r="L36" s="13">
        <f t="shared" si="11"/>
        <v>68</v>
      </c>
      <c r="M36" s="13">
        <f t="shared" si="11"/>
        <v>85</v>
      </c>
      <c r="N36" s="13">
        <f t="shared" si="11"/>
        <v>56</v>
      </c>
      <c r="O36" s="13">
        <f t="shared" si="11"/>
        <v>65</v>
      </c>
      <c r="P36" s="13">
        <f t="shared" si="11"/>
        <v>72</v>
      </c>
      <c r="Q36" s="13">
        <f t="shared" si="11"/>
        <v>67</v>
      </c>
      <c r="R36" s="13">
        <f t="shared" si="11"/>
        <v>80</v>
      </c>
      <c r="S36" s="13">
        <f t="shared" si="11"/>
        <v>66</v>
      </c>
      <c r="T36" s="13">
        <f t="shared" si="11"/>
        <v>72</v>
      </c>
      <c r="U36" s="13">
        <f t="shared" si="11"/>
        <v>48</v>
      </c>
      <c r="V36" s="13">
        <f t="shared" si="11"/>
        <v>38</v>
      </c>
      <c r="W36" s="13">
        <f t="shared" si="11"/>
        <v>56</v>
      </c>
      <c r="X36" s="13">
        <f t="shared" si="11"/>
        <v>55</v>
      </c>
      <c r="Y36" s="13">
        <f t="shared" si="11"/>
        <v>57</v>
      </c>
      <c r="Z36" s="13">
        <f t="shared" si="11"/>
        <v>37</v>
      </c>
      <c r="AA36" s="13">
        <f t="shared" si="11"/>
        <v>50</v>
      </c>
      <c r="AB36" s="13">
        <f t="shared" si="11"/>
        <v>57</v>
      </c>
      <c r="AC36" s="13">
        <f t="shared" si="11"/>
        <v>44</v>
      </c>
      <c r="AD36" s="13">
        <f t="shared" si="11"/>
        <v>54</v>
      </c>
      <c r="AE36" s="13">
        <f t="shared" si="11"/>
        <v>76</v>
      </c>
      <c r="AF36" s="13">
        <f t="shared" si="10"/>
        <v>1640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0"/>
      <c r="O37" s="19"/>
      <c r="P37" s="19"/>
      <c r="Q37" s="19"/>
      <c r="R37" s="19"/>
      <c r="S37" s="70"/>
      <c r="T37" s="19"/>
      <c r="U37" s="19"/>
      <c r="V37" s="19"/>
      <c r="W37" s="19"/>
      <c r="X37" s="70"/>
      <c r="Y37" s="19"/>
      <c r="Z37" s="19"/>
      <c r="AA37" s="19"/>
      <c r="AB37" s="19"/>
      <c r="AC37" s="70"/>
      <c r="AD37" s="19"/>
      <c r="AE37" s="19"/>
      <c r="AF37" s="71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2"/>
      <c r="O38" s="13"/>
      <c r="P38" s="13"/>
      <c r="Q38" s="13"/>
      <c r="R38" s="13"/>
      <c r="S38" s="72"/>
      <c r="T38" s="13"/>
      <c r="U38" s="13"/>
      <c r="V38" s="13"/>
      <c r="W38" s="13"/>
      <c r="X38" s="72"/>
      <c r="Y38" s="13"/>
      <c r="Z38" s="13"/>
      <c r="AA38" s="13"/>
      <c r="AB38" s="13"/>
      <c r="AC38" s="72"/>
      <c r="AD38" s="13"/>
      <c r="AE38" s="13"/>
      <c r="AF38" s="71"/>
    </row>
    <row r="39" ht="12.75" customHeight="1">
      <c r="A39" s="30"/>
      <c r="B39" s="43" t="s">
        <v>33</v>
      </c>
      <c r="C39" s="23"/>
      <c r="D39" s="19" t="s">
        <v>12</v>
      </c>
      <c r="E39" s="69">
        <v>0.0</v>
      </c>
      <c r="F39" s="69">
        <v>0.0</v>
      </c>
      <c r="G39" s="69">
        <v>0.0</v>
      </c>
      <c r="H39" s="69">
        <v>0.0</v>
      </c>
      <c r="I39" s="69">
        <v>1.0</v>
      </c>
      <c r="J39" s="69">
        <v>0.0</v>
      </c>
      <c r="K39" s="69">
        <v>1.0</v>
      </c>
      <c r="L39" s="69">
        <v>0.0</v>
      </c>
      <c r="M39" s="69">
        <v>0.0</v>
      </c>
      <c r="N39" s="69">
        <v>0.0</v>
      </c>
      <c r="O39" s="69">
        <v>0.0</v>
      </c>
      <c r="P39" s="69">
        <v>0.0</v>
      </c>
      <c r="Q39" s="69">
        <v>0.0</v>
      </c>
      <c r="R39" s="69">
        <v>0.0</v>
      </c>
      <c r="S39" s="69">
        <v>0.0</v>
      </c>
      <c r="T39" s="69">
        <v>0.0</v>
      </c>
      <c r="U39" s="69">
        <v>0.0</v>
      </c>
      <c r="V39" s="69">
        <v>0.0</v>
      </c>
      <c r="W39" s="69">
        <v>0.0</v>
      </c>
      <c r="X39" s="69">
        <v>0.0</v>
      </c>
      <c r="Y39" s="69">
        <v>0.0</v>
      </c>
      <c r="Z39" s="69">
        <v>0.0</v>
      </c>
      <c r="AA39" s="69">
        <v>0.0</v>
      </c>
      <c r="AB39" s="69">
        <v>0.0</v>
      </c>
      <c r="AC39" s="69">
        <v>0.0</v>
      </c>
      <c r="AD39" s="69">
        <v>0.0</v>
      </c>
      <c r="AE39" s="69">
        <v>0.0</v>
      </c>
      <c r="AF39" s="13">
        <f t="shared" ref="AF39:AF41" si="12">SUM(E39:AE39)</f>
        <v>2</v>
      </c>
    </row>
    <row r="40" ht="12.75" customHeight="1">
      <c r="A40" s="33"/>
      <c r="C40" s="27"/>
      <c r="D40" s="19" t="s">
        <v>13</v>
      </c>
      <c r="E40" s="69">
        <v>0.0</v>
      </c>
      <c r="F40" s="69">
        <v>0.0</v>
      </c>
      <c r="G40" s="69">
        <v>0.0</v>
      </c>
      <c r="H40" s="69">
        <v>0.0</v>
      </c>
      <c r="I40" s="69">
        <v>0.0</v>
      </c>
      <c r="J40" s="69">
        <v>0.0</v>
      </c>
      <c r="K40" s="69">
        <v>1.0</v>
      </c>
      <c r="L40" s="69">
        <v>0.0</v>
      </c>
      <c r="M40" s="69">
        <v>0.0</v>
      </c>
      <c r="N40" s="69">
        <v>0.0</v>
      </c>
      <c r="O40" s="69">
        <v>0.0</v>
      </c>
      <c r="P40" s="69">
        <v>0.0</v>
      </c>
      <c r="Q40" s="69">
        <v>0.0</v>
      </c>
      <c r="R40" s="69">
        <v>0.0</v>
      </c>
      <c r="S40" s="69">
        <v>0.0</v>
      </c>
      <c r="T40" s="69">
        <v>0.0</v>
      </c>
      <c r="U40" s="69">
        <v>0.0</v>
      </c>
      <c r="V40" s="69">
        <v>0.0</v>
      </c>
      <c r="W40" s="69">
        <v>0.0</v>
      </c>
      <c r="X40" s="69">
        <v>0.0</v>
      </c>
      <c r="Y40" s="69">
        <v>0.0</v>
      </c>
      <c r="Z40" s="69">
        <v>0.0</v>
      </c>
      <c r="AA40" s="69">
        <v>0.0</v>
      </c>
      <c r="AB40" s="69">
        <v>1.0</v>
      </c>
      <c r="AC40" s="69">
        <v>0.0</v>
      </c>
      <c r="AD40" s="69">
        <v>0.0</v>
      </c>
      <c r="AE40" s="69">
        <v>0.0</v>
      </c>
      <c r="AF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2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1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0"/>
      <c r="O42" s="19"/>
      <c r="P42" s="19"/>
      <c r="Q42" s="19"/>
      <c r="R42" s="19"/>
      <c r="S42" s="70"/>
      <c r="T42" s="19"/>
      <c r="U42" s="19"/>
      <c r="V42" s="19"/>
      <c r="W42" s="19"/>
      <c r="X42" s="70"/>
      <c r="Y42" s="19"/>
      <c r="Z42" s="19"/>
      <c r="AA42" s="19"/>
      <c r="AB42" s="19"/>
      <c r="AC42" s="70"/>
      <c r="AD42" s="19"/>
      <c r="AE42" s="19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2"/>
      <c r="O43" s="13"/>
      <c r="P43" s="13"/>
      <c r="Q43" s="13"/>
      <c r="R43" s="13"/>
      <c r="S43" s="72"/>
      <c r="T43" s="13"/>
      <c r="U43" s="13"/>
      <c r="V43" s="13"/>
      <c r="W43" s="13"/>
      <c r="X43" s="72"/>
      <c r="Y43" s="13"/>
      <c r="Z43" s="13"/>
      <c r="AA43" s="13"/>
      <c r="AB43" s="13"/>
      <c r="AC43" s="72"/>
      <c r="AD43" s="13"/>
      <c r="AE43" s="13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0"/>
      <c r="O44" s="19"/>
      <c r="P44" s="19"/>
      <c r="Q44" s="19"/>
      <c r="R44" s="19"/>
      <c r="S44" s="70"/>
      <c r="T44" s="19"/>
      <c r="U44" s="19"/>
      <c r="V44" s="19"/>
      <c r="W44" s="19"/>
      <c r="X44" s="70"/>
      <c r="Y44" s="19"/>
      <c r="Z44" s="19"/>
      <c r="AA44" s="19"/>
      <c r="AB44" s="19"/>
      <c r="AC44" s="70"/>
      <c r="AD44" s="19"/>
      <c r="AE44" s="19"/>
      <c r="AF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69">
        <v>4.0</v>
      </c>
      <c r="F45" s="69">
        <v>10.0</v>
      </c>
      <c r="G45" s="69">
        <v>8.0</v>
      </c>
      <c r="H45" s="69">
        <v>2.0</v>
      </c>
      <c r="I45" s="69">
        <v>3.0</v>
      </c>
      <c r="J45" s="69">
        <v>6.0</v>
      </c>
      <c r="K45" s="69">
        <v>3.0</v>
      </c>
      <c r="L45" s="69">
        <v>11.0</v>
      </c>
      <c r="M45" s="69">
        <v>6.0</v>
      </c>
      <c r="N45" s="69">
        <v>7.0</v>
      </c>
      <c r="O45" s="69">
        <v>10.0</v>
      </c>
      <c r="P45" s="69">
        <v>3.0</v>
      </c>
      <c r="Q45" s="69">
        <v>1.0</v>
      </c>
      <c r="R45" s="69">
        <v>10.0</v>
      </c>
      <c r="S45" s="69">
        <v>8.0</v>
      </c>
      <c r="T45" s="69">
        <v>2.0</v>
      </c>
      <c r="U45" s="69">
        <v>4.0</v>
      </c>
      <c r="V45" s="69">
        <v>7.0</v>
      </c>
      <c r="W45" s="69">
        <v>0.0</v>
      </c>
      <c r="X45" s="69">
        <v>1.0</v>
      </c>
      <c r="Y45" s="69">
        <v>10.0</v>
      </c>
      <c r="Z45" s="69">
        <v>4.0</v>
      </c>
      <c r="AA45" s="69">
        <v>5.0</v>
      </c>
      <c r="AB45" s="69">
        <v>1.0</v>
      </c>
      <c r="AC45" s="69">
        <v>0.0</v>
      </c>
      <c r="AD45" s="69">
        <v>2.0</v>
      </c>
      <c r="AE45" s="69">
        <v>1.0</v>
      </c>
      <c r="AF45" s="13">
        <f t="shared" ref="AF45:AF53" si="14">SUM(E45:AE45)</f>
        <v>129</v>
      </c>
    </row>
    <row r="46" ht="12.75" customHeight="1">
      <c r="A46" s="30" t="s">
        <v>39</v>
      </c>
      <c r="B46" s="49"/>
      <c r="C46" s="50" t="s">
        <v>40</v>
      </c>
      <c r="D46" s="51"/>
      <c r="E46" s="69">
        <v>5.0</v>
      </c>
      <c r="F46" s="69">
        <v>12.0</v>
      </c>
      <c r="G46" s="69">
        <v>8.0</v>
      </c>
      <c r="H46" s="69">
        <v>5.0</v>
      </c>
      <c r="I46" s="69">
        <v>0.0</v>
      </c>
      <c r="J46" s="69">
        <v>1.0</v>
      </c>
      <c r="K46" s="69">
        <v>5.0</v>
      </c>
      <c r="L46" s="69">
        <v>5.0</v>
      </c>
      <c r="M46" s="69">
        <v>14.0</v>
      </c>
      <c r="N46" s="69">
        <v>3.0</v>
      </c>
      <c r="O46" s="69">
        <v>2.0</v>
      </c>
      <c r="P46" s="69">
        <v>1.0</v>
      </c>
      <c r="Q46" s="69">
        <v>1.0</v>
      </c>
      <c r="R46" s="69">
        <v>2.0</v>
      </c>
      <c r="S46" s="69">
        <v>6.0</v>
      </c>
      <c r="T46" s="69">
        <v>3.0</v>
      </c>
      <c r="U46" s="69">
        <v>2.0</v>
      </c>
      <c r="V46" s="69">
        <v>8.0</v>
      </c>
      <c r="W46" s="69">
        <v>2.0</v>
      </c>
      <c r="X46" s="69">
        <v>1.0</v>
      </c>
      <c r="Y46" s="69">
        <v>7.0</v>
      </c>
      <c r="Z46" s="69">
        <v>4.0</v>
      </c>
      <c r="AA46" s="69">
        <v>0.0</v>
      </c>
      <c r="AB46" s="69">
        <v>2.0</v>
      </c>
      <c r="AC46" s="69">
        <v>2.0</v>
      </c>
      <c r="AD46" s="69">
        <v>0.0</v>
      </c>
      <c r="AE46" s="69">
        <v>2.0</v>
      </c>
      <c r="AF46" s="13">
        <f t="shared" si="14"/>
        <v>103</v>
      </c>
    </row>
    <row r="47" ht="12.75" customHeight="1">
      <c r="A47" s="18"/>
      <c r="B47" s="49"/>
      <c r="C47" s="50" t="s">
        <v>41</v>
      </c>
      <c r="D47" s="51"/>
      <c r="E47" s="69">
        <v>6.0</v>
      </c>
      <c r="F47" s="69">
        <v>16.0</v>
      </c>
      <c r="G47" s="69">
        <v>7.0</v>
      </c>
      <c r="H47" s="69">
        <v>1.0</v>
      </c>
      <c r="I47" s="69">
        <v>0.0</v>
      </c>
      <c r="J47" s="69">
        <v>4.0</v>
      </c>
      <c r="K47" s="69">
        <v>0.0</v>
      </c>
      <c r="L47" s="69">
        <v>1.0</v>
      </c>
      <c r="M47" s="69">
        <v>7.0</v>
      </c>
      <c r="N47" s="69">
        <v>26.0</v>
      </c>
      <c r="O47" s="69">
        <v>28.0</v>
      </c>
      <c r="P47" s="69">
        <v>24.0</v>
      </c>
      <c r="Q47" s="69">
        <v>35.0</v>
      </c>
      <c r="R47" s="69">
        <v>14.0</v>
      </c>
      <c r="S47" s="69">
        <v>29.0</v>
      </c>
      <c r="T47" s="69">
        <v>32.0</v>
      </c>
      <c r="U47" s="69">
        <v>30.0</v>
      </c>
      <c r="V47" s="69">
        <v>20.0</v>
      </c>
      <c r="W47" s="69">
        <v>18.0</v>
      </c>
      <c r="X47" s="69">
        <v>9.0</v>
      </c>
      <c r="Y47" s="69">
        <v>20.0</v>
      </c>
      <c r="Z47" s="69">
        <v>38.0</v>
      </c>
      <c r="AA47" s="69">
        <v>15.0</v>
      </c>
      <c r="AB47" s="69">
        <v>15.0</v>
      </c>
      <c r="AC47" s="69">
        <v>2.0</v>
      </c>
      <c r="AD47" s="69">
        <v>0.0</v>
      </c>
      <c r="AE47" s="69">
        <v>2.0</v>
      </c>
      <c r="AF47" s="13">
        <f t="shared" si="14"/>
        <v>399</v>
      </c>
    </row>
    <row r="48" ht="12.75" customHeight="1">
      <c r="A48" s="18"/>
      <c r="B48" s="49"/>
      <c r="C48" s="50" t="s">
        <v>42</v>
      </c>
      <c r="D48" s="51"/>
      <c r="E48" s="69">
        <v>24.0</v>
      </c>
      <c r="F48" s="69">
        <v>52.0</v>
      </c>
      <c r="G48" s="69">
        <v>35.0</v>
      </c>
      <c r="H48" s="69">
        <v>28.0</v>
      </c>
      <c r="I48" s="69">
        <v>47.0</v>
      </c>
      <c r="J48" s="69">
        <v>51.0</v>
      </c>
      <c r="K48" s="69">
        <v>63.0</v>
      </c>
      <c r="L48" s="69">
        <v>53.0</v>
      </c>
      <c r="M48" s="69">
        <v>42.0</v>
      </c>
      <c r="N48" s="69">
        <v>38.0</v>
      </c>
      <c r="O48" s="69">
        <v>8.0</v>
      </c>
      <c r="P48" s="69">
        <v>10.0</v>
      </c>
      <c r="Q48" s="69">
        <v>8.0</v>
      </c>
      <c r="R48" s="69">
        <v>9.0</v>
      </c>
      <c r="S48" s="69">
        <v>10.0</v>
      </c>
      <c r="T48" s="69">
        <v>19.0</v>
      </c>
      <c r="U48" s="69">
        <v>10.0</v>
      </c>
      <c r="V48" s="69">
        <v>8.0</v>
      </c>
      <c r="W48" s="69">
        <v>4.0</v>
      </c>
      <c r="X48" s="69">
        <v>3.0</v>
      </c>
      <c r="Y48" s="69">
        <v>3.0</v>
      </c>
      <c r="Z48" s="69">
        <v>9.0</v>
      </c>
      <c r="AA48" s="69">
        <v>3.0</v>
      </c>
      <c r="AB48" s="69">
        <v>5.0</v>
      </c>
      <c r="AC48" s="69">
        <v>1.0</v>
      </c>
      <c r="AD48" s="69">
        <v>0.0</v>
      </c>
      <c r="AE48" s="69">
        <v>9.0</v>
      </c>
      <c r="AF48" s="13">
        <f t="shared" si="14"/>
        <v>552</v>
      </c>
    </row>
    <row r="49" ht="12.75" customHeight="1">
      <c r="A49" s="18"/>
      <c r="B49" s="49"/>
      <c r="C49" s="50" t="s">
        <v>43</v>
      </c>
      <c r="D49" s="51"/>
      <c r="E49" s="69">
        <v>0.0</v>
      </c>
      <c r="F49" s="69">
        <v>0.0</v>
      </c>
      <c r="G49" s="69">
        <v>0.0</v>
      </c>
      <c r="H49" s="69">
        <v>0.0</v>
      </c>
      <c r="I49" s="69">
        <v>0.0</v>
      </c>
      <c r="J49" s="69">
        <v>0.0</v>
      </c>
      <c r="K49" s="69">
        <v>0.0</v>
      </c>
      <c r="L49" s="69">
        <v>0.0</v>
      </c>
      <c r="M49" s="69">
        <v>0.0</v>
      </c>
      <c r="N49" s="69">
        <v>0.0</v>
      </c>
      <c r="O49" s="69">
        <v>0.0</v>
      </c>
      <c r="P49" s="69">
        <v>0.0</v>
      </c>
      <c r="Q49" s="69">
        <v>0.0</v>
      </c>
      <c r="R49" s="69">
        <v>0.0</v>
      </c>
      <c r="S49" s="69">
        <v>0.0</v>
      </c>
      <c r="T49" s="69">
        <v>0.0</v>
      </c>
      <c r="U49" s="69">
        <v>0.0</v>
      </c>
      <c r="V49" s="69">
        <v>0.0</v>
      </c>
      <c r="W49" s="69">
        <v>0.0</v>
      </c>
      <c r="X49" s="69">
        <v>0.0</v>
      </c>
      <c r="Y49" s="69">
        <v>0.0</v>
      </c>
      <c r="Z49" s="69">
        <v>0.0</v>
      </c>
      <c r="AA49" s="69">
        <v>0.0</v>
      </c>
      <c r="AB49" s="69">
        <v>0.0</v>
      </c>
      <c r="AC49" s="69">
        <v>0.0</v>
      </c>
      <c r="AD49" s="69">
        <v>0.0</v>
      </c>
      <c r="AE49" s="69">
        <v>0.0</v>
      </c>
      <c r="AF49" s="13">
        <f t="shared" si="14"/>
        <v>0</v>
      </c>
    </row>
    <row r="50" ht="12.75" customHeight="1">
      <c r="A50" s="18"/>
      <c r="B50" s="49"/>
      <c r="C50" s="50" t="s">
        <v>44</v>
      </c>
      <c r="D50" s="51"/>
      <c r="E50" s="69">
        <v>0.0</v>
      </c>
      <c r="F50" s="69">
        <v>2.0</v>
      </c>
      <c r="G50" s="69">
        <v>0.0</v>
      </c>
      <c r="H50" s="69">
        <v>0.0</v>
      </c>
      <c r="I50" s="69">
        <v>0.0</v>
      </c>
      <c r="J50" s="69">
        <v>0.0</v>
      </c>
      <c r="K50" s="69">
        <v>0.0</v>
      </c>
      <c r="L50" s="69">
        <v>0.0</v>
      </c>
      <c r="M50" s="69">
        <v>0.0</v>
      </c>
      <c r="N50" s="69">
        <v>0.0</v>
      </c>
      <c r="O50" s="69">
        <v>0.0</v>
      </c>
      <c r="P50" s="69">
        <v>0.0</v>
      </c>
      <c r="Q50" s="69">
        <v>2.0</v>
      </c>
      <c r="R50" s="69">
        <v>0.0</v>
      </c>
      <c r="S50" s="69">
        <v>1.0</v>
      </c>
      <c r="T50" s="69">
        <v>0.0</v>
      </c>
      <c r="U50" s="69">
        <v>0.0</v>
      </c>
      <c r="V50" s="69">
        <v>0.0</v>
      </c>
      <c r="W50" s="69">
        <v>0.0</v>
      </c>
      <c r="X50" s="69">
        <v>0.0</v>
      </c>
      <c r="Y50" s="69">
        <v>2.0</v>
      </c>
      <c r="Z50" s="69">
        <v>0.0</v>
      </c>
      <c r="AA50" s="69">
        <v>0.0</v>
      </c>
      <c r="AB50" s="69">
        <v>0.0</v>
      </c>
      <c r="AC50" s="69">
        <v>0.0</v>
      </c>
      <c r="AD50" s="69">
        <v>0.0</v>
      </c>
      <c r="AE50" s="69">
        <v>1.0</v>
      </c>
      <c r="AF50" s="13">
        <f t="shared" si="14"/>
        <v>8</v>
      </c>
    </row>
    <row r="51" ht="12.75" customHeight="1">
      <c r="A51" s="18"/>
      <c r="B51" s="49"/>
      <c r="C51" s="50" t="s">
        <v>45</v>
      </c>
      <c r="D51" s="51"/>
      <c r="E51" s="69">
        <v>0.0</v>
      </c>
      <c r="F51" s="69">
        <v>0.0</v>
      </c>
      <c r="G51" s="69">
        <v>0.0</v>
      </c>
      <c r="H51" s="69">
        <v>1.0</v>
      </c>
      <c r="I51" s="69">
        <v>0.0</v>
      </c>
      <c r="J51" s="69">
        <v>0.0</v>
      </c>
      <c r="K51" s="69">
        <v>0.0</v>
      </c>
      <c r="L51" s="69">
        <v>0.0</v>
      </c>
      <c r="M51" s="69">
        <v>0.0</v>
      </c>
      <c r="N51" s="69">
        <v>0.0</v>
      </c>
      <c r="O51" s="69">
        <v>0.0</v>
      </c>
      <c r="P51" s="69">
        <v>0.0</v>
      </c>
      <c r="Q51" s="69">
        <v>0.0</v>
      </c>
      <c r="R51" s="69">
        <v>0.0</v>
      </c>
      <c r="S51" s="69">
        <v>0.0</v>
      </c>
      <c r="T51" s="69">
        <v>0.0</v>
      </c>
      <c r="U51" s="69">
        <v>0.0</v>
      </c>
      <c r="V51" s="69">
        <v>0.0</v>
      </c>
      <c r="W51" s="69">
        <v>0.0</v>
      </c>
      <c r="X51" s="69">
        <v>0.0</v>
      </c>
      <c r="Y51" s="69">
        <v>0.0</v>
      </c>
      <c r="Z51" s="69">
        <v>0.0</v>
      </c>
      <c r="AA51" s="69">
        <v>0.0</v>
      </c>
      <c r="AB51" s="69">
        <v>0.0</v>
      </c>
      <c r="AC51" s="69">
        <v>0.0</v>
      </c>
      <c r="AD51" s="69">
        <v>0.0</v>
      </c>
      <c r="AE51" s="69">
        <v>0.0</v>
      </c>
      <c r="AF51" s="13">
        <f t="shared" si="14"/>
        <v>1</v>
      </c>
    </row>
    <row r="52" ht="12.75" customHeight="1">
      <c r="A52" s="18"/>
      <c r="B52" s="49"/>
      <c r="C52" s="50" t="s">
        <v>46</v>
      </c>
      <c r="D52" s="51"/>
      <c r="E52" s="69">
        <v>0.0</v>
      </c>
      <c r="F52" s="69">
        <v>0.0</v>
      </c>
      <c r="G52" s="69">
        <v>3.0</v>
      </c>
      <c r="H52" s="69">
        <v>0.0</v>
      </c>
      <c r="I52" s="69">
        <v>0.0</v>
      </c>
      <c r="J52" s="69">
        <v>2.0</v>
      </c>
      <c r="K52" s="69">
        <v>1.0</v>
      </c>
      <c r="L52" s="69">
        <v>0.0</v>
      </c>
      <c r="M52" s="69">
        <v>4.0</v>
      </c>
      <c r="N52" s="69">
        <v>1.0</v>
      </c>
      <c r="O52" s="69">
        <v>0.0</v>
      </c>
      <c r="P52" s="69">
        <v>0.0</v>
      </c>
      <c r="Q52" s="69">
        <v>1.0</v>
      </c>
      <c r="R52" s="69">
        <v>0.0</v>
      </c>
      <c r="S52" s="69">
        <v>0.0</v>
      </c>
      <c r="T52" s="69">
        <v>0.0</v>
      </c>
      <c r="U52" s="69">
        <v>0.0</v>
      </c>
      <c r="V52" s="69">
        <v>0.0</v>
      </c>
      <c r="W52" s="69">
        <v>0.0</v>
      </c>
      <c r="X52" s="69">
        <v>0.0</v>
      </c>
      <c r="Y52" s="69">
        <v>0.0</v>
      </c>
      <c r="Z52" s="69">
        <v>1.0</v>
      </c>
      <c r="AA52" s="69">
        <v>0.0</v>
      </c>
      <c r="AB52" s="69">
        <v>0.0</v>
      </c>
      <c r="AC52" s="69">
        <v>0.0</v>
      </c>
      <c r="AD52" s="69">
        <v>0.0</v>
      </c>
      <c r="AE52" s="69">
        <v>0.0</v>
      </c>
      <c r="AF52" s="13">
        <f t="shared" si="14"/>
        <v>13</v>
      </c>
    </row>
    <row r="53" ht="12.75" customHeight="1">
      <c r="A53" s="19" t="s">
        <v>15</v>
      </c>
      <c r="B53" s="47" t="s">
        <v>47</v>
      </c>
      <c r="C53" s="15"/>
      <c r="D53" s="16"/>
      <c r="E53" s="56">
        <f t="shared" ref="E53:AE53" si="15">SUM(E45:E52)</f>
        <v>39</v>
      </c>
      <c r="F53" s="56">
        <f t="shared" si="15"/>
        <v>92</v>
      </c>
      <c r="G53" s="56">
        <f t="shared" si="15"/>
        <v>61</v>
      </c>
      <c r="H53" s="56">
        <f t="shared" si="15"/>
        <v>37</v>
      </c>
      <c r="I53" s="56">
        <f t="shared" si="15"/>
        <v>50</v>
      </c>
      <c r="J53" s="56">
        <f t="shared" si="15"/>
        <v>64</v>
      </c>
      <c r="K53" s="56">
        <f t="shared" si="15"/>
        <v>72</v>
      </c>
      <c r="L53" s="56">
        <f t="shared" si="15"/>
        <v>70</v>
      </c>
      <c r="M53" s="56">
        <f t="shared" si="15"/>
        <v>73</v>
      </c>
      <c r="N53" s="56">
        <f t="shared" si="15"/>
        <v>75</v>
      </c>
      <c r="O53" s="56">
        <f t="shared" si="15"/>
        <v>48</v>
      </c>
      <c r="P53" s="56">
        <f t="shared" si="15"/>
        <v>38</v>
      </c>
      <c r="Q53" s="56">
        <f t="shared" si="15"/>
        <v>48</v>
      </c>
      <c r="R53" s="56">
        <f t="shared" si="15"/>
        <v>35</v>
      </c>
      <c r="S53" s="56">
        <f t="shared" si="15"/>
        <v>54</v>
      </c>
      <c r="T53" s="56">
        <f t="shared" si="15"/>
        <v>56</v>
      </c>
      <c r="U53" s="56">
        <f t="shared" si="15"/>
        <v>46</v>
      </c>
      <c r="V53" s="56">
        <f t="shared" si="15"/>
        <v>43</v>
      </c>
      <c r="W53" s="56">
        <f t="shared" si="15"/>
        <v>24</v>
      </c>
      <c r="X53" s="56">
        <f t="shared" si="15"/>
        <v>14</v>
      </c>
      <c r="Y53" s="56">
        <f t="shared" si="15"/>
        <v>42</v>
      </c>
      <c r="Z53" s="56">
        <f t="shared" si="15"/>
        <v>56</v>
      </c>
      <c r="AA53" s="56">
        <f t="shared" si="15"/>
        <v>23</v>
      </c>
      <c r="AB53" s="56">
        <f t="shared" si="15"/>
        <v>23</v>
      </c>
      <c r="AC53" s="56">
        <f t="shared" si="15"/>
        <v>5</v>
      </c>
      <c r="AD53" s="56">
        <f t="shared" si="15"/>
        <v>2</v>
      </c>
      <c r="AE53" s="56">
        <f t="shared" si="15"/>
        <v>15</v>
      </c>
      <c r="AF53" s="13">
        <f t="shared" si="14"/>
        <v>1205</v>
      </c>
    </row>
    <row r="54" ht="12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13"/>
    </row>
    <row r="55" ht="15.0" customHeight="1">
      <c r="A55" s="30" t="s">
        <v>37</v>
      </c>
      <c r="B55" s="47" t="s">
        <v>19</v>
      </c>
      <c r="C55" s="48" t="s">
        <v>48</v>
      </c>
      <c r="D55" s="16"/>
      <c r="E55" s="69">
        <v>4.0</v>
      </c>
      <c r="F55" s="69">
        <v>12.0</v>
      </c>
      <c r="G55" s="69">
        <v>7.0</v>
      </c>
      <c r="H55" s="69">
        <v>4.0</v>
      </c>
      <c r="I55" s="69">
        <v>4.0</v>
      </c>
      <c r="J55" s="69">
        <v>5.0</v>
      </c>
      <c r="K55" s="69">
        <v>1.0</v>
      </c>
      <c r="L55" s="69">
        <v>3.0</v>
      </c>
      <c r="M55" s="69">
        <v>3.0</v>
      </c>
      <c r="N55" s="69">
        <v>4.0</v>
      </c>
      <c r="O55" s="69">
        <v>6.0</v>
      </c>
      <c r="P55" s="69">
        <v>4.0</v>
      </c>
      <c r="Q55" s="69">
        <v>10.0</v>
      </c>
      <c r="R55" s="69">
        <v>9.0</v>
      </c>
      <c r="S55" s="69">
        <v>5.0</v>
      </c>
      <c r="T55" s="69">
        <v>4.0</v>
      </c>
      <c r="U55" s="69">
        <v>6.0</v>
      </c>
      <c r="V55" s="69">
        <v>6.0</v>
      </c>
      <c r="W55" s="69">
        <v>1.0</v>
      </c>
      <c r="X55" s="69">
        <v>2.0</v>
      </c>
      <c r="Y55" s="69">
        <v>7.0</v>
      </c>
      <c r="Z55" s="69">
        <v>5.0</v>
      </c>
      <c r="AA55" s="69">
        <v>3.0</v>
      </c>
      <c r="AB55" s="69">
        <v>4.0</v>
      </c>
      <c r="AC55" s="69">
        <v>2.0</v>
      </c>
      <c r="AD55" s="69">
        <v>9.0</v>
      </c>
      <c r="AE55" s="69">
        <v>8.0</v>
      </c>
      <c r="AF55" s="13">
        <f t="shared" ref="AF55:AF63" si="16">SUM(E55:AE55)</f>
        <v>138</v>
      </c>
    </row>
    <row r="56" ht="12.75" customHeight="1">
      <c r="A56" s="30" t="s">
        <v>39</v>
      </c>
      <c r="B56" s="49"/>
      <c r="C56" s="50" t="s">
        <v>49</v>
      </c>
      <c r="D56" s="51"/>
      <c r="E56" s="69">
        <v>4.0</v>
      </c>
      <c r="F56" s="69">
        <v>8.0</v>
      </c>
      <c r="G56" s="69">
        <v>2.0</v>
      </c>
      <c r="H56" s="69">
        <v>4.0</v>
      </c>
      <c r="I56" s="69">
        <v>1.0</v>
      </c>
      <c r="J56" s="69">
        <v>1.0</v>
      </c>
      <c r="K56" s="69">
        <v>0.0</v>
      </c>
      <c r="L56" s="69">
        <v>0.0</v>
      </c>
      <c r="M56" s="69">
        <v>2.0</v>
      </c>
      <c r="N56" s="69">
        <v>2.0</v>
      </c>
      <c r="O56" s="69">
        <v>1.0</v>
      </c>
      <c r="P56" s="69">
        <v>1.0</v>
      </c>
      <c r="Q56" s="69">
        <v>7.0</v>
      </c>
      <c r="R56" s="69">
        <v>5.0</v>
      </c>
      <c r="S56" s="69">
        <v>1.0</v>
      </c>
      <c r="T56" s="69">
        <v>0.0</v>
      </c>
      <c r="U56" s="69">
        <v>1.0</v>
      </c>
      <c r="V56" s="69">
        <v>5.0</v>
      </c>
      <c r="W56" s="69">
        <v>3.0</v>
      </c>
      <c r="X56" s="69">
        <v>5.0</v>
      </c>
      <c r="Y56" s="69">
        <v>16.0</v>
      </c>
      <c r="Z56" s="69">
        <v>2.0</v>
      </c>
      <c r="AA56" s="69">
        <v>0.0</v>
      </c>
      <c r="AB56" s="69">
        <v>1.0</v>
      </c>
      <c r="AC56" s="69">
        <v>1.0</v>
      </c>
      <c r="AD56" s="69">
        <v>5.0</v>
      </c>
      <c r="AE56" s="69">
        <v>5.0</v>
      </c>
      <c r="AF56" s="13">
        <f t="shared" si="16"/>
        <v>83</v>
      </c>
    </row>
    <row r="57" ht="12.75" customHeight="1">
      <c r="A57" s="18"/>
      <c r="B57" s="49"/>
      <c r="C57" s="50" t="s">
        <v>50</v>
      </c>
      <c r="D57" s="51"/>
      <c r="E57" s="69">
        <v>0.0</v>
      </c>
      <c r="F57" s="69">
        <v>2.0</v>
      </c>
      <c r="G57" s="69">
        <v>1.0</v>
      </c>
      <c r="H57" s="69">
        <v>2.0</v>
      </c>
      <c r="I57" s="69">
        <v>1.0</v>
      </c>
      <c r="J57" s="69">
        <v>2.0</v>
      </c>
      <c r="K57" s="69">
        <v>1.0</v>
      </c>
      <c r="L57" s="69">
        <v>4.0</v>
      </c>
      <c r="M57" s="69">
        <v>1.0</v>
      </c>
      <c r="N57" s="69">
        <v>1.0</v>
      </c>
      <c r="O57" s="69">
        <v>1.0</v>
      </c>
      <c r="P57" s="69">
        <v>6.0</v>
      </c>
      <c r="Q57" s="69">
        <v>3.0</v>
      </c>
      <c r="R57" s="69">
        <v>2.0</v>
      </c>
      <c r="S57" s="69">
        <v>7.0</v>
      </c>
      <c r="T57" s="69">
        <v>16.0</v>
      </c>
      <c r="U57" s="69">
        <v>2.0</v>
      </c>
      <c r="V57" s="69">
        <v>3.0</v>
      </c>
      <c r="W57" s="69">
        <v>2.0</v>
      </c>
      <c r="X57" s="69">
        <v>6.0</v>
      </c>
      <c r="Y57" s="69">
        <v>1.0</v>
      </c>
      <c r="Z57" s="69">
        <v>1.0</v>
      </c>
      <c r="AA57" s="69">
        <v>2.0</v>
      </c>
      <c r="AB57" s="69">
        <v>0.0</v>
      </c>
      <c r="AC57" s="69">
        <v>1.0</v>
      </c>
      <c r="AD57" s="69">
        <v>0.0</v>
      </c>
      <c r="AE57" s="69">
        <v>3.0</v>
      </c>
      <c r="AF57" s="13">
        <f t="shared" si="16"/>
        <v>71</v>
      </c>
    </row>
    <row r="58" ht="12.75" customHeight="1">
      <c r="A58" s="18"/>
      <c r="B58" s="49"/>
      <c r="C58" s="50" t="s">
        <v>51</v>
      </c>
      <c r="D58" s="51"/>
      <c r="E58" s="69">
        <v>0.0</v>
      </c>
      <c r="F58" s="69">
        <v>0.0</v>
      </c>
      <c r="G58" s="69">
        <v>1.0</v>
      </c>
      <c r="H58" s="69">
        <v>1.0</v>
      </c>
      <c r="I58" s="69">
        <v>0.0</v>
      </c>
      <c r="J58" s="69">
        <v>1.0</v>
      </c>
      <c r="K58" s="69">
        <v>0.0</v>
      </c>
      <c r="L58" s="69">
        <v>0.0</v>
      </c>
      <c r="M58" s="69">
        <v>0.0</v>
      </c>
      <c r="N58" s="69">
        <v>4.0</v>
      </c>
      <c r="O58" s="69">
        <v>1.0</v>
      </c>
      <c r="P58" s="69">
        <v>0.0</v>
      </c>
      <c r="Q58" s="69">
        <v>1.0</v>
      </c>
      <c r="R58" s="69">
        <v>5.0</v>
      </c>
      <c r="S58" s="69">
        <v>0.0</v>
      </c>
      <c r="T58" s="69">
        <v>0.0</v>
      </c>
      <c r="U58" s="69">
        <v>0.0</v>
      </c>
      <c r="V58" s="69">
        <v>2.0</v>
      </c>
      <c r="W58" s="69">
        <v>0.0</v>
      </c>
      <c r="X58" s="69">
        <v>0.0</v>
      </c>
      <c r="Y58" s="69">
        <v>0.0</v>
      </c>
      <c r="Z58" s="69">
        <v>4.0</v>
      </c>
      <c r="AA58" s="69">
        <v>0.0</v>
      </c>
      <c r="AB58" s="69">
        <v>1.0</v>
      </c>
      <c r="AC58" s="69">
        <v>0.0</v>
      </c>
      <c r="AD58" s="69">
        <v>3.0</v>
      </c>
      <c r="AE58" s="69">
        <v>1.0</v>
      </c>
      <c r="AF58" s="13">
        <f t="shared" si="16"/>
        <v>25</v>
      </c>
    </row>
    <row r="59" ht="12.75" customHeight="1">
      <c r="A59" s="18"/>
      <c r="B59" s="49"/>
      <c r="C59" s="50" t="s">
        <v>52</v>
      </c>
      <c r="D59" s="51"/>
      <c r="E59" s="69">
        <v>0.0</v>
      </c>
      <c r="F59" s="69">
        <v>0.0</v>
      </c>
      <c r="G59" s="69">
        <v>1.0</v>
      </c>
      <c r="H59" s="69">
        <v>0.0</v>
      </c>
      <c r="I59" s="69">
        <v>0.0</v>
      </c>
      <c r="J59" s="69">
        <v>0.0</v>
      </c>
      <c r="K59" s="69">
        <v>0.0</v>
      </c>
      <c r="L59" s="69">
        <v>0.0</v>
      </c>
      <c r="M59" s="69">
        <v>1.0</v>
      </c>
      <c r="N59" s="69">
        <v>1.0</v>
      </c>
      <c r="O59" s="69">
        <v>0.0</v>
      </c>
      <c r="P59" s="69">
        <v>2.0</v>
      </c>
      <c r="Q59" s="69">
        <v>0.0</v>
      </c>
      <c r="R59" s="69">
        <v>1.0</v>
      </c>
      <c r="S59" s="69">
        <v>0.0</v>
      </c>
      <c r="T59" s="69">
        <v>0.0</v>
      </c>
      <c r="U59" s="69">
        <v>0.0</v>
      </c>
      <c r="V59" s="69">
        <v>2.0</v>
      </c>
      <c r="W59" s="69">
        <v>0.0</v>
      </c>
      <c r="X59" s="69">
        <v>0.0</v>
      </c>
      <c r="Y59" s="69">
        <v>0.0</v>
      </c>
      <c r="Z59" s="69">
        <v>0.0</v>
      </c>
      <c r="AA59" s="69">
        <v>0.0</v>
      </c>
      <c r="AB59" s="69">
        <v>0.0</v>
      </c>
      <c r="AC59" s="69">
        <v>0.0</v>
      </c>
      <c r="AD59" s="69">
        <v>0.0</v>
      </c>
      <c r="AE59" s="69">
        <v>1.0</v>
      </c>
      <c r="AF59" s="13">
        <f t="shared" si="16"/>
        <v>9</v>
      </c>
    </row>
    <row r="60" ht="12.75" customHeight="1">
      <c r="A60" s="18"/>
      <c r="B60" s="49"/>
      <c r="C60" s="50" t="s">
        <v>53</v>
      </c>
      <c r="D60" s="51"/>
      <c r="E60" s="69">
        <v>0.0</v>
      </c>
      <c r="F60" s="69">
        <v>1.0</v>
      </c>
      <c r="G60" s="69">
        <v>0.0</v>
      </c>
      <c r="H60" s="69">
        <v>0.0</v>
      </c>
      <c r="I60" s="69">
        <v>0.0</v>
      </c>
      <c r="J60" s="69">
        <v>0.0</v>
      </c>
      <c r="K60" s="69">
        <v>0.0</v>
      </c>
      <c r="L60" s="69">
        <v>0.0</v>
      </c>
      <c r="M60" s="69">
        <v>0.0</v>
      </c>
      <c r="N60" s="69">
        <v>0.0</v>
      </c>
      <c r="O60" s="69">
        <v>0.0</v>
      </c>
      <c r="P60" s="69">
        <v>0.0</v>
      </c>
      <c r="Q60" s="69">
        <v>0.0</v>
      </c>
      <c r="R60" s="69">
        <v>0.0</v>
      </c>
      <c r="S60" s="69">
        <v>0.0</v>
      </c>
      <c r="T60" s="69">
        <v>0.0</v>
      </c>
      <c r="U60" s="69">
        <v>1.0</v>
      </c>
      <c r="V60" s="69">
        <v>0.0</v>
      </c>
      <c r="W60" s="69">
        <v>1.0</v>
      </c>
      <c r="X60" s="69">
        <v>0.0</v>
      </c>
      <c r="Y60" s="69">
        <v>0.0</v>
      </c>
      <c r="Z60" s="69">
        <v>1.0</v>
      </c>
      <c r="AA60" s="69">
        <v>0.0</v>
      </c>
      <c r="AB60" s="69">
        <v>0.0</v>
      </c>
      <c r="AC60" s="69">
        <v>1.0</v>
      </c>
      <c r="AD60" s="69">
        <v>0.0</v>
      </c>
      <c r="AE60" s="69">
        <v>0.0</v>
      </c>
      <c r="AF60" s="13">
        <f t="shared" si="16"/>
        <v>5</v>
      </c>
    </row>
    <row r="61" ht="12.75" customHeight="1">
      <c r="A61" s="18"/>
      <c r="B61" s="49"/>
      <c r="C61" s="50" t="s">
        <v>54</v>
      </c>
      <c r="D61" s="51"/>
      <c r="E61" s="69">
        <v>0.0</v>
      </c>
      <c r="F61" s="69">
        <v>0.0</v>
      </c>
      <c r="G61" s="69">
        <v>0.0</v>
      </c>
      <c r="H61" s="69">
        <v>0.0</v>
      </c>
      <c r="I61" s="69">
        <v>0.0</v>
      </c>
      <c r="J61" s="69">
        <v>0.0</v>
      </c>
      <c r="K61" s="69">
        <v>0.0</v>
      </c>
      <c r="L61" s="69">
        <v>0.0</v>
      </c>
      <c r="M61" s="69">
        <v>0.0</v>
      </c>
      <c r="N61" s="69">
        <v>0.0</v>
      </c>
      <c r="O61" s="69">
        <v>0.0</v>
      </c>
      <c r="P61" s="69">
        <v>0.0</v>
      </c>
      <c r="Q61" s="69">
        <v>0.0</v>
      </c>
      <c r="R61" s="69">
        <v>0.0</v>
      </c>
      <c r="S61" s="69">
        <v>1.0</v>
      </c>
      <c r="T61" s="69">
        <v>0.0</v>
      </c>
      <c r="U61" s="69">
        <v>0.0</v>
      </c>
      <c r="V61" s="69">
        <v>0.0</v>
      </c>
      <c r="W61" s="69">
        <v>0.0</v>
      </c>
      <c r="X61" s="69">
        <v>0.0</v>
      </c>
      <c r="Y61" s="69">
        <v>0.0</v>
      </c>
      <c r="Z61" s="69">
        <v>0.0</v>
      </c>
      <c r="AA61" s="69">
        <v>0.0</v>
      </c>
      <c r="AB61" s="69">
        <v>0.0</v>
      </c>
      <c r="AC61" s="69">
        <v>0.0</v>
      </c>
      <c r="AD61" s="69">
        <v>0.0</v>
      </c>
      <c r="AE61" s="69">
        <v>0.0</v>
      </c>
      <c r="AF61" s="13">
        <f t="shared" si="16"/>
        <v>1</v>
      </c>
    </row>
    <row r="62" ht="12.75" customHeight="1">
      <c r="A62" s="18"/>
      <c r="B62" s="49"/>
      <c r="C62" s="50" t="s">
        <v>55</v>
      </c>
      <c r="D62" s="51"/>
      <c r="E62" s="69">
        <v>0.0</v>
      </c>
      <c r="F62" s="69">
        <v>0.0</v>
      </c>
      <c r="G62" s="69">
        <v>0.0</v>
      </c>
      <c r="H62" s="69">
        <v>0.0</v>
      </c>
      <c r="I62" s="69">
        <v>0.0</v>
      </c>
      <c r="J62" s="69">
        <v>1.0</v>
      </c>
      <c r="K62" s="69">
        <v>0.0</v>
      </c>
      <c r="L62" s="69">
        <v>1.0</v>
      </c>
      <c r="M62" s="69">
        <v>0.0</v>
      </c>
      <c r="N62" s="69">
        <v>0.0</v>
      </c>
      <c r="O62" s="69">
        <v>1.0</v>
      </c>
      <c r="P62" s="69">
        <v>0.0</v>
      </c>
      <c r="Q62" s="69">
        <v>0.0</v>
      </c>
      <c r="R62" s="69">
        <v>0.0</v>
      </c>
      <c r="S62" s="69">
        <v>0.0</v>
      </c>
      <c r="T62" s="69">
        <v>0.0</v>
      </c>
      <c r="U62" s="69">
        <v>1.0</v>
      </c>
      <c r="V62" s="69">
        <v>0.0</v>
      </c>
      <c r="W62" s="69">
        <v>0.0</v>
      </c>
      <c r="X62" s="69">
        <v>0.0</v>
      </c>
      <c r="Y62" s="69">
        <v>0.0</v>
      </c>
      <c r="Z62" s="69">
        <v>0.0</v>
      </c>
      <c r="AA62" s="69">
        <v>0.0</v>
      </c>
      <c r="AB62" s="69">
        <v>0.0</v>
      </c>
      <c r="AC62" s="69">
        <v>1.0</v>
      </c>
      <c r="AD62" s="69">
        <v>0.0</v>
      </c>
      <c r="AE62" s="69">
        <v>0.0</v>
      </c>
      <c r="AF62" s="13">
        <f t="shared" si="16"/>
        <v>5</v>
      </c>
    </row>
    <row r="63" ht="12.75" customHeight="1">
      <c r="A63" s="19" t="s">
        <v>15</v>
      </c>
      <c r="B63" s="47" t="s">
        <v>47</v>
      </c>
      <c r="C63" s="15"/>
      <c r="D63" s="16"/>
      <c r="E63" s="56">
        <f t="shared" ref="E63:AE63" si="17">SUM(E55:E62)</f>
        <v>8</v>
      </c>
      <c r="F63" s="56">
        <f t="shared" si="17"/>
        <v>23</v>
      </c>
      <c r="G63" s="56">
        <f t="shared" si="17"/>
        <v>12</v>
      </c>
      <c r="H63" s="56">
        <f t="shared" si="17"/>
        <v>11</v>
      </c>
      <c r="I63" s="56">
        <f t="shared" si="17"/>
        <v>6</v>
      </c>
      <c r="J63" s="56">
        <f t="shared" si="17"/>
        <v>10</v>
      </c>
      <c r="K63" s="56">
        <f t="shared" si="17"/>
        <v>2</v>
      </c>
      <c r="L63" s="56">
        <f t="shared" si="17"/>
        <v>8</v>
      </c>
      <c r="M63" s="56">
        <f t="shared" si="17"/>
        <v>7</v>
      </c>
      <c r="N63" s="56">
        <f t="shared" si="17"/>
        <v>12</v>
      </c>
      <c r="O63" s="56">
        <f t="shared" si="17"/>
        <v>10</v>
      </c>
      <c r="P63" s="56">
        <f t="shared" si="17"/>
        <v>13</v>
      </c>
      <c r="Q63" s="56">
        <f t="shared" si="17"/>
        <v>21</v>
      </c>
      <c r="R63" s="56">
        <f t="shared" si="17"/>
        <v>22</v>
      </c>
      <c r="S63" s="56">
        <f t="shared" si="17"/>
        <v>14</v>
      </c>
      <c r="T63" s="56">
        <f t="shared" si="17"/>
        <v>20</v>
      </c>
      <c r="U63" s="56">
        <f t="shared" si="17"/>
        <v>11</v>
      </c>
      <c r="V63" s="56">
        <f t="shared" si="17"/>
        <v>18</v>
      </c>
      <c r="W63" s="56">
        <f t="shared" si="17"/>
        <v>7</v>
      </c>
      <c r="X63" s="56">
        <f t="shared" si="17"/>
        <v>13</v>
      </c>
      <c r="Y63" s="56">
        <f t="shared" si="17"/>
        <v>24</v>
      </c>
      <c r="Z63" s="56">
        <f t="shared" si="17"/>
        <v>13</v>
      </c>
      <c r="AA63" s="56">
        <f t="shared" si="17"/>
        <v>5</v>
      </c>
      <c r="AB63" s="56">
        <f t="shared" si="17"/>
        <v>6</v>
      </c>
      <c r="AC63" s="56">
        <f t="shared" si="17"/>
        <v>6</v>
      </c>
      <c r="AD63" s="56">
        <f t="shared" si="17"/>
        <v>17</v>
      </c>
      <c r="AE63" s="56">
        <f t="shared" si="17"/>
        <v>18</v>
      </c>
      <c r="AF63" s="13">
        <f t="shared" si="16"/>
        <v>337</v>
      </c>
    </row>
    <row r="64" ht="12.75" customHeight="1">
      <c r="A64" s="59"/>
      <c r="B64" s="60"/>
      <c r="C64" s="60"/>
      <c r="D64" s="60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13"/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69">
        <v>1.0</v>
      </c>
      <c r="F65" s="69">
        <v>8.0</v>
      </c>
      <c r="G65" s="69">
        <v>9.0</v>
      </c>
      <c r="H65" s="69">
        <v>8.0</v>
      </c>
      <c r="I65" s="69">
        <v>4.0</v>
      </c>
      <c r="J65" s="69">
        <v>11.0</v>
      </c>
      <c r="K65" s="69">
        <v>6.0</v>
      </c>
      <c r="L65" s="69">
        <v>5.0</v>
      </c>
      <c r="M65" s="69">
        <v>6.0</v>
      </c>
      <c r="N65" s="69">
        <v>2.0</v>
      </c>
      <c r="O65" s="69">
        <v>4.0</v>
      </c>
      <c r="P65" s="69">
        <v>7.0</v>
      </c>
      <c r="Q65" s="69">
        <v>10.0</v>
      </c>
      <c r="R65" s="69">
        <v>5.0</v>
      </c>
      <c r="S65" s="69">
        <v>11.0</v>
      </c>
      <c r="T65" s="69">
        <v>4.0</v>
      </c>
      <c r="U65" s="69">
        <v>5.0</v>
      </c>
      <c r="V65" s="69">
        <v>6.0</v>
      </c>
      <c r="W65" s="69">
        <v>2.0</v>
      </c>
      <c r="X65" s="69">
        <v>4.0</v>
      </c>
      <c r="Y65" s="69">
        <v>9.0</v>
      </c>
      <c r="Z65" s="69">
        <v>5.0</v>
      </c>
      <c r="AA65" s="69">
        <v>2.0</v>
      </c>
      <c r="AB65" s="69">
        <v>6.0</v>
      </c>
      <c r="AC65" s="69">
        <v>4.0</v>
      </c>
      <c r="AD65" s="69">
        <v>13.0</v>
      </c>
      <c r="AE65" s="69">
        <v>12.0</v>
      </c>
      <c r="AF65" s="13">
        <f t="shared" ref="AF65:AF73" si="18">SUM(E65:AE65)</f>
        <v>169</v>
      </c>
    </row>
    <row r="66" ht="12.75" customHeight="1">
      <c r="A66" s="30" t="s">
        <v>39</v>
      </c>
      <c r="B66" s="49"/>
      <c r="C66" s="50" t="s">
        <v>57</v>
      </c>
      <c r="D66" s="51"/>
      <c r="E66" s="69">
        <v>0.0</v>
      </c>
      <c r="F66" s="69">
        <v>0.0</v>
      </c>
      <c r="G66" s="69">
        <v>0.0</v>
      </c>
      <c r="H66" s="69">
        <v>2.0</v>
      </c>
      <c r="I66" s="69">
        <v>1.0</v>
      </c>
      <c r="J66" s="69">
        <v>2.0</v>
      </c>
      <c r="K66" s="69">
        <v>1.0</v>
      </c>
      <c r="L66" s="69">
        <v>3.0</v>
      </c>
      <c r="M66" s="69">
        <v>3.0</v>
      </c>
      <c r="N66" s="69">
        <v>0.0</v>
      </c>
      <c r="O66" s="69">
        <v>2.0</v>
      </c>
      <c r="P66" s="69">
        <v>0.0</v>
      </c>
      <c r="Q66" s="69">
        <v>0.0</v>
      </c>
      <c r="R66" s="69">
        <v>1.0</v>
      </c>
      <c r="S66" s="69">
        <v>0.0</v>
      </c>
      <c r="T66" s="69">
        <v>1.0</v>
      </c>
      <c r="U66" s="69">
        <v>1.0</v>
      </c>
      <c r="V66" s="69">
        <v>24.0</v>
      </c>
      <c r="W66" s="69">
        <v>6.0</v>
      </c>
      <c r="X66" s="69">
        <v>17.0</v>
      </c>
      <c r="Y66" s="69">
        <v>25.0</v>
      </c>
      <c r="Z66" s="69">
        <v>2.0</v>
      </c>
      <c r="AA66" s="69">
        <v>43.0</v>
      </c>
      <c r="AB66" s="69">
        <v>19.0</v>
      </c>
      <c r="AC66" s="69">
        <v>34.0</v>
      </c>
      <c r="AD66" s="69">
        <v>39.0</v>
      </c>
      <c r="AE66" s="69">
        <v>33.0</v>
      </c>
      <c r="AF66" s="13">
        <f t="shared" si="18"/>
        <v>259</v>
      </c>
    </row>
    <row r="67" ht="15.0" customHeight="1">
      <c r="A67" s="18"/>
      <c r="B67" s="49"/>
      <c r="C67" s="50" t="s">
        <v>58</v>
      </c>
      <c r="D67" s="51"/>
      <c r="E67" s="69">
        <v>24.0</v>
      </c>
      <c r="F67" s="69">
        <v>5.0</v>
      </c>
      <c r="G67" s="69">
        <v>40.0</v>
      </c>
      <c r="H67" s="69">
        <v>35.0</v>
      </c>
      <c r="I67" s="69">
        <v>38.0</v>
      </c>
      <c r="J67" s="69">
        <v>37.0</v>
      </c>
      <c r="K67" s="69">
        <v>35.0</v>
      </c>
      <c r="L67" s="69">
        <v>7.0</v>
      </c>
      <c r="M67" s="69">
        <v>21.0</v>
      </c>
      <c r="N67" s="69">
        <v>1.0</v>
      </c>
      <c r="O67" s="69">
        <v>7.0</v>
      </c>
      <c r="P67" s="69">
        <v>15.0</v>
      </c>
      <c r="Q67" s="69">
        <v>10.0</v>
      </c>
      <c r="R67" s="69">
        <v>9.0</v>
      </c>
      <c r="S67" s="69">
        <v>24.0</v>
      </c>
      <c r="T67" s="69">
        <v>28.0</v>
      </c>
      <c r="U67" s="69">
        <v>14.0</v>
      </c>
      <c r="V67" s="69">
        <v>6.0</v>
      </c>
      <c r="W67" s="69">
        <v>7.0</v>
      </c>
      <c r="X67" s="69">
        <v>32.0</v>
      </c>
      <c r="Y67" s="69">
        <v>33.0</v>
      </c>
      <c r="Z67" s="69">
        <v>0.0</v>
      </c>
      <c r="AA67" s="69">
        <v>9.0</v>
      </c>
      <c r="AB67" s="69">
        <v>9.0</v>
      </c>
      <c r="AC67" s="69">
        <v>2.0</v>
      </c>
      <c r="AD67" s="69">
        <v>5.0</v>
      </c>
      <c r="AE67" s="69">
        <v>3.0</v>
      </c>
      <c r="AF67" s="13">
        <f t="shared" si="18"/>
        <v>456</v>
      </c>
    </row>
    <row r="68" ht="12.75" customHeight="1">
      <c r="A68" s="18"/>
      <c r="B68" s="49"/>
      <c r="C68" s="50" t="s">
        <v>59</v>
      </c>
      <c r="D68" s="51"/>
      <c r="E68" s="69">
        <v>0.0</v>
      </c>
      <c r="F68" s="69">
        <v>1.0</v>
      </c>
      <c r="G68" s="69">
        <v>0.0</v>
      </c>
      <c r="H68" s="69">
        <v>1.0</v>
      </c>
      <c r="I68" s="69">
        <v>0.0</v>
      </c>
      <c r="J68" s="69">
        <v>1.0</v>
      </c>
      <c r="K68" s="69">
        <v>0.0</v>
      </c>
      <c r="L68" s="69">
        <v>0.0</v>
      </c>
      <c r="M68" s="69">
        <v>0.0</v>
      </c>
      <c r="N68" s="69">
        <v>1.0</v>
      </c>
      <c r="O68" s="69">
        <v>1.0</v>
      </c>
      <c r="P68" s="69">
        <v>0.0</v>
      </c>
      <c r="Q68" s="69">
        <v>0.0</v>
      </c>
      <c r="R68" s="69">
        <v>0.0</v>
      </c>
      <c r="S68" s="69">
        <v>0.0</v>
      </c>
      <c r="T68" s="69">
        <v>1.0</v>
      </c>
      <c r="U68" s="69">
        <v>1.0</v>
      </c>
      <c r="V68" s="69">
        <v>2.0</v>
      </c>
      <c r="W68" s="69">
        <v>0.0</v>
      </c>
      <c r="X68" s="69">
        <v>0.0</v>
      </c>
      <c r="Y68" s="69">
        <v>0.0</v>
      </c>
      <c r="Z68" s="69">
        <v>1.0</v>
      </c>
      <c r="AA68" s="69">
        <v>0.0</v>
      </c>
      <c r="AB68" s="69">
        <v>0.0</v>
      </c>
      <c r="AC68" s="69">
        <v>0.0</v>
      </c>
      <c r="AD68" s="69">
        <v>0.0</v>
      </c>
      <c r="AE68" s="69">
        <v>1.0</v>
      </c>
      <c r="AF68" s="13">
        <f t="shared" si="18"/>
        <v>11</v>
      </c>
    </row>
    <row r="69" ht="12.75" customHeight="1">
      <c r="A69" s="18"/>
      <c r="B69" s="49"/>
      <c r="C69" s="50" t="s">
        <v>60</v>
      </c>
      <c r="D69" s="51"/>
      <c r="E69" s="69">
        <v>0.0</v>
      </c>
      <c r="F69" s="69">
        <v>0.0</v>
      </c>
      <c r="G69" s="69">
        <v>0.0</v>
      </c>
      <c r="H69" s="69">
        <v>0.0</v>
      </c>
      <c r="I69" s="69">
        <v>0.0</v>
      </c>
      <c r="J69" s="69">
        <v>1.0</v>
      </c>
      <c r="K69" s="69">
        <v>0.0</v>
      </c>
      <c r="L69" s="69">
        <v>0.0</v>
      </c>
      <c r="M69" s="69">
        <v>0.0</v>
      </c>
      <c r="N69" s="69">
        <v>0.0</v>
      </c>
      <c r="O69" s="69">
        <v>1.0</v>
      </c>
      <c r="P69" s="69">
        <v>0.0</v>
      </c>
      <c r="Q69" s="69">
        <v>2.0</v>
      </c>
      <c r="R69" s="69">
        <v>2.0</v>
      </c>
      <c r="S69" s="69">
        <v>0.0</v>
      </c>
      <c r="T69" s="69">
        <v>0.0</v>
      </c>
      <c r="U69" s="69">
        <v>1.0</v>
      </c>
      <c r="V69" s="69">
        <v>0.0</v>
      </c>
      <c r="W69" s="69">
        <v>0.0</v>
      </c>
      <c r="X69" s="69">
        <v>0.0</v>
      </c>
      <c r="Y69" s="69">
        <v>0.0</v>
      </c>
      <c r="Z69" s="69">
        <v>0.0</v>
      </c>
      <c r="AA69" s="69">
        <v>0.0</v>
      </c>
      <c r="AB69" s="69">
        <v>1.0</v>
      </c>
      <c r="AC69" s="69">
        <v>0.0</v>
      </c>
      <c r="AD69" s="69">
        <v>0.0</v>
      </c>
      <c r="AE69" s="69">
        <v>3.0</v>
      </c>
      <c r="AF69" s="13">
        <f t="shared" si="18"/>
        <v>11</v>
      </c>
    </row>
    <row r="70" ht="12.75" customHeight="1">
      <c r="A70" s="18"/>
      <c r="B70" s="49"/>
      <c r="C70" s="50" t="s">
        <v>61</v>
      </c>
      <c r="D70" s="51"/>
      <c r="E70" s="69">
        <v>19.0</v>
      </c>
      <c r="F70" s="69">
        <v>8.0</v>
      </c>
      <c r="G70" s="69">
        <v>1.0</v>
      </c>
      <c r="H70" s="69">
        <v>3.0</v>
      </c>
      <c r="I70" s="69">
        <v>0.0</v>
      </c>
      <c r="J70" s="69">
        <v>1.0</v>
      </c>
      <c r="K70" s="69">
        <v>3.0</v>
      </c>
      <c r="L70" s="69">
        <v>1.0</v>
      </c>
      <c r="M70" s="69">
        <v>2.0</v>
      </c>
      <c r="N70" s="69">
        <v>1.0</v>
      </c>
      <c r="O70" s="69">
        <v>3.0</v>
      </c>
      <c r="P70" s="69">
        <v>1.0</v>
      </c>
      <c r="Q70" s="69">
        <v>11.0</v>
      </c>
      <c r="R70" s="69">
        <v>23.0</v>
      </c>
      <c r="S70" s="69">
        <v>3.0</v>
      </c>
      <c r="T70" s="69">
        <v>2.0</v>
      </c>
      <c r="U70" s="69">
        <v>1.0</v>
      </c>
      <c r="V70" s="69">
        <v>3.0</v>
      </c>
      <c r="W70" s="69">
        <v>0.0</v>
      </c>
      <c r="X70" s="69">
        <v>7.0</v>
      </c>
      <c r="Y70" s="69">
        <v>7.0</v>
      </c>
      <c r="Z70" s="69">
        <v>27.0</v>
      </c>
      <c r="AA70" s="69">
        <v>38.0</v>
      </c>
      <c r="AB70" s="69">
        <v>7.0</v>
      </c>
      <c r="AC70" s="69">
        <v>0.0</v>
      </c>
      <c r="AD70" s="69">
        <v>1.0</v>
      </c>
      <c r="AE70" s="69">
        <v>6.0</v>
      </c>
      <c r="AF70" s="13">
        <f t="shared" si="18"/>
        <v>179</v>
      </c>
    </row>
    <row r="71" ht="12.75" customHeight="1">
      <c r="A71" s="18"/>
      <c r="B71" s="49"/>
      <c r="C71" s="50" t="s">
        <v>62</v>
      </c>
      <c r="D71" s="51"/>
      <c r="E71" s="69">
        <v>0.0</v>
      </c>
      <c r="F71" s="69">
        <v>0.0</v>
      </c>
      <c r="G71" s="69">
        <v>1.0</v>
      </c>
      <c r="H71" s="69">
        <v>4.0</v>
      </c>
      <c r="I71" s="69">
        <v>0.0</v>
      </c>
      <c r="J71" s="69">
        <v>0.0</v>
      </c>
      <c r="K71" s="69">
        <v>0.0</v>
      </c>
      <c r="L71" s="69">
        <v>1.0</v>
      </c>
      <c r="M71" s="69">
        <v>0.0</v>
      </c>
      <c r="N71" s="69">
        <v>1.0</v>
      </c>
      <c r="O71" s="69">
        <v>2.0</v>
      </c>
      <c r="P71" s="69">
        <v>6.0</v>
      </c>
      <c r="Q71" s="69">
        <v>0.0</v>
      </c>
      <c r="R71" s="69">
        <v>0.0</v>
      </c>
      <c r="S71" s="69">
        <v>10.0</v>
      </c>
      <c r="T71" s="69">
        <v>8.0</v>
      </c>
      <c r="U71" s="69">
        <v>0.0</v>
      </c>
      <c r="V71" s="69">
        <v>0.0</v>
      </c>
      <c r="W71" s="69">
        <v>0.0</v>
      </c>
      <c r="X71" s="69">
        <v>0.0</v>
      </c>
      <c r="Y71" s="69">
        <v>0.0</v>
      </c>
      <c r="Z71" s="69">
        <v>0.0</v>
      </c>
      <c r="AA71" s="69">
        <v>0.0</v>
      </c>
      <c r="AB71" s="69">
        <v>0.0</v>
      </c>
      <c r="AC71" s="69">
        <v>0.0</v>
      </c>
      <c r="AD71" s="69">
        <v>0.0</v>
      </c>
      <c r="AE71" s="69">
        <v>0.0</v>
      </c>
      <c r="AF71" s="13">
        <f t="shared" si="18"/>
        <v>33</v>
      </c>
    </row>
    <row r="72" ht="12.75" customHeight="1">
      <c r="A72" s="18"/>
      <c r="B72" s="49"/>
      <c r="C72" s="50" t="s">
        <v>63</v>
      </c>
      <c r="D72" s="51"/>
      <c r="E72" s="69">
        <v>0.0</v>
      </c>
      <c r="F72" s="69">
        <v>1.0</v>
      </c>
      <c r="G72" s="69">
        <v>2.0</v>
      </c>
      <c r="H72" s="69">
        <v>1.0</v>
      </c>
      <c r="I72" s="69">
        <v>3.0</v>
      </c>
      <c r="J72" s="69">
        <v>10.0</v>
      </c>
      <c r="K72" s="69">
        <v>2.0</v>
      </c>
      <c r="L72" s="69">
        <v>2.0</v>
      </c>
      <c r="M72" s="69">
        <v>4.0</v>
      </c>
      <c r="N72" s="69">
        <v>0.0</v>
      </c>
      <c r="O72" s="69">
        <v>0.0</v>
      </c>
      <c r="P72" s="69">
        <v>2.0</v>
      </c>
      <c r="Q72" s="69">
        <v>0.0</v>
      </c>
      <c r="R72" s="69">
        <v>0.0</v>
      </c>
      <c r="S72" s="69">
        <v>0.0</v>
      </c>
      <c r="T72" s="69">
        <v>0.0</v>
      </c>
      <c r="U72" s="69">
        <v>0.0</v>
      </c>
      <c r="V72" s="69">
        <v>12.0</v>
      </c>
      <c r="W72" s="69">
        <v>18.0</v>
      </c>
      <c r="X72" s="69">
        <v>0.0</v>
      </c>
      <c r="Y72" s="69">
        <v>1.0</v>
      </c>
      <c r="Z72" s="69">
        <v>0.0</v>
      </c>
      <c r="AA72" s="69">
        <v>6.0</v>
      </c>
      <c r="AB72" s="69">
        <v>34.0</v>
      </c>
      <c r="AC72" s="69">
        <v>0.0</v>
      </c>
      <c r="AD72" s="69">
        <v>0.0</v>
      </c>
      <c r="AE72" s="69">
        <v>0.0</v>
      </c>
      <c r="AF72" s="13">
        <f t="shared" si="18"/>
        <v>98</v>
      </c>
    </row>
    <row r="73" ht="12.75" customHeight="1">
      <c r="A73" s="19" t="s">
        <v>15</v>
      </c>
      <c r="B73" s="47" t="s">
        <v>47</v>
      </c>
      <c r="C73" s="15"/>
      <c r="D73" s="16"/>
      <c r="E73" s="56">
        <f t="shared" ref="E73:AE73" si="19">SUM(E65:E72)</f>
        <v>44</v>
      </c>
      <c r="F73" s="56">
        <f t="shared" si="19"/>
        <v>23</v>
      </c>
      <c r="G73" s="56">
        <f t="shared" si="19"/>
        <v>53</v>
      </c>
      <c r="H73" s="56">
        <f t="shared" si="19"/>
        <v>54</v>
      </c>
      <c r="I73" s="56">
        <f t="shared" si="19"/>
        <v>46</v>
      </c>
      <c r="J73" s="56">
        <f t="shared" si="19"/>
        <v>63</v>
      </c>
      <c r="K73" s="56">
        <f t="shared" si="19"/>
        <v>47</v>
      </c>
      <c r="L73" s="56">
        <f t="shared" si="19"/>
        <v>19</v>
      </c>
      <c r="M73" s="56">
        <f t="shared" si="19"/>
        <v>36</v>
      </c>
      <c r="N73" s="56">
        <f t="shared" si="19"/>
        <v>6</v>
      </c>
      <c r="O73" s="56">
        <f t="shared" si="19"/>
        <v>20</v>
      </c>
      <c r="P73" s="56">
        <f t="shared" si="19"/>
        <v>31</v>
      </c>
      <c r="Q73" s="56">
        <f t="shared" si="19"/>
        <v>33</v>
      </c>
      <c r="R73" s="56">
        <f t="shared" si="19"/>
        <v>40</v>
      </c>
      <c r="S73" s="56">
        <f t="shared" si="19"/>
        <v>48</v>
      </c>
      <c r="T73" s="56">
        <f t="shared" si="19"/>
        <v>44</v>
      </c>
      <c r="U73" s="56">
        <f t="shared" si="19"/>
        <v>23</v>
      </c>
      <c r="V73" s="56">
        <f t="shared" si="19"/>
        <v>53</v>
      </c>
      <c r="W73" s="56">
        <f t="shared" si="19"/>
        <v>33</v>
      </c>
      <c r="X73" s="56">
        <f t="shared" si="19"/>
        <v>60</v>
      </c>
      <c r="Y73" s="56">
        <f t="shared" si="19"/>
        <v>75</v>
      </c>
      <c r="Z73" s="56">
        <f t="shared" si="19"/>
        <v>35</v>
      </c>
      <c r="AA73" s="56">
        <f t="shared" si="19"/>
        <v>98</v>
      </c>
      <c r="AB73" s="56">
        <f t="shared" si="19"/>
        <v>76</v>
      </c>
      <c r="AC73" s="56">
        <f t="shared" si="19"/>
        <v>40</v>
      </c>
      <c r="AD73" s="56">
        <f t="shared" si="19"/>
        <v>58</v>
      </c>
      <c r="AE73" s="56">
        <f t="shared" si="19"/>
        <v>58</v>
      </c>
      <c r="AF73" s="13">
        <f t="shared" si="18"/>
        <v>1216</v>
      </c>
    </row>
    <row r="74" ht="12.75" customHeight="1">
      <c r="A74" s="57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13"/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69">
        <v>4.0</v>
      </c>
      <c r="F75" s="69">
        <v>3.0</v>
      </c>
      <c r="G75" s="69">
        <v>0.0</v>
      </c>
      <c r="H75" s="69">
        <v>2.0</v>
      </c>
      <c r="I75" s="69">
        <v>1.0</v>
      </c>
      <c r="J75" s="69">
        <v>2.0</v>
      </c>
      <c r="K75" s="69">
        <v>3.0</v>
      </c>
      <c r="L75" s="69">
        <v>1.0</v>
      </c>
      <c r="M75" s="69">
        <v>1.0</v>
      </c>
      <c r="N75" s="69">
        <v>0.0</v>
      </c>
      <c r="O75" s="69">
        <v>5.0</v>
      </c>
      <c r="P75" s="69">
        <v>2.0</v>
      </c>
      <c r="Q75" s="69">
        <v>3.0</v>
      </c>
      <c r="R75" s="69">
        <v>1.0</v>
      </c>
      <c r="S75" s="69">
        <v>1.0</v>
      </c>
      <c r="T75" s="69">
        <v>2.0</v>
      </c>
      <c r="U75" s="69">
        <v>1.0</v>
      </c>
      <c r="V75" s="69">
        <v>2.0</v>
      </c>
      <c r="W75" s="69">
        <v>2.0</v>
      </c>
      <c r="X75" s="69">
        <v>0.0</v>
      </c>
      <c r="Y75" s="69">
        <v>1.0</v>
      </c>
      <c r="Z75" s="69">
        <v>0.0</v>
      </c>
      <c r="AA75" s="69">
        <v>0.0</v>
      </c>
      <c r="AB75" s="69">
        <v>2.0</v>
      </c>
      <c r="AC75" s="69">
        <v>0.0</v>
      </c>
      <c r="AD75" s="69">
        <v>5.0</v>
      </c>
      <c r="AE75" s="69">
        <v>5.0</v>
      </c>
      <c r="AF75" s="13">
        <f t="shared" ref="AF75:AF83" si="20">SUM(E75:AE75)</f>
        <v>49</v>
      </c>
    </row>
    <row r="76" ht="12.75" customHeight="1">
      <c r="A76" s="30" t="s">
        <v>39</v>
      </c>
      <c r="B76" s="49"/>
      <c r="C76" s="50" t="s">
        <v>65</v>
      </c>
      <c r="D76" s="51"/>
      <c r="E76" s="69">
        <v>12.0</v>
      </c>
      <c r="F76" s="69">
        <v>4.0</v>
      </c>
      <c r="G76" s="69">
        <v>9.0</v>
      </c>
      <c r="H76" s="69">
        <v>2.0</v>
      </c>
      <c r="I76" s="69">
        <v>0.0</v>
      </c>
      <c r="J76" s="69">
        <v>3.0</v>
      </c>
      <c r="K76" s="69">
        <v>2.0</v>
      </c>
      <c r="L76" s="69">
        <v>0.0</v>
      </c>
      <c r="M76" s="69">
        <v>0.0</v>
      </c>
      <c r="N76" s="69">
        <v>0.0</v>
      </c>
      <c r="O76" s="69">
        <v>3.0</v>
      </c>
      <c r="P76" s="69">
        <v>2.0</v>
      </c>
      <c r="Q76" s="69">
        <v>2.0</v>
      </c>
      <c r="R76" s="69">
        <v>1.0</v>
      </c>
      <c r="S76" s="69">
        <v>0.0</v>
      </c>
      <c r="T76" s="69">
        <v>8.0</v>
      </c>
      <c r="U76" s="69">
        <v>0.0</v>
      </c>
      <c r="V76" s="69">
        <v>4.0</v>
      </c>
      <c r="W76" s="69">
        <v>1.0</v>
      </c>
      <c r="X76" s="69">
        <v>2.0</v>
      </c>
      <c r="Y76" s="69">
        <v>0.0</v>
      </c>
      <c r="Z76" s="69">
        <v>1.0</v>
      </c>
      <c r="AA76" s="69">
        <v>1.0</v>
      </c>
      <c r="AB76" s="69">
        <v>5.0</v>
      </c>
      <c r="AC76" s="69">
        <v>0.0</v>
      </c>
      <c r="AD76" s="69">
        <v>1.0</v>
      </c>
      <c r="AE76" s="69">
        <v>2.0</v>
      </c>
      <c r="AF76" s="13">
        <f t="shared" si="20"/>
        <v>65</v>
      </c>
    </row>
    <row r="77" ht="12.75" customHeight="1">
      <c r="A77" s="18"/>
      <c r="B77" s="49"/>
      <c r="C77" s="50" t="s">
        <v>66</v>
      </c>
      <c r="D77" s="51"/>
      <c r="E77" s="69">
        <v>2.0</v>
      </c>
      <c r="F77" s="69">
        <v>0.0</v>
      </c>
      <c r="G77" s="69">
        <v>3.0</v>
      </c>
      <c r="H77" s="69">
        <v>3.0</v>
      </c>
      <c r="I77" s="69">
        <v>11.0</v>
      </c>
      <c r="J77" s="69">
        <v>13.0</v>
      </c>
      <c r="K77" s="69">
        <v>18.0</v>
      </c>
      <c r="L77" s="69">
        <v>0.0</v>
      </c>
      <c r="M77" s="69">
        <v>0.0</v>
      </c>
      <c r="N77" s="69">
        <v>0.0</v>
      </c>
      <c r="O77" s="69">
        <v>1.0</v>
      </c>
      <c r="P77" s="69">
        <v>0.0</v>
      </c>
      <c r="Q77" s="69">
        <v>0.0</v>
      </c>
      <c r="R77" s="69">
        <v>1.0</v>
      </c>
      <c r="S77" s="69">
        <v>1.0</v>
      </c>
      <c r="T77" s="69">
        <v>4.0</v>
      </c>
      <c r="U77" s="69">
        <v>0.0</v>
      </c>
      <c r="V77" s="69">
        <v>6.0</v>
      </c>
      <c r="W77" s="69">
        <v>0.0</v>
      </c>
      <c r="X77" s="69">
        <v>0.0</v>
      </c>
      <c r="Y77" s="69">
        <v>1.0</v>
      </c>
      <c r="Z77" s="69">
        <v>2.0</v>
      </c>
      <c r="AA77" s="69">
        <v>4.0</v>
      </c>
      <c r="AB77" s="69">
        <v>1.0</v>
      </c>
      <c r="AC77" s="69">
        <v>1.0</v>
      </c>
      <c r="AD77" s="69">
        <v>1.0</v>
      </c>
      <c r="AE77" s="69">
        <v>2.0</v>
      </c>
      <c r="AF77" s="13">
        <f t="shared" si="20"/>
        <v>75</v>
      </c>
    </row>
    <row r="78" ht="12.75" customHeight="1">
      <c r="A78" s="18"/>
      <c r="B78" s="49"/>
      <c r="C78" s="50" t="s">
        <v>67</v>
      </c>
      <c r="D78" s="51"/>
      <c r="E78" s="69">
        <v>0.0</v>
      </c>
      <c r="F78" s="69">
        <v>1.0</v>
      </c>
      <c r="G78" s="69">
        <v>0.0</v>
      </c>
      <c r="H78" s="69">
        <v>0.0</v>
      </c>
      <c r="I78" s="69">
        <v>0.0</v>
      </c>
      <c r="J78" s="69">
        <v>0.0</v>
      </c>
      <c r="K78" s="69">
        <v>0.0</v>
      </c>
      <c r="L78" s="69">
        <v>0.0</v>
      </c>
      <c r="M78" s="69">
        <v>0.0</v>
      </c>
      <c r="N78" s="69">
        <v>0.0</v>
      </c>
      <c r="O78" s="69">
        <v>0.0</v>
      </c>
      <c r="P78" s="69">
        <v>0.0</v>
      </c>
      <c r="Q78" s="69">
        <v>0.0</v>
      </c>
      <c r="R78" s="69">
        <v>0.0</v>
      </c>
      <c r="S78" s="69">
        <v>0.0</v>
      </c>
      <c r="T78" s="69">
        <v>0.0</v>
      </c>
      <c r="U78" s="69">
        <v>0.0</v>
      </c>
      <c r="V78" s="69">
        <v>1.0</v>
      </c>
      <c r="W78" s="69">
        <v>1.0</v>
      </c>
      <c r="X78" s="69">
        <v>0.0</v>
      </c>
      <c r="Y78" s="69">
        <v>1.0</v>
      </c>
      <c r="Z78" s="69">
        <v>0.0</v>
      </c>
      <c r="AA78" s="69">
        <v>1.0</v>
      </c>
      <c r="AB78" s="69">
        <v>1.0</v>
      </c>
      <c r="AC78" s="69">
        <v>0.0</v>
      </c>
      <c r="AD78" s="69">
        <v>1.0</v>
      </c>
      <c r="AE78" s="69">
        <v>2.0</v>
      </c>
      <c r="AF78" s="13">
        <f t="shared" si="20"/>
        <v>9</v>
      </c>
    </row>
    <row r="79" ht="15.0" customHeight="1">
      <c r="A79" s="18"/>
      <c r="B79" s="49"/>
      <c r="C79" s="50" t="s">
        <v>68</v>
      </c>
      <c r="D79" s="51"/>
      <c r="E79" s="69">
        <v>0.0</v>
      </c>
      <c r="F79" s="69">
        <v>3.0</v>
      </c>
      <c r="G79" s="69">
        <v>0.0</v>
      </c>
      <c r="H79" s="69">
        <v>0.0</v>
      </c>
      <c r="I79" s="69">
        <v>0.0</v>
      </c>
      <c r="J79" s="69">
        <v>0.0</v>
      </c>
      <c r="K79" s="69">
        <v>0.0</v>
      </c>
      <c r="L79" s="69">
        <v>0.0</v>
      </c>
      <c r="M79" s="69">
        <v>0.0</v>
      </c>
      <c r="N79" s="69">
        <v>0.0</v>
      </c>
      <c r="O79" s="69">
        <v>0.0</v>
      </c>
      <c r="P79" s="69">
        <v>0.0</v>
      </c>
      <c r="Q79" s="69">
        <v>0.0</v>
      </c>
      <c r="R79" s="69">
        <v>0.0</v>
      </c>
      <c r="S79" s="69">
        <v>1.0</v>
      </c>
      <c r="T79" s="69">
        <v>0.0</v>
      </c>
      <c r="U79" s="69">
        <v>0.0</v>
      </c>
      <c r="V79" s="69">
        <v>0.0</v>
      </c>
      <c r="W79" s="69">
        <v>0.0</v>
      </c>
      <c r="X79" s="69">
        <v>0.0</v>
      </c>
      <c r="Y79" s="69">
        <v>0.0</v>
      </c>
      <c r="Z79" s="69">
        <v>0.0</v>
      </c>
      <c r="AA79" s="69">
        <v>0.0</v>
      </c>
      <c r="AB79" s="69">
        <v>1.0</v>
      </c>
      <c r="AC79" s="69">
        <v>0.0</v>
      </c>
      <c r="AD79" s="69">
        <v>0.0</v>
      </c>
      <c r="AE79" s="69">
        <v>0.0</v>
      </c>
      <c r="AF79" s="13">
        <f t="shared" si="20"/>
        <v>5</v>
      </c>
    </row>
    <row r="80" ht="12.75" customHeight="1">
      <c r="A80" s="18"/>
      <c r="B80" s="49"/>
      <c r="C80" s="50" t="s">
        <v>69</v>
      </c>
      <c r="D80" s="51"/>
      <c r="E80" s="69">
        <v>0.0</v>
      </c>
      <c r="F80" s="69">
        <v>0.0</v>
      </c>
      <c r="G80" s="69">
        <v>0.0</v>
      </c>
      <c r="H80" s="69">
        <v>0.0</v>
      </c>
      <c r="I80" s="69">
        <v>1.0</v>
      </c>
      <c r="J80" s="69">
        <v>0.0</v>
      </c>
      <c r="K80" s="69">
        <v>0.0</v>
      </c>
      <c r="L80" s="69">
        <v>0.0</v>
      </c>
      <c r="M80" s="69">
        <v>0.0</v>
      </c>
      <c r="N80" s="69">
        <v>0.0</v>
      </c>
      <c r="O80" s="69">
        <v>0.0</v>
      </c>
      <c r="P80" s="69">
        <v>0.0</v>
      </c>
      <c r="Q80" s="69">
        <v>0.0</v>
      </c>
      <c r="R80" s="69">
        <v>0.0</v>
      </c>
      <c r="S80" s="69">
        <v>1.0</v>
      </c>
      <c r="T80" s="69">
        <v>0.0</v>
      </c>
      <c r="U80" s="69">
        <v>0.0</v>
      </c>
      <c r="V80" s="69">
        <v>0.0</v>
      </c>
      <c r="W80" s="69">
        <v>1.0</v>
      </c>
      <c r="X80" s="69">
        <v>0.0</v>
      </c>
      <c r="Y80" s="69">
        <v>0.0</v>
      </c>
      <c r="Z80" s="69">
        <v>0.0</v>
      </c>
      <c r="AA80" s="69">
        <v>0.0</v>
      </c>
      <c r="AB80" s="69">
        <v>0.0</v>
      </c>
      <c r="AC80" s="69">
        <v>0.0</v>
      </c>
      <c r="AD80" s="69">
        <v>0.0</v>
      </c>
      <c r="AE80" s="69">
        <v>0.0</v>
      </c>
      <c r="AF80" s="13">
        <f t="shared" si="20"/>
        <v>3</v>
      </c>
    </row>
    <row r="81" ht="12.75" customHeight="1">
      <c r="A81" s="18"/>
      <c r="B81" s="49"/>
      <c r="C81" s="50" t="s">
        <v>70</v>
      </c>
      <c r="D81" s="51"/>
      <c r="E81" s="69">
        <v>0.0</v>
      </c>
      <c r="F81" s="69">
        <v>0.0</v>
      </c>
      <c r="G81" s="69">
        <v>0.0</v>
      </c>
      <c r="H81" s="69">
        <v>0.0</v>
      </c>
      <c r="I81" s="69">
        <v>0.0</v>
      </c>
      <c r="J81" s="69">
        <v>0.0</v>
      </c>
      <c r="K81" s="69">
        <v>0.0</v>
      </c>
      <c r="L81" s="69">
        <v>0.0</v>
      </c>
      <c r="M81" s="69">
        <v>0.0</v>
      </c>
      <c r="N81" s="69">
        <v>0.0</v>
      </c>
      <c r="O81" s="69">
        <v>0.0</v>
      </c>
      <c r="P81" s="69">
        <v>1.0</v>
      </c>
      <c r="Q81" s="69">
        <v>0.0</v>
      </c>
      <c r="R81" s="69">
        <v>0.0</v>
      </c>
      <c r="S81" s="69">
        <v>0.0</v>
      </c>
      <c r="T81" s="69">
        <v>0.0</v>
      </c>
      <c r="U81" s="69">
        <v>0.0</v>
      </c>
      <c r="V81" s="69">
        <v>0.0</v>
      </c>
      <c r="W81" s="69">
        <v>0.0</v>
      </c>
      <c r="X81" s="69">
        <v>0.0</v>
      </c>
      <c r="Y81" s="69">
        <v>0.0</v>
      </c>
      <c r="Z81" s="69">
        <v>0.0</v>
      </c>
      <c r="AA81" s="69">
        <v>0.0</v>
      </c>
      <c r="AB81" s="69">
        <v>0.0</v>
      </c>
      <c r="AC81" s="69">
        <v>0.0</v>
      </c>
      <c r="AD81" s="69">
        <v>0.0</v>
      </c>
      <c r="AE81" s="69">
        <v>0.0</v>
      </c>
      <c r="AF81" s="13">
        <f t="shared" si="20"/>
        <v>1</v>
      </c>
    </row>
    <row r="82" ht="12.75" customHeight="1">
      <c r="A82" s="18"/>
      <c r="B82" s="49"/>
      <c r="C82" s="50" t="s">
        <v>71</v>
      </c>
      <c r="D82" s="51"/>
      <c r="E82" s="69">
        <v>22.0</v>
      </c>
      <c r="F82" s="69">
        <v>7.0</v>
      </c>
      <c r="G82" s="69">
        <v>10.0</v>
      </c>
      <c r="H82" s="69">
        <v>8.0</v>
      </c>
      <c r="I82" s="69">
        <v>3.0</v>
      </c>
      <c r="J82" s="69">
        <v>3.0</v>
      </c>
      <c r="K82" s="69">
        <v>10.0</v>
      </c>
      <c r="L82" s="69">
        <v>7.0</v>
      </c>
      <c r="M82" s="69">
        <v>7.0</v>
      </c>
      <c r="N82" s="69">
        <v>1.0</v>
      </c>
      <c r="O82" s="69">
        <v>10.0</v>
      </c>
      <c r="P82" s="69">
        <v>28.0</v>
      </c>
      <c r="Q82" s="69">
        <v>3.0</v>
      </c>
      <c r="R82" s="69">
        <v>2.0</v>
      </c>
      <c r="S82" s="69">
        <v>4.0</v>
      </c>
      <c r="T82" s="69">
        <v>4.0</v>
      </c>
      <c r="U82" s="69">
        <v>2.0</v>
      </c>
      <c r="V82" s="69">
        <v>1.0</v>
      </c>
      <c r="W82" s="69">
        <v>3.0</v>
      </c>
      <c r="X82" s="69">
        <v>1.0</v>
      </c>
      <c r="Y82" s="69">
        <v>0.0</v>
      </c>
      <c r="Z82" s="69">
        <v>5.0</v>
      </c>
      <c r="AA82" s="69">
        <v>7.0</v>
      </c>
      <c r="AB82" s="69">
        <v>8.0</v>
      </c>
      <c r="AC82" s="69">
        <v>13.0</v>
      </c>
      <c r="AD82" s="69">
        <v>17.0</v>
      </c>
      <c r="AE82" s="69">
        <v>19.0</v>
      </c>
      <c r="AF82" s="13">
        <f t="shared" si="20"/>
        <v>205</v>
      </c>
    </row>
    <row r="83" ht="12.75" customHeight="1">
      <c r="A83" s="19" t="s">
        <v>15</v>
      </c>
      <c r="B83" s="47" t="s">
        <v>47</v>
      </c>
      <c r="C83" s="15"/>
      <c r="D83" s="16"/>
      <c r="E83" s="56">
        <f t="shared" ref="E83:AE83" si="21">SUM(E75:E82)</f>
        <v>40</v>
      </c>
      <c r="F83" s="56">
        <f t="shared" si="21"/>
        <v>18</v>
      </c>
      <c r="G83" s="56">
        <f t="shared" si="21"/>
        <v>22</v>
      </c>
      <c r="H83" s="56">
        <f t="shared" si="21"/>
        <v>15</v>
      </c>
      <c r="I83" s="56">
        <f t="shared" si="21"/>
        <v>16</v>
      </c>
      <c r="J83" s="56">
        <f t="shared" si="21"/>
        <v>21</v>
      </c>
      <c r="K83" s="56">
        <f t="shared" si="21"/>
        <v>33</v>
      </c>
      <c r="L83" s="56">
        <f t="shared" si="21"/>
        <v>8</v>
      </c>
      <c r="M83" s="56">
        <f t="shared" si="21"/>
        <v>8</v>
      </c>
      <c r="N83" s="56">
        <f t="shared" si="21"/>
        <v>1</v>
      </c>
      <c r="O83" s="56">
        <f t="shared" si="21"/>
        <v>19</v>
      </c>
      <c r="P83" s="56">
        <f t="shared" si="21"/>
        <v>33</v>
      </c>
      <c r="Q83" s="56">
        <f t="shared" si="21"/>
        <v>8</v>
      </c>
      <c r="R83" s="56">
        <f t="shared" si="21"/>
        <v>5</v>
      </c>
      <c r="S83" s="56">
        <f t="shared" si="21"/>
        <v>8</v>
      </c>
      <c r="T83" s="56">
        <f t="shared" si="21"/>
        <v>18</v>
      </c>
      <c r="U83" s="56">
        <f t="shared" si="21"/>
        <v>3</v>
      </c>
      <c r="V83" s="56">
        <f t="shared" si="21"/>
        <v>14</v>
      </c>
      <c r="W83" s="56">
        <f t="shared" si="21"/>
        <v>8</v>
      </c>
      <c r="X83" s="56">
        <f t="shared" si="21"/>
        <v>3</v>
      </c>
      <c r="Y83" s="56">
        <f t="shared" si="21"/>
        <v>3</v>
      </c>
      <c r="Z83" s="56">
        <f t="shared" si="21"/>
        <v>8</v>
      </c>
      <c r="AA83" s="56">
        <f t="shared" si="21"/>
        <v>13</v>
      </c>
      <c r="AB83" s="56">
        <f t="shared" si="21"/>
        <v>18</v>
      </c>
      <c r="AC83" s="56">
        <f t="shared" si="21"/>
        <v>14</v>
      </c>
      <c r="AD83" s="56">
        <f t="shared" si="21"/>
        <v>25</v>
      </c>
      <c r="AE83" s="56">
        <f t="shared" si="21"/>
        <v>30</v>
      </c>
      <c r="AF83" s="13">
        <f t="shared" si="20"/>
        <v>412</v>
      </c>
    </row>
    <row r="84" ht="12.75" customHeight="1">
      <c r="A84" s="57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13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69">
        <v>2.0</v>
      </c>
      <c r="F85" s="69">
        <v>2.0</v>
      </c>
      <c r="G85" s="69">
        <v>1.0</v>
      </c>
      <c r="H85" s="69">
        <v>0.0</v>
      </c>
      <c r="I85" s="69">
        <v>0.0</v>
      </c>
      <c r="J85" s="69">
        <v>0.0</v>
      </c>
      <c r="K85" s="69">
        <v>1.0</v>
      </c>
      <c r="L85" s="69">
        <v>1.0</v>
      </c>
      <c r="M85" s="69">
        <v>0.0</v>
      </c>
      <c r="N85" s="69">
        <v>1.0</v>
      </c>
      <c r="O85" s="69">
        <v>1.0</v>
      </c>
      <c r="P85" s="69">
        <v>1.0</v>
      </c>
      <c r="Q85" s="69">
        <v>1.0</v>
      </c>
      <c r="R85" s="69">
        <v>3.0</v>
      </c>
      <c r="S85" s="69">
        <v>0.0</v>
      </c>
      <c r="T85" s="69">
        <v>0.0</v>
      </c>
      <c r="U85" s="69">
        <v>0.0</v>
      </c>
      <c r="V85" s="69">
        <v>0.0</v>
      </c>
      <c r="W85" s="69">
        <v>0.0</v>
      </c>
      <c r="X85" s="69">
        <v>1.0</v>
      </c>
      <c r="Y85" s="69">
        <v>1.0</v>
      </c>
      <c r="Z85" s="69">
        <v>2.0</v>
      </c>
      <c r="AA85" s="69">
        <v>4.0</v>
      </c>
      <c r="AB85" s="69">
        <v>3.0</v>
      </c>
      <c r="AC85" s="69">
        <v>1.0</v>
      </c>
      <c r="AD85" s="69">
        <v>1.0</v>
      </c>
      <c r="AE85" s="69">
        <v>2.0</v>
      </c>
      <c r="AF85" s="13">
        <f t="shared" ref="AF85:AF93" si="22">SUM(E85:AE85)</f>
        <v>29</v>
      </c>
    </row>
    <row r="86" ht="12.75" customHeight="1">
      <c r="A86" s="30" t="s">
        <v>39</v>
      </c>
      <c r="B86" s="49"/>
      <c r="C86" s="50" t="s">
        <v>74</v>
      </c>
      <c r="D86" s="51"/>
      <c r="E86" s="69">
        <v>1.0</v>
      </c>
      <c r="F86" s="69">
        <v>0.0</v>
      </c>
      <c r="G86" s="69">
        <v>0.0</v>
      </c>
      <c r="H86" s="69">
        <v>0.0</v>
      </c>
      <c r="I86" s="69">
        <v>0.0</v>
      </c>
      <c r="J86" s="69">
        <v>1.0</v>
      </c>
      <c r="K86" s="69">
        <v>1.0</v>
      </c>
      <c r="L86" s="69">
        <v>1.0</v>
      </c>
      <c r="M86" s="69">
        <v>2.0</v>
      </c>
      <c r="N86" s="69">
        <v>0.0</v>
      </c>
      <c r="O86" s="69">
        <v>0.0</v>
      </c>
      <c r="P86" s="69">
        <v>1.0</v>
      </c>
      <c r="Q86" s="69">
        <v>1.0</v>
      </c>
      <c r="R86" s="69">
        <v>0.0</v>
      </c>
      <c r="S86" s="69">
        <v>0.0</v>
      </c>
      <c r="T86" s="69">
        <v>1.0</v>
      </c>
      <c r="U86" s="69">
        <v>0.0</v>
      </c>
      <c r="V86" s="69">
        <v>0.0</v>
      </c>
      <c r="W86" s="69">
        <v>0.0</v>
      </c>
      <c r="X86" s="69">
        <v>0.0</v>
      </c>
      <c r="Y86" s="69">
        <v>1.0</v>
      </c>
      <c r="Z86" s="69">
        <v>1.0</v>
      </c>
      <c r="AA86" s="69">
        <v>0.0</v>
      </c>
      <c r="AB86" s="69">
        <v>0.0</v>
      </c>
      <c r="AC86" s="69">
        <v>2.0</v>
      </c>
      <c r="AD86" s="69">
        <v>1.0</v>
      </c>
      <c r="AE86" s="69">
        <v>2.0</v>
      </c>
      <c r="AF86" s="13">
        <f t="shared" si="22"/>
        <v>16</v>
      </c>
    </row>
    <row r="87" ht="12.75" customHeight="1">
      <c r="A87" s="18"/>
      <c r="B87" s="49"/>
      <c r="C87" s="50" t="s">
        <v>75</v>
      </c>
      <c r="D87" s="51"/>
      <c r="E87" s="69">
        <v>7.0</v>
      </c>
      <c r="F87" s="69">
        <v>4.0</v>
      </c>
      <c r="G87" s="69">
        <v>12.0</v>
      </c>
      <c r="H87" s="69">
        <v>14.0</v>
      </c>
      <c r="I87" s="69">
        <v>8.0</v>
      </c>
      <c r="J87" s="69">
        <v>4.0</v>
      </c>
      <c r="K87" s="69">
        <v>14.0</v>
      </c>
      <c r="L87" s="69">
        <v>8.0</v>
      </c>
      <c r="M87" s="69">
        <v>14.0</v>
      </c>
      <c r="N87" s="69">
        <v>5.0</v>
      </c>
      <c r="O87" s="69">
        <v>5.0</v>
      </c>
      <c r="P87" s="69">
        <v>16.0</v>
      </c>
      <c r="Q87" s="69">
        <v>6.0</v>
      </c>
      <c r="R87" s="69">
        <v>31.0</v>
      </c>
      <c r="S87" s="69">
        <v>6.0</v>
      </c>
      <c r="T87" s="69">
        <v>5.0</v>
      </c>
      <c r="U87" s="69">
        <v>4.0</v>
      </c>
      <c r="V87" s="69">
        <v>11.0</v>
      </c>
      <c r="W87" s="69">
        <v>6.0</v>
      </c>
      <c r="X87" s="69">
        <v>24.0</v>
      </c>
      <c r="Y87" s="69">
        <v>3.0</v>
      </c>
      <c r="Z87" s="69">
        <v>35.0</v>
      </c>
      <c r="AA87" s="69">
        <v>22.0</v>
      </c>
      <c r="AB87" s="69">
        <v>5.0</v>
      </c>
      <c r="AC87" s="69">
        <v>36.0</v>
      </c>
      <c r="AD87" s="69">
        <v>37.0</v>
      </c>
      <c r="AE87" s="69">
        <v>23.0</v>
      </c>
      <c r="AF87" s="13">
        <f t="shared" si="22"/>
        <v>365</v>
      </c>
    </row>
    <row r="88" ht="12.75" customHeight="1">
      <c r="A88" s="18"/>
      <c r="B88" s="49"/>
      <c r="C88" s="50" t="s">
        <v>76</v>
      </c>
      <c r="D88" s="51"/>
      <c r="E88" s="69">
        <v>0.0</v>
      </c>
      <c r="F88" s="69">
        <v>0.0</v>
      </c>
      <c r="G88" s="69">
        <v>0.0</v>
      </c>
      <c r="H88" s="69">
        <v>0.0</v>
      </c>
      <c r="I88" s="69">
        <v>0.0</v>
      </c>
      <c r="J88" s="69">
        <v>0.0</v>
      </c>
      <c r="K88" s="69">
        <v>0.0</v>
      </c>
      <c r="L88" s="69">
        <v>0.0</v>
      </c>
      <c r="M88" s="69">
        <v>0.0</v>
      </c>
      <c r="N88" s="69">
        <v>0.0</v>
      </c>
      <c r="O88" s="69">
        <v>0.0</v>
      </c>
      <c r="P88" s="69">
        <v>0.0</v>
      </c>
      <c r="Q88" s="69">
        <v>0.0</v>
      </c>
      <c r="R88" s="69">
        <v>0.0</v>
      </c>
      <c r="S88" s="69">
        <v>0.0</v>
      </c>
      <c r="T88" s="69">
        <v>0.0</v>
      </c>
      <c r="U88" s="69">
        <v>0.0</v>
      </c>
      <c r="V88" s="69">
        <v>0.0</v>
      </c>
      <c r="W88" s="69">
        <v>0.0</v>
      </c>
      <c r="X88" s="69">
        <v>0.0</v>
      </c>
      <c r="Y88" s="69">
        <v>0.0</v>
      </c>
      <c r="Z88" s="69">
        <v>0.0</v>
      </c>
      <c r="AA88" s="69">
        <v>0.0</v>
      </c>
      <c r="AB88" s="69">
        <v>0.0</v>
      </c>
      <c r="AC88" s="69">
        <v>0.0</v>
      </c>
      <c r="AD88" s="69">
        <v>0.0</v>
      </c>
      <c r="AE88" s="69">
        <v>0.0</v>
      </c>
      <c r="AF88" s="13">
        <f t="shared" si="22"/>
        <v>0</v>
      </c>
    </row>
    <row r="89" ht="12.75" customHeight="1">
      <c r="A89" s="18"/>
      <c r="B89" s="49"/>
      <c r="C89" s="50" t="s">
        <v>77</v>
      </c>
      <c r="D89" s="51"/>
      <c r="E89" s="69">
        <v>0.0</v>
      </c>
      <c r="F89" s="69">
        <v>0.0</v>
      </c>
      <c r="G89" s="69">
        <v>0.0</v>
      </c>
      <c r="H89" s="69">
        <v>0.0</v>
      </c>
      <c r="I89" s="69">
        <v>0.0</v>
      </c>
      <c r="J89" s="69">
        <v>0.0</v>
      </c>
      <c r="K89" s="69">
        <v>0.0</v>
      </c>
      <c r="L89" s="69">
        <v>0.0</v>
      </c>
      <c r="M89" s="69">
        <v>0.0</v>
      </c>
      <c r="N89" s="69">
        <v>0.0</v>
      </c>
      <c r="O89" s="69">
        <v>1.0</v>
      </c>
      <c r="P89" s="69">
        <v>0.0</v>
      </c>
      <c r="Q89" s="69">
        <v>0.0</v>
      </c>
      <c r="R89" s="69">
        <v>0.0</v>
      </c>
      <c r="S89" s="69">
        <v>0.0</v>
      </c>
      <c r="T89" s="69">
        <v>0.0</v>
      </c>
      <c r="U89" s="69">
        <v>0.0</v>
      </c>
      <c r="V89" s="69">
        <v>0.0</v>
      </c>
      <c r="W89" s="69">
        <v>0.0</v>
      </c>
      <c r="X89" s="69">
        <v>0.0</v>
      </c>
      <c r="Y89" s="69">
        <v>0.0</v>
      </c>
      <c r="Z89" s="69">
        <v>1.0</v>
      </c>
      <c r="AA89" s="69">
        <v>0.0</v>
      </c>
      <c r="AB89" s="69">
        <v>1.0</v>
      </c>
      <c r="AC89" s="69">
        <v>1.0</v>
      </c>
      <c r="AD89" s="69">
        <v>0.0</v>
      </c>
      <c r="AE89" s="69">
        <v>0.0</v>
      </c>
      <c r="AF89" s="13">
        <f t="shared" si="22"/>
        <v>4</v>
      </c>
    </row>
    <row r="90" ht="12.75" customHeight="1">
      <c r="A90" s="18"/>
      <c r="B90" s="49"/>
      <c r="C90" s="50" t="s">
        <v>78</v>
      </c>
      <c r="D90" s="51"/>
      <c r="E90" s="69">
        <v>4.0</v>
      </c>
      <c r="F90" s="69">
        <v>9.0</v>
      </c>
      <c r="G90" s="69">
        <v>2.0</v>
      </c>
      <c r="H90" s="69">
        <v>3.0</v>
      </c>
      <c r="I90" s="69">
        <v>1.0</v>
      </c>
      <c r="J90" s="69">
        <v>1.0</v>
      </c>
      <c r="K90" s="69">
        <v>0.0</v>
      </c>
      <c r="L90" s="69">
        <v>0.0</v>
      </c>
      <c r="M90" s="69">
        <v>0.0</v>
      </c>
      <c r="N90" s="69">
        <v>2.0</v>
      </c>
      <c r="O90" s="69">
        <v>0.0</v>
      </c>
      <c r="P90" s="69">
        <v>4.0</v>
      </c>
      <c r="Q90" s="69">
        <v>0.0</v>
      </c>
      <c r="R90" s="69">
        <v>0.0</v>
      </c>
      <c r="S90" s="69">
        <v>0.0</v>
      </c>
      <c r="T90" s="69">
        <v>7.0</v>
      </c>
      <c r="U90" s="69">
        <v>1.0</v>
      </c>
      <c r="V90" s="69">
        <v>5.0</v>
      </c>
      <c r="W90" s="69">
        <v>0.0</v>
      </c>
      <c r="X90" s="69">
        <v>1.0</v>
      </c>
      <c r="Y90" s="69">
        <v>6.0</v>
      </c>
      <c r="Z90" s="69">
        <v>8.0</v>
      </c>
      <c r="AA90" s="69">
        <v>31.0</v>
      </c>
      <c r="AB90" s="69">
        <v>55.0</v>
      </c>
      <c r="AC90" s="69">
        <v>2.0</v>
      </c>
      <c r="AD90" s="69">
        <v>1.0</v>
      </c>
      <c r="AE90" s="69">
        <v>3.0</v>
      </c>
      <c r="AF90" s="13">
        <f t="shared" si="22"/>
        <v>146</v>
      </c>
    </row>
    <row r="91" ht="15.0" customHeight="1">
      <c r="A91" s="18"/>
      <c r="B91" s="49"/>
      <c r="C91" s="50" t="s">
        <v>79</v>
      </c>
      <c r="D91" s="51"/>
      <c r="E91" s="69">
        <v>0.0</v>
      </c>
      <c r="F91" s="69">
        <v>0.0</v>
      </c>
      <c r="G91" s="69">
        <v>0.0</v>
      </c>
      <c r="H91" s="69">
        <v>0.0</v>
      </c>
      <c r="I91" s="69">
        <v>0.0</v>
      </c>
      <c r="J91" s="69">
        <v>0.0</v>
      </c>
      <c r="K91" s="69">
        <v>0.0</v>
      </c>
      <c r="L91" s="69">
        <v>0.0</v>
      </c>
      <c r="M91" s="69">
        <v>0.0</v>
      </c>
      <c r="N91" s="69">
        <v>0.0</v>
      </c>
      <c r="O91" s="69">
        <v>0.0</v>
      </c>
      <c r="P91" s="69">
        <v>0.0</v>
      </c>
      <c r="Q91" s="69">
        <v>0.0</v>
      </c>
      <c r="R91" s="69">
        <v>0.0</v>
      </c>
      <c r="S91" s="69">
        <v>0.0</v>
      </c>
      <c r="T91" s="69">
        <v>0.0</v>
      </c>
      <c r="U91" s="69">
        <v>0.0</v>
      </c>
      <c r="V91" s="69">
        <v>0.0</v>
      </c>
      <c r="W91" s="69">
        <v>0.0</v>
      </c>
      <c r="X91" s="69">
        <v>0.0</v>
      </c>
      <c r="Y91" s="69">
        <v>0.0</v>
      </c>
      <c r="Z91" s="69">
        <v>0.0</v>
      </c>
      <c r="AA91" s="69">
        <v>0.0</v>
      </c>
      <c r="AB91" s="69">
        <v>0.0</v>
      </c>
      <c r="AC91" s="69">
        <v>0.0</v>
      </c>
      <c r="AD91" s="69">
        <v>0.0</v>
      </c>
      <c r="AE91" s="69">
        <v>0.0</v>
      </c>
      <c r="AF91" s="13">
        <f t="shared" si="22"/>
        <v>0</v>
      </c>
    </row>
    <row r="92" ht="12.75" customHeight="1">
      <c r="A92" s="18"/>
      <c r="B92" s="49"/>
      <c r="C92" s="50" t="s">
        <v>80</v>
      </c>
      <c r="D92" s="51"/>
      <c r="E92" s="69">
        <v>0.0</v>
      </c>
      <c r="F92" s="69">
        <v>0.0</v>
      </c>
      <c r="G92" s="69">
        <v>0.0</v>
      </c>
      <c r="H92" s="69">
        <v>0.0</v>
      </c>
      <c r="I92" s="69">
        <v>0.0</v>
      </c>
      <c r="J92" s="69">
        <v>0.0</v>
      </c>
      <c r="K92" s="69">
        <v>1.0</v>
      </c>
      <c r="L92" s="69">
        <v>0.0</v>
      </c>
      <c r="M92" s="69">
        <v>0.0</v>
      </c>
      <c r="N92" s="69">
        <v>0.0</v>
      </c>
      <c r="O92" s="69">
        <v>0.0</v>
      </c>
      <c r="P92" s="69">
        <v>0.0</v>
      </c>
      <c r="Q92" s="69">
        <v>0.0</v>
      </c>
      <c r="R92" s="69">
        <v>0.0</v>
      </c>
      <c r="S92" s="69">
        <v>0.0</v>
      </c>
      <c r="T92" s="69">
        <v>0.0</v>
      </c>
      <c r="U92" s="69">
        <v>0.0</v>
      </c>
      <c r="V92" s="69">
        <v>0.0</v>
      </c>
      <c r="W92" s="69">
        <v>0.0</v>
      </c>
      <c r="X92" s="69">
        <v>0.0</v>
      </c>
      <c r="Y92" s="69">
        <v>0.0</v>
      </c>
      <c r="Z92" s="69">
        <v>0.0</v>
      </c>
      <c r="AA92" s="69">
        <v>0.0</v>
      </c>
      <c r="AB92" s="69">
        <v>0.0</v>
      </c>
      <c r="AC92" s="69">
        <v>0.0</v>
      </c>
      <c r="AD92" s="69">
        <v>0.0</v>
      </c>
      <c r="AE92" s="69">
        <v>1.0</v>
      </c>
      <c r="AF92" s="13">
        <f t="shared" si="22"/>
        <v>2</v>
      </c>
    </row>
    <row r="93" ht="12.75" customHeight="1">
      <c r="A93" s="19" t="s">
        <v>15</v>
      </c>
      <c r="B93" s="47" t="s">
        <v>47</v>
      </c>
      <c r="C93" s="15"/>
      <c r="D93" s="16"/>
      <c r="E93" s="56">
        <f t="shared" ref="E93:AE93" si="23">SUM(E85:E92)</f>
        <v>14</v>
      </c>
      <c r="F93" s="56">
        <f t="shared" si="23"/>
        <v>15</v>
      </c>
      <c r="G93" s="56">
        <f t="shared" si="23"/>
        <v>15</v>
      </c>
      <c r="H93" s="56">
        <f t="shared" si="23"/>
        <v>17</v>
      </c>
      <c r="I93" s="56">
        <f t="shared" si="23"/>
        <v>9</v>
      </c>
      <c r="J93" s="56">
        <f t="shared" si="23"/>
        <v>6</v>
      </c>
      <c r="K93" s="56">
        <f t="shared" si="23"/>
        <v>17</v>
      </c>
      <c r="L93" s="56">
        <f t="shared" si="23"/>
        <v>10</v>
      </c>
      <c r="M93" s="56">
        <f t="shared" si="23"/>
        <v>16</v>
      </c>
      <c r="N93" s="56">
        <f t="shared" si="23"/>
        <v>8</v>
      </c>
      <c r="O93" s="56">
        <f t="shared" si="23"/>
        <v>7</v>
      </c>
      <c r="P93" s="56">
        <f t="shared" si="23"/>
        <v>22</v>
      </c>
      <c r="Q93" s="56">
        <f t="shared" si="23"/>
        <v>8</v>
      </c>
      <c r="R93" s="56">
        <f t="shared" si="23"/>
        <v>34</v>
      </c>
      <c r="S93" s="56">
        <f t="shared" si="23"/>
        <v>6</v>
      </c>
      <c r="T93" s="56">
        <f t="shared" si="23"/>
        <v>13</v>
      </c>
      <c r="U93" s="56">
        <f t="shared" si="23"/>
        <v>5</v>
      </c>
      <c r="V93" s="56">
        <f t="shared" si="23"/>
        <v>16</v>
      </c>
      <c r="W93" s="56">
        <f t="shared" si="23"/>
        <v>6</v>
      </c>
      <c r="X93" s="56">
        <f t="shared" si="23"/>
        <v>26</v>
      </c>
      <c r="Y93" s="56">
        <f t="shared" si="23"/>
        <v>11</v>
      </c>
      <c r="Z93" s="56">
        <f t="shared" si="23"/>
        <v>47</v>
      </c>
      <c r="AA93" s="56">
        <f t="shared" si="23"/>
        <v>57</v>
      </c>
      <c r="AB93" s="56">
        <f t="shared" si="23"/>
        <v>64</v>
      </c>
      <c r="AC93" s="56">
        <f t="shared" si="23"/>
        <v>42</v>
      </c>
      <c r="AD93" s="56">
        <f t="shared" si="23"/>
        <v>40</v>
      </c>
      <c r="AE93" s="56">
        <f t="shared" si="23"/>
        <v>31</v>
      </c>
      <c r="AF93" s="13">
        <f t="shared" si="22"/>
        <v>562</v>
      </c>
    </row>
    <row r="94" ht="12.75" customHeight="1">
      <c r="A94" s="57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13"/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69">
        <v>0.0</v>
      </c>
      <c r="F95" s="69">
        <v>1.0</v>
      </c>
      <c r="G95" s="69">
        <v>1.0</v>
      </c>
      <c r="H95" s="69">
        <v>0.0</v>
      </c>
      <c r="I95" s="69">
        <v>0.0</v>
      </c>
      <c r="J95" s="69">
        <v>0.0</v>
      </c>
      <c r="K95" s="69">
        <v>0.0</v>
      </c>
      <c r="L95" s="69">
        <v>0.0</v>
      </c>
      <c r="M95" s="69">
        <v>0.0</v>
      </c>
      <c r="N95" s="69">
        <v>1.0</v>
      </c>
      <c r="O95" s="69">
        <v>0.0</v>
      </c>
      <c r="P95" s="69">
        <v>1.0</v>
      </c>
      <c r="Q95" s="69">
        <v>0.0</v>
      </c>
      <c r="R95" s="69">
        <v>0.0</v>
      </c>
      <c r="S95" s="69">
        <v>1.0</v>
      </c>
      <c r="T95" s="69">
        <v>0.0</v>
      </c>
      <c r="U95" s="69">
        <v>0.0</v>
      </c>
      <c r="V95" s="69">
        <v>1.0</v>
      </c>
      <c r="W95" s="69">
        <v>0.0</v>
      </c>
      <c r="X95" s="69">
        <v>0.0</v>
      </c>
      <c r="Y95" s="69">
        <v>1.0</v>
      </c>
      <c r="Z95" s="69">
        <v>0.0</v>
      </c>
      <c r="AA95" s="69">
        <v>0.0</v>
      </c>
      <c r="AB95" s="69">
        <v>1.0</v>
      </c>
      <c r="AC95" s="69">
        <v>0.0</v>
      </c>
      <c r="AD95" s="69">
        <v>1.0</v>
      </c>
      <c r="AE95" s="69">
        <v>0.0</v>
      </c>
      <c r="AF95" s="13">
        <f t="shared" ref="AF95:AF97" si="24">SUM(E95:AE95)</f>
        <v>9</v>
      </c>
    </row>
    <row r="96" ht="12.75" customHeight="1">
      <c r="A96" s="30" t="s">
        <v>39</v>
      </c>
      <c r="B96" s="49"/>
      <c r="C96" s="50" t="s">
        <v>83</v>
      </c>
      <c r="D96" s="62"/>
      <c r="E96" s="69">
        <v>0.0</v>
      </c>
      <c r="F96" s="69">
        <v>0.0</v>
      </c>
      <c r="G96" s="69">
        <v>0.0</v>
      </c>
      <c r="H96" s="69">
        <v>0.0</v>
      </c>
      <c r="I96" s="69">
        <v>0.0</v>
      </c>
      <c r="J96" s="69">
        <v>0.0</v>
      </c>
      <c r="K96" s="69">
        <v>0.0</v>
      </c>
      <c r="L96" s="69">
        <v>0.0</v>
      </c>
      <c r="M96" s="69">
        <v>0.0</v>
      </c>
      <c r="N96" s="69">
        <v>0.0</v>
      </c>
      <c r="O96" s="69">
        <v>1.0</v>
      </c>
      <c r="P96" s="69">
        <v>0.0</v>
      </c>
      <c r="Q96" s="69">
        <v>0.0</v>
      </c>
      <c r="R96" s="69">
        <v>0.0</v>
      </c>
      <c r="S96" s="69">
        <v>3.0</v>
      </c>
      <c r="T96" s="69">
        <v>2.0</v>
      </c>
      <c r="U96" s="69">
        <v>0.0</v>
      </c>
      <c r="V96" s="69">
        <v>0.0</v>
      </c>
      <c r="W96" s="69">
        <v>0.0</v>
      </c>
      <c r="X96" s="69">
        <v>0.0</v>
      </c>
      <c r="Y96" s="69">
        <v>0.0</v>
      </c>
      <c r="Z96" s="69">
        <v>0.0</v>
      </c>
      <c r="AA96" s="69">
        <v>0.0</v>
      </c>
      <c r="AB96" s="69">
        <v>0.0</v>
      </c>
      <c r="AC96" s="69">
        <v>0.0</v>
      </c>
      <c r="AD96" s="69">
        <v>0.0</v>
      </c>
      <c r="AE96" s="69">
        <v>0.0</v>
      </c>
      <c r="AF96" s="13">
        <f t="shared" si="24"/>
        <v>6</v>
      </c>
    </row>
    <row r="97" ht="12.75" customHeight="1">
      <c r="A97" s="19" t="s">
        <v>15</v>
      </c>
      <c r="B97" s="47" t="s">
        <v>47</v>
      </c>
      <c r="C97" s="15"/>
      <c r="D97" s="16"/>
      <c r="E97" s="56">
        <f t="shared" ref="E97:AE97" si="25">SUM(E95:E96)</f>
        <v>0</v>
      </c>
      <c r="F97" s="56">
        <f t="shared" si="25"/>
        <v>1</v>
      </c>
      <c r="G97" s="56">
        <f t="shared" si="25"/>
        <v>1</v>
      </c>
      <c r="H97" s="56">
        <f t="shared" si="25"/>
        <v>0</v>
      </c>
      <c r="I97" s="56">
        <f t="shared" si="25"/>
        <v>0</v>
      </c>
      <c r="J97" s="56">
        <f t="shared" si="25"/>
        <v>0</v>
      </c>
      <c r="K97" s="56">
        <f t="shared" si="25"/>
        <v>0</v>
      </c>
      <c r="L97" s="56">
        <f t="shared" si="25"/>
        <v>0</v>
      </c>
      <c r="M97" s="56">
        <f t="shared" si="25"/>
        <v>0</v>
      </c>
      <c r="N97" s="56">
        <f t="shared" si="25"/>
        <v>1</v>
      </c>
      <c r="O97" s="56">
        <f t="shared" si="25"/>
        <v>1</v>
      </c>
      <c r="P97" s="56">
        <f t="shared" si="25"/>
        <v>1</v>
      </c>
      <c r="Q97" s="56">
        <f t="shared" si="25"/>
        <v>0</v>
      </c>
      <c r="R97" s="56">
        <f t="shared" si="25"/>
        <v>0</v>
      </c>
      <c r="S97" s="56">
        <f t="shared" si="25"/>
        <v>4</v>
      </c>
      <c r="T97" s="56">
        <f t="shared" si="25"/>
        <v>2</v>
      </c>
      <c r="U97" s="56">
        <f t="shared" si="25"/>
        <v>0</v>
      </c>
      <c r="V97" s="56">
        <f t="shared" si="25"/>
        <v>1</v>
      </c>
      <c r="W97" s="56">
        <f t="shared" si="25"/>
        <v>0</v>
      </c>
      <c r="X97" s="56">
        <f t="shared" si="25"/>
        <v>0</v>
      </c>
      <c r="Y97" s="56">
        <f t="shared" si="25"/>
        <v>1</v>
      </c>
      <c r="Z97" s="56">
        <f t="shared" si="25"/>
        <v>0</v>
      </c>
      <c r="AA97" s="56">
        <f t="shared" si="25"/>
        <v>0</v>
      </c>
      <c r="AB97" s="56">
        <f t="shared" si="25"/>
        <v>1</v>
      </c>
      <c r="AC97" s="56">
        <f t="shared" si="25"/>
        <v>0</v>
      </c>
      <c r="AD97" s="56">
        <f t="shared" si="25"/>
        <v>1</v>
      </c>
      <c r="AE97" s="56">
        <f t="shared" si="25"/>
        <v>0</v>
      </c>
      <c r="AF97" s="13">
        <f t="shared" si="24"/>
        <v>15</v>
      </c>
    </row>
    <row r="98" ht="12.75" customHeight="1">
      <c r="A98" s="57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13"/>
    </row>
    <row r="99" ht="12.75" customHeight="1">
      <c r="A99" s="30" t="s">
        <v>37</v>
      </c>
      <c r="B99" s="47" t="s">
        <v>84</v>
      </c>
      <c r="C99" s="48" t="s">
        <v>85</v>
      </c>
      <c r="D99" s="16"/>
      <c r="E99" s="69">
        <v>1.0</v>
      </c>
      <c r="F99" s="69">
        <v>2.0</v>
      </c>
      <c r="G99" s="69">
        <v>2.0</v>
      </c>
      <c r="H99" s="69">
        <v>3.0</v>
      </c>
      <c r="I99" s="69">
        <v>1.0</v>
      </c>
      <c r="J99" s="69">
        <v>2.0</v>
      </c>
      <c r="K99" s="69">
        <v>1.0</v>
      </c>
      <c r="L99" s="69">
        <v>1.0</v>
      </c>
      <c r="M99" s="69">
        <v>0.0</v>
      </c>
      <c r="N99" s="69">
        <v>2.0</v>
      </c>
      <c r="O99" s="69">
        <v>8.0</v>
      </c>
      <c r="P99" s="69">
        <v>1.0</v>
      </c>
      <c r="Q99" s="69">
        <v>3.0</v>
      </c>
      <c r="R99" s="69">
        <v>3.0</v>
      </c>
      <c r="S99" s="69">
        <v>4.0</v>
      </c>
      <c r="T99" s="69">
        <v>2.0</v>
      </c>
      <c r="U99" s="69">
        <v>3.0</v>
      </c>
      <c r="V99" s="69">
        <v>3.0</v>
      </c>
      <c r="W99" s="69">
        <v>0.0</v>
      </c>
      <c r="X99" s="69">
        <v>3.0</v>
      </c>
      <c r="Y99" s="69">
        <v>0.0</v>
      </c>
      <c r="Z99" s="69">
        <v>2.0</v>
      </c>
      <c r="AA99" s="69">
        <v>2.0</v>
      </c>
      <c r="AB99" s="69">
        <v>2.0</v>
      </c>
      <c r="AC99" s="69">
        <v>7.0</v>
      </c>
      <c r="AD99" s="69">
        <v>4.0</v>
      </c>
      <c r="AE99" s="69">
        <v>2.0</v>
      </c>
      <c r="AF99" s="13">
        <f t="shared" ref="AF99:AF101" si="26">SUM(E99:AE99)</f>
        <v>64</v>
      </c>
    </row>
    <row r="100" ht="12.75" customHeight="1">
      <c r="A100" s="30" t="s">
        <v>39</v>
      </c>
      <c r="B100" s="49"/>
      <c r="C100" s="50" t="s">
        <v>86</v>
      </c>
      <c r="D100" s="51"/>
      <c r="E100" s="69">
        <v>0.0</v>
      </c>
      <c r="F100" s="69">
        <v>0.0</v>
      </c>
      <c r="G100" s="69">
        <v>0.0</v>
      </c>
      <c r="H100" s="69">
        <v>0.0</v>
      </c>
      <c r="I100" s="69">
        <v>1.0</v>
      </c>
      <c r="J100" s="69">
        <v>0.0</v>
      </c>
      <c r="K100" s="69">
        <v>0.0</v>
      </c>
      <c r="L100" s="69">
        <v>0.0</v>
      </c>
      <c r="M100" s="69">
        <v>0.0</v>
      </c>
      <c r="N100" s="69">
        <v>0.0</v>
      </c>
      <c r="O100" s="69">
        <v>0.0</v>
      </c>
      <c r="P100" s="69">
        <v>0.0</v>
      </c>
      <c r="Q100" s="69">
        <v>0.0</v>
      </c>
      <c r="R100" s="69">
        <v>0.0</v>
      </c>
      <c r="S100" s="69">
        <v>1.0</v>
      </c>
      <c r="T100" s="69">
        <v>0.0</v>
      </c>
      <c r="U100" s="69">
        <v>1.0</v>
      </c>
      <c r="V100" s="69">
        <v>0.0</v>
      </c>
      <c r="W100" s="69">
        <v>1.0</v>
      </c>
      <c r="X100" s="69">
        <v>0.0</v>
      </c>
      <c r="Y100" s="69">
        <v>0.0</v>
      </c>
      <c r="Z100" s="69">
        <v>0.0</v>
      </c>
      <c r="AA100" s="69">
        <v>0.0</v>
      </c>
      <c r="AB100" s="69">
        <v>1.0</v>
      </c>
      <c r="AC100" s="69">
        <v>0.0</v>
      </c>
      <c r="AD100" s="69">
        <v>1.0</v>
      </c>
      <c r="AE100" s="69">
        <v>0.0</v>
      </c>
      <c r="AF100" s="13">
        <f t="shared" si="26"/>
        <v>6</v>
      </c>
    </row>
    <row r="101" ht="12.75" customHeight="1">
      <c r="A101" s="19" t="s">
        <v>15</v>
      </c>
      <c r="B101" s="47" t="s">
        <v>47</v>
      </c>
      <c r="C101" s="15"/>
      <c r="D101" s="16"/>
      <c r="E101" s="56">
        <f t="shared" ref="E101:AE101" si="27">SUM(E99:E100)</f>
        <v>1</v>
      </c>
      <c r="F101" s="56">
        <f t="shared" si="27"/>
        <v>2</v>
      </c>
      <c r="G101" s="56">
        <f t="shared" si="27"/>
        <v>2</v>
      </c>
      <c r="H101" s="56">
        <f t="shared" si="27"/>
        <v>3</v>
      </c>
      <c r="I101" s="56">
        <f t="shared" si="27"/>
        <v>2</v>
      </c>
      <c r="J101" s="56">
        <f t="shared" si="27"/>
        <v>2</v>
      </c>
      <c r="K101" s="56">
        <f t="shared" si="27"/>
        <v>1</v>
      </c>
      <c r="L101" s="56">
        <f t="shared" si="27"/>
        <v>1</v>
      </c>
      <c r="M101" s="56">
        <f t="shared" si="27"/>
        <v>0</v>
      </c>
      <c r="N101" s="56">
        <f t="shared" si="27"/>
        <v>2</v>
      </c>
      <c r="O101" s="56">
        <f t="shared" si="27"/>
        <v>8</v>
      </c>
      <c r="P101" s="56">
        <f t="shared" si="27"/>
        <v>1</v>
      </c>
      <c r="Q101" s="56">
        <f t="shared" si="27"/>
        <v>3</v>
      </c>
      <c r="R101" s="56">
        <f t="shared" si="27"/>
        <v>3</v>
      </c>
      <c r="S101" s="56">
        <f t="shared" si="27"/>
        <v>5</v>
      </c>
      <c r="T101" s="56">
        <f t="shared" si="27"/>
        <v>2</v>
      </c>
      <c r="U101" s="56">
        <f t="shared" si="27"/>
        <v>4</v>
      </c>
      <c r="V101" s="56">
        <f t="shared" si="27"/>
        <v>3</v>
      </c>
      <c r="W101" s="56">
        <f t="shared" si="27"/>
        <v>1</v>
      </c>
      <c r="X101" s="56">
        <f t="shared" si="27"/>
        <v>3</v>
      </c>
      <c r="Y101" s="56">
        <f t="shared" si="27"/>
        <v>0</v>
      </c>
      <c r="Z101" s="56">
        <f t="shared" si="27"/>
        <v>2</v>
      </c>
      <c r="AA101" s="56">
        <f t="shared" si="27"/>
        <v>2</v>
      </c>
      <c r="AB101" s="56">
        <f t="shared" si="27"/>
        <v>3</v>
      </c>
      <c r="AC101" s="56">
        <f t="shared" si="27"/>
        <v>7</v>
      </c>
      <c r="AD101" s="56">
        <f t="shared" si="27"/>
        <v>5</v>
      </c>
      <c r="AE101" s="56">
        <f t="shared" si="27"/>
        <v>2</v>
      </c>
      <c r="AF101" s="13">
        <f t="shared" si="26"/>
        <v>70</v>
      </c>
    </row>
    <row r="102" ht="12.75" customHeight="1">
      <c r="A102" s="57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13"/>
    </row>
    <row r="103" ht="15.0" customHeight="1">
      <c r="A103" s="30" t="s">
        <v>37</v>
      </c>
      <c r="B103" s="47" t="s">
        <v>87</v>
      </c>
      <c r="C103" s="48" t="s">
        <v>88</v>
      </c>
      <c r="D103" s="16"/>
      <c r="E103" s="69">
        <v>1.0</v>
      </c>
      <c r="F103" s="69">
        <v>1.0</v>
      </c>
      <c r="G103" s="69">
        <v>0.0</v>
      </c>
      <c r="H103" s="69">
        <v>0.0</v>
      </c>
      <c r="I103" s="69">
        <v>0.0</v>
      </c>
      <c r="J103" s="69">
        <v>0.0</v>
      </c>
      <c r="K103" s="69">
        <v>0.0</v>
      </c>
      <c r="L103" s="69">
        <v>0.0</v>
      </c>
      <c r="M103" s="69">
        <v>0.0</v>
      </c>
      <c r="N103" s="69">
        <v>0.0</v>
      </c>
      <c r="O103" s="69">
        <v>0.0</v>
      </c>
      <c r="P103" s="69">
        <v>1.0</v>
      </c>
      <c r="Q103" s="69">
        <v>0.0</v>
      </c>
      <c r="R103" s="69">
        <v>1.0</v>
      </c>
      <c r="S103" s="69">
        <v>0.0</v>
      </c>
      <c r="T103" s="69">
        <v>0.0</v>
      </c>
      <c r="U103" s="69">
        <v>0.0</v>
      </c>
      <c r="V103" s="69">
        <v>0.0</v>
      </c>
      <c r="W103" s="69">
        <v>0.0</v>
      </c>
      <c r="X103" s="69">
        <v>0.0</v>
      </c>
      <c r="Y103" s="69">
        <v>0.0</v>
      </c>
      <c r="Z103" s="69">
        <v>1.0</v>
      </c>
      <c r="AA103" s="69">
        <v>0.0</v>
      </c>
      <c r="AB103" s="69">
        <v>0.0</v>
      </c>
      <c r="AC103" s="69">
        <v>0.0</v>
      </c>
      <c r="AD103" s="69">
        <v>0.0</v>
      </c>
      <c r="AE103" s="69">
        <v>0.0</v>
      </c>
      <c r="AF103" s="13">
        <f t="shared" ref="AF103:AF111" si="28">SUM(E103:AE103)</f>
        <v>5</v>
      </c>
    </row>
    <row r="104" ht="12.75" customHeight="1">
      <c r="A104" s="30" t="s">
        <v>39</v>
      </c>
      <c r="B104" s="49"/>
      <c r="C104" s="50" t="s">
        <v>89</v>
      </c>
      <c r="D104" s="51"/>
      <c r="E104" s="69">
        <v>4.0</v>
      </c>
      <c r="F104" s="69">
        <v>2.0</v>
      </c>
      <c r="G104" s="69">
        <v>0.0</v>
      </c>
      <c r="H104" s="69">
        <v>0.0</v>
      </c>
      <c r="I104" s="69">
        <v>0.0</v>
      </c>
      <c r="J104" s="69">
        <v>0.0</v>
      </c>
      <c r="K104" s="69">
        <v>0.0</v>
      </c>
      <c r="L104" s="69">
        <v>0.0</v>
      </c>
      <c r="M104" s="69">
        <v>1.0</v>
      </c>
      <c r="N104" s="69">
        <v>0.0</v>
      </c>
      <c r="O104" s="69">
        <v>1.0</v>
      </c>
      <c r="P104" s="69">
        <v>0.0</v>
      </c>
      <c r="Q104" s="69">
        <v>2.0</v>
      </c>
      <c r="R104" s="69">
        <v>0.0</v>
      </c>
      <c r="S104" s="69">
        <v>0.0</v>
      </c>
      <c r="T104" s="69">
        <v>0.0</v>
      </c>
      <c r="U104" s="69">
        <v>1.0</v>
      </c>
      <c r="V104" s="69">
        <v>0.0</v>
      </c>
      <c r="W104" s="69">
        <v>0.0</v>
      </c>
      <c r="X104" s="69">
        <v>0.0</v>
      </c>
      <c r="Y104" s="69">
        <v>0.0</v>
      </c>
      <c r="Z104" s="69">
        <v>0.0</v>
      </c>
      <c r="AA104" s="69">
        <v>0.0</v>
      </c>
      <c r="AB104" s="69">
        <v>3.0</v>
      </c>
      <c r="AC104" s="69">
        <v>0.0</v>
      </c>
      <c r="AD104" s="69">
        <v>0.0</v>
      </c>
      <c r="AE104" s="69">
        <v>0.0</v>
      </c>
      <c r="AF104" s="13">
        <f t="shared" si="28"/>
        <v>14</v>
      </c>
    </row>
    <row r="105" ht="12.75" customHeight="1">
      <c r="A105" s="18"/>
      <c r="B105" s="49"/>
      <c r="C105" s="50" t="s">
        <v>90</v>
      </c>
      <c r="D105" s="51"/>
      <c r="E105" s="69">
        <v>0.0</v>
      </c>
      <c r="F105" s="69">
        <v>1.0</v>
      </c>
      <c r="G105" s="69">
        <v>0.0</v>
      </c>
      <c r="H105" s="69">
        <v>0.0</v>
      </c>
      <c r="I105" s="69">
        <v>0.0</v>
      </c>
      <c r="J105" s="69">
        <v>0.0</v>
      </c>
      <c r="K105" s="69">
        <v>0.0</v>
      </c>
      <c r="L105" s="69">
        <v>0.0</v>
      </c>
      <c r="M105" s="69">
        <v>0.0</v>
      </c>
      <c r="N105" s="69">
        <v>0.0</v>
      </c>
      <c r="O105" s="69">
        <v>1.0</v>
      </c>
      <c r="P105" s="69">
        <v>0.0</v>
      </c>
      <c r="Q105" s="69">
        <v>0.0</v>
      </c>
      <c r="R105" s="69">
        <v>0.0</v>
      </c>
      <c r="S105" s="69">
        <v>0.0</v>
      </c>
      <c r="T105" s="69">
        <v>0.0</v>
      </c>
      <c r="U105" s="69">
        <v>0.0</v>
      </c>
      <c r="V105" s="69">
        <v>0.0</v>
      </c>
      <c r="W105" s="69">
        <v>0.0</v>
      </c>
      <c r="X105" s="69">
        <v>1.0</v>
      </c>
      <c r="Y105" s="69">
        <v>0.0</v>
      </c>
      <c r="Z105" s="69">
        <v>0.0</v>
      </c>
      <c r="AA105" s="69">
        <v>0.0</v>
      </c>
      <c r="AB105" s="69">
        <v>1.0</v>
      </c>
      <c r="AC105" s="69">
        <v>0.0</v>
      </c>
      <c r="AD105" s="69">
        <v>0.0</v>
      </c>
      <c r="AE105" s="69">
        <v>0.0</v>
      </c>
      <c r="AF105" s="13">
        <f t="shared" si="28"/>
        <v>4</v>
      </c>
    </row>
    <row r="106" ht="12.75" customHeight="1">
      <c r="A106" s="18"/>
      <c r="B106" s="49"/>
      <c r="C106" s="50" t="s">
        <v>91</v>
      </c>
      <c r="D106" s="51"/>
      <c r="E106" s="69">
        <v>0.0</v>
      </c>
      <c r="F106" s="69">
        <v>0.0</v>
      </c>
      <c r="G106" s="69">
        <v>0.0</v>
      </c>
      <c r="H106" s="69">
        <v>0.0</v>
      </c>
      <c r="I106" s="69">
        <v>0.0</v>
      </c>
      <c r="J106" s="69">
        <v>0.0</v>
      </c>
      <c r="K106" s="69">
        <v>0.0</v>
      </c>
      <c r="L106" s="69">
        <v>0.0</v>
      </c>
      <c r="M106" s="69">
        <v>0.0</v>
      </c>
      <c r="N106" s="69">
        <v>0.0</v>
      </c>
      <c r="O106" s="69">
        <v>0.0</v>
      </c>
      <c r="P106" s="69">
        <v>0.0</v>
      </c>
      <c r="Q106" s="69">
        <v>1.0</v>
      </c>
      <c r="R106" s="69">
        <v>0.0</v>
      </c>
      <c r="S106" s="69">
        <v>3.0</v>
      </c>
      <c r="T106" s="69">
        <v>0.0</v>
      </c>
      <c r="U106" s="69">
        <v>0.0</v>
      </c>
      <c r="V106" s="69">
        <v>0.0</v>
      </c>
      <c r="W106" s="69">
        <v>0.0</v>
      </c>
      <c r="X106" s="69">
        <v>0.0</v>
      </c>
      <c r="Y106" s="69">
        <v>0.0</v>
      </c>
      <c r="Z106" s="69">
        <v>0.0</v>
      </c>
      <c r="AA106" s="69">
        <v>1.0</v>
      </c>
      <c r="AB106" s="69">
        <v>0.0</v>
      </c>
      <c r="AC106" s="69">
        <v>1.0</v>
      </c>
      <c r="AD106" s="69">
        <v>1.0</v>
      </c>
      <c r="AE106" s="69">
        <v>1.0</v>
      </c>
      <c r="AF106" s="13">
        <f t="shared" si="28"/>
        <v>8</v>
      </c>
    </row>
    <row r="107" ht="12.75" customHeight="1">
      <c r="A107" s="18"/>
      <c r="B107" s="49"/>
      <c r="C107" s="50" t="s">
        <v>92</v>
      </c>
      <c r="D107" s="51"/>
      <c r="E107" s="69">
        <v>0.0</v>
      </c>
      <c r="F107" s="69">
        <v>0.0</v>
      </c>
      <c r="G107" s="69">
        <v>0.0</v>
      </c>
      <c r="H107" s="69">
        <v>0.0</v>
      </c>
      <c r="I107" s="69">
        <v>0.0</v>
      </c>
      <c r="J107" s="69">
        <v>0.0</v>
      </c>
      <c r="K107" s="69">
        <v>0.0</v>
      </c>
      <c r="L107" s="69">
        <v>0.0</v>
      </c>
      <c r="M107" s="69">
        <v>0.0</v>
      </c>
      <c r="N107" s="69">
        <v>0.0</v>
      </c>
      <c r="O107" s="69">
        <v>0.0</v>
      </c>
      <c r="P107" s="69">
        <v>1.0</v>
      </c>
      <c r="Q107" s="69">
        <v>0.0</v>
      </c>
      <c r="R107" s="69">
        <v>0.0</v>
      </c>
      <c r="S107" s="69">
        <v>0.0</v>
      </c>
      <c r="T107" s="69">
        <v>0.0</v>
      </c>
      <c r="U107" s="69">
        <v>0.0</v>
      </c>
      <c r="V107" s="69">
        <v>0.0</v>
      </c>
      <c r="W107" s="69">
        <v>0.0</v>
      </c>
      <c r="X107" s="69">
        <v>0.0</v>
      </c>
      <c r="Y107" s="69">
        <v>0.0</v>
      </c>
      <c r="Z107" s="69">
        <v>0.0</v>
      </c>
      <c r="AA107" s="69">
        <v>0.0</v>
      </c>
      <c r="AB107" s="69">
        <v>1.0</v>
      </c>
      <c r="AC107" s="69">
        <v>0.0</v>
      </c>
      <c r="AD107" s="69">
        <v>0.0</v>
      </c>
      <c r="AE107" s="69">
        <v>0.0</v>
      </c>
      <c r="AF107" s="13">
        <f t="shared" si="28"/>
        <v>2</v>
      </c>
    </row>
    <row r="108" ht="12.75" customHeight="1">
      <c r="A108" s="18"/>
      <c r="B108" s="49"/>
      <c r="C108" s="50" t="s">
        <v>93</v>
      </c>
      <c r="D108" s="51"/>
      <c r="E108" s="69">
        <v>0.0</v>
      </c>
      <c r="F108" s="69">
        <v>0.0</v>
      </c>
      <c r="G108" s="69">
        <v>0.0</v>
      </c>
      <c r="H108" s="69">
        <v>0.0</v>
      </c>
      <c r="I108" s="69">
        <v>0.0</v>
      </c>
      <c r="J108" s="69">
        <v>0.0</v>
      </c>
      <c r="K108" s="69">
        <v>0.0</v>
      </c>
      <c r="L108" s="69">
        <v>0.0</v>
      </c>
      <c r="M108" s="69">
        <v>0.0</v>
      </c>
      <c r="N108" s="69">
        <v>0.0</v>
      </c>
      <c r="O108" s="69">
        <v>0.0</v>
      </c>
      <c r="P108" s="69">
        <v>0.0</v>
      </c>
      <c r="Q108" s="69">
        <v>0.0</v>
      </c>
      <c r="R108" s="69">
        <v>0.0</v>
      </c>
      <c r="S108" s="69">
        <v>0.0</v>
      </c>
      <c r="T108" s="69">
        <v>0.0</v>
      </c>
      <c r="U108" s="69">
        <v>0.0</v>
      </c>
      <c r="V108" s="69">
        <v>0.0</v>
      </c>
      <c r="W108" s="69">
        <v>0.0</v>
      </c>
      <c r="X108" s="69">
        <v>0.0</v>
      </c>
      <c r="Y108" s="69">
        <v>0.0</v>
      </c>
      <c r="Z108" s="69">
        <v>0.0</v>
      </c>
      <c r="AA108" s="69">
        <v>0.0</v>
      </c>
      <c r="AB108" s="69">
        <v>0.0</v>
      </c>
      <c r="AC108" s="69">
        <v>0.0</v>
      </c>
      <c r="AD108" s="69">
        <v>0.0</v>
      </c>
      <c r="AE108" s="69">
        <v>0.0</v>
      </c>
      <c r="AF108" s="13">
        <f t="shared" si="28"/>
        <v>0</v>
      </c>
    </row>
    <row r="109" ht="12.75" customHeight="1">
      <c r="A109" s="18"/>
      <c r="B109" s="49"/>
      <c r="C109" s="50" t="s">
        <v>94</v>
      </c>
      <c r="D109" s="51"/>
      <c r="E109" s="69">
        <v>0.0</v>
      </c>
      <c r="F109" s="69">
        <v>0.0</v>
      </c>
      <c r="G109" s="69">
        <v>0.0</v>
      </c>
      <c r="H109" s="69">
        <v>0.0</v>
      </c>
      <c r="I109" s="69">
        <v>0.0</v>
      </c>
      <c r="J109" s="69">
        <v>0.0</v>
      </c>
      <c r="K109" s="69">
        <v>0.0</v>
      </c>
      <c r="L109" s="69">
        <v>0.0</v>
      </c>
      <c r="M109" s="69">
        <v>0.0</v>
      </c>
      <c r="N109" s="69">
        <v>0.0</v>
      </c>
      <c r="O109" s="69">
        <v>0.0</v>
      </c>
      <c r="P109" s="69">
        <v>0.0</v>
      </c>
      <c r="Q109" s="69">
        <v>0.0</v>
      </c>
      <c r="R109" s="69">
        <v>0.0</v>
      </c>
      <c r="S109" s="69">
        <v>0.0</v>
      </c>
      <c r="T109" s="69">
        <v>0.0</v>
      </c>
      <c r="U109" s="69">
        <v>0.0</v>
      </c>
      <c r="V109" s="69">
        <v>0.0</v>
      </c>
      <c r="W109" s="69">
        <v>0.0</v>
      </c>
      <c r="X109" s="69">
        <v>0.0</v>
      </c>
      <c r="Y109" s="69">
        <v>0.0</v>
      </c>
      <c r="Z109" s="69">
        <v>0.0</v>
      </c>
      <c r="AA109" s="69">
        <v>0.0</v>
      </c>
      <c r="AB109" s="69">
        <v>0.0</v>
      </c>
      <c r="AC109" s="69">
        <v>0.0</v>
      </c>
      <c r="AD109" s="69">
        <v>0.0</v>
      </c>
      <c r="AE109" s="69">
        <v>0.0</v>
      </c>
      <c r="AF109" s="13">
        <f t="shared" si="28"/>
        <v>0</v>
      </c>
    </row>
    <row r="110" ht="12.75" customHeight="1">
      <c r="A110" s="18"/>
      <c r="B110" s="49"/>
      <c r="C110" s="50" t="s">
        <v>95</v>
      </c>
      <c r="D110" s="51"/>
      <c r="E110" s="69">
        <v>0.0</v>
      </c>
      <c r="F110" s="69">
        <v>0.0</v>
      </c>
      <c r="G110" s="69">
        <v>0.0</v>
      </c>
      <c r="H110" s="69">
        <v>0.0</v>
      </c>
      <c r="I110" s="69">
        <v>0.0</v>
      </c>
      <c r="J110" s="69">
        <v>0.0</v>
      </c>
      <c r="K110" s="69">
        <v>0.0</v>
      </c>
      <c r="L110" s="69">
        <v>0.0</v>
      </c>
      <c r="M110" s="69">
        <v>0.0</v>
      </c>
      <c r="N110" s="69">
        <v>0.0</v>
      </c>
      <c r="O110" s="69">
        <v>0.0</v>
      </c>
      <c r="P110" s="69">
        <v>0.0</v>
      </c>
      <c r="Q110" s="69">
        <v>0.0</v>
      </c>
      <c r="R110" s="69">
        <v>0.0</v>
      </c>
      <c r="S110" s="69">
        <v>0.0</v>
      </c>
      <c r="T110" s="69">
        <v>0.0</v>
      </c>
      <c r="U110" s="69">
        <v>0.0</v>
      </c>
      <c r="V110" s="69">
        <v>0.0</v>
      </c>
      <c r="W110" s="69">
        <v>0.0</v>
      </c>
      <c r="X110" s="69">
        <v>0.0</v>
      </c>
      <c r="Y110" s="69">
        <v>0.0</v>
      </c>
      <c r="Z110" s="69">
        <v>0.0</v>
      </c>
      <c r="AA110" s="69">
        <v>0.0</v>
      </c>
      <c r="AB110" s="69">
        <v>0.0</v>
      </c>
      <c r="AC110" s="69">
        <v>0.0</v>
      </c>
      <c r="AD110" s="69">
        <v>0.0</v>
      </c>
      <c r="AE110" s="69">
        <v>0.0</v>
      </c>
      <c r="AF110" s="13">
        <f t="shared" si="28"/>
        <v>0</v>
      </c>
    </row>
    <row r="111" ht="12.75" customHeight="1">
      <c r="A111" s="19" t="s">
        <v>15</v>
      </c>
      <c r="B111" s="47" t="s">
        <v>47</v>
      </c>
      <c r="C111" s="15"/>
      <c r="D111" s="16"/>
      <c r="E111" s="56">
        <f t="shared" ref="E111:AE111" si="29">SUM(E103:E110)</f>
        <v>5</v>
      </c>
      <c r="F111" s="56">
        <f t="shared" si="29"/>
        <v>4</v>
      </c>
      <c r="G111" s="56">
        <f t="shared" si="29"/>
        <v>0</v>
      </c>
      <c r="H111" s="56">
        <f t="shared" si="29"/>
        <v>0</v>
      </c>
      <c r="I111" s="56">
        <f t="shared" si="29"/>
        <v>0</v>
      </c>
      <c r="J111" s="56">
        <f t="shared" si="29"/>
        <v>0</v>
      </c>
      <c r="K111" s="56">
        <f t="shared" si="29"/>
        <v>0</v>
      </c>
      <c r="L111" s="56">
        <f t="shared" si="29"/>
        <v>0</v>
      </c>
      <c r="M111" s="56">
        <f t="shared" si="29"/>
        <v>1</v>
      </c>
      <c r="N111" s="56">
        <f t="shared" si="29"/>
        <v>0</v>
      </c>
      <c r="O111" s="56">
        <f t="shared" si="29"/>
        <v>2</v>
      </c>
      <c r="P111" s="56">
        <f t="shared" si="29"/>
        <v>2</v>
      </c>
      <c r="Q111" s="56">
        <f t="shared" si="29"/>
        <v>3</v>
      </c>
      <c r="R111" s="56">
        <f t="shared" si="29"/>
        <v>1</v>
      </c>
      <c r="S111" s="56">
        <f t="shared" si="29"/>
        <v>3</v>
      </c>
      <c r="T111" s="56">
        <f t="shared" si="29"/>
        <v>0</v>
      </c>
      <c r="U111" s="56">
        <f t="shared" si="29"/>
        <v>1</v>
      </c>
      <c r="V111" s="56">
        <f t="shared" si="29"/>
        <v>0</v>
      </c>
      <c r="W111" s="56">
        <f t="shared" si="29"/>
        <v>0</v>
      </c>
      <c r="X111" s="56">
        <f t="shared" si="29"/>
        <v>1</v>
      </c>
      <c r="Y111" s="56">
        <f t="shared" si="29"/>
        <v>0</v>
      </c>
      <c r="Z111" s="56">
        <f t="shared" si="29"/>
        <v>1</v>
      </c>
      <c r="AA111" s="56">
        <f t="shared" si="29"/>
        <v>1</v>
      </c>
      <c r="AB111" s="56">
        <f t="shared" si="29"/>
        <v>5</v>
      </c>
      <c r="AC111" s="56">
        <f t="shared" si="29"/>
        <v>1</v>
      </c>
      <c r="AD111" s="56">
        <f t="shared" si="29"/>
        <v>1</v>
      </c>
      <c r="AE111" s="56">
        <f t="shared" si="29"/>
        <v>1</v>
      </c>
      <c r="AF111" s="13">
        <f t="shared" si="28"/>
        <v>33</v>
      </c>
    </row>
    <row r="112" ht="12.75" customHeight="1">
      <c r="A112" s="57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13"/>
    </row>
    <row r="113" ht="12.75" customHeight="1">
      <c r="A113" s="30" t="s">
        <v>37</v>
      </c>
      <c r="B113" s="47" t="s">
        <v>96</v>
      </c>
      <c r="C113" s="48" t="s">
        <v>97</v>
      </c>
      <c r="D113" s="16"/>
      <c r="E113" s="69">
        <v>0.0</v>
      </c>
      <c r="F113" s="69">
        <v>0.0</v>
      </c>
      <c r="G113" s="69">
        <v>0.0</v>
      </c>
      <c r="H113" s="69">
        <v>0.0</v>
      </c>
      <c r="I113" s="69">
        <v>0.0</v>
      </c>
      <c r="J113" s="69">
        <v>0.0</v>
      </c>
      <c r="K113" s="69">
        <v>0.0</v>
      </c>
      <c r="L113" s="69">
        <v>0.0</v>
      </c>
      <c r="M113" s="69">
        <v>0.0</v>
      </c>
      <c r="N113" s="69">
        <v>0.0</v>
      </c>
      <c r="O113" s="69">
        <v>0.0</v>
      </c>
      <c r="P113" s="69">
        <v>0.0</v>
      </c>
      <c r="Q113" s="69">
        <v>0.0</v>
      </c>
      <c r="R113" s="69">
        <v>0.0</v>
      </c>
      <c r="S113" s="69">
        <v>0.0</v>
      </c>
      <c r="T113" s="69">
        <v>0.0</v>
      </c>
      <c r="U113" s="69">
        <v>1.0</v>
      </c>
      <c r="V113" s="69">
        <v>0.0</v>
      </c>
      <c r="W113" s="69">
        <v>0.0</v>
      </c>
      <c r="X113" s="69">
        <v>0.0</v>
      </c>
      <c r="Y113" s="69">
        <v>0.0</v>
      </c>
      <c r="Z113" s="69">
        <v>0.0</v>
      </c>
      <c r="AA113" s="69">
        <v>0.0</v>
      </c>
      <c r="AB113" s="69">
        <v>0.0</v>
      </c>
      <c r="AC113" s="69">
        <v>0.0</v>
      </c>
      <c r="AD113" s="69">
        <v>0.0</v>
      </c>
      <c r="AE113" s="69">
        <v>0.0</v>
      </c>
      <c r="AF113" s="13">
        <f t="shared" ref="AF113:AF115" si="30">SUM(E113:AE113)</f>
        <v>1</v>
      </c>
    </row>
    <row r="114" ht="12.75" customHeight="1">
      <c r="A114" s="30" t="s">
        <v>39</v>
      </c>
      <c r="B114" s="47"/>
      <c r="C114" s="50" t="s">
        <v>98</v>
      </c>
      <c r="D114" s="62"/>
      <c r="E114" s="69">
        <v>0.0</v>
      </c>
      <c r="F114" s="69">
        <v>0.0</v>
      </c>
      <c r="G114" s="69">
        <v>0.0</v>
      </c>
      <c r="H114" s="69">
        <v>0.0</v>
      </c>
      <c r="I114" s="69">
        <v>0.0</v>
      </c>
      <c r="J114" s="69">
        <v>0.0</v>
      </c>
      <c r="K114" s="69">
        <v>0.0</v>
      </c>
      <c r="L114" s="69">
        <v>0.0</v>
      </c>
      <c r="M114" s="69">
        <v>0.0</v>
      </c>
      <c r="N114" s="69">
        <v>0.0</v>
      </c>
      <c r="O114" s="69">
        <v>0.0</v>
      </c>
      <c r="P114" s="69">
        <v>0.0</v>
      </c>
      <c r="Q114" s="69">
        <v>0.0</v>
      </c>
      <c r="R114" s="69">
        <v>0.0</v>
      </c>
      <c r="S114" s="69">
        <v>0.0</v>
      </c>
      <c r="T114" s="69">
        <v>0.0</v>
      </c>
      <c r="U114" s="69">
        <v>0.0</v>
      </c>
      <c r="V114" s="69">
        <v>0.0</v>
      </c>
      <c r="W114" s="69">
        <v>0.0</v>
      </c>
      <c r="X114" s="69">
        <v>0.0</v>
      </c>
      <c r="Y114" s="69">
        <v>0.0</v>
      </c>
      <c r="Z114" s="69">
        <v>0.0</v>
      </c>
      <c r="AA114" s="69">
        <v>0.0</v>
      </c>
      <c r="AB114" s="69">
        <v>0.0</v>
      </c>
      <c r="AC114" s="69">
        <v>0.0</v>
      </c>
      <c r="AD114" s="69">
        <v>0.0</v>
      </c>
      <c r="AE114" s="69">
        <v>0.0</v>
      </c>
      <c r="AF114" s="13">
        <f t="shared" si="30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56">
        <f t="shared" ref="E115:AE115" si="31">SUM(E113:E114)</f>
        <v>0</v>
      </c>
      <c r="F115" s="56">
        <f t="shared" si="31"/>
        <v>0</v>
      </c>
      <c r="G115" s="56">
        <f t="shared" si="31"/>
        <v>0</v>
      </c>
      <c r="H115" s="56">
        <f t="shared" si="31"/>
        <v>0</v>
      </c>
      <c r="I115" s="56">
        <f t="shared" si="31"/>
        <v>0</v>
      </c>
      <c r="J115" s="56">
        <f t="shared" si="31"/>
        <v>0</v>
      </c>
      <c r="K115" s="56">
        <f t="shared" si="31"/>
        <v>0</v>
      </c>
      <c r="L115" s="56">
        <f t="shared" si="31"/>
        <v>0</v>
      </c>
      <c r="M115" s="56">
        <f t="shared" si="31"/>
        <v>0</v>
      </c>
      <c r="N115" s="56">
        <f t="shared" si="31"/>
        <v>0</v>
      </c>
      <c r="O115" s="56">
        <f t="shared" si="31"/>
        <v>0</v>
      </c>
      <c r="P115" s="56">
        <f t="shared" si="31"/>
        <v>0</v>
      </c>
      <c r="Q115" s="56">
        <f t="shared" si="31"/>
        <v>0</v>
      </c>
      <c r="R115" s="56">
        <f t="shared" si="31"/>
        <v>0</v>
      </c>
      <c r="S115" s="56">
        <f t="shared" si="31"/>
        <v>0</v>
      </c>
      <c r="T115" s="56">
        <f t="shared" si="31"/>
        <v>0</v>
      </c>
      <c r="U115" s="56">
        <f t="shared" si="31"/>
        <v>1</v>
      </c>
      <c r="V115" s="56">
        <f t="shared" si="31"/>
        <v>0</v>
      </c>
      <c r="W115" s="56">
        <f t="shared" si="31"/>
        <v>0</v>
      </c>
      <c r="X115" s="56">
        <f t="shared" si="31"/>
        <v>0</v>
      </c>
      <c r="Y115" s="56">
        <f t="shared" si="31"/>
        <v>0</v>
      </c>
      <c r="Z115" s="56">
        <f t="shared" si="31"/>
        <v>0</v>
      </c>
      <c r="AA115" s="56">
        <f t="shared" si="31"/>
        <v>0</v>
      </c>
      <c r="AB115" s="56">
        <f t="shared" si="31"/>
        <v>0</v>
      </c>
      <c r="AC115" s="56">
        <f t="shared" si="31"/>
        <v>0</v>
      </c>
      <c r="AD115" s="56">
        <f t="shared" si="31"/>
        <v>0</v>
      </c>
      <c r="AE115" s="56">
        <f t="shared" si="31"/>
        <v>0</v>
      </c>
      <c r="AF115" s="13">
        <f t="shared" si="30"/>
        <v>1</v>
      </c>
    </row>
    <row r="116" ht="12.75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13"/>
    </row>
    <row r="117" ht="12.75" customHeight="1">
      <c r="A117" s="30" t="s">
        <v>37</v>
      </c>
      <c r="B117" s="47" t="s">
        <v>99</v>
      </c>
      <c r="C117" s="48" t="s">
        <v>100</v>
      </c>
      <c r="D117" s="16"/>
      <c r="E117" s="69">
        <v>0.0</v>
      </c>
      <c r="F117" s="69">
        <v>0.0</v>
      </c>
      <c r="G117" s="69">
        <v>0.0</v>
      </c>
      <c r="H117" s="69">
        <v>0.0</v>
      </c>
      <c r="I117" s="69">
        <v>0.0</v>
      </c>
      <c r="J117" s="69">
        <v>0.0</v>
      </c>
      <c r="K117" s="69">
        <v>0.0</v>
      </c>
      <c r="L117" s="69">
        <v>0.0</v>
      </c>
      <c r="M117" s="69">
        <v>0.0</v>
      </c>
      <c r="N117" s="69">
        <v>0.0</v>
      </c>
      <c r="O117" s="69">
        <v>0.0</v>
      </c>
      <c r="P117" s="69">
        <v>0.0</v>
      </c>
      <c r="Q117" s="69">
        <v>0.0</v>
      </c>
      <c r="R117" s="69">
        <v>0.0</v>
      </c>
      <c r="S117" s="69">
        <v>0.0</v>
      </c>
      <c r="T117" s="69">
        <v>0.0</v>
      </c>
      <c r="U117" s="69">
        <v>0.0</v>
      </c>
      <c r="V117" s="69">
        <v>1.0</v>
      </c>
      <c r="W117" s="69">
        <v>0.0</v>
      </c>
      <c r="X117" s="69">
        <v>0.0</v>
      </c>
      <c r="Y117" s="69">
        <v>0.0</v>
      </c>
      <c r="Z117" s="69">
        <v>0.0</v>
      </c>
      <c r="AA117" s="69">
        <v>0.0</v>
      </c>
      <c r="AB117" s="69">
        <v>0.0</v>
      </c>
      <c r="AC117" s="69">
        <v>0.0</v>
      </c>
      <c r="AD117" s="69">
        <v>0.0</v>
      </c>
      <c r="AE117" s="69">
        <v>0.0</v>
      </c>
      <c r="AF117" s="13">
        <f t="shared" ref="AF117:AF125" si="32">SUM(E117:AE117)</f>
        <v>1</v>
      </c>
      <c r="AG117" s="5"/>
      <c r="AH117" s="5"/>
    </row>
    <row r="118" ht="12.75" customHeight="1">
      <c r="A118" s="30" t="s">
        <v>39</v>
      </c>
      <c r="B118" s="49" t="s">
        <v>39</v>
      </c>
      <c r="C118" s="50" t="s">
        <v>101</v>
      </c>
      <c r="D118" s="51"/>
      <c r="E118" s="69">
        <v>1.0</v>
      </c>
      <c r="F118" s="69">
        <v>0.0</v>
      </c>
      <c r="G118" s="69">
        <v>0.0</v>
      </c>
      <c r="H118" s="69">
        <v>0.0</v>
      </c>
      <c r="I118" s="69">
        <v>0.0</v>
      </c>
      <c r="J118" s="69">
        <v>0.0</v>
      </c>
      <c r="K118" s="69">
        <v>0.0</v>
      </c>
      <c r="L118" s="69">
        <v>0.0</v>
      </c>
      <c r="M118" s="69">
        <v>0.0</v>
      </c>
      <c r="N118" s="69">
        <v>0.0</v>
      </c>
      <c r="O118" s="69">
        <v>0.0</v>
      </c>
      <c r="P118" s="69">
        <v>0.0</v>
      </c>
      <c r="Q118" s="69">
        <v>0.0</v>
      </c>
      <c r="R118" s="69">
        <v>0.0</v>
      </c>
      <c r="S118" s="69">
        <v>0.0</v>
      </c>
      <c r="T118" s="69">
        <v>0.0</v>
      </c>
      <c r="U118" s="69">
        <v>0.0</v>
      </c>
      <c r="V118" s="69">
        <v>0.0</v>
      </c>
      <c r="W118" s="69">
        <v>0.0</v>
      </c>
      <c r="X118" s="69">
        <v>0.0</v>
      </c>
      <c r="Y118" s="69">
        <v>0.0</v>
      </c>
      <c r="Z118" s="69">
        <v>0.0</v>
      </c>
      <c r="AA118" s="69">
        <v>0.0</v>
      </c>
      <c r="AB118" s="69">
        <v>0.0</v>
      </c>
      <c r="AC118" s="69">
        <v>0.0</v>
      </c>
      <c r="AD118" s="69">
        <v>0.0</v>
      </c>
      <c r="AE118" s="69">
        <v>0.0</v>
      </c>
      <c r="AF118" s="13">
        <f t="shared" si="32"/>
        <v>1</v>
      </c>
      <c r="AG118" s="5"/>
      <c r="AH118" s="5"/>
    </row>
    <row r="119" ht="12.75" customHeight="1">
      <c r="A119" s="18"/>
      <c r="B119" s="49"/>
      <c r="C119" s="50" t="s">
        <v>102</v>
      </c>
      <c r="D119" s="51"/>
      <c r="E119" s="69">
        <v>0.0</v>
      </c>
      <c r="F119" s="69">
        <v>0.0</v>
      </c>
      <c r="G119" s="69">
        <v>0.0</v>
      </c>
      <c r="H119" s="69">
        <v>0.0</v>
      </c>
      <c r="I119" s="69">
        <v>0.0</v>
      </c>
      <c r="J119" s="69">
        <v>0.0</v>
      </c>
      <c r="K119" s="69">
        <v>0.0</v>
      </c>
      <c r="L119" s="69">
        <v>0.0</v>
      </c>
      <c r="M119" s="69">
        <v>0.0</v>
      </c>
      <c r="N119" s="69">
        <v>0.0</v>
      </c>
      <c r="O119" s="69">
        <v>0.0</v>
      </c>
      <c r="P119" s="69">
        <v>0.0</v>
      </c>
      <c r="Q119" s="69">
        <v>0.0</v>
      </c>
      <c r="R119" s="69">
        <v>0.0</v>
      </c>
      <c r="S119" s="69">
        <v>0.0</v>
      </c>
      <c r="T119" s="69">
        <v>0.0</v>
      </c>
      <c r="U119" s="69">
        <v>0.0</v>
      </c>
      <c r="V119" s="69">
        <v>0.0</v>
      </c>
      <c r="W119" s="69">
        <v>0.0</v>
      </c>
      <c r="X119" s="69">
        <v>0.0</v>
      </c>
      <c r="Y119" s="69">
        <v>0.0</v>
      </c>
      <c r="Z119" s="69">
        <v>0.0</v>
      </c>
      <c r="AA119" s="69">
        <v>0.0</v>
      </c>
      <c r="AB119" s="69">
        <v>0.0</v>
      </c>
      <c r="AC119" s="69">
        <v>0.0</v>
      </c>
      <c r="AD119" s="69">
        <v>0.0</v>
      </c>
      <c r="AE119" s="69">
        <v>0.0</v>
      </c>
      <c r="AF119" s="13">
        <f t="shared" si="32"/>
        <v>0</v>
      </c>
      <c r="AG119" s="5"/>
      <c r="AH119" s="5"/>
    </row>
    <row r="120" ht="12.75" customHeight="1">
      <c r="A120" s="18"/>
      <c r="B120" s="49"/>
      <c r="C120" s="50" t="s">
        <v>103</v>
      </c>
      <c r="D120" s="51"/>
      <c r="E120" s="69">
        <v>0.0</v>
      </c>
      <c r="F120" s="69">
        <v>0.0</v>
      </c>
      <c r="G120" s="69">
        <v>0.0</v>
      </c>
      <c r="H120" s="69">
        <v>0.0</v>
      </c>
      <c r="I120" s="69">
        <v>0.0</v>
      </c>
      <c r="J120" s="69">
        <v>0.0</v>
      </c>
      <c r="K120" s="69">
        <v>0.0</v>
      </c>
      <c r="L120" s="69">
        <v>0.0</v>
      </c>
      <c r="M120" s="69">
        <v>0.0</v>
      </c>
      <c r="N120" s="69">
        <v>0.0</v>
      </c>
      <c r="O120" s="69">
        <v>0.0</v>
      </c>
      <c r="P120" s="69">
        <v>0.0</v>
      </c>
      <c r="Q120" s="69">
        <v>0.0</v>
      </c>
      <c r="R120" s="69">
        <v>0.0</v>
      </c>
      <c r="S120" s="69">
        <v>0.0</v>
      </c>
      <c r="T120" s="69">
        <v>0.0</v>
      </c>
      <c r="U120" s="69">
        <v>0.0</v>
      </c>
      <c r="V120" s="69">
        <v>0.0</v>
      </c>
      <c r="W120" s="69">
        <v>0.0</v>
      </c>
      <c r="X120" s="69">
        <v>0.0</v>
      </c>
      <c r="Y120" s="69">
        <v>0.0</v>
      </c>
      <c r="Z120" s="69">
        <v>0.0</v>
      </c>
      <c r="AA120" s="69">
        <v>0.0</v>
      </c>
      <c r="AB120" s="69">
        <v>0.0</v>
      </c>
      <c r="AC120" s="69">
        <v>0.0</v>
      </c>
      <c r="AD120" s="69">
        <v>0.0</v>
      </c>
      <c r="AE120" s="69">
        <v>0.0</v>
      </c>
      <c r="AF120" s="13">
        <f t="shared" si="32"/>
        <v>0</v>
      </c>
      <c r="AG120" s="5"/>
      <c r="AH120" s="5"/>
    </row>
    <row r="121" ht="12.75" customHeight="1">
      <c r="A121" s="18"/>
      <c r="B121" s="49"/>
      <c r="C121" s="50" t="s">
        <v>104</v>
      </c>
      <c r="D121" s="51"/>
      <c r="E121" s="69">
        <v>0.0</v>
      </c>
      <c r="F121" s="69">
        <v>1.0</v>
      </c>
      <c r="G121" s="69">
        <v>0.0</v>
      </c>
      <c r="H121" s="69">
        <v>0.0</v>
      </c>
      <c r="I121" s="69">
        <v>0.0</v>
      </c>
      <c r="J121" s="69">
        <v>0.0</v>
      </c>
      <c r="K121" s="69">
        <v>0.0</v>
      </c>
      <c r="L121" s="69">
        <v>0.0</v>
      </c>
      <c r="M121" s="69">
        <v>0.0</v>
      </c>
      <c r="N121" s="69">
        <v>0.0</v>
      </c>
      <c r="O121" s="69">
        <v>0.0</v>
      </c>
      <c r="P121" s="69">
        <v>0.0</v>
      </c>
      <c r="Q121" s="69">
        <v>0.0</v>
      </c>
      <c r="R121" s="69">
        <v>0.0</v>
      </c>
      <c r="S121" s="69">
        <v>0.0</v>
      </c>
      <c r="T121" s="69">
        <v>0.0</v>
      </c>
      <c r="U121" s="69">
        <v>0.0</v>
      </c>
      <c r="V121" s="69">
        <v>0.0</v>
      </c>
      <c r="W121" s="69">
        <v>0.0</v>
      </c>
      <c r="X121" s="69">
        <v>0.0</v>
      </c>
      <c r="Y121" s="69">
        <v>0.0</v>
      </c>
      <c r="Z121" s="69">
        <v>0.0</v>
      </c>
      <c r="AA121" s="69">
        <v>0.0</v>
      </c>
      <c r="AB121" s="69">
        <v>0.0</v>
      </c>
      <c r="AC121" s="69">
        <v>0.0</v>
      </c>
      <c r="AD121" s="69">
        <v>0.0</v>
      </c>
      <c r="AE121" s="69">
        <v>0.0</v>
      </c>
      <c r="AF121" s="13">
        <f t="shared" si="32"/>
        <v>1</v>
      </c>
      <c r="AG121" s="5"/>
      <c r="AH121" s="5"/>
    </row>
    <row r="122" ht="12.75" customHeight="1">
      <c r="A122" s="18"/>
      <c r="B122" s="49"/>
      <c r="C122" s="50" t="s">
        <v>105</v>
      </c>
      <c r="D122" s="51"/>
      <c r="E122" s="69">
        <v>0.0</v>
      </c>
      <c r="F122" s="69">
        <v>0.0</v>
      </c>
      <c r="G122" s="69">
        <v>0.0</v>
      </c>
      <c r="H122" s="69">
        <v>0.0</v>
      </c>
      <c r="I122" s="69">
        <v>0.0</v>
      </c>
      <c r="J122" s="69">
        <v>0.0</v>
      </c>
      <c r="K122" s="69">
        <v>0.0</v>
      </c>
      <c r="L122" s="69">
        <v>0.0</v>
      </c>
      <c r="M122" s="69">
        <v>0.0</v>
      </c>
      <c r="N122" s="69">
        <v>1.0</v>
      </c>
      <c r="O122" s="69">
        <v>0.0</v>
      </c>
      <c r="P122" s="69">
        <v>0.0</v>
      </c>
      <c r="Q122" s="69">
        <v>0.0</v>
      </c>
      <c r="R122" s="69">
        <v>0.0</v>
      </c>
      <c r="S122" s="69">
        <v>0.0</v>
      </c>
      <c r="T122" s="69">
        <v>0.0</v>
      </c>
      <c r="U122" s="69">
        <v>0.0</v>
      </c>
      <c r="V122" s="69">
        <v>0.0</v>
      </c>
      <c r="W122" s="69">
        <v>0.0</v>
      </c>
      <c r="X122" s="69">
        <v>0.0</v>
      </c>
      <c r="Y122" s="69">
        <v>0.0</v>
      </c>
      <c r="Z122" s="69">
        <v>0.0</v>
      </c>
      <c r="AA122" s="69">
        <v>0.0</v>
      </c>
      <c r="AB122" s="69">
        <v>0.0</v>
      </c>
      <c r="AC122" s="69">
        <v>0.0</v>
      </c>
      <c r="AD122" s="69">
        <v>0.0</v>
      </c>
      <c r="AE122" s="69">
        <v>0.0</v>
      </c>
      <c r="AF122" s="13">
        <f t="shared" si="32"/>
        <v>1</v>
      </c>
      <c r="AG122" s="5"/>
      <c r="AH122" s="5"/>
    </row>
    <row r="123" ht="12.75" customHeight="1">
      <c r="A123" s="18"/>
      <c r="B123" s="49"/>
      <c r="C123" s="50" t="s">
        <v>106</v>
      </c>
      <c r="D123" s="51"/>
      <c r="E123" s="69">
        <v>0.0</v>
      </c>
      <c r="F123" s="69">
        <v>0.0</v>
      </c>
      <c r="G123" s="69">
        <v>0.0</v>
      </c>
      <c r="H123" s="69">
        <v>0.0</v>
      </c>
      <c r="I123" s="69">
        <v>0.0</v>
      </c>
      <c r="J123" s="69">
        <v>0.0</v>
      </c>
      <c r="K123" s="69">
        <v>0.0</v>
      </c>
      <c r="L123" s="69">
        <v>0.0</v>
      </c>
      <c r="M123" s="69">
        <v>0.0</v>
      </c>
      <c r="N123" s="69">
        <v>0.0</v>
      </c>
      <c r="O123" s="69">
        <v>0.0</v>
      </c>
      <c r="P123" s="69">
        <v>0.0</v>
      </c>
      <c r="Q123" s="69">
        <v>0.0</v>
      </c>
      <c r="R123" s="69">
        <v>0.0</v>
      </c>
      <c r="S123" s="69">
        <v>0.0</v>
      </c>
      <c r="T123" s="69">
        <v>0.0</v>
      </c>
      <c r="U123" s="69">
        <v>0.0</v>
      </c>
      <c r="V123" s="69">
        <v>0.0</v>
      </c>
      <c r="W123" s="69">
        <v>0.0</v>
      </c>
      <c r="X123" s="69">
        <v>0.0</v>
      </c>
      <c r="Y123" s="69">
        <v>0.0</v>
      </c>
      <c r="Z123" s="69">
        <v>0.0</v>
      </c>
      <c r="AA123" s="69">
        <v>0.0</v>
      </c>
      <c r="AB123" s="69">
        <v>0.0</v>
      </c>
      <c r="AC123" s="69">
        <v>0.0</v>
      </c>
      <c r="AD123" s="69">
        <v>0.0</v>
      </c>
      <c r="AE123" s="69">
        <v>0.0</v>
      </c>
      <c r="AF123" s="13">
        <f t="shared" si="32"/>
        <v>0</v>
      </c>
      <c r="AG123" s="5"/>
      <c r="AH123" s="5"/>
    </row>
    <row r="124" ht="12.75" customHeight="1">
      <c r="A124" s="18"/>
      <c r="B124" s="49"/>
      <c r="C124" s="50" t="s">
        <v>107</v>
      </c>
      <c r="D124" s="51"/>
      <c r="E124" s="69">
        <v>0.0</v>
      </c>
      <c r="F124" s="69">
        <v>0.0</v>
      </c>
      <c r="G124" s="69">
        <v>0.0</v>
      </c>
      <c r="H124" s="69">
        <v>0.0</v>
      </c>
      <c r="I124" s="69">
        <v>0.0</v>
      </c>
      <c r="J124" s="69">
        <v>0.0</v>
      </c>
      <c r="K124" s="69">
        <v>0.0</v>
      </c>
      <c r="L124" s="69">
        <v>0.0</v>
      </c>
      <c r="M124" s="69">
        <v>0.0</v>
      </c>
      <c r="N124" s="69">
        <v>0.0</v>
      </c>
      <c r="O124" s="69">
        <v>0.0</v>
      </c>
      <c r="P124" s="69">
        <v>0.0</v>
      </c>
      <c r="Q124" s="69">
        <v>0.0</v>
      </c>
      <c r="R124" s="69">
        <v>0.0</v>
      </c>
      <c r="S124" s="69">
        <v>0.0</v>
      </c>
      <c r="T124" s="69">
        <v>0.0</v>
      </c>
      <c r="U124" s="69">
        <v>0.0</v>
      </c>
      <c r="V124" s="69">
        <v>0.0</v>
      </c>
      <c r="W124" s="69">
        <v>0.0</v>
      </c>
      <c r="X124" s="69">
        <v>0.0</v>
      </c>
      <c r="Y124" s="69">
        <v>0.0</v>
      </c>
      <c r="Z124" s="69">
        <v>0.0</v>
      </c>
      <c r="AA124" s="69">
        <v>0.0</v>
      </c>
      <c r="AB124" s="69">
        <v>0.0</v>
      </c>
      <c r="AC124" s="69">
        <v>0.0</v>
      </c>
      <c r="AD124" s="69">
        <v>0.0</v>
      </c>
      <c r="AE124" s="69">
        <v>0.0</v>
      </c>
      <c r="AF124" s="13">
        <f t="shared" si="32"/>
        <v>0</v>
      </c>
      <c r="AG124" s="5"/>
      <c r="AH124" s="5"/>
    </row>
    <row r="125" ht="12.75" customHeight="1">
      <c r="A125" s="19" t="s">
        <v>15</v>
      </c>
      <c r="B125" s="47" t="s">
        <v>47</v>
      </c>
      <c r="C125" s="15"/>
      <c r="D125" s="16"/>
      <c r="E125" s="56">
        <f t="shared" ref="E125:AE125" si="33">SUM(E117:E124)</f>
        <v>1</v>
      </c>
      <c r="F125" s="56">
        <f t="shared" si="33"/>
        <v>1</v>
      </c>
      <c r="G125" s="56">
        <f t="shared" si="33"/>
        <v>0</v>
      </c>
      <c r="H125" s="56">
        <f t="shared" si="33"/>
        <v>0</v>
      </c>
      <c r="I125" s="56">
        <f t="shared" si="33"/>
        <v>0</v>
      </c>
      <c r="J125" s="56">
        <f t="shared" si="33"/>
        <v>0</v>
      </c>
      <c r="K125" s="56">
        <f t="shared" si="33"/>
        <v>0</v>
      </c>
      <c r="L125" s="56">
        <f t="shared" si="33"/>
        <v>0</v>
      </c>
      <c r="M125" s="56">
        <f t="shared" si="33"/>
        <v>0</v>
      </c>
      <c r="N125" s="56">
        <f t="shared" si="33"/>
        <v>1</v>
      </c>
      <c r="O125" s="56">
        <f t="shared" si="33"/>
        <v>0</v>
      </c>
      <c r="P125" s="56">
        <f t="shared" si="33"/>
        <v>0</v>
      </c>
      <c r="Q125" s="56">
        <f t="shared" si="33"/>
        <v>0</v>
      </c>
      <c r="R125" s="56">
        <f t="shared" si="33"/>
        <v>0</v>
      </c>
      <c r="S125" s="56">
        <f t="shared" si="33"/>
        <v>0</v>
      </c>
      <c r="T125" s="56">
        <f t="shared" si="33"/>
        <v>0</v>
      </c>
      <c r="U125" s="56">
        <f t="shared" si="33"/>
        <v>0</v>
      </c>
      <c r="V125" s="56">
        <f t="shared" si="33"/>
        <v>1</v>
      </c>
      <c r="W125" s="56">
        <f t="shared" si="33"/>
        <v>0</v>
      </c>
      <c r="X125" s="56">
        <f t="shared" si="33"/>
        <v>0</v>
      </c>
      <c r="Y125" s="56">
        <f t="shared" si="33"/>
        <v>0</v>
      </c>
      <c r="Z125" s="56">
        <f t="shared" si="33"/>
        <v>0</v>
      </c>
      <c r="AA125" s="56">
        <f t="shared" si="33"/>
        <v>0</v>
      </c>
      <c r="AB125" s="56">
        <f t="shared" si="33"/>
        <v>0</v>
      </c>
      <c r="AC125" s="56">
        <f t="shared" si="33"/>
        <v>0</v>
      </c>
      <c r="AD125" s="56">
        <f t="shared" si="33"/>
        <v>0</v>
      </c>
      <c r="AE125" s="56">
        <f t="shared" si="33"/>
        <v>0</v>
      </c>
      <c r="AF125" s="13">
        <f t="shared" si="32"/>
        <v>4</v>
      </c>
      <c r="AG125" s="5"/>
      <c r="AH125" s="5"/>
    </row>
    <row r="126" ht="12.75" customHeight="1">
      <c r="A126" s="57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13"/>
      <c r="AG126" s="5"/>
      <c r="AH126" s="5"/>
    </row>
    <row r="127" ht="15.0" customHeight="1">
      <c r="A127" s="30" t="s">
        <v>37</v>
      </c>
      <c r="B127" s="47" t="s">
        <v>108</v>
      </c>
      <c r="C127" s="48" t="s">
        <v>109</v>
      </c>
      <c r="D127" s="16"/>
      <c r="E127" s="69">
        <v>0.0</v>
      </c>
      <c r="F127" s="69">
        <v>0.0</v>
      </c>
      <c r="G127" s="69">
        <v>0.0</v>
      </c>
      <c r="H127" s="69">
        <v>0.0</v>
      </c>
      <c r="I127" s="69">
        <v>0.0</v>
      </c>
      <c r="J127" s="69">
        <v>1.0</v>
      </c>
      <c r="K127" s="69">
        <v>0.0</v>
      </c>
      <c r="L127" s="69">
        <v>0.0</v>
      </c>
      <c r="M127" s="69">
        <v>0.0</v>
      </c>
      <c r="N127" s="69">
        <v>0.0</v>
      </c>
      <c r="O127" s="69">
        <v>0.0</v>
      </c>
      <c r="P127" s="69">
        <v>0.0</v>
      </c>
      <c r="Q127" s="69">
        <v>0.0</v>
      </c>
      <c r="R127" s="69">
        <v>0.0</v>
      </c>
      <c r="S127" s="69">
        <v>1.0</v>
      </c>
      <c r="T127" s="69">
        <v>0.0</v>
      </c>
      <c r="U127" s="69">
        <v>0.0</v>
      </c>
      <c r="V127" s="69">
        <v>0.0</v>
      </c>
      <c r="W127" s="69">
        <v>0.0</v>
      </c>
      <c r="X127" s="69">
        <v>0.0</v>
      </c>
      <c r="Y127" s="69">
        <v>0.0</v>
      </c>
      <c r="Z127" s="69">
        <v>0.0</v>
      </c>
      <c r="AA127" s="69">
        <v>0.0</v>
      </c>
      <c r="AB127" s="69">
        <v>0.0</v>
      </c>
      <c r="AC127" s="69">
        <v>0.0</v>
      </c>
      <c r="AD127" s="69">
        <v>0.0</v>
      </c>
      <c r="AE127" s="69">
        <v>0.0</v>
      </c>
      <c r="AF127" s="13">
        <f t="shared" ref="AF127:AF129" si="34">SUM(E127:AE127)</f>
        <v>2</v>
      </c>
      <c r="AG127" s="5"/>
      <c r="AH127" s="5"/>
    </row>
    <row r="128" ht="12.75" customHeight="1">
      <c r="A128" s="30" t="s">
        <v>39</v>
      </c>
      <c r="B128" s="49"/>
      <c r="C128" s="50"/>
      <c r="D128" s="51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3">
        <f t="shared" si="34"/>
        <v>0</v>
      </c>
      <c r="AG128" s="5"/>
      <c r="AH128" s="5"/>
    </row>
    <row r="129" ht="12.75" customHeight="1">
      <c r="A129" s="19" t="s">
        <v>15</v>
      </c>
      <c r="B129" s="47" t="s">
        <v>47</v>
      </c>
      <c r="C129" s="15"/>
      <c r="D129" s="16"/>
      <c r="E129" s="56">
        <f t="shared" ref="E129:AE129" si="35">SUM(E127:E128)</f>
        <v>0</v>
      </c>
      <c r="F129" s="56">
        <f t="shared" si="35"/>
        <v>0</v>
      </c>
      <c r="G129" s="56">
        <f t="shared" si="35"/>
        <v>0</v>
      </c>
      <c r="H129" s="56">
        <f t="shared" si="35"/>
        <v>0</v>
      </c>
      <c r="I129" s="56">
        <f t="shared" si="35"/>
        <v>0</v>
      </c>
      <c r="J129" s="56">
        <f t="shared" si="35"/>
        <v>1</v>
      </c>
      <c r="K129" s="56">
        <f t="shared" si="35"/>
        <v>0</v>
      </c>
      <c r="L129" s="56">
        <f t="shared" si="35"/>
        <v>0</v>
      </c>
      <c r="M129" s="56">
        <f t="shared" si="35"/>
        <v>0</v>
      </c>
      <c r="N129" s="56">
        <f t="shared" si="35"/>
        <v>0</v>
      </c>
      <c r="O129" s="56">
        <f t="shared" si="35"/>
        <v>0</v>
      </c>
      <c r="P129" s="56">
        <f t="shared" si="35"/>
        <v>0</v>
      </c>
      <c r="Q129" s="56">
        <f t="shared" si="35"/>
        <v>0</v>
      </c>
      <c r="R129" s="56">
        <f t="shared" si="35"/>
        <v>0</v>
      </c>
      <c r="S129" s="56">
        <f t="shared" si="35"/>
        <v>1</v>
      </c>
      <c r="T129" s="56">
        <f t="shared" si="35"/>
        <v>0</v>
      </c>
      <c r="U129" s="56">
        <f t="shared" si="35"/>
        <v>0</v>
      </c>
      <c r="V129" s="56">
        <f t="shared" si="35"/>
        <v>0</v>
      </c>
      <c r="W129" s="56">
        <f t="shared" si="35"/>
        <v>0</v>
      </c>
      <c r="X129" s="56">
        <f t="shared" si="35"/>
        <v>0</v>
      </c>
      <c r="Y129" s="56">
        <f t="shared" si="35"/>
        <v>0</v>
      </c>
      <c r="Z129" s="56">
        <f t="shared" si="35"/>
        <v>0</v>
      </c>
      <c r="AA129" s="56">
        <f t="shared" si="35"/>
        <v>0</v>
      </c>
      <c r="AB129" s="56">
        <f t="shared" si="35"/>
        <v>0</v>
      </c>
      <c r="AC129" s="56">
        <f t="shared" si="35"/>
        <v>0</v>
      </c>
      <c r="AD129" s="56">
        <f t="shared" si="35"/>
        <v>0</v>
      </c>
      <c r="AE129" s="56">
        <f t="shared" si="35"/>
        <v>0</v>
      </c>
      <c r="AF129" s="13">
        <f t="shared" si="34"/>
        <v>2</v>
      </c>
      <c r="AG129" s="5"/>
      <c r="AH129" s="5"/>
    </row>
    <row r="130" ht="12.75" customHeight="1">
      <c r="A130" s="57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13"/>
      <c r="AG130" s="1"/>
      <c r="AH130" s="1"/>
    </row>
    <row r="131" ht="12.75" customHeight="1">
      <c r="A131" s="30" t="s">
        <v>37</v>
      </c>
      <c r="B131" s="47" t="s">
        <v>110</v>
      </c>
      <c r="C131" s="48" t="s">
        <v>111</v>
      </c>
      <c r="D131" s="16"/>
      <c r="E131" s="69">
        <v>0.0</v>
      </c>
      <c r="F131" s="69">
        <v>0.0</v>
      </c>
      <c r="G131" s="69">
        <v>0.0</v>
      </c>
      <c r="H131" s="69">
        <v>0.0</v>
      </c>
      <c r="I131" s="69">
        <v>0.0</v>
      </c>
      <c r="J131" s="69">
        <v>1.0</v>
      </c>
      <c r="K131" s="69">
        <v>0.0</v>
      </c>
      <c r="L131" s="69">
        <v>1.0</v>
      </c>
      <c r="M131" s="69">
        <v>0.0</v>
      </c>
      <c r="N131" s="69">
        <v>0.0</v>
      </c>
      <c r="O131" s="69">
        <v>0.0</v>
      </c>
      <c r="P131" s="69">
        <v>1.0</v>
      </c>
      <c r="Q131" s="69">
        <v>0.0</v>
      </c>
      <c r="R131" s="69">
        <v>1.0</v>
      </c>
      <c r="S131" s="69">
        <v>0.0</v>
      </c>
      <c r="T131" s="69">
        <v>0.0</v>
      </c>
      <c r="U131" s="69">
        <v>0.0</v>
      </c>
      <c r="V131" s="69">
        <v>0.0</v>
      </c>
      <c r="W131" s="69">
        <v>0.0</v>
      </c>
      <c r="X131" s="69">
        <v>0.0</v>
      </c>
      <c r="Y131" s="69">
        <v>0.0</v>
      </c>
      <c r="Z131" s="69">
        <v>0.0</v>
      </c>
      <c r="AA131" s="69">
        <v>0.0</v>
      </c>
      <c r="AB131" s="69">
        <v>0.0</v>
      </c>
      <c r="AC131" s="69">
        <v>1.0</v>
      </c>
      <c r="AD131" s="69">
        <v>0.0</v>
      </c>
      <c r="AE131" s="69">
        <v>0.0</v>
      </c>
      <c r="AF131" s="13">
        <f t="shared" ref="AF131:AF136" si="36">SUM(E131:AE131)</f>
        <v>5</v>
      </c>
      <c r="AG131" s="53"/>
      <c r="AH131" s="53"/>
    </row>
    <row r="132" ht="12.75" customHeight="1">
      <c r="A132" s="30" t="s">
        <v>39</v>
      </c>
      <c r="B132" s="49"/>
      <c r="C132" s="50" t="s">
        <v>112</v>
      </c>
      <c r="D132" s="51"/>
      <c r="E132" s="69">
        <v>0.0</v>
      </c>
      <c r="F132" s="69">
        <v>0.0</v>
      </c>
      <c r="G132" s="69">
        <v>1.0</v>
      </c>
      <c r="H132" s="69">
        <v>0.0</v>
      </c>
      <c r="I132" s="69">
        <v>0.0</v>
      </c>
      <c r="J132" s="69">
        <v>0.0</v>
      </c>
      <c r="K132" s="69">
        <v>0.0</v>
      </c>
      <c r="L132" s="69">
        <v>0.0</v>
      </c>
      <c r="M132" s="69">
        <v>0.0</v>
      </c>
      <c r="N132" s="69">
        <v>1.0</v>
      </c>
      <c r="O132" s="69">
        <v>0.0</v>
      </c>
      <c r="P132" s="69">
        <v>0.0</v>
      </c>
      <c r="Q132" s="69">
        <v>0.0</v>
      </c>
      <c r="R132" s="69">
        <v>0.0</v>
      </c>
      <c r="S132" s="69">
        <v>0.0</v>
      </c>
      <c r="T132" s="69">
        <v>0.0</v>
      </c>
      <c r="U132" s="69">
        <v>0.0</v>
      </c>
      <c r="V132" s="69">
        <v>0.0</v>
      </c>
      <c r="W132" s="69">
        <v>0.0</v>
      </c>
      <c r="X132" s="69">
        <v>0.0</v>
      </c>
      <c r="Y132" s="69">
        <v>0.0</v>
      </c>
      <c r="Z132" s="69">
        <v>0.0</v>
      </c>
      <c r="AA132" s="69">
        <v>0.0</v>
      </c>
      <c r="AB132" s="69">
        <v>0.0</v>
      </c>
      <c r="AC132" s="69">
        <v>0.0</v>
      </c>
      <c r="AD132" s="69">
        <v>1.0</v>
      </c>
      <c r="AE132" s="69">
        <v>0.0</v>
      </c>
      <c r="AF132" s="13">
        <f t="shared" si="36"/>
        <v>3</v>
      </c>
      <c r="AG132" s="5"/>
      <c r="AH132" s="5"/>
    </row>
    <row r="133" ht="12.75" customHeight="1">
      <c r="A133" s="18"/>
      <c r="B133" s="49"/>
      <c r="C133" s="50" t="s">
        <v>113</v>
      </c>
      <c r="D133" s="51"/>
      <c r="E133" s="69">
        <v>0.0</v>
      </c>
      <c r="F133" s="69">
        <v>0.0</v>
      </c>
      <c r="G133" s="69">
        <v>0.0</v>
      </c>
      <c r="H133" s="69">
        <v>0.0</v>
      </c>
      <c r="I133" s="69">
        <v>0.0</v>
      </c>
      <c r="J133" s="69">
        <v>1.0</v>
      </c>
      <c r="K133" s="69">
        <v>0.0</v>
      </c>
      <c r="L133" s="69">
        <v>0.0</v>
      </c>
      <c r="M133" s="69">
        <v>0.0</v>
      </c>
      <c r="N133" s="69">
        <v>0.0</v>
      </c>
      <c r="O133" s="69">
        <v>0.0</v>
      </c>
      <c r="P133" s="69">
        <v>0.0</v>
      </c>
      <c r="Q133" s="69">
        <v>0.0</v>
      </c>
      <c r="R133" s="69">
        <v>1.0</v>
      </c>
      <c r="S133" s="69">
        <v>0.0</v>
      </c>
      <c r="T133" s="69">
        <v>0.0</v>
      </c>
      <c r="U133" s="69">
        <v>0.0</v>
      </c>
      <c r="V133" s="69">
        <v>0.0</v>
      </c>
      <c r="W133" s="69">
        <v>0.0</v>
      </c>
      <c r="X133" s="69">
        <v>0.0</v>
      </c>
      <c r="Y133" s="69">
        <v>0.0</v>
      </c>
      <c r="Z133" s="69">
        <v>0.0</v>
      </c>
      <c r="AA133" s="69">
        <v>0.0</v>
      </c>
      <c r="AB133" s="69">
        <v>0.0</v>
      </c>
      <c r="AC133" s="69">
        <v>0.0</v>
      </c>
      <c r="AD133" s="69">
        <v>0.0</v>
      </c>
      <c r="AE133" s="69">
        <v>0.0</v>
      </c>
      <c r="AF133" s="13">
        <f t="shared" si="36"/>
        <v>2</v>
      </c>
      <c r="AG133" s="5"/>
      <c r="AH133" s="5"/>
    </row>
    <row r="134" ht="12.75" customHeight="1">
      <c r="A134" s="18"/>
      <c r="B134" s="49"/>
      <c r="C134" s="50" t="s">
        <v>114</v>
      </c>
      <c r="D134" s="51"/>
      <c r="E134" s="69">
        <v>0.0</v>
      </c>
      <c r="F134" s="69">
        <v>0.0</v>
      </c>
      <c r="G134" s="69">
        <v>0.0</v>
      </c>
      <c r="H134" s="69">
        <v>0.0</v>
      </c>
      <c r="I134" s="69">
        <v>0.0</v>
      </c>
      <c r="J134" s="69">
        <v>0.0</v>
      </c>
      <c r="K134" s="69">
        <v>0.0</v>
      </c>
      <c r="L134" s="69">
        <v>0.0</v>
      </c>
      <c r="M134" s="69">
        <v>0.0</v>
      </c>
      <c r="N134" s="69">
        <v>0.0</v>
      </c>
      <c r="O134" s="69">
        <v>0.0</v>
      </c>
      <c r="P134" s="69">
        <v>0.0</v>
      </c>
      <c r="Q134" s="69">
        <v>0.0</v>
      </c>
      <c r="R134" s="69">
        <v>0.0</v>
      </c>
      <c r="S134" s="69">
        <v>0.0</v>
      </c>
      <c r="T134" s="69">
        <v>0.0</v>
      </c>
      <c r="U134" s="69">
        <v>0.0</v>
      </c>
      <c r="V134" s="69">
        <v>0.0</v>
      </c>
      <c r="W134" s="69">
        <v>0.0</v>
      </c>
      <c r="X134" s="69">
        <v>0.0</v>
      </c>
      <c r="Y134" s="69">
        <v>0.0</v>
      </c>
      <c r="Z134" s="69">
        <v>0.0</v>
      </c>
      <c r="AA134" s="69">
        <v>0.0</v>
      </c>
      <c r="AB134" s="69">
        <v>0.0</v>
      </c>
      <c r="AC134" s="69">
        <v>0.0</v>
      </c>
      <c r="AD134" s="69">
        <v>0.0</v>
      </c>
      <c r="AE134" s="69">
        <v>0.0</v>
      </c>
      <c r="AF134" s="13">
        <f t="shared" si="36"/>
        <v>0</v>
      </c>
      <c r="AG134" s="5"/>
      <c r="AH134" s="5"/>
    </row>
    <row r="135" ht="12.75" customHeight="1">
      <c r="A135" s="18"/>
      <c r="B135" s="49"/>
      <c r="C135" s="50" t="s">
        <v>115</v>
      </c>
      <c r="D135" s="51"/>
      <c r="E135" s="69">
        <v>0.0</v>
      </c>
      <c r="F135" s="69">
        <v>0.0</v>
      </c>
      <c r="G135" s="69">
        <v>0.0</v>
      </c>
      <c r="H135" s="69">
        <v>0.0</v>
      </c>
      <c r="I135" s="69">
        <v>0.0</v>
      </c>
      <c r="J135" s="69">
        <v>0.0</v>
      </c>
      <c r="K135" s="69">
        <v>0.0</v>
      </c>
      <c r="L135" s="69">
        <v>0.0</v>
      </c>
      <c r="M135" s="69">
        <v>0.0</v>
      </c>
      <c r="N135" s="69">
        <v>0.0</v>
      </c>
      <c r="O135" s="69">
        <v>0.0</v>
      </c>
      <c r="P135" s="69">
        <v>0.0</v>
      </c>
      <c r="Q135" s="69">
        <v>0.0</v>
      </c>
      <c r="R135" s="69">
        <v>0.0</v>
      </c>
      <c r="S135" s="69">
        <v>0.0</v>
      </c>
      <c r="T135" s="69">
        <v>0.0</v>
      </c>
      <c r="U135" s="69">
        <v>0.0</v>
      </c>
      <c r="V135" s="69">
        <v>0.0</v>
      </c>
      <c r="W135" s="69">
        <v>0.0</v>
      </c>
      <c r="X135" s="69">
        <v>0.0</v>
      </c>
      <c r="Y135" s="69">
        <v>0.0</v>
      </c>
      <c r="Z135" s="69">
        <v>0.0</v>
      </c>
      <c r="AA135" s="69">
        <v>0.0</v>
      </c>
      <c r="AB135" s="69">
        <v>0.0</v>
      </c>
      <c r="AC135" s="69">
        <v>0.0</v>
      </c>
      <c r="AD135" s="69">
        <v>0.0</v>
      </c>
      <c r="AE135" s="69">
        <v>0.0</v>
      </c>
      <c r="AF135" s="13">
        <f t="shared" si="36"/>
        <v>0</v>
      </c>
      <c r="AG135" s="5"/>
      <c r="AH135" s="5"/>
    </row>
    <row r="136" ht="12.75" customHeight="1">
      <c r="A136" s="19" t="s">
        <v>15</v>
      </c>
      <c r="B136" s="47" t="s">
        <v>47</v>
      </c>
      <c r="C136" s="15"/>
      <c r="D136" s="16"/>
      <c r="E136" s="56">
        <f t="shared" ref="E136:AE136" si="37">SUM(E131:E135)</f>
        <v>0</v>
      </c>
      <c r="F136" s="56">
        <f t="shared" si="37"/>
        <v>0</v>
      </c>
      <c r="G136" s="56">
        <f t="shared" si="37"/>
        <v>1</v>
      </c>
      <c r="H136" s="56">
        <f t="shared" si="37"/>
        <v>0</v>
      </c>
      <c r="I136" s="56">
        <f t="shared" si="37"/>
        <v>0</v>
      </c>
      <c r="J136" s="56">
        <f t="shared" si="37"/>
        <v>2</v>
      </c>
      <c r="K136" s="56">
        <f t="shared" si="37"/>
        <v>0</v>
      </c>
      <c r="L136" s="56">
        <f t="shared" si="37"/>
        <v>1</v>
      </c>
      <c r="M136" s="56">
        <f t="shared" si="37"/>
        <v>0</v>
      </c>
      <c r="N136" s="56">
        <f t="shared" si="37"/>
        <v>1</v>
      </c>
      <c r="O136" s="56">
        <f t="shared" si="37"/>
        <v>0</v>
      </c>
      <c r="P136" s="56">
        <f t="shared" si="37"/>
        <v>1</v>
      </c>
      <c r="Q136" s="56">
        <f t="shared" si="37"/>
        <v>0</v>
      </c>
      <c r="R136" s="56">
        <f t="shared" si="37"/>
        <v>2</v>
      </c>
      <c r="S136" s="56">
        <f t="shared" si="37"/>
        <v>0</v>
      </c>
      <c r="T136" s="56">
        <f t="shared" si="37"/>
        <v>0</v>
      </c>
      <c r="U136" s="56">
        <f t="shared" si="37"/>
        <v>0</v>
      </c>
      <c r="V136" s="56">
        <f t="shared" si="37"/>
        <v>0</v>
      </c>
      <c r="W136" s="56">
        <f t="shared" si="37"/>
        <v>0</v>
      </c>
      <c r="X136" s="56">
        <f t="shared" si="37"/>
        <v>0</v>
      </c>
      <c r="Y136" s="56">
        <f t="shared" si="37"/>
        <v>0</v>
      </c>
      <c r="Z136" s="56">
        <f t="shared" si="37"/>
        <v>0</v>
      </c>
      <c r="AA136" s="56">
        <f t="shared" si="37"/>
        <v>0</v>
      </c>
      <c r="AB136" s="56">
        <f t="shared" si="37"/>
        <v>0</v>
      </c>
      <c r="AC136" s="56">
        <f t="shared" si="37"/>
        <v>1</v>
      </c>
      <c r="AD136" s="56">
        <f t="shared" si="37"/>
        <v>1</v>
      </c>
      <c r="AE136" s="56">
        <f t="shared" si="37"/>
        <v>0</v>
      </c>
      <c r="AF136" s="13">
        <f t="shared" si="36"/>
        <v>10</v>
      </c>
      <c r="AG136" s="5"/>
      <c r="AH136" s="5"/>
    </row>
    <row r="137" ht="12.75" customHeight="1">
      <c r="A137" s="57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13"/>
      <c r="AG137" s="5"/>
      <c r="AH137" s="5"/>
    </row>
    <row r="138" ht="12.75" customHeight="1">
      <c r="A138" s="30" t="s">
        <v>37</v>
      </c>
      <c r="B138" s="47" t="s">
        <v>116</v>
      </c>
      <c r="C138" s="48" t="s">
        <v>117</v>
      </c>
      <c r="D138" s="16"/>
      <c r="E138" s="69">
        <v>0.0</v>
      </c>
      <c r="F138" s="69">
        <v>0.0</v>
      </c>
      <c r="G138" s="69">
        <v>0.0</v>
      </c>
      <c r="H138" s="69">
        <v>0.0</v>
      </c>
      <c r="I138" s="69">
        <v>0.0</v>
      </c>
      <c r="J138" s="69">
        <v>0.0</v>
      </c>
      <c r="K138" s="69">
        <v>0.0</v>
      </c>
      <c r="L138" s="69">
        <v>0.0</v>
      </c>
      <c r="M138" s="69">
        <v>0.0</v>
      </c>
      <c r="N138" s="69">
        <v>0.0</v>
      </c>
      <c r="O138" s="69">
        <v>0.0</v>
      </c>
      <c r="P138" s="69">
        <v>0.0</v>
      </c>
      <c r="Q138" s="69">
        <v>0.0</v>
      </c>
      <c r="R138" s="69">
        <v>0.0</v>
      </c>
      <c r="S138" s="69">
        <v>0.0</v>
      </c>
      <c r="T138" s="69">
        <v>0.0</v>
      </c>
      <c r="U138" s="69">
        <v>0.0</v>
      </c>
      <c r="V138" s="69">
        <v>0.0</v>
      </c>
      <c r="W138" s="69">
        <v>0.0</v>
      </c>
      <c r="X138" s="69">
        <v>0.0</v>
      </c>
      <c r="Y138" s="69">
        <v>0.0</v>
      </c>
      <c r="Z138" s="69">
        <v>0.0</v>
      </c>
      <c r="AA138" s="69">
        <v>0.0</v>
      </c>
      <c r="AB138" s="69">
        <v>0.0</v>
      </c>
      <c r="AC138" s="69">
        <v>0.0</v>
      </c>
      <c r="AD138" s="69">
        <v>0.0</v>
      </c>
      <c r="AE138" s="69">
        <v>0.0</v>
      </c>
      <c r="AF138" s="13">
        <f t="shared" ref="AF138:AF146" si="38">SUM(E138:AE138)</f>
        <v>0</v>
      </c>
      <c r="AG138" s="5"/>
      <c r="AH138" s="5"/>
    </row>
    <row r="139" ht="15.0" customHeight="1">
      <c r="A139" s="30" t="s">
        <v>39</v>
      </c>
      <c r="B139" s="49"/>
      <c r="C139" s="50" t="s">
        <v>118</v>
      </c>
      <c r="D139" s="51"/>
      <c r="E139" s="69">
        <v>0.0</v>
      </c>
      <c r="F139" s="69">
        <v>0.0</v>
      </c>
      <c r="G139" s="69">
        <v>0.0</v>
      </c>
      <c r="H139" s="69">
        <v>0.0</v>
      </c>
      <c r="I139" s="69">
        <v>0.0</v>
      </c>
      <c r="J139" s="69">
        <v>0.0</v>
      </c>
      <c r="K139" s="69">
        <v>0.0</v>
      </c>
      <c r="L139" s="69">
        <v>0.0</v>
      </c>
      <c r="M139" s="69">
        <v>0.0</v>
      </c>
      <c r="N139" s="69">
        <v>0.0</v>
      </c>
      <c r="O139" s="69">
        <v>0.0</v>
      </c>
      <c r="P139" s="69">
        <v>0.0</v>
      </c>
      <c r="Q139" s="69">
        <v>0.0</v>
      </c>
      <c r="R139" s="69">
        <v>0.0</v>
      </c>
      <c r="S139" s="69">
        <v>0.0</v>
      </c>
      <c r="T139" s="69">
        <v>0.0</v>
      </c>
      <c r="U139" s="69">
        <v>0.0</v>
      </c>
      <c r="V139" s="69">
        <v>0.0</v>
      </c>
      <c r="W139" s="69">
        <v>0.0</v>
      </c>
      <c r="X139" s="69">
        <v>0.0</v>
      </c>
      <c r="Y139" s="69">
        <v>0.0</v>
      </c>
      <c r="Z139" s="69">
        <v>0.0</v>
      </c>
      <c r="AA139" s="69">
        <v>0.0</v>
      </c>
      <c r="AB139" s="69">
        <v>0.0</v>
      </c>
      <c r="AC139" s="69">
        <v>0.0</v>
      </c>
      <c r="AD139" s="69">
        <v>0.0</v>
      </c>
      <c r="AE139" s="69">
        <v>0.0</v>
      </c>
      <c r="AF139" s="13">
        <f t="shared" si="38"/>
        <v>0</v>
      </c>
      <c r="AG139" s="5"/>
      <c r="AH139" s="5"/>
    </row>
    <row r="140" ht="12.75" customHeight="1">
      <c r="A140" s="18"/>
      <c r="B140" s="49"/>
      <c r="C140" s="50" t="s">
        <v>119</v>
      </c>
      <c r="D140" s="51"/>
      <c r="E140" s="69">
        <v>0.0</v>
      </c>
      <c r="F140" s="69">
        <v>0.0</v>
      </c>
      <c r="G140" s="69">
        <v>0.0</v>
      </c>
      <c r="H140" s="69">
        <v>0.0</v>
      </c>
      <c r="I140" s="69">
        <v>0.0</v>
      </c>
      <c r="J140" s="69">
        <v>0.0</v>
      </c>
      <c r="K140" s="69">
        <v>0.0</v>
      </c>
      <c r="L140" s="69">
        <v>0.0</v>
      </c>
      <c r="M140" s="69">
        <v>0.0</v>
      </c>
      <c r="N140" s="69">
        <v>0.0</v>
      </c>
      <c r="O140" s="69">
        <v>0.0</v>
      </c>
      <c r="P140" s="69">
        <v>0.0</v>
      </c>
      <c r="Q140" s="69">
        <v>0.0</v>
      </c>
      <c r="R140" s="69">
        <v>0.0</v>
      </c>
      <c r="S140" s="69">
        <v>0.0</v>
      </c>
      <c r="T140" s="69">
        <v>0.0</v>
      </c>
      <c r="U140" s="69">
        <v>0.0</v>
      </c>
      <c r="V140" s="69">
        <v>0.0</v>
      </c>
      <c r="W140" s="69">
        <v>0.0</v>
      </c>
      <c r="X140" s="69">
        <v>0.0</v>
      </c>
      <c r="Y140" s="69">
        <v>0.0</v>
      </c>
      <c r="Z140" s="69">
        <v>0.0</v>
      </c>
      <c r="AA140" s="69">
        <v>0.0</v>
      </c>
      <c r="AB140" s="69">
        <v>0.0</v>
      </c>
      <c r="AC140" s="69">
        <v>0.0</v>
      </c>
      <c r="AD140" s="69">
        <v>0.0</v>
      </c>
      <c r="AE140" s="69">
        <v>0.0</v>
      </c>
      <c r="AF140" s="13">
        <f t="shared" si="38"/>
        <v>0</v>
      </c>
      <c r="AG140" s="5"/>
      <c r="AH140" s="5"/>
    </row>
    <row r="141" ht="12.75" customHeight="1">
      <c r="A141" s="18"/>
      <c r="B141" s="49"/>
      <c r="C141" s="50" t="s">
        <v>120</v>
      </c>
      <c r="D141" s="51"/>
      <c r="E141" s="69">
        <v>0.0</v>
      </c>
      <c r="F141" s="69">
        <v>0.0</v>
      </c>
      <c r="G141" s="69">
        <v>0.0</v>
      </c>
      <c r="H141" s="69">
        <v>0.0</v>
      </c>
      <c r="I141" s="69">
        <v>0.0</v>
      </c>
      <c r="J141" s="69">
        <v>0.0</v>
      </c>
      <c r="K141" s="69">
        <v>0.0</v>
      </c>
      <c r="L141" s="69">
        <v>0.0</v>
      </c>
      <c r="M141" s="69">
        <v>0.0</v>
      </c>
      <c r="N141" s="69">
        <v>0.0</v>
      </c>
      <c r="O141" s="69">
        <v>0.0</v>
      </c>
      <c r="P141" s="69">
        <v>0.0</v>
      </c>
      <c r="Q141" s="69">
        <v>0.0</v>
      </c>
      <c r="R141" s="69">
        <v>0.0</v>
      </c>
      <c r="S141" s="69">
        <v>0.0</v>
      </c>
      <c r="T141" s="69">
        <v>0.0</v>
      </c>
      <c r="U141" s="69">
        <v>0.0</v>
      </c>
      <c r="V141" s="69">
        <v>0.0</v>
      </c>
      <c r="W141" s="69">
        <v>0.0</v>
      </c>
      <c r="X141" s="69">
        <v>0.0</v>
      </c>
      <c r="Y141" s="69">
        <v>0.0</v>
      </c>
      <c r="Z141" s="69">
        <v>0.0</v>
      </c>
      <c r="AA141" s="69">
        <v>0.0</v>
      </c>
      <c r="AB141" s="69">
        <v>0.0</v>
      </c>
      <c r="AC141" s="69">
        <v>0.0</v>
      </c>
      <c r="AD141" s="69">
        <v>0.0</v>
      </c>
      <c r="AE141" s="69">
        <v>0.0</v>
      </c>
      <c r="AF141" s="13">
        <f t="shared" si="38"/>
        <v>0</v>
      </c>
      <c r="AG141" s="1"/>
      <c r="AH141" s="1"/>
    </row>
    <row r="142" ht="12.75" customHeight="1">
      <c r="A142" s="18"/>
      <c r="B142" s="49"/>
      <c r="C142" s="50" t="s">
        <v>121</v>
      </c>
      <c r="D142" s="51"/>
      <c r="E142" s="69">
        <v>0.0</v>
      </c>
      <c r="F142" s="69">
        <v>0.0</v>
      </c>
      <c r="G142" s="69">
        <v>0.0</v>
      </c>
      <c r="H142" s="69">
        <v>0.0</v>
      </c>
      <c r="I142" s="69">
        <v>0.0</v>
      </c>
      <c r="J142" s="69">
        <v>0.0</v>
      </c>
      <c r="K142" s="69">
        <v>0.0</v>
      </c>
      <c r="L142" s="69">
        <v>0.0</v>
      </c>
      <c r="M142" s="69">
        <v>0.0</v>
      </c>
      <c r="N142" s="69">
        <v>0.0</v>
      </c>
      <c r="O142" s="69">
        <v>0.0</v>
      </c>
      <c r="P142" s="69">
        <v>0.0</v>
      </c>
      <c r="Q142" s="69">
        <v>0.0</v>
      </c>
      <c r="R142" s="69">
        <v>0.0</v>
      </c>
      <c r="S142" s="69">
        <v>0.0</v>
      </c>
      <c r="T142" s="69">
        <v>0.0</v>
      </c>
      <c r="U142" s="69">
        <v>0.0</v>
      </c>
      <c r="V142" s="69">
        <v>0.0</v>
      </c>
      <c r="W142" s="69">
        <v>0.0</v>
      </c>
      <c r="X142" s="69">
        <v>0.0</v>
      </c>
      <c r="Y142" s="69">
        <v>0.0</v>
      </c>
      <c r="Z142" s="69">
        <v>0.0</v>
      </c>
      <c r="AA142" s="69">
        <v>0.0</v>
      </c>
      <c r="AB142" s="69">
        <v>0.0</v>
      </c>
      <c r="AC142" s="69">
        <v>0.0</v>
      </c>
      <c r="AD142" s="69">
        <v>0.0</v>
      </c>
      <c r="AE142" s="69">
        <v>0.0</v>
      </c>
      <c r="AF142" s="13">
        <f t="shared" si="38"/>
        <v>0</v>
      </c>
      <c r="AG142" s="53"/>
      <c r="AH142" s="53"/>
    </row>
    <row r="143" ht="12.75" customHeight="1">
      <c r="A143" s="18"/>
      <c r="B143" s="49"/>
      <c r="C143" s="50" t="s">
        <v>122</v>
      </c>
      <c r="D143" s="51"/>
      <c r="E143" s="69">
        <v>0.0</v>
      </c>
      <c r="F143" s="69">
        <v>0.0</v>
      </c>
      <c r="G143" s="69">
        <v>0.0</v>
      </c>
      <c r="H143" s="69">
        <v>0.0</v>
      </c>
      <c r="I143" s="69">
        <v>0.0</v>
      </c>
      <c r="J143" s="69">
        <v>0.0</v>
      </c>
      <c r="K143" s="69">
        <v>0.0</v>
      </c>
      <c r="L143" s="69">
        <v>0.0</v>
      </c>
      <c r="M143" s="69">
        <v>0.0</v>
      </c>
      <c r="N143" s="69">
        <v>0.0</v>
      </c>
      <c r="O143" s="69">
        <v>0.0</v>
      </c>
      <c r="P143" s="69">
        <v>0.0</v>
      </c>
      <c r="Q143" s="69">
        <v>0.0</v>
      </c>
      <c r="R143" s="69">
        <v>0.0</v>
      </c>
      <c r="S143" s="69">
        <v>0.0</v>
      </c>
      <c r="T143" s="69">
        <v>0.0</v>
      </c>
      <c r="U143" s="69">
        <v>0.0</v>
      </c>
      <c r="V143" s="69">
        <v>0.0</v>
      </c>
      <c r="W143" s="69">
        <v>0.0</v>
      </c>
      <c r="X143" s="69">
        <v>0.0</v>
      </c>
      <c r="Y143" s="69">
        <v>0.0</v>
      </c>
      <c r="Z143" s="69">
        <v>0.0</v>
      </c>
      <c r="AA143" s="69">
        <v>0.0</v>
      </c>
      <c r="AB143" s="69">
        <v>0.0</v>
      </c>
      <c r="AC143" s="69">
        <v>0.0</v>
      </c>
      <c r="AD143" s="69">
        <v>0.0</v>
      </c>
      <c r="AE143" s="69">
        <v>0.0</v>
      </c>
      <c r="AF143" s="13">
        <f t="shared" si="38"/>
        <v>0</v>
      </c>
      <c r="AG143" s="5"/>
      <c r="AH143" s="5"/>
    </row>
    <row r="144" ht="12.75" customHeight="1">
      <c r="A144" s="18"/>
      <c r="B144" s="49"/>
      <c r="C144" s="50" t="s">
        <v>123</v>
      </c>
      <c r="D144" s="51"/>
      <c r="E144" s="69">
        <v>0.0</v>
      </c>
      <c r="F144" s="69">
        <v>0.0</v>
      </c>
      <c r="G144" s="69">
        <v>0.0</v>
      </c>
      <c r="H144" s="69">
        <v>0.0</v>
      </c>
      <c r="I144" s="69">
        <v>0.0</v>
      </c>
      <c r="J144" s="69">
        <v>0.0</v>
      </c>
      <c r="K144" s="69">
        <v>0.0</v>
      </c>
      <c r="L144" s="69">
        <v>0.0</v>
      </c>
      <c r="M144" s="69">
        <v>0.0</v>
      </c>
      <c r="N144" s="69">
        <v>0.0</v>
      </c>
      <c r="O144" s="69">
        <v>0.0</v>
      </c>
      <c r="P144" s="69">
        <v>0.0</v>
      </c>
      <c r="Q144" s="69">
        <v>0.0</v>
      </c>
      <c r="R144" s="69">
        <v>0.0</v>
      </c>
      <c r="S144" s="69">
        <v>0.0</v>
      </c>
      <c r="T144" s="69">
        <v>0.0</v>
      </c>
      <c r="U144" s="69">
        <v>0.0</v>
      </c>
      <c r="V144" s="69">
        <v>0.0</v>
      </c>
      <c r="W144" s="69">
        <v>0.0</v>
      </c>
      <c r="X144" s="69">
        <v>0.0</v>
      </c>
      <c r="Y144" s="69">
        <v>0.0</v>
      </c>
      <c r="Z144" s="69">
        <v>0.0</v>
      </c>
      <c r="AA144" s="69">
        <v>0.0</v>
      </c>
      <c r="AB144" s="69">
        <v>0.0</v>
      </c>
      <c r="AC144" s="69">
        <v>0.0</v>
      </c>
      <c r="AD144" s="69">
        <v>0.0</v>
      </c>
      <c r="AE144" s="69">
        <v>0.0</v>
      </c>
      <c r="AF144" s="13">
        <f t="shared" si="38"/>
        <v>0</v>
      </c>
      <c r="AG144" s="5"/>
      <c r="AH144" s="5"/>
    </row>
    <row r="145" ht="12.75" customHeight="1">
      <c r="A145" s="18"/>
      <c r="B145" s="49"/>
      <c r="C145" s="50" t="s">
        <v>124</v>
      </c>
      <c r="D145" s="51"/>
      <c r="E145" s="69">
        <v>0.0</v>
      </c>
      <c r="F145" s="69">
        <v>0.0</v>
      </c>
      <c r="G145" s="69">
        <v>0.0</v>
      </c>
      <c r="H145" s="69">
        <v>0.0</v>
      </c>
      <c r="I145" s="69">
        <v>0.0</v>
      </c>
      <c r="J145" s="69">
        <v>0.0</v>
      </c>
      <c r="K145" s="69">
        <v>0.0</v>
      </c>
      <c r="L145" s="69">
        <v>0.0</v>
      </c>
      <c r="M145" s="69">
        <v>0.0</v>
      </c>
      <c r="N145" s="69">
        <v>0.0</v>
      </c>
      <c r="O145" s="69">
        <v>0.0</v>
      </c>
      <c r="P145" s="69">
        <v>0.0</v>
      </c>
      <c r="Q145" s="69">
        <v>0.0</v>
      </c>
      <c r="R145" s="69">
        <v>0.0</v>
      </c>
      <c r="S145" s="69">
        <v>0.0</v>
      </c>
      <c r="T145" s="69">
        <v>0.0</v>
      </c>
      <c r="U145" s="69">
        <v>0.0</v>
      </c>
      <c r="V145" s="69">
        <v>0.0</v>
      </c>
      <c r="W145" s="69">
        <v>0.0</v>
      </c>
      <c r="X145" s="69">
        <v>0.0</v>
      </c>
      <c r="Y145" s="69">
        <v>0.0</v>
      </c>
      <c r="Z145" s="69">
        <v>0.0</v>
      </c>
      <c r="AA145" s="69">
        <v>0.0</v>
      </c>
      <c r="AB145" s="69">
        <v>0.0</v>
      </c>
      <c r="AC145" s="69">
        <v>0.0</v>
      </c>
      <c r="AD145" s="69">
        <v>0.0</v>
      </c>
      <c r="AE145" s="69">
        <v>0.0</v>
      </c>
      <c r="AF145" s="13">
        <f t="shared" si="38"/>
        <v>0</v>
      </c>
      <c r="AG145" s="5"/>
      <c r="AH145" s="5"/>
    </row>
    <row r="146" ht="12.75" customHeight="1">
      <c r="A146" s="19" t="s">
        <v>15</v>
      </c>
      <c r="B146" s="47" t="s">
        <v>47</v>
      </c>
      <c r="C146" s="15"/>
      <c r="D146" s="16"/>
      <c r="E146" s="56">
        <f t="shared" ref="E146:AE146" si="39">SUM(E138:E145)</f>
        <v>0</v>
      </c>
      <c r="F146" s="56">
        <f t="shared" si="39"/>
        <v>0</v>
      </c>
      <c r="G146" s="56">
        <f t="shared" si="39"/>
        <v>0</v>
      </c>
      <c r="H146" s="56">
        <f t="shared" si="39"/>
        <v>0</v>
      </c>
      <c r="I146" s="56">
        <f t="shared" si="39"/>
        <v>0</v>
      </c>
      <c r="J146" s="56">
        <f t="shared" si="39"/>
        <v>0</v>
      </c>
      <c r="K146" s="56">
        <f t="shared" si="39"/>
        <v>0</v>
      </c>
      <c r="L146" s="56">
        <f t="shared" si="39"/>
        <v>0</v>
      </c>
      <c r="M146" s="56">
        <f t="shared" si="39"/>
        <v>0</v>
      </c>
      <c r="N146" s="56">
        <f t="shared" si="39"/>
        <v>0</v>
      </c>
      <c r="O146" s="56">
        <f t="shared" si="39"/>
        <v>0</v>
      </c>
      <c r="P146" s="56">
        <f t="shared" si="39"/>
        <v>0</v>
      </c>
      <c r="Q146" s="56">
        <f t="shared" si="39"/>
        <v>0</v>
      </c>
      <c r="R146" s="56">
        <f t="shared" si="39"/>
        <v>0</v>
      </c>
      <c r="S146" s="56">
        <f t="shared" si="39"/>
        <v>0</v>
      </c>
      <c r="T146" s="56">
        <f t="shared" si="39"/>
        <v>0</v>
      </c>
      <c r="U146" s="56">
        <f t="shared" si="39"/>
        <v>0</v>
      </c>
      <c r="V146" s="56">
        <f t="shared" si="39"/>
        <v>0</v>
      </c>
      <c r="W146" s="56">
        <f t="shared" si="39"/>
        <v>0</v>
      </c>
      <c r="X146" s="56">
        <f t="shared" si="39"/>
        <v>0</v>
      </c>
      <c r="Y146" s="56">
        <f t="shared" si="39"/>
        <v>0</v>
      </c>
      <c r="Z146" s="56">
        <f t="shared" si="39"/>
        <v>0</v>
      </c>
      <c r="AA146" s="56">
        <f t="shared" si="39"/>
        <v>0</v>
      </c>
      <c r="AB146" s="56">
        <f t="shared" si="39"/>
        <v>0</v>
      </c>
      <c r="AC146" s="56">
        <f t="shared" si="39"/>
        <v>0</v>
      </c>
      <c r="AD146" s="56">
        <f t="shared" si="39"/>
        <v>0</v>
      </c>
      <c r="AE146" s="56">
        <f t="shared" si="39"/>
        <v>0</v>
      </c>
      <c r="AF146" s="13">
        <f t="shared" si="38"/>
        <v>0</v>
      </c>
      <c r="AG146" s="5"/>
      <c r="AH146" s="5"/>
    </row>
    <row r="147" ht="12.75" customHeight="1">
      <c r="A147" s="57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13"/>
      <c r="AG147" s="5"/>
      <c r="AH147" s="5"/>
    </row>
    <row r="148" ht="12.75" customHeight="1">
      <c r="A148" s="30" t="s">
        <v>37</v>
      </c>
      <c r="B148" s="47" t="s">
        <v>125</v>
      </c>
      <c r="C148" s="48" t="s">
        <v>126</v>
      </c>
      <c r="D148" s="16"/>
      <c r="E148" s="69">
        <v>2.0</v>
      </c>
      <c r="F148" s="69">
        <v>1.0</v>
      </c>
      <c r="G148" s="69">
        <v>5.0</v>
      </c>
      <c r="H148" s="69">
        <v>1.0</v>
      </c>
      <c r="I148" s="69">
        <v>6.0</v>
      </c>
      <c r="J148" s="69">
        <v>4.0</v>
      </c>
      <c r="K148" s="69">
        <v>1.0</v>
      </c>
      <c r="L148" s="69">
        <v>5.0</v>
      </c>
      <c r="M148" s="69">
        <v>0.0</v>
      </c>
      <c r="N148" s="69">
        <v>2.0</v>
      </c>
      <c r="O148" s="69">
        <v>5.0</v>
      </c>
      <c r="P148" s="69">
        <v>4.0</v>
      </c>
      <c r="Q148" s="69">
        <v>5.0</v>
      </c>
      <c r="R148" s="69">
        <v>7.0</v>
      </c>
      <c r="S148" s="69">
        <v>5.0</v>
      </c>
      <c r="T148" s="69">
        <v>0.0</v>
      </c>
      <c r="U148" s="69">
        <v>4.0</v>
      </c>
      <c r="V148" s="69">
        <v>1.0</v>
      </c>
      <c r="W148" s="69">
        <v>2.0</v>
      </c>
      <c r="X148" s="69">
        <v>0.0</v>
      </c>
      <c r="Y148" s="69">
        <v>0.0</v>
      </c>
      <c r="Z148" s="69">
        <v>0.0</v>
      </c>
      <c r="AA148" s="69">
        <v>1.0</v>
      </c>
      <c r="AB148" s="69">
        <v>1.0</v>
      </c>
      <c r="AC148" s="69">
        <v>8.0</v>
      </c>
      <c r="AD148" s="69">
        <v>6.0</v>
      </c>
      <c r="AE148" s="69">
        <v>4.0</v>
      </c>
      <c r="AF148" s="13">
        <f t="shared" ref="AF148:AF156" si="40">SUM(E148:AE148)</f>
        <v>80</v>
      </c>
      <c r="AG148" s="5"/>
      <c r="AH148" s="5"/>
    </row>
    <row r="149" ht="12.75" customHeight="1">
      <c r="A149" s="30" t="s">
        <v>39</v>
      </c>
      <c r="B149" s="49"/>
      <c r="C149" s="50" t="s">
        <v>127</v>
      </c>
      <c r="D149" s="51"/>
      <c r="E149" s="69">
        <v>0.0</v>
      </c>
      <c r="F149" s="69">
        <v>1.0</v>
      </c>
      <c r="G149" s="69">
        <v>0.0</v>
      </c>
      <c r="H149" s="69">
        <v>1.0</v>
      </c>
      <c r="I149" s="69">
        <v>1.0</v>
      </c>
      <c r="J149" s="69">
        <v>0.0</v>
      </c>
      <c r="K149" s="69">
        <v>0.0</v>
      </c>
      <c r="L149" s="69">
        <v>0.0</v>
      </c>
      <c r="M149" s="69">
        <v>2.0</v>
      </c>
      <c r="N149" s="69">
        <v>1.0</v>
      </c>
      <c r="O149" s="69">
        <v>0.0</v>
      </c>
      <c r="P149" s="69">
        <v>0.0</v>
      </c>
      <c r="Q149" s="69">
        <v>0.0</v>
      </c>
      <c r="R149" s="69">
        <v>0.0</v>
      </c>
      <c r="S149" s="69">
        <v>1.0</v>
      </c>
      <c r="T149" s="69">
        <v>0.0</v>
      </c>
      <c r="U149" s="69">
        <v>0.0</v>
      </c>
      <c r="V149" s="69">
        <v>1.0</v>
      </c>
      <c r="W149" s="69">
        <v>0.0</v>
      </c>
      <c r="X149" s="69">
        <v>0.0</v>
      </c>
      <c r="Y149" s="69">
        <v>0.0</v>
      </c>
      <c r="Z149" s="69">
        <v>1.0</v>
      </c>
      <c r="AA149" s="69">
        <v>0.0</v>
      </c>
      <c r="AB149" s="69">
        <v>0.0</v>
      </c>
      <c r="AC149" s="69">
        <v>2.0</v>
      </c>
      <c r="AD149" s="69">
        <v>1.0</v>
      </c>
      <c r="AE149" s="69">
        <v>0.0</v>
      </c>
      <c r="AF149" s="13">
        <f t="shared" si="40"/>
        <v>12</v>
      </c>
      <c r="AG149" s="5"/>
      <c r="AH149" s="5"/>
    </row>
    <row r="150" ht="12.75" customHeight="1">
      <c r="A150" s="18"/>
      <c r="B150" s="49"/>
      <c r="C150" s="50" t="s">
        <v>128</v>
      </c>
      <c r="D150" s="51"/>
      <c r="E150" s="69">
        <v>1.0</v>
      </c>
      <c r="F150" s="69">
        <v>1.0</v>
      </c>
      <c r="G150" s="69">
        <v>1.0</v>
      </c>
      <c r="H150" s="69">
        <v>1.0</v>
      </c>
      <c r="I150" s="69">
        <v>0.0</v>
      </c>
      <c r="J150" s="69">
        <v>0.0</v>
      </c>
      <c r="K150" s="69">
        <v>0.0</v>
      </c>
      <c r="L150" s="69">
        <v>0.0</v>
      </c>
      <c r="M150" s="69">
        <v>0.0</v>
      </c>
      <c r="N150" s="69">
        <v>1.0</v>
      </c>
      <c r="O150" s="69">
        <v>0.0</v>
      </c>
      <c r="P150" s="69">
        <v>0.0</v>
      </c>
      <c r="Q150" s="69">
        <v>0.0</v>
      </c>
      <c r="R150" s="69">
        <v>1.0</v>
      </c>
      <c r="S150" s="69">
        <v>0.0</v>
      </c>
      <c r="T150" s="69">
        <v>0.0</v>
      </c>
      <c r="U150" s="69">
        <v>1.0</v>
      </c>
      <c r="V150" s="69">
        <v>0.0</v>
      </c>
      <c r="W150" s="69">
        <v>0.0</v>
      </c>
      <c r="X150" s="69">
        <v>0.0</v>
      </c>
      <c r="Y150" s="69">
        <v>0.0</v>
      </c>
      <c r="Z150" s="69">
        <v>0.0</v>
      </c>
      <c r="AA150" s="69">
        <v>0.0</v>
      </c>
      <c r="AB150" s="69">
        <v>0.0</v>
      </c>
      <c r="AC150" s="69">
        <v>1.0</v>
      </c>
      <c r="AD150" s="69">
        <v>0.0</v>
      </c>
      <c r="AE150" s="69">
        <v>0.0</v>
      </c>
      <c r="AF150" s="13">
        <f t="shared" si="40"/>
        <v>8</v>
      </c>
      <c r="AG150" s="5"/>
      <c r="AH150" s="5"/>
    </row>
    <row r="151" ht="12.75" customHeight="1">
      <c r="A151" s="18"/>
      <c r="B151" s="49"/>
      <c r="C151" s="50" t="s">
        <v>129</v>
      </c>
      <c r="D151" s="51"/>
      <c r="E151" s="69">
        <v>0.0</v>
      </c>
      <c r="F151" s="69">
        <v>1.0</v>
      </c>
      <c r="G151" s="69">
        <v>0.0</v>
      </c>
      <c r="H151" s="69">
        <v>0.0</v>
      </c>
      <c r="I151" s="69">
        <v>0.0</v>
      </c>
      <c r="J151" s="69">
        <v>0.0</v>
      </c>
      <c r="K151" s="69">
        <v>0.0</v>
      </c>
      <c r="L151" s="69">
        <v>1.0</v>
      </c>
      <c r="M151" s="69">
        <v>1.0</v>
      </c>
      <c r="N151" s="69">
        <v>0.0</v>
      </c>
      <c r="O151" s="69">
        <v>0.0</v>
      </c>
      <c r="P151" s="69">
        <v>0.0</v>
      </c>
      <c r="Q151" s="69">
        <v>0.0</v>
      </c>
      <c r="R151" s="69">
        <v>1.0</v>
      </c>
      <c r="S151" s="69">
        <v>2.0</v>
      </c>
      <c r="T151" s="69">
        <v>0.0</v>
      </c>
      <c r="U151" s="69">
        <v>0.0</v>
      </c>
      <c r="V151" s="69">
        <v>0.0</v>
      </c>
      <c r="W151" s="69">
        <v>1.0</v>
      </c>
      <c r="X151" s="69">
        <v>0.0</v>
      </c>
      <c r="Y151" s="69">
        <v>1.0</v>
      </c>
      <c r="Z151" s="69">
        <v>0.0</v>
      </c>
      <c r="AA151" s="69">
        <v>0.0</v>
      </c>
      <c r="AB151" s="69">
        <v>0.0</v>
      </c>
      <c r="AC151" s="69">
        <v>1.0</v>
      </c>
      <c r="AD151" s="69">
        <v>0.0</v>
      </c>
      <c r="AE151" s="69">
        <v>0.0</v>
      </c>
      <c r="AF151" s="13">
        <f t="shared" si="40"/>
        <v>9</v>
      </c>
      <c r="AG151" s="1"/>
      <c r="AH151" s="1"/>
    </row>
    <row r="152" ht="12.75" customHeight="1">
      <c r="A152" s="18"/>
      <c r="B152" s="49"/>
      <c r="C152" s="50" t="s">
        <v>130</v>
      </c>
      <c r="D152" s="51"/>
      <c r="E152" s="69">
        <v>2.0</v>
      </c>
      <c r="F152" s="69">
        <v>0.0</v>
      </c>
      <c r="G152" s="69">
        <v>0.0</v>
      </c>
      <c r="H152" s="69">
        <v>0.0</v>
      </c>
      <c r="I152" s="69">
        <v>1.0</v>
      </c>
      <c r="J152" s="69">
        <v>0.0</v>
      </c>
      <c r="K152" s="69">
        <v>0.0</v>
      </c>
      <c r="L152" s="69">
        <v>0.0</v>
      </c>
      <c r="M152" s="69">
        <v>0.0</v>
      </c>
      <c r="N152" s="69">
        <v>1.0</v>
      </c>
      <c r="O152" s="69">
        <v>1.0</v>
      </c>
      <c r="P152" s="69">
        <v>1.0</v>
      </c>
      <c r="Q152" s="69">
        <v>0.0</v>
      </c>
      <c r="R152" s="69">
        <v>0.0</v>
      </c>
      <c r="S152" s="69">
        <v>0.0</v>
      </c>
      <c r="T152" s="69">
        <v>0.0</v>
      </c>
      <c r="U152" s="69">
        <v>0.0</v>
      </c>
      <c r="V152" s="69">
        <v>0.0</v>
      </c>
      <c r="W152" s="69">
        <v>0.0</v>
      </c>
      <c r="X152" s="69">
        <v>0.0</v>
      </c>
      <c r="Y152" s="69">
        <v>0.0</v>
      </c>
      <c r="Z152" s="69">
        <v>0.0</v>
      </c>
      <c r="AA152" s="69">
        <v>0.0</v>
      </c>
      <c r="AB152" s="69">
        <v>0.0</v>
      </c>
      <c r="AC152" s="69">
        <v>5.0</v>
      </c>
      <c r="AD152" s="69">
        <v>9.0</v>
      </c>
      <c r="AE152" s="69">
        <v>12.0</v>
      </c>
      <c r="AF152" s="13">
        <f t="shared" si="40"/>
        <v>32</v>
      </c>
      <c r="AG152" s="53"/>
      <c r="AH152" s="53"/>
    </row>
    <row r="153" ht="12.75" customHeight="1">
      <c r="A153" s="18"/>
      <c r="B153" s="49"/>
      <c r="C153" s="50" t="s">
        <v>131</v>
      </c>
      <c r="D153" s="51"/>
      <c r="E153" s="69">
        <v>0.0</v>
      </c>
      <c r="F153" s="69">
        <v>0.0</v>
      </c>
      <c r="G153" s="69">
        <v>0.0</v>
      </c>
      <c r="H153" s="69">
        <v>0.0</v>
      </c>
      <c r="I153" s="69">
        <v>0.0</v>
      </c>
      <c r="J153" s="69">
        <v>0.0</v>
      </c>
      <c r="K153" s="69">
        <v>0.0</v>
      </c>
      <c r="L153" s="69">
        <v>0.0</v>
      </c>
      <c r="M153" s="69">
        <v>0.0</v>
      </c>
      <c r="N153" s="69">
        <v>0.0</v>
      </c>
      <c r="O153" s="69">
        <v>1.0</v>
      </c>
      <c r="P153" s="69">
        <v>0.0</v>
      </c>
      <c r="Q153" s="69">
        <v>0.0</v>
      </c>
      <c r="R153" s="69">
        <v>0.0</v>
      </c>
      <c r="S153" s="69">
        <v>0.0</v>
      </c>
      <c r="T153" s="69">
        <v>0.0</v>
      </c>
      <c r="U153" s="69">
        <v>0.0</v>
      </c>
      <c r="V153" s="69">
        <v>0.0</v>
      </c>
      <c r="W153" s="69">
        <v>0.0</v>
      </c>
      <c r="X153" s="69">
        <v>0.0</v>
      </c>
      <c r="Y153" s="69">
        <v>0.0</v>
      </c>
      <c r="Z153" s="69">
        <v>0.0</v>
      </c>
      <c r="AA153" s="69">
        <v>1.0</v>
      </c>
      <c r="AB153" s="69">
        <v>0.0</v>
      </c>
      <c r="AC153" s="69">
        <v>0.0</v>
      </c>
      <c r="AD153" s="69">
        <v>0.0</v>
      </c>
      <c r="AE153" s="69">
        <v>0.0</v>
      </c>
      <c r="AF153" s="13">
        <f t="shared" si="40"/>
        <v>2</v>
      </c>
      <c r="AG153" s="5"/>
      <c r="AH153" s="5"/>
    </row>
    <row r="154" ht="12.75" customHeight="1">
      <c r="A154" s="18"/>
      <c r="B154" s="49"/>
      <c r="C154" s="50" t="s">
        <v>132</v>
      </c>
      <c r="D154" s="51"/>
      <c r="E154" s="69">
        <v>0.0</v>
      </c>
      <c r="F154" s="69">
        <v>0.0</v>
      </c>
      <c r="G154" s="69">
        <v>0.0</v>
      </c>
      <c r="H154" s="69">
        <v>0.0</v>
      </c>
      <c r="I154" s="69">
        <v>0.0</v>
      </c>
      <c r="J154" s="69">
        <v>0.0</v>
      </c>
      <c r="K154" s="69">
        <v>0.0</v>
      </c>
      <c r="L154" s="69">
        <v>1.0</v>
      </c>
      <c r="M154" s="69">
        <v>0.0</v>
      </c>
      <c r="N154" s="69">
        <v>0.0</v>
      </c>
      <c r="O154" s="69">
        <v>0.0</v>
      </c>
      <c r="P154" s="69">
        <v>0.0</v>
      </c>
      <c r="Q154" s="69">
        <v>1.0</v>
      </c>
      <c r="R154" s="69">
        <v>0.0</v>
      </c>
      <c r="S154" s="69">
        <v>0.0</v>
      </c>
      <c r="T154" s="69">
        <v>0.0</v>
      </c>
      <c r="U154" s="69">
        <v>0.0</v>
      </c>
      <c r="V154" s="69">
        <v>0.0</v>
      </c>
      <c r="W154" s="69">
        <v>0.0</v>
      </c>
      <c r="X154" s="69">
        <v>0.0</v>
      </c>
      <c r="Y154" s="69">
        <v>0.0</v>
      </c>
      <c r="Z154" s="69">
        <v>0.0</v>
      </c>
      <c r="AA154" s="69">
        <v>0.0</v>
      </c>
      <c r="AB154" s="69">
        <v>0.0</v>
      </c>
      <c r="AC154" s="69">
        <v>0.0</v>
      </c>
      <c r="AD154" s="69">
        <v>0.0</v>
      </c>
      <c r="AE154" s="69">
        <v>0.0</v>
      </c>
      <c r="AF154" s="13">
        <f t="shared" si="40"/>
        <v>2</v>
      </c>
      <c r="AG154" s="5"/>
      <c r="AH154" s="5"/>
    </row>
    <row r="155" ht="12.75" customHeight="1">
      <c r="A155" s="18"/>
      <c r="B155" s="49"/>
      <c r="C155" s="50" t="s">
        <v>133</v>
      </c>
      <c r="D155" s="51"/>
      <c r="E155" s="69">
        <v>42.0</v>
      </c>
      <c r="F155" s="69">
        <v>30.0</v>
      </c>
      <c r="G155" s="69">
        <v>27.0</v>
      </c>
      <c r="H155" s="69">
        <v>38.0</v>
      </c>
      <c r="I155" s="69">
        <v>36.0</v>
      </c>
      <c r="J155" s="69">
        <v>23.0</v>
      </c>
      <c r="K155" s="69">
        <v>28.0</v>
      </c>
      <c r="L155" s="69">
        <v>41.0</v>
      </c>
      <c r="M155" s="69">
        <v>38.0</v>
      </c>
      <c r="N155" s="69">
        <v>81.0</v>
      </c>
      <c r="O155" s="69">
        <v>68.0</v>
      </c>
      <c r="P155" s="69">
        <v>47.0</v>
      </c>
      <c r="Q155" s="69">
        <v>60.0</v>
      </c>
      <c r="R155" s="69">
        <v>30.0</v>
      </c>
      <c r="S155" s="69">
        <v>47.0</v>
      </c>
      <c r="T155" s="69">
        <v>38.0</v>
      </c>
      <c r="U155" s="69">
        <v>76.0</v>
      </c>
      <c r="V155" s="69">
        <v>52.0</v>
      </c>
      <c r="W155" s="69">
        <v>98.0</v>
      </c>
      <c r="X155" s="69">
        <v>64.0</v>
      </c>
      <c r="Y155" s="69">
        <v>2.0</v>
      </c>
      <c r="Z155" s="69">
        <v>35.0</v>
      </c>
      <c r="AA155" s="69">
        <v>17.0</v>
      </c>
      <c r="AB155" s="69">
        <v>23.0</v>
      </c>
      <c r="AC155" s="69">
        <v>105.0</v>
      </c>
      <c r="AD155" s="69">
        <v>70.0</v>
      </c>
      <c r="AE155" s="69">
        <v>44.0</v>
      </c>
      <c r="AF155" s="13">
        <f t="shared" si="40"/>
        <v>1260</v>
      </c>
      <c r="AG155" s="5"/>
      <c r="AH155" s="5"/>
    </row>
    <row r="156" ht="12.75" customHeight="1">
      <c r="A156" s="19" t="s">
        <v>15</v>
      </c>
      <c r="B156" s="47" t="s">
        <v>47</v>
      </c>
      <c r="C156" s="15"/>
      <c r="D156" s="16"/>
      <c r="E156" s="56">
        <f t="shared" ref="E156:AE156" si="41">SUM(E148:E155)</f>
        <v>47</v>
      </c>
      <c r="F156" s="56">
        <f t="shared" si="41"/>
        <v>34</v>
      </c>
      <c r="G156" s="56">
        <f t="shared" si="41"/>
        <v>33</v>
      </c>
      <c r="H156" s="56">
        <f t="shared" si="41"/>
        <v>41</v>
      </c>
      <c r="I156" s="56">
        <f t="shared" si="41"/>
        <v>44</v>
      </c>
      <c r="J156" s="56">
        <f t="shared" si="41"/>
        <v>27</v>
      </c>
      <c r="K156" s="56">
        <f t="shared" si="41"/>
        <v>29</v>
      </c>
      <c r="L156" s="56">
        <f t="shared" si="41"/>
        <v>48</v>
      </c>
      <c r="M156" s="56">
        <f t="shared" si="41"/>
        <v>41</v>
      </c>
      <c r="N156" s="56">
        <f t="shared" si="41"/>
        <v>86</v>
      </c>
      <c r="O156" s="56">
        <f t="shared" si="41"/>
        <v>75</v>
      </c>
      <c r="P156" s="56">
        <f t="shared" si="41"/>
        <v>52</v>
      </c>
      <c r="Q156" s="56">
        <f t="shared" si="41"/>
        <v>66</v>
      </c>
      <c r="R156" s="56">
        <f t="shared" si="41"/>
        <v>39</v>
      </c>
      <c r="S156" s="56">
        <f t="shared" si="41"/>
        <v>55</v>
      </c>
      <c r="T156" s="56">
        <f t="shared" si="41"/>
        <v>38</v>
      </c>
      <c r="U156" s="56">
        <f t="shared" si="41"/>
        <v>81</v>
      </c>
      <c r="V156" s="56">
        <f t="shared" si="41"/>
        <v>54</v>
      </c>
      <c r="W156" s="56">
        <f t="shared" si="41"/>
        <v>101</v>
      </c>
      <c r="X156" s="56">
        <f t="shared" si="41"/>
        <v>64</v>
      </c>
      <c r="Y156" s="56">
        <f t="shared" si="41"/>
        <v>3</v>
      </c>
      <c r="Z156" s="56">
        <f t="shared" si="41"/>
        <v>36</v>
      </c>
      <c r="AA156" s="56">
        <f t="shared" si="41"/>
        <v>19</v>
      </c>
      <c r="AB156" s="56">
        <f t="shared" si="41"/>
        <v>24</v>
      </c>
      <c r="AC156" s="56">
        <f t="shared" si="41"/>
        <v>122</v>
      </c>
      <c r="AD156" s="56">
        <f t="shared" si="41"/>
        <v>86</v>
      </c>
      <c r="AE156" s="56">
        <f t="shared" si="41"/>
        <v>60</v>
      </c>
      <c r="AF156" s="13">
        <f t="shared" si="40"/>
        <v>1405</v>
      </c>
      <c r="AG156" s="5"/>
      <c r="AH156" s="5"/>
    </row>
    <row r="157" ht="12.75" customHeight="1">
      <c r="A157" s="57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13"/>
      <c r="AG157" s="5"/>
      <c r="AH157" s="5"/>
    </row>
    <row r="158" ht="12.75" customHeight="1">
      <c r="A158" s="30" t="s">
        <v>37</v>
      </c>
      <c r="B158" s="47" t="s">
        <v>134</v>
      </c>
      <c r="C158" s="48" t="s">
        <v>135</v>
      </c>
      <c r="D158" s="16"/>
      <c r="E158" s="69">
        <v>1.0</v>
      </c>
      <c r="F158" s="69">
        <v>1.0</v>
      </c>
      <c r="G158" s="69">
        <v>0.0</v>
      </c>
      <c r="H158" s="69">
        <v>0.0</v>
      </c>
      <c r="I158" s="69">
        <v>0.0</v>
      </c>
      <c r="J158" s="69">
        <v>1.0</v>
      </c>
      <c r="K158" s="69">
        <v>1.0</v>
      </c>
      <c r="L158" s="69">
        <v>2.0</v>
      </c>
      <c r="M158" s="69">
        <v>0.0</v>
      </c>
      <c r="N158" s="69">
        <v>1.0</v>
      </c>
      <c r="O158" s="69">
        <v>0.0</v>
      </c>
      <c r="P158" s="69">
        <v>1.0</v>
      </c>
      <c r="Q158" s="69">
        <v>1.0</v>
      </c>
      <c r="R158" s="69">
        <v>2.0</v>
      </c>
      <c r="S158" s="69">
        <v>0.0</v>
      </c>
      <c r="T158" s="69">
        <v>0.0</v>
      </c>
      <c r="U158" s="69">
        <v>1.0</v>
      </c>
      <c r="V158" s="69">
        <v>0.0</v>
      </c>
      <c r="W158" s="69">
        <v>2.0</v>
      </c>
      <c r="X158" s="69">
        <v>0.0</v>
      </c>
      <c r="Y158" s="69">
        <v>1.0</v>
      </c>
      <c r="Z158" s="69">
        <v>0.0</v>
      </c>
      <c r="AA158" s="69">
        <v>0.0</v>
      </c>
      <c r="AB158" s="69">
        <v>1.0</v>
      </c>
      <c r="AC158" s="69">
        <v>0.0</v>
      </c>
      <c r="AD158" s="69">
        <v>0.0</v>
      </c>
      <c r="AE158" s="69">
        <v>0.0</v>
      </c>
      <c r="AF158" s="13">
        <f t="shared" ref="AF158:AF161" si="42">SUM(E158:AE158)</f>
        <v>16</v>
      </c>
      <c r="AG158" s="5"/>
      <c r="AH158" s="5"/>
    </row>
    <row r="159" ht="12.75" customHeight="1">
      <c r="A159" s="30" t="s">
        <v>39</v>
      </c>
      <c r="B159" s="49"/>
      <c r="C159" s="50" t="s">
        <v>136</v>
      </c>
      <c r="D159" s="51"/>
      <c r="E159" s="69">
        <v>0.0</v>
      </c>
      <c r="F159" s="69">
        <v>1.0</v>
      </c>
      <c r="G159" s="69">
        <v>0.0</v>
      </c>
      <c r="H159" s="69">
        <v>0.0</v>
      </c>
      <c r="I159" s="69">
        <v>0.0</v>
      </c>
      <c r="J159" s="69">
        <v>0.0</v>
      </c>
      <c r="K159" s="69">
        <v>0.0</v>
      </c>
      <c r="L159" s="69">
        <v>0.0</v>
      </c>
      <c r="M159" s="69">
        <v>0.0</v>
      </c>
      <c r="N159" s="69">
        <v>0.0</v>
      </c>
      <c r="O159" s="69">
        <v>1.0</v>
      </c>
      <c r="P159" s="69">
        <v>0.0</v>
      </c>
      <c r="Q159" s="69">
        <v>1.0</v>
      </c>
      <c r="R159" s="69">
        <v>1.0</v>
      </c>
      <c r="S159" s="69">
        <v>0.0</v>
      </c>
      <c r="T159" s="69">
        <v>0.0</v>
      </c>
      <c r="U159" s="69">
        <v>0.0</v>
      </c>
      <c r="V159" s="69">
        <v>0.0</v>
      </c>
      <c r="W159" s="69">
        <v>0.0</v>
      </c>
      <c r="X159" s="69">
        <v>1.0</v>
      </c>
      <c r="Y159" s="69">
        <v>0.0</v>
      </c>
      <c r="Z159" s="69">
        <v>0.0</v>
      </c>
      <c r="AA159" s="69">
        <v>0.0</v>
      </c>
      <c r="AB159" s="69">
        <v>0.0</v>
      </c>
      <c r="AC159" s="69">
        <v>0.0</v>
      </c>
      <c r="AD159" s="69">
        <v>1.0</v>
      </c>
      <c r="AE159" s="69">
        <v>1.0</v>
      </c>
      <c r="AF159" s="13">
        <f t="shared" si="42"/>
        <v>7</v>
      </c>
      <c r="AG159" s="5"/>
      <c r="AH159" s="5"/>
    </row>
    <row r="160" ht="12.75" customHeight="1">
      <c r="A160" s="30"/>
      <c r="B160" s="49"/>
      <c r="C160" s="50" t="s">
        <v>137</v>
      </c>
      <c r="D160" s="51"/>
      <c r="E160" s="69">
        <v>0.0</v>
      </c>
      <c r="F160" s="69">
        <v>0.0</v>
      </c>
      <c r="G160" s="69">
        <v>0.0</v>
      </c>
      <c r="H160" s="69">
        <v>1.0</v>
      </c>
      <c r="I160" s="69">
        <v>0.0</v>
      </c>
      <c r="J160" s="69">
        <v>0.0</v>
      </c>
      <c r="K160" s="69">
        <v>0.0</v>
      </c>
      <c r="L160" s="69">
        <v>0.0</v>
      </c>
      <c r="M160" s="69">
        <v>0.0</v>
      </c>
      <c r="N160" s="69">
        <v>0.0</v>
      </c>
      <c r="O160" s="69">
        <v>0.0</v>
      </c>
      <c r="P160" s="69">
        <v>0.0</v>
      </c>
      <c r="Q160" s="69">
        <v>0.0</v>
      </c>
      <c r="R160" s="69">
        <v>0.0</v>
      </c>
      <c r="S160" s="69">
        <v>1.0</v>
      </c>
      <c r="T160" s="69">
        <v>0.0</v>
      </c>
      <c r="U160" s="69">
        <v>0.0</v>
      </c>
      <c r="V160" s="69">
        <v>0.0</v>
      </c>
      <c r="W160" s="69">
        <v>0.0</v>
      </c>
      <c r="X160" s="69">
        <v>0.0</v>
      </c>
      <c r="Y160" s="69">
        <v>0.0</v>
      </c>
      <c r="Z160" s="69">
        <v>0.0</v>
      </c>
      <c r="AA160" s="69">
        <v>0.0</v>
      </c>
      <c r="AB160" s="69">
        <v>0.0</v>
      </c>
      <c r="AC160" s="69">
        <v>0.0</v>
      </c>
      <c r="AD160" s="69">
        <v>0.0</v>
      </c>
      <c r="AE160" s="69">
        <v>0.0</v>
      </c>
      <c r="AF160" s="13">
        <f t="shared" si="42"/>
        <v>2</v>
      </c>
      <c r="AG160" s="5"/>
      <c r="AH160" s="5"/>
    </row>
    <row r="161" ht="12.75" customHeight="1">
      <c r="A161" s="19" t="s">
        <v>15</v>
      </c>
      <c r="B161" s="47" t="s">
        <v>47</v>
      </c>
      <c r="C161" s="15"/>
      <c r="D161" s="16"/>
      <c r="E161" s="56">
        <f t="shared" ref="E161:AE161" si="43">SUM(E158:E160)</f>
        <v>1</v>
      </c>
      <c r="F161" s="56">
        <f t="shared" si="43"/>
        <v>2</v>
      </c>
      <c r="G161" s="56">
        <f t="shared" si="43"/>
        <v>0</v>
      </c>
      <c r="H161" s="56">
        <f t="shared" si="43"/>
        <v>1</v>
      </c>
      <c r="I161" s="56">
        <f t="shared" si="43"/>
        <v>0</v>
      </c>
      <c r="J161" s="56">
        <f t="shared" si="43"/>
        <v>1</v>
      </c>
      <c r="K161" s="56">
        <f t="shared" si="43"/>
        <v>1</v>
      </c>
      <c r="L161" s="56">
        <f t="shared" si="43"/>
        <v>2</v>
      </c>
      <c r="M161" s="56">
        <f t="shared" si="43"/>
        <v>0</v>
      </c>
      <c r="N161" s="56">
        <f t="shared" si="43"/>
        <v>1</v>
      </c>
      <c r="O161" s="56">
        <f t="shared" si="43"/>
        <v>1</v>
      </c>
      <c r="P161" s="56">
        <f t="shared" si="43"/>
        <v>1</v>
      </c>
      <c r="Q161" s="56">
        <f t="shared" si="43"/>
        <v>2</v>
      </c>
      <c r="R161" s="56">
        <f t="shared" si="43"/>
        <v>3</v>
      </c>
      <c r="S161" s="56">
        <f t="shared" si="43"/>
        <v>1</v>
      </c>
      <c r="T161" s="56">
        <f t="shared" si="43"/>
        <v>0</v>
      </c>
      <c r="U161" s="56">
        <f t="shared" si="43"/>
        <v>1</v>
      </c>
      <c r="V161" s="56">
        <f t="shared" si="43"/>
        <v>0</v>
      </c>
      <c r="W161" s="56">
        <f t="shared" si="43"/>
        <v>2</v>
      </c>
      <c r="X161" s="56">
        <f t="shared" si="43"/>
        <v>1</v>
      </c>
      <c r="Y161" s="56">
        <f t="shared" si="43"/>
        <v>1</v>
      </c>
      <c r="Z161" s="56">
        <f t="shared" si="43"/>
        <v>0</v>
      </c>
      <c r="AA161" s="56">
        <f t="shared" si="43"/>
        <v>0</v>
      </c>
      <c r="AB161" s="56">
        <f t="shared" si="43"/>
        <v>1</v>
      </c>
      <c r="AC161" s="56">
        <f t="shared" si="43"/>
        <v>0</v>
      </c>
      <c r="AD161" s="56">
        <f t="shared" si="43"/>
        <v>1</v>
      </c>
      <c r="AE161" s="56">
        <f t="shared" si="43"/>
        <v>1</v>
      </c>
      <c r="AF161" s="13">
        <f t="shared" si="42"/>
        <v>25</v>
      </c>
      <c r="AG161" s="5"/>
      <c r="AH161" s="5"/>
    </row>
    <row r="162" ht="12.75" customHeight="1">
      <c r="A162" s="57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13"/>
      <c r="AG162" s="5"/>
      <c r="AH162" s="5"/>
    </row>
    <row r="163" ht="15.0" customHeight="1">
      <c r="A163" s="30" t="s">
        <v>37</v>
      </c>
      <c r="B163" s="47" t="s">
        <v>138</v>
      </c>
      <c r="C163" s="48" t="s">
        <v>139</v>
      </c>
      <c r="D163" s="16"/>
      <c r="E163" s="69">
        <v>0.0</v>
      </c>
      <c r="F163" s="69">
        <v>0.0</v>
      </c>
      <c r="G163" s="69">
        <v>0.0</v>
      </c>
      <c r="H163" s="69">
        <v>0.0</v>
      </c>
      <c r="I163" s="69">
        <v>0.0</v>
      </c>
      <c r="J163" s="69">
        <v>0.0</v>
      </c>
      <c r="K163" s="69">
        <v>0.0</v>
      </c>
      <c r="L163" s="69">
        <v>0.0</v>
      </c>
      <c r="M163" s="69">
        <v>0.0</v>
      </c>
      <c r="N163" s="69">
        <v>0.0</v>
      </c>
      <c r="O163" s="69">
        <v>0.0</v>
      </c>
      <c r="P163" s="69">
        <v>0.0</v>
      </c>
      <c r="Q163" s="69">
        <v>1.0</v>
      </c>
      <c r="R163" s="69">
        <v>1.0</v>
      </c>
      <c r="S163" s="69">
        <v>0.0</v>
      </c>
      <c r="T163" s="69">
        <v>0.0</v>
      </c>
      <c r="U163" s="69">
        <v>0.0</v>
      </c>
      <c r="V163" s="69">
        <v>0.0</v>
      </c>
      <c r="W163" s="69">
        <v>0.0</v>
      </c>
      <c r="X163" s="69">
        <v>0.0</v>
      </c>
      <c r="Y163" s="69">
        <v>0.0</v>
      </c>
      <c r="Z163" s="69">
        <v>0.0</v>
      </c>
      <c r="AA163" s="69">
        <v>0.0</v>
      </c>
      <c r="AB163" s="69">
        <v>0.0</v>
      </c>
      <c r="AC163" s="69">
        <v>0.0</v>
      </c>
      <c r="AD163" s="69">
        <v>1.0</v>
      </c>
      <c r="AE163" s="69">
        <v>0.0</v>
      </c>
      <c r="AF163" s="13">
        <f t="shared" ref="AF163:AF165" si="44">SUM(E163:AE163)</f>
        <v>3</v>
      </c>
      <c r="AG163" s="5"/>
      <c r="AH163" s="5"/>
    </row>
    <row r="164" ht="12.75" customHeight="1">
      <c r="A164" s="30" t="s">
        <v>39</v>
      </c>
      <c r="B164" s="47"/>
      <c r="C164" s="50" t="s">
        <v>140</v>
      </c>
      <c r="D164" s="62"/>
      <c r="E164" s="69">
        <v>1.0</v>
      </c>
      <c r="F164" s="69">
        <v>2.0</v>
      </c>
      <c r="G164" s="69">
        <v>0.0</v>
      </c>
      <c r="H164" s="69">
        <v>0.0</v>
      </c>
      <c r="I164" s="69">
        <v>1.0</v>
      </c>
      <c r="J164" s="69">
        <v>0.0</v>
      </c>
      <c r="K164" s="69">
        <v>1.0</v>
      </c>
      <c r="L164" s="69">
        <v>0.0</v>
      </c>
      <c r="M164" s="69">
        <v>0.0</v>
      </c>
      <c r="N164" s="69">
        <v>0.0</v>
      </c>
      <c r="O164" s="69">
        <v>0.0</v>
      </c>
      <c r="P164" s="69">
        <v>0.0</v>
      </c>
      <c r="Q164" s="69">
        <v>0.0</v>
      </c>
      <c r="R164" s="69">
        <v>0.0</v>
      </c>
      <c r="S164" s="69">
        <v>0.0</v>
      </c>
      <c r="T164" s="69">
        <v>0.0</v>
      </c>
      <c r="U164" s="69">
        <v>0.0</v>
      </c>
      <c r="V164" s="69">
        <v>0.0</v>
      </c>
      <c r="W164" s="69">
        <v>0.0</v>
      </c>
      <c r="X164" s="69">
        <v>0.0</v>
      </c>
      <c r="Y164" s="69">
        <v>0.0</v>
      </c>
      <c r="Z164" s="69">
        <v>0.0</v>
      </c>
      <c r="AA164" s="69">
        <v>0.0</v>
      </c>
      <c r="AB164" s="69">
        <v>0.0</v>
      </c>
      <c r="AC164" s="69">
        <v>0.0</v>
      </c>
      <c r="AD164" s="69">
        <v>0.0</v>
      </c>
      <c r="AE164" s="69">
        <v>0.0</v>
      </c>
      <c r="AF164" s="13">
        <f t="shared" si="44"/>
        <v>5</v>
      </c>
      <c r="AG164" s="5"/>
      <c r="AH164" s="5"/>
    </row>
    <row r="165" ht="12.75" customHeight="1">
      <c r="A165" s="19" t="s">
        <v>15</v>
      </c>
      <c r="B165" s="47" t="s">
        <v>47</v>
      </c>
      <c r="C165" s="15"/>
      <c r="D165" s="16"/>
      <c r="E165" s="56">
        <f t="shared" ref="E165:AE165" si="45">SUM(E163:E164)</f>
        <v>1</v>
      </c>
      <c r="F165" s="56">
        <f t="shared" si="45"/>
        <v>2</v>
      </c>
      <c r="G165" s="56">
        <f t="shared" si="45"/>
        <v>0</v>
      </c>
      <c r="H165" s="56">
        <f t="shared" si="45"/>
        <v>0</v>
      </c>
      <c r="I165" s="56">
        <f t="shared" si="45"/>
        <v>1</v>
      </c>
      <c r="J165" s="56">
        <f t="shared" si="45"/>
        <v>0</v>
      </c>
      <c r="K165" s="56">
        <f t="shared" si="45"/>
        <v>1</v>
      </c>
      <c r="L165" s="56">
        <f t="shared" si="45"/>
        <v>0</v>
      </c>
      <c r="M165" s="56">
        <f t="shared" si="45"/>
        <v>0</v>
      </c>
      <c r="N165" s="56">
        <f t="shared" si="45"/>
        <v>0</v>
      </c>
      <c r="O165" s="56">
        <f t="shared" si="45"/>
        <v>0</v>
      </c>
      <c r="P165" s="56">
        <f t="shared" si="45"/>
        <v>0</v>
      </c>
      <c r="Q165" s="56">
        <f t="shared" si="45"/>
        <v>1</v>
      </c>
      <c r="R165" s="56">
        <f t="shared" si="45"/>
        <v>1</v>
      </c>
      <c r="S165" s="56">
        <f t="shared" si="45"/>
        <v>0</v>
      </c>
      <c r="T165" s="56">
        <f t="shared" si="45"/>
        <v>0</v>
      </c>
      <c r="U165" s="56">
        <f t="shared" si="45"/>
        <v>0</v>
      </c>
      <c r="V165" s="56">
        <f t="shared" si="45"/>
        <v>0</v>
      </c>
      <c r="W165" s="56">
        <f t="shared" si="45"/>
        <v>0</v>
      </c>
      <c r="X165" s="56">
        <f t="shared" si="45"/>
        <v>0</v>
      </c>
      <c r="Y165" s="56">
        <f t="shared" si="45"/>
        <v>0</v>
      </c>
      <c r="Z165" s="56">
        <f t="shared" si="45"/>
        <v>0</v>
      </c>
      <c r="AA165" s="56">
        <f t="shared" si="45"/>
        <v>0</v>
      </c>
      <c r="AB165" s="56">
        <f t="shared" si="45"/>
        <v>0</v>
      </c>
      <c r="AC165" s="56">
        <f t="shared" si="45"/>
        <v>0</v>
      </c>
      <c r="AD165" s="56">
        <f t="shared" si="45"/>
        <v>1</v>
      </c>
      <c r="AE165" s="56">
        <f t="shared" si="45"/>
        <v>0</v>
      </c>
      <c r="AF165" s="13">
        <f t="shared" si="44"/>
        <v>8</v>
      </c>
      <c r="AG165" s="1"/>
      <c r="AH165" s="1"/>
    </row>
    <row r="166" ht="12.75" customHeight="1">
      <c r="A166" s="57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13"/>
      <c r="AG166" s="53"/>
      <c r="AH166" s="53"/>
    </row>
    <row r="167" ht="12.75" customHeight="1">
      <c r="A167" s="30" t="s">
        <v>37</v>
      </c>
      <c r="B167" s="47" t="s">
        <v>141</v>
      </c>
      <c r="C167" s="48" t="s">
        <v>142</v>
      </c>
      <c r="D167" s="16"/>
      <c r="E167" s="69">
        <v>0.0</v>
      </c>
      <c r="F167" s="69">
        <v>0.0</v>
      </c>
      <c r="G167" s="69">
        <v>1.0</v>
      </c>
      <c r="H167" s="69">
        <v>0.0</v>
      </c>
      <c r="I167" s="69">
        <v>1.0</v>
      </c>
      <c r="J167" s="69">
        <v>2.0</v>
      </c>
      <c r="K167" s="69">
        <v>3.0</v>
      </c>
      <c r="L167" s="69">
        <v>4.0</v>
      </c>
      <c r="M167" s="69">
        <v>2.0</v>
      </c>
      <c r="N167" s="69">
        <v>0.0</v>
      </c>
      <c r="O167" s="69">
        <v>1.0</v>
      </c>
      <c r="P167" s="69">
        <v>0.0</v>
      </c>
      <c r="Q167" s="69">
        <v>3.0</v>
      </c>
      <c r="R167" s="69">
        <v>1.0</v>
      </c>
      <c r="S167" s="69">
        <v>0.0</v>
      </c>
      <c r="T167" s="69">
        <v>2.0</v>
      </c>
      <c r="U167" s="69">
        <v>0.0</v>
      </c>
      <c r="V167" s="69">
        <v>0.0</v>
      </c>
      <c r="W167" s="69">
        <v>2.0</v>
      </c>
      <c r="X167" s="69">
        <v>0.0</v>
      </c>
      <c r="Y167" s="69">
        <v>1.0</v>
      </c>
      <c r="Z167" s="69">
        <v>0.0</v>
      </c>
      <c r="AA167" s="69">
        <v>0.0</v>
      </c>
      <c r="AB167" s="69">
        <v>0.0</v>
      </c>
      <c r="AC167" s="69">
        <v>1.0</v>
      </c>
      <c r="AD167" s="69">
        <v>0.0</v>
      </c>
      <c r="AE167" s="69">
        <v>1.0</v>
      </c>
      <c r="AF167" s="13">
        <f t="shared" ref="AF167:AF175" si="46">SUM(E167:AE167)</f>
        <v>25</v>
      </c>
      <c r="AG167" s="5"/>
      <c r="AH167" s="5"/>
    </row>
    <row r="168" ht="12.75" customHeight="1">
      <c r="A168" s="30" t="s">
        <v>39</v>
      </c>
      <c r="B168" s="49"/>
      <c r="C168" s="50" t="s">
        <v>143</v>
      </c>
      <c r="D168" s="51"/>
      <c r="E168" s="69">
        <v>0.0</v>
      </c>
      <c r="F168" s="69">
        <v>0.0</v>
      </c>
      <c r="G168" s="69">
        <v>0.0</v>
      </c>
      <c r="H168" s="69">
        <v>0.0</v>
      </c>
      <c r="I168" s="69">
        <v>0.0</v>
      </c>
      <c r="J168" s="69">
        <v>0.0</v>
      </c>
      <c r="K168" s="69">
        <v>0.0</v>
      </c>
      <c r="L168" s="69">
        <v>0.0</v>
      </c>
      <c r="M168" s="69">
        <v>0.0</v>
      </c>
      <c r="N168" s="69">
        <v>0.0</v>
      </c>
      <c r="O168" s="69">
        <v>1.0</v>
      </c>
      <c r="P168" s="69">
        <v>1.0</v>
      </c>
      <c r="Q168" s="69">
        <v>0.0</v>
      </c>
      <c r="R168" s="69">
        <v>0.0</v>
      </c>
      <c r="S168" s="69">
        <v>0.0</v>
      </c>
      <c r="T168" s="69">
        <v>0.0</v>
      </c>
      <c r="U168" s="69">
        <v>1.0</v>
      </c>
      <c r="V168" s="69">
        <v>0.0</v>
      </c>
      <c r="W168" s="69">
        <v>0.0</v>
      </c>
      <c r="X168" s="69">
        <v>5.0</v>
      </c>
      <c r="Y168" s="69">
        <v>21.0</v>
      </c>
      <c r="Z168" s="69">
        <v>0.0</v>
      </c>
      <c r="AA168" s="69">
        <v>0.0</v>
      </c>
      <c r="AB168" s="69">
        <v>0.0</v>
      </c>
      <c r="AC168" s="69">
        <v>0.0</v>
      </c>
      <c r="AD168" s="69">
        <v>0.0</v>
      </c>
      <c r="AE168" s="69">
        <v>0.0</v>
      </c>
      <c r="AF168" s="13">
        <f t="shared" si="46"/>
        <v>29</v>
      </c>
      <c r="AG168" s="5"/>
      <c r="AH168" s="5"/>
    </row>
    <row r="169" ht="12.75" customHeight="1">
      <c r="A169" s="18"/>
      <c r="B169" s="49"/>
      <c r="C169" s="50" t="s">
        <v>144</v>
      </c>
      <c r="D169" s="51"/>
      <c r="E169" s="69">
        <v>0.0</v>
      </c>
      <c r="F169" s="69">
        <v>0.0</v>
      </c>
      <c r="G169" s="69">
        <v>0.0</v>
      </c>
      <c r="H169" s="69">
        <v>0.0</v>
      </c>
      <c r="I169" s="69">
        <v>0.0</v>
      </c>
      <c r="J169" s="69">
        <v>0.0</v>
      </c>
      <c r="K169" s="69">
        <v>1.0</v>
      </c>
      <c r="L169" s="69">
        <v>0.0</v>
      </c>
      <c r="M169" s="69">
        <v>0.0</v>
      </c>
      <c r="N169" s="69">
        <v>0.0</v>
      </c>
      <c r="O169" s="69">
        <v>1.0</v>
      </c>
      <c r="P169" s="69">
        <v>0.0</v>
      </c>
      <c r="Q169" s="69">
        <v>0.0</v>
      </c>
      <c r="R169" s="69">
        <v>0.0</v>
      </c>
      <c r="S169" s="69">
        <v>0.0</v>
      </c>
      <c r="T169" s="69">
        <v>1.0</v>
      </c>
      <c r="U169" s="69">
        <v>0.0</v>
      </c>
      <c r="V169" s="69">
        <v>0.0</v>
      </c>
      <c r="W169" s="69">
        <v>0.0</v>
      </c>
      <c r="X169" s="69">
        <v>0.0</v>
      </c>
      <c r="Y169" s="69">
        <v>0.0</v>
      </c>
      <c r="Z169" s="69">
        <v>0.0</v>
      </c>
      <c r="AA169" s="69">
        <v>0.0</v>
      </c>
      <c r="AB169" s="69">
        <v>0.0</v>
      </c>
      <c r="AC169" s="69">
        <v>0.0</v>
      </c>
      <c r="AD169" s="69">
        <v>0.0</v>
      </c>
      <c r="AE169" s="69">
        <v>1.0</v>
      </c>
      <c r="AF169" s="13">
        <f t="shared" si="46"/>
        <v>4</v>
      </c>
      <c r="AG169" s="5"/>
      <c r="AH169" s="5"/>
    </row>
    <row r="170" ht="12.75" customHeight="1">
      <c r="A170" s="18"/>
      <c r="B170" s="49"/>
      <c r="C170" s="50" t="s">
        <v>145</v>
      </c>
      <c r="D170" s="51"/>
      <c r="E170" s="69">
        <v>0.0</v>
      </c>
      <c r="F170" s="69">
        <v>0.0</v>
      </c>
      <c r="G170" s="69">
        <v>0.0</v>
      </c>
      <c r="H170" s="69">
        <v>0.0</v>
      </c>
      <c r="I170" s="69">
        <v>0.0</v>
      </c>
      <c r="J170" s="69">
        <v>0.0</v>
      </c>
      <c r="K170" s="69">
        <v>0.0</v>
      </c>
      <c r="L170" s="69">
        <v>1.0</v>
      </c>
      <c r="M170" s="69">
        <v>1.0</v>
      </c>
      <c r="N170" s="69">
        <v>0.0</v>
      </c>
      <c r="O170" s="69">
        <v>0.0</v>
      </c>
      <c r="P170" s="69">
        <v>0.0</v>
      </c>
      <c r="Q170" s="69">
        <v>0.0</v>
      </c>
      <c r="R170" s="69">
        <v>0.0</v>
      </c>
      <c r="S170" s="69">
        <v>0.0</v>
      </c>
      <c r="T170" s="69">
        <v>0.0</v>
      </c>
      <c r="U170" s="69">
        <v>0.0</v>
      </c>
      <c r="V170" s="69">
        <v>0.0</v>
      </c>
      <c r="W170" s="69">
        <v>0.0</v>
      </c>
      <c r="X170" s="69">
        <v>0.0</v>
      </c>
      <c r="Y170" s="69">
        <v>0.0</v>
      </c>
      <c r="Z170" s="69">
        <v>0.0</v>
      </c>
      <c r="AA170" s="69">
        <v>0.0</v>
      </c>
      <c r="AB170" s="69">
        <v>0.0</v>
      </c>
      <c r="AC170" s="69">
        <v>0.0</v>
      </c>
      <c r="AD170" s="69">
        <v>0.0</v>
      </c>
      <c r="AE170" s="69">
        <v>0.0</v>
      </c>
      <c r="AF170" s="13">
        <f t="shared" si="46"/>
        <v>2</v>
      </c>
      <c r="AG170" s="5"/>
      <c r="AH170" s="5"/>
    </row>
    <row r="171" ht="12.75" customHeight="1">
      <c r="A171" s="18"/>
      <c r="B171" s="49"/>
      <c r="C171" s="50" t="s">
        <v>146</v>
      </c>
      <c r="D171" s="51"/>
      <c r="E171" s="69">
        <v>0.0</v>
      </c>
      <c r="F171" s="69">
        <v>0.0</v>
      </c>
      <c r="G171" s="69">
        <v>0.0</v>
      </c>
      <c r="H171" s="69">
        <v>0.0</v>
      </c>
      <c r="I171" s="69">
        <v>0.0</v>
      </c>
      <c r="J171" s="69">
        <v>0.0</v>
      </c>
      <c r="K171" s="69">
        <v>1.0</v>
      </c>
      <c r="L171" s="69">
        <v>0.0</v>
      </c>
      <c r="M171" s="69">
        <v>0.0</v>
      </c>
      <c r="N171" s="69">
        <v>0.0</v>
      </c>
      <c r="O171" s="69">
        <v>0.0</v>
      </c>
      <c r="P171" s="69">
        <v>0.0</v>
      </c>
      <c r="Q171" s="69">
        <v>0.0</v>
      </c>
      <c r="R171" s="69">
        <v>0.0</v>
      </c>
      <c r="S171" s="69">
        <v>0.0</v>
      </c>
      <c r="T171" s="69">
        <v>0.0</v>
      </c>
      <c r="U171" s="69">
        <v>0.0</v>
      </c>
      <c r="V171" s="69">
        <v>0.0</v>
      </c>
      <c r="W171" s="69">
        <v>0.0</v>
      </c>
      <c r="X171" s="69">
        <v>0.0</v>
      </c>
      <c r="Y171" s="69">
        <v>0.0</v>
      </c>
      <c r="Z171" s="69">
        <v>0.0</v>
      </c>
      <c r="AA171" s="69">
        <v>0.0</v>
      </c>
      <c r="AB171" s="69">
        <v>0.0</v>
      </c>
      <c r="AC171" s="69">
        <v>0.0</v>
      </c>
      <c r="AD171" s="69">
        <v>0.0</v>
      </c>
      <c r="AE171" s="69">
        <v>0.0</v>
      </c>
      <c r="AF171" s="13">
        <f t="shared" si="46"/>
        <v>1</v>
      </c>
      <c r="AG171" s="5"/>
      <c r="AH171" s="5"/>
    </row>
    <row r="172" ht="12.75" customHeight="1">
      <c r="A172" s="18"/>
      <c r="B172" s="49"/>
      <c r="C172" s="50" t="s">
        <v>147</v>
      </c>
      <c r="D172" s="51"/>
      <c r="E172" s="69">
        <v>0.0</v>
      </c>
      <c r="F172" s="69">
        <v>0.0</v>
      </c>
      <c r="G172" s="69">
        <v>0.0</v>
      </c>
      <c r="H172" s="69">
        <v>0.0</v>
      </c>
      <c r="I172" s="69">
        <v>0.0</v>
      </c>
      <c r="J172" s="69">
        <v>0.0</v>
      </c>
      <c r="K172" s="69">
        <v>1.0</v>
      </c>
      <c r="L172" s="69">
        <v>1.0</v>
      </c>
      <c r="M172" s="69">
        <v>0.0</v>
      </c>
      <c r="N172" s="69">
        <v>0.0</v>
      </c>
      <c r="O172" s="69">
        <v>0.0</v>
      </c>
      <c r="P172" s="69">
        <v>0.0</v>
      </c>
      <c r="Q172" s="69">
        <v>0.0</v>
      </c>
      <c r="R172" s="69">
        <v>0.0</v>
      </c>
      <c r="S172" s="69">
        <v>0.0</v>
      </c>
      <c r="T172" s="69">
        <v>0.0</v>
      </c>
      <c r="U172" s="69">
        <v>0.0</v>
      </c>
      <c r="V172" s="69">
        <v>0.0</v>
      </c>
      <c r="W172" s="69">
        <v>0.0</v>
      </c>
      <c r="X172" s="69">
        <v>0.0</v>
      </c>
      <c r="Y172" s="69">
        <v>0.0</v>
      </c>
      <c r="Z172" s="69">
        <v>0.0</v>
      </c>
      <c r="AA172" s="69">
        <v>0.0</v>
      </c>
      <c r="AB172" s="69">
        <v>0.0</v>
      </c>
      <c r="AC172" s="69">
        <v>0.0</v>
      </c>
      <c r="AD172" s="69">
        <v>0.0</v>
      </c>
      <c r="AE172" s="69">
        <v>0.0</v>
      </c>
      <c r="AF172" s="13">
        <f t="shared" si="46"/>
        <v>2</v>
      </c>
      <c r="AG172" s="5"/>
      <c r="AH172" s="5"/>
    </row>
    <row r="173" ht="12.75" customHeight="1">
      <c r="A173" s="18"/>
      <c r="B173" s="49"/>
      <c r="C173" s="50" t="s">
        <v>148</v>
      </c>
      <c r="D173" s="51"/>
      <c r="E173" s="69">
        <v>0.0</v>
      </c>
      <c r="F173" s="69">
        <v>0.0</v>
      </c>
      <c r="G173" s="69">
        <v>1.0</v>
      </c>
      <c r="H173" s="69">
        <v>1.0</v>
      </c>
      <c r="I173" s="69">
        <v>0.0</v>
      </c>
      <c r="J173" s="69">
        <v>0.0</v>
      </c>
      <c r="K173" s="69">
        <v>0.0</v>
      </c>
      <c r="L173" s="69">
        <v>0.0</v>
      </c>
      <c r="M173" s="69">
        <v>0.0</v>
      </c>
      <c r="N173" s="69">
        <v>0.0</v>
      </c>
      <c r="O173" s="69">
        <v>0.0</v>
      </c>
      <c r="P173" s="69">
        <v>0.0</v>
      </c>
      <c r="Q173" s="69">
        <v>0.0</v>
      </c>
      <c r="R173" s="69">
        <v>0.0</v>
      </c>
      <c r="S173" s="69">
        <v>0.0</v>
      </c>
      <c r="T173" s="69">
        <v>0.0</v>
      </c>
      <c r="U173" s="69">
        <v>0.0</v>
      </c>
      <c r="V173" s="69">
        <v>0.0</v>
      </c>
      <c r="W173" s="69">
        <v>0.0</v>
      </c>
      <c r="X173" s="69">
        <v>0.0</v>
      </c>
      <c r="Y173" s="69">
        <v>0.0</v>
      </c>
      <c r="Z173" s="69">
        <v>0.0</v>
      </c>
      <c r="AA173" s="69">
        <v>0.0</v>
      </c>
      <c r="AB173" s="69">
        <v>0.0</v>
      </c>
      <c r="AC173" s="69">
        <v>1.0</v>
      </c>
      <c r="AD173" s="69">
        <v>0.0</v>
      </c>
      <c r="AE173" s="69">
        <v>0.0</v>
      </c>
      <c r="AF173" s="13">
        <f t="shared" si="46"/>
        <v>3</v>
      </c>
      <c r="AG173" s="5"/>
      <c r="AH173" s="5"/>
    </row>
    <row r="174" ht="12.75" customHeight="1">
      <c r="A174" s="18"/>
      <c r="B174" s="49"/>
      <c r="C174" s="50" t="s">
        <v>149</v>
      </c>
      <c r="D174" s="51"/>
      <c r="E174" s="69">
        <v>0.0</v>
      </c>
      <c r="F174" s="69">
        <v>0.0</v>
      </c>
      <c r="G174" s="69">
        <v>0.0</v>
      </c>
      <c r="H174" s="69">
        <v>0.0</v>
      </c>
      <c r="I174" s="69">
        <v>0.0</v>
      </c>
      <c r="J174" s="69">
        <v>2.0</v>
      </c>
      <c r="K174" s="69">
        <v>2.0</v>
      </c>
      <c r="L174" s="69">
        <v>1.0</v>
      </c>
      <c r="M174" s="69">
        <v>0.0</v>
      </c>
      <c r="N174" s="69">
        <v>1.0</v>
      </c>
      <c r="O174" s="69">
        <v>1.0</v>
      </c>
      <c r="P174" s="69">
        <v>0.0</v>
      </c>
      <c r="Q174" s="69">
        <v>0.0</v>
      </c>
      <c r="R174" s="69">
        <v>0.0</v>
      </c>
      <c r="S174" s="69">
        <v>0.0</v>
      </c>
      <c r="T174" s="69">
        <v>0.0</v>
      </c>
      <c r="U174" s="69">
        <v>0.0</v>
      </c>
      <c r="V174" s="69">
        <v>0.0</v>
      </c>
      <c r="W174" s="69">
        <v>0.0</v>
      </c>
      <c r="X174" s="69">
        <v>0.0</v>
      </c>
      <c r="Y174" s="69">
        <v>1.0</v>
      </c>
      <c r="Z174" s="69">
        <v>0.0</v>
      </c>
      <c r="AA174" s="69">
        <v>0.0</v>
      </c>
      <c r="AB174" s="69">
        <v>0.0</v>
      </c>
      <c r="AC174" s="69">
        <v>0.0</v>
      </c>
      <c r="AD174" s="69">
        <v>0.0</v>
      </c>
      <c r="AE174" s="69">
        <v>0.0</v>
      </c>
      <c r="AF174" s="13">
        <f t="shared" si="46"/>
        <v>8</v>
      </c>
      <c r="AG174" s="5"/>
      <c r="AH174" s="5"/>
    </row>
    <row r="175" ht="15.0" customHeight="1">
      <c r="A175" s="19" t="s">
        <v>15</v>
      </c>
      <c r="B175" s="47" t="s">
        <v>47</v>
      </c>
      <c r="C175" s="15"/>
      <c r="D175" s="16"/>
      <c r="E175" s="56">
        <f t="shared" ref="E175:AE175" si="47">SUM(E167:E174)</f>
        <v>0</v>
      </c>
      <c r="F175" s="56">
        <f t="shared" si="47"/>
        <v>0</v>
      </c>
      <c r="G175" s="56">
        <f t="shared" si="47"/>
        <v>2</v>
      </c>
      <c r="H175" s="56">
        <f t="shared" si="47"/>
        <v>1</v>
      </c>
      <c r="I175" s="56">
        <f t="shared" si="47"/>
        <v>1</v>
      </c>
      <c r="J175" s="56">
        <f t="shared" si="47"/>
        <v>4</v>
      </c>
      <c r="K175" s="56">
        <f t="shared" si="47"/>
        <v>8</v>
      </c>
      <c r="L175" s="56">
        <f t="shared" si="47"/>
        <v>7</v>
      </c>
      <c r="M175" s="56">
        <f t="shared" si="47"/>
        <v>3</v>
      </c>
      <c r="N175" s="56">
        <f t="shared" si="47"/>
        <v>1</v>
      </c>
      <c r="O175" s="56">
        <f t="shared" si="47"/>
        <v>4</v>
      </c>
      <c r="P175" s="56">
        <f t="shared" si="47"/>
        <v>1</v>
      </c>
      <c r="Q175" s="56">
        <f t="shared" si="47"/>
        <v>3</v>
      </c>
      <c r="R175" s="56">
        <f t="shared" si="47"/>
        <v>1</v>
      </c>
      <c r="S175" s="56">
        <f t="shared" si="47"/>
        <v>0</v>
      </c>
      <c r="T175" s="56">
        <f t="shared" si="47"/>
        <v>3</v>
      </c>
      <c r="U175" s="56">
        <f t="shared" si="47"/>
        <v>1</v>
      </c>
      <c r="V175" s="56">
        <f t="shared" si="47"/>
        <v>0</v>
      </c>
      <c r="W175" s="56">
        <f t="shared" si="47"/>
        <v>2</v>
      </c>
      <c r="X175" s="56">
        <f t="shared" si="47"/>
        <v>5</v>
      </c>
      <c r="Y175" s="56">
        <f t="shared" si="47"/>
        <v>23</v>
      </c>
      <c r="Z175" s="56">
        <f t="shared" si="47"/>
        <v>0</v>
      </c>
      <c r="AA175" s="56">
        <f t="shared" si="47"/>
        <v>0</v>
      </c>
      <c r="AB175" s="56">
        <f t="shared" si="47"/>
        <v>0</v>
      </c>
      <c r="AC175" s="56">
        <f t="shared" si="47"/>
        <v>2</v>
      </c>
      <c r="AD175" s="56">
        <f t="shared" si="47"/>
        <v>0</v>
      </c>
      <c r="AE175" s="56">
        <f t="shared" si="47"/>
        <v>2</v>
      </c>
      <c r="AF175" s="13">
        <f t="shared" si="46"/>
        <v>74</v>
      </c>
      <c r="AG175" s="5"/>
      <c r="AH175" s="5"/>
    </row>
    <row r="176" ht="12.75" customHeight="1">
      <c r="A176" s="57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13"/>
      <c r="AG176" s="1"/>
      <c r="AH176" s="1"/>
    </row>
    <row r="177" ht="12.75" customHeight="1">
      <c r="A177" s="30" t="s">
        <v>37</v>
      </c>
      <c r="B177" s="47" t="s">
        <v>150</v>
      </c>
      <c r="C177" s="48" t="s">
        <v>151</v>
      </c>
      <c r="D177" s="16"/>
      <c r="E177" s="69">
        <v>0.0</v>
      </c>
      <c r="F177" s="69">
        <v>0.0</v>
      </c>
      <c r="G177" s="69">
        <v>0.0</v>
      </c>
      <c r="H177" s="69">
        <v>0.0</v>
      </c>
      <c r="I177" s="69">
        <v>0.0</v>
      </c>
      <c r="J177" s="69">
        <v>0.0</v>
      </c>
      <c r="K177" s="69">
        <v>0.0</v>
      </c>
      <c r="L177" s="69">
        <v>0.0</v>
      </c>
      <c r="M177" s="69">
        <v>0.0</v>
      </c>
      <c r="N177" s="69">
        <v>0.0</v>
      </c>
      <c r="O177" s="69">
        <v>0.0</v>
      </c>
      <c r="P177" s="69">
        <v>0.0</v>
      </c>
      <c r="Q177" s="69">
        <v>0.0</v>
      </c>
      <c r="R177" s="69">
        <v>0.0</v>
      </c>
      <c r="S177" s="69">
        <v>0.0</v>
      </c>
      <c r="T177" s="69">
        <v>0.0</v>
      </c>
      <c r="U177" s="69">
        <v>0.0</v>
      </c>
      <c r="V177" s="69">
        <v>0.0</v>
      </c>
      <c r="W177" s="69">
        <v>0.0</v>
      </c>
      <c r="X177" s="69">
        <v>0.0</v>
      </c>
      <c r="Y177" s="69">
        <v>0.0</v>
      </c>
      <c r="Z177" s="69">
        <v>0.0</v>
      </c>
      <c r="AA177" s="69">
        <v>0.0</v>
      </c>
      <c r="AB177" s="69">
        <v>0.0</v>
      </c>
      <c r="AC177" s="69">
        <v>0.0</v>
      </c>
      <c r="AD177" s="69">
        <v>0.0</v>
      </c>
      <c r="AE177" s="69">
        <v>0.0</v>
      </c>
      <c r="AF177" s="13">
        <f t="shared" ref="AF177:AF181" si="48">SUM(E177:AE177)</f>
        <v>0</v>
      </c>
    </row>
    <row r="178" ht="12.75" customHeight="1">
      <c r="A178" s="30"/>
      <c r="B178" s="47"/>
      <c r="C178" s="50" t="s">
        <v>152</v>
      </c>
      <c r="D178" s="62"/>
      <c r="E178" s="69">
        <v>0.0</v>
      </c>
      <c r="F178" s="69">
        <v>0.0</v>
      </c>
      <c r="G178" s="69">
        <v>0.0</v>
      </c>
      <c r="H178" s="69">
        <v>0.0</v>
      </c>
      <c r="I178" s="69">
        <v>0.0</v>
      </c>
      <c r="J178" s="69">
        <v>0.0</v>
      </c>
      <c r="K178" s="69">
        <v>0.0</v>
      </c>
      <c r="L178" s="69">
        <v>0.0</v>
      </c>
      <c r="M178" s="69">
        <v>0.0</v>
      </c>
      <c r="N178" s="69">
        <v>0.0</v>
      </c>
      <c r="O178" s="69">
        <v>0.0</v>
      </c>
      <c r="P178" s="69">
        <v>0.0</v>
      </c>
      <c r="Q178" s="69">
        <v>0.0</v>
      </c>
      <c r="R178" s="69">
        <v>0.0</v>
      </c>
      <c r="S178" s="69">
        <v>1.0</v>
      </c>
      <c r="T178" s="69">
        <v>0.0</v>
      </c>
      <c r="U178" s="69">
        <v>0.0</v>
      </c>
      <c r="V178" s="69">
        <v>0.0</v>
      </c>
      <c r="W178" s="69">
        <v>0.0</v>
      </c>
      <c r="X178" s="69">
        <v>0.0</v>
      </c>
      <c r="Y178" s="69">
        <v>0.0</v>
      </c>
      <c r="Z178" s="69">
        <v>0.0</v>
      </c>
      <c r="AA178" s="69">
        <v>0.0</v>
      </c>
      <c r="AB178" s="69">
        <v>0.0</v>
      </c>
      <c r="AC178" s="69">
        <v>0.0</v>
      </c>
      <c r="AD178" s="69">
        <v>0.0</v>
      </c>
      <c r="AE178" s="69">
        <v>0.0</v>
      </c>
      <c r="AF178" s="13">
        <f t="shared" si="48"/>
        <v>1</v>
      </c>
      <c r="AG178" s="5"/>
      <c r="AH178" s="5"/>
    </row>
    <row r="179" ht="12.75" customHeight="1">
      <c r="A179" s="30"/>
      <c r="B179" s="47"/>
      <c r="C179" s="50" t="s">
        <v>153</v>
      </c>
      <c r="D179" s="62"/>
      <c r="E179" s="69">
        <v>0.0</v>
      </c>
      <c r="F179" s="69">
        <v>0.0</v>
      </c>
      <c r="G179" s="69">
        <v>0.0</v>
      </c>
      <c r="H179" s="69">
        <v>0.0</v>
      </c>
      <c r="I179" s="69">
        <v>0.0</v>
      </c>
      <c r="J179" s="69">
        <v>0.0</v>
      </c>
      <c r="K179" s="69">
        <v>0.0</v>
      </c>
      <c r="L179" s="69">
        <v>0.0</v>
      </c>
      <c r="M179" s="69">
        <v>0.0</v>
      </c>
      <c r="N179" s="69">
        <v>0.0</v>
      </c>
      <c r="O179" s="69">
        <v>0.0</v>
      </c>
      <c r="P179" s="69">
        <v>0.0</v>
      </c>
      <c r="Q179" s="69">
        <v>0.0</v>
      </c>
      <c r="R179" s="69">
        <v>0.0</v>
      </c>
      <c r="S179" s="69">
        <v>0.0</v>
      </c>
      <c r="T179" s="69">
        <v>0.0</v>
      </c>
      <c r="U179" s="69">
        <v>0.0</v>
      </c>
      <c r="V179" s="69">
        <v>0.0</v>
      </c>
      <c r="W179" s="69">
        <v>0.0</v>
      </c>
      <c r="X179" s="69">
        <v>0.0</v>
      </c>
      <c r="Y179" s="69">
        <v>1.0</v>
      </c>
      <c r="Z179" s="69">
        <v>0.0</v>
      </c>
      <c r="AA179" s="69">
        <v>0.0</v>
      </c>
      <c r="AB179" s="69">
        <v>0.0</v>
      </c>
      <c r="AC179" s="69">
        <v>0.0</v>
      </c>
      <c r="AD179" s="69">
        <v>0.0</v>
      </c>
      <c r="AE179" s="69">
        <v>0.0</v>
      </c>
      <c r="AF179" s="13">
        <f t="shared" si="48"/>
        <v>1</v>
      </c>
      <c r="AG179" s="5"/>
      <c r="AH179" s="5"/>
    </row>
    <row r="180" ht="12.75" customHeight="1">
      <c r="A180" s="30" t="s">
        <v>39</v>
      </c>
      <c r="B180" s="49"/>
      <c r="C180" s="50" t="s">
        <v>154</v>
      </c>
      <c r="D180" s="51"/>
      <c r="E180" s="69">
        <v>0.0</v>
      </c>
      <c r="F180" s="69">
        <v>0.0</v>
      </c>
      <c r="G180" s="69">
        <v>0.0</v>
      </c>
      <c r="H180" s="69">
        <v>0.0</v>
      </c>
      <c r="I180" s="69">
        <v>0.0</v>
      </c>
      <c r="J180" s="69">
        <v>0.0</v>
      </c>
      <c r="K180" s="69">
        <v>0.0</v>
      </c>
      <c r="L180" s="69">
        <v>0.0</v>
      </c>
      <c r="M180" s="69">
        <v>0.0</v>
      </c>
      <c r="N180" s="69">
        <v>0.0</v>
      </c>
      <c r="O180" s="69">
        <v>0.0</v>
      </c>
      <c r="P180" s="69">
        <v>0.0</v>
      </c>
      <c r="Q180" s="69">
        <v>0.0</v>
      </c>
      <c r="R180" s="69">
        <v>0.0</v>
      </c>
      <c r="S180" s="69">
        <v>0.0</v>
      </c>
      <c r="T180" s="69">
        <v>0.0</v>
      </c>
      <c r="U180" s="69">
        <v>0.0</v>
      </c>
      <c r="V180" s="69">
        <v>0.0</v>
      </c>
      <c r="W180" s="69">
        <v>0.0</v>
      </c>
      <c r="X180" s="69">
        <v>0.0</v>
      </c>
      <c r="Y180" s="69">
        <v>0.0</v>
      </c>
      <c r="Z180" s="69">
        <v>0.0</v>
      </c>
      <c r="AA180" s="69">
        <v>0.0</v>
      </c>
      <c r="AB180" s="69">
        <v>0.0</v>
      </c>
      <c r="AC180" s="69">
        <v>0.0</v>
      </c>
      <c r="AD180" s="69">
        <v>0.0</v>
      </c>
      <c r="AE180" s="69">
        <v>0.0</v>
      </c>
      <c r="AF180" s="13">
        <f t="shared" si="48"/>
        <v>0</v>
      </c>
      <c r="AG180" s="5"/>
      <c r="AH180" s="5"/>
    </row>
    <row r="181" ht="12.75" customHeight="1">
      <c r="A181" s="19" t="s">
        <v>15</v>
      </c>
      <c r="B181" s="47" t="s">
        <v>47</v>
      </c>
      <c r="C181" s="15"/>
      <c r="D181" s="16"/>
      <c r="E181" s="56">
        <f t="shared" ref="E181:AE181" si="49">SUM(E177:E180)</f>
        <v>0</v>
      </c>
      <c r="F181" s="56">
        <f t="shared" si="49"/>
        <v>0</v>
      </c>
      <c r="G181" s="56">
        <f t="shared" si="49"/>
        <v>0</v>
      </c>
      <c r="H181" s="56">
        <f t="shared" si="49"/>
        <v>0</v>
      </c>
      <c r="I181" s="56">
        <f t="shared" si="49"/>
        <v>0</v>
      </c>
      <c r="J181" s="56">
        <f t="shared" si="49"/>
        <v>0</v>
      </c>
      <c r="K181" s="56">
        <f t="shared" si="49"/>
        <v>0</v>
      </c>
      <c r="L181" s="56">
        <f t="shared" si="49"/>
        <v>0</v>
      </c>
      <c r="M181" s="56">
        <f t="shared" si="49"/>
        <v>0</v>
      </c>
      <c r="N181" s="56">
        <f t="shared" si="49"/>
        <v>0</v>
      </c>
      <c r="O181" s="56">
        <f t="shared" si="49"/>
        <v>0</v>
      </c>
      <c r="P181" s="56">
        <f t="shared" si="49"/>
        <v>0</v>
      </c>
      <c r="Q181" s="56">
        <f t="shared" si="49"/>
        <v>0</v>
      </c>
      <c r="R181" s="56">
        <f t="shared" si="49"/>
        <v>0</v>
      </c>
      <c r="S181" s="56">
        <f t="shared" si="49"/>
        <v>1</v>
      </c>
      <c r="T181" s="56">
        <f t="shared" si="49"/>
        <v>0</v>
      </c>
      <c r="U181" s="56">
        <f t="shared" si="49"/>
        <v>0</v>
      </c>
      <c r="V181" s="56">
        <f t="shared" si="49"/>
        <v>0</v>
      </c>
      <c r="W181" s="56">
        <f t="shared" si="49"/>
        <v>0</v>
      </c>
      <c r="X181" s="56">
        <f t="shared" si="49"/>
        <v>0</v>
      </c>
      <c r="Y181" s="56">
        <f t="shared" si="49"/>
        <v>1</v>
      </c>
      <c r="Z181" s="56">
        <f t="shared" si="49"/>
        <v>0</v>
      </c>
      <c r="AA181" s="56">
        <f t="shared" si="49"/>
        <v>0</v>
      </c>
      <c r="AB181" s="56">
        <f t="shared" si="49"/>
        <v>0</v>
      </c>
      <c r="AC181" s="56">
        <f t="shared" si="49"/>
        <v>0</v>
      </c>
      <c r="AD181" s="56">
        <f t="shared" si="49"/>
        <v>0</v>
      </c>
      <c r="AE181" s="56">
        <f t="shared" si="49"/>
        <v>0</v>
      </c>
      <c r="AF181" s="13">
        <f t="shared" si="48"/>
        <v>2</v>
      </c>
      <c r="AG181" s="5"/>
      <c r="AH181" s="5"/>
    </row>
    <row r="182" ht="12.75" customHeight="1">
      <c r="A182" s="57"/>
      <c r="B182" s="58"/>
      <c r="C182" s="58"/>
      <c r="D182" s="63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13"/>
      <c r="AG182" s="5"/>
      <c r="AH182" s="5"/>
    </row>
    <row r="183" ht="12.75" customHeight="1">
      <c r="A183" s="42" t="s">
        <v>155</v>
      </c>
      <c r="B183" s="14" t="s">
        <v>156</v>
      </c>
      <c r="C183" s="15"/>
      <c r="D183" s="16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5"/>
      <c r="AH183" s="5"/>
    </row>
    <row r="184" ht="12.75" customHeight="1">
      <c r="A184" s="42"/>
      <c r="B184" s="64" t="s">
        <v>157</v>
      </c>
      <c r="C184" s="65" t="s">
        <v>158</v>
      </c>
      <c r="D184" s="16"/>
      <c r="E184" s="19">
        <f t="shared" ref="E184:AE184" si="50">E181+E175+E165+E161+E156+E146+E136+E129+E125+E115+E111+E101+E97+E93+E83+E73+E63+E53</f>
        <v>201</v>
      </c>
      <c r="F184" s="19">
        <f t="shared" si="50"/>
        <v>217</v>
      </c>
      <c r="G184" s="19">
        <f t="shared" si="50"/>
        <v>202</v>
      </c>
      <c r="H184" s="19">
        <f t="shared" si="50"/>
        <v>180</v>
      </c>
      <c r="I184" s="19">
        <f t="shared" si="50"/>
        <v>175</v>
      </c>
      <c r="J184" s="19">
        <f t="shared" si="50"/>
        <v>201</v>
      </c>
      <c r="K184" s="19">
        <f t="shared" si="50"/>
        <v>211</v>
      </c>
      <c r="L184" s="19">
        <f t="shared" si="50"/>
        <v>174</v>
      </c>
      <c r="M184" s="19">
        <f t="shared" si="50"/>
        <v>185</v>
      </c>
      <c r="N184" s="19">
        <f t="shared" si="50"/>
        <v>195</v>
      </c>
      <c r="O184" s="19">
        <f t="shared" si="50"/>
        <v>195</v>
      </c>
      <c r="P184" s="19">
        <f t="shared" si="50"/>
        <v>196</v>
      </c>
      <c r="Q184" s="19">
        <f t="shared" si="50"/>
        <v>196</v>
      </c>
      <c r="R184" s="19">
        <f t="shared" si="50"/>
        <v>186</v>
      </c>
      <c r="S184" s="19">
        <f t="shared" si="50"/>
        <v>200</v>
      </c>
      <c r="T184" s="19">
        <f t="shared" si="50"/>
        <v>196</v>
      </c>
      <c r="U184" s="19">
        <f t="shared" si="50"/>
        <v>177</v>
      </c>
      <c r="V184" s="19">
        <f t="shared" si="50"/>
        <v>203</v>
      </c>
      <c r="W184" s="19">
        <f t="shared" si="50"/>
        <v>184</v>
      </c>
      <c r="X184" s="19">
        <f t="shared" si="50"/>
        <v>190</v>
      </c>
      <c r="Y184" s="19">
        <f t="shared" si="50"/>
        <v>184</v>
      </c>
      <c r="Z184" s="19">
        <f t="shared" si="50"/>
        <v>198</v>
      </c>
      <c r="AA184" s="19">
        <f t="shared" si="50"/>
        <v>218</v>
      </c>
      <c r="AB184" s="19">
        <f t="shared" si="50"/>
        <v>221</v>
      </c>
      <c r="AC184" s="19">
        <f t="shared" si="50"/>
        <v>240</v>
      </c>
      <c r="AD184" s="19">
        <f t="shared" si="50"/>
        <v>238</v>
      </c>
      <c r="AE184" s="19">
        <f t="shared" si="50"/>
        <v>218</v>
      </c>
      <c r="AF184" s="13">
        <f t="shared" ref="AF184:AF186" si="51">SUM(E184:AE184)</f>
        <v>5381</v>
      </c>
      <c r="AG184" s="5"/>
      <c r="AH184" s="5"/>
    </row>
    <row r="185" ht="12.75" customHeight="1">
      <c r="A185" s="35"/>
      <c r="B185" s="64" t="s">
        <v>159</v>
      </c>
      <c r="C185" s="65" t="s">
        <v>160</v>
      </c>
      <c r="D185" s="16"/>
      <c r="E185" s="69">
        <v>8.0</v>
      </c>
      <c r="F185" s="69">
        <v>10.0</v>
      </c>
      <c r="G185" s="69">
        <v>8.0</v>
      </c>
      <c r="H185" s="69">
        <v>10.0</v>
      </c>
      <c r="I185" s="69">
        <v>14.0</v>
      </c>
      <c r="J185" s="69">
        <v>7.0</v>
      </c>
      <c r="K185" s="69">
        <v>6.0</v>
      </c>
      <c r="L185" s="69">
        <v>25.0</v>
      </c>
      <c r="M185" s="69">
        <v>5.0</v>
      </c>
      <c r="N185" s="69">
        <v>15.0</v>
      </c>
      <c r="O185" s="69">
        <v>6.0</v>
      </c>
      <c r="P185" s="69">
        <v>14.0</v>
      </c>
      <c r="Q185" s="69">
        <v>10.0</v>
      </c>
      <c r="R185" s="69">
        <v>8.0</v>
      </c>
      <c r="S185" s="69">
        <v>9.0</v>
      </c>
      <c r="T185" s="69">
        <v>5.0</v>
      </c>
      <c r="U185" s="69">
        <v>8.0</v>
      </c>
      <c r="V185" s="69">
        <v>3.0</v>
      </c>
      <c r="W185" s="69">
        <v>11.0</v>
      </c>
      <c r="X185" s="69">
        <v>4.0</v>
      </c>
      <c r="Y185" s="69">
        <v>8.0</v>
      </c>
      <c r="Z185" s="69">
        <v>6.0</v>
      </c>
      <c r="AA185" s="69">
        <v>6.0</v>
      </c>
      <c r="AB185" s="69">
        <v>6.0</v>
      </c>
      <c r="AC185" s="69">
        <v>9.0</v>
      </c>
      <c r="AD185" s="69">
        <v>11.0</v>
      </c>
      <c r="AE185" s="69">
        <v>5.0</v>
      </c>
      <c r="AF185" s="13">
        <f t="shared" si="51"/>
        <v>237</v>
      </c>
      <c r="AG185" s="5"/>
      <c r="AH185" s="5"/>
    </row>
    <row r="186" ht="12.75" customHeight="1">
      <c r="A186" s="41"/>
      <c r="B186" s="64" t="s">
        <v>161</v>
      </c>
      <c r="C186" s="65" t="s">
        <v>162</v>
      </c>
      <c r="D186" s="16"/>
      <c r="E186" s="13">
        <f t="shared" ref="E186:AE186" si="52">SUM(E184:E185)</f>
        <v>209</v>
      </c>
      <c r="F186" s="13">
        <f t="shared" si="52"/>
        <v>227</v>
      </c>
      <c r="G186" s="13">
        <f t="shared" si="52"/>
        <v>210</v>
      </c>
      <c r="H186" s="13">
        <f t="shared" si="52"/>
        <v>190</v>
      </c>
      <c r="I186" s="13">
        <f t="shared" si="52"/>
        <v>189</v>
      </c>
      <c r="J186" s="13">
        <f t="shared" si="52"/>
        <v>208</v>
      </c>
      <c r="K186" s="13">
        <f t="shared" si="52"/>
        <v>217</v>
      </c>
      <c r="L186" s="13">
        <f t="shared" si="52"/>
        <v>199</v>
      </c>
      <c r="M186" s="13">
        <f t="shared" si="52"/>
        <v>190</v>
      </c>
      <c r="N186" s="13">
        <f t="shared" si="52"/>
        <v>210</v>
      </c>
      <c r="O186" s="13">
        <f t="shared" si="52"/>
        <v>201</v>
      </c>
      <c r="P186" s="13">
        <f t="shared" si="52"/>
        <v>210</v>
      </c>
      <c r="Q186" s="13">
        <f t="shared" si="52"/>
        <v>206</v>
      </c>
      <c r="R186" s="13">
        <f t="shared" si="52"/>
        <v>194</v>
      </c>
      <c r="S186" s="13">
        <f t="shared" si="52"/>
        <v>209</v>
      </c>
      <c r="T186" s="13">
        <f t="shared" si="52"/>
        <v>201</v>
      </c>
      <c r="U186" s="13">
        <f t="shared" si="52"/>
        <v>185</v>
      </c>
      <c r="V186" s="13">
        <f t="shared" si="52"/>
        <v>206</v>
      </c>
      <c r="W186" s="13">
        <f t="shared" si="52"/>
        <v>195</v>
      </c>
      <c r="X186" s="13">
        <f t="shared" si="52"/>
        <v>194</v>
      </c>
      <c r="Y186" s="13">
        <f t="shared" si="52"/>
        <v>192</v>
      </c>
      <c r="Z186" s="13">
        <f t="shared" si="52"/>
        <v>204</v>
      </c>
      <c r="AA186" s="13">
        <f t="shared" si="52"/>
        <v>224</v>
      </c>
      <c r="AB186" s="13">
        <f t="shared" si="52"/>
        <v>227</v>
      </c>
      <c r="AC186" s="13">
        <f t="shared" si="52"/>
        <v>249</v>
      </c>
      <c r="AD186" s="13">
        <f t="shared" si="52"/>
        <v>249</v>
      </c>
      <c r="AE186" s="13">
        <f t="shared" si="52"/>
        <v>223</v>
      </c>
      <c r="AF186" s="13">
        <f t="shared" si="51"/>
        <v>5618</v>
      </c>
      <c r="AG186" s="5"/>
      <c r="AH186" s="5"/>
    </row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9">
    <mergeCell ref="B111:D111"/>
    <mergeCell ref="C113:D113"/>
    <mergeCell ref="B115:D115"/>
    <mergeCell ref="C117:D117"/>
    <mergeCell ref="B125:D125"/>
    <mergeCell ref="C127:D127"/>
    <mergeCell ref="B129:D129"/>
    <mergeCell ref="C131:D131"/>
    <mergeCell ref="B136:D136"/>
    <mergeCell ref="C138:D138"/>
    <mergeCell ref="B146:D146"/>
    <mergeCell ref="C148:D148"/>
    <mergeCell ref="B156:D156"/>
    <mergeCell ref="C158:D158"/>
    <mergeCell ref="B183:D183"/>
    <mergeCell ref="C184:D184"/>
    <mergeCell ref="C185:D185"/>
    <mergeCell ref="C186:D186"/>
    <mergeCell ref="B161:D161"/>
    <mergeCell ref="C163:D163"/>
    <mergeCell ref="B165:D165"/>
    <mergeCell ref="C167:D167"/>
    <mergeCell ref="B175:D175"/>
    <mergeCell ref="C177:D177"/>
    <mergeCell ref="B181:D181"/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3:D53"/>
    <mergeCell ref="C55:D55"/>
    <mergeCell ref="B63:D63"/>
    <mergeCell ref="C65:D65"/>
    <mergeCell ref="B73:D73"/>
    <mergeCell ref="C75:D75"/>
    <mergeCell ref="B83:D83"/>
    <mergeCell ref="C85:D85"/>
    <mergeCell ref="B93:D93"/>
    <mergeCell ref="C95:D95"/>
    <mergeCell ref="B97:D97"/>
    <mergeCell ref="C99:D99"/>
    <mergeCell ref="B101:D101"/>
    <mergeCell ref="C103:D103"/>
  </mergeCells>
  <conditionalFormatting sqref="E14:AE15">
    <cfRule type="containsBlanks" dxfId="3" priority="1">
      <formula>LEN(TRIM(E14))=0</formula>
    </cfRule>
  </conditionalFormatting>
  <conditionalFormatting sqref="E19:AE20">
    <cfRule type="containsBlanks" dxfId="3" priority="2">
      <formula>LEN(TRIM(E19))=0</formula>
    </cfRule>
  </conditionalFormatting>
  <conditionalFormatting sqref="E22:AE23 E25:AE26 E33:AE33 E35:AE35 E39:AE40">
    <cfRule type="containsBlanks" dxfId="3" priority="3">
      <formula>LEN(TRIM(E22))=0</formula>
    </cfRule>
  </conditionalFormatting>
  <conditionalFormatting sqref="E30:AE30">
    <cfRule type="expression" dxfId="0" priority="4">
      <formula>E30&lt;&gt;E47</formula>
    </cfRule>
  </conditionalFormatting>
  <conditionalFormatting sqref="E30:AE30">
    <cfRule type="expression" dxfId="0" priority="5">
      <formula>E30&lt;&gt;E34</formula>
    </cfRule>
  </conditionalFormatting>
  <conditionalFormatting sqref="E34:AE34">
    <cfRule type="expression" dxfId="1" priority="6">
      <formula>E30&lt;&gt;E34</formula>
    </cfRule>
  </conditionalFormatting>
  <conditionalFormatting sqref="E34:AE34">
    <cfRule type="expression" dxfId="2" priority="7">
      <formula>E30=E34</formula>
    </cfRule>
  </conditionalFormatting>
  <conditionalFormatting sqref="E34:AE34">
    <cfRule type="expression" dxfId="0" priority="8">
      <formula>E34&lt;&gt;E30</formula>
    </cfRule>
  </conditionalFormatting>
  <conditionalFormatting sqref="E34:AE34">
    <cfRule type="expression" dxfId="0" priority="9">
      <formula>E34&lt;&gt;E64</formula>
    </cfRule>
  </conditionalFormatting>
  <conditionalFormatting sqref="E45:AE52">
    <cfRule type="containsBlanks" dxfId="3" priority="10">
      <formula>LEN(TRIM(E45))=0</formula>
    </cfRule>
  </conditionalFormatting>
  <conditionalFormatting sqref="E55:AE62">
    <cfRule type="containsBlanks" dxfId="3" priority="11">
      <formula>LEN(TRIM(E55))=0</formula>
    </cfRule>
  </conditionalFormatting>
  <conditionalFormatting sqref="E65:AE72">
    <cfRule type="containsBlanks" dxfId="3" priority="12">
      <formula>LEN(TRIM(E65))=0</formula>
    </cfRule>
  </conditionalFormatting>
  <conditionalFormatting sqref="E75:AE82">
    <cfRule type="containsBlanks" dxfId="3" priority="13">
      <formula>LEN(TRIM(E75))=0</formula>
    </cfRule>
  </conditionalFormatting>
  <conditionalFormatting sqref="E85:AE92">
    <cfRule type="containsBlanks" dxfId="3" priority="14">
      <formula>LEN(TRIM(E85))=0</formula>
    </cfRule>
  </conditionalFormatting>
  <conditionalFormatting sqref="E95:AE96">
    <cfRule type="containsBlanks" dxfId="3" priority="15">
      <formula>LEN(TRIM(E95))=0</formula>
    </cfRule>
  </conditionalFormatting>
  <conditionalFormatting sqref="E99:AE100">
    <cfRule type="containsBlanks" dxfId="3" priority="16">
      <formula>LEN(TRIM(E99))=0</formula>
    </cfRule>
  </conditionalFormatting>
  <conditionalFormatting sqref="E103:AE110">
    <cfRule type="containsBlanks" dxfId="3" priority="17">
      <formula>LEN(TRIM(E103))=0</formula>
    </cfRule>
  </conditionalFormatting>
  <conditionalFormatting sqref="E113:AE114">
    <cfRule type="containsBlanks" dxfId="3" priority="18">
      <formula>LEN(TRIM(E113))=0</formula>
    </cfRule>
  </conditionalFormatting>
  <conditionalFormatting sqref="E117:AE124">
    <cfRule type="containsBlanks" dxfId="3" priority="19">
      <formula>LEN(TRIM(E117))=0</formula>
    </cfRule>
  </conditionalFormatting>
  <conditionalFormatting sqref="E127:AE128">
    <cfRule type="containsBlanks" dxfId="3" priority="20">
      <formula>LEN(TRIM(E127))=0</formula>
    </cfRule>
  </conditionalFormatting>
  <conditionalFormatting sqref="E131:AE135">
    <cfRule type="containsBlanks" dxfId="3" priority="21">
      <formula>LEN(TRIM(E131))=0</formula>
    </cfRule>
  </conditionalFormatting>
  <conditionalFormatting sqref="E138:AE145">
    <cfRule type="containsBlanks" dxfId="3" priority="22">
      <formula>LEN(TRIM(E138))=0</formula>
    </cfRule>
  </conditionalFormatting>
  <conditionalFormatting sqref="E148:AE155">
    <cfRule type="containsBlanks" dxfId="3" priority="23">
      <formula>LEN(TRIM(E148))=0</formula>
    </cfRule>
  </conditionalFormatting>
  <conditionalFormatting sqref="E158:AE160">
    <cfRule type="containsBlanks" dxfId="3" priority="24">
      <formula>LEN(TRIM(E158))=0</formula>
    </cfRule>
  </conditionalFormatting>
  <conditionalFormatting sqref="E163:AE164">
    <cfRule type="containsBlanks" dxfId="3" priority="25">
      <formula>LEN(TRIM(E163))=0</formula>
    </cfRule>
  </conditionalFormatting>
  <conditionalFormatting sqref="E167:AE174">
    <cfRule type="containsBlanks" dxfId="3" priority="26">
      <formula>LEN(TRIM(E167))=0</formula>
    </cfRule>
  </conditionalFormatting>
  <conditionalFormatting sqref="E177:AE180">
    <cfRule type="containsBlanks" dxfId="3" priority="27">
      <formula>LEN(TRIM(E177))=0</formula>
    </cfRule>
  </conditionalFormatting>
  <conditionalFormatting sqref="E184:AE185">
    <cfRule type="containsBlanks" dxfId="3" priority="28">
      <formula>LEN(TRIM(E184))=0</formula>
    </cfRule>
  </conditionalFormatting>
  <conditionalFormatting sqref="E186:AE186">
    <cfRule type="expression" dxfId="0" priority="29">
      <formula>E186&lt;&gt;#REF!</formula>
    </cfRule>
  </conditionalFormatting>
  <conditionalFormatting sqref="E186:AE186">
    <cfRule type="expression" dxfId="1" priority="30">
      <formula>#REF!&lt;&gt;E186</formula>
    </cfRule>
  </conditionalFormatting>
  <conditionalFormatting sqref="E186:AE186">
    <cfRule type="expression" dxfId="2" priority="31">
      <formula>#REF!=E186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6" width="8.71"/>
    <col customWidth="1" min="37" max="37" width="13.29"/>
    <col customWidth="1" min="38" max="39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163</v>
      </c>
      <c r="D9" s="8" t="s">
        <v>212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/>
      <c r="AJ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165</v>
      </c>
      <c r="F13" s="13" t="s">
        <v>166</v>
      </c>
      <c r="G13" s="13" t="s">
        <v>167</v>
      </c>
      <c r="H13" s="13" t="s">
        <v>168</v>
      </c>
      <c r="I13" s="13" t="s">
        <v>169</v>
      </c>
      <c r="J13" s="13" t="s">
        <v>170</v>
      </c>
      <c r="K13" s="13" t="s">
        <v>171</v>
      </c>
      <c r="L13" s="13" t="s">
        <v>172</v>
      </c>
      <c r="M13" s="13" t="s">
        <v>173</v>
      </c>
      <c r="N13" s="13" t="s">
        <v>174</v>
      </c>
      <c r="O13" s="13" t="s">
        <v>175</v>
      </c>
      <c r="P13" s="13" t="s">
        <v>176</v>
      </c>
      <c r="Q13" s="13" t="s">
        <v>177</v>
      </c>
      <c r="R13" s="13" t="s">
        <v>178</v>
      </c>
      <c r="S13" s="13" t="s">
        <v>179</v>
      </c>
      <c r="T13" s="13" t="s">
        <v>180</v>
      </c>
      <c r="U13" s="13" t="s">
        <v>181</v>
      </c>
      <c r="V13" s="13" t="s">
        <v>182</v>
      </c>
      <c r="W13" s="13" t="s">
        <v>183</v>
      </c>
      <c r="X13" s="13" t="s">
        <v>184</v>
      </c>
      <c r="Y13" s="13" t="s">
        <v>185</v>
      </c>
      <c r="Z13" s="13" t="s">
        <v>186</v>
      </c>
      <c r="AA13" s="13" t="s">
        <v>187</v>
      </c>
      <c r="AB13" s="13" t="s">
        <v>188</v>
      </c>
      <c r="AC13" s="13" t="s">
        <v>189</v>
      </c>
      <c r="AD13" s="13" t="s">
        <v>190</v>
      </c>
      <c r="AE13" s="13" t="s">
        <v>191</v>
      </c>
      <c r="AF13" s="13" t="s">
        <v>192</v>
      </c>
      <c r="AG13" s="13" t="s">
        <v>193</v>
      </c>
      <c r="AH13" s="13" t="s">
        <v>194</v>
      </c>
      <c r="AI13" s="13" t="s">
        <v>195</v>
      </c>
      <c r="AJ13" s="13" t="s">
        <v>196</v>
      </c>
      <c r="AK13" s="36"/>
    </row>
    <row r="14" ht="12.75" customHeight="1">
      <c r="A14" s="18"/>
      <c r="B14" s="22" t="s">
        <v>11</v>
      </c>
      <c r="C14" s="23"/>
      <c r="D14" s="19" t="s">
        <v>12</v>
      </c>
      <c r="E14" s="69">
        <v>131.0</v>
      </c>
      <c r="F14" s="69">
        <v>127.0</v>
      </c>
      <c r="G14" s="69">
        <v>128.0</v>
      </c>
      <c r="H14" s="69">
        <v>150.0</v>
      </c>
      <c r="I14" s="69">
        <v>134.0</v>
      </c>
      <c r="J14" s="69">
        <v>136.0</v>
      </c>
      <c r="K14" s="69">
        <v>133.0</v>
      </c>
      <c r="L14" s="69">
        <v>152.0</v>
      </c>
      <c r="M14" s="69">
        <v>145.0</v>
      </c>
      <c r="N14" s="69">
        <v>131.0</v>
      </c>
      <c r="O14" s="69">
        <v>144.0</v>
      </c>
      <c r="P14" s="69">
        <v>135.0</v>
      </c>
      <c r="Q14" s="69">
        <v>127.0</v>
      </c>
      <c r="R14" s="69">
        <v>138.0</v>
      </c>
      <c r="S14" s="69">
        <v>138.0</v>
      </c>
      <c r="T14" s="69">
        <v>128.0</v>
      </c>
      <c r="U14" s="69">
        <v>140.0</v>
      </c>
      <c r="V14" s="69">
        <v>139.0</v>
      </c>
      <c r="W14" s="69">
        <v>138.0</v>
      </c>
      <c r="X14" s="69">
        <v>135.0</v>
      </c>
      <c r="Y14" s="69">
        <v>134.0</v>
      </c>
      <c r="Z14" s="69">
        <v>142.0</v>
      </c>
      <c r="AA14" s="69">
        <v>127.0</v>
      </c>
      <c r="AB14" s="69">
        <v>125.0</v>
      </c>
      <c r="AC14" s="69">
        <v>121.0</v>
      </c>
      <c r="AD14" s="69">
        <v>132.0</v>
      </c>
      <c r="AE14" s="69">
        <v>139.0</v>
      </c>
      <c r="AF14" s="69">
        <v>139.0</v>
      </c>
      <c r="AG14" s="69">
        <v>134.0</v>
      </c>
      <c r="AH14" s="69">
        <v>143.0</v>
      </c>
      <c r="AI14" s="69">
        <v>143.0</v>
      </c>
      <c r="AJ14" s="69">
        <v>155.0</v>
      </c>
      <c r="AK14" s="13">
        <f t="shared" ref="AK14:AK16" si="1">SUM(E14:AJ14)</f>
        <v>4363</v>
      </c>
    </row>
    <row r="15" ht="12.75" customHeight="1">
      <c r="A15" s="18"/>
      <c r="B15" s="26"/>
      <c r="C15" s="27"/>
      <c r="D15" s="19" t="s">
        <v>13</v>
      </c>
      <c r="E15" s="69">
        <v>132.0</v>
      </c>
      <c r="F15" s="69">
        <v>136.0</v>
      </c>
      <c r="G15" s="69">
        <v>128.0</v>
      </c>
      <c r="H15" s="69">
        <v>142.0</v>
      </c>
      <c r="I15" s="69">
        <v>144.0</v>
      </c>
      <c r="J15" s="69">
        <v>136.0</v>
      </c>
      <c r="K15" s="69">
        <v>139.0</v>
      </c>
      <c r="L15" s="69">
        <v>132.0</v>
      </c>
      <c r="M15" s="69">
        <v>135.0</v>
      </c>
      <c r="N15" s="69">
        <v>140.0</v>
      </c>
      <c r="O15" s="69">
        <v>135.0</v>
      </c>
      <c r="P15" s="69">
        <v>136.0</v>
      </c>
      <c r="Q15" s="69">
        <v>144.0</v>
      </c>
      <c r="R15" s="69">
        <v>142.0</v>
      </c>
      <c r="S15" s="69">
        <v>129.0</v>
      </c>
      <c r="T15" s="69">
        <v>143.0</v>
      </c>
      <c r="U15" s="69">
        <v>143.0</v>
      </c>
      <c r="V15" s="69">
        <v>129.0</v>
      </c>
      <c r="W15" s="69">
        <v>133.0</v>
      </c>
      <c r="X15" s="69">
        <v>132.0</v>
      </c>
      <c r="Y15" s="69">
        <v>134.0</v>
      </c>
      <c r="Z15" s="69">
        <v>123.0</v>
      </c>
      <c r="AA15" s="69">
        <v>147.0</v>
      </c>
      <c r="AB15" s="69">
        <v>131.0</v>
      </c>
      <c r="AC15" s="69">
        <v>104.0</v>
      </c>
      <c r="AD15" s="69">
        <v>132.0</v>
      </c>
      <c r="AE15" s="69">
        <v>131.0</v>
      </c>
      <c r="AF15" s="69">
        <v>130.0</v>
      </c>
      <c r="AG15" s="69">
        <v>137.0</v>
      </c>
      <c r="AH15" s="69">
        <v>143.0</v>
      </c>
      <c r="AI15" s="69">
        <v>123.0</v>
      </c>
      <c r="AJ15" s="69">
        <v>137.0</v>
      </c>
      <c r="AK15" s="13">
        <f t="shared" si="1"/>
        <v>4302</v>
      </c>
    </row>
    <row r="16" ht="12.75" customHeight="1">
      <c r="A16" s="25"/>
      <c r="B16" s="21"/>
      <c r="C16" s="28"/>
      <c r="D16" s="13" t="s">
        <v>14</v>
      </c>
      <c r="E16" s="13">
        <f t="shared" ref="E16:AJ16" si="2">SUM(E14:E15)</f>
        <v>263</v>
      </c>
      <c r="F16" s="13">
        <f t="shared" si="2"/>
        <v>263</v>
      </c>
      <c r="G16" s="13">
        <f t="shared" si="2"/>
        <v>256</v>
      </c>
      <c r="H16" s="13">
        <f t="shared" si="2"/>
        <v>292</v>
      </c>
      <c r="I16" s="13">
        <f t="shared" si="2"/>
        <v>278</v>
      </c>
      <c r="J16" s="13">
        <f t="shared" si="2"/>
        <v>272</v>
      </c>
      <c r="K16" s="13">
        <f t="shared" si="2"/>
        <v>272</v>
      </c>
      <c r="L16" s="13">
        <f t="shared" si="2"/>
        <v>284</v>
      </c>
      <c r="M16" s="13">
        <f t="shared" si="2"/>
        <v>280</v>
      </c>
      <c r="N16" s="13">
        <f t="shared" si="2"/>
        <v>271</v>
      </c>
      <c r="O16" s="13">
        <f t="shared" si="2"/>
        <v>279</v>
      </c>
      <c r="P16" s="13">
        <f t="shared" si="2"/>
        <v>271</v>
      </c>
      <c r="Q16" s="13">
        <f t="shared" si="2"/>
        <v>271</v>
      </c>
      <c r="R16" s="13">
        <f t="shared" si="2"/>
        <v>280</v>
      </c>
      <c r="S16" s="13">
        <f t="shared" si="2"/>
        <v>267</v>
      </c>
      <c r="T16" s="13">
        <f t="shared" si="2"/>
        <v>271</v>
      </c>
      <c r="U16" s="13">
        <f t="shared" si="2"/>
        <v>283</v>
      </c>
      <c r="V16" s="13">
        <f t="shared" si="2"/>
        <v>268</v>
      </c>
      <c r="W16" s="13">
        <f t="shared" si="2"/>
        <v>271</v>
      </c>
      <c r="X16" s="13">
        <f t="shared" si="2"/>
        <v>267</v>
      </c>
      <c r="Y16" s="13">
        <f t="shared" si="2"/>
        <v>268</v>
      </c>
      <c r="Z16" s="13">
        <f t="shared" si="2"/>
        <v>265</v>
      </c>
      <c r="AA16" s="13">
        <f t="shared" si="2"/>
        <v>274</v>
      </c>
      <c r="AB16" s="13">
        <f t="shared" si="2"/>
        <v>256</v>
      </c>
      <c r="AC16" s="13">
        <f t="shared" si="2"/>
        <v>225</v>
      </c>
      <c r="AD16" s="13">
        <f t="shared" si="2"/>
        <v>264</v>
      </c>
      <c r="AE16" s="13">
        <f t="shared" si="2"/>
        <v>270</v>
      </c>
      <c r="AF16" s="13">
        <f t="shared" si="2"/>
        <v>269</v>
      </c>
      <c r="AG16" s="13">
        <f t="shared" si="2"/>
        <v>271</v>
      </c>
      <c r="AH16" s="13">
        <f t="shared" si="2"/>
        <v>286</v>
      </c>
      <c r="AI16" s="13">
        <f t="shared" si="2"/>
        <v>266</v>
      </c>
      <c r="AJ16" s="13">
        <f t="shared" si="2"/>
        <v>292</v>
      </c>
      <c r="AK16" s="13">
        <f t="shared" si="1"/>
        <v>8665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0"/>
      <c r="O17" s="19"/>
      <c r="P17" s="19"/>
      <c r="Q17" s="19"/>
      <c r="R17" s="19"/>
      <c r="S17" s="70"/>
      <c r="T17" s="19"/>
      <c r="U17" s="19"/>
      <c r="V17" s="19"/>
      <c r="W17" s="19"/>
      <c r="X17" s="70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70"/>
      <c r="AJ17" s="19"/>
      <c r="AK17" s="71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0"/>
      <c r="O18" s="19"/>
      <c r="P18" s="19"/>
      <c r="Q18" s="19"/>
      <c r="R18" s="19"/>
      <c r="S18" s="70"/>
      <c r="T18" s="19"/>
      <c r="U18" s="19"/>
      <c r="V18" s="19"/>
      <c r="W18" s="19"/>
      <c r="X18" s="70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70"/>
      <c r="AJ18" s="19"/>
      <c r="AK18" s="71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69">
        <v>95.0</v>
      </c>
      <c r="F19" s="69">
        <v>101.0</v>
      </c>
      <c r="G19" s="69">
        <v>101.0</v>
      </c>
      <c r="H19" s="69">
        <v>125.0</v>
      </c>
      <c r="I19" s="69">
        <v>96.0</v>
      </c>
      <c r="J19" s="69">
        <v>105.0</v>
      </c>
      <c r="K19" s="69">
        <v>107.0</v>
      </c>
      <c r="L19" s="69">
        <v>100.0</v>
      </c>
      <c r="M19" s="69">
        <v>118.0</v>
      </c>
      <c r="N19" s="69">
        <v>101.0</v>
      </c>
      <c r="O19" s="69">
        <v>109.0</v>
      </c>
      <c r="P19" s="69">
        <v>114.0</v>
      </c>
      <c r="Q19" s="69">
        <v>101.0</v>
      </c>
      <c r="R19" s="69">
        <v>110.0</v>
      </c>
      <c r="S19" s="69">
        <v>94.0</v>
      </c>
      <c r="T19" s="69">
        <v>98.0</v>
      </c>
      <c r="U19" s="69">
        <v>109.0</v>
      </c>
      <c r="V19" s="69">
        <v>102.0</v>
      </c>
      <c r="W19" s="69">
        <v>111.0</v>
      </c>
      <c r="X19" s="69">
        <v>98.0</v>
      </c>
      <c r="Y19" s="69">
        <v>87.0</v>
      </c>
      <c r="Z19" s="69">
        <v>105.0</v>
      </c>
      <c r="AA19" s="69">
        <v>98.0</v>
      </c>
      <c r="AB19" s="69">
        <v>98.0</v>
      </c>
      <c r="AC19" s="69">
        <v>95.0</v>
      </c>
      <c r="AD19" s="69">
        <v>104.0</v>
      </c>
      <c r="AE19" s="69">
        <v>105.0</v>
      </c>
      <c r="AF19" s="69">
        <v>117.0</v>
      </c>
      <c r="AG19" s="69">
        <v>103.0</v>
      </c>
      <c r="AH19" s="69">
        <v>121.0</v>
      </c>
      <c r="AI19" s="69">
        <v>109.0</v>
      </c>
      <c r="AJ19" s="69">
        <v>122.0</v>
      </c>
      <c r="AK19" s="13">
        <f t="shared" ref="AK19:AK30" si="3">SUM(E19:AJ19)</f>
        <v>3359</v>
      </c>
    </row>
    <row r="20" ht="12.75" customHeight="1">
      <c r="A20" s="33"/>
      <c r="B20" s="27"/>
      <c r="C20" s="34"/>
      <c r="D20" s="19" t="s">
        <v>13</v>
      </c>
      <c r="E20" s="69">
        <v>96.0</v>
      </c>
      <c r="F20" s="69">
        <v>108.0</v>
      </c>
      <c r="G20" s="69">
        <v>105.0</v>
      </c>
      <c r="H20" s="69">
        <v>122.0</v>
      </c>
      <c r="I20" s="69">
        <v>109.0</v>
      </c>
      <c r="J20" s="69">
        <v>113.0</v>
      </c>
      <c r="K20" s="69">
        <v>107.0</v>
      </c>
      <c r="L20" s="69">
        <v>101.0</v>
      </c>
      <c r="M20" s="69">
        <v>112.0</v>
      </c>
      <c r="N20" s="69">
        <v>98.0</v>
      </c>
      <c r="O20" s="69">
        <v>118.0</v>
      </c>
      <c r="P20" s="69">
        <v>120.0</v>
      </c>
      <c r="Q20" s="69">
        <v>110.0</v>
      </c>
      <c r="R20" s="69">
        <v>112.0</v>
      </c>
      <c r="S20" s="69">
        <v>105.0</v>
      </c>
      <c r="T20" s="69">
        <v>115.0</v>
      </c>
      <c r="U20" s="69">
        <v>126.0</v>
      </c>
      <c r="V20" s="69">
        <v>102.0</v>
      </c>
      <c r="W20" s="69">
        <v>96.0</v>
      </c>
      <c r="X20" s="69">
        <v>100.0</v>
      </c>
      <c r="Y20" s="69">
        <v>98.0</v>
      </c>
      <c r="Z20" s="69">
        <v>106.0</v>
      </c>
      <c r="AA20" s="69">
        <v>118.0</v>
      </c>
      <c r="AB20" s="69">
        <v>106.0</v>
      </c>
      <c r="AC20" s="69">
        <v>84.0</v>
      </c>
      <c r="AD20" s="69">
        <v>99.0</v>
      </c>
      <c r="AE20" s="69">
        <v>101.0</v>
      </c>
      <c r="AF20" s="69">
        <v>109.0</v>
      </c>
      <c r="AG20" s="69">
        <v>112.0</v>
      </c>
      <c r="AH20" s="69">
        <v>118.0</v>
      </c>
      <c r="AI20" s="69">
        <v>96.0</v>
      </c>
      <c r="AJ20" s="69">
        <v>110.0</v>
      </c>
      <c r="AK20" s="13">
        <f t="shared" si="3"/>
        <v>3432</v>
      </c>
    </row>
    <row r="21" ht="12.75" customHeight="1">
      <c r="A21" s="35"/>
      <c r="B21" s="28"/>
      <c r="C21" s="36"/>
      <c r="D21" s="13" t="s">
        <v>14</v>
      </c>
      <c r="E21" s="13">
        <f t="shared" ref="E21:AJ21" si="4">SUM(E19:E20)</f>
        <v>191</v>
      </c>
      <c r="F21" s="13">
        <f t="shared" si="4"/>
        <v>209</v>
      </c>
      <c r="G21" s="13">
        <f t="shared" si="4"/>
        <v>206</v>
      </c>
      <c r="H21" s="13">
        <f t="shared" si="4"/>
        <v>247</v>
      </c>
      <c r="I21" s="13">
        <f t="shared" si="4"/>
        <v>205</v>
      </c>
      <c r="J21" s="13">
        <f t="shared" si="4"/>
        <v>218</v>
      </c>
      <c r="K21" s="13">
        <f t="shared" si="4"/>
        <v>214</v>
      </c>
      <c r="L21" s="13">
        <f t="shared" si="4"/>
        <v>201</v>
      </c>
      <c r="M21" s="13">
        <f t="shared" si="4"/>
        <v>230</v>
      </c>
      <c r="N21" s="13">
        <f t="shared" si="4"/>
        <v>199</v>
      </c>
      <c r="O21" s="13">
        <f t="shared" si="4"/>
        <v>227</v>
      </c>
      <c r="P21" s="13">
        <f t="shared" si="4"/>
        <v>234</v>
      </c>
      <c r="Q21" s="13">
        <f t="shared" si="4"/>
        <v>211</v>
      </c>
      <c r="R21" s="13">
        <f t="shared" si="4"/>
        <v>222</v>
      </c>
      <c r="S21" s="13">
        <f t="shared" si="4"/>
        <v>199</v>
      </c>
      <c r="T21" s="13">
        <f t="shared" si="4"/>
        <v>213</v>
      </c>
      <c r="U21" s="13">
        <f t="shared" si="4"/>
        <v>235</v>
      </c>
      <c r="V21" s="13">
        <f t="shared" si="4"/>
        <v>204</v>
      </c>
      <c r="W21" s="13">
        <f t="shared" si="4"/>
        <v>207</v>
      </c>
      <c r="X21" s="13">
        <f t="shared" si="4"/>
        <v>198</v>
      </c>
      <c r="Y21" s="13">
        <f t="shared" si="4"/>
        <v>185</v>
      </c>
      <c r="Z21" s="13">
        <f t="shared" si="4"/>
        <v>211</v>
      </c>
      <c r="AA21" s="13">
        <f t="shared" si="4"/>
        <v>216</v>
      </c>
      <c r="AB21" s="13">
        <f t="shared" si="4"/>
        <v>204</v>
      </c>
      <c r="AC21" s="13">
        <f t="shared" si="4"/>
        <v>179</v>
      </c>
      <c r="AD21" s="13">
        <f t="shared" si="4"/>
        <v>203</v>
      </c>
      <c r="AE21" s="13">
        <f t="shared" si="4"/>
        <v>206</v>
      </c>
      <c r="AF21" s="13">
        <f t="shared" si="4"/>
        <v>226</v>
      </c>
      <c r="AG21" s="13">
        <f t="shared" si="4"/>
        <v>215</v>
      </c>
      <c r="AH21" s="13">
        <f t="shared" si="4"/>
        <v>239</v>
      </c>
      <c r="AI21" s="13">
        <f t="shared" si="4"/>
        <v>205</v>
      </c>
      <c r="AJ21" s="13">
        <f t="shared" si="4"/>
        <v>232</v>
      </c>
      <c r="AK21" s="13">
        <f t="shared" si="3"/>
        <v>6791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69">
        <v>0.0</v>
      </c>
      <c r="F22" s="69">
        <v>0.0</v>
      </c>
      <c r="G22" s="69">
        <v>0.0</v>
      </c>
      <c r="H22" s="69">
        <v>0.0</v>
      </c>
      <c r="I22" s="69">
        <v>0.0</v>
      </c>
      <c r="J22" s="69">
        <v>0.0</v>
      </c>
      <c r="K22" s="69">
        <v>0.0</v>
      </c>
      <c r="L22" s="69">
        <v>0.0</v>
      </c>
      <c r="M22" s="69">
        <v>0.0</v>
      </c>
      <c r="N22" s="69">
        <v>0.0</v>
      </c>
      <c r="O22" s="69">
        <v>0.0</v>
      </c>
      <c r="P22" s="69">
        <v>0.0</v>
      </c>
      <c r="Q22" s="69">
        <v>0.0</v>
      </c>
      <c r="R22" s="69">
        <v>0.0</v>
      </c>
      <c r="S22" s="69">
        <v>0.0</v>
      </c>
      <c r="T22" s="69">
        <v>0.0</v>
      </c>
      <c r="U22" s="69">
        <v>0.0</v>
      </c>
      <c r="V22" s="69">
        <v>0.0</v>
      </c>
      <c r="W22" s="69">
        <v>0.0</v>
      </c>
      <c r="X22" s="69">
        <v>0.0</v>
      </c>
      <c r="Y22" s="69">
        <v>0.0</v>
      </c>
      <c r="Z22" s="69">
        <v>0.0</v>
      </c>
      <c r="AA22" s="69">
        <v>0.0</v>
      </c>
      <c r="AB22" s="69">
        <v>0.0</v>
      </c>
      <c r="AC22" s="69">
        <v>0.0</v>
      </c>
      <c r="AD22" s="69">
        <v>0.0</v>
      </c>
      <c r="AE22" s="69">
        <v>0.0</v>
      </c>
      <c r="AF22" s="69">
        <v>0.0</v>
      </c>
      <c r="AG22" s="69">
        <v>0.0</v>
      </c>
      <c r="AH22" s="69">
        <v>0.0</v>
      </c>
      <c r="AI22" s="69">
        <v>0.0</v>
      </c>
      <c r="AJ22" s="69">
        <v>0.0</v>
      </c>
      <c r="AK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69">
        <v>0.0</v>
      </c>
      <c r="F23" s="69">
        <v>0.0</v>
      </c>
      <c r="G23" s="69">
        <v>1.0</v>
      </c>
      <c r="H23" s="69">
        <v>0.0</v>
      </c>
      <c r="I23" s="69">
        <v>0.0</v>
      </c>
      <c r="J23" s="69">
        <v>0.0</v>
      </c>
      <c r="K23" s="69">
        <v>0.0</v>
      </c>
      <c r="L23" s="69">
        <v>0.0</v>
      </c>
      <c r="M23" s="69">
        <v>0.0</v>
      </c>
      <c r="N23" s="69">
        <v>0.0</v>
      </c>
      <c r="O23" s="69">
        <v>0.0</v>
      </c>
      <c r="P23" s="69">
        <v>0.0</v>
      </c>
      <c r="Q23" s="69">
        <v>0.0</v>
      </c>
      <c r="R23" s="69">
        <v>0.0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69">
        <v>0.0</v>
      </c>
      <c r="Y23" s="69">
        <v>0.0</v>
      </c>
      <c r="Z23" s="69">
        <v>0.0</v>
      </c>
      <c r="AA23" s="69">
        <v>0.0</v>
      </c>
      <c r="AB23" s="69">
        <v>0.0</v>
      </c>
      <c r="AC23" s="69">
        <v>0.0</v>
      </c>
      <c r="AD23" s="69">
        <v>0.0</v>
      </c>
      <c r="AE23" s="69">
        <v>0.0</v>
      </c>
      <c r="AF23" s="69">
        <v>0.0</v>
      </c>
      <c r="AG23" s="69">
        <v>0.0</v>
      </c>
      <c r="AH23" s="69">
        <v>0.0</v>
      </c>
      <c r="AI23" s="69">
        <v>0.0</v>
      </c>
      <c r="AJ23" s="69">
        <v>0.0</v>
      </c>
      <c r="AK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AJ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69">
        <v>3.0</v>
      </c>
      <c r="F25" s="69">
        <v>2.0</v>
      </c>
      <c r="G25" s="69">
        <v>0.0</v>
      </c>
      <c r="H25" s="69">
        <v>0.0</v>
      </c>
      <c r="I25" s="69">
        <v>1.0</v>
      </c>
      <c r="J25" s="69">
        <v>4.0</v>
      </c>
      <c r="K25" s="69">
        <v>0.0</v>
      </c>
      <c r="L25" s="69">
        <v>0.0</v>
      </c>
      <c r="M25" s="69">
        <v>4.0</v>
      </c>
      <c r="N25" s="69">
        <v>2.0</v>
      </c>
      <c r="O25" s="69">
        <v>0.0</v>
      </c>
      <c r="P25" s="69">
        <v>2.0</v>
      </c>
      <c r="Q25" s="69">
        <v>0.0</v>
      </c>
      <c r="R25" s="69">
        <v>1.0</v>
      </c>
      <c r="S25" s="69">
        <v>0.0</v>
      </c>
      <c r="T25" s="69">
        <v>4.0</v>
      </c>
      <c r="U25" s="69">
        <v>2.0</v>
      </c>
      <c r="V25" s="69">
        <v>0.0</v>
      </c>
      <c r="W25" s="69">
        <v>0.0</v>
      </c>
      <c r="X25" s="69">
        <v>3.0</v>
      </c>
      <c r="Y25" s="69">
        <v>1.0</v>
      </c>
      <c r="Z25" s="69">
        <v>0.0</v>
      </c>
      <c r="AA25" s="69">
        <v>0.0</v>
      </c>
      <c r="AB25" s="69">
        <v>4.0</v>
      </c>
      <c r="AC25" s="69">
        <v>0.0</v>
      </c>
      <c r="AD25" s="69">
        <v>1.0</v>
      </c>
      <c r="AE25" s="69">
        <v>1.0</v>
      </c>
      <c r="AF25" s="69">
        <v>0.0</v>
      </c>
      <c r="AG25" s="69">
        <v>1.0</v>
      </c>
      <c r="AH25" s="69">
        <v>1.0</v>
      </c>
      <c r="AI25" s="69">
        <v>1.0</v>
      </c>
      <c r="AJ25" s="69">
        <v>0.0</v>
      </c>
      <c r="AK25" s="13">
        <f t="shared" si="3"/>
        <v>38</v>
      </c>
    </row>
    <row r="26" ht="12.75" customHeight="1">
      <c r="A26" s="33"/>
      <c r="B26" s="27"/>
      <c r="C26" s="34"/>
      <c r="D26" s="19" t="s">
        <v>13</v>
      </c>
      <c r="E26" s="69">
        <v>2.0</v>
      </c>
      <c r="F26" s="69">
        <v>4.0</v>
      </c>
      <c r="G26" s="69">
        <v>1.0</v>
      </c>
      <c r="H26" s="69">
        <v>0.0</v>
      </c>
      <c r="I26" s="69">
        <v>0.0</v>
      </c>
      <c r="J26" s="69">
        <v>6.0</v>
      </c>
      <c r="K26" s="69">
        <v>0.0</v>
      </c>
      <c r="L26" s="69">
        <v>0.0</v>
      </c>
      <c r="M26" s="69">
        <v>2.0</v>
      </c>
      <c r="N26" s="69">
        <v>2.0</v>
      </c>
      <c r="O26" s="69">
        <v>0.0</v>
      </c>
      <c r="P26" s="69">
        <v>3.0</v>
      </c>
      <c r="Q26" s="69">
        <v>1.0</v>
      </c>
      <c r="R26" s="69">
        <v>1.0</v>
      </c>
      <c r="S26" s="69">
        <v>0.0</v>
      </c>
      <c r="T26" s="69">
        <v>4.0</v>
      </c>
      <c r="U26" s="69">
        <v>1.0</v>
      </c>
      <c r="V26" s="69">
        <v>5.0</v>
      </c>
      <c r="W26" s="69">
        <v>0.0</v>
      </c>
      <c r="X26" s="69">
        <v>0.0</v>
      </c>
      <c r="Y26" s="69">
        <v>0.0</v>
      </c>
      <c r="Z26" s="69">
        <v>2.0</v>
      </c>
      <c r="AA26" s="69">
        <v>1.0</v>
      </c>
      <c r="AB26" s="69">
        <v>1.0</v>
      </c>
      <c r="AC26" s="69">
        <v>0.0</v>
      </c>
      <c r="AD26" s="69">
        <v>0.0</v>
      </c>
      <c r="AE26" s="69">
        <v>2.0</v>
      </c>
      <c r="AF26" s="69">
        <v>0.0</v>
      </c>
      <c r="AG26" s="69">
        <v>1.0</v>
      </c>
      <c r="AH26" s="69">
        <v>2.0</v>
      </c>
      <c r="AI26" s="69">
        <v>1.0</v>
      </c>
      <c r="AJ26" s="69">
        <v>1.0</v>
      </c>
      <c r="AK26" s="13">
        <f t="shared" si="3"/>
        <v>43</v>
      </c>
    </row>
    <row r="27" ht="12.75" customHeight="1">
      <c r="A27" s="35"/>
      <c r="B27" s="28"/>
      <c r="C27" s="36"/>
      <c r="D27" s="13" t="s">
        <v>14</v>
      </c>
      <c r="E27" s="13">
        <f t="shared" ref="E27:AJ27" si="6">SUM(E25:E26)</f>
        <v>5</v>
      </c>
      <c r="F27" s="13">
        <f t="shared" si="6"/>
        <v>6</v>
      </c>
      <c r="G27" s="13">
        <f t="shared" si="6"/>
        <v>1</v>
      </c>
      <c r="H27" s="13">
        <f t="shared" si="6"/>
        <v>0</v>
      </c>
      <c r="I27" s="13">
        <f t="shared" si="6"/>
        <v>1</v>
      </c>
      <c r="J27" s="13">
        <f t="shared" si="6"/>
        <v>10</v>
      </c>
      <c r="K27" s="13">
        <f t="shared" si="6"/>
        <v>0</v>
      </c>
      <c r="L27" s="13">
        <f t="shared" si="6"/>
        <v>0</v>
      </c>
      <c r="M27" s="13">
        <f t="shared" si="6"/>
        <v>6</v>
      </c>
      <c r="N27" s="13">
        <f t="shared" si="6"/>
        <v>4</v>
      </c>
      <c r="O27" s="13">
        <f t="shared" si="6"/>
        <v>0</v>
      </c>
      <c r="P27" s="13">
        <f t="shared" si="6"/>
        <v>5</v>
      </c>
      <c r="Q27" s="13">
        <f t="shared" si="6"/>
        <v>1</v>
      </c>
      <c r="R27" s="13">
        <f t="shared" si="6"/>
        <v>2</v>
      </c>
      <c r="S27" s="13">
        <f t="shared" si="6"/>
        <v>0</v>
      </c>
      <c r="T27" s="13">
        <f t="shared" si="6"/>
        <v>8</v>
      </c>
      <c r="U27" s="13">
        <f t="shared" si="6"/>
        <v>3</v>
      </c>
      <c r="V27" s="13">
        <f t="shared" si="6"/>
        <v>5</v>
      </c>
      <c r="W27" s="13">
        <f t="shared" si="6"/>
        <v>0</v>
      </c>
      <c r="X27" s="13">
        <f t="shared" si="6"/>
        <v>3</v>
      </c>
      <c r="Y27" s="13">
        <f t="shared" si="6"/>
        <v>1</v>
      </c>
      <c r="Z27" s="13">
        <f t="shared" si="6"/>
        <v>2</v>
      </c>
      <c r="AA27" s="13">
        <f t="shared" si="6"/>
        <v>1</v>
      </c>
      <c r="AB27" s="13">
        <f t="shared" si="6"/>
        <v>5</v>
      </c>
      <c r="AC27" s="13">
        <f t="shared" si="6"/>
        <v>0</v>
      </c>
      <c r="AD27" s="13">
        <f t="shared" si="6"/>
        <v>1</v>
      </c>
      <c r="AE27" s="13">
        <f t="shared" si="6"/>
        <v>3</v>
      </c>
      <c r="AF27" s="13">
        <f t="shared" si="6"/>
        <v>0</v>
      </c>
      <c r="AG27" s="13">
        <f t="shared" si="6"/>
        <v>2</v>
      </c>
      <c r="AH27" s="13">
        <f t="shared" si="6"/>
        <v>3</v>
      </c>
      <c r="AI27" s="13">
        <f t="shared" si="6"/>
        <v>2</v>
      </c>
      <c r="AJ27" s="13">
        <f t="shared" si="6"/>
        <v>1</v>
      </c>
      <c r="AK27" s="13">
        <f t="shared" si="3"/>
        <v>81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J28" si="7">SUM(E19,E22,E25)</f>
        <v>98</v>
      </c>
      <c r="F28" s="13">
        <f t="shared" si="7"/>
        <v>103</v>
      </c>
      <c r="G28" s="13">
        <f t="shared" si="7"/>
        <v>101</v>
      </c>
      <c r="H28" s="13">
        <f t="shared" si="7"/>
        <v>125</v>
      </c>
      <c r="I28" s="13">
        <f t="shared" si="7"/>
        <v>97</v>
      </c>
      <c r="J28" s="13">
        <f t="shared" si="7"/>
        <v>109</v>
      </c>
      <c r="K28" s="13">
        <f t="shared" si="7"/>
        <v>107</v>
      </c>
      <c r="L28" s="13">
        <f t="shared" si="7"/>
        <v>100</v>
      </c>
      <c r="M28" s="13">
        <f t="shared" si="7"/>
        <v>122</v>
      </c>
      <c r="N28" s="13">
        <f t="shared" si="7"/>
        <v>103</v>
      </c>
      <c r="O28" s="13">
        <f t="shared" si="7"/>
        <v>109</v>
      </c>
      <c r="P28" s="13">
        <f t="shared" si="7"/>
        <v>116</v>
      </c>
      <c r="Q28" s="13">
        <f t="shared" si="7"/>
        <v>101</v>
      </c>
      <c r="R28" s="13">
        <f t="shared" si="7"/>
        <v>111</v>
      </c>
      <c r="S28" s="13">
        <f t="shared" si="7"/>
        <v>94</v>
      </c>
      <c r="T28" s="13">
        <f t="shared" si="7"/>
        <v>102</v>
      </c>
      <c r="U28" s="13">
        <f t="shared" si="7"/>
        <v>111</v>
      </c>
      <c r="V28" s="13">
        <f t="shared" si="7"/>
        <v>102</v>
      </c>
      <c r="W28" s="13">
        <f t="shared" si="7"/>
        <v>111</v>
      </c>
      <c r="X28" s="13">
        <f t="shared" si="7"/>
        <v>101</v>
      </c>
      <c r="Y28" s="13">
        <f t="shared" si="7"/>
        <v>88</v>
      </c>
      <c r="Z28" s="13">
        <f t="shared" si="7"/>
        <v>105</v>
      </c>
      <c r="AA28" s="13">
        <f t="shared" si="7"/>
        <v>98</v>
      </c>
      <c r="AB28" s="13">
        <f t="shared" si="7"/>
        <v>102</v>
      </c>
      <c r="AC28" s="13">
        <f t="shared" si="7"/>
        <v>95</v>
      </c>
      <c r="AD28" s="13">
        <f t="shared" si="7"/>
        <v>105</v>
      </c>
      <c r="AE28" s="13">
        <f t="shared" si="7"/>
        <v>106</v>
      </c>
      <c r="AF28" s="13">
        <f t="shared" si="7"/>
        <v>117</v>
      </c>
      <c r="AG28" s="13">
        <f t="shared" si="7"/>
        <v>104</v>
      </c>
      <c r="AH28" s="13">
        <f t="shared" si="7"/>
        <v>122</v>
      </c>
      <c r="AI28" s="13">
        <f t="shared" si="7"/>
        <v>110</v>
      </c>
      <c r="AJ28" s="13">
        <f t="shared" si="7"/>
        <v>122</v>
      </c>
      <c r="AK28" s="13">
        <f t="shared" si="3"/>
        <v>3397</v>
      </c>
    </row>
    <row r="29" ht="12.75" customHeight="1">
      <c r="A29" s="35"/>
      <c r="B29" s="27"/>
      <c r="C29" s="34"/>
      <c r="D29" s="13" t="s">
        <v>13</v>
      </c>
      <c r="E29" s="13">
        <f t="shared" ref="E29:AJ29" si="8">SUM(E20,E23,E26)</f>
        <v>98</v>
      </c>
      <c r="F29" s="13">
        <f t="shared" si="8"/>
        <v>112</v>
      </c>
      <c r="G29" s="13">
        <f t="shared" si="8"/>
        <v>107</v>
      </c>
      <c r="H29" s="13">
        <f t="shared" si="8"/>
        <v>122</v>
      </c>
      <c r="I29" s="13">
        <f t="shared" si="8"/>
        <v>109</v>
      </c>
      <c r="J29" s="13">
        <f t="shared" si="8"/>
        <v>119</v>
      </c>
      <c r="K29" s="13">
        <f t="shared" si="8"/>
        <v>107</v>
      </c>
      <c r="L29" s="13">
        <f t="shared" si="8"/>
        <v>101</v>
      </c>
      <c r="M29" s="13">
        <f t="shared" si="8"/>
        <v>114</v>
      </c>
      <c r="N29" s="13">
        <f t="shared" si="8"/>
        <v>100</v>
      </c>
      <c r="O29" s="13">
        <f t="shared" si="8"/>
        <v>118</v>
      </c>
      <c r="P29" s="13">
        <f t="shared" si="8"/>
        <v>123</v>
      </c>
      <c r="Q29" s="13">
        <f t="shared" si="8"/>
        <v>111</v>
      </c>
      <c r="R29" s="13">
        <f t="shared" si="8"/>
        <v>113</v>
      </c>
      <c r="S29" s="13">
        <f t="shared" si="8"/>
        <v>105</v>
      </c>
      <c r="T29" s="13">
        <f t="shared" si="8"/>
        <v>119</v>
      </c>
      <c r="U29" s="13">
        <f t="shared" si="8"/>
        <v>127</v>
      </c>
      <c r="V29" s="13">
        <f t="shared" si="8"/>
        <v>107</v>
      </c>
      <c r="W29" s="13">
        <f t="shared" si="8"/>
        <v>96</v>
      </c>
      <c r="X29" s="13">
        <f t="shared" si="8"/>
        <v>100</v>
      </c>
      <c r="Y29" s="13">
        <f t="shared" si="8"/>
        <v>98</v>
      </c>
      <c r="Z29" s="13">
        <f t="shared" si="8"/>
        <v>108</v>
      </c>
      <c r="AA29" s="13">
        <f t="shared" si="8"/>
        <v>119</v>
      </c>
      <c r="AB29" s="13">
        <f t="shared" si="8"/>
        <v>107</v>
      </c>
      <c r="AC29" s="13">
        <f t="shared" si="8"/>
        <v>84</v>
      </c>
      <c r="AD29" s="13">
        <f t="shared" si="8"/>
        <v>99</v>
      </c>
      <c r="AE29" s="13">
        <f t="shared" si="8"/>
        <v>103</v>
      </c>
      <c r="AF29" s="13">
        <f t="shared" si="8"/>
        <v>109</v>
      </c>
      <c r="AG29" s="13">
        <f t="shared" si="8"/>
        <v>113</v>
      </c>
      <c r="AH29" s="13">
        <f t="shared" si="8"/>
        <v>120</v>
      </c>
      <c r="AI29" s="13">
        <f t="shared" si="8"/>
        <v>97</v>
      </c>
      <c r="AJ29" s="13">
        <f t="shared" si="8"/>
        <v>111</v>
      </c>
      <c r="AK29" s="13">
        <f t="shared" si="3"/>
        <v>3476</v>
      </c>
    </row>
    <row r="30" ht="12.75" customHeight="1">
      <c r="A30" s="35"/>
      <c r="B30" s="28"/>
      <c r="C30" s="36"/>
      <c r="D30" s="13" t="s">
        <v>14</v>
      </c>
      <c r="E30" s="13">
        <f t="shared" ref="E30:AJ30" si="9">SUM(E28:E29)</f>
        <v>196</v>
      </c>
      <c r="F30" s="13">
        <f t="shared" si="9"/>
        <v>215</v>
      </c>
      <c r="G30" s="13">
        <f t="shared" si="9"/>
        <v>208</v>
      </c>
      <c r="H30" s="13">
        <f t="shared" si="9"/>
        <v>247</v>
      </c>
      <c r="I30" s="13">
        <f t="shared" si="9"/>
        <v>206</v>
      </c>
      <c r="J30" s="13">
        <f t="shared" si="9"/>
        <v>228</v>
      </c>
      <c r="K30" s="13">
        <f t="shared" si="9"/>
        <v>214</v>
      </c>
      <c r="L30" s="13">
        <f t="shared" si="9"/>
        <v>201</v>
      </c>
      <c r="M30" s="13">
        <f t="shared" si="9"/>
        <v>236</v>
      </c>
      <c r="N30" s="13">
        <f t="shared" si="9"/>
        <v>203</v>
      </c>
      <c r="O30" s="13">
        <f t="shared" si="9"/>
        <v>227</v>
      </c>
      <c r="P30" s="13">
        <f t="shared" si="9"/>
        <v>239</v>
      </c>
      <c r="Q30" s="13">
        <f t="shared" si="9"/>
        <v>212</v>
      </c>
      <c r="R30" s="13">
        <f t="shared" si="9"/>
        <v>224</v>
      </c>
      <c r="S30" s="13">
        <f t="shared" si="9"/>
        <v>199</v>
      </c>
      <c r="T30" s="13">
        <f t="shared" si="9"/>
        <v>221</v>
      </c>
      <c r="U30" s="13">
        <f t="shared" si="9"/>
        <v>238</v>
      </c>
      <c r="V30" s="13">
        <f t="shared" si="9"/>
        <v>209</v>
      </c>
      <c r="W30" s="13">
        <f t="shared" si="9"/>
        <v>207</v>
      </c>
      <c r="X30" s="13">
        <f t="shared" si="9"/>
        <v>201</v>
      </c>
      <c r="Y30" s="13">
        <f t="shared" si="9"/>
        <v>186</v>
      </c>
      <c r="Z30" s="13">
        <f t="shared" si="9"/>
        <v>213</v>
      </c>
      <c r="AA30" s="13">
        <f t="shared" si="9"/>
        <v>217</v>
      </c>
      <c r="AB30" s="13">
        <f t="shared" si="9"/>
        <v>209</v>
      </c>
      <c r="AC30" s="13">
        <f t="shared" si="9"/>
        <v>179</v>
      </c>
      <c r="AD30" s="13">
        <f t="shared" si="9"/>
        <v>204</v>
      </c>
      <c r="AE30" s="13">
        <f t="shared" si="9"/>
        <v>209</v>
      </c>
      <c r="AF30" s="13">
        <f t="shared" si="9"/>
        <v>226</v>
      </c>
      <c r="AG30" s="13">
        <f t="shared" si="9"/>
        <v>217</v>
      </c>
      <c r="AH30" s="13">
        <f t="shared" si="9"/>
        <v>242</v>
      </c>
      <c r="AI30" s="13">
        <f t="shared" si="9"/>
        <v>207</v>
      </c>
      <c r="AJ30" s="13">
        <f t="shared" si="9"/>
        <v>233</v>
      </c>
      <c r="AK30" s="13">
        <f t="shared" si="3"/>
        <v>6873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0"/>
      <c r="O31" s="19"/>
      <c r="P31" s="19"/>
      <c r="Q31" s="19"/>
      <c r="R31" s="19"/>
      <c r="S31" s="70"/>
      <c r="T31" s="19"/>
      <c r="U31" s="19"/>
      <c r="V31" s="19"/>
      <c r="W31" s="19"/>
      <c r="X31" s="70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70"/>
      <c r="AJ31" s="19"/>
      <c r="AK31" s="71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2"/>
      <c r="O32" s="13"/>
      <c r="P32" s="13"/>
      <c r="Q32" s="13"/>
      <c r="R32" s="13"/>
      <c r="S32" s="72"/>
      <c r="T32" s="13"/>
      <c r="U32" s="13"/>
      <c r="V32" s="13"/>
      <c r="W32" s="13"/>
      <c r="X32" s="72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72"/>
      <c r="AJ32" s="13"/>
      <c r="AK32" s="71"/>
    </row>
    <row r="33" ht="12.75" customHeight="1">
      <c r="A33" s="19">
        <v>1.0</v>
      </c>
      <c r="B33" s="20" t="s">
        <v>27</v>
      </c>
      <c r="C33" s="15"/>
      <c r="D33" s="16"/>
      <c r="E33" s="69">
        <v>269.0</v>
      </c>
      <c r="F33" s="69">
        <v>268.0</v>
      </c>
      <c r="G33" s="69">
        <v>262.0</v>
      </c>
      <c r="H33" s="69">
        <v>298.0</v>
      </c>
      <c r="I33" s="69">
        <v>284.0</v>
      </c>
      <c r="J33" s="69">
        <v>278.0</v>
      </c>
      <c r="K33" s="69">
        <v>278.0</v>
      </c>
      <c r="L33" s="69">
        <v>290.0</v>
      </c>
      <c r="M33" s="69">
        <v>286.0</v>
      </c>
      <c r="N33" s="69">
        <v>277.0</v>
      </c>
      <c r="O33" s="69">
        <v>285.0</v>
      </c>
      <c r="P33" s="69">
        <v>277.0</v>
      </c>
      <c r="Q33" s="69">
        <v>277.0</v>
      </c>
      <c r="R33" s="69">
        <v>286.0</v>
      </c>
      <c r="S33" s="69">
        <v>274.0</v>
      </c>
      <c r="T33" s="69">
        <v>277.0</v>
      </c>
      <c r="U33" s="69">
        <v>289.0</v>
      </c>
      <c r="V33" s="69">
        <v>274.0</v>
      </c>
      <c r="W33" s="69">
        <v>277.0</v>
      </c>
      <c r="X33" s="69">
        <v>273.0</v>
      </c>
      <c r="Y33" s="69">
        <v>274.0</v>
      </c>
      <c r="Z33" s="69">
        <v>271.0</v>
      </c>
      <c r="AA33" s="69">
        <v>280.0</v>
      </c>
      <c r="AB33" s="69">
        <v>262.0</v>
      </c>
      <c r="AC33" s="69">
        <v>230.0</v>
      </c>
      <c r="AD33" s="69">
        <v>270.0</v>
      </c>
      <c r="AE33" s="69">
        <v>276.0</v>
      </c>
      <c r="AF33" s="69">
        <v>275.0</v>
      </c>
      <c r="AG33" s="69">
        <v>277.0</v>
      </c>
      <c r="AH33" s="69">
        <v>292.0</v>
      </c>
      <c r="AI33" s="69">
        <v>272.0</v>
      </c>
      <c r="AJ33" s="69">
        <v>298.0</v>
      </c>
      <c r="AK33" s="13">
        <f t="shared" ref="AK33:AK36" si="10">SUM(E33:AJ33)</f>
        <v>8856</v>
      </c>
    </row>
    <row r="34" ht="12.75" customHeight="1">
      <c r="A34" s="19">
        <v>2.0</v>
      </c>
      <c r="B34" s="20" t="s">
        <v>28</v>
      </c>
      <c r="C34" s="15"/>
      <c r="D34" s="16"/>
      <c r="E34" s="73">
        <v>196.0</v>
      </c>
      <c r="F34" s="73">
        <v>215.0</v>
      </c>
      <c r="G34" s="73">
        <v>208.0</v>
      </c>
      <c r="H34" s="73">
        <v>247.0</v>
      </c>
      <c r="I34" s="73">
        <v>206.0</v>
      </c>
      <c r="J34" s="73">
        <v>228.0</v>
      </c>
      <c r="K34" s="73">
        <v>214.0</v>
      </c>
      <c r="L34" s="73">
        <v>201.0</v>
      </c>
      <c r="M34" s="73">
        <v>236.0</v>
      </c>
      <c r="N34" s="73">
        <v>203.0</v>
      </c>
      <c r="O34" s="73">
        <v>227.0</v>
      </c>
      <c r="P34" s="73">
        <v>239.0</v>
      </c>
      <c r="Q34" s="73">
        <v>212.0</v>
      </c>
      <c r="R34" s="73">
        <v>224.0</v>
      </c>
      <c r="S34" s="73">
        <v>199.0</v>
      </c>
      <c r="T34" s="73">
        <v>221.0</v>
      </c>
      <c r="U34" s="73">
        <v>238.0</v>
      </c>
      <c r="V34" s="73">
        <v>209.0</v>
      </c>
      <c r="W34" s="73">
        <v>207.0</v>
      </c>
      <c r="X34" s="73">
        <v>201.0</v>
      </c>
      <c r="Y34" s="73">
        <v>186.0</v>
      </c>
      <c r="Z34" s="73">
        <v>213.0</v>
      </c>
      <c r="AA34" s="73">
        <v>217.0</v>
      </c>
      <c r="AB34" s="73">
        <v>209.0</v>
      </c>
      <c r="AC34" s="73">
        <v>179.0</v>
      </c>
      <c r="AD34" s="73">
        <v>204.0</v>
      </c>
      <c r="AE34" s="73">
        <v>209.0</v>
      </c>
      <c r="AF34" s="73">
        <v>226.0</v>
      </c>
      <c r="AG34" s="73">
        <v>217.0</v>
      </c>
      <c r="AH34" s="73">
        <v>242.0</v>
      </c>
      <c r="AI34" s="73">
        <v>207.0</v>
      </c>
      <c r="AJ34" s="73">
        <v>233.0</v>
      </c>
      <c r="AK34" s="13">
        <f t="shared" si="10"/>
        <v>6873</v>
      </c>
    </row>
    <row r="35" ht="12.75" customHeight="1">
      <c r="A35" s="19">
        <v>3.0</v>
      </c>
      <c r="B35" s="20" t="s">
        <v>29</v>
      </c>
      <c r="C35" s="15"/>
      <c r="D35" s="16"/>
      <c r="E35" s="69">
        <v>0.0</v>
      </c>
      <c r="F35" s="69">
        <v>3.0</v>
      </c>
      <c r="G35" s="69">
        <v>2.0</v>
      </c>
      <c r="H35" s="69">
        <v>2.0</v>
      </c>
      <c r="I35" s="69">
        <v>0.0</v>
      </c>
      <c r="J35" s="69">
        <v>0.0</v>
      </c>
      <c r="K35" s="69">
        <v>1.0</v>
      </c>
      <c r="L35" s="69">
        <v>0.0</v>
      </c>
      <c r="M35" s="69">
        <v>2.0</v>
      </c>
      <c r="N35" s="69">
        <v>0.0</v>
      </c>
      <c r="O35" s="69">
        <v>3.0</v>
      </c>
      <c r="P35" s="69">
        <v>0.0</v>
      </c>
      <c r="Q35" s="69">
        <v>1.0</v>
      </c>
      <c r="R35" s="69">
        <v>0.0</v>
      </c>
      <c r="S35" s="69">
        <v>0.0</v>
      </c>
      <c r="T35" s="69">
        <v>0.0</v>
      </c>
      <c r="U35" s="69">
        <v>0.0</v>
      </c>
      <c r="V35" s="69">
        <v>0.0</v>
      </c>
      <c r="W35" s="69">
        <v>1.0</v>
      </c>
      <c r="X35" s="69">
        <v>0.0</v>
      </c>
      <c r="Y35" s="69">
        <v>0.0</v>
      </c>
      <c r="Z35" s="69">
        <v>0.0</v>
      </c>
      <c r="AA35" s="69">
        <v>0.0</v>
      </c>
      <c r="AB35" s="69">
        <v>0.0</v>
      </c>
      <c r="AC35" s="69">
        <v>0.0</v>
      </c>
      <c r="AD35" s="69">
        <v>0.0</v>
      </c>
      <c r="AE35" s="69">
        <v>0.0</v>
      </c>
      <c r="AF35" s="69">
        <v>1.0</v>
      </c>
      <c r="AG35" s="69">
        <v>0.0</v>
      </c>
      <c r="AH35" s="69">
        <v>0.0</v>
      </c>
      <c r="AI35" s="69">
        <v>1.0</v>
      </c>
      <c r="AJ35" s="69">
        <v>2.0</v>
      </c>
      <c r="AK35" s="13">
        <f t="shared" si="10"/>
        <v>19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J36" si="11">E33-(E34+E35)</f>
        <v>73</v>
      </c>
      <c r="F36" s="13">
        <f t="shared" si="11"/>
        <v>50</v>
      </c>
      <c r="G36" s="13">
        <f t="shared" si="11"/>
        <v>52</v>
      </c>
      <c r="H36" s="13">
        <f t="shared" si="11"/>
        <v>49</v>
      </c>
      <c r="I36" s="13">
        <f t="shared" si="11"/>
        <v>78</v>
      </c>
      <c r="J36" s="13">
        <f t="shared" si="11"/>
        <v>50</v>
      </c>
      <c r="K36" s="13">
        <f t="shared" si="11"/>
        <v>63</v>
      </c>
      <c r="L36" s="13">
        <f t="shared" si="11"/>
        <v>89</v>
      </c>
      <c r="M36" s="13">
        <f t="shared" si="11"/>
        <v>48</v>
      </c>
      <c r="N36" s="13">
        <f t="shared" si="11"/>
        <v>74</v>
      </c>
      <c r="O36" s="13">
        <f t="shared" si="11"/>
        <v>55</v>
      </c>
      <c r="P36" s="13">
        <f t="shared" si="11"/>
        <v>38</v>
      </c>
      <c r="Q36" s="13">
        <f t="shared" si="11"/>
        <v>64</v>
      </c>
      <c r="R36" s="13">
        <f t="shared" si="11"/>
        <v>62</v>
      </c>
      <c r="S36" s="13">
        <f t="shared" si="11"/>
        <v>75</v>
      </c>
      <c r="T36" s="13">
        <f t="shared" si="11"/>
        <v>56</v>
      </c>
      <c r="U36" s="13">
        <f t="shared" si="11"/>
        <v>51</v>
      </c>
      <c r="V36" s="13">
        <f t="shared" si="11"/>
        <v>65</v>
      </c>
      <c r="W36" s="13">
        <f t="shared" si="11"/>
        <v>69</v>
      </c>
      <c r="X36" s="13">
        <f t="shared" si="11"/>
        <v>72</v>
      </c>
      <c r="Y36" s="13">
        <f t="shared" si="11"/>
        <v>88</v>
      </c>
      <c r="Z36" s="13">
        <f t="shared" si="11"/>
        <v>58</v>
      </c>
      <c r="AA36" s="13">
        <f t="shared" si="11"/>
        <v>63</v>
      </c>
      <c r="AB36" s="13">
        <f t="shared" si="11"/>
        <v>53</v>
      </c>
      <c r="AC36" s="13">
        <f t="shared" si="11"/>
        <v>51</v>
      </c>
      <c r="AD36" s="13">
        <f t="shared" si="11"/>
        <v>66</v>
      </c>
      <c r="AE36" s="13">
        <f t="shared" si="11"/>
        <v>67</v>
      </c>
      <c r="AF36" s="13">
        <f t="shared" si="11"/>
        <v>48</v>
      </c>
      <c r="AG36" s="13">
        <f t="shared" si="11"/>
        <v>60</v>
      </c>
      <c r="AH36" s="13">
        <f t="shared" si="11"/>
        <v>50</v>
      </c>
      <c r="AI36" s="13">
        <f t="shared" si="11"/>
        <v>64</v>
      </c>
      <c r="AJ36" s="13">
        <f t="shared" si="11"/>
        <v>63</v>
      </c>
      <c r="AK36" s="13">
        <f t="shared" si="10"/>
        <v>1964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19"/>
      <c r="AF37" s="19"/>
      <c r="AG37" s="19"/>
      <c r="AH37" s="19"/>
      <c r="AI37" s="70"/>
      <c r="AJ37" s="19"/>
      <c r="AK37" s="71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2"/>
      <c r="O38" s="13"/>
      <c r="P38" s="13"/>
      <c r="Q38" s="13"/>
      <c r="R38" s="13"/>
      <c r="S38" s="72"/>
      <c r="T38" s="13"/>
      <c r="U38" s="13"/>
      <c r="V38" s="13"/>
      <c r="W38" s="13"/>
      <c r="X38" s="72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72"/>
      <c r="AJ38" s="13"/>
      <c r="AK38" s="71"/>
    </row>
    <row r="39" ht="12.75" customHeight="1">
      <c r="A39" s="30"/>
      <c r="B39" s="43" t="s">
        <v>33</v>
      </c>
      <c r="C39" s="23"/>
      <c r="D39" s="19" t="s">
        <v>12</v>
      </c>
      <c r="E39" s="69">
        <v>1.0</v>
      </c>
      <c r="F39" s="69">
        <v>0.0</v>
      </c>
      <c r="G39" s="69">
        <v>0.0</v>
      </c>
      <c r="H39" s="69">
        <v>0.0</v>
      </c>
      <c r="I39" s="69">
        <v>1.0</v>
      </c>
      <c r="J39" s="69">
        <v>2.0</v>
      </c>
      <c r="K39" s="69">
        <v>0.0</v>
      </c>
      <c r="L39" s="69">
        <v>1.0</v>
      </c>
      <c r="M39" s="69">
        <v>0.0</v>
      </c>
      <c r="N39" s="69">
        <v>2.0</v>
      </c>
      <c r="O39" s="69">
        <v>0.0</v>
      </c>
      <c r="P39" s="69">
        <v>0.0</v>
      </c>
      <c r="Q39" s="69">
        <v>0.0</v>
      </c>
      <c r="R39" s="69">
        <v>0.0</v>
      </c>
      <c r="S39" s="69">
        <v>1.0</v>
      </c>
      <c r="T39" s="69">
        <v>0.0</v>
      </c>
      <c r="U39" s="69">
        <v>0.0</v>
      </c>
      <c r="V39" s="69">
        <v>0.0</v>
      </c>
      <c r="W39" s="69">
        <v>0.0</v>
      </c>
      <c r="X39" s="69">
        <v>0.0</v>
      </c>
      <c r="Y39" s="69">
        <v>0.0</v>
      </c>
      <c r="Z39" s="69">
        <v>0.0</v>
      </c>
      <c r="AA39" s="69">
        <v>0.0</v>
      </c>
      <c r="AB39" s="69">
        <v>0.0</v>
      </c>
      <c r="AC39" s="69">
        <v>0.0</v>
      </c>
      <c r="AD39" s="69">
        <v>0.0</v>
      </c>
      <c r="AE39" s="69">
        <v>0.0</v>
      </c>
      <c r="AF39" s="69">
        <v>0.0</v>
      </c>
      <c r="AG39" s="69">
        <v>0.0</v>
      </c>
      <c r="AH39" s="69">
        <v>0.0</v>
      </c>
      <c r="AI39" s="69">
        <v>0.0</v>
      </c>
      <c r="AJ39" s="69">
        <v>0.0</v>
      </c>
      <c r="AK39" s="13">
        <f t="shared" ref="AK39:AK41" si="12">SUM(E39:AJ39)</f>
        <v>8</v>
      </c>
    </row>
    <row r="40" ht="12.75" customHeight="1">
      <c r="A40" s="33"/>
      <c r="C40" s="27"/>
      <c r="D40" s="19" t="s">
        <v>13</v>
      </c>
      <c r="E40" s="69">
        <v>1.0</v>
      </c>
      <c r="F40" s="69">
        <v>0.0</v>
      </c>
      <c r="G40" s="69">
        <v>0.0</v>
      </c>
      <c r="H40" s="69">
        <v>2.0</v>
      </c>
      <c r="I40" s="69">
        <v>1.0</v>
      </c>
      <c r="J40" s="69">
        <v>0.0</v>
      </c>
      <c r="K40" s="69">
        <v>0.0</v>
      </c>
      <c r="L40" s="69">
        <v>2.0</v>
      </c>
      <c r="M40" s="69">
        <v>0.0</v>
      </c>
      <c r="N40" s="69">
        <v>0.0</v>
      </c>
      <c r="O40" s="69">
        <v>0.0</v>
      </c>
      <c r="P40" s="69">
        <v>0.0</v>
      </c>
      <c r="Q40" s="69">
        <v>0.0</v>
      </c>
      <c r="R40" s="69">
        <v>0.0</v>
      </c>
      <c r="S40" s="69">
        <v>0.0</v>
      </c>
      <c r="T40" s="69">
        <v>0.0</v>
      </c>
      <c r="U40" s="69">
        <v>0.0</v>
      </c>
      <c r="V40" s="69">
        <v>1.0</v>
      </c>
      <c r="W40" s="69">
        <v>0.0</v>
      </c>
      <c r="X40" s="69">
        <v>0.0</v>
      </c>
      <c r="Y40" s="69">
        <v>0.0</v>
      </c>
      <c r="Z40" s="69">
        <v>0.0</v>
      </c>
      <c r="AA40" s="69">
        <v>0.0</v>
      </c>
      <c r="AB40" s="69">
        <v>0.0</v>
      </c>
      <c r="AC40" s="69">
        <v>0.0</v>
      </c>
      <c r="AD40" s="69">
        <v>0.0</v>
      </c>
      <c r="AE40" s="69">
        <v>0.0</v>
      </c>
      <c r="AF40" s="69">
        <v>0.0</v>
      </c>
      <c r="AG40" s="69">
        <v>0.0</v>
      </c>
      <c r="AH40" s="69">
        <v>0.0</v>
      </c>
      <c r="AI40" s="69">
        <v>0.0</v>
      </c>
      <c r="AJ40" s="69">
        <v>0.0</v>
      </c>
      <c r="AK40" s="13">
        <f t="shared" si="12"/>
        <v>7</v>
      </c>
    </row>
    <row r="41" ht="12.75" customHeight="1">
      <c r="A41" s="41"/>
      <c r="B41" s="44"/>
      <c r="C41" s="28"/>
      <c r="D41" s="13" t="s">
        <v>14</v>
      </c>
      <c r="E41" s="13">
        <f t="shared" ref="E41:AJ41" si="13">SUM(E39:E40)</f>
        <v>2</v>
      </c>
      <c r="F41" s="13">
        <f t="shared" si="13"/>
        <v>0</v>
      </c>
      <c r="G41" s="13">
        <f t="shared" si="13"/>
        <v>0</v>
      </c>
      <c r="H41" s="13">
        <f t="shared" si="13"/>
        <v>2</v>
      </c>
      <c r="I41" s="13">
        <f t="shared" si="13"/>
        <v>2</v>
      </c>
      <c r="J41" s="13">
        <f t="shared" si="13"/>
        <v>2</v>
      </c>
      <c r="K41" s="13">
        <f t="shared" si="13"/>
        <v>0</v>
      </c>
      <c r="L41" s="13">
        <f t="shared" si="13"/>
        <v>3</v>
      </c>
      <c r="M41" s="13">
        <f t="shared" si="13"/>
        <v>0</v>
      </c>
      <c r="N41" s="13">
        <f t="shared" si="13"/>
        <v>2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1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2"/>
        <v>15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9"/>
      <c r="AF42" s="19"/>
      <c r="AG42" s="19"/>
      <c r="AH42" s="19"/>
      <c r="AI42" s="70"/>
      <c r="AJ42" s="19"/>
      <c r="AK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2"/>
      <c r="O43" s="13"/>
      <c r="P43" s="13"/>
      <c r="Q43" s="13"/>
      <c r="R43" s="13"/>
      <c r="S43" s="72"/>
      <c r="T43" s="13"/>
      <c r="U43" s="13"/>
      <c r="V43" s="13"/>
      <c r="W43" s="13"/>
      <c r="X43" s="72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72"/>
      <c r="AJ43" s="13"/>
      <c r="AK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0"/>
      <c r="O44" s="19"/>
      <c r="P44" s="19"/>
      <c r="Q44" s="19"/>
      <c r="R44" s="19"/>
      <c r="S44" s="70"/>
      <c r="T44" s="19"/>
      <c r="U44" s="19"/>
      <c r="V44" s="19"/>
      <c r="W44" s="19"/>
      <c r="X44" s="70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70"/>
      <c r="AJ44" s="19"/>
      <c r="AK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69">
        <v>5.0</v>
      </c>
      <c r="F45" s="69">
        <v>9.0</v>
      </c>
      <c r="G45" s="69">
        <v>5.0</v>
      </c>
      <c r="H45" s="69">
        <v>1.0</v>
      </c>
      <c r="I45" s="69">
        <v>7.0</v>
      </c>
      <c r="J45" s="69">
        <v>10.0</v>
      </c>
      <c r="K45" s="69">
        <v>2.0</v>
      </c>
      <c r="L45" s="69">
        <v>4.0</v>
      </c>
      <c r="M45" s="69">
        <v>0.0</v>
      </c>
      <c r="N45" s="69">
        <v>4.0</v>
      </c>
      <c r="O45" s="69">
        <v>4.0</v>
      </c>
      <c r="P45" s="69">
        <v>8.0</v>
      </c>
      <c r="Q45" s="69">
        <v>8.0</v>
      </c>
      <c r="R45" s="69">
        <v>2.0</v>
      </c>
      <c r="S45" s="69">
        <v>1.0</v>
      </c>
      <c r="T45" s="69">
        <v>4.0</v>
      </c>
      <c r="U45" s="69">
        <v>7.0</v>
      </c>
      <c r="V45" s="69">
        <v>20.0</v>
      </c>
      <c r="W45" s="69">
        <v>2.0</v>
      </c>
      <c r="X45" s="69">
        <v>1.0</v>
      </c>
      <c r="Y45" s="69">
        <v>4.0</v>
      </c>
      <c r="Z45" s="69">
        <v>9.0</v>
      </c>
      <c r="AA45" s="69">
        <v>4.0</v>
      </c>
      <c r="AB45" s="69">
        <v>7.0</v>
      </c>
      <c r="AC45" s="69">
        <v>4.0</v>
      </c>
      <c r="AD45" s="69">
        <v>14.0</v>
      </c>
      <c r="AE45" s="69">
        <v>15.0</v>
      </c>
      <c r="AF45" s="69">
        <v>12.0</v>
      </c>
      <c r="AG45" s="69">
        <v>10.0</v>
      </c>
      <c r="AH45" s="69">
        <v>9.0</v>
      </c>
      <c r="AI45" s="69">
        <v>9.0</v>
      </c>
      <c r="AJ45" s="69">
        <v>4.0</v>
      </c>
      <c r="AK45" s="13">
        <f t="shared" ref="AK45:AK53" si="14">SUM(E45:AJ45)</f>
        <v>205</v>
      </c>
    </row>
    <row r="46" ht="12.75" customHeight="1">
      <c r="A46" s="30" t="s">
        <v>39</v>
      </c>
      <c r="B46" s="49"/>
      <c r="C46" s="50" t="s">
        <v>40</v>
      </c>
      <c r="D46" s="51"/>
      <c r="E46" s="69">
        <v>1.0</v>
      </c>
      <c r="F46" s="69">
        <v>2.0</v>
      </c>
      <c r="G46" s="69">
        <v>4.0</v>
      </c>
      <c r="H46" s="69">
        <v>3.0</v>
      </c>
      <c r="I46" s="69">
        <v>3.0</v>
      </c>
      <c r="J46" s="69">
        <v>3.0</v>
      </c>
      <c r="K46" s="69">
        <v>2.0</v>
      </c>
      <c r="L46" s="69">
        <v>0.0</v>
      </c>
      <c r="M46" s="69">
        <v>5.0</v>
      </c>
      <c r="N46" s="69">
        <v>12.0</v>
      </c>
      <c r="O46" s="69">
        <v>3.0</v>
      </c>
      <c r="P46" s="69">
        <v>3.0</v>
      </c>
      <c r="Q46" s="69">
        <v>3.0</v>
      </c>
      <c r="R46" s="69">
        <v>4.0</v>
      </c>
      <c r="S46" s="69">
        <v>1.0</v>
      </c>
      <c r="T46" s="69">
        <v>7.0</v>
      </c>
      <c r="U46" s="69">
        <v>18.0</v>
      </c>
      <c r="V46" s="69">
        <v>10.0</v>
      </c>
      <c r="W46" s="69">
        <v>4.0</v>
      </c>
      <c r="X46" s="69">
        <v>2.0</v>
      </c>
      <c r="Y46" s="69">
        <v>3.0</v>
      </c>
      <c r="Z46" s="69">
        <v>17.0</v>
      </c>
      <c r="AA46" s="69">
        <v>10.0</v>
      </c>
      <c r="AB46" s="69">
        <v>1.0</v>
      </c>
      <c r="AC46" s="69">
        <v>2.0</v>
      </c>
      <c r="AD46" s="69">
        <v>3.0</v>
      </c>
      <c r="AE46" s="69">
        <v>9.0</v>
      </c>
      <c r="AF46" s="69">
        <v>5.0</v>
      </c>
      <c r="AG46" s="69">
        <v>10.0</v>
      </c>
      <c r="AH46" s="69">
        <v>5.0</v>
      </c>
      <c r="AI46" s="69">
        <v>4.0</v>
      </c>
      <c r="AJ46" s="69">
        <v>5.0</v>
      </c>
      <c r="AK46" s="13">
        <f t="shared" si="14"/>
        <v>164</v>
      </c>
    </row>
    <row r="47" ht="12.75" customHeight="1">
      <c r="A47" s="18"/>
      <c r="B47" s="49"/>
      <c r="C47" s="50" t="s">
        <v>41</v>
      </c>
      <c r="D47" s="51"/>
      <c r="E47" s="69">
        <v>24.0</v>
      </c>
      <c r="F47" s="69">
        <v>25.0</v>
      </c>
      <c r="G47" s="69">
        <v>36.0</v>
      </c>
      <c r="H47" s="69">
        <v>2.0</v>
      </c>
      <c r="I47" s="69">
        <v>11.0</v>
      </c>
      <c r="J47" s="69">
        <v>19.0</v>
      </c>
      <c r="K47" s="69">
        <v>23.0</v>
      </c>
      <c r="L47" s="69">
        <v>11.0</v>
      </c>
      <c r="M47" s="69">
        <v>18.0</v>
      </c>
      <c r="N47" s="69">
        <v>6.0</v>
      </c>
      <c r="O47" s="69">
        <v>13.0</v>
      </c>
      <c r="P47" s="69">
        <v>10.0</v>
      </c>
      <c r="Q47" s="69">
        <v>10.0</v>
      </c>
      <c r="R47" s="69">
        <v>21.0</v>
      </c>
      <c r="S47" s="69">
        <v>34.0</v>
      </c>
      <c r="T47" s="69">
        <v>44.0</v>
      </c>
      <c r="U47" s="69">
        <v>34.0</v>
      </c>
      <c r="V47" s="69">
        <v>31.0</v>
      </c>
      <c r="W47" s="69">
        <v>3.0</v>
      </c>
      <c r="X47" s="69">
        <v>1.0</v>
      </c>
      <c r="Y47" s="69">
        <v>12.0</v>
      </c>
      <c r="Z47" s="69">
        <v>12.0</v>
      </c>
      <c r="AA47" s="69">
        <v>43.0</v>
      </c>
      <c r="AB47" s="69">
        <v>42.0</v>
      </c>
      <c r="AC47" s="69">
        <v>74.0</v>
      </c>
      <c r="AD47" s="69">
        <v>102.0</v>
      </c>
      <c r="AE47" s="69">
        <v>131.0</v>
      </c>
      <c r="AF47" s="69">
        <v>92.0</v>
      </c>
      <c r="AG47" s="69">
        <v>105.0</v>
      </c>
      <c r="AH47" s="69">
        <v>114.0</v>
      </c>
      <c r="AI47" s="69">
        <v>64.0</v>
      </c>
      <c r="AJ47" s="69">
        <v>55.0</v>
      </c>
      <c r="AK47" s="13">
        <f t="shared" si="14"/>
        <v>1222</v>
      </c>
    </row>
    <row r="48" ht="12.75" customHeight="1">
      <c r="A48" s="18"/>
      <c r="B48" s="49"/>
      <c r="C48" s="50" t="s">
        <v>42</v>
      </c>
      <c r="D48" s="51"/>
      <c r="E48" s="69">
        <v>1.0</v>
      </c>
      <c r="F48" s="69">
        <v>4.0</v>
      </c>
      <c r="G48" s="69">
        <v>2.0</v>
      </c>
      <c r="H48" s="69">
        <v>0.0</v>
      </c>
      <c r="I48" s="69">
        <v>2.0</v>
      </c>
      <c r="J48" s="69">
        <v>5.0</v>
      </c>
      <c r="K48" s="69">
        <v>0.0</v>
      </c>
      <c r="L48" s="69">
        <v>1.0</v>
      </c>
      <c r="M48" s="69">
        <v>1.0</v>
      </c>
      <c r="N48" s="69">
        <v>0.0</v>
      </c>
      <c r="O48" s="69">
        <v>2.0</v>
      </c>
      <c r="P48" s="69">
        <v>15.0</v>
      </c>
      <c r="Q48" s="69">
        <v>7.0</v>
      </c>
      <c r="R48" s="69">
        <v>5.0</v>
      </c>
      <c r="S48" s="69">
        <v>3.0</v>
      </c>
      <c r="T48" s="69">
        <v>2.0</v>
      </c>
      <c r="U48" s="69">
        <v>8.0</v>
      </c>
      <c r="V48" s="69">
        <v>1.0</v>
      </c>
      <c r="W48" s="69">
        <v>0.0</v>
      </c>
      <c r="X48" s="69">
        <v>0.0</v>
      </c>
      <c r="Y48" s="69">
        <v>11.0</v>
      </c>
      <c r="Z48" s="69">
        <v>6.0</v>
      </c>
      <c r="AA48" s="69">
        <v>8.0</v>
      </c>
      <c r="AB48" s="69">
        <v>0.0</v>
      </c>
      <c r="AC48" s="69">
        <v>6.0</v>
      </c>
      <c r="AD48" s="69">
        <v>7.0</v>
      </c>
      <c r="AE48" s="69">
        <v>3.0</v>
      </c>
      <c r="AF48" s="69">
        <v>1.0</v>
      </c>
      <c r="AG48" s="69">
        <v>2.0</v>
      </c>
      <c r="AH48" s="69">
        <v>0.0</v>
      </c>
      <c r="AI48" s="69">
        <v>1.0</v>
      </c>
      <c r="AJ48" s="69">
        <v>0.0</v>
      </c>
      <c r="AK48" s="13">
        <f t="shared" si="14"/>
        <v>104</v>
      </c>
    </row>
    <row r="49" ht="12.75" customHeight="1">
      <c r="A49" s="18"/>
      <c r="B49" s="49"/>
      <c r="C49" s="50" t="s">
        <v>43</v>
      </c>
      <c r="D49" s="51"/>
      <c r="E49" s="69">
        <v>0.0</v>
      </c>
      <c r="F49" s="69">
        <v>1.0</v>
      </c>
      <c r="G49" s="69">
        <v>0.0</v>
      </c>
      <c r="H49" s="69">
        <v>0.0</v>
      </c>
      <c r="I49" s="69">
        <v>0.0</v>
      </c>
      <c r="J49" s="69">
        <v>0.0</v>
      </c>
      <c r="K49" s="69">
        <v>0.0</v>
      </c>
      <c r="L49" s="69">
        <v>0.0</v>
      </c>
      <c r="M49" s="69">
        <v>0.0</v>
      </c>
      <c r="N49" s="69">
        <v>0.0</v>
      </c>
      <c r="O49" s="69">
        <v>0.0</v>
      </c>
      <c r="P49" s="69">
        <v>0.0</v>
      </c>
      <c r="Q49" s="69">
        <v>0.0</v>
      </c>
      <c r="R49" s="69">
        <v>0.0</v>
      </c>
      <c r="S49" s="69">
        <v>0.0</v>
      </c>
      <c r="T49" s="69">
        <v>0.0</v>
      </c>
      <c r="U49" s="69">
        <v>0.0</v>
      </c>
      <c r="V49" s="69">
        <v>2.0</v>
      </c>
      <c r="W49" s="69">
        <v>1.0</v>
      </c>
      <c r="X49" s="69">
        <v>0.0</v>
      </c>
      <c r="Y49" s="69">
        <v>0.0</v>
      </c>
      <c r="Z49" s="69">
        <v>1.0</v>
      </c>
      <c r="AA49" s="69">
        <v>0.0</v>
      </c>
      <c r="AB49" s="69">
        <v>0.0</v>
      </c>
      <c r="AC49" s="69">
        <v>0.0</v>
      </c>
      <c r="AD49" s="69">
        <v>1.0</v>
      </c>
      <c r="AE49" s="69">
        <v>0.0</v>
      </c>
      <c r="AF49" s="69">
        <v>0.0</v>
      </c>
      <c r="AG49" s="69">
        <v>0.0</v>
      </c>
      <c r="AH49" s="69">
        <v>1.0</v>
      </c>
      <c r="AI49" s="69">
        <v>0.0</v>
      </c>
      <c r="AJ49" s="69">
        <v>0.0</v>
      </c>
      <c r="AK49" s="13">
        <f t="shared" si="14"/>
        <v>7</v>
      </c>
    </row>
    <row r="50" ht="12.75" customHeight="1">
      <c r="A50" s="18"/>
      <c r="B50" s="49"/>
      <c r="C50" s="50" t="s">
        <v>44</v>
      </c>
      <c r="D50" s="51"/>
      <c r="E50" s="69">
        <v>0.0</v>
      </c>
      <c r="F50" s="69">
        <v>0.0</v>
      </c>
      <c r="G50" s="69">
        <v>0.0</v>
      </c>
      <c r="H50" s="69">
        <v>0.0</v>
      </c>
      <c r="I50" s="69">
        <v>1.0</v>
      </c>
      <c r="J50" s="69">
        <v>0.0</v>
      </c>
      <c r="K50" s="69">
        <v>1.0</v>
      </c>
      <c r="L50" s="69">
        <v>0.0</v>
      </c>
      <c r="M50" s="69">
        <v>0.0</v>
      </c>
      <c r="N50" s="69">
        <v>0.0</v>
      </c>
      <c r="O50" s="69">
        <v>0.0</v>
      </c>
      <c r="P50" s="69">
        <v>1.0</v>
      </c>
      <c r="Q50" s="69">
        <v>0.0</v>
      </c>
      <c r="R50" s="69">
        <v>0.0</v>
      </c>
      <c r="S50" s="69">
        <v>1.0</v>
      </c>
      <c r="T50" s="69">
        <v>1.0</v>
      </c>
      <c r="U50" s="69">
        <v>0.0</v>
      </c>
      <c r="V50" s="69">
        <v>1.0</v>
      </c>
      <c r="W50" s="69">
        <v>0.0</v>
      </c>
      <c r="X50" s="69">
        <v>1.0</v>
      </c>
      <c r="Y50" s="69">
        <v>0.0</v>
      </c>
      <c r="Z50" s="69">
        <v>0.0</v>
      </c>
      <c r="AA50" s="69">
        <v>0.0</v>
      </c>
      <c r="AB50" s="69">
        <v>0.0</v>
      </c>
      <c r="AC50" s="69">
        <v>0.0</v>
      </c>
      <c r="AD50" s="69">
        <v>0.0</v>
      </c>
      <c r="AE50" s="69">
        <v>1.0</v>
      </c>
      <c r="AF50" s="69">
        <v>0.0</v>
      </c>
      <c r="AG50" s="69">
        <v>0.0</v>
      </c>
      <c r="AH50" s="69">
        <v>0.0</v>
      </c>
      <c r="AI50" s="69">
        <v>0.0</v>
      </c>
      <c r="AJ50" s="69">
        <v>1.0</v>
      </c>
      <c r="AK50" s="13">
        <f t="shared" si="14"/>
        <v>9</v>
      </c>
    </row>
    <row r="51" ht="12.75" customHeight="1">
      <c r="A51" s="18"/>
      <c r="B51" s="49"/>
      <c r="C51" s="50" t="s">
        <v>45</v>
      </c>
      <c r="D51" s="51"/>
      <c r="E51" s="69">
        <v>0.0</v>
      </c>
      <c r="F51" s="69">
        <v>0.0</v>
      </c>
      <c r="G51" s="69">
        <v>0.0</v>
      </c>
      <c r="H51" s="69">
        <v>0.0</v>
      </c>
      <c r="I51" s="69">
        <v>0.0</v>
      </c>
      <c r="J51" s="69">
        <v>0.0</v>
      </c>
      <c r="K51" s="69">
        <v>0.0</v>
      </c>
      <c r="L51" s="69">
        <v>0.0</v>
      </c>
      <c r="M51" s="69">
        <v>0.0</v>
      </c>
      <c r="N51" s="69">
        <v>1.0</v>
      </c>
      <c r="O51" s="69">
        <v>0.0</v>
      </c>
      <c r="P51" s="69">
        <v>0.0</v>
      </c>
      <c r="Q51" s="69">
        <v>1.0</v>
      </c>
      <c r="R51" s="69">
        <v>0.0</v>
      </c>
      <c r="S51" s="69">
        <v>0.0</v>
      </c>
      <c r="T51" s="69">
        <v>1.0</v>
      </c>
      <c r="U51" s="69">
        <v>0.0</v>
      </c>
      <c r="V51" s="69">
        <v>0.0</v>
      </c>
      <c r="W51" s="69">
        <v>0.0</v>
      </c>
      <c r="X51" s="69">
        <v>0.0</v>
      </c>
      <c r="Y51" s="69">
        <v>1.0</v>
      </c>
      <c r="Z51" s="69">
        <v>1.0</v>
      </c>
      <c r="AA51" s="69">
        <v>0.0</v>
      </c>
      <c r="AB51" s="69">
        <v>0.0</v>
      </c>
      <c r="AC51" s="69">
        <v>0.0</v>
      </c>
      <c r="AD51" s="69">
        <v>0.0</v>
      </c>
      <c r="AE51" s="69">
        <v>0.0</v>
      </c>
      <c r="AF51" s="69">
        <v>0.0</v>
      </c>
      <c r="AG51" s="69">
        <v>0.0</v>
      </c>
      <c r="AH51" s="69">
        <v>0.0</v>
      </c>
      <c r="AI51" s="69">
        <v>0.0</v>
      </c>
      <c r="AJ51" s="69">
        <v>0.0</v>
      </c>
      <c r="AK51" s="13">
        <f t="shared" si="14"/>
        <v>5</v>
      </c>
    </row>
    <row r="52" ht="12.75" customHeight="1">
      <c r="A52" s="18"/>
      <c r="B52" s="49"/>
      <c r="C52" s="50" t="s">
        <v>46</v>
      </c>
      <c r="D52" s="51"/>
      <c r="E52" s="69">
        <v>23.0</v>
      </c>
      <c r="F52" s="69">
        <v>14.0</v>
      </c>
      <c r="G52" s="69">
        <v>25.0</v>
      </c>
      <c r="H52" s="69">
        <v>0.0</v>
      </c>
      <c r="I52" s="69">
        <v>4.0</v>
      </c>
      <c r="J52" s="69">
        <v>18.0</v>
      </c>
      <c r="K52" s="69">
        <v>11.0</v>
      </c>
      <c r="L52" s="69">
        <v>2.0</v>
      </c>
      <c r="M52" s="69">
        <v>2.0</v>
      </c>
      <c r="N52" s="69">
        <v>0.0</v>
      </c>
      <c r="O52" s="69">
        <v>5.0</v>
      </c>
      <c r="P52" s="69">
        <v>1.0</v>
      </c>
      <c r="Q52" s="69">
        <v>0.0</v>
      </c>
      <c r="R52" s="69">
        <v>3.0</v>
      </c>
      <c r="S52" s="69">
        <v>6.0</v>
      </c>
      <c r="T52" s="69">
        <v>0.0</v>
      </c>
      <c r="U52" s="69">
        <v>0.0</v>
      </c>
      <c r="V52" s="69">
        <v>0.0</v>
      </c>
      <c r="W52" s="69">
        <v>0.0</v>
      </c>
      <c r="X52" s="69">
        <v>0.0</v>
      </c>
      <c r="Y52" s="69">
        <v>0.0</v>
      </c>
      <c r="Z52" s="69">
        <v>0.0</v>
      </c>
      <c r="AA52" s="69">
        <v>0.0</v>
      </c>
      <c r="AB52" s="69">
        <v>2.0</v>
      </c>
      <c r="AC52" s="69">
        <v>1.0</v>
      </c>
      <c r="AD52" s="69">
        <v>0.0</v>
      </c>
      <c r="AE52" s="69">
        <v>0.0</v>
      </c>
      <c r="AF52" s="69">
        <v>0.0</v>
      </c>
      <c r="AG52" s="69">
        <v>0.0</v>
      </c>
      <c r="AH52" s="69">
        <v>0.0</v>
      </c>
      <c r="AI52" s="69">
        <v>0.0</v>
      </c>
      <c r="AJ52" s="69">
        <v>0.0</v>
      </c>
      <c r="AK52" s="13">
        <f t="shared" si="14"/>
        <v>117</v>
      </c>
    </row>
    <row r="53" ht="12.75" customHeight="1">
      <c r="A53" s="19" t="s">
        <v>15</v>
      </c>
      <c r="B53" s="47" t="s">
        <v>47</v>
      </c>
      <c r="C53" s="15"/>
      <c r="D53" s="16"/>
      <c r="E53" s="56">
        <f t="shared" ref="E53:AJ53" si="15">SUM(E45:E52)</f>
        <v>54</v>
      </c>
      <c r="F53" s="56">
        <f t="shared" si="15"/>
        <v>55</v>
      </c>
      <c r="G53" s="56">
        <f t="shared" si="15"/>
        <v>72</v>
      </c>
      <c r="H53" s="56">
        <f t="shared" si="15"/>
        <v>6</v>
      </c>
      <c r="I53" s="56">
        <f t="shared" si="15"/>
        <v>28</v>
      </c>
      <c r="J53" s="56">
        <f t="shared" si="15"/>
        <v>55</v>
      </c>
      <c r="K53" s="56">
        <f t="shared" si="15"/>
        <v>39</v>
      </c>
      <c r="L53" s="56">
        <f t="shared" si="15"/>
        <v>18</v>
      </c>
      <c r="M53" s="56">
        <f t="shared" si="15"/>
        <v>26</v>
      </c>
      <c r="N53" s="56">
        <f t="shared" si="15"/>
        <v>23</v>
      </c>
      <c r="O53" s="56">
        <f t="shared" si="15"/>
        <v>27</v>
      </c>
      <c r="P53" s="56">
        <f t="shared" si="15"/>
        <v>38</v>
      </c>
      <c r="Q53" s="56">
        <f t="shared" si="15"/>
        <v>29</v>
      </c>
      <c r="R53" s="56">
        <f t="shared" si="15"/>
        <v>35</v>
      </c>
      <c r="S53" s="56">
        <f t="shared" si="15"/>
        <v>46</v>
      </c>
      <c r="T53" s="56">
        <f t="shared" si="15"/>
        <v>59</v>
      </c>
      <c r="U53" s="56">
        <f t="shared" si="15"/>
        <v>67</v>
      </c>
      <c r="V53" s="56">
        <f t="shared" si="15"/>
        <v>65</v>
      </c>
      <c r="W53" s="56">
        <f t="shared" si="15"/>
        <v>10</v>
      </c>
      <c r="X53" s="56">
        <f t="shared" si="15"/>
        <v>5</v>
      </c>
      <c r="Y53" s="56">
        <f t="shared" si="15"/>
        <v>31</v>
      </c>
      <c r="Z53" s="56">
        <f t="shared" si="15"/>
        <v>46</v>
      </c>
      <c r="AA53" s="56">
        <f t="shared" si="15"/>
        <v>65</v>
      </c>
      <c r="AB53" s="56">
        <f t="shared" si="15"/>
        <v>52</v>
      </c>
      <c r="AC53" s="56">
        <f t="shared" si="15"/>
        <v>87</v>
      </c>
      <c r="AD53" s="56">
        <f t="shared" si="15"/>
        <v>127</v>
      </c>
      <c r="AE53" s="56">
        <f t="shared" si="15"/>
        <v>159</v>
      </c>
      <c r="AF53" s="56">
        <f t="shared" si="15"/>
        <v>110</v>
      </c>
      <c r="AG53" s="56">
        <f t="shared" si="15"/>
        <v>127</v>
      </c>
      <c r="AH53" s="56">
        <f t="shared" si="15"/>
        <v>129</v>
      </c>
      <c r="AI53" s="56">
        <f t="shared" si="15"/>
        <v>78</v>
      </c>
      <c r="AJ53" s="56">
        <f t="shared" si="15"/>
        <v>65</v>
      </c>
      <c r="AK53" s="13">
        <f t="shared" si="14"/>
        <v>1833</v>
      </c>
    </row>
    <row r="54" ht="12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13"/>
    </row>
    <row r="55" ht="15.0" customHeight="1">
      <c r="A55" s="30" t="s">
        <v>37</v>
      </c>
      <c r="B55" s="47" t="s">
        <v>19</v>
      </c>
      <c r="C55" s="48" t="s">
        <v>48</v>
      </c>
      <c r="D55" s="16"/>
      <c r="E55" s="69">
        <v>1.0</v>
      </c>
      <c r="F55" s="69">
        <v>2.0</v>
      </c>
      <c r="G55" s="69">
        <v>7.0</v>
      </c>
      <c r="H55" s="69">
        <v>8.0</v>
      </c>
      <c r="I55" s="69">
        <v>11.0</v>
      </c>
      <c r="J55" s="69">
        <v>5.0</v>
      </c>
      <c r="K55" s="69">
        <v>9.0</v>
      </c>
      <c r="L55" s="69">
        <v>6.0</v>
      </c>
      <c r="M55" s="69">
        <v>5.0</v>
      </c>
      <c r="N55" s="69">
        <v>6.0</v>
      </c>
      <c r="O55" s="69">
        <v>7.0</v>
      </c>
      <c r="P55" s="69">
        <v>9.0</v>
      </c>
      <c r="Q55" s="69">
        <v>8.0</v>
      </c>
      <c r="R55" s="69">
        <v>14.0</v>
      </c>
      <c r="S55" s="69">
        <v>9.0</v>
      </c>
      <c r="T55" s="69">
        <v>7.0</v>
      </c>
      <c r="U55" s="69">
        <v>6.0</v>
      </c>
      <c r="V55" s="69">
        <v>7.0</v>
      </c>
      <c r="W55" s="69">
        <v>15.0</v>
      </c>
      <c r="X55" s="69">
        <v>11.0</v>
      </c>
      <c r="Y55" s="69">
        <v>9.0</v>
      </c>
      <c r="Z55" s="69">
        <v>7.0</v>
      </c>
      <c r="AA55" s="69">
        <v>6.0</v>
      </c>
      <c r="AB55" s="69">
        <v>1.0</v>
      </c>
      <c r="AC55" s="69">
        <v>0.0</v>
      </c>
      <c r="AD55" s="69">
        <v>7.0</v>
      </c>
      <c r="AE55" s="69">
        <v>8.0</v>
      </c>
      <c r="AF55" s="69">
        <v>6.0</v>
      </c>
      <c r="AG55" s="69">
        <v>3.0</v>
      </c>
      <c r="AH55" s="69">
        <v>5.0</v>
      </c>
      <c r="AI55" s="69">
        <v>7.0</v>
      </c>
      <c r="AJ55" s="69">
        <v>1.0</v>
      </c>
      <c r="AK55" s="13">
        <f t="shared" ref="AK55:AK63" si="16">SUM(E55:AJ55)</f>
        <v>213</v>
      </c>
    </row>
    <row r="56" ht="12.75" customHeight="1">
      <c r="A56" s="30" t="s">
        <v>39</v>
      </c>
      <c r="B56" s="49"/>
      <c r="C56" s="50" t="s">
        <v>49</v>
      </c>
      <c r="D56" s="51"/>
      <c r="E56" s="69">
        <v>2.0</v>
      </c>
      <c r="F56" s="69">
        <v>4.0</v>
      </c>
      <c r="G56" s="69">
        <v>8.0</v>
      </c>
      <c r="H56" s="69">
        <v>56.0</v>
      </c>
      <c r="I56" s="69">
        <v>5.0</v>
      </c>
      <c r="J56" s="69">
        <v>7.0</v>
      </c>
      <c r="K56" s="69">
        <v>53.0</v>
      </c>
      <c r="L56" s="69">
        <v>16.0</v>
      </c>
      <c r="M56" s="69">
        <v>21.0</v>
      </c>
      <c r="N56" s="69">
        <v>6.0</v>
      </c>
      <c r="O56" s="69">
        <v>75.0</v>
      </c>
      <c r="P56" s="69">
        <v>60.0</v>
      </c>
      <c r="Q56" s="69">
        <v>33.0</v>
      </c>
      <c r="R56" s="69">
        <v>47.0</v>
      </c>
      <c r="S56" s="69">
        <v>43.0</v>
      </c>
      <c r="T56" s="69">
        <v>3.0</v>
      </c>
      <c r="U56" s="69">
        <v>10.0</v>
      </c>
      <c r="V56" s="69">
        <v>14.0</v>
      </c>
      <c r="W56" s="69">
        <v>84.0</v>
      </c>
      <c r="X56" s="69">
        <v>45.0</v>
      </c>
      <c r="Y56" s="69">
        <v>36.0</v>
      </c>
      <c r="Z56" s="69">
        <v>35.0</v>
      </c>
      <c r="AA56" s="69">
        <v>21.0</v>
      </c>
      <c r="AB56" s="69">
        <v>7.0</v>
      </c>
      <c r="AC56" s="69">
        <v>6.0</v>
      </c>
      <c r="AD56" s="69">
        <v>2.0</v>
      </c>
      <c r="AE56" s="69">
        <v>0.0</v>
      </c>
      <c r="AF56" s="69">
        <v>5.0</v>
      </c>
      <c r="AG56" s="69">
        <v>2.0</v>
      </c>
      <c r="AH56" s="69">
        <v>0.0</v>
      </c>
      <c r="AI56" s="69">
        <v>3.0</v>
      </c>
      <c r="AJ56" s="69">
        <v>3.0</v>
      </c>
      <c r="AK56" s="13">
        <f t="shared" si="16"/>
        <v>712</v>
      </c>
    </row>
    <row r="57" ht="12.75" customHeight="1">
      <c r="A57" s="18"/>
      <c r="B57" s="49"/>
      <c r="C57" s="50" t="s">
        <v>50</v>
      </c>
      <c r="D57" s="51"/>
      <c r="E57" s="69">
        <v>2.0</v>
      </c>
      <c r="F57" s="69">
        <v>2.0</v>
      </c>
      <c r="G57" s="69">
        <v>1.0</v>
      </c>
      <c r="H57" s="69">
        <v>3.0</v>
      </c>
      <c r="I57" s="69">
        <v>0.0</v>
      </c>
      <c r="J57" s="69">
        <v>2.0</v>
      </c>
      <c r="K57" s="69">
        <v>2.0</v>
      </c>
      <c r="L57" s="69">
        <v>0.0</v>
      </c>
      <c r="M57" s="69">
        <v>2.0</v>
      </c>
      <c r="N57" s="69">
        <v>2.0</v>
      </c>
      <c r="O57" s="69">
        <v>2.0</v>
      </c>
      <c r="P57" s="69">
        <v>1.0</v>
      </c>
      <c r="Q57" s="69">
        <v>3.0</v>
      </c>
      <c r="R57" s="69">
        <v>7.0</v>
      </c>
      <c r="S57" s="69">
        <v>4.0</v>
      </c>
      <c r="T57" s="69">
        <v>2.0</v>
      </c>
      <c r="U57" s="69">
        <v>2.0</v>
      </c>
      <c r="V57" s="69">
        <v>1.0</v>
      </c>
      <c r="W57" s="69">
        <v>3.0</v>
      </c>
      <c r="X57" s="69">
        <v>2.0</v>
      </c>
      <c r="Y57" s="69">
        <v>2.0</v>
      </c>
      <c r="Z57" s="69">
        <v>7.0</v>
      </c>
      <c r="AA57" s="69">
        <v>4.0</v>
      </c>
      <c r="AB57" s="69">
        <v>1.0</v>
      </c>
      <c r="AC57" s="69">
        <v>0.0</v>
      </c>
      <c r="AD57" s="69">
        <v>0.0</v>
      </c>
      <c r="AE57" s="69">
        <v>2.0</v>
      </c>
      <c r="AF57" s="69">
        <v>2.0</v>
      </c>
      <c r="AG57" s="69">
        <v>3.0</v>
      </c>
      <c r="AH57" s="69">
        <v>1.0</v>
      </c>
      <c r="AI57" s="69">
        <v>1.0</v>
      </c>
      <c r="AJ57" s="69">
        <v>1.0</v>
      </c>
      <c r="AK57" s="13">
        <f t="shared" si="16"/>
        <v>67</v>
      </c>
    </row>
    <row r="58" ht="12.75" customHeight="1">
      <c r="A58" s="18"/>
      <c r="B58" s="49"/>
      <c r="C58" s="50" t="s">
        <v>51</v>
      </c>
      <c r="D58" s="51"/>
      <c r="E58" s="69">
        <v>0.0</v>
      </c>
      <c r="F58" s="69">
        <v>1.0</v>
      </c>
      <c r="G58" s="69">
        <v>1.0</v>
      </c>
      <c r="H58" s="69">
        <v>6.0</v>
      </c>
      <c r="I58" s="69">
        <v>0.0</v>
      </c>
      <c r="J58" s="69">
        <v>1.0</v>
      </c>
      <c r="K58" s="69">
        <v>2.0</v>
      </c>
      <c r="L58" s="69">
        <v>2.0</v>
      </c>
      <c r="M58" s="69">
        <v>6.0</v>
      </c>
      <c r="N58" s="69">
        <v>3.0</v>
      </c>
      <c r="O58" s="69">
        <v>0.0</v>
      </c>
      <c r="P58" s="69">
        <v>1.0</v>
      </c>
      <c r="Q58" s="69">
        <v>3.0</v>
      </c>
      <c r="R58" s="69">
        <v>3.0</v>
      </c>
      <c r="S58" s="69">
        <v>1.0</v>
      </c>
      <c r="T58" s="69">
        <v>1.0</v>
      </c>
      <c r="U58" s="69">
        <v>3.0</v>
      </c>
      <c r="V58" s="69">
        <v>9.0</v>
      </c>
      <c r="W58" s="69">
        <v>3.0</v>
      </c>
      <c r="X58" s="69">
        <v>2.0</v>
      </c>
      <c r="Y58" s="69">
        <v>20.0</v>
      </c>
      <c r="Z58" s="69">
        <v>11.0</v>
      </c>
      <c r="AA58" s="69">
        <v>15.0</v>
      </c>
      <c r="AB58" s="69">
        <v>3.0</v>
      </c>
      <c r="AC58" s="69">
        <v>3.0</v>
      </c>
      <c r="AD58" s="69">
        <v>0.0</v>
      </c>
      <c r="AE58" s="69">
        <v>2.0</v>
      </c>
      <c r="AF58" s="69">
        <v>2.0</v>
      </c>
      <c r="AG58" s="69">
        <v>0.0</v>
      </c>
      <c r="AH58" s="69">
        <v>0.0</v>
      </c>
      <c r="AI58" s="69">
        <v>2.0</v>
      </c>
      <c r="AJ58" s="69">
        <v>2.0</v>
      </c>
      <c r="AK58" s="13">
        <f t="shared" si="16"/>
        <v>108</v>
      </c>
    </row>
    <row r="59" ht="12.75" customHeight="1">
      <c r="A59" s="18"/>
      <c r="B59" s="49"/>
      <c r="C59" s="50" t="s">
        <v>52</v>
      </c>
      <c r="D59" s="51"/>
      <c r="E59" s="69">
        <v>0.0</v>
      </c>
      <c r="F59" s="69">
        <v>1.0</v>
      </c>
      <c r="G59" s="69">
        <v>0.0</v>
      </c>
      <c r="H59" s="69">
        <v>0.0</v>
      </c>
      <c r="I59" s="69">
        <v>0.0</v>
      </c>
      <c r="J59" s="69">
        <v>0.0</v>
      </c>
      <c r="K59" s="69">
        <v>2.0</v>
      </c>
      <c r="L59" s="69">
        <v>0.0</v>
      </c>
      <c r="M59" s="69">
        <v>0.0</v>
      </c>
      <c r="N59" s="69">
        <v>0.0</v>
      </c>
      <c r="O59" s="69">
        <v>3.0</v>
      </c>
      <c r="P59" s="69">
        <v>1.0</v>
      </c>
      <c r="Q59" s="69">
        <v>2.0</v>
      </c>
      <c r="R59" s="69">
        <v>0.0</v>
      </c>
      <c r="S59" s="69">
        <v>0.0</v>
      </c>
      <c r="T59" s="69">
        <v>4.0</v>
      </c>
      <c r="U59" s="69">
        <v>0.0</v>
      </c>
      <c r="V59" s="69">
        <v>10.0</v>
      </c>
      <c r="W59" s="69">
        <v>1.0</v>
      </c>
      <c r="X59" s="69">
        <v>1.0</v>
      </c>
      <c r="Y59" s="69">
        <v>2.0</v>
      </c>
      <c r="Z59" s="69">
        <v>0.0</v>
      </c>
      <c r="AA59" s="69">
        <v>0.0</v>
      </c>
      <c r="AB59" s="69">
        <v>0.0</v>
      </c>
      <c r="AC59" s="69">
        <v>1.0</v>
      </c>
      <c r="AD59" s="69">
        <v>2.0</v>
      </c>
      <c r="AE59" s="69">
        <v>0.0</v>
      </c>
      <c r="AF59" s="69">
        <v>0.0</v>
      </c>
      <c r="AG59" s="69">
        <v>0.0</v>
      </c>
      <c r="AH59" s="69">
        <v>0.0</v>
      </c>
      <c r="AI59" s="69">
        <v>0.0</v>
      </c>
      <c r="AJ59" s="69">
        <v>0.0</v>
      </c>
      <c r="AK59" s="13">
        <f t="shared" si="16"/>
        <v>30</v>
      </c>
    </row>
    <row r="60" ht="12.75" customHeight="1">
      <c r="A60" s="18"/>
      <c r="B60" s="49"/>
      <c r="C60" s="50" t="s">
        <v>53</v>
      </c>
      <c r="D60" s="51"/>
      <c r="E60" s="69">
        <v>0.0</v>
      </c>
      <c r="F60" s="69">
        <v>1.0</v>
      </c>
      <c r="G60" s="69">
        <v>0.0</v>
      </c>
      <c r="H60" s="69">
        <v>0.0</v>
      </c>
      <c r="I60" s="69">
        <v>0.0</v>
      </c>
      <c r="J60" s="69">
        <v>0.0</v>
      </c>
      <c r="K60" s="69">
        <v>0.0</v>
      </c>
      <c r="L60" s="69">
        <v>0.0</v>
      </c>
      <c r="M60" s="69">
        <v>0.0</v>
      </c>
      <c r="N60" s="69">
        <v>0.0</v>
      </c>
      <c r="O60" s="69">
        <v>0.0</v>
      </c>
      <c r="P60" s="69">
        <v>1.0</v>
      </c>
      <c r="Q60" s="69">
        <v>0.0</v>
      </c>
      <c r="R60" s="69">
        <v>0.0</v>
      </c>
      <c r="S60" s="69">
        <v>0.0</v>
      </c>
      <c r="T60" s="69">
        <v>0.0</v>
      </c>
      <c r="U60" s="69">
        <v>1.0</v>
      </c>
      <c r="V60" s="69">
        <v>0.0</v>
      </c>
      <c r="W60" s="69">
        <v>0.0</v>
      </c>
      <c r="X60" s="69">
        <v>0.0</v>
      </c>
      <c r="Y60" s="69">
        <v>0.0</v>
      </c>
      <c r="Z60" s="69">
        <v>3.0</v>
      </c>
      <c r="AA60" s="69">
        <v>0.0</v>
      </c>
      <c r="AB60" s="69">
        <v>0.0</v>
      </c>
      <c r="AC60" s="69">
        <v>0.0</v>
      </c>
      <c r="AD60" s="69">
        <v>0.0</v>
      </c>
      <c r="AE60" s="69">
        <v>0.0</v>
      </c>
      <c r="AF60" s="69">
        <v>0.0</v>
      </c>
      <c r="AG60" s="69">
        <v>0.0</v>
      </c>
      <c r="AH60" s="69">
        <v>0.0</v>
      </c>
      <c r="AI60" s="69">
        <v>0.0</v>
      </c>
      <c r="AJ60" s="69">
        <v>0.0</v>
      </c>
      <c r="AK60" s="13">
        <f t="shared" si="16"/>
        <v>6</v>
      </c>
    </row>
    <row r="61" ht="12.75" customHeight="1">
      <c r="A61" s="18"/>
      <c r="B61" s="49"/>
      <c r="C61" s="50" t="s">
        <v>54</v>
      </c>
      <c r="D61" s="51"/>
      <c r="E61" s="69">
        <v>0.0</v>
      </c>
      <c r="F61" s="69">
        <v>0.0</v>
      </c>
      <c r="G61" s="69">
        <v>0.0</v>
      </c>
      <c r="H61" s="69">
        <v>0.0</v>
      </c>
      <c r="I61" s="69">
        <v>0.0</v>
      </c>
      <c r="J61" s="69">
        <v>0.0</v>
      </c>
      <c r="K61" s="69">
        <v>0.0</v>
      </c>
      <c r="L61" s="69">
        <v>0.0</v>
      </c>
      <c r="M61" s="69">
        <v>0.0</v>
      </c>
      <c r="N61" s="69">
        <v>0.0</v>
      </c>
      <c r="O61" s="69">
        <v>0.0</v>
      </c>
      <c r="P61" s="69">
        <v>0.0</v>
      </c>
      <c r="Q61" s="69">
        <v>0.0</v>
      </c>
      <c r="R61" s="69">
        <v>0.0</v>
      </c>
      <c r="S61" s="69">
        <v>0.0</v>
      </c>
      <c r="T61" s="69">
        <v>0.0</v>
      </c>
      <c r="U61" s="69">
        <v>0.0</v>
      </c>
      <c r="V61" s="69">
        <v>0.0</v>
      </c>
      <c r="W61" s="69">
        <v>0.0</v>
      </c>
      <c r="X61" s="69">
        <v>0.0</v>
      </c>
      <c r="Y61" s="69">
        <v>0.0</v>
      </c>
      <c r="Z61" s="69">
        <v>0.0</v>
      </c>
      <c r="AA61" s="69">
        <v>0.0</v>
      </c>
      <c r="AB61" s="69">
        <v>0.0</v>
      </c>
      <c r="AC61" s="69">
        <v>0.0</v>
      </c>
      <c r="AD61" s="69">
        <v>0.0</v>
      </c>
      <c r="AE61" s="69">
        <v>0.0</v>
      </c>
      <c r="AF61" s="69">
        <v>0.0</v>
      </c>
      <c r="AG61" s="69">
        <v>0.0</v>
      </c>
      <c r="AH61" s="69">
        <v>0.0</v>
      </c>
      <c r="AI61" s="69">
        <v>0.0</v>
      </c>
      <c r="AJ61" s="69">
        <v>0.0</v>
      </c>
      <c r="AK61" s="13">
        <f t="shared" si="16"/>
        <v>0</v>
      </c>
    </row>
    <row r="62" ht="12.75" customHeight="1">
      <c r="A62" s="18"/>
      <c r="B62" s="49"/>
      <c r="C62" s="50" t="s">
        <v>55</v>
      </c>
      <c r="D62" s="51"/>
      <c r="E62" s="69">
        <v>0.0</v>
      </c>
      <c r="F62" s="69">
        <v>0.0</v>
      </c>
      <c r="G62" s="69">
        <v>0.0</v>
      </c>
      <c r="H62" s="69">
        <v>1.0</v>
      </c>
      <c r="I62" s="69">
        <v>0.0</v>
      </c>
      <c r="J62" s="69">
        <v>0.0</v>
      </c>
      <c r="K62" s="69">
        <v>0.0</v>
      </c>
      <c r="L62" s="69">
        <v>1.0</v>
      </c>
      <c r="M62" s="69">
        <v>0.0</v>
      </c>
      <c r="N62" s="69">
        <v>1.0</v>
      </c>
      <c r="O62" s="69">
        <v>0.0</v>
      </c>
      <c r="P62" s="69">
        <v>0.0</v>
      </c>
      <c r="Q62" s="69">
        <v>0.0</v>
      </c>
      <c r="R62" s="69">
        <v>2.0</v>
      </c>
      <c r="S62" s="69">
        <v>0.0</v>
      </c>
      <c r="T62" s="69">
        <v>1.0</v>
      </c>
      <c r="U62" s="69">
        <v>2.0</v>
      </c>
      <c r="V62" s="69">
        <v>0.0</v>
      </c>
      <c r="W62" s="69">
        <v>0.0</v>
      </c>
      <c r="X62" s="69">
        <v>0.0</v>
      </c>
      <c r="Y62" s="69">
        <v>0.0</v>
      </c>
      <c r="Z62" s="69">
        <v>0.0</v>
      </c>
      <c r="AA62" s="69">
        <v>0.0</v>
      </c>
      <c r="AB62" s="69">
        <v>0.0</v>
      </c>
      <c r="AC62" s="69">
        <v>0.0</v>
      </c>
      <c r="AD62" s="69">
        <v>0.0</v>
      </c>
      <c r="AE62" s="69">
        <v>0.0</v>
      </c>
      <c r="AF62" s="69">
        <v>0.0</v>
      </c>
      <c r="AG62" s="69">
        <v>0.0</v>
      </c>
      <c r="AH62" s="69">
        <v>0.0</v>
      </c>
      <c r="AI62" s="69">
        <v>1.0</v>
      </c>
      <c r="AJ62" s="69">
        <v>0.0</v>
      </c>
      <c r="AK62" s="13">
        <f t="shared" si="16"/>
        <v>9</v>
      </c>
    </row>
    <row r="63" ht="12.75" customHeight="1">
      <c r="A63" s="19" t="s">
        <v>15</v>
      </c>
      <c r="B63" s="47" t="s">
        <v>47</v>
      </c>
      <c r="C63" s="15"/>
      <c r="D63" s="16"/>
      <c r="E63" s="56">
        <f t="shared" ref="E63:AJ63" si="17">SUM(E55:E62)</f>
        <v>5</v>
      </c>
      <c r="F63" s="56">
        <f t="shared" si="17"/>
        <v>11</v>
      </c>
      <c r="G63" s="56">
        <f t="shared" si="17"/>
        <v>17</v>
      </c>
      <c r="H63" s="56">
        <f t="shared" si="17"/>
        <v>74</v>
      </c>
      <c r="I63" s="56">
        <f t="shared" si="17"/>
        <v>16</v>
      </c>
      <c r="J63" s="56">
        <f t="shared" si="17"/>
        <v>15</v>
      </c>
      <c r="K63" s="56">
        <f t="shared" si="17"/>
        <v>68</v>
      </c>
      <c r="L63" s="56">
        <f t="shared" si="17"/>
        <v>25</v>
      </c>
      <c r="M63" s="56">
        <f t="shared" si="17"/>
        <v>34</v>
      </c>
      <c r="N63" s="56">
        <f t="shared" si="17"/>
        <v>18</v>
      </c>
      <c r="O63" s="56">
        <f t="shared" si="17"/>
        <v>87</v>
      </c>
      <c r="P63" s="56">
        <f t="shared" si="17"/>
        <v>73</v>
      </c>
      <c r="Q63" s="56">
        <f t="shared" si="17"/>
        <v>49</v>
      </c>
      <c r="R63" s="56">
        <f t="shared" si="17"/>
        <v>73</v>
      </c>
      <c r="S63" s="56">
        <f t="shared" si="17"/>
        <v>57</v>
      </c>
      <c r="T63" s="56">
        <f t="shared" si="17"/>
        <v>18</v>
      </c>
      <c r="U63" s="56">
        <f t="shared" si="17"/>
        <v>24</v>
      </c>
      <c r="V63" s="56">
        <f t="shared" si="17"/>
        <v>41</v>
      </c>
      <c r="W63" s="56">
        <f t="shared" si="17"/>
        <v>106</v>
      </c>
      <c r="X63" s="56">
        <f t="shared" si="17"/>
        <v>61</v>
      </c>
      <c r="Y63" s="56">
        <f t="shared" si="17"/>
        <v>69</v>
      </c>
      <c r="Z63" s="56">
        <f t="shared" si="17"/>
        <v>63</v>
      </c>
      <c r="AA63" s="56">
        <f t="shared" si="17"/>
        <v>46</v>
      </c>
      <c r="AB63" s="56">
        <f t="shared" si="17"/>
        <v>12</v>
      </c>
      <c r="AC63" s="56">
        <f t="shared" si="17"/>
        <v>10</v>
      </c>
      <c r="AD63" s="56">
        <f t="shared" si="17"/>
        <v>11</v>
      </c>
      <c r="AE63" s="56">
        <f t="shared" si="17"/>
        <v>12</v>
      </c>
      <c r="AF63" s="56">
        <f t="shared" si="17"/>
        <v>15</v>
      </c>
      <c r="AG63" s="56">
        <f t="shared" si="17"/>
        <v>8</v>
      </c>
      <c r="AH63" s="56">
        <f t="shared" si="17"/>
        <v>6</v>
      </c>
      <c r="AI63" s="56">
        <f t="shared" si="17"/>
        <v>14</v>
      </c>
      <c r="AJ63" s="56">
        <f t="shared" si="17"/>
        <v>7</v>
      </c>
      <c r="AK63" s="13">
        <f t="shared" si="16"/>
        <v>1145</v>
      </c>
    </row>
    <row r="64" ht="12.75" customHeight="1">
      <c r="A64" s="59"/>
      <c r="B64" s="60"/>
      <c r="C64" s="60"/>
      <c r="D64" s="60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13"/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69">
        <v>3.0</v>
      </c>
      <c r="F65" s="69">
        <v>3.0</v>
      </c>
      <c r="G65" s="69">
        <v>3.0</v>
      </c>
      <c r="H65" s="69">
        <v>4.0</v>
      </c>
      <c r="I65" s="69">
        <v>6.0</v>
      </c>
      <c r="J65" s="69">
        <v>1.0</v>
      </c>
      <c r="K65" s="69">
        <v>7.0</v>
      </c>
      <c r="L65" s="69">
        <v>5.0</v>
      </c>
      <c r="M65" s="69">
        <v>4.0</v>
      </c>
      <c r="N65" s="69">
        <v>11.0</v>
      </c>
      <c r="O65" s="69">
        <v>1.0</v>
      </c>
      <c r="P65" s="69">
        <v>2.0</v>
      </c>
      <c r="Q65" s="69">
        <v>2.0</v>
      </c>
      <c r="R65" s="69">
        <v>5.0</v>
      </c>
      <c r="S65" s="69">
        <v>7.0</v>
      </c>
      <c r="T65" s="69">
        <v>0.0</v>
      </c>
      <c r="U65" s="69">
        <v>3.0</v>
      </c>
      <c r="V65" s="69">
        <v>2.0</v>
      </c>
      <c r="W65" s="69">
        <v>7.0</v>
      </c>
      <c r="X65" s="69">
        <v>1.0</v>
      </c>
      <c r="Y65" s="69">
        <v>3.0</v>
      </c>
      <c r="Z65" s="69">
        <v>6.0</v>
      </c>
      <c r="AA65" s="69">
        <v>4.0</v>
      </c>
      <c r="AB65" s="69">
        <v>0.0</v>
      </c>
      <c r="AC65" s="69">
        <v>1.0</v>
      </c>
      <c r="AD65" s="69">
        <v>2.0</v>
      </c>
      <c r="AE65" s="69">
        <v>3.0</v>
      </c>
      <c r="AF65" s="69">
        <v>7.0</v>
      </c>
      <c r="AG65" s="69">
        <v>7.0</v>
      </c>
      <c r="AH65" s="69">
        <v>3.0</v>
      </c>
      <c r="AI65" s="69">
        <v>3.0</v>
      </c>
      <c r="AJ65" s="69">
        <v>3.0</v>
      </c>
      <c r="AK65" s="13">
        <f t="shared" ref="AK65:AK73" si="18">SUM(E65:AJ65)</f>
        <v>119</v>
      </c>
    </row>
    <row r="66" ht="12.75" customHeight="1">
      <c r="A66" s="30" t="s">
        <v>39</v>
      </c>
      <c r="B66" s="49"/>
      <c r="C66" s="50" t="s">
        <v>57</v>
      </c>
      <c r="D66" s="51"/>
      <c r="E66" s="69">
        <v>1.0</v>
      </c>
      <c r="F66" s="69">
        <v>2.0</v>
      </c>
      <c r="G66" s="69">
        <v>3.0</v>
      </c>
      <c r="H66" s="69">
        <v>3.0</v>
      </c>
      <c r="I66" s="69">
        <v>1.0</v>
      </c>
      <c r="J66" s="69">
        <v>2.0</v>
      </c>
      <c r="K66" s="69">
        <v>0.0</v>
      </c>
      <c r="L66" s="69">
        <v>1.0</v>
      </c>
      <c r="M66" s="69">
        <v>1.0</v>
      </c>
      <c r="N66" s="69">
        <v>0.0</v>
      </c>
      <c r="O66" s="69">
        <v>2.0</v>
      </c>
      <c r="P66" s="69">
        <v>0.0</v>
      </c>
      <c r="Q66" s="69">
        <v>2.0</v>
      </c>
      <c r="R66" s="69">
        <v>1.0</v>
      </c>
      <c r="S66" s="69">
        <v>3.0</v>
      </c>
      <c r="T66" s="69">
        <v>2.0</v>
      </c>
      <c r="U66" s="69">
        <v>0.0</v>
      </c>
      <c r="V66" s="69">
        <v>2.0</v>
      </c>
      <c r="W66" s="69">
        <v>0.0</v>
      </c>
      <c r="X66" s="69">
        <v>1.0</v>
      </c>
      <c r="Y66" s="69">
        <v>2.0</v>
      </c>
      <c r="Z66" s="69">
        <v>3.0</v>
      </c>
      <c r="AA66" s="69">
        <v>2.0</v>
      </c>
      <c r="AB66" s="69">
        <v>1.0</v>
      </c>
      <c r="AC66" s="69">
        <v>0.0</v>
      </c>
      <c r="AD66" s="69">
        <v>0.0</v>
      </c>
      <c r="AE66" s="69">
        <v>2.0</v>
      </c>
      <c r="AF66" s="69">
        <v>0.0</v>
      </c>
      <c r="AG66" s="69">
        <v>1.0</v>
      </c>
      <c r="AH66" s="69">
        <v>1.0</v>
      </c>
      <c r="AI66" s="69">
        <v>0.0</v>
      </c>
      <c r="AJ66" s="69">
        <v>2.0</v>
      </c>
      <c r="AK66" s="13">
        <f t="shared" si="18"/>
        <v>41</v>
      </c>
    </row>
    <row r="67" ht="15.0" customHeight="1">
      <c r="A67" s="18"/>
      <c r="B67" s="49"/>
      <c r="C67" s="50" t="s">
        <v>58</v>
      </c>
      <c r="D67" s="51"/>
      <c r="E67" s="69">
        <v>4.0</v>
      </c>
      <c r="F67" s="69">
        <v>6.0</v>
      </c>
      <c r="G67" s="69">
        <v>14.0</v>
      </c>
      <c r="H67" s="69">
        <v>13.0</v>
      </c>
      <c r="I67" s="69">
        <v>6.0</v>
      </c>
      <c r="J67" s="69">
        <v>3.0</v>
      </c>
      <c r="K67" s="69">
        <v>6.0</v>
      </c>
      <c r="L67" s="69">
        <v>8.0</v>
      </c>
      <c r="M67" s="69">
        <v>6.0</v>
      </c>
      <c r="N67" s="69">
        <v>3.0</v>
      </c>
      <c r="O67" s="69">
        <v>16.0</v>
      </c>
      <c r="P67" s="69">
        <v>6.0</v>
      </c>
      <c r="Q67" s="69">
        <v>8.0</v>
      </c>
      <c r="R67" s="69">
        <v>18.0</v>
      </c>
      <c r="S67" s="69">
        <v>4.0</v>
      </c>
      <c r="T67" s="69">
        <v>6.0</v>
      </c>
      <c r="U67" s="69">
        <v>1.0</v>
      </c>
      <c r="V67" s="69">
        <v>6.0</v>
      </c>
      <c r="W67" s="69">
        <v>4.0</v>
      </c>
      <c r="X67" s="69">
        <v>8.0</v>
      </c>
      <c r="Y67" s="69">
        <v>2.0</v>
      </c>
      <c r="Z67" s="69">
        <v>19.0</v>
      </c>
      <c r="AA67" s="69">
        <v>3.0</v>
      </c>
      <c r="AB67" s="69">
        <v>1.0</v>
      </c>
      <c r="AC67" s="69">
        <v>2.0</v>
      </c>
      <c r="AD67" s="69">
        <v>3.0</v>
      </c>
      <c r="AE67" s="69">
        <v>1.0</v>
      </c>
      <c r="AF67" s="69">
        <v>3.0</v>
      </c>
      <c r="AG67" s="69">
        <v>3.0</v>
      </c>
      <c r="AH67" s="69">
        <v>16.0</v>
      </c>
      <c r="AI67" s="69">
        <v>3.0</v>
      </c>
      <c r="AJ67" s="69">
        <v>4.0</v>
      </c>
      <c r="AK67" s="13">
        <f t="shared" si="18"/>
        <v>206</v>
      </c>
    </row>
    <row r="68" ht="12.75" customHeight="1">
      <c r="A68" s="18"/>
      <c r="B68" s="49"/>
      <c r="C68" s="50" t="s">
        <v>59</v>
      </c>
      <c r="D68" s="51"/>
      <c r="E68" s="69">
        <v>0.0</v>
      </c>
      <c r="F68" s="69">
        <v>0.0</v>
      </c>
      <c r="G68" s="69">
        <v>0.0</v>
      </c>
      <c r="H68" s="69">
        <v>0.0</v>
      </c>
      <c r="I68" s="69">
        <v>0.0</v>
      </c>
      <c r="J68" s="69">
        <v>0.0</v>
      </c>
      <c r="K68" s="69">
        <v>0.0</v>
      </c>
      <c r="L68" s="69">
        <v>0.0</v>
      </c>
      <c r="M68" s="69">
        <v>0.0</v>
      </c>
      <c r="N68" s="69">
        <v>0.0</v>
      </c>
      <c r="O68" s="69">
        <v>0.0</v>
      </c>
      <c r="P68" s="69">
        <v>2.0</v>
      </c>
      <c r="Q68" s="69">
        <v>0.0</v>
      </c>
      <c r="R68" s="69">
        <v>2.0</v>
      </c>
      <c r="S68" s="69">
        <v>0.0</v>
      </c>
      <c r="T68" s="69">
        <v>0.0</v>
      </c>
      <c r="U68" s="69">
        <v>2.0</v>
      </c>
      <c r="V68" s="69">
        <v>0.0</v>
      </c>
      <c r="W68" s="69">
        <v>1.0</v>
      </c>
      <c r="X68" s="69">
        <v>0.0</v>
      </c>
      <c r="Y68" s="69">
        <v>1.0</v>
      </c>
      <c r="Z68" s="69">
        <v>0.0</v>
      </c>
      <c r="AA68" s="69">
        <v>1.0</v>
      </c>
      <c r="AB68" s="69">
        <v>0.0</v>
      </c>
      <c r="AC68" s="69">
        <v>1.0</v>
      </c>
      <c r="AD68" s="69">
        <v>0.0</v>
      </c>
      <c r="AE68" s="69">
        <v>0.0</v>
      </c>
      <c r="AF68" s="69">
        <v>1.0</v>
      </c>
      <c r="AG68" s="69">
        <v>1.0</v>
      </c>
      <c r="AH68" s="69">
        <v>0.0</v>
      </c>
      <c r="AI68" s="69">
        <v>0.0</v>
      </c>
      <c r="AJ68" s="69">
        <v>0.0</v>
      </c>
      <c r="AK68" s="13">
        <f t="shared" si="18"/>
        <v>12</v>
      </c>
    </row>
    <row r="69" ht="12.75" customHeight="1">
      <c r="A69" s="18"/>
      <c r="B69" s="49"/>
      <c r="C69" s="50" t="s">
        <v>60</v>
      </c>
      <c r="D69" s="51"/>
      <c r="E69" s="69">
        <v>0.0</v>
      </c>
      <c r="F69" s="69">
        <v>0.0</v>
      </c>
      <c r="G69" s="69">
        <v>0.0</v>
      </c>
      <c r="H69" s="69">
        <v>2.0</v>
      </c>
      <c r="I69" s="69">
        <v>0.0</v>
      </c>
      <c r="J69" s="69">
        <v>0.0</v>
      </c>
      <c r="K69" s="69">
        <v>0.0</v>
      </c>
      <c r="L69" s="69">
        <v>0.0</v>
      </c>
      <c r="M69" s="69">
        <v>0.0</v>
      </c>
      <c r="N69" s="69">
        <v>2.0</v>
      </c>
      <c r="O69" s="69">
        <v>0.0</v>
      </c>
      <c r="P69" s="69">
        <v>0.0</v>
      </c>
      <c r="Q69" s="69">
        <v>0.0</v>
      </c>
      <c r="R69" s="69">
        <v>0.0</v>
      </c>
      <c r="S69" s="69">
        <v>0.0</v>
      </c>
      <c r="T69" s="69">
        <v>0.0</v>
      </c>
      <c r="U69" s="69">
        <v>0.0</v>
      </c>
      <c r="V69" s="69">
        <v>0.0</v>
      </c>
      <c r="W69" s="69">
        <v>0.0</v>
      </c>
      <c r="X69" s="69">
        <v>0.0</v>
      </c>
      <c r="Y69" s="69">
        <v>1.0</v>
      </c>
      <c r="Z69" s="69">
        <v>1.0</v>
      </c>
      <c r="AA69" s="69">
        <v>1.0</v>
      </c>
      <c r="AB69" s="69">
        <v>2.0</v>
      </c>
      <c r="AC69" s="69">
        <v>0.0</v>
      </c>
      <c r="AD69" s="69">
        <v>0.0</v>
      </c>
      <c r="AE69" s="69">
        <v>0.0</v>
      </c>
      <c r="AF69" s="69">
        <v>0.0</v>
      </c>
      <c r="AG69" s="69">
        <v>1.0</v>
      </c>
      <c r="AH69" s="69">
        <v>0.0</v>
      </c>
      <c r="AI69" s="69">
        <v>0.0</v>
      </c>
      <c r="AJ69" s="69">
        <v>0.0</v>
      </c>
      <c r="AK69" s="13">
        <f t="shared" si="18"/>
        <v>10</v>
      </c>
    </row>
    <row r="70" ht="12.75" customHeight="1">
      <c r="A70" s="18"/>
      <c r="B70" s="49"/>
      <c r="C70" s="50" t="s">
        <v>61</v>
      </c>
      <c r="D70" s="51"/>
      <c r="E70" s="69">
        <v>0.0</v>
      </c>
      <c r="F70" s="69">
        <v>0.0</v>
      </c>
      <c r="G70" s="69">
        <v>0.0</v>
      </c>
      <c r="H70" s="69">
        <v>0.0</v>
      </c>
      <c r="I70" s="69">
        <v>0.0</v>
      </c>
      <c r="J70" s="69">
        <v>0.0</v>
      </c>
      <c r="K70" s="69">
        <v>0.0</v>
      </c>
      <c r="L70" s="69">
        <v>2.0</v>
      </c>
      <c r="M70" s="69">
        <v>2.0</v>
      </c>
      <c r="N70" s="69">
        <v>0.0</v>
      </c>
      <c r="O70" s="69">
        <v>1.0</v>
      </c>
      <c r="P70" s="69">
        <v>2.0</v>
      </c>
      <c r="Q70" s="69">
        <v>0.0</v>
      </c>
      <c r="R70" s="69">
        <v>8.0</v>
      </c>
      <c r="S70" s="69">
        <v>4.0</v>
      </c>
      <c r="T70" s="69">
        <v>10.0</v>
      </c>
      <c r="U70" s="69">
        <v>0.0</v>
      </c>
      <c r="V70" s="69">
        <v>1.0</v>
      </c>
      <c r="W70" s="69">
        <v>4.0</v>
      </c>
      <c r="X70" s="69">
        <v>0.0</v>
      </c>
      <c r="Y70" s="69">
        <v>0.0</v>
      </c>
      <c r="Z70" s="69">
        <v>0.0</v>
      </c>
      <c r="AA70" s="69">
        <v>0.0</v>
      </c>
      <c r="AB70" s="69">
        <v>1.0</v>
      </c>
      <c r="AC70" s="69">
        <v>0.0</v>
      </c>
      <c r="AD70" s="69">
        <v>0.0</v>
      </c>
      <c r="AE70" s="69">
        <v>0.0</v>
      </c>
      <c r="AF70" s="69">
        <v>2.0</v>
      </c>
      <c r="AG70" s="69">
        <v>2.0</v>
      </c>
      <c r="AH70" s="69">
        <v>0.0</v>
      </c>
      <c r="AI70" s="69">
        <v>0.0</v>
      </c>
      <c r="AJ70" s="69">
        <v>1.0</v>
      </c>
      <c r="AK70" s="13">
        <f t="shared" si="18"/>
        <v>40</v>
      </c>
    </row>
    <row r="71" ht="12.75" customHeight="1">
      <c r="A71" s="18"/>
      <c r="B71" s="49"/>
      <c r="C71" s="50" t="s">
        <v>62</v>
      </c>
      <c r="D71" s="51"/>
      <c r="E71" s="69">
        <v>0.0</v>
      </c>
      <c r="F71" s="69">
        <v>1.0</v>
      </c>
      <c r="G71" s="69">
        <v>0.0</v>
      </c>
      <c r="H71" s="69">
        <v>0.0</v>
      </c>
      <c r="I71" s="69">
        <v>0.0</v>
      </c>
      <c r="J71" s="69">
        <v>0.0</v>
      </c>
      <c r="K71" s="69">
        <v>0.0</v>
      </c>
      <c r="L71" s="69">
        <v>0.0</v>
      </c>
      <c r="M71" s="69">
        <v>0.0</v>
      </c>
      <c r="N71" s="69">
        <v>1.0</v>
      </c>
      <c r="O71" s="69">
        <v>0.0</v>
      </c>
      <c r="P71" s="69">
        <v>0.0</v>
      </c>
      <c r="Q71" s="69">
        <v>0.0</v>
      </c>
      <c r="R71" s="69">
        <v>0.0</v>
      </c>
      <c r="S71" s="69">
        <v>0.0</v>
      </c>
      <c r="T71" s="69">
        <v>0.0</v>
      </c>
      <c r="U71" s="69">
        <v>0.0</v>
      </c>
      <c r="V71" s="69">
        <v>0.0</v>
      </c>
      <c r="W71" s="69">
        <v>0.0</v>
      </c>
      <c r="X71" s="69">
        <v>0.0</v>
      </c>
      <c r="Y71" s="69">
        <v>2.0</v>
      </c>
      <c r="Z71" s="69">
        <v>0.0</v>
      </c>
      <c r="AA71" s="69">
        <v>0.0</v>
      </c>
      <c r="AB71" s="69">
        <v>0.0</v>
      </c>
      <c r="AC71" s="69">
        <v>0.0</v>
      </c>
      <c r="AD71" s="69">
        <v>0.0</v>
      </c>
      <c r="AE71" s="69">
        <v>1.0</v>
      </c>
      <c r="AF71" s="69">
        <v>48.0</v>
      </c>
      <c r="AG71" s="69">
        <v>25.0</v>
      </c>
      <c r="AH71" s="69">
        <v>1.0</v>
      </c>
      <c r="AI71" s="69">
        <v>4.0</v>
      </c>
      <c r="AJ71" s="69">
        <v>5.0</v>
      </c>
      <c r="AK71" s="13">
        <f t="shared" si="18"/>
        <v>88</v>
      </c>
    </row>
    <row r="72" ht="12.75" customHeight="1">
      <c r="A72" s="18"/>
      <c r="B72" s="49"/>
      <c r="C72" s="50" t="s">
        <v>63</v>
      </c>
      <c r="D72" s="51"/>
      <c r="E72" s="69">
        <v>24.0</v>
      </c>
      <c r="F72" s="69">
        <v>20.0</v>
      </c>
      <c r="G72" s="69">
        <v>10.0</v>
      </c>
      <c r="H72" s="69">
        <v>2.0</v>
      </c>
      <c r="I72" s="69">
        <v>11.0</v>
      </c>
      <c r="J72" s="69">
        <v>7.0</v>
      </c>
      <c r="K72" s="69">
        <v>7.0</v>
      </c>
      <c r="L72" s="69">
        <v>49.0</v>
      </c>
      <c r="M72" s="69">
        <v>85.0</v>
      </c>
      <c r="N72" s="69">
        <v>47.0</v>
      </c>
      <c r="O72" s="69">
        <v>2.0</v>
      </c>
      <c r="P72" s="69">
        <v>16.0</v>
      </c>
      <c r="Q72" s="69">
        <v>24.0</v>
      </c>
      <c r="R72" s="69">
        <v>13.0</v>
      </c>
      <c r="S72" s="69">
        <v>4.0</v>
      </c>
      <c r="T72" s="69">
        <v>2.0</v>
      </c>
      <c r="U72" s="69">
        <v>8.0</v>
      </c>
      <c r="V72" s="69">
        <v>3.0</v>
      </c>
      <c r="W72" s="69">
        <v>5.0</v>
      </c>
      <c r="X72" s="69">
        <v>12.0</v>
      </c>
      <c r="Y72" s="69">
        <v>2.0</v>
      </c>
      <c r="Z72" s="69">
        <v>3.0</v>
      </c>
      <c r="AA72" s="69">
        <v>8.0</v>
      </c>
      <c r="AB72" s="69">
        <v>20.0</v>
      </c>
      <c r="AC72" s="69">
        <v>2.0</v>
      </c>
      <c r="AD72" s="69">
        <v>0.0</v>
      </c>
      <c r="AE72" s="69">
        <v>2.0</v>
      </c>
      <c r="AF72" s="69">
        <v>0.0</v>
      </c>
      <c r="AG72" s="69">
        <v>0.0</v>
      </c>
      <c r="AH72" s="69">
        <v>1.0</v>
      </c>
      <c r="AI72" s="69">
        <v>0.0</v>
      </c>
      <c r="AJ72" s="69">
        <v>0.0</v>
      </c>
      <c r="AK72" s="13">
        <f t="shared" si="18"/>
        <v>389</v>
      </c>
    </row>
    <row r="73" ht="12.75" customHeight="1">
      <c r="A73" s="19" t="s">
        <v>15</v>
      </c>
      <c r="B73" s="47" t="s">
        <v>47</v>
      </c>
      <c r="C73" s="15"/>
      <c r="D73" s="16"/>
      <c r="E73" s="56">
        <f t="shared" ref="E73:AJ73" si="19">SUM(E65:E72)</f>
        <v>32</v>
      </c>
      <c r="F73" s="56">
        <f t="shared" si="19"/>
        <v>32</v>
      </c>
      <c r="G73" s="56">
        <f t="shared" si="19"/>
        <v>30</v>
      </c>
      <c r="H73" s="56">
        <f t="shared" si="19"/>
        <v>24</v>
      </c>
      <c r="I73" s="56">
        <f t="shared" si="19"/>
        <v>24</v>
      </c>
      <c r="J73" s="56">
        <f t="shared" si="19"/>
        <v>13</v>
      </c>
      <c r="K73" s="56">
        <f t="shared" si="19"/>
        <v>20</v>
      </c>
      <c r="L73" s="56">
        <f t="shared" si="19"/>
        <v>65</v>
      </c>
      <c r="M73" s="56">
        <f t="shared" si="19"/>
        <v>98</v>
      </c>
      <c r="N73" s="56">
        <f t="shared" si="19"/>
        <v>64</v>
      </c>
      <c r="O73" s="56">
        <f t="shared" si="19"/>
        <v>22</v>
      </c>
      <c r="P73" s="56">
        <f t="shared" si="19"/>
        <v>28</v>
      </c>
      <c r="Q73" s="56">
        <f t="shared" si="19"/>
        <v>36</v>
      </c>
      <c r="R73" s="56">
        <f t="shared" si="19"/>
        <v>47</v>
      </c>
      <c r="S73" s="56">
        <f t="shared" si="19"/>
        <v>22</v>
      </c>
      <c r="T73" s="56">
        <f t="shared" si="19"/>
        <v>20</v>
      </c>
      <c r="U73" s="56">
        <f t="shared" si="19"/>
        <v>14</v>
      </c>
      <c r="V73" s="56">
        <f t="shared" si="19"/>
        <v>14</v>
      </c>
      <c r="W73" s="56">
        <f t="shared" si="19"/>
        <v>21</v>
      </c>
      <c r="X73" s="56">
        <f t="shared" si="19"/>
        <v>22</v>
      </c>
      <c r="Y73" s="56">
        <f t="shared" si="19"/>
        <v>13</v>
      </c>
      <c r="Z73" s="56">
        <f t="shared" si="19"/>
        <v>32</v>
      </c>
      <c r="AA73" s="56">
        <f t="shared" si="19"/>
        <v>19</v>
      </c>
      <c r="AB73" s="56">
        <f t="shared" si="19"/>
        <v>25</v>
      </c>
      <c r="AC73" s="56">
        <f t="shared" si="19"/>
        <v>6</v>
      </c>
      <c r="AD73" s="56">
        <f t="shared" si="19"/>
        <v>5</v>
      </c>
      <c r="AE73" s="56">
        <f t="shared" si="19"/>
        <v>9</v>
      </c>
      <c r="AF73" s="56">
        <f t="shared" si="19"/>
        <v>61</v>
      </c>
      <c r="AG73" s="56">
        <f t="shared" si="19"/>
        <v>40</v>
      </c>
      <c r="AH73" s="56">
        <f t="shared" si="19"/>
        <v>22</v>
      </c>
      <c r="AI73" s="56">
        <f t="shared" si="19"/>
        <v>10</v>
      </c>
      <c r="AJ73" s="56">
        <f t="shared" si="19"/>
        <v>15</v>
      </c>
      <c r="AK73" s="13">
        <f t="shared" si="18"/>
        <v>905</v>
      </c>
    </row>
    <row r="74" ht="12.75" customHeight="1">
      <c r="A74" s="57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13"/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69">
        <v>0.0</v>
      </c>
      <c r="F75" s="69">
        <v>2.0</v>
      </c>
      <c r="G75" s="69">
        <v>2.0</v>
      </c>
      <c r="H75" s="69">
        <v>2.0</v>
      </c>
      <c r="I75" s="69">
        <v>0.0</v>
      </c>
      <c r="J75" s="69">
        <v>0.0</v>
      </c>
      <c r="K75" s="69">
        <v>1.0</v>
      </c>
      <c r="L75" s="69">
        <v>0.0</v>
      </c>
      <c r="M75" s="69">
        <v>1.0</v>
      </c>
      <c r="N75" s="69">
        <v>0.0</v>
      </c>
      <c r="O75" s="69">
        <v>1.0</v>
      </c>
      <c r="P75" s="69">
        <v>0.0</v>
      </c>
      <c r="Q75" s="69">
        <v>0.0</v>
      </c>
      <c r="R75" s="69">
        <v>3.0</v>
      </c>
      <c r="S75" s="69">
        <v>2.0</v>
      </c>
      <c r="T75" s="69">
        <v>2.0</v>
      </c>
      <c r="U75" s="69">
        <v>2.0</v>
      </c>
      <c r="V75" s="69">
        <v>2.0</v>
      </c>
      <c r="W75" s="69">
        <v>0.0</v>
      </c>
      <c r="X75" s="69">
        <v>2.0</v>
      </c>
      <c r="Y75" s="69">
        <v>2.0</v>
      </c>
      <c r="Z75" s="69">
        <v>3.0</v>
      </c>
      <c r="AA75" s="69">
        <v>2.0</v>
      </c>
      <c r="AB75" s="69">
        <v>0.0</v>
      </c>
      <c r="AC75" s="69">
        <v>0.0</v>
      </c>
      <c r="AD75" s="69">
        <v>4.0</v>
      </c>
      <c r="AE75" s="69">
        <v>0.0</v>
      </c>
      <c r="AF75" s="69">
        <v>0.0</v>
      </c>
      <c r="AG75" s="69">
        <v>2.0</v>
      </c>
      <c r="AH75" s="69">
        <v>0.0</v>
      </c>
      <c r="AI75" s="69">
        <v>0.0</v>
      </c>
      <c r="AJ75" s="69">
        <v>0.0</v>
      </c>
      <c r="AK75" s="13">
        <f t="shared" ref="AK75:AK83" si="20">SUM(E75:AJ75)</f>
        <v>35</v>
      </c>
    </row>
    <row r="76" ht="12.75" customHeight="1">
      <c r="A76" s="30" t="s">
        <v>39</v>
      </c>
      <c r="B76" s="49"/>
      <c r="C76" s="50" t="s">
        <v>65</v>
      </c>
      <c r="D76" s="51"/>
      <c r="E76" s="69">
        <v>1.0</v>
      </c>
      <c r="F76" s="69">
        <v>5.0</v>
      </c>
      <c r="G76" s="69">
        <v>0.0</v>
      </c>
      <c r="H76" s="69">
        <v>3.0</v>
      </c>
      <c r="I76" s="69">
        <v>3.0</v>
      </c>
      <c r="J76" s="69">
        <v>0.0</v>
      </c>
      <c r="K76" s="69">
        <v>2.0</v>
      </c>
      <c r="L76" s="69">
        <v>0.0</v>
      </c>
      <c r="M76" s="69">
        <v>3.0</v>
      </c>
      <c r="N76" s="69">
        <v>0.0</v>
      </c>
      <c r="O76" s="69">
        <v>0.0</v>
      </c>
      <c r="P76" s="69">
        <v>1.0</v>
      </c>
      <c r="Q76" s="69">
        <v>1.0</v>
      </c>
      <c r="R76" s="69">
        <v>0.0</v>
      </c>
      <c r="S76" s="69">
        <v>1.0</v>
      </c>
      <c r="T76" s="69">
        <v>2.0</v>
      </c>
      <c r="U76" s="69">
        <v>3.0</v>
      </c>
      <c r="V76" s="69">
        <v>0.0</v>
      </c>
      <c r="W76" s="69">
        <v>0.0</v>
      </c>
      <c r="X76" s="69">
        <v>2.0</v>
      </c>
      <c r="Y76" s="69">
        <v>3.0</v>
      </c>
      <c r="Z76" s="69">
        <v>0.0</v>
      </c>
      <c r="AA76" s="69">
        <v>2.0</v>
      </c>
      <c r="AB76" s="69">
        <v>0.0</v>
      </c>
      <c r="AC76" s="69">
        <v>0.0</v>
      </c>
      <c r="AD76" s="69">
        <v>1.0</v>
      </c>
      <c r="AE76" s="69">
        <v>1.0</v>
      </c>
      <c r="AF76" s="69">
        <v>1.0</v>
      </c>
      <c r="AG76" s="69">
        <v>0.0</v>
      </c>
      <c r="AH76" s="69">
        <v>0.0</v>
      </c>
      <c r="AI76" s="69">
        <v>0.0</v>
      </c>
      <c r="AJ76" s="69">
        <v>0.0</v>
      </c>
      <c r="AK76" s="13">
        <f t="shared" si="20"/>
        <v>35</v>
      </c>
    </row>
    <row r="77" ht="12.75" customHeight="1">
      <c r="A77" s="18"/>
      <c r="B77" s="49"/>
      <c r="C77" s="50" t="s">
        <v>66</v>
      </c>
      <c r="D77" s="51"/>
      <c r="E77" s="69">
        <v>0.0</v>
      </c>
      <c r="F77" s="69">
        <v>1.0</v>
      </c>
      <c r="G77" s="69">
        <v>0.0</v>
      </c>
      <c r="H77" s="69">
        <v>1.0</v>
      </c>
      <c r="I77" s="69">
        <v>0.0</v>
      </c>
      <c r="J77" s="69">
        <v>0.0</v>
      </c>
      <c r="K77" s="69">
        <v>1.0</v>
      </c>
      <c r="L77" s="69">
        <v>0.0</v>
      </c>
      <c r="M77" s="69">
        <v>0.0</v>
      </c>
      <c r="N77" s="69">
        <v>0.0</v>
      </c>
      <c r="O77" s="69">
        <v>0.0</v>
      </c>
      <c r="P77" s="69">
        <v>0.0</v>
      </c>
      <c r="Q77" s="69">
        <v>1.0</v>
      </c>
      <c r="R77" s="69">
        <v>1.0</v>
      </c>
      <c r="S77" s="69">
        <v>0.0</v>
      </c>
      <c r="T77" s="69">
        <v>0.0</v>
      </c>
      <c r="U77" s="69">
        <v>4.0</v>
      </c>
      <c r="V77" s="69">
        <v>0.0</v>
      </c>
      <c r="W77" s="69">
        <v>0.0</v>
      </c>
      <c r="X77" s="69">
        <v>0.0</v>
      </c>
      <c r="Y77" s="69">
        <v>1.0</v>
      </c>
      <c r="Z77" s="69">
        <v>2.0</v>
      </c>
      <c r="AA77" s="69">
        <v>0.0</v>
      </c>
      <c r="AB77" s="69">
        <v>0.0</v>
      </c>
      <c r="AC77" s="69">
        <v>3.0</v>
      </c>
      <c r="AD77" s="69">
        <v>1.0</v>
      </c>
      <c r="AE77" s="69">
        <v>0.0</v>
      </c>
      <c r="AF77" s="69">
        <v>0.0</v>
      </c>
      <c r="AG77" s="69">
        <v>0.0</v>
      </c>
      <c r="AH77" s="69">
        <v>0.0</v>
      </c>
      <c r="AI77" s="69">
        <v>0.0</v>
      </c>
      <c r="AJ77" s="69">
        <v>0.0</v>
      </c>
      <c r="AK77" s="13">
        <f t="shared" si="20"/>
        <v>16</v>
      </c>
    </row>
    <row r="78" ht="12.75" customHeight="1">
      <c r="A78" s="18"/>
      <c r="B78" s="49"/>
      <c r="C78" s="50" t="s">
        <v>67</v>
      </c>
      <c r="D78" s="51"/>
      <c r="E78" s="69">
        <v>0.0</v>
      </c>
      <c r="F78" s="69">
        <v>0.0</v>
      </c>
      <c r="G78" s="69">
        <v>0.0</v>
      </c>
      <c r="H78" s="69">
        <v>0.0</v>
      </c>
      <c r="I78" s="69">
        <v>0.0</v>
      </c>
      <c r="J78" s="69">
        <v>0.0</v>
      </c>
      <c r="K78" s="69">
        <v>0.0</v>
      </c>
      <c r="L78" s="69">
        <v>0.0</v>
      </c>
      <c r="M78" s="69">
        <v>1.0</v>
      </c>
      <c r="N78" s="69">
        <v>0.0</v>
      </c>
      <c r="O78" s="69">
        <v>1.0</v>
      </c>
      <c r="P78" s="69">
        <v>0.0</v>
      </c>
      <c r="Q78" s="69">
        <v>0.0</v>
      </c>
      <c r="R78" s="69">
        <v>1.0</v>
      </c>
      <c r="S78" s="69">
        <v>0.0</v>
      </c>
      <c r="T78" s="69">
        <v>0.0</v>
      </c>
      <c r="U78" s="69">
        <v>0.0</v>
      </c>
      <c r="V78" s="69">
        <v>0.0</v>
      </c>
      <c r="W78" s="69">
        <v>0.0</v>
      </c>
      <c r="X78" s="69">
        <v>0.0</v>
      </c>
      <c r="Y78" s="69">
        <v>0.0</v>
      </c>
      <c r="Z78" s="69">
        <v>0.0</v>
      </c>
      <c r="AA78" s="69">
        <v>0.0</v>
      </c>
      <c r="AB78" s="69">
        <v>0.0</v>
      </c>
      <c r="AC78" s="69">
        <v>0.0</v>
      </c>
      <c r="AD78" s="69">
        <v>0.0</v>
      </c>
      <c r="AE78" s="69">
        <v>0.0</v>
      </c>
      <c r="AF78" s="69">
        <v>0.0</v>
      </c>
      <c r="AG78" s="69">
        <v>0.0</v>
      </c>
      <c r="AH78" s="69">
        <v>0.0</v>
      </c>
      <c r="AI78" s="69">
        <v>0.0</v>
      </c>
      <c r="AJ78" s="69">
        <v>0.0</v>
      </c>
      <c r="AK78" s="13">
        <f t="shared" si="20"/>
        <v>3</v>
      </c>
    </row>
    <row r="79" ht="15.0" customHeight="1">
      <c r="A79" s="18"/>
      <c r="B79" s="49"/>
      <c r="C79" s="50" t="s">
        <v>68</v>
      </c>
      <c r="D79" s="51"/>
      <c r="E79" s="69">
        <v>1.0</v>
      </c>
      <c r="F79" s="69">
        <v>0.0</v>
      </c>
      <c r="G79" s="69">
        <v>0.0</v>
      </c>
      <c r="H79" s="69">
        <v>2.0</v>
      </c>
      <c r="I79" s="69">
        <v>0.0</v>
      </c>
      <c r="J79" s="69">
        <v>0.0</v>
      </c>
      <c r="K79" s="69">
        <v>0.0</v>
      </c>
      <c r="L79" s="69">
        <v>0.0</v>
      </c>
      <c r="M79" s="69">
        <v>0.0</v>
      </c>
      <c r="N79" s="69">
        <v>0.0</v>
      </c>
      <c r="O79" s="69">
        <v>0.0</v>
      </c>
      <c r="P79" s="69">
        <v>0.0</v>
      </c>
      <c r="Q79" s="69">
        <v>0.0</v>
      </c>
      <c r="R79" s="69">
        <v>1.0</v>
      </c>
      <c r="S79" s="69">
        <v>0.0</v>
      </c>
      <c r="T79" s="69">
        <v>0.0</v>
      </c>
      <c r="U79" s="69">
        <v>0.0</v>
      </c>
      <c r="V79" s="69">
        <v>0.0</v>
      </c>
      <c r="W79" s="69">
        <v>1.0</v>
      </c>
      <c r="X79" s="69">
        <v>0.0</v>
      </c>
      <c r="Y79" s="69">
        <v>0.0</v>
      </c>
      <c r="Z79" s="69">
        <v>0.0</v>
      </c>
      <c r="AA79" s="69">
        <v>1.0</v>
      </c>
      <c r="AB79" s="69">
        <v>0.0</v>
      </c>
      <c r="AC79" s="69">
        <v>1.0</v>
      </c>
      <c r="AD79" s="69">
        <v>0.0</v>
      </c>
      <c r="AE79" s="69">
        <v>0.0</v>
      </c>
      <c r="AF79" s="69">
        <v>0.0</v>
      </c>
      <c r="AG79" s="69">
        <v>0.0</v>
      </c>
      <c r="AH79" s="69">
        <v>0.0</v>
      </c>
      <c r="AI79" s="69">
        <v>0.0</v>
      </c>
      <c r="AJ79" s="69">
        <v>0.0</v>
      </c>
      <c r="AK79" s="13">
        <f t="shared" si="20"/>
        <v>7</v>
      </c>
    </row>
    <row r="80" ht="12.75" customHeight="1">
      <c r="A80" s="18"/>
      <c r="B80" s="49"/>
      <c r="C80" s="50" t="s">
        <v>69</v>
      </c>
      <c r="D80" s="51"/>
      <c r="E80" s="69">
        <v>0.0</v>
      </c>
      <c r="F80" s="69">
        <v>0.0</v>
      </c>
      <c r="G80" s="69">
        <v>0.0</v>
      </c>
      <c r="H80" s="69">
        <v>0.0</v>
      </c>
      <c r="I80" s="69">
        <v>0.0</v>
      </c>
      <c r="J80" s="69">
        <v>0.0</v>
      </c>
      <c r="K80" s="69">
        <v>0.0</v>
      </c>
      <c r="L80" s="69">
        <v>0.0</v>
      </c>
      <c r="M80" s="69">
        <v>0.0</v>
      </c>
      <c r="N80" s="69">
        <v>0.0</v>
      </c>
      <c r="O80" s="69">
        <v>0.0</v>
      </c>
      <c r="P80" s="69">
        <v>0.0</v>
      </c>
      <c r="Q80" s="69">
        <v>0.0</v>
      </c>
      <c r="R80" s="69">
        <v>0.0</v>
      </c>
      <c r="S80" s="69">
        <v>0.0</v>
      </c>
      <c r="T80" s="69">
        <v>0.0</v>
      </c>
      <c r="U80" s="69">
        <v>0.0</v>
      </c>
      <c r="V80" s="69">
        <v>0.0</v>
      </c>
      <c r="W80" s="69">
        <v>0.0</v>
      </c>
      <c r="X80" s="69">
        <v>0.0</v>
      </c>
      <c r="Y80" s="69">
        <v>0.0</v>
      </c>
      <c r="Z80" s="69">
        <v>0.0</v>
      </c>
      <c r="AA80" s="69">
        <v>1.0</v>
      </c>
      <c r="AB80" s="69">
        <v>0.0</v>
      </c>
      <c r="AC80" s="69">
        <v>0.0</v>
      </c>
      <c r="AD80" s="69">
        <v>0.0</v>
      </c>
      <c r="AE80" s="69">
        <v>0.0</v>
      </c>
      <c r="AF80" s="69">
        <v>0.0</v>
      </c>
      <c r="AG80" s="69">
        <v>0.0</v>
      </c>
      <c r="AH80" s="69">
        <v>0.0</v>
      </c>
      <c r="AI80" s="69">
        <v>0.0</v>
      </c>
      <c r="AJ80" s="69">
        <v>0.0</v>
      </c>
      <c r="AK80" s="13">
        <f t="shared" si="20"/>
        <v>1</v>
      </c>
    </row>
    <row r="81" ht="12.75" customHeight="1">
      <c r="A81" s="18"/>
      <c r="B81" s="49"/>
      <c r="C81" s="50" t="s">
        <v>70</v>
      </c>
      <c r="D81" s="51"/>
      <c r="E81" s="69">
        <v>0.0</v>
      </c>
      <c r="F81" s="69">
        <v>0.0</v>
      </c>
      <c r="G81" s="69">
        <v>0.0</v>
      </c>
      <c r="H81" s="69">
        <v>0.0</v>
      </c>
      <c r="I81" s="69">
        <v>0.0</v>
      </c>
      <c r="J81" s="69">
        <v>0.0</v>
      </c>
      <c r="K81" s="69">
        <v>0.0</v>
      </c>
      <c r="L81" s="69">
        <v>0.0</v>
      </c>
      <c r="M81" s="69">
        <v>0.0</v>
      </c>
      <c r="N81" s="69">
        <v>0.0</v>
      </c>
      <c r="O81" s="69">
        <v>0.0</v>
      </c>
      <c r="P81" s="69">
        <v>0.0</v>
      </c>
      <c r="Q81" s="69">
        <v>0.0</v>
      </c>
      <c r="R81" s="69">
        <v>0.0</v>
      </c>
      <c r="S81" s="69">
        <v>0.0</v>
      </c>
      <c r="T81" s="69">
        <v>0.0</v>
      </c>
      <c r="U81" s="69">
        <v>0.0</v>
      </c>
      <c r="V81" s="69">
        <v>0.0</v>
      </c>
      <c r="W81" s="69">
        <v>0.0</v>
      </c>
      <c r="X81" s="69">
        <v>0.0</v>
      </c>
      <c r="Y81" s="69">
        <v>0.0</v>
      </c>
      <c r="Z81" s="69">
        <v>0.0</v>
      </c>
      <c r="AA81" s="69">
        <v>0.0</v>
      </c>
      <c r="AB81" s="69">
        <v>0.0</v>
      </c>
      <c r="AC81" s="69">
        <v>0.0</v>
      </c>
      <c r="AD81" s="69">
        <v>0.0</v>
      </c>
      <c r="AE81" s="69">
        <v>0.0</v>
      </c>
      <c r="AF81" s="69">
        <v>0.0</v>
      </c>
      <c r="AG81" s="69">
        <v>0.0</v>
      </c>
      <c r="AH81" s="69">
        <v>0.0</v>
      </c>
      <c r="AI81" s="69">
        <v>0.0</v>
      </c>
      <c r="AJ81" s="69">
        <v>1.0</v>
      </c>
      <c r="AK81" s="13">
        <f t="shared" si="20"/>
        <v>1</v>
      </c>
    </row>
    <row r="82" ht="12.75" customHeight="1">
      <c r="A82" s="18"/>
      <c r="B82" s="49"/>
      <c r="C82" s="50" t="s">
        <v>71</v>
      </c>
      <c r="D82" s="51"/>
      <c r="E82" s="69">
        <v>0.0</v>
      </c>
      <c r="F82" s="69">
        <v>2.0</v>
      </c>
      <c r="G82" s="69">
        <v>1.0</v>
      </c>
      <c r="H82" s="69">
        <v>0.0</v>
      </c>
      <c r="I82" s="69">
        <v>0.0</v>
      </c>
      <c r="J82" s="69">
        <v>0.0</v>
      </c>
      <c r="K82" s="69">
        <v>0.0</v>
      </c>
      <c r="L82" s="69">
        <v>1.0</v>
      </c>
      <c r="M82" s="69">
        <v>0.0</v>
      </c>
      <c r="N82" s="69">
        <v>0.0</v>
      </c>
      <c r="O82" s="69">
        <v>0.0</v>
      </c>
      <c r="P82" s="69">
        <v>0.0</v>
      </c>
      <c r="Q82" s="69">
        <v>0.0</v>
      </c>
      <c r="R82" s="69">
        <v>0.0</v>
      </c>
      <c r="S82" s="69">
        <v>0.0</v>
      </c>
      <c r="T82" s="69">
        <v>1.0</v>
      </c>
      <c r="U82" s="69">
        <v>1.0</v>
      </c>
      <c r="V82" s="69">
        <v>0.0</v>
      </c>
      <c r="W82" s="69">
        <v>0.0</v>
      </c>
      <c r="X82" s="69">
        <v>0.0</v>
      </c>
      <c r="Y82" s="69">
        <v>0.0</v>
      </c>
      <c r="Z82" s="69">
        <v>0.0</v>
      </c>
      <c r="AA82" s="69">
        <v>0.0</v>
      </c>
      <c r="AB82" s="69">
        <v>0.0</v>
      </c>
      <c r="AC82" s="69">
        <v>0.0</v>
      </c>
      <c r="AD82" s="69">
        <v>0.0</v>
      </c>
      <c r="AE82" s="69">
        <v>0.0</v>
      </c>
      <c r="AF82" s="69">
        <v>0.0</v>
      </c>
      <c r="AG82" s="69">
        <v>0.0</v>
      </c>
      <c r="AH82" s="69">
        <v>0.0</v>
      </c>
      <c r="AI82" s="69">
        <v>0.0</v>
      </c>
      <c r="AJ82" s="69">
        <v>0.0</v>
      </c>
      <c r="AK82" s="13">
        <f t="shared" si="20"/>
        <v>6</v>
      </c>
    </row>
    <row r="83" ht="12.75" customHeight="1">
      <c r="A83" s="19" t="s">
        <v>15</v>
      </c>
      <c r="B83" s="47" t="s">
        <v>47</v>
      </c>
      <c r="C83" s="15"/>
      <c r="D83" s="16"/>
      <c r="E83" s="56">
        <f t="shared" ref="E83:AJ83" si="21">SUM(E75:E82)</f>
        <v>2</v>
      </c>
      <c r="F83" s="56">
        <f t="shared" si="21"/>
        <v>10</v>
      </c>
      <c r="G83" s="56">
        <f t="shared" si="21"/>
        <v>3</v>
      </c>
      <c r="H83" s="56">
        <f t="shared" si="21"/>
        <v>8</v>
      </c>
      <c r="I83" s="56">
        <f t="shared" si="21"/>
        <v>3</v>
      </c>
      <c r="J83" s="56">
        <f t="shared" si="21"/>
        <v>0</v>
      </c>
      <c r="K83" s="56">
        <f t="shared" si="21"/>
        <v>4</v>
      </c>
      <c r="L83" s="56">
        <f t="shared" si="21"/>
        <v>1</v>
      </c>
      <c r="M83" s="56">
        <f t="shared" si="21"/>
        <v>5</v>
      </c>
      <c r="N83" s="56">
        <f t="shared" si="21"/>
        <v>0</v>
      </c>
      <c r="O83" s="56">
        <f t="shared" si="21"/>
        <v>2</v>
      </c>
      <c r="P83" s="56">
        <f t="shared" si="21"/>
        <v>1</v>
      </c>
      <c r="Q83" s="56">
        <f t="shared" si="21"/>
        <v>2</v>
      </c>
      <c r="R83" s="56">
        <f t="shared" si="21"/>
        <v>6</v>
      </c>
      <c r="S83" s="56">
        <f t="shared" si="21"/>
        <v>3</v>
      </c>
      <c r="T83" s="56">
        <f t="shared" si="21"/>
        <v>5</v>
      </c>
      <c r="U83" s="56">
        <f t="shared" si="21"/>
        <v>10</v>
      </c>
      <c r="V83" s="56">
        <f t="shared" si="21"/>
        <v>2</v>
      </c>
      <c r="W83" s="56">
        <f t="shared" si="21"/>
        <v>1</v>
      </c>
      <c r="X83" s="56">
        <f t="shared" si="21"/>
        <v>4</v>
      </c>
      <c r="Y83" s="56">
        <f t="shared" si="21"/>
        <v>6</v>
      </c>
      <c r="Z83" s="56">
        <f t="shared" si="21"/>
        <v>5</v>
      </c>
      <c r="AA83" s="56">
        <f t="shared" si="21"/>
        <v>6</v>
      </c>
      <c r="AB83" s="56">
        <f t="shared" si="21"/>
        <v>0</v>
      </c>
      <c r="AC83" s="56">
        <f t="shared" si="21"/>
        <v>4</v>
      </c>
      <c r="AD83" s="56">
        <f t="shared" si="21"/>
        <v>6</v>
      </c>
      <c r="AE83" s="56">
        <f t="shared" si="21"/>
        <v>1</v>
      </c>
      <c r="AF83" s="56">
        <f t="shared" si="21"/>
        <v>1</v>
      </c>
      <c r="AG83" s="56">
        <f t="shared" si="21"/>
        <v>2</v>
      </c>
      <c r="AH83" s="56">
        <f t="shared" si="21"/>
        <v>0</v>
      </c>
      <c r="AI83" s="56">
        <f t="shared" si="21"/>
        <v>0</v>
      </c>
      <c r="AJ83" s="56">
        <f t="shared" si="21"/>
        <v>1</v>
      </c>
      <c r="AK83" s="13">
        <f t="shared" si="20"/>
        <v>104</v>
      </c>
    </row>
    <row r="84" ht="12.75" customHeight="1">
      <c r="A84" s="57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13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69">
        <v>3.0</v>
      </c>
      <c r="F85" s="69">
        <v>2.0</v>
      </c>
      <c r="G85" s="69">
        <v>2.0</v>
      </c>
      <c r="H85" s="69">
        <v>6.0</v>
      </c>
      <c r="I85" s="69">
        <v>4.0</v>
      </c>
      <c r="J85" s="69">
        <v>7.0</v>
      </c>
      <c r="K85" s="69">
        <v>1.0</v>
      </c>
      <c r="L85" s="69">
        <v>3.0</v>
      </c>
      <c r="M85" s="69">
        <v>1.0</v>
      </c>
      <c r="N85" s="69">
        <v>2.0</v>
      </c>
      <c r="O85" s="69">
        <v>2.0</v>
      </c>
      <c r="P85" s="69">
        <v>1.0</v>
      </c>
      <c r="Q85" s="69">
        <v>2.0</v>
      </c>
      <c r="R85" s="69">
        <v>2.0</v>
      </c>
      <c r="S85" s="69">
        <v>2.0</v>
      </c>
      <c r="T85" s="69">
        <v>6.0</v>
      </c>
      <c r="U85" s="69">
        <v>1.0</v>
      </c>
      <c r="V85" s="69">
        <v>12.0</v>
      </c>
      <c r="W85" s="69">
        <v>1.0</v>
      </c>
      <c r="X85" s="69">
        <v>4.0</v>
      </c>
      <c r="Y85" s="69">
        <v>3.0</v>
      </c>
      <c r="Z85" s="69">
        <v>0.0</v>
      </c>
      <c r="AA85" s="69">
        <v>0.0</v>
      </c>
      <c r="AB85" s="69">
        <v>8.0</v>
      </c>
      <c r="AC85" s="69">
        <v>2.0</v>
      </c>
      <c r="AD85" s="69">
        <v>1.0</v>
      </c>
      <c r="AE85" s="69">
        <v>1.0</v>
      </c>
      <c r="AF85" s="69">
        <v>1.0</v>
      </c>
      <c r="AG85" s="69">
        <v>4.0</v>
      </c>
      <c r="AH85" s="69">
        <v>4.0</v>
      </c>
      <c r="AI85" s="69">
        <v>3.0</v>
      </c>
      <c r="AJ85" s="69">
        <v>2.0</v>
      </c>
      <c r="AK85" s="13">
        <f t="shared" ref="AK85:AK93" si="22">SUM(E85:AJ85)</f>
        <v>93</v>
      </c>
    </row>
    <row r="86" ht="12.75" customHeight="1">
      <c r="A86" s="30" t="s">
        <v>39</v>
      </c>
      <c r="B86" s="49"/>
      <c r="C86" s="50" t="s">
        <v>74</v>
      </c>
      <c r="D86" s="51"/>
      <c r="E86" s="69">
        <v>0.0</v>
      </c>
      <c r="F86" s="69">
        <v>3.0</v>
      </c>
      <c r="G86" s="69">
        <v>0.0</v>
      </c>
      <c r="H86" s="69">
        <v>5.0</v>
      </c>
      <c r="I86" s="69">
        <v>9.0</v>
      </c>
      <c r="J86" s="69">
        <v>1.0</v>
      </c>
      <c r="K86" s="69">
        <v>5.0</v>
      </c>
      <c r="L86" s="69">
        <v>0.0</v>
      </c>
      <c r="M86" s="69">
        <v>0.0</v>
      </c>
      <c r="N86" s="69">
        <v>1.0</v>
      </c>
      <c r="O86" s="69">
        <v>1.0</v>
      </c>
      <c r="P86" s="69">
        <v>2.0</v>
      </c>
      <c r="Q86" s="69">
        <v>3.0</v>
      </c>
      <c r="R86" s="69">
        <v>1.0</v>
      </c>
      <c r="S86" s="69">
        <v>1.0</v>
      </c>
      <c r="T86" s="69">
        <v>2.0</v>
      </c>
      <c r="U86" s="69">
        <v>3.0</v>
      </c>
      <c r="V86" s="69">
        <v>2.0</v>
      </c>
      <c r="W86" s="69">
        <v>0.0</v>
      </c>
      <c r="X86" s="69">
        <v>2.0</v>
      </c>
      <c r="Y86" s="69">
        <v>2.0</v>
      </c>
      <c r="Z86" s="69">
        <v>1.0</v>
      </c>
      <c r="AA86" s="69">
        <v>1.0</v>
      </c>
      <c r="AB86" s="69">
        <v>1.0</v>
      </c>
      <c r="AC86" s="69">
        <v>0.0</v>
      </c>
      <c r="AD86" s="69">
        <v>0.0</v>
      </c>
      <c r="AE86" s="69">
        <v>1.0</v>
      </c>
      <c r="AF86" s="69">
        <v>1.0</v>
      </c>
      <c r="AG86" s="69">
        <v>0.0</v>
      </c>
      <c r="AH86" s="69">
        <v>0.0</v>
      </c>
      <c r="AI86" s="69">
        <v>0.0</v>
      </c>
      <c r="AJ86" s="69">
        <v>1.0</v>
      </c>
      <c r="AK86" s="13">
        <f t="shared" si="22"/>
        <v>49</v>
      </c>
    </row>
    <row r="87" ht="12.75" customHeight="1">
      <c r="A87" s="18"/>
      <c r="B87" s="49"/>
      <c r="C87" s="50" t="s">
        <v>75</v>
      </c>
      <c r="D87" s="51"/>
      <c r="E87" s="69">
        <v>67.0</v>
      </c>
      <c r="F87" s="69">
        <v>54.0</v>
      </c>
      <c r="G87" s="69">
        <v>57.0</v>
      </c>
      <c r="H87" s="69">
        <v>88.0</v>
      </c>
      <c r="I87" s="69">
        <v>89.0</v>
      </c>
      <c r="J87" s="69">
        <v>101.0</v>
      </c>
      <c r="K87" s="69">
        <v>53.0</v>
      </c>
      <c r="L87" s="69">
        <v>46.0</v>
      </c>
      <c r="M87" s="69">
        <v>43.0</v>
      </c>
      <c r="N87" s="69">
        <v>12.0</v>
      </c>
      <c r="O87" s="69">
        <v>56.0</v>
      </c>
      <c r="P87" s="69">
        <v>28.0</v>
      </c>
      <c r="Q87" s="69">
        <v>21.0</v>
      </c>
      <c r="R87" s="69">
        <v>38.0</v>
      </c>
      <c r="S87" s="69">
        <v>46.0</v>
      </c>
      <c r="T87" s="69">
        <v>83.0</v>
      </c>
      <c r="U87" s="69">
        <v>86.0</v>
      </c>
      <c r="V87" s="69">
        <v>45.0</v>
      </c>
      <c r="W87" s="69">
        <v>36.0</v>
      </c>
      <c r="X87" s="69">
        <v>89.0</v>
      </c>
      <c r="Y87" s="69">
        <v>36.0</v>
      </c>
      <c r="Z87" s="69">
        <v>38.0</v>
      </c>
      <c r="AA87" s="69">
        <v>54.0</v>
      </c>
      <c r="AB87" s="69">
        <v>87.0</v>
      </c>
      <c r="AC87" s="69">
        <v>60.0</v>
      </c>
      <c r="AD87" s="69">
        <v>43.0</v>
      </c>
      <c r="AE87" s="69">
        <v>11.0</v>
      </c>
      <c r="AF87" s="69">
        <v>10.0</v>
      </c>
      <c r="AG87" s="69">
        <v>24.0</v>
      </c>
      <c r="AH87" s="69">
        <v>40.0</v>
      </c>
      <c r="AI87" s="69">
        <v>74.0</v>
      </c>
      <c r="AJ87" s="69">
        <v>63.0</v>
      </c>
      <c r="AK87" s="13">
        <f t="shared" si="22"/>
        <v>1678</v>
      </c>
    </row>
    <row r="88" ht="12.75" customHeight="1">
      <c r="A88" s="18"/>
      <c r="B88" s="49"/>
      <c r="C88" s="50" t="s">
        <v>76</v>
      </c>
      <c r="D88" s="51"/>
      <c r="E88" s="69">
        <v>0.0</v>
      </c>
      <c r="F88" s="69">
        <v>0.0</v>
      </c>
      <c r="G88" s="69">
        <v>1.0</v>
      </c>
      <c r="H88" s="69">
        <v>0.0</v>
      </c>
      <c r="I88" s="69">
        <v>1.0</v>
      </c>
      <c r="J88" s="69">
        <v>0.0</v>
      </c>
      <c r="K88" s="69">
        <v>0.0</v>
      </c>
      <c r="L88" s="69">
        <v>0.0</v>
      </c>
      <c r="M88" s="69">
        <v>0.0</v>
      </c>
      <c r="N88" s="69">
        <v>0.0</v>
      </c>
      <c r="O88" s="69">
        <v>0.0</v>
      </c>
      <c r="P88" s="69">
        <v>0.0</v>
      </c>
      <c r="Q88" s="69">
        <v>0.0</v>
      </c>
      <c r="R88" s="69">
        <v>0.0</v>
      </c>
      <c r="S88" s="69">
        <v>0.0</v>
      </c>
      <c r="T88" s="69">
        <v>0.0</v>
      </c>
      <c r="U88" s="69">
        <v>0.0</v>
      </c>
      <c r="V88" s="69">
        <v>0.0</v>
      </c>
      <c r="W88" s="69">
        <v>0.0</v>
      </c>
      <c r="X88" s="69">
        <v>0.0</v>
      </c>
      <c r="Y88" s="69">
        <v>0.0</v>
      </c>
      <c r="Z88" s="69">
        <v>0.0</v>
      </c>
      <c r="AA88" s="69">
        <v>1.0</v>
      </c>
      <c r="AB88" s="69">
        <v>0.0</v>
      </c>
      <c r="AC88" s="69">
        <v>0.0</v>
      </c>
      <c r="AD88" s="69">
        <v>0.0</v>
      </c>
      <c r="AE88" s="69">
        <v>0.0</v>
      </c>
      <c r="AF88" s="69">
        <v>0.0</v>
      </c>
      <c r="AG88" s="69">
        <v>0.0</v>
      </c>
      <c r="AH88" s="69">
        <v>0.0</v>
      </c>
      <c r="AI88" s="69">
        <v>0.0</v>
      </c>
      <c r="AJ88" s="69">
        <v>0.0</v>
      </c>
      <c r="AK88" s="13">
        <f t="shared" si="22"/>
        <v>3</v>
      </c>
    </row>
    <row r="89" ht="12.75" customHeight="1">
      <c r="A89" s="18"/>
      <c r="B89" s="49"/>
      <c r="C89" s="50" t="s">
        <v>77</v>
      </c>
      <c r="D89" s="51"/>
      <c r="E89" s="69">
        <v>0.0</v>
      </c>
      <c r="F89" s="69">
        <v>0.0</v>
      </c>
      <c r="G89" s="69">
        <v>1.0</v>
      </c>
      <c r="H89" s="69">
        <v>0.0</v>
      </c>
      <c r="I89" s="69">
        <v>0.0</v>
      </c>
      <c r="J89" s="69">
        <v>0.0</v>
      </c>
      <c r="K89" s="69">
        <v>0.0</v>
      </c>
      <c r="L89" s="69">
        <v>0.0</v>
      </c>
      <c r="M89" s="69">
        <v>0.0</v>
      </c>
      <c r="N89" s="69">
        <v>0.0</v>
      </c>
      <c r="O89" s="69">
        <v>0.0</v>
      </c>
      <c r="P89" s="69">
        <v>1.0</v>
      </c>
      <c r="Q89" s="69">
        <v>0.0</v>
      </c>
      <c r="R89" s="69">
        <v>0.0</v>
      </c>
      <c r="S89" s="69">
        <v>0.0</v>
      </c>
      <c r="T89" s="69">
        <v>1.0</v>
      </c>
      <c r="U89" s="69">
        <v>1.0</v>
      </c>
      <c r="V89" s="69">
        <v>0.0</v>
      </c>
      <c r="W89" s="69">
        <v>0.0</v>
      </c>
      <c r="X89" s="69">
        <v>0.0</v>
      </c>
      <c r="Y89" s="69">
        <v>1.0</v>
      </c>
      <c r="Z89" s="69">
        <v>0.0</v>
      </c>
      <c r="AA89" s="69">
        <v>0.0</v>
      </c>
      <c r="AB89" s="69">
        <v>0.0</v>
      </c>
      <c r="AC89" s="69">
        <v>0.0</v>
      </c>
      <c r="AD89" s="69">
        <v>0.0</v>
      </c>
      <c r="AE89" s="69">
        <v>0.0</v>
      </c>
      <c r="AF89" s="69">
        <v>0.0</v>
      </c>
      <c r="AG89" s="69">
        <v>0.0</v>
      </c>
      <c r="AH89" s="69">
        <v>0.0</v>
      </c>
      <c r="AI89" s="69">
        <v>1.0</v>
      </c>
      <c r="AJ89" s="69">
        <v>0.0</v>
      </c>
      <c r="AK89" s="13">
        <f t="shared" si="22"/>
        <v>6</v>
      </c>
    </row>
    <row r="90" ht="12.75" customHeight="1">
      <c r="A90" s="18"/>
      <c r="B90" s="49"/>
      <c r="C90" s="50" t="s">
        <v>78</v>
      </c>
      <c r="D90" s="51"/>
      <c r="E90" s="69">
        <v>1.0</v>
      </c>
      <c r="F90" s="69">
        <v>2.0</v>
      </c>
      <c r="G90" s="69">
        <v>0.0</v>
      </c>
      <c r="H90" s="69">
        <v>20.0</v>
      </c>
      <c r="I90" s="69">
        <v>3.0</v>
      </c>
      <c r="J90" s="69">
        <v>0.0</v>
      </c>
      <c r="K90" s="69">
        <v>1.0</v>
      </c>
      <c r="L90" s="69">
        <v>0.0</v>
      </c>
      <c r="M90" s="69">
        <v>0.0</v>
      </c>
      <c r="N90" s="69">
        <v>6.0</v>
      </c>
      <c r="O90" s="69">
        <v>0.0</v>
      </c>
      <c r="P90" s="69">
        <v>1.0</v>
      </c>
      <c r="Q90" s="69">
        <v>0.0</v>
      </c>
      <c r="R90" s="69">
        <v>0.0</v>
      </c>
      <c r="S90" s="69">
        <v>0.0</v>
      </c>
      <c r="T90" s="69">
        <v>1.0</v>
      </c>
      <c r="U90" s="69">
        <v>0.0</v>
      </c>
      <c r="V90" s="69">
        <v>3.0</v>
      </c>
      <c r="W90" s="69">
        <v>0.0</v>
      </c>
      <c r="X90" s="69">
        <v>0.0</v>
      </c>
      <c r="Y90" s="69">
        <v>0.0</v>
      </c>
      <c r="Z90" s="69">
        <v>1.0</v>
      </c>
      <c r="AA90" s="69">
        <v>0.0</v>
      </c>
      <c r="AB90" s="69">
        <v>0.0</v>
      </c>
      <c r="AC90" s="69">
        <v>0.0</v>
      </c>
      <c r="AD90" s="69">
        <v>0.0</v>
      </c>
      <c r="AE90" s="69">
        <v>0.0</v>
      </c>
      <c r="AF90" s="69">
        <v>0.0</v>
      </c>
      <c r="AG90" s="69">
        <v>0.0</v>
      </c>
      <c r="AH90" s="69">
        <v>0.0</v>
      </c>
      <c r="AI90" s="69">
        <v>0.0</v>
      </c>
      <c r="AJ90" s="69">
        <v>0.0</v>
      </c>
      <c r="AK90" s="13">
        <f t="shared" si="22"/>
        <v>39</v>
      </c>
    </row>
    <row r="91" ht="15.0" customHeight="1">
      <c r="A91" s="18"/>
      <c r="B91" s="49"/>
      <c r="C91" s="50" t="s">
        <v>79</v>
      </c>
      <c r="D91" s="51"/>
      <c r="E91" s="69">
        <v>0.0</v>
      </c>
      <c r="F91" s="69">
        <v>0.0</v>
      </c>
      <c r="G91" s="69">
        <v>0.0</v>
      </c>
      <c r="H91" s="69">
        <v>0.0</v>
      </c>
      <c r="I91" s="69">
        <v>0.0</v>
      </c>
      <c r="J91" s="69">
        <v>0.0</v>
      </c>
      <c r="K91" s="69">
        <v>0.0</v>
      </c>
      <c r="L91" s="69">
        <v>0.0</v>
      </c>
      <c r="M91" s="69">
        <v>0.0</v>
      </c>
      <c r="N91" s="69">
        <v>0.0</v>
      </c>
      <c r="O91" s="69">
        <v>0.0</v>
      </c>
      <c r="P91" s="69">
        <v>0.0</v>
      </c>
      <c r="Q91" s="69">
        <v>0.0</v>
      </c>
      <c r="R91" s="69">
        <v>0.0</v>
      </c>
      <c r="S91" s="69">
        <v>0.0</v>
      </c>
      <c r="T91" s="69">
        <v>0.0</v>
      </c>
      <c r="U91" s="69">
        <v>0.0</v>
      </c>
      <c r="V91" s="69">
        <v>0.0</v>
      </c>
      <c r="W91" s="69">
        <v>0.0</v>
      </c>
      <c r="X91" s="69">
        <v>0.0</v>
      </c>
      <c r="Y91" s="69">
        <v>0.0</v>
      </c>
      <c r="Z91" s="69">
        <v>0.0</v>
      </c>
      <c r="AA91" s="69">
        <v>0.0</v>
      </c>
      <c r="AB91" s="69">
        <v>0.0</v>
      </c>
      <c r="AC91" s="69">
        <v>0.0</v>
      </c>
      <c r="AD91" s="69">
        <v>0.0</v>
      </c>
      <c r="AE91" s="69">
        <v>0.0</v>
      </c>
      <c r="AF91" s="69">
        <v>0.0</v>
      </c>
      <c r="AG91" s="69">
        <v>0.0</v>
      </c>
      <c r="AH91" s="69">
        <v>0.0</v>
      </c>
      <c r="AI91" s="69">
        <v>0.0</v>
      </c>
      <c r="AJ91" s="69">
        <v>0.0</v>
      </c>
      <c r="AK91" s="13">
        <f t="shared" si="22"/>
        <v>0</v>
      </c>
    </row>
    <row r="92" ht="12.75" customHeight="1">
      <c r="A92" s="18"/>
      <c r="B92" s="49"/>
      <c r="C92" s="50" t="s">
        <v>80</v>
      </c>
      <c r="D92" s="51"/>
      <c r="E92" s="69">
        <v>0.0</v>
      </c>
      <c r="F92" s="69">
        <v>0.0</v>
      </c>
      <c r="G92" s="69">
        <v>0.0</v>
      </c>
      <c r="H92" s="69">
        <v>0.0</v>
      </c>
      <c r="I92" s="69">
        <v>0.0</v>
      </c>
      <c r="J92" s="69">
        <v>0.0</v>
      </c>
      <c r="K92" s="69">
        <v>0.0</v>
      </c>
      <c r="L92" s="69">
        <v>0.0</v>
      </c>
      <c r="M92" s="69">
        <v>0.0</v>
      </c>
      <c r="N92" s="69">
        <v>0.0</v>
      </c>
      <c r="O92" s="69">
        <v>0.0</v>
      </c>
      <c r="P92" s="69">
        <v>0.0</v>
      </c>
      <c r="Q92" s="69">
        <v>0.0</v>
      </c>
      <c r="R92" s="69">
        <v>0.0</v>
      </c>
      <c r="S92" s="69">
        <v>0.0</v>
      </c>
      <c r="T92" s="69">
        <v>0.0</v>
      </c>
      <c r="U92" s="69">
        <v>0.0</v>
      </c>
      <c r="V92" s="69">
        <v>0.0</v>
      </c>
      <c r="W92" s="69">
        <v>0.0</v>
      </c>
      <c r="X92" s="69">
        <v>0.0</v>
      </c>
      <c r="Y92" s="69">
        <v>0.0</v>
      </c>
      <c r="Z92" s="69">
        <v>0.0</v>
      </c>
      <c r="AA92" s="69">
        <v>0.0</v>
      </c>
      <c r="AB92" s="69">
        <v>0.0</v>
      </c>
      <c r="AC92" s="69">
        <v>0.0</v>
      </c>
      <c r="AD92" s="69">
        <v>0.0</v>
      </c>
      <c r="AE92" s="69">
        <v>0.0</v>
      </c>
      <c r="AF92" s="69">
        <v>0.0</v>
      </c>
      <c r="AG92" s="69">
        <v>0.0</v>
      </c>
      <c r="AH92" s="69">
        <v>0.0</v>
      </c>
      <c r="AI92" s="69">
        <v>0.0</v>
      </c>
      <c r="AJ92" s="69">
        <v>0.0</v>
      </c>
      <c r="AK92" s="13">
        <f t="shared" si="22"/>
        <v>0</v>
      </c>
    </row>
    <row r="93" ht="12.75" customHeight="1">
      <c r="A93" s="19" t="s">
        <v>15</v>
      </c>
      <c r="B93" s="47" t="s">
        <v>47</v>
      </c>
      <c r="C93" s="15"/>
      <c r="D93" s="16"/>
      <c r="E93" s="56">
        <f t="shared" ref="E93:AJ93" si="23">SUM(E85:E92)</f>
        <v>71</v>
      </c>
      <c r="F93" s="56">
        <f t="shared" si="23"/>
        <v>61</v>
      </c>
      <c r="G93" s="56">
        <f t="shared" si="23"/>
        <v>61</v>
      </c>
      <c r="H93" s="56">
        <f t="shared" si="23"/>
        <v>119</v>
      </c>
      <c r="I93" s="56">
        <f t="shared" si="23"/>
        <v>106</v>
      </c>
      <c r="J93" s="56">
        <f t="shared" si="23"/>
        <v>109</v>
      </c>
      <c r="K93" s="56">
        <f t="shared" si="23"/>
        <v>60</v>
      </c>
      <c r="L93" s="56">
        <f t="shared" si="23"/>
        <v>49</v>
      </c>
      <c r="M93" s="56">
        <f t="shared" si="23"/>
        <v>44</v>
      </c>
      <c r="N93" s="56">
        <f t="shared" si="23"/>
        <v>21</v>
      </c>
      <c r="O93" s="56">
        <f t="shared" si="23"/>
        <v>59</v>
      </c>
      <c r="P93" s="56">
        <f t="shared" si="23"/>
        <v>33</v>
      </c>
      <c r="Q93" s="56">
        <f t="shared" si="23"/>
        <v>26</v>
      </c>
      <c r="R93" s="56">
        <f t="shared" si="23"/>
        <v>41</v>
      </c>
      <c r="S93" s="56">
        <f t="shared" si="23"/>
        <v>49</v>
      </c>
      <c r="T93" s="56">
        <f t="shared" si="23"/>
        <v>93</v>
      </c>
      <c r="U93" s="56">
        <f t="shared" si="23"/>
        <v>91</v>
      </c>
      <c r="V93" s="56">
        <f t="shared" si="23"/>
        <v>62</v>
      </c>
      <c r="W93" s="56">
        <f t="shared" si="23"/>
        <v>37</v>
      </c>
      <c r="X93" s="56">
        <f t="shared" si="23"/>
        <v>95</v>
      </c>
      <c r="Y93" s="56">
        <f t="shared" si="23"/>
        <v>42</v>
      </c>
      <c r="Z93" s="56">
        <f t="shared" si="23"/>
        <v>40</v>
      </c>
      <c r="AA93" s="56">
        <f t="shared" si="23"/>
        <v>56</v>
      </c>
      <c r="AB93" s="56">
        <f t="shared" si="23"/>
        <v>96</v>
      </c>
      <c r="AC93" s="56">
        <f t="shared" si="23"/>
        <v>62</v>
      </c>
      <c r="AD93" s="56">
        <f t="shared" si="23"/>
        <v>44</v>
      </c>
      <c r="AE93" s="56">
        <f t="shared" si="23"/>
        <v>13</v>
      </c>
      <c r="AF93" s="56">
        <f t="shared" si="23"/>
        <v>12</v>
      </c>
      <c r="AG93" s="56">
        <f t="shared" si="23"/>
        <v>28</v>
      </c>
      <c r="AH93" s="56">
        <f t="shared" si="23"/>
        <v>44</v>
      </c>
      <c r="AI93" s="56">
        <f t="shared" si="23"/>
        <v>78</v>
      </c>
      <c r="AJ93" s="56">
        <f t="shared" si="23"/>
        <v>66</v>
      </c>
      <c r="AK93" s="13">
        <f t="shared" si="22"/>
        <v>1868</v>
      </c>
    </row>
    <row r="94" ht="12.75" customHeight="1">
      <c r="A94" s="57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13"/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69">
        <v>0.0</v>
      </c>
      <c r="F95" s="69">
        <v>0.0</v>
      </c>
      <c r="G95" s="69">
        <v>0.0</v>
      </c>
      <c r="H95" s="69">
        <v>0.0</v>
      </c>
      <c r="I95" s="69">
        <v>1.0</v>
      </c>
      <c r="J95" s="69">
        <v>0.0</v>
      </c>
      <c r="K95" s="69">
        <v>0.0</v>
      </c>
      <c r="L95" s="69">
        <v>1.0</v>
      </c>
      <c r="M95" s="69">
        <v>0.0</v>
      </c>
      <c r="N95" s="69">
        <v>1.0</v>
      </c>
      <c r="O95" s="69">
        <v>0.0</v>
      </c>
      <c r="P95" s="69">
        <v>0.0</v>
      </c>
      <c r="Q95" s="69">
        <v>1.0</v>
      </c>
      <c r="R95" s="69">
        <v>1.0</v>
      </c>
      <c r="S95" s="69">
        <v>1.0</v>
      </c>
      <c r="T95" s="69">
        <v>0.0</v>
      </c>
      <c r="U95" s="69">
        <v>0.0</v>
      </c>
      <c r="V95" s="69">
        <v>0.0</v>
      </c>
      <c r="W95" s="69">
        <v>0.0</v>
      </c>
      <c r="X95" s="69">
        <v>0.0</v>
      </c>
      <c r="Y95" s="69">
        <v>0.0</v>
      </c>
      <c r="Z95" s="69">
        <v>0.0</v>
      </c>
      <c r="AA95" s="69">
        <v>0.0</v>
      </c>
      <c r="AB95" s="69">
        <v>0.0</v>
      </c>
      <c r="AC95" s="69">
        <v>0.0</v>
      </c>
      <c r="AD95" s="69">
        <v>0.0</v>
      </c>
      <c r="AE95" s="69">
        <v>1.0</v>
      </c>
      <c r="AF95" s="69">
        <v>3.0</v>
      </c>
      <c r="AG95" s="69">
        <v>0.0</v>
      </c>
      <c r="AH95" s="69">
        <v>0.0</v>
      </c>
      <c r="AI95" s="69">
        <v>0.0</v>
      </c>
      <c r="AJ95" s="69">
        <v>0.0</v>
      </c>
      <c r="AK95" s="13">
        <f t="shared" ref="AK95:AK97" si="24">SUM(E95:AJ95)</f>
        <v>10</v>
      </c>
    </row>
    <row r="96" ht="12.75" customHeight="1">
      <c r="A96" s="30" t="s">
        <v>39</v>
      </c>
      <c r="B96" s="49"/>
      <c r="C96" s="50" t="s">
        <v>83</v>
      </c>
      <c r="D96" s="62"/>
      <c r="E96" s="69">
        <v>0.0</v>
      </c>
      <c r="F96" s="69">
        <v>0.0</v>
      </c>
      <c r="G96" s="69">
        <v>0.0</v>
      </c>
      <c r="H96" s="69">
        <v>0.0</v>
      </c>
      <c r="I96" s="69">
        <v>0.0</v>
      </c>
      <c r="J96" s="69">
        <v>0.0</v>
      </c>
      <c r="K96" s="69">
        <v>0.0</v>
      </c>
      <c r="L96" s="69">
        <v>0.0</v>
      </c>
      <c r="M96" s="69">
        <v>0.0</v>
      </c>
      <c r="N96" s="69">
        <v>0.0</v>
      </c>
      <c r="O96" s="69">
        <v>0.0</v>
      </c>
      <c r="P96" s="69">
        <v>1.0</v>
      </c>
      <c r="Q96" s="69">
        <v>0.0</v>
      </c>
      <c r="R96" s="69">
        <v>0.0</v>
      </c>
      <c r="S96" s="69">
        <v>0.0</v>
      </c>
      <c r="T96" s="69">
        <v>0.0</v>
      </c>
      <c r="U96" s="69">
        <v>1.0</v>
      </c>
      <c r="V96" s="69">
        <v>0.0</v>
      </c>
      <c r="W96" s="69">
        <v>0.0</v>
      </c>
      <c r="X96" s="69">
        <v>0.0</v>
      </c>
      <c r="Y96" s="69">
        <v>0.0</v>
      </c>
      <c r="Z96" s="69">
        <v>0.0</v>
      </c>
      <c r="AA96" s="69">
        <v>0.0</v>
      </c>
      <c r="AB96" s="69">
        <v>0.0</v>
      </c>
      <c r="AC96" s="69">
        <v>0.0</v>
      </c>
      <c r="AD96" s="69">
        <v>0.0</v>
      </c>
      <c r="AE96" s="69">
        <v>0.0</v>
      </c>
      <c r="AF96" s="69">
        <v>0.0</v>
      </c>
      <c r="AG96" s="69">
        <v>0.0</v>
      </c>
      <c r="AH96" s="69">
        <v>0.0</v>
      </c>
      <c r="AI96" s="69">
        <v>0.0</v>
      </c>
      <c r="AJ96" s="69">
        <v>0.0</v>
      </c>
      <c r="AK96" s="13">
        <f t="shared" si="24"/>
        <v>2</v>
      </c>
    </row>
    <row r="97" ht="12.75" customHeight="1">
      <c r="A97" s="19" t="s">
        <v>15</v>
      </c>
      <c r="B97" s="47" t="s">
        <v>47</v>
      </c>
      <c r="C97" s="15"/>
      <c r="D97" s="16"/>
      <c r="E97" s="56">
        <f t="shared" ref="E97:AJ97" si="25">SUM(E95:E96)</f>
        <v>0</v>
      </c>
      <c r="F97" s="56">
        <f t="shared" si="25"/>
        <v>0</v>
      </c>
      <c r="G97" s="56">
        <f t="shared" si="25"/>
        <v>0</v>
      </c>
      <c r="H97" s="56">
        <f t="shared" si="25"/>
        <v>0</v>
      </c>
      <c r="I97" s="56">
        <f t="shared" si="25"/>
        <v>1</v>
      </c>
      <c r="J97" s="56">
        <f t="shared" si="25"/>
        <v>0</v>
      </c>
      <c r="K97" s="56">
        <f t="shared" si="25"/>
        <v>0</v>
      </c>
      <c r="L97" s="56">
        <f t="shared" si="25"/>
        <v>1</v>
      </c>
      <c r="M97" s="56">
        <f t="shared" si="25"/>
        <v>0</v>
      </c>
      <c r="N97" s="56">
        <f t="shared" si="25"/>
        <v>1</v>
      </c>
      <c r="O97" s="56">
        <f t="shared" si="25"/>
        <v>0</v>
      </c>
      <c r="P97" s="56">
        <f t="shared" si="25"/>
        <v>1</v>
      </c>
      <c r="Q97" s="56">
        <f t="shared" si="25"/>
        <v>1</v>
      </c>
      <c r="R97" s="56">
        <f t="shared" si="25"/>
        <v>1</v>
      </c>
      <c r="S97" s="56">
        <f t="shared" si="25"/>
        <v>1</v>
      </c>
      <c r="T97" s="56">
        <f t="shared" si="25"/>
        <v>0</v>
      </c>
      <c r="U97" s="56">
        <f t="shared" si="25"/>
        <v>1</v>
      </c>
      <c r="V97" s="56">
        <f t="shared" si="25"/>
        <v>0</v>
      </c>
      <c r="W97" s="56">
        <f t="shared" si="25"/>
        <v>0</v>
      </c>
      <c r="X97" s="56">
        <f t="shared" si="25"/>
        <v>0</v>
      </c>
      <c r="Y97" s="56">
        <f t="shared" si="25"/>
        <v>0</v>
      </c>
      <c r="Z97" s="56">
        <f t="shared" si="25"/>
        <v>0</v>
      </c>
      <c r="AA97" s="56">
        <f t="shared" si="25"/>
        <v>0</v>
      </c>
      <c r="AB97" s="56">
        <f t="shared" si="25"/>
        <v>0</v>
      </c>
      <c r="AC97" s="56">
        <f t="shared" si="25"/>
        <v>0</v>
      </c>
      <c r="AD97" s="56">
        <f t="shared" si="25"/>
        <v>0</v>
      </c>
      <c r="AE97" s="56">
        <f t="shared" si="25"/>
        <v>1</v>
      </c>
      <c r="AF97" s="56">
        <f t="shared" si="25"/>
        <v>3</v>
      </c>
      <c r="AG97" s="56">
        <f t="shared" si="25"/>
        <v>0</v>
      </c>
      <c r="AH97" s="56">
        <f t="shared" si="25"/>
        <v>0</v>
      </c>
      <c r="AI97" s="56">
        <f t="shared" si="25"/>
        <v>0</v>
      </c>
      <c r="AJ97" s="56">
        <f t="shared" si="25"/>
        <v>0</v>
      </c>
      <c r="AK97" s="13">
        <f t="shared" si="24"/>
        <v>12</v>
      </c>
    </row>
    <row r="98" ht="12.75" customHeight="1">
      <c r="A98" s="57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13"/>
    </row>
    <row r="99" ht="12.75" customHeight="1">
      <c r="A99" s="30" t="s">
        <v>37</v>
      </c>
      <c r="B99" s="47" t="s">
        <v>84</v>
      </c>
      <c r="C99" s="48" t="s">
        <v>85</v>
      </c>
      <c r="D99" s="16"/>
      <c r="E99" s="69">
        <v>1.0</v>
      </c>
      <c r="F99" s="69">
        <v>2.0</v>
      </c>
      <c r="G99" s="69">
        <v>1.0</v>
      </c>
      <c r="H99" s="69">
        <v>0.0</v>
      </c>
      <c r="I99" s="69">
        <v>0.0</v>
      </c>
      <c r="J99" s="69">
        <v>8.0</v>
      </c>
      <c r="K99" s="69">
        <v>1.0</v>
      </c>
      <c r="L99" s="69">
        <v>1.0</v>
      </c>
      <c r="M99" s="69">
        <v>3.0</v>
      </c>
      <c r="N99" s="69">
        <v>1.0</v>
      </c>
      <c r="O99" s="69">
        <v>1.0</v>
      </c>
      <c r="P99" s="69">
        <v>1.0</v>
      </c>
      <c r="Q99" s="69">
        <v>2.0</v>
      </c>
      <c r="R99" s="69">
        <v>2.0</v>
      </c>
      <c r="S99" s="69">
        <v>0.0</v>
      </c>
      <c r="T99" s="69">
        <v>0.0</v>
      </c>
      <c r="U99" s="69">
        <v>1.0</v>
      </c>
      <c r="V99" s="69">
        <v>0.0</v>
      </c>
      <c r="W99" s="69">
        <v>2.0</v>
      </c>
      <c r="X99" s="69">
        <v>1.0</v>
      </c>
      <c r="Y99" s="69">
        <v>1.0</v>
      </c>
      <c r="Z99" s="69">
        <v>0.0</v>
      </c>
      <c r="AA99" s="69">
        <v>0.0</v>
      </c>
      <c r="AB99" s="69">
        <v>0.0</v>
      </c>
      <c r="AC99" s="69">
        <v>0.0</v>
      </c>
      <c r="AD99" s="69">
        <v>0.0</v>
      </c>
      <c r="AE99" s="69">
        <v>0.0</v>
      </c>
      <c r="AF99" s="69">
        <v>2.0</v>
      </c>
      <c r="AG99" s="69">
        <v>0.0</v>
      </c>
      <c r="AH99" s="69">
        <v>1.0</v>
      </c>
      <c r="AI99" s="69">
        <v>0.0</v>
      </c>
      <c r="AJ99" s="69">
        <v>0.0</v>
      </c>
      <c r="AK99" s="13">
        <f t="shared" ref="AK99:AK101" si="26">SUM(E99:AJ99)</f>
        <v>32</v>
      </c>
    </row>
    <row r="100" ht="12.75" customHeight="1">
      <c r="A100" s="30" t="s">
        <v>39</v>
      </c>
      <c r="B100" s="49"/>
      <c r="C100" s="50" t="s">
        <v>86</v>
      </c>
      <c r="D100" s="51"/>
      <c r="E100" s="69">
        <v>0.0</v>
      </c>
      <c r="F100" s="69">
        <v>0.0</v>
      </c>
      <c r="G100" s="69">
        <v>0.0</v>
      </c>
      <c r="H100" s="69">
        <v>0.0</v>
      </c>
      <c r="I100" s="69">
        <v>0.0</v>
      </c>
      <c r="J100" s="69">
        <v>0.0</v>
      </c>
      <c r="K100" s="69">
        <v>0.0</v>
      </c>
      <c r="L100" s="69">
        <v>2.0</v>
      </c>
      <c r="M100" s="69">
        <v>0.0</v>
      </c>
      <c r="N100" s="69">
        <v>0.0</v>
      </c>
      <c r="O100" s="69">
        <v>0.0</v>
      </c>
      <c r="P100" s="69">
        <v>0.0</v>
      </c>
      <c r="Q100" s="69">
        <v>1.0</v>
      </c>
      <c r="R100" s="69">
        <v>2.0</v>
      </c>
      <c r="S100" s="69">
        <v>0.0</v>
      </c>
      <c r="T100" s="69">
        <v>0.0</v>
      </c>
      <c r="U100" s="69">
        <v>0.0</v>
      </c>
      <c r="V100" s="69">
        <v>0.0</v>
      </c>
      <c r="W100" s="69">
        <v>1.0</v>
      </c>
      <c r="X100" s="69">
        <v>0.0</v>
      </c>
      <c r="Y100" s="69">
        <v>1.0</v>
      </c>
      <c r="Z100" s="69">
        <v>0.0</v>
      </c>
      <c r="AA100" s="69">
        <v>0.0</v>
      </c>
      <c r="AB100" s="69">
        <v>0.0</v>
      </c>
      <c r="AC100" s="69">
        <v>0.0</v>
      </c>
      <c r="AD100" s="69">
        <v>0.0</v>
      </c>
      <c r="AE100" s="69">
        <v>0.0</v>
      </c>
      <c r="AF100" s="69">
        <v>0.0</v>
      </c>
      <c r="AG100" s="69">
        <v>0.0</v>
      </c>
      <c r="AH100" s="69">
        <v>0.0</v>
      </c>
      <c r="AI100" s="69">
        <v>0.0</v>
      </c>
      <c r="AJ100" s="69">
        <v>0.0</v>
      </c>
      <c r="AK100" s="13">
        <f t="shared" si="26"/>
        <v>7</v>
      </c>
    </row>
    <row r="101" ht="12.75" customHeight="1">
      <c r="A101" s="19" t="s">
        <v>15</v>
      </c>
      <c r="B101" s="47" t="s">
        <v>47</v>
      </c>
      <c r="C101" s="15"/>
      <c r="D101" s="16"/>
      <c r="E101" s="56">
        <f t="shared" ref="E101:AJ101" si="27">SUM(E99:E100)</f>
        <v>1</v>
      </c>
      <c r="F101" s="56">
        <f t="shared" si="27"/>
        <v>2</v>
      </c>
      <c r="G101" s="56">
        <f t="shared" si="27"/>
        <v>1</v>
      </c>
      <c r="H101" s="56">
        <f t="shared" si="27"/>
        <v>0</v>
      </c>
      <c r="I101" s="56">
        <f t="shared" si="27"/>
        <v>0</v>
      </c>
      <c r="J101" s="56">
        <f t="shared" si="27"/>
        <v>8</v>
      </c>
      <c r="K101" s="56">
        <f t="shared" si="27"/>
        <v>1</v>
      </c>
      <c r="L101" s="56">
        <f t="shared" si="27"/>
        <v>3</v>
      </c>
      <c r="M101" s="56">
        <f t="shared" si="27"/>
        <v>3</v>
      </c>
      <c r="N101" s="56">
        <f t="shared" si="27"/>
        <v>1</v>
      </c>
      <c r="O101" s="56">
        <f t="shared" si="27"/>
        <v>1</v>
      </c>
      <c r="P101" s="56">
        <f t="shared" si="27"/>
        <v>1</v>
      </c>
      <c r="Q101" s="56">
        <f t="shared" si="27"/>
        <v>3</v>
      </c>
      <c r="R101" s="56">
        <f t="shared" si="27"/>
        <v>4</v>
      </c>
      <c r="S101" s="56">
        <f t="shared" si="27"/>
        <v>0</v>
      </c>
      <c r="T101" s="56">
        <f t="shared" si="27"/>
        <v>0</v>
      </c>
      <c r="U101" s="56">
        <f t="shared" si="27"/>
        <v>1</v>
      </c>
      <c r="V101" s="56">
        <f t="shared" si="27"/>
        <v>0</v>
      </c>
      <c r="W101" s="56">
        <f t="shared" si="27"/>
        <v>3</v>
      </c>
      <c r="X101" s="56">
        <f t="shared" si="27"/>
        <v>1</v>
      </c>
      <c r="Y101" s="56">
        <f t="shared" si="27"/>
        <v>2</v>
      </c>
      <c r="Z101" s="56">
        <f t="shared" si="27"/>
        <v>0</v>
      </c>
      <c r="AA101" s="56">
        <f t="shared" si="27"/>
        <v>0</v>
      </c>
      <c r="AB101" s="56">
        <f t="shared" si="27"/>
        <v>0</v>
      </c>
      <c r="AC101" s="56">
        <f t="shared" si="27"/>
        <v>0</v>
      </c>
      <c r="AD101" s="56">
        <f t="shared" si="27"/>
        <v>0</v>
      </c>
      <c r="AE101" s="56">
        <f t="shared" si="27"/>
        <v>0</v>
      </c>
      <c r="AF101" s="56">
        <f t="shared" si="27"/>
        <v>2</v>
      </c>
      <c r="AG101" s="56">
        <f t="shared" si="27"/>
        <v>0</v>
      </c>
      <c r="AH101" s="56">
        <f t="shared" si="27"/>
        <v>1</v>
      </c>
      <c r="AI101" s="56">
        <f t="shared" si="27"/>
        <v>0</v>
      </c>
      <c r="AJ101" s="56">
        <f t="shared" si="27"/>
        <v>0</v>
      </c>
      <c r="AK101" s="13">
        <f t="shared" si="26"/>
        <v>39</v>
      </c>
    </row>
    <row r="102" ht="12.75" customHeight="1">
      <c r="A102" s="57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13"/>
    </row>
    <row r="103" ht="15.0" customHeight="1">
      <c r="A103" s="30" t="s">
        <v>37</v>
      </c>
      <c r="B103" s="47" t="s">
        <v>87</v>
      </c>
      <c r="C103" s="48" t="s">
        <v>88</v>
      </c>
      <c r="D103" s="16"/>
      <c r="E103" s="69">
        <v>0.0</v>
      </c>
      <c r="F103" s="69">
        <v>0.0</v>
      </c>
      <c r="G103" s="69">
        <v>0.0</v>
      </c>
      <c r="H103" s="69">
        <v>0.0</v>
      </c>
      <c r="I103" s="69">
        <v>0.0</v>
      </c>
      <c r="J103" s="69">
        <v>0.0</v>
      </c>
      <c r="K103" s="69">
        <v>0.0</v>
      </c>
      <c r="L103" s="69">
        <v>0.0</v>
      </c>
      <c r="M103" s="69">
        <v>0.0</v>
      </c>
      <c r="N103" s="69">
        <v>3.0</v>
      </c>
      <c r="O103" s="69">
        <v>0.0</v>
      </c>
      <c r="P103" s="69">
        <v>0.0</v>
      </c>
      <c r="Q103" s="69">
        <v>2.0</v>
      </c>
      <c r="R103" s="69">
        <v>1.0</v>
      </c>
      <c r="S103" s="69">
        <v>0.0</v>
      </c>
      <c r="T103" s="69">
        <v>1.0</v>
      </c>
      <c r="U103" s="69">
        <v>0.0</v>
      </c>
      <c r="V103" s="69">
        <v>0.0</v>
      </c>
      <c r="W103" s="69">
        <v>2.0</v>
      </c>
      <c r="X103" s="69">
        <v>0.0</v>
      </c>
      <c r="Y103" s="69">
        <v>0.0</v>
      </c>
      <c r="Z103" s="69">
        <v>0.0</v>
      </c>
      <c r="AA103" s="69">
        <v>0.0</v>
      </c>
      <c r="AB103" s="69">
        <v>0.0</v>
      </c>
      <c r="AC103" s="69">
        <v>0.0</v>
      </c>
      <c r="AD103" s="69">
        <v>0.0</v>
      </c>
      <c r="AE103" s="69">
        <v>0.0</v>
      </c>
      <c r="AF103" s="69">
        <v>1.0</v>
      </c>
      <c r="AG103" s="69">
        <v>0.0</v>
      </c>
      <c r="AH103" s="69">
        <v>0.0</v>
      </c>
      <c r="AI103" s="69">
        <v>0.0</v>
      </c>
      <c r="AJ103" s="69">
        <v>2.0</v>
      </c>
      <c r="AK103" s="13">
        <f t="shared" ref="AK103:AK111" si="28">SUM(E103:AJ103)</f>
        <v>12</v>
      </c>
    </row>
    <row r="104" ht="12.75" customHeight="1">
      <c r="A104" s="30" t="s">
        <v>39</v>
      </c>
      <c r="B104" s="49"/>
      <c r="C104" s="50" t="s">
        <v>89</v>
      </c>
      <c r="D104" s="51"/>
      <c r="E104" s="69">
        <v>0.0</v>
      </c>
      <c r="F104" s="69">
        <v>1.0</v>
      </c>
      <c r="G104" s="69">
        <v>2.0</v>
      </c>
      <c r="H104" s="69">
        <v>0.0</v>
      </c>
      <c r="I104" s="69">
        <v>1.0</v>
      </c>
      <c r="J104" s="69">
        <v>2.0</v>
      </c>
      <c r="K104" s="69">
        <v>0.0</v>
      </c>
      <c r="L104" s="69">
        <v>3.0</v>
      </c>
      <c r="M104" s="69">
        <v>1.0</v>
      </c>
      <c r="N104" s="69">
        <v>5.0</v>
      </c>
      <c r="O104" s="69">
        <v>1.0</v>
      </c>
      <c r="P104" s="69">
        <v>3.0</v>
      </c>
      <c r="Q104" s="69">
        <v>6.0</v>
      </c>
      <c r="R104" s="69">
        <v>3.0</v>
      </c>
      <c r="S104" s="69">
        <v>2.0</v>
      </c>
      <c r="T104" s="69">
        <v>0.0</v>
      </c>
      <c r="U104" s="69">
        <v>2.0</v>
      </c>
      <c r="V104" s="69">
        <v>0.0</v>
      </c>
      <c r="W104" s="69">
        <v>0.0</v>
      </c>
      <c r="X104" s="69">
        <v>0.0</v>
      </c>
      <c r="Y104" s="69">
        <v>2.0</v>
      </c>
      <c r="Z104" s="69">
        <v>1.0</v>
      </c>
      <c r="AA104" s="69">
        <v>2.0</v>
      </c>
      <c r="AB104" s="69">
        <v>0.0</v>
      </c>
      <c r="AC104" s="69">
        <v>1.0</v>
      </c>
      <c r="AD104" s="69">
        <v>1.0</v>
      </c>
      <c r="AE104" s="69">
        <v>1.0</v>
      </c>
      <c r="AF104" s="69">
        <v>0.0</v>
      </c>
      <c r="AG104" s="69">
        <v>0.0</v>
      </c>
      <c r="AH104" s="69">
        <v>0.0</v>
      </c>
      <c r="AI104" s="69">
        <v>0.0</v>
      </c>
      <c r="AJ104" s="69">
        <v>4.0</v>
      </c>
      <c r="AK104" s="13">
        <f t="shared" si="28"/>
        <v>44</v>
      </c>
    </row>
    <row r="105" ht="12.75" customHeight="1">
      <c r="A105" s="18"/>
      <c r="B105" s="49"/>
      <c r="C105" s="50" t="s">
        <v>90</v>
      </c>
      <c r="D105" s="51"/>
      <c r="E105" s="69">
        <v>0.0</v>
      </c>
      <c r="F105" s="69">
        <v>0.0</v>
      </c>
      <c r="G105" s="69">
        <v>0.0</v>
      </c>
      <c r="H105" s="69">
        <v>0.0</v>
      </c>
      <c r="I105" s="69">
        <v>0.0</v>
      </c>
      <c r="J105" s="69">
        <v>0.0</v>
      </c>
      <c r="K105" s="69">
        <v>0.0</v>
      </c>
      <c r="L105" s="69">
        <v>0.0</v>
      </c>
      <c r="M105" s="69">
        <v>0.0</v>
      </c>
      <c r="N105" s="69">
        <v>0.0</v>
      </c>
      <c r="O105" s="69">
        <v>0.0</v>
      </c>
      <c r="P105" s="69">
        <v>0.0</v>
      </c>
      <c r="Q105" s="69">
        <v>0.0</v>
      </c>
      <c r="R105" s="69">
        <v>0.0</v>
      </c>
      <c r="S105" s="69">
        <v>0.0</v>
      </c>
      <c r="T105" s="69">
        <v>0.0</v>
      </c>
      <c r="U105" s="69">
        <v>0.0</v>
      </c>
      <c r="V105" s="69">
        <v>0.0</v>
      </c>
      <c r="W105" s="69">
        <v>0.0</v>
      </c>
      <c r="X105" s="69">
        <v>0.0</v>
      </c>
      <c r="Y105" s="69">
        <v>0.0</v>
      </c>
      <c r="Z105" s="69">
        <v>0.0</v>
      </c>
      <c r="AA105" s="69">
        <v>0.0</v>
      </c>
      <c r="AB105" s="69">
        <v>0.0</v>
      </c>
      <c r="AC105" s="69">
        <v>0.0</v>
      </c>
      <c r="AD105" s="69">
        <v>0.0</v>
      </c>
      <c r="AE105" s="69">
        <v>0.0</v>
      </c>
      <c r="AF105" s="69">
        <v>0.0</v>
      </c>
      <c r="AG105" s="69">
        <v>0.0</v>
      </c>
      <c r="AH105" s="69">
        <v>0.0</v>
      </c>
      <c r="AI105" s="69">
        <v>0.0</v>
      </c>
      <c r="AJ105" s="69">
        <v>0.0</v>
      </c>
      <c r="AK105" s="13">
        <f t="shared" si="28"/>
        <v>0</v>
      </c>
    </row>
    <row r="106" ht="12.75" customHeight="1">
      <c r="A106" s="18"/>
      <c r="B106" s="49"/>
      <c r="C106" s="50" t="s">
        <v>91</v>
      </c>
      <c r="D106" s="51"/>
      <c r="E106" s="69">
        <v>0.0</v>
      </c>
      <c r="F106" s="69">
        <v>0.0</v>
      </c>
      <c r="G106" s="69">
        <v>0.0</v>
      </c>
      <c r="H106" s="69">
        <v>0.0</v>
      </c>
      <c r="I106" s="69">
        <v>0.0</v>
      </c>
      <c r="J106" s="69">
        <v>0.0</v>
      </c>
      <c r="K106" s="69">
        <v>0.0</v>
      </c>
      <c r="L106" s="69">
        <v>0.0</v>
      </c>
      <c r="M106" s="69">
        <v>0.0</v>
      </c>
      <c r="N106" s="69">
        <v>0.0</v>
      </c>
      <c r="O106" s="69">
        <v>0.0</v>
      </c>
      <c r="P106" s="69">
        <v>0.0</v>
      </c>
      <c r="Q106" s="69">
        <v>0.0</v>
      </c>
      <c r="R106" s="69">
        <v>0.0</v>
      </c>
      <c r="S106" s="69">
        <v>0.0</v>
      </c>
      <c r="T106" s="69">
        <v>0.0</v>
      </c>
      <c r="U106" s="69">
        <v>0.0</v>
      </c>
      <c r="V106" s="69">
        <v>0.0</v>
      </c>
      <c r="W106" s="69">
        <v>0.0</v>
      </c>
      <c r="X106" s="69">
        <v>0.0</v>
      </c>
      <c r="Y106" s="69">
        <v>0.0</v>
      </c>
      <c r="Z106" s="69">
        <v>0.0</v>
      </c>
      <c r="AA106" s="69">
        <v>0.0</v>
      </c>
      <c r="AB106" s="69">
        <v>0.0</v>
      </c>
      <c r="AC106" s="69">
        <v>0.0</v>
      </c>
      <c r="AD106" s="69">
        <v>0.0</v>
      </c>
      <c r="AE106" s="69">
        <v>0.0</v>
      </c>
      <c r="AF106" s="69">
        <v>0.0</v>
      </c>
      <c r="AG106" s="69">
        <v>0.0</v>
      </c>
      <c r="AH106" s="69">
        <v>0.0</v>
      </c>
      <c r="AI106" s="69">
        <v>0.0</v>
      </c>
      <c r="AJ106" s="69">
        <v>0.0</v>
      </c>
      <c r="AK106" s="13">
        <f t="shared" si="28"/>
        <v>0</v>
      </c>
    </row>
    <row r="107" ht="12.75" customHeight="1">
      <c r="A107" s="18"/>
      <c r="B107" s="49"/>
      <c r="C107" s="50" t="s">
        <v>92</v>
      </c>
      <c r="D107" s="51"/>
      <c r="E107" s="69">
        <v>0.0</v>
      </c>
      <c r="F107" s="69">
        <v>0.0</v>
      </c>
      <c r="G107" s="69">
        <v>0.0</v>
      </c>
      <c r="H107" s="69">
        <v>0.0</v>
      </c>
      <c r="I107" s="69">
        <v>0.0</v>
      </c>
      <c r="J107" s="69">
        <v>0.0</v>
      </c>
      <c r="K107" s="69">
        <v>0.0</v>
      </c>
      <c r="L107" s="69">
        <v>0.0</v>
      </c>
      <c r="M107" s="69">
        <v>0.0</v>
      </c>
      <c r="N107" s="69">
        <v>0.0</v>
      </c>
      <c r="O107" s="69">
        <v>0.0</v>
      </c>
      <c r="P107" s="69">
        <v>0.0</v>
      </c>
      <c r="Q107" s="69">
        <v>0.0</v>
      </c>
      <c r="R107" s="69">
        <v>0.0</v>
      </c>
      <c r="S107" s="69">
        <v>0.0</v>
      </c>
      <c r="T107" s="69">
        <v>0.0</v>
      </c>
      <c r="U107" s="69">
        <v>0.0</v>
      </c>
      <c r="V107" s="69">
        <v>0.0</v>
      </c>
      <c r="W107" s="69">
        <v>0.0</v>
      </c>
      <c r="X107" s="69">
        <v>0.0</v>
      </c>
      <c r="Y107" s="69">
        <v>0.0</v>
      </c>
      <c r="Z107" s="69">
        <v>0.0</v>
      </c>
      <c r="AA107" s="69">
        <v>0.0</v>
      </c>
      <c r="AB107" s="69">
        <v>0.0</v>
      </c>
      <c r="AC107" s="69">
        <v>0.0</v>
      </c>
      <c r="AD107" s="69">
        <v>0.0</v>
      </c>
      <c r="AE107" s="69">
        <v>0.0</v>
      </c>
      <c r="AF107" s="69">
        <v>0.0</v>
      </c>
      <c r="AG107" s="69">
        <v>0.0</v>
      </c>
      <c r="AH107" s="69">
        <v>0.0</v>
      </c>
      <c r="AI107" s="69">
        <v>0.0</v>
      </c>
      <c r="AJ107" s="69">
        <v>0.0</v>
      </c>
      <c r="AK107" s="13">
        <f t="shared" si="28"/>
        <v>0</v>
      </c>
    </row>
    <row r="108" ht="12.75" customHeight="1">
      <c r="A108" s="18"/>
      <c r="B108" s="49"/>
      <c r="C108" s="50" t="s">
        <v>93</v>
      </c>
      <c r="D108" s="51"/>
      <c r="E108" s="69">
        <v>0.0</v>
      </c>
      <c r="F108" s="69">
        <v>0.0</v>
      </c>
      <c r="G108" s="69">
        <v>0.0</v>
      </c>
      <c r="H108" s="69">
        <v>0.0</v>
      </c>
      <c r="I108" s="69">
        <v>0.0</v>
      </c>
      <c r="J108" s="69">
        <v>0.0</v>
      </c>
      <c r="K108" s="69">
        <v>0.0</v>
      </c>
      <c r="L108" s="69">
        <v>0.0</v>
      </c>
      <c r="M108" s="69">
        <v>0.0</v>
      </c>
      <c r="N108" s="69">
        <v>0.0</v>
      </c>
      <c r="O108" s="69">
        <v>0.0</v>
      </c>
      <c r="P108" s="69">
        <v>0.0</v>
      </c>
      <c r="Q108" s="69">
        <v>0.0</v>
      </c>
      <c r="R108" s="69">
        <v>0.0</v>
      </c>
      <c r="S108" s="69">
        <v>0.0</v>
      </c>
      <c r="T108" s="69">
        <v>0.0</v>
      </c>
      <c r="U108" s="69">
        <v>0.0</v>
      </c>
      <c r="V108" s="69">
        <v>0.0</v>
      </c>
      <c r="W108" s="69">
        <v>0.0</v>
      </c>
      <c r="X108" s="69">
        <v>0.0</v>
      </c>
      <c r="Y108" s="69">
        <v>0.0</v>
      </c>
      <c r="Z108" s="69">
        <v>0.0</v>
      </c>
      <c r="AA108" s="69">
        <v>0.0</v>
      </c>
      <c r="AB108" s="69">
        <v>0.0</v>
      </c>
      <c r="AC108" s="69">
        <v>0.0</v>
      </c>
      <c r="AD108" s="69">
        <v>0.0</v>
      </c>
      <c r="AE108" s="69">
        <v>0.0</v>
      </c>
      <c r="AF108" s="69">
        <v>0.0</v>
      </c>
      <c r="AG108" s="69">
        <v>0.0</v>
      </c>
      <c r="AH108" s="69">
        <v>0.0</v>
      </c>
      <c r="AI108" s="69">
        <v>0.0</v>
      </c>
      <c r="AJ108" s="69">
        <v>0.0</v>
      </c>
      <c r="AK108" s="13">
        <f t="shared" si="28"/>
        <v>0</v>
      </c>
    </row>
    <row r="109" ht="12.75" customHeight="1">
      <c r="A109" s="18"/>
      <c r="B109" s="49"/>
      <c r="C109" s="50" t="s">
        <v>94</v>
      </c>
      <c r="D109" s="51"/>
      <c r="E109" s="69">
        <v>0.0</v>
      </c>
      <c r="F109" s="69">
        <v>0.0</v>
      </c>
      <c r="G109" s="69">
        <v>0.0</v>
      </c>
      <c r="H109" s="69">
        <v>0.0</v>
      </c>
      <c r="I109" s="69">
        <v>0.0</v>
      </c>
      <c r="J109" s="69">
        <v>0.0</v>
      </c>
      <c r="K109" s="69">
        <v>0.0</v>
      </c>
      <c r="L109" s="69">
        <v>0.0</v>
      </c>
      <c r="M109" s="69">
        <v>0.0</v>
      </c>
      <c r="N109" s="69">
        <v>0.0</v>
      </c>
      <c r="O109" s="69">
        <v>0.0</v>
      </c>
      <c r="P109" s="69">
        <v>0.0</v>
      </c>
      <c r="Q109" s="69">
        <v>0.0</v>
      </c>
      <c r="R109" s="69">
        <v>0.0</v>
      </c>
      <c r="S109" s="69">
        <v>0.0</v>
      </c>
      <c r="T109" s="69">
        <v>0.0</v>
      </c>
      <c r="U109" s="69">
        <v>0.0</v>
      </c>
      <c r="V109" s="69">
        <v>0.0</v>
      </c>
      <c r="W109" s="69">
        <v>1.0</v>
      </c>
      <c r="X109" s="69">
        <v>1.0</v>
      </c>
      <c r="Y109" s="69">
        <v>0.0</v>
      </c>
      <c r="Z109" s="69">
        <v>0.0</v>
      </c>
      <c r="AA109" s="69">
        <v>0.0</v>
      </c>
      <c r="AB109" s="69">
        <v>1.0</v>
      </c>
      <c r="AC109" s="69">
        <v>0.0</v>
      </c>
      <c r="AD109" s="69">
        <v>0.0</v>
      </c>
      <c r="AE109" s="69">
        <v>0.0</v>
      </c>
      <c r="AF109" s="69">
        <v>0.0</v>
      </c>
      <c r="AG109" s="69">
        <v>0.0</v>
      </c>
      <c r="AH109" s="69">
        <v>0.0</v>
      </c>
      <c r="AI109" s="69">
        <v>0.0</v>
      </c>
      <c r="AJ109" s="69">
        <v>0.0</v>
      </c>
      <c r="AK109" s="13">
        <f t="shared" si="28"/>
        <v>3</v>
      </c>
    </row>
    <row r="110" ht="12.75" customHeight="1">
      <c r="A110" s="18"/>
      <c r="B110" s="49"/>
      <c r="C110" s="50" t="s">
        <v>95</v>
      </c>
      <c r="D110" s="51"/>
      <c r="E110" s="69">
        <v>0.0</v>
      </c>
      <c r="F110" s="69">
        <v>0.0</v>
      </c>
      <c r="G110" s="69">
        <v>0.0</v>
      </c>
      <c r="H110" s="69">
        <v>0.0</v>
      </c>
      <c r="I110" s="69">
        <v>0.0</v>
      </c>
      <c r="J110" s="69">
        <v>0.0</v>
      </c>
      <c r="K110" s="69">
        <v>0.0</v>
      </c>
      <c r="L110" s="69">
        <v>0.0</v>
      </c>
      <c r="M110" s="69">
        <v>0.0</v>
      </c>
      <c r="N110" s="69">
        <v>0.0</v>
      </c>
      <c r="O110" s="69">
        <v>0.0</v>
      </c>
      <c r="P110" s="69">
        <v>0.0</v>
      </c>
      <c r="Q110" s="69">
        <v>0.0</v>
      </c>
      <c r="R110" s="69">
        <v>0.0</v>
      </c>
      <c r="S110" s="69">
        <v>0.0</v>
      </c>
      <c r="T110" s="69">
        <v>0.0</v>
      </c>
      <c r="U110" s="69">
        <v>0.0</v>
      </c>
      <c r="V110" s="69">
        <v>0.0</v>
      </c>
      <c r="W110" s="69">
        <v>0.0</v>
      </c>
      <c r="X110" s="69">
        <v>0.0</v>
      </c>
      <c r="Y110" s="69">
        <v>0.0</v>
      </c>
      <c r="Z110" s="69">
        <v>0.0</v>
      </c>
      <c r="AA110" s="69">
        <v>0.0</v>
      </c>
      <c r="AB110" s="69">
        <v>0.0</v>
      </c>
      <c r="AC110" s="69">
        <v>0.0</v>
      </c>
      <c r="AD110" s="69">
        <v>0.0</v>
      </c>
      <c r="AE110" s="69">
        <v>0.0</v>
      </c>
      <c r="AF110" s="69">
        <v>0.0</v>
      </c>
      <c r="AG110" s="69">
        <v>0.0</v>
      </c>
      <c r="AH110" s="69">
        <v>0.0</v>
      </c>
      <c r="AI110" s="69">
        <v>0.0</v>
      </c>
      <c r="AJ110" s="69">
        <v>0.0</v>
      </c>
      <c r="AK110" s="13">
        <f t="shared" si="28"/>
        <v>0</v>
      </c>
    </row>
    <row r="111" ht="12.75" customHeight="1">
      <c r="A111" s="19" t="s">
        <v>15</v>
      </c>
      <c r="B111" s="47" t="s">
        <v>47</v>
      </c>
      <c r="C111" s="15"/>
      <c r="D111" s="16"/>
      <c r="E111" s="56">
        <f t="shared" ref="E111:AJ111" si="29">SUM(E103:E110)</f>
        <v>0</v>
      </c>
      <c r="F111" s="56">
        <f t="shared" si="29"/>
        <v>1</v>
      </c>
      <c r="G111" s="56">
        <f t="shared" si="29"/>
        <v>2</v>
      </c>
      <c r="H111" s="56">
        <f t="shared" si="29"/>
        <v>0</v>
      </c>
      <c r="I111" s="56">
        <f t="shared" si="29"/>
        <v>1</v>
      </c>
      <c r="J111" s="56">
        <f t="shared" si="29"/>
        <v>2</v>
      </c>
      <c r="K111" s="56">
        <f t="shared" si="29"/>
        <v>0</v>
      </c>
      <c r="L111" s="56">
        <f t="shared" si="29"/>
        <v>3</v>
      </c>
      <c r="M111" s="56">
        <f t="shared" si="29"/>
        <v>1</v>
      </c>
      <c r="N111" s="56">
        <f t="shared" si="29"/>
        <v>8</v>
      </c>
      <c r="O111" s="56">
        <f t="shared" si="29"/>
        <v>1</v>
      </c>
      <c r="P111" s="56">
        <f t="shared" si="29"/>
        <v>3</v>
      </c>
      <c r="Q111" s="56">
        <f t="shared" si="29"/>
        <v>8</v>
      </c>
      <c r="R111" s="56">
        <f t="shared" si="29"/>
        <v>4</v>
      </c>
      <c r="S111" s="56">
        <f t="shared" si="29"/>
        <v>2</v>
      </c>
      <c r="T111" s="56">
        <f t="shared" si="29"/>
        <v>1</v>
      </c>
      <c r="U111" s="56">
        <f t="shared" si="29"/>
        <v>2</v>
      </c>
      <c r="V111" s="56">
        <f t="shared" si="29"/>
        <v>0</v>
      </c>
      <c r="W111" s="56">
        <f t="shared" si="29"/>
        <v>3</v>
      </c>
      <c r="X111" s="56">
        <f t="shared" si="29"/>
        <v>1</v>
      </c>
      <c r="Y111" s="56">
        <f t="shared" si="29"/>
        <v>2</v>
      </c>
      <c r="Z111" s="56">
        <f t="shared" si="29"/>
        <v>1</v>
      </c>
      <c r="AA111" s="56">
        <f t="shared" si="29"/>
        <v>2</v>
      </c>
      <c r="AB111" s="56">
        <f t="shared" si="29"/>
        <v>1</v>
      </c>
      <c r="AC111" s="56">
        <f t="shared" si="29"/>
        <v>1</v>
      </c>
      <c r="AD111" s="56">
        <f t="shared" si="29"/>
        <v>1</v>
      </c>
      <c r="AE111" s="56">
        <f t="shared" si="29"/>
        <v>1</v>
      </c>
      <c r="AF111" s="56">
        <f t="shared" si="29"/>
        <v>1</v>
      </c>
      <c r="AG111" s="56">
        <f t="shared" si="29"/>
        <v>0</v>
      </c>
      <c r="AH111" s="56">
        <f t="shared" si="29"/>
        <v>0</v>
      </c>
      <c r="AI111" s="56">
        <f t="shared" si="29"/>
        <v>0</v>
      </c>
      <c r="AJ111" s="56">
        <f t="shared" si="29"/>
        <v>6</v>
      </c>
      <c r="AK111" s="13">
        <f t="shared" si="28"/>
        <v>59</v>
      </c>
    </row>
    <row r="112" ht="12.75" customHeight="1">
      <c r="A112" s="57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13"/>
    </row>
    <row r="113" ht="12.75" customHeight="1">
      <c r="A113" s="30" t="s">
        <v>37</v>
      </c>
      <c r="B113" s="47" t="s">
        <v>96</v>
      </c>
      <c r="C113" s="48" t="s">
        <v>97</v>
      </c>
      <c r="D113" s="16"/>
      <c r="E113" s="69">
        <v>0.0</v>
      </c>
      <c r="F113" s="69">
        <v>0.0</v>
      </c>
      <c r="G113" s="69">
        <v>0.0</v>
      </c>
      <c r="H113" s="69">
        <v>0.0</v>
      </c>
      <c r="I113" s="69">
        <v>0.0</v>
      </c>
      <c r="J113" s="69">
        <v>0.0</v>
      </c>
      <c r="K113" s="69">
        <v>0.0</v>
      </c>
      <c r="L113" s="69">
        <v>0.0</v>
      </c>
      <c r="M113" s="69">
        <v>0.0</v>
      </c>
      <c r="N113" s="69">
        <v>0.0</v>
      </c>
      <c r="O113" s="69">
        <v>0.0</v>
      </c>
      <c r="P113" s="69">
        <v>0.0</v>
      </c>
      <c r="Q113" s="69">
        <v>0.0</v>
      </c>
      <c r="R113" s="69">
        <v>0.0</v>
      </c>
      <c r="S113" s="69">
        <v>0.0</v>
      </c>
      <c r="T113" s="69">
        <v>0.0</v>
      </c>
      <c r="U113" s="69">
        <v>0.0</v>
      </c>
      <c r="V113" s="69">
        <v>0.0</v>
      </c>
      <c r="W113" s="69">
        <v>0.0</v>
      </c>
      <c r="X113" s="69">
        <v>0.0</v>
      </c>
      <c r="Y113" s="69">
        <v>0.0</v>
      </c>
      <c r="Z113" s="69">
        <v>0.0</v>
      </c>
      <c r="AA113" s="69">
        <v>0.0</v>
      </c>
      <c r="AB113" s="69">
        <v>0.0</v>
      </c>
      <c r="AC113" s="69">
        <v>0.0</v>
      </c>
      <c r="AD113" s="69">
        <v>0.0</v>
      </c>
      <c r="AE113" s="69">
        <v>0.0</v>
      </c>
      <c r="AF113" s="69">
        <v>0.0</v>
      </c>
      <c r="AG113" s="69">
        <v>0.0</v>
      </c>
      <c r="AH113" s="69">
        <v>0.0</v>
      </c>
      <c r="AI113" s="69">
        <v>0.0</v>
      </c>
      <c r="AJ113" s="69">
        <v>0.0</v>
      </c>
      <c r="AK113" s="13">
        <f t="shared" ref="AK113:AK115" si="30">SUM(E113:AJ113)</f>
        <v>0</v>
      </c>
    </row>
    <row r="114" ht="12.75" customHeight="1">
      <c r="A114" s="30" t="s">
        <v>39</v>
      </c>
      <c r="B114" s="47"/>
      <c r="C114" s="50" t="s">
        <v>98</v>
      </c>
      <c r="D114" s="62"/>
      <c r="E114" s="69">
        <v>0.0</v>
      </c>
      <c r="F114" s="69">
        <v>0.0</v>
      </c>
      <c r="G114" s="69">
        <v>0.0</v>
      </c>
      <c r="H114" s="69">
        <v>0.0</v>
      </c>
      <c r="I114" s="69">
        <v>0.0</v>
      </c>
      <c r="J114" s="69">
        <v>0.0</v>
      </c>
      <c r="K114" s="69">
        <v>0.0</v>
      </c>
      <c r="L114" s="69">
        <v>0.0</v>
      </c>
      <c r="M114" s="69">
        <v>0.0</v>
      </c>
      <c r="N114" s="69">
        <v>0.0</v>
      </c>
      <c r="O114" s="69">
        <v>0.0</v>
      </c>
      <c r="P114" s="69">
        <v>0.0</v>
      </c>
      <c r="Q114" s="69">
        <v>0.0</v>
      </c>
      <c r="R114" s="69">
        <v>0.0</v>
      </c>
      <c r="S114" s="69">
        <v>0.0</v>
      </c>
      <c r="T114" s="69">
        <v>0.0</v>
      </c>
      <c r="U114" s="69">
        <v>0.0</v>
      </c>
      <c r="V114" s="69">
        <v>0.0</v>
      </c>
      <c r="W114" s="69">
        <v>0.0</v>
      </c>
      <c r="X114" s="69">
        <v>1.0</v>
      </c>
      <c r="Y114" s="69">
        <v>0.0</v>
      </c>
      <c r="Z114" s="69">
        <v>0.0</v>
      </c>
      <c r="AA114" s="69">
        <v>0.0</v>
      </c>
      <c r="AB114" s="69">
        <v>0.0</v>
      </c>
      <c r="AC114" s="69">
        <v>0.0</v>
      </c>
      <c r="AD114" s="69">
        <v>0.0</v>
      </c>
      <c r="AE114" s="69">
        <v>0.0</v>
      </c>
      <c r="AF114" s="69">
        <v>0.0</v>
      </c>
      <c r="AG114" s="69">
        <v>0.0</v>
      </c>
      <c r="AH114" s="69">
        <v>0.0</v>
      </c>
      <c r="AI114" s="69">
        <v>0.0</v>
      </c>
      <c r="AJ114" s="69">
        <v>0.0</v>
      </c>
      <c r="AK114" s="13">
        <f t="shared" si="30"/>
        <v>1</v>
      </c>
    </row>
    <row r="115" ht="12.75" customHeight="1">
      <c r="A115" s="19" t="s">
        <v>15</v>
      </c>
      <c r="B115" s="47" t="s">
        <v>47</v>
      </c>
      <c r="C115" s="15"/>
      <c r="D115" s="16"/>
      <c r="E115" s="56">
        <f t="shared" ref="E115:AJ115" si="31">SUM(E113:E114)</f>
        <v>0</v>
      </c>
      <c r="F115" s="56">
        <f t="shared" si="31"/>
        <v>0</v>
      </c>
      <c r="G115" s="56">
        <f t="shared" si="31"/>
        <v>0</v>
      </c>
      <c r="H115" s="56">
        <f t="shared" si="31"/>
        <v>0</v>
      </c>
      <c r="I115" s="56">
        <f t="shared" si="31"/>
        <v>0</v>
      </c>
      <c r="J115" s="56">
        <f t="shared" si="31"/>
        <v>0</v>
      </c>
      <c r="K115" s="56">
        <f t="shared" si="31"/>
        <v>0</v>
      </c>
      <c r="L115" s="56">
        <f t="shared" si="31"/>
        <v>0</v>
      </c>
      <c r="M115" s="56">
        <f t="shared" si="31"/>
        <v>0</v>
      </c>
      <c r="N115" s="56">
        <f t="shared" si="31"/>
        <v>0</v>
      </c>
      <c r="O115" s="56">
        <f t="shared" si="31"/>
        <v>0</v>
      </c>
      <c r="P115" s="56">
        <f t="shared" si="31"/>
        <v>0</v>
      </c>
      <c r="Q115" s="56">
        <f t="shared" si="31"/>
        <v>0</v>
      </c>
      <c r="R115" s="56">
        <f t="shared" si="31"/>
        <v>0</v>
      </c>
      <c r="S115" s="56">
        <f t="shared" si="31"/>
        <v>0</v>
      </c>
      <c r="T115" s="56">
        <f t="shared" si="31"/>
        <v>0</v>
      </c>
      <c r="U115" s="56">
        <f t="shared" si="31"/>
        <v>0</v>
      </c>
      <c r="V115" s="56">
        <f t="shared" si="31"/>
        <v>0</v>
      </c>
      <c r="W115" s="56">
        <f t="shared" si="31"/>
        <v>0</v>
      </c>
      <c r="X115" s="56">
        <f t="shared" si="31"/>
        <v>1</v>
      </c>
      <c r="Y115" s="56">
        <f t="shared" si="31"/>
        <v>0</v>
      </c>
      <c r="Z115" s="56">
        <f t="shared" si="31"/>
        <v>0</v>
      </c>
      <c r="AA115" s="56">
        <f t="shared" si="31"/>
        <v>0</v>
      </c>
      <c r="AB115" s="56">
        <f t="shared" si="31"/>
        <v>0</v>
      </c>
      <c r="AC115" s="56">
        <f t="shared" si="31"/>
        <v>0</v>
      </c>
      <c r="AD115" s="56">
        <f t="shared" si="31"/>
        <v>0</v>
      </c>
      <c r="AE115" s="56">
        <f t="shared" si="31"/>
        <v>0</v>
      </c>
      <c r="AF115" s="56">
        <f t="shared" si="31"/>
        <v>0</v>
      </c>
      <c r="AG115" s="56">
        <f t="shared" si="31"/>
        <v>0</v>
      </c>
      <c r="AH115" s="56">
        <f t="shared" si="31"/>
        <v>0</v>
      </c>
      <c r="AI115" s="56">
        <f t="shared" si="31"/>
        <v>0</v>
      </c>
      <c r="AJ115" s="56">
        <f t="shared" si="31"/>
        <v>0</v>
      </c>
      <c r="AK115" s="13">
        <f t="shared" si="30"/>
        <v>1</v>
      </c>
    </row>
    <row r="116" ht="12.75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13"/>
    </row>
    <row r="117" ht="12.75" customHeight="1">
      <c r="A117" s="30" t="s">
        <v>37</v>
      </c>
      <c r="B117" s="47" t="s">
        <v>99</v>
      </c>
      <c r="C117" s="48" t="s">
        <v>100</v>
      </c>
      <c r="D117" s="16"/>
      <c r="E117" s="69">
        <v>0.0</v>
      </c>
      <c r="F117" s="69">
        <v>0.0</v>
      </c>
      <c r="G117" s="69">
        <v>0.0</v>
      </c>
      <c r="H117" s="69">
        <v>0.0</v>
      </c>
      <c r="I117" s="69">
        <v>0.0</v>
      </c>
      <c r="J117" s="69">
        <v>0.0</v>
      </c>
      <c r="K117" s="69">
        <v>0.0</v>
      </c>
      <c r="L117" s="69">
        <v>0.0</v>
      </c>
      <c r="M117" s="69">
        <v>0.0</v>
      </c>
      <c r="N117" s="69">
        <v>0.0</v>
      </c>
      <c r="O117" s="69">
        <v>1.0</v>
      </c>
      <c r="P117" s="69">
        <v>0.0</v>
      </c>
      <c r="Q117" s="69">
        <v>0.0</v>
      </c>
      <c r="R117" s="69">
        <v>0.0</v>
      </c>
      <c r="S117" s="69">
        <v>0.0</v>
      </c>
      <c r="T117" s="69">
        <v>0.0</v>
      </c>
      <c r="U117" s="69">
        <v>0.0</v>
      </c>
      <c r="V117" s="69">
        <v>0.0</v>
      </c>
      <c r="W117" s="69">
        <v>0.0</v>
      </c>
      <c r="X117" s="69">
        <v>0.0</v>
      </c>
      <c r="Y117" s="69">
        <v>0.0</v>
      </c>
      <c r="Z117" s="69">
        <v>0.0</v>
      </c>
      <c r="AA117" s="69">
        <v>0.0</v>
      </c>
      <c r="AB117" s="69">
        <v>0.0</v>
      </c>
      <c r="AC117" s="69">
        <v>0.0</v>
      </c>
      <c r="AD117" s="69">
        <v>0.0</v>
      </c>
      <c r="AE117" s="69">
        <v>0.0</v>
      </c>
      <c r="AF117" s="69">
        <v>0.0</v>
      </c>
      <c r="AG117" s="69">
        <v>0.0</v>
      </c>
      <c r="AH117" s="69">
        <v>0.0</v>
      </c>
      <c r="AI117" s="69">
        <v>0.0</v>
      </c>
      <c r="AJ117" s="69">
        <v>0.0</v>
      </c>
      <c r="AK117" s="13">
        <f t="shared" ref="AK117:AK125" si="32">SUM(E117:AJ117)</f>
        <v>1</v>
      </c>
      <c r="AL117" s="5"/>
      <c r="AM117" s="5"/>
    </row>
    <row r="118" ht="12.75" customHeight="1">
      <c r="A118" s="30" t="s">
        <v>39</v>
      </c>
      <c r="B118" s="49" t="s">
        <v>39</v>
      </c>
      <c r="C118" s="50" t="s">
        <v>101</v>
      </c>
      <c r="D118" s="51"/>
      <c r="E118" s="69">
        <v>0.0</v>
      </c>
      <c r="F118" s="69">
        <v>0.0</v>
      </c>
      <c r="G118" s="69">
        <v>0.0</v>
      </c>
      <c r="H118" s="69">
        <v>0.0</v>
      </c>
      <c r="I118" s="69">
        <v>0.0</v>
      </c>
      <c r="J118" s="69">
        <v>0.0</v>
      </c>
      <c r="K118" s="69">
        <v>0.0</v>
      </c>
      <c r="L118" s="69">
        <v>0.0</v>
      </c>
      <c r="M118" s="69">
        <v>0.0</v>
      </c>
      <c r="N118" s="69">
        <v>0.0</v>
      </c>
      <c r="O118" s="69">
        <v>0.0</v>
      </c>
      <c r="P118" s="69">
        <v>0.0</v>
      </c>
      <c r="Q118" s="69">
        <v>0.0</v>
      </c>
      <c r="R118" s="69">
        <v>0.0</v>
      </c>
      <c r="S118" s="69">
        <v>0.0</v>
      </c>
      <c r="T118" s="69">
        <v>0.0</v>
      </c>
      <c r="U118" s="69">
        <v>0.0</v>
      </c>
      <c r="V118" s="69">
        <v>0.0</v>
      </c>
      <c r="W118" s="69">
        <v>0.0</v>
      </c>
      <c r="X118" s="69">
        <v>0.0</v>
      </c>
      <c r="Y118" s="69">
        <v>0.0</v>
      </c>
      <c r="Z118" s="69">
        <v>0.0</v>
      </c>
      <c r="AA118" s="69">
        <v>1.0</v>
      </c>
      <c r="AB118" s="69">
        <v>0.0</v>
      </c>
      <c r="AC118" s="69">
        <v>0.0</v>
      </c>
      <c r="AD118" s="69">
        <v>0.0</v>
      </c>
      <c r="AE118" s="69">
        <v>0.0</v>
      </c>
      <c r="AF118" s="69">
        <v>0.0</v>
      </c>
      <c r="AG118" s="69">
        <v>0.0</v>
      </c>
      <c r="AH118" s="69">
        <v>0.0</v>
      </c>
      <c r="AI118" s="69">
        <v>0.0</v>
      </c>
      <c r="AJ118" s="69">
        <v>0.0</v>
      </c>
      <c r="AK118" s="13">
        <f t="shared" si="32"/>
        <v>1</v>
      </c>
      <c r="AL118" s="5"/>
      <c r="AM118" s="5"/>
    </row>
    <row r="119" ht="12.75" customHeight="1">
      <c r="A119" s="18"/>
      <c r="B119" s="49"/>
      <c r="C119" s="50" t="s">
        <v>102</v>
      </c>
      <c r="D119" s="51"/>
      <c r="E119" s="69">
        <v>0.0</v>
      </c>
      <c r="F119" s="69">
        <v>0.0</v>
      </c>
      <c r="G119" s="69">
        <v>0.0</v>
      </c>
      <c r="H119" s="69">
        <v>0.0</v>
      </c>
      <c r="I119" s="69">
        <v>0.0</v>
      </c>
      <c r="J119" s="69">
        <v>0.0</v>
      </c>
      <c r="K119" s="69">
        <v>0.0</v>
      </c>
      <c r="L119" s="69">
        <v>0.0</v>
      </c>
      <c r="M119" s="69">
        <v>1.0</v>
      </c>
      <c r="N119" s="69">
        <v>0.0</v>
      </c>
      <c r="O119" s="69">
        <v>0.0</v>
      </c>
      <c r="P119" s="69">
        <v>0.0</v>
      </c>
      <c r="Q119" s="69">
        <v>0.0</v>
      </c>
      <c r="R119" s="69">
        <v>0.0</v>
      </c>
      <c r="S119" s="69">
        <v>0.0</v>
      </c>
      <c r="T119" s="69">
        <v>0.0</v>
      </c>
      <c r="U119" s="69">
        <v>0.0</v>
      </c>
      <c r="V119" s="69">
        <v>0.0</v>
      </c>
      <c r="W119" s="69">
        <v>0.0</v>
      </c>
      <c r="X119" s="69">
        <v>0.0</v>
      </c>
      <c r="Y119" s="69">
        <v>0.0</v>
      </c>
      <c r="Z119" s="69">
        <v>0.0</v>
      </c>
      <c r="AA119" s="69">
        <v>0.0</v>
      </c>
      <c r="AB119" s="69">
        <v>0.0</v>
      </c>
      <c r="AC119" s="69">
        <v>0.0</v>
      </c>
      <c r="AD119" s="69">
        <v>0.0</v>
      </c>
      <c r="AE119" s="69">
        <v>0.0</v>
      </c>
      <c r="AF119" s="69">
        <v>0.0</v>
      </c>
      <c r="AG119" s="69">
        <v>0.0</v>
      </c>
      <c r="AH119" s="69">
        <v>0.0</v>
      </c>
      <c r="AI119" s="69">
        <v>0.0</v>
      </c>
      <c r="AJ119" s="69">
        <v>1.0</v>
      </c>
      <c r="AK119" s="13">
        <f t="shared" si="32"/>
        <v>2</v>
      </c>
      <c r="AL119" s="5"/>
      <c r="AM119" s="5"/>
    </row>
    <row r="120" ht="12.75" customHeight="1">
      <c r="A120" s="18"/>
      <c r="B120" s="49"/>
      <c r="C120" s="50" t="s">
        <v>103</v>
      </c>
      <c r="D120" s="51"/>
      <c r="E120" s="69">
        <v>0.0</v>
      </c>
      <c r="F120" s="69">
        <v>0.0</v>
      </c>
      <c r="G120" s="69">
        <v>0.0</v>
      </c>
      <c r="H120" s="69">
        <v>0.0</v>
      </c>
      <c r="I120" s="69">
        <v>0.0</v>
      </c>
      <c r="J120" s="69">
        <v>0.0</v>
      </c>
      <c r="K120" s="69">
        <v>0.0</v>
      </c>
      <c r="L120" s="69">
        <v>0.0</v>
      </c>
      <c r="M120" s="69">
        <v>0.0</v>
      </c>
      <c r="N120" s="69">
        <v>0.0</v>
      </c>
      <c r="O120" s="69">
        <v>0.0</v>
      </c>
      <c r="P120" s="69">
        <v>0.0</v>
      </c>
      <c r="Q120" s="69">
        <v>0.0</v>
      </c>
      <c r="R120" s="69">
        <v>0.0</v>
      </c>
      <c r="S120" s="69">
        <v>0.0</v>
      </c>
      <c r="T120" s="69">
        <v>0.0</v>
      </c>
      <c r="U120" s="69">
        <v>0.0</v>
      </c>
      <c r="V120" s="69">
        <v>0.0</v>
      </c>
      <c r="W120" s="69">
        <v>0.0</v>
      </c>
      <c r="X120" s="69">
        <v>0.0</v>
      </c>
      <c r="Y120" s="69">
        <v>0.0</v>
      </c>
      <c r="Z120" s="69">
        <v>0.0</v>
      </c>
      <c r="AA120" s="69">
        <v>0.0</v>
      </c>
      <c r="AB120" s="69">
        <v>0.0</v>
      </c>
      <c r="AC120" s="69">
        <v>0.0</v>
      </c>
      <c r="AD120" s="69">
        <v>0.0</v>
      </c>
      <c r="AE120" s="69">
        <v>0.0</v>
      </c>
      <c r="AF120" s="69">
        <v>0.0</v>
      </c>
      <c r="AG120" s="69">
        <v>0.0</v>
      </c>
      <c r="AH120" s="69">
        <v>0.0</v>
      </c>
      <c r="AI120" s="69">
        <v>0.0</v>
      </c>
      <c r="AJ120" s="69">
        <v>0.0</v>
      </c>
      <c r="AK120" s="13">
        <f t="shared" si="32"/>
        <v>0</v>
      </c>
      <c r="AL120" s="5"/>
      <c r="AM120" s="5"/>
    </row>
    <row r="121" ht="12.75" customHeight="1">
      <c r="A121" s="18"/>
      <c r="B121" s="49"/>
      <c r="C121" s="50" t="s">
        <v>104</v>
      </c>
      <c r="D121" s="51"/>
      <c r="E121" s="69">
        <v>0.0</v>
      </c>
      <c r="F121" s="69">
        <v>0.0</v>
      </c>
      <c r="G121" s="69">
        <v>0.0</v>
      </c>
      <c r="H121" s="69">
        <v>1.0</v>
      </c>
      <c r="I121" s="69">
        <v>0.0</v>
      </c>
      <c r="J121" s="69">
        <v>0.0</v>
      </c>
      <c r="K121" s="69">
        <v>0.0</v>
      </c>
      <c r="L121" s="69">
        <v>0.0</v>
      </c>
      <c r="M121" s="69">
        <v>0.0</v>
      </c>
      <c r="N121" s="69">
        <v>0.0</v>
      </c>
      <c r="O121" s="69">
        <v>0.0</v>
      </c>
      <c r="P121" s="69">
        <v>1.0</v>
      </c>
      <c r="Q121" s="69">
        <v>0.0</v>
      </c>
      <c r="R121" s="69">
        <v>0.0</v>
      </c>
      <c r="S121" s="69">
        <v>0.0</v>
      </c>
      <c r="T121" s="69">
        <v>0.0</v>
      </c>
      <c r="U121" s="69">
        <v>0.0</v>
      </c>
      <c r="V121" s="69">
        <v>0.0</v>
      </c>
      <c r="W121" s="69">
        <v>0.0</v>
      </c>
      <c r="X121" s="69">
        <v>0.0</v>
      </c>
      <c r="Y121" s="69">
        <v>0.0</v>
      </c>
      <c r="Z121" s="69">
        <v>0.0</v>
      </c>
      <c r="AA121" s="69">
        <v>0.0</v>
      </c>
      <c r="AB121" s="69">
        <v>0.0</v>
      </c>
      <c r="AC121" s="69">
        <v>0.0</v>
      </c>
      <c r="AD121" s="69">
        <v>0.0</v>
      </c>
      <c r="AE121" s="69">
        <v>0.0</v>
      </c>
      <c r="AF121" s="69">
        <v>0.0</v>
      </c>
      <c r="AG121" s="69">
        <v>0.0</v>
      </c>
      <c r="AH121" s="69">
        <v>0.0</v>
      </c>
      <c r="AI121" s="69">
        <v>0.0</v>
      </c>
      <c r="AJ121" s="69">
        <v>0.0</v>
      </c>
      <c r="AK121" s="13">
        <f t="shared" si="32"/>
        <v>2</v>
      </c>
      <c r="AL121" s="5"/>
      <c r="AM121" s="5"/>
    </row>
    <row r="122" ht="12.75" customHeight="1">
      <c r="A122" s="18"/>
      <c r="B122" s="49"/>
      <c r="C122" s="50" t="s">
        <v>105</v>
      </c>
      <c r="D122" s="51"/>
      <c r="E122" s="69">
        <v>0.0</v>
      </c>
      <c r="F122" s="69">
        <v>0.0</v>
      </c>
      <c r="G122" s="69">
        <v>0.0</v>
      </c>
      <c r="H122" s="69">
        <v>0.0</v>
      </c>
      <c r="I122" s="69">
        <v>0.0</v>
      </c>
      <c r="J122" s="69">
        <v>0.0</v>
      </c>
      <c r="K122" s="69">
        <v>0.0</v>
      </c>
      <c r="L122" s="69">
        <v>0.0</v>
      </c>
      <c r="M122" s="69">
        <v>0.0</v>
      </c>
      <c r="N122" s="69">
        <v>0.0</v>
      </c>
      <c r="O122" s="69">
        <v>0.0</v>
      </c>
      <c r="P122" s="69">
        <v>0.0</v>
      </c>
      <c r="Q122" s="69">
        <v>0.0</v>
      </c>
      <c r="R122" s="69">
        <v>0.0</v>
      </c>
      <c r="S122" s="69">
        <v>1.0</v>
      </c>
      <c r="T122" s="69">
        <v>0.0</v>
      </c>
      <c r="U122" s="69">
        <v>0.0</v>
      </c>
      <c r="V122" s="69">
        <v>0.0</v>
      </c>
      <c r="W122" s="69">
        <v>0.0</v>
      </c>
      <c r="X122" s="69">
        <v>0.0</v>
      </c>
      <c r="Y122" s="69">
        <v>0.0</v>
      </c>
      <c r="Z122" s="69">
        <v>0.0</v>
      </c>
      <c r="AA122" s="69">
        <v>0.0</v>
      </c>
      <c r="AB122" s="69">
        <v>0.0</v>
      </c>
      <c r="AC122" s="69">
        <v>0.0</v>
      </c>
      <c r="AD122" s="69">
        <v>0.0</v>
      </c>
      <c r="AE122" s="69">
        <v>0.0</v>
      </c>
      <c r="AF122" s="69">
        <v>0.0</v>
      </c>
      <c r="AG122" s="69">
        <v>0.0</v>
      </c>
      <c r="AH122" s="69">
        <v>0.0</v>
      </c>
      <c r="AI122" s="69">
        <v>0.0</v>
      </c>
      <c r="AJ122" s="69">
        <v>0.0</v>
      </c>
      <c r="AK122" s="13">
        <f t="shared" si="32"/>
        <v>1</v>
      </c>
      <c r="AL122" s="5"/>
      <c r="AM122" s="5"/>
    </row>
    <row r="123" ht="12.75" customHeight="1">
      <c r="A123" s="18"/>
      <c r="B123" s="49"/>
      <c r="C123" s="50" t="s">
        <v>106</v>
      </c>
      <c r="D123" s="51"/>
      <c r="E123" s="69">
        <v>0.0</v>
      </c>
      <c r="F123" s="69">
        <v>0.0</v>
      </c>
      <c r="G123" s="69">
        <v>0.0</v>
      </c>
      <c r="H123" s="69">
        <v>0.0</v>
      </c>
      <c r="I123" s="69">
        <v>0.0</v>
      </c>
      <c r="J123" s="69">
        <v>0.0</v>
      </c>
      <c r="K123" s="69">
        <v>0.0</v>
      </c>
      <c r="L123" s="69">
        <v>0.0</v>
      </c>
      <c r="M123" s="69">
        <v>0.0</v>
      </c>
      <c r="N123" s="69">
        <v>0.0</v>
      </c>
      <c r="O123" s="69">
        <v>1.0</v>
      </c>
      <c r="P123" s="69">
        <v>0.0</v>
      </c>
      <c r="Q123" s="69">
        <v>0.0</v>
      </c>
      <c r="R123" s="69">
        <v>0.0</v>
      </c>
      <c r="S123" s="69">
        <v>0.0</v>
      </c>
      <c r="T123" s="69">
        <v>0.0</v>
      </c>
      <c r="U123" s="69">
        <v>0.0</v>
      </c>
      <c r="V123" s="69">
        <v>0.0</v>
      </c>
      <c r="W123" s="69">
        <v>0.0</v>
      </c>
      <c r="X123" s="69">
        <v>0.0</v>
      </c>
      <c r="Y123" s="69">
        <v>0.0</v>
      </c>
      <c r="Z123" s="69">
        <v>0.0</v>
      </c>
      <c r="AA123" s="69">
        <v>0.0</v>
      </c>
      <c r="AB123" s="69">
        <v>0.0</v>
      </c>
      <c r="AC123" s="69">
        <v>0.0</v>
      </c>
      <c r="AD123" s="69">
        <v>0.0</v>
      </c>
      <c r="AE123" s="69">
        <v>0.0</v>
      </c>
      <c r="AF123" s="69">
        <v>0.0</v>
      </c>
      <c r="AG123" s="69">
        <v>0.0</v>
      </c>
      <c r="AH123" s="69">
        <v>0.0</v>
      </c>
      <c r="AI123" s="69">
        <v>0.0</v>
      </c>
      <c r="AJ123" s="69">
        <v>1.0</v>
      </c>
      <c r="AK123" s="13">
        <f t="shared" si="32"/>
        <v>2</v>
      </c>
      <c r="AL123" s="5"/>
      <c r="AM123" s="5"/>
    </row>
    <row r="124" ht="12.75" customHeight="1">
      <c r="A124" s="18"/>
      <c r="B124" s="49"/>
      <c r="C124" s="50" t="s">
        <v>107</v>
      </c>
      <c r="D124" s="51"/>
      <c r="E124" s="69">
        <v>0.0</v>
      </c>
      <c r="F124" s="69">
        <v>0.0</v>
      </c>
      <c r="G124" s="69">
        <v>0.0</v>
      </c>
      <c r="H124" s="69">
        <v>0.0</v>
      </c>
      <c r="I124" s="69">
        <v>0.0</v>
      </c>
      <c r="J124" s="69">
        <v>0.0</v>
      </c>
      <c r="K124" s="69">
        <v>0.0</v>
      </c>
      <c r="L124" s="69">
        <v>0.0</v>
      </c>
      <c r="M124" s="69">
        <v>0.0</v>
      </c>
      <c r="N124" s="69">
        <v>0.0</v>
      </c>
      <c r="O124" s="69">
        <v>0.0</v>
      </c>
      <c r="P124" s="69">
        <v>0.0</v>
      </c>
      <c r="Q124" s="69">
        <v>0.0</v>
      </c>
      <c r="R124" s="69">
        <v>0.0</v>
      </c>
      <c r="S124" s="69">
        <v>0.0</v>
      </c>
      <c r="T124" s="69">
        <v>0.0</v>
      </c>
      <c r="U124" s="69">
        <v>0.0</v>
      </c>
      <c r="V124" s="69">
        <v>0.0</v>
      </c>
      <c r="W124" s="69">
        <v>0.0</v>
      </c>
      <c r="X124" s="69">
        <v>0.0</v>
      </c>
      <c r="Y124" s="69">
        <v>0.0</v>
      </c>
      <c r="Z124" s="69">
        <v>0.0</v>
      </c>
      <c r="AA124" s="69">
        <v>0.0</v>
      </c>
      <c r="AB124" s="69">
        <v>0.0</v>
      </c>
      <c r="AC124" s="69">
        <v>0.0</v>
      </c>
      <c r="AD124" s="69">
        <v>0.0</v>
      </c>
      <c r="AE124" s="69">
        <v>0.0</v>
      </c>
      <c r="AF124" s="69">
        <v>0.0</v>
      </c>
      <c r="AG124" s="69">
        <v>0.0</v>
      </c>
      <c r="AH124" s="69">
        <v>0.0</v>
      </c>
      <c r="AI124" s="69">
        <v>0.0</v>
      </c>
      <c r="AJ124" s="69">
        <v>0.0</v>
      </c>
      <c r="AK124" s="13">
        <f t="shared" si="32"/>
        <v>0</v>
      </c>
      <c r="AL124" s="5"/>
      <c r="AM124" s="5"/>
    </row>
    <row r="125" ht="12.75" customHeight="1">
      <c r="A125" s="19" t="s">
        <v>15</v>
      </c>
      <c r="B125" s="47" t="s">
        <v>47</v>
      </c>
      <c r="C125" s="15"/>
      <c r="D125" s="16"/>
      <c r="E125" s="56">
        <f t="shared" ref="E125:AJ125" si="33">SUM(E117:E124)</f>
        <v>0</v>
      </c>
      <c r="F125" s="56">
        <f t="shared" si="33"/>
        <v>0</v>
      </c>
      <c r="G125" s="56">
        <f t="shared" si="33"/>
        <v>0</v>
      </c>
      <c r="H125" s="56">
        <f t="shared" si="33"/>
        <v>1</v>
      </c>
      <c r="I125" s="56">
        <f t="shared" si="33"/>
        <v>0</v>
      </c>
      <c r="J125" s="56">
        <f t="shared" si="33"/>
        <v>0</v>
      </c>
      <c r="K125" s="56">
        <f t="shared" si="33"/>
        <v>0</v>
      </c>
      <c r="L125" s="56">
        <f t="shared" si="33"/>
        <v>0</v>
      </c>
      <c r="M125" s="56">
        <f t="shared" si="33"/>
        <v>1</v>
      </c>
      <c r="N125" s="56">
        <f t="shared" si="33"/>
        <v>0</v>
      </c>
      <c r="O125" s="56">
        <f t="shared" si="33"/>
        <v>2</v>
      </c>
      <c r="P125" s="56">
        <f t="shared" si="33"/>
        <v>1</v>
      </c>
      <c r="Q125" s="56">
        <f t="shared" si="33"/>
        <v>0</v>
      </c>
      <c r="R125" s="56">
        <f t="shared" si="33"/>
        <v>0</v>
      </c>
      <c r="S125" s="56">
        <f t="shared" si="33"/>
        <v>1</v>
      </c>
      <c r="T125" s="56">
        <f t="shared" si="33"/>
        <v>0</v>
      </c>
      <c r="U125" s="56">
        <f t="shared" si="33"/>
        <v>0</v>
      </c>
      <c r="V125" s="56">
        <f t="shared" si="33"/>
        <v>0</v>
      </c>
      <c r="W125" s="56">
        <f t="shared" si="33"/>
        <v>0</v>
      </c>
      <c r="X125" s="56">
        <f t="shared" si="33"/>
        <v>0</v>
      </c>
      <c r="Y125" s="56">
        <f t="shared" si="33"/>
        <v>0</v>
      </c>
      <c r="Z125" s="56">
        <f t="shared" si="33"/>
        <v>0</v>
      </c>
      <c r="AA125" s="56">
        <f t="shared" si="33"/>
        <v>1</v>
      </c>
      <c r="AB125" s="56">
        <f t="shared" si="33"/>
        <v>0</v>
      </c>
      <c r="AC125" s="56">
        <f t="shared" si="33"/>
        <v>0</v>
      </c>
      <c r="AD125" s="56">
        <f t="shared" si="33"/>
        <v>0</v>
      </c>
      <c r="AE125" s="56">
        <f t="shared" si="33"/>
        <v>0</v>
      </c>
      <c r="AF125" s="56">
        <f t="shared" si="33"/>
        <v>0</v>
      </c>
      <c r="AG125" s="56">
        <f t="shared" si="33"/>
        <v>0</v>
      </c>
      <c r="AH125" s="56">
        <f t="shared" si="33"/>
        <v>0</v>
      </c>
      <c r="AI125" s="56">
        <f t="shared" si="33"/>
        <v>0</v>
      </c>
      <c r="AJ125" s="56">
        <f t="shared" si="33"/>
        <v>2</v>
      </c>
      <c r="AK125" s="13">
        <f t="shared" si="32"/>
        <v>9</v>
      </c>
      <c r="AL125" s="5"/>
      <c r="AM125" s="5"/>
    </row>
    <row r="126" ht="12.75" customHeight="1">
      <c r="A126" s="57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13"/>
      <c r="AL126" s="5"/>
      <c r="AM126" s="5"/>
    </row>
    <row r="127" ht="15.0" customHeight="1">
      <c r="A127" s="30" t="s">
        <v>37</v>
      </c>
      <c r="B127" s="47" t="s">
        <v>108</v>
      </c>
      <c r="C127" s="48" t="s">
        <v>109</v>
      </c>
      <c r="D127" s="16"/>
      <c r="E127" s="69">
        <v>0.0</v>
      </c>
      <c r="F127" s="69">
        <v>0.0</v>
      </c>
      <c r="G127" s="69">
        <v>0.0</v>
      </c>
      <c r="H127" s="69">
        <v>0.0</v>
      </c>
      <c r="I127" s="69">
        <v>0.0</v>
      </c>
      <c r="J127" s="69">
        <v>0.0</v>
      </c>
      <c r="K127" s="69">
        <v>0.0</v>
      </c>
      <c r="L127" s="69">
        <v>0.0</v>
      </c>
      <c r="M127" s="69">
        <v>1.0</v>
      </c>
      <c r="N127" s="69">
        <v>0.0</v>
      </c>
      <c r="O127" s="69">
        <v>0.0</v>
      </c>
      <c r="P127" s="69">
        <v>0.0</v>
      </c>
      <c r="Q127" s="69">
        <v>2.0</v>
      </c>
      <c r="R127" s="69">
        <v>1.0</v>
      </c>
      <c r="S127" s="69">
        <v>0.0</v>
      </c>
      <c r="T127" s="69">
        <v>0.0</v>
      </c>
      <c r="U127" s="69">
        <v>2.0</v>
      </c>
      <c r="V127" s="69">
        <v>0.0</v>
      </c>
      <c r="W127" s="69">
        <v>1.0</v>
      </c>
      <c r="X127" s="69">
        <v>1.0</v>
      </c>
      <c r="Y127" s="69">
        <v>0.0</v>
      </c>
      <c r="Z127" s="69">
        <v>1.0</v>
      </c>
      <c r="AA127" s="69">
        <v>0.0</v>
      </c>
      <c r="AB127" s="69">
        <v>1.0</v>
      </c>
      <c r="AC127" s="69">
        <v>0.0</v>
      </c>
      <c r="AD127" s="69">
        <v>0.0</v>
      </c>
      <c r="AE127" s="69">
        <v>0.0</v>
      </c>
      <c r="AF127" s="69">
        <v>0.0</v>
      </c>
      <c r="AG127" s="69">
        <v>0.0</v>
      </c>
      <c r="AH127" s="69">
        <v>1.0</v>
      </c>
      <c r="AI127" s="69">
        <v>0.0</v>
      </c>
      <c r="AJ127" s="69">
        <v>0.0</v>
      </c>
      <c r="AK127" s="13">
        <f t="shared" ref="AK127:AK129" si="34">SUM(E127:AJ127)</f>
        <v>11</v>
      </c>
      <c r="AL127" s="5"/>
      <c r="AM127" s="5"/>
    </row>
    <row r="128" ht="12.75" customHeight="1">
      <c r="A128" s="30" t="s">
        <v>39</v>
      </c>
      <c r="B128" s="49"/>
      <c r="C128" s="50"/>
      <c r="D128" s="51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3">
        <f t="shared" si="34"/>
        <v>0</v>
      </c>
      <c r="AL128" s="5"/>
      <c r="AM128" s="5"/>
    </row>
    <row r="129" ht="12.75" customHeight="1">
      <c r="A129" s="19" t="s">
        <v>15</v>
      </c>
      <c r="B129" s="47" t="s">
        <v>47</v>
      </c>
      <c r="C129" s="15"/>
      <c r="D129" s="16"/>
      <c r="E129" s="56">
        <f t="shared" ref="E129:AJ129" si="35">SUM(E127:E128)</f>
        <v>0</v>
      </c>
      <c r="F129" s="56">
        <f t="shared" si="35"/>
        <v>0</v>
      </c>
      <c r="G129" s="56">
        <f t="shared" si="35"/>
        <v>0</v>
      </c>
      <c r="H129" s="56">
        <f t="shared" si="35"/>
        <v>0</v>
      </c>
      <c r="I129" s="56">
        <f t="shared" si="35"/>
        <v>0</v>
      </c>
      <c r="J129" s="56">
        <f t="shared" si="35"/>
        <v>0</v>
      </c>
      <c r="K129" s="56">
        <f t="shared" si="35"/>
        <v>0</v>
      </c>
      <c r="L129" s="56">
        <f t="shared" si="35"/>
        <v>0</v>
      </c>
      <c r="M129" s="56">
        <f t="shared" si="35"/>
        <v>1</v>
      </c>
      <c r="N129" s="56">
        <f t="shared" si="35"/>
        <v>0</v>
      </c>
      <c r="O129" s="56">
        <f t="shared" si="35"/>
        <v>0</v>
      </c>
      <c r="P129" s="56">
        <f t="shared" si="35"/>
        <v>0</v>
      </c>
      <c r="Q129" s="56">
        <f t="shared" si="35"/>
        <v>2</v>
      </c>
      <c r="R129" s="56">
        <f t="shared" si="35"/>
        <v>1</v>
      </c>
      <c r="S129" s="56">
        <f t="shared" si="35"/>
        <v>0</v>
      </c>
      <c r="T129" s="56">
        <f t="shared" si="35"/>
        <v>0</v>
      </c>
      <c r="U129" s="56">
        <f t="shared" si="35"/>
        <v>2</v>
      </c>
      <c r="V129" s="56">
        <f t="shared" si="35"/>
        <v>0</v>
      </c>
      <c r="W129" s="56">
        <f t="shared" si="35"/>
        <v>1</v>
      </c>
      <c r="X129" s="56">
        <f t="shared" si="35"/>
        <v>1</v>
      </c>
      <c r="Y129" s="56">
        <f t="shared" si="35"/>
        <v>0</v>
      </c>
      <c r="Z129" s="56">
        <f t="shared" si="35"/>
        <v>1</v>
      </c>
      <c r="AA129" s="56">
        <f t="shared" si="35"/>
        <v>0</v>
      </c>
      <c r="AB129" s="56">
        <f t="shared" si="35"/>
        <v>1</v>
      </c>
      <c r="AC129" s="56">
        <f t="shared" si="35"/>
        <v>0</v>
      </c>
      <c r="AD129" s="56">
        <f t="shared" si="35"/>
        <v>0</v>
      </c>
      <c r="AE129" s="56">
        <f t="shared" si="35"/>
        <v>0</v>
      </c>
      <c r="AF129" s="56">
        <f t="shared" si="35"/>
        <v>0</v>
      </c>
      <c r="AG129" s="56">
        <f t="shared" si="35"/>
        <v>0</v>
      </c>
      <c r="AH129" s="56">
        <f t="shared" si="35"/>
        <v>1</v>
      </c>
      <c r="AI129" s="56">
        <f t="shared" si="35"/>
        <v>0</v>
      </c>
      <c r="AJ129" s="56">
        <f t="shared" si="35"/>
        <v>0</v>
      </c>
      <c r="AK129" s="13">
        <f t="shared" si="34"/>
        <v>11</v>
      </c>
      <c r="AL129" s="5"/>
      <c r="AM129" s="5"/>
    </row>
    <row r="130" ht="12.75" customHeight="1">
      <c r="A130" s="57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13"/>
      <c r="AL130" s="1"/>
      <c r="AM130" s="1"/>
    </row>
    <row r="131" ht="12.75" customHeight="1">
      <c r="A131" s="30" t="s">
        <v>37</v>
      </c>
      <c r="B131" s="47" t="s">
        <v>110</v>
      </c>
      <c r="C131" s="48" t="s">
        <v>111</v>
      </c>
      <c r="D131" s="16"/>
      <c r="E131" s="69">
        <v>0.0</v>
      </c>
      <c r="F131" s="69">
        <v>1.0</v>
      </c>
      <c r="G131" s="69">
        <v>0.0</v>
      </c>
      <c r="H131" s="69">
        <v>0.0</v>
      </c>
      <c r="I131" s="69">
        <v>1.0</v>
      </c>
      <c r="J131" s="69">
        <v>0.0</v>
      </c>
      <c r="K131" s="69">
        <v>0.0</v>
      </c>
      <c r="L131" s="69">
        <v>2.0</v>
      </c>
      <c r="M131" s="69">
        <v>0.0</v>
      </c>
      <c r="N131" s="69">
        <v>0.0</v>
      </c>
      <c r="O131" s="69">
        <v>0.0</v>
      </c>
      <c r="P131" s="69">
        <v>0.0</v>
      </c>
      <c r="Q131" s="69">
        <v>0.0</v>
      </c>
      <c r="R131" s="69">
        <v>0.0</v>
      </c>
      <c r="S131" s="69">
        <v>0.0</v>
      </c>
      <c r="T131" s="69">
        <v>0.0</v>
      </c>
      <c r="U131" s="69">
        <v>0.0</v>
      </c>
      <c r="V131" s="69">
        <v>0.0</v>
      </c>
      <c r="W131" s="69">
        <v>0.0</v>
      </c>
      <c r="X131" s="69">
        <v>0.0</v>
      </c>
      <c r="Y131" s="69">
        <v>0.0</v>
      </c>
      <c r="Z131" s="69">
        <v>0.0</v>
      </c>
      <c r="AA131" s="69">
        <v>0.0</v>
      </c>
      <c r="AB131" s="69">
        <v>0.0</v>
      </c>
      <c r="AC131" s="69">
        <v>0.0</v>
      </c>
      <c r="AD131" s="69">
        <v>0.0</v>
      </c>
      <c r="AE131" s="69">
        <v>1.0</v>
      </c>
      <c r="AF131" s="69">
        <v>0.0</v>
      </c>
      <c r="AG131" s="69">
        <v>0.0</v>
      </c>
      <c r="AH131" s="69">
        <v>0.0</v>
      </c>
      <c r="AI131" s="69">
        <v>0.0</v>
      </c>
      <c r="AJ131" s="69">
        <v>0.0</v>
      </c>
      <c r="AK131" s="13">
        <f t="shared" ref="AK131:AK136" si="36">SUM(E131:AJ131)</f>
        <v>5</v>
      </c>
      <c r="AL131" s="53"/>
      <c r="AM131" s="53"/>
    </row>
    <row r="132" ht="12.75" customHeight="1">
      <c r="A132" s="30" t="s">
        <v>39</v>
      </c>
      <c r="B132" s="49"/>
      <c r="C132" s="50" t="s">
        <v>112</v>
      </c>
      <c r="D132" s="51"/>
      <c r="E132" s="69">
        <v>0.0</v>
      </c>
      <c r="F132" s="69">
        <v>0.0</v>
      </c>
      <c r="G132" s="69">
        <v>0.0</v>
      </c>
      <c r="H132" s="69">
        <v>0.0</v>
      </c>
      <c r="I132" s="69">
        <v>0.0</v>
      </c>
      <c r="J132" s="69">
        <v>1.0</v>
      </c>
      <c r="K132" s="69">
        <v>0.0</v>
      </c>
      <c r="L132" s="69">
        <v>0.0</v>
      </c>
      <c r="M132" s="69">
        <v>0.0</v>
      </c>
      <c r="N132" s="69">
        <v>0.0</v>
      </c>
      <c r="O132" s="69">
        <v>0.0</v>
      </c>
      <c r="P132" s="69">
        <v>0.0</v>
      </c>
      <c r="Q132" s="69">
        <v>1.0</v>
      </c>
      <c r="R132" s="69">
        <v>0.0</v>
      </c>
      <c r="S132" s="69">
        <v>0.0</v>
      </c>
      <c r="T132" s="69">
        <v>1.0</v>
      </c>
      <c r="U132" s="69">
        <v>0.0</v>
      </c>
      <c r="V132" s="69">
        <v>0.0</v>
      </c>
      <c r="W132" s="69">
        <v>0.0</v>
      </c>
      <c r="X132" s="69">
        <v>0.0</v>
      </c>
      <c r="Y132" s="69">
        <v>1.0</v>
      </c>
      <c r="Z132" s="69">
        <v>0.0</v>
      </c>
      <c r="AA132" s="69">
        <v>0.0</v>
      </c>
      <c r="AB132" s="69">
        <v>0.0</v>
      </c>
      <c r="AC132" s="69">
        <v>0.0</v>
      </c>
      <c r="AD132" s="69">
        <v>1.0</v>
      </c>
      <c r="AE132" s="69">
        <v>0.0</v>
      </c>
      <c r="AF132" s="69">
        <v>0.0</v>
      </c>
      <c r="AG132" s="69">
        <v>0.0</v>
      </c>
      <c r="AH132" s="69">
        <v>0.0</v>
      </c>
      <c r="AI132" s="69">
        <v>1.0</v>
      </c>
      <c r="AJ132" s="69">
        <v>0.0</v>
      </c>
      <c r="AK132" s="13">
        <f t="shared" si="36"/>
        <v>6</v>
      </c>
      <c r="AL132" s="5"/>
      <c r="AM132" s="5"/>
    </row>
    <row r="133" ht="12.75" customHeight="1">
      <c r="A133" s="18"/>
      <c r="B133" s="49"/>
      <c r="C133" s="50" t="s">
        <v>113</v>
      </c>
      <c r="D133" s="51"/>
      <c r="E133" s="69">
        <v>0.0</v>
      </c>
      <c r="F133" s="69">
        <v>0.0</v>
      </c>
      <c r="G133" s="69">
        <v>0.0</v>
      </c>
      <c r="H133" s="69">
        <v>0.0</v>
      </c>
      <c r="I133" s="69">
        <v>0.0</v>
      </c>
      <c r="J133" s="69">
        <v>0.0</v>
      </c>
      <c r="K133" s="69">
        <v>0.0</v>
      </c>
      <c r="L133" s="69">
        <v>0.0</v>
      </c>
      <c r="M133" s="69">
        <v>0.0</v>
      </c>
      <c r="N133" s="69">
        <v>0.0</v>
      </c>
      <c r="O133" s="69">
        <v>0.0</v>
      </c>
      <c r="P133" s="69">
        <v>0.0</v>
      </c>
      <c r="Q133" s="69">
        <v>0.0</v>
      </c>
      <c r="R133" s="69">
        <v>0.0</v>
      </c>
      <c r="S133" s="69">
        <v>0.0</v>
      </c>
      <c r="T133" s="69">
        <v>0.0</v>
      </c>
      <c r="U133" s="69">
        <v>0.0</v>
      </c>
      <c r="V133" s="69">
        <v>0.0</v>
      </c>
      <c r="W133" s="69">
        <v>0.0</v>
      </c>
      <c r="X133" s="69">
        <v>0.0</v>
      </c>
      <c r="Y133" s="69">
        <v>0.0</v>
      </c>
      <c r="Z133" s="69">
        <v>0.0</v>
      </c>
      <c r="AA133" s="69">
        <v>0.0</v>
      </c>
      <c r="AB133" s="69">
        <v>1.0</v>
      </c>
      <c r="AC133" s="69">
        <v>0.0</v>
      </c>
      <c r="AD133" s="69">
        <v>0.0</v>
      </c>
      <c r="AE133" s="69">
        <v>0.0</v>
      </c>
      <c r="AF133" s="69">
        <v>0.0</v>
      </c>
      <c r="AG133" s="69">
        <v>0.0</v>
      </c>
      <c r="AH133" s="69">
        <v>0.0</v>
      </c>
      <c r="AI133" s="69">
        <v>0.0</v>
      </c>
      <c r="AJ133" s="69">
        <v>0.0</v>
      </c>
      <c r="AK133" s="13">
        <f t="shared" si="36"/>
        <v>1</v>
      </c>
      <c r="AL133" s="5"/>
      <c r="AM133" s="5"/>
    </row>
    <row r="134" ht="12.75" customHeight="1">
      <c r="A134" s="18"/>
      <c r="B134" s="49"/>
      <c r="C134" s="50" t="s">
        <v>114</v>
      </c>
      <c r="D134" s="51"/>
      <c r="E134" s="69">
        <v>0.0</v>
      </c>
      <c r="F134" s="69">
        <v>0.0</v>
      </c>
      <c r="G134" s="69">
        <v>0.0</v>
      </c>
      <c r="H134" s="69">
        <v>0.0</v>
      </c>
      <c r="I134" s="69">
        <v>0.0</v>
      </c>
      <c r="J134" s="69">
        <v>0.0</v>
      </c>
      <c r="K134" s="69">
        <v>0.0</v>
      </c>
      <c r="L134" s="69">
        <v>0.0</v>
      </c>
      <c r="M134" s="69">
        <v>0.0</v>
      </c>
      <c r="N134" s="69">
        <v>0.0</v>
      </c>
      <c r="O134" s="69">
        <v>0.0</v>
      </c>
      <c r="P134" s="69">
        <v>0.0</v>
      </c>
      <c r="Q134" s="69">
        <v>0.0</v>
      </c>
      <c r="R134" s="69">
        <v>0.0</v>
      </c>
      <c r="S134" s="69">
        <v>0.0</v>
      </c>
      <c r="T134" s="69">
        <v>0.0</v>
      </c>
      <c r="U134" s="69">
        <v>0.0</v>
      </c>
      <c r="V134" s="69">
        <v>0.0</v>
      </c>
      <c r="W134" s="69">
        <v>0.0</v>
      </c>
      <c r="X134" s="69">
        <v>0.0</v>
      </c>
      <c r="Y134" s="69">
        <v>0.0</v>
      </c>
      <c r="Z134" s="69">
        <v>0.0</v>
      </c>
      <c r="AA134" s="69">
        <v>0.0</v>
      </c>
      <c r="AB134" s="69">
        <v>0.0</v>
      </c>
      <c r="AC134" s="69">
        <v>0.0</v>
      </c>
      <c r="AD134" s="69">
        <v>0.0</v>
      </c>
      <c r="AE134" s="69">
        <v>0.0</v>
      </c>
      <c r="AF134" s="69">
        <v>0.0</v>
      </c>
      <c r="AG134" s="69">
        <v>0.0</v>
      </c>
      <c r="AH134" s="69">
        <v>0.0</v>
      </c>
      <c r="AI134" s="69">
        <v>0.0</v>
      </c>
      <c r="AJ134" s="69">
        <v>0.0</v>
      </c>
      <c r="AK134" s="13">
        <f t="shared" si="36"/>
        <v>0</v>
      </c>
      <c r="AL134" s="5"/>
      <c r="AM134" s="5"/>
    </row>
    <row r="135" ht="12.75" customHeight="1">
      <c r="A135" s="18"/>
      <c r="B135" s="49"/>
      <c r="C135" s="50" t="s">
        <v>115</v>
      </c>
      <c r="D135" s="51"/>
      <c r="E135" s="69">
        <v>0.0</v>
      </c>
      <c r="F135" s="69">
        <v>0.0</v>
      </c>
      <c r="G135" s="69">
        <v>0.0</v>
      </c>
      <c r="H135" s="69">
        <v>0.0</v>
      </c>
      <c r="I135" s="69">
        <v>0.0</v>
      </c>
      <c r="J135" s="69">
        <v>0.0</v>
      </c>
      <c r="K135" s="69">
        <v>0.0</v>
      </c>
      <c r="L135" s="69">
        <v>0.0</v>
      </c>
      <c r="M135" s="69">
        <v>0.0</v>
      </c>
      <c r="N135" s="69">
        <v>0.0</v>
      </c>
      <c r="O135" s="69">
        <v>0.0</v>
      </c>
      <c r="P135" s="69">
        <v>1.0</v>
      </c>
      <c r="Q135" s="69">
        <v>0.0</v>
      </c>
      <c r="R135" s="69">
        <v>0.0</v>
      </c>
      <c r="S135" s="69">
        <v>0.0</v>
      </c>
      <c r="T135" s="69">
        <v>1.0</v>
      </c>
      <c r="U135" s="69">
        <v>1.0</v>
      </c>
      <c r="V135" s="69">
        <v>0.0</v>
      </c>
      <c r="W135" s="69">
        <v>0.0</v>
      </c>
      <c r="X135" s="69">
        <v>0.0</v>
      </c>
      <c r="Y135" s="69">
        <v>0.0</v>
      </c>
      <c r="Z135" s="69">
        <v>0.0</v>
      </c>
      <c r="AA135" s="69">
        <v>0.0</v>
      </c>
      <c r="AB135" s="69">
        <v>0.0</v>
      </c>
      <c r="AC135" s="69">
        <v>0.0</v>
      </c>
      <c r="AD135" s="69">
        <v>0.0</v>
      </c>
      <c r="AE135" s="69">
        <v>0.0</v>
      </c>
      <c r="AF135" s="69">
        <v>0.0</v>
      </c>
      <c r="AG135" s="69">
        <v>0.0</v>
      </c>
      <c r="AH135" s="69">
        <v>0.0</v>
      </c>
      <c r="AI135" s="69">
        <v>0.0</v>
      </c>
      <c r="AJ135" s="69">
        <v>0.0</v>
      </c>
      <c r="AK135" s="13">
        <f t="shared" si="36"/>
        <v>3</v>
      </c>
      <c r="AL135" s="5"/>
      <c r="AM135" s="5"/>
    </row>
    <row r="136" ht="12.75" customHeight="1">
      <c r="A136" s="19" t="s">
        <v>15</v>
      </c>
      <c r="B136" s="47" t="s">
        <v>47</v>
      </c>
      <c r="C136" s="15"/>
      <c r="D136" s="16"/>
      <c r="E136" s="56">
        <f t="shared" ref="E136:AJ136" si="37">SUM(E131:E135)</f>
        <v>0</v>
      </c>
      <c r="F136" s="56">
        <f t="shared" si="37"/>
        <v>1</v>
      </c>
      <c r="G136" s="56">
        <f t="shared" si="37"/>
        <v>0</v>
      </c>
      <c r="H136" s="56">
        <f t="shared" si="37"/>
        <v>0</v>
      </c>
      <c r="I136" s="56">
        <f t="shared" si="37"/>
        <v>1</v>
      </c>
      <c r="J136" s="56">
        <f t="shared" si="37"/>
        <v>1</v>
      </c>
      <c r="K136" s="56">
        <f t="shared" si="37"/>
        <v>0</v>
      </c>
      <c r="L136" s="56">
        <f t="shared" si="37"/>
        <v>2</v>
      </c>
      <c r="M136" s="56">
        <f t="shared" si="37"/>
        <v>0</v>
      </c>
      <c r="N136" s="56">
        <f t="shared" si="37"/>
        <v>0</v>
      </c>
      <c r="O136" s="56">
        <f t="shared" si="37"/>
        <v>0</v>
      </c>
      <c r="P136" s="56">
        <f t="shared" si="37"/>
        <v>1</v>
      </c>
      <c r="Q136" s="56">
        <f t="shared" si="37"/>
        <v>1</v>
      </c>
      <c r="R136" s="56">
        <f t="shared" si="37"/>
        <v>0</v>
      </c>
      <c r="S136" s="56">
        <f t="shared" si="37"/>
        <v>0</v>
      </c>
      <c r="T136" s="56">
        <f t="shared" si="37"/>
        <v>2</v>
      </c>
      <c r="U136" s="56">
        <f t="shared" si="37"/>
        <v>1</v>
      </c>
      <c r="V136" s="56">
        <f t="shared" si="37"/>
        <v>0</v>
      </c>
      <c r="W136" s="56">
        <f t="shared" si="37"/>
        <v>0</v>
      </c>
      <c r="X136" s="56">
        <f t="shared" si="37"/>
        <v>0</v>
      </c>
      <c r="Y136" s="56">
        <f t="shared" si="37"/>
        <v>1</v>
      </c>
      <c r="Z136" s="56">
        <f t="shared" si="37"/>
        <v>0</v>
      </c>
      <c r="AA136" s="56">
        <f t="shared" si="37"/>
        <v>0</v>
      </c>
      <c r="AB136" s="56">
        <f t="shared" si="37"/>
        <v>1</v>
      </c>
      <c r="AC136" s="56">
        <f t="shared" si="37"/>
        <v>0</v>
      </c>
      <c r="AD136" s="56">
        <f t="shared" si="37"/>
        <v>1</v>
      </c>
      <c r="AE136" s="56">
        <f t="shared" si="37"/>
        <v>1</v>
      </c>
      <c r="AF136" s="56">
        <f t="shared" si="37"/>
        <v>0</v>
      </c>
      <c r="AG136" s="56">
        <f t="shared" si="37"/>
        <v>0</v>
      </c>
      <c r="AH136" s="56">
        <f t="shared" si="37"/>
        <v>0</v>
      </c>
      <c r="AI136" s="56">
        <f t="shared" si="37"/>
        <v>1</v>
      </c>
      <c r="AJ136" s="56">
        <f t="shared" si="37"/>
        <v>0</v>
      </c>
      <c r="AK136" s="13">
        <f t="shared" si="36"/>
        <v>15</v>
      </c>
      <c r="AL136" s="5"/>
      <c r="AM136" s="5"/>
    </row>
    <row r="137" ht="12.75" customHeight="1">
      <c r="A137" s="57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13"/>
      <c r="AL137" s="5"/>
      <c r="AM137" s="5"/>
    </row>
    <row r="138" ht="12.75" customHeight="1">
      <c r="A138" s="30" t="s">
        <v>37</v>
      </c>
      <c r="B138" s="47" t="s">
        <v>116</v>
      </c>
      <c r="C138" s="48" t="s">
        <v>117</v>
      </c>
      <c r="D138" s="16"/>
      <c r="E138" s="69">
        <v>0.0</v>
      </c>
      <c r="F138" s="69">
        <v>0.0</v>
      </c>
      <c r="G138" s="69">
        <v>0.0</v>
      </c>
      <c r="H138" s="69">
        <v>0.0</v>
      </c>
      <c r="I138" s="69">
        <v>0.0</v>
      </c>
      <c r="J138" s="69">
        <v>0.0</v>
      </c>
      <c r="K138" s="69">
        <v>0.0</v>
      </c>
      <c r="L138" s="69">
        <v>0.0</v>
      </c>
      <c r="M138" s="69">
        <v>0.0</v>
      </c>
      <c r="N138" s="69">
        <v>0.0</v>
      </c>
      <c r="O138" s="69">
        <v>0.0</v>
      </c>
      <c r="P138" s="69">
        <v>0.0</v>
      </c>
      <c r="Q138" s="69">
        <v>0.0</v>
      </c>
      <c r="R138" s="69">
        <v>0.0</v>
      </c>
      <c r="S138" s="69">
        <v>0.0</v>
      </c>
      <c r="T138" s="69">
        <v>0.0</v>
      </c>
      <c r="U138" s="69">
        <v>0.0</v>
      </c>
      <c r="V138" s="69">
        <v>0.0</v>
      </c>
      <c r="W138" s="69">
        <v>0.0</v>
      </c>
      <c r="X138" s="69">
        <v>0.0</v>
      </c>
      <c r="Y138" s="69">
        <v>0.0</v>
      </c>
      <c r="Z138" s="69">
        <v>0.0</v>
      </c>
      <c r="AA138" s="69">
        <v>0.0</v>
      </c>
      <c r="AB138" s="69">
        <v>0.0</v>
      </c>
      <c r="AC138" s="69">
        <v>0.0</v>
      </c>
      <c r="AD138" s="69">
        <v>0.0</v>
      </c>
      <c r="AE138" s="69">
        <v>0.0</v>
      </c>
      <c r="AF138" s="69">
        <v>0.0</v>
      </c>
      <c r="AG138" s="69">
        <v>0.0</v>
      </c>
      <c r="AH138" s="69">
        <v>0.0</v>
      </c>
      <c r="AI138" s="69">
        <v>0.0</v>
      </c>
      <c r="AJ138" s="69">
        <v>0.0</v>
      </c>
      <c r="AK138" s="13">
        <f t="shared" ref="AK138:AK146" si="38">SUM(E138:AJ138)</f>
        <v>0</v>
      </c>
      <c r="AL138" s="5"/>
      <c r="AM138" s="5"/>
    </row>
    <row r="139" ht="15.0" customHeight="1">
      <c r="A139" s="30" t="s">
        <v>39</v>
      </c>
      <c r="B139" s="49"/>
      <c r="C139" s="50" t="s">
        <v>118</v>
      </c>
      <c r="D139" s="51"/>
      <c r="E139" s="69">
        <v>0.0</v>
      </c>
      <c r="F139" s="69">
        <v>0.0</v>
      </c>
      <c r="G139" s="69">
        <v>0.0</v>
      </c>
      <c r="H139" s="69">
        <v>0.0</v>
      </c>
      <c r="I139" s="69">
        <v>0.0</v>
      </c>
      <c r="J139" s="69">
        <v>0.0</v>
      </c>
      <c r="K139" s="69">
        <v>0.0</v>
      </c>
      <c r="L139" s="69">
        <v>0.0</v>
      </c>
      <c r="M139" s="69">
        <v>0.0</v>
      </c>
      <c r="N139" s="69">
        <v>1.0</v>
      </c>
      <c r="O139" s="69">
        <v>0.0</v>
      </c>
      <c r="P139" s="69">
        <v>0.0</v>
      </c>
      <c r="Q139" s="69">
        <v>0.0</v>
      </c>
      <c r="R139" s="69">
        <v>0.0</v>
      </c>
      <c r="S139" s="69">
        <v>0.0</v>
      </c>
      <c r="T139" s="69">
        <v>0.0</v>
      </c>
      <c r="U139" s="69">
        <v>0.0</v>
      </c>
      <c r="V139" s="69">
        <v>0.0</v>
      </c>
      <c r="W139" s="69">
        <v>0.0</v>
      </c>
      <c r="X139" s="69">
        <v>0.0</v>
      </c>
      <c r="Y139" s="69">
        <v>0.0</v>
      </c>
      <c r="Z139" s="69">
        <v>0.0</v>
      </c>
      <c r="AA139" s="69">
        <v>0.0</v>
      </c>
      <c r="AB139" s="69">
        <v>0.0</v>
      </c>
      <c r="AC139" s="69">
        <v>0.0</v>
      </c>
      <c r="AD139" s="69">
        <v>0.0</v>
      </c>
      <c r="AE139" s="69">
        <v>0.0</v>
      </c>
      <c r="AF139" s="69">
        <v>0.0</v>
      </c>
      <c r="AG139" s="69">
        <v>0.0</v>
      </c>
      <c r="AH139" s="69">
        <v>0.0</v>
      </c>
      <c r="AI139" s="69">
        <v>0.0</v>
      </c>
      <c r="AJ139" s="69">
        <v>0.0</v>
      </c>
      <c r="AK139" s="13">
        <f t="shared" si="38"/>
        <v>1</v>
      </c>
      <c r="AL139" s="5"/>
      <c r="AM139" s="5"/>
    </row>
    <row r="140" ht="12.75" customHeight="1">
      <c r="A140" s="18"/>
      <c r="B140" s="49"/>
      <c r="C140" s="50" t="s">
        <v>119</v>
      </c>
      <c r="D140" s="51"/>
      <c r="E140" s="69">
        <v>0.0</v>
      </c>
      <c r="F140" s="69">
        <v>1.0</v>
      </c>
      <c r="G140" s="69">
        <v>0.0</v>
      </c>
      <c r="H140" s="69">
        <v>0.0</v>
      </c>
      <c r="I140" s="69">
        <v>0.0</v>
      </c>
      <c r="J140" s="69">
        <v>0.0</v>
      </c>
      <c r="K140" s="69">
        <v>0.0</v>
      </c>
      <c r="L140" s="69">
        <v>0.0</v>
      </c>
      <c r="M140" s="69">
        <v>0.0</v>
      </c>
      <c r="N140" s="69">
        <v>0.0</v>
      </c>
      <c r="O140" s="69">
        <v>0.0</v>
      </c>
      <c r="P140" s="69">
        <v>0.0</v>
      </c>
      <c r="Q140" s="69">
        <v>0.0</v>
      </c>
      <c r="R140" s="69">
        <v>0.0</v>
      </c>
      <c r="S140" s="69">
        <v>0.0</v>
      </c>
      <c r="T140" s="69">
        <v>0.0</v>
      </c>
      <c r="U140" s="69">
        <v>0.0</v>
      </c>
      <c r="V140" s="69">
        <v>0.0</v>
      </c>
      <c r="W140" s="69">
        <v>0.0</v>
      </c>
      <c r="X140" s="69">
        <v>0.0</v>
      </c>
      <c r="Y140" s="69">
        <v>0.0</v>
      </c>
      <c r="Z140" s="69">
        <v>1.0</v>
      </c>
      <c r="AA140" s="69">
        <v>0.0</v>
      </c>
      <c r="AB140" s="69">
        <v>0.0</v>
      </c>
      <c r="AC140" s="69">
        <v>0.0</v>
      </c>
      <c r="AD140" s="69">
        <v>0.0</v>
      </c>
      <c r="AE140" s="69">
        <v>0.0</v>
      </c>
      <c r="AF140" s="69">
        <v>0.0</v>
      </c>
      <c r="AG140" s="69">
        <v>0.0</v>
      </c>
      <c r="AH140" s="69">
        <v>0.0</v>
      </c>
      <c r="AI140" s="69">
        <v>0.0</v>
      </c>
      <c r="AJ140" s="69">
        <v>0.0</v>
      </c>
      <c r="AK140" s="13">
        <f t="shared" si="38"/>
        <v>2</v>
      </c>
      <c r="AL140" s="5"/>
      <c r="AM140" s="5"/>
    </row>
    <row r="141" ht="12.75" customHeight="1">
      <c r="A141" s="18"/>
      <c r="B141" s="49"/>
      <c r="C141" s="50" t="s">
        <v>120</v>
      </c>
      <c r="D141" s="51"/>
      <c r="E141" s="69">
        <v>0.0</v>
      </c>
      <c r="F141" s="69">
        <v>0.0</v>
      </c>
      <c r="G141" s="69">
        <v>0.0</v>
      </c>
      <c r="H141" s="69">
        <v>0.0</v>
      </c>
      <c r="I141" s="69">
        <v>0.0</v>
      </c>
      <c r="J141" s="69">
        <v>0.0</v>
      </c>
      <c r="K141" s="69">
        <v>0.0</v>
      </c>
      <c r="L141" s="69">
        <v>0.0</v>
      </c>
      <c r="M141" s="69">
        <v>0.0</v>
      </c>
      <c r="N141" s="69">
        <v>0.0</v>
      </c>
      <c r="O141" s="69">
        <v>0.0</v>
      </c>
      <c r="P141" s="69">
        <v>0.0</v>
      </c>
      <c r="Q141" s="69">
        <v>0.0</v>
      </c>
      <c r="R141" s="69">
        <v>0.0</v>
      </c>
      <c r="S141" s="69">
        <v>0.0</v>
      </c>
      <c r="T141" s="69">
        <v>0.0</v>
      </c>
      <c r="U141" s="69">
        <v>0.0</v>
      </c>
      <c r="V141" s="69">
        <v>0.0</v>
      </c>
      <c r="W141" s="69">
        <v>0.0</v>
      </c>
      <c r="X141" s="69">
        <v>0.0</v>
      </c>
      <c r="Y141" s="69">
        <v>0.0</v>
      </c>
      <c r="Z141" s="69">
        <v>0.0</v>
      </c>
      <c r="AA141" s="69">
        <v>0.0</v>
      </c>
      <c r="AB141" s="69">
        <v>0.0</v>
      </c>
      <c r="AC141" s="69">
        <v>0.0</v>
      </c>
      <c r="AD141" s="69">
        <v>0.0</v>
      </c>
      <c r="AE141" s="69">
        <v>0.0</v>
      </c>
      <c r="AF141" s="69">
        <v>0.0</v>
      </c>
      <c r="AG141" s="69">
        <v>0.0</v>
      </c>
      <c r="AH141" s="69">
        <v>0.0</v>
      </c>
      <c r="AI141" s="69">
        <v>0.0</v>
      </c>
      <c r="AJ141" s="69">
        <v>0.0</v>
      </c>
      <c r="AK141" s="13">
        <f t="shared" si="38"/>
        <v>0</v>
      </c>
      <c r="AL141" s="1"/>
      <c r="AM141" s="1"/>
    </row>
    <row r="142" ht="12.75" customHeight="1">
      <c r="A142" s="18"/>
      <c r="B142" s="49"/>
      <c r="C142" s="50" t="s">
        <v>121</v>
      </c>
      <c r="D142" s="51"/>
      <c r="E142" s="69">
        <v>0.0</v>
      </c>
      <c r="F142" s="69">
        <v>0.0</v>
      </c>
      <c r="G142" s="69">
        <v>0.0</v>
      </c>
      <c r="H142" s="69">
        <v>0.0</v>
      </c>
      <c r="I142" s="69">
        <v>0.0</v>
      </c>
      <c r="J142" s="69">
        <v>0.0</v>
      </c>
      <c r="K142" s="69">
        <v>0.0</v>
      </c>
      <c r="L142" s="69">
        <v>0.0</v>
      </c>
      <c r="M142" s="69">
        <v>0.0</v>
      </c>
      <c r="N142" s="69">
        <v>0.0</v>
      </c>
      <c r="O142" s="69">
        <v>0.0</v>
      </c>
      <c r="P142" s="69">
        <v>0.0</v>
      </c>
      <c r="Q142" s="69">
        <v>0.0</v>
      </c>
      <c r="R142" s="69">
        <v>0.0</v>
      </c>
      <c r="S142" s="69">
        <v>0.0</v>
      </c>
      <c r="T142" s="69">
        <v>0.0</v>
      </c>
      <c r="U142" s="69">
        <v>0.0</v>
      </c>
      <c r="V142" s="69">
        <v>0.0</v>
      </c>
      <c r="W142" s="69">
        <v>0.0</v>
      </c>
      <c r="X142" s="69">
        <v>0.0</v>
      </c>
      <c r="Y142" s="69">
        <v>0.0</v>
      </c>
      <c r="Z142" s="69">
        <v>0.0</v>
      </c>
      <c r="AA142" s="69">
        <v>0.0</v>
      </c>
      <c r="AB142" s="69">
        <v>0.0</v>
      </c>
      <c r="AC142" s="69">
        <v>0.0</v>
      </c>
      <c r="AD142" s="69">
        <v>0.0</v>
      </c>
      <c r="AE142" s="69">
        <v>0.0</v>
      </c>
      <c r="AF142" s="69">
        <v>0.0</v>
      </c>
      <c r="AG142" s="69">
        <v>0.0</v>
      </c>
      <c r="AH142" s="69">
        <v>0.0</v>
      </c>
      <c r="AI142" s="69">
        <v>0.0</v>
      </c>
      <c r="AJ142" s="69">
        <v>0.0</v>
      </c>
      <c r="AK142" s="13">
        <f t="shared" si="38"/>
        <v>0</v>
      </c>
      <c r="AL142" s="53"/>
      <c r="AM142" s="53"/>
    </row>
    <row r="143" ht="12.75" customHeight="1">
      <c r="A143" s="18"/>
      <c r="B143" s="49"/>
      <c r="C143" s="50" t="s">
        <v>122</v>
      </c>
      <c r="D143" s="51"/>
      <c r="E143" s="69">
        <v>0.0</v>
      </c>
      <c r="F143" s="69">
        <v>0.0</v>
      </c>
      <c r="G143" s="69">
        <v>0.0</v>
      </c>
      <c r="H143" s="69">
        <v>0.0</v>
      </c>
      <c r="I143" s="69">
        <v>0.0</v>
      </c>
      <c r="J143" s="69">
        <v>0.0</v>
      </c>
      <c r="K143" s="69">
        <v>1.0</v>
      </c>
      <c r="L143" s="69">
        <v>0.0</v>
      </c>
      <c r="M143" s="69">
        <v>0.0</v>
      </c>
      <c r="N143" s="69">
        <v>0.0</v>
      </c>
      <c r="O143" s="69">
        <v>0.0</v>
      </c>
      <c r="P143" s="69">
        <v>0.0</v>
      </c>
      <c r="Q143" s="69">
        <v>0.0</v>
      </c>
      <c r="R143" s="69">
        <v>0.0</v>
      </c>
      <c r="S143" s="69">
        <v>0.0</v>
      </c>
      <c r="T143" s="69">
        <v>0.0</v>
      </c>
      <c r="U143" s="69">
        <v>0.0</v>
      </c>
      <c r="V143" s="69">
        <v>0.0</v>
      </c>
      <c r="W143" s="69">
        <v>0.0</v>
      </c>
      <c r="X143" s="69">
        <v>0.0</v>
      </c>
      <c r="Y143" s="69">
        <v>0.0</v>
      </c>
      <c r="Z143" s="69">
        <v>0.0</v>
      </c>
      <c r="AA143" s="69">
        <v>0.0</v>
      </c>
      <c r="AB143" s="69">
        <v>0.0</v>
      </c>
      <c r="AC143" s="69">
        <v>0.0</v>
      </c>
      <c r="AD143" s="69">
        <v>0.0</v>
      </c>
      <c r="AE143" s="69">
        <v>0.0</v>
      </c>
      <c r="AF143" s="69">
        <v>0.0</v>
      </c>
      <c r="AG143" s="69">
        <v>0.0</v>
      </c>
      <c r="AH143" s="69">
        <v>0.0</v>
      </c>
      <c r="AI143" s="69">
        <v>0.0</v>
      </c>
      <c r="AJ143" s="69">
        <v>0.0</v>
      </c>
      <c r="AK143" s="13">
        <f t="shared" si="38"/>
        <v>1</v>
      </c>
      <c r="AL143" s="5"/>
      <c r="AM143" s="5"/>
    </row>
    <row r="144" ht="12.75" customHeight="1">
      <c r="A144" s="18"/>
      <c r="B144" s="49"/>
      <c r="C144" s="50" t="s">
        <v>123</v>
      </c>
      <c r="D144" s="51"/>
      <c r="E144" s="69">
        <v>0.0</v>
      </c>
      <c r="F144" s="69">
        <v>0.0</v>
      </c>
      <c r="G144" s="69">
        <v>0.0</v>
      </c>
      <c r="H144" s="69">
        <v>0.0</v>
      </c>
      <c r="I144" s="69">
        <v>0.0</v>
      </c>
      <c r="J144" s="69">
        <v>0.0</v>
      </c>
      <c r="K144" s="69">
        <v>0.0</v>
      </c>
      <c r="L144" s="69">
        <v>0.0</v>
      </c>
      <c r="M144" s="69">
        <v>0.0</v>
      </c>
      <c r="N144" s="69">
        <v>0.0</v>
      </c>
      <c r="O144" s="69">
        <v>1.0</v>
      </c>
      <c r="P144" s="69">
        <v>0.0</v>
      </c>
      <c r="Q144" s="69">
        <v>0.0</v>
      </c>
      <c r="R144" s="69">
        <v>0.0</v>
      </c>
      <c r="S144" s="69">
        <v>0.0</v>
      </c>
      <c r="T144" s="69">
        <v>0.0</v>
      </c>
      <c r="U144" s="69">
        <v>0.0</v>
      </c>
      <c r="V144" s="69">
        <v>0.0</v>
      </c>
      <c r="W144" s="69">
        <v>0.0</v>
      </c>
      <c r="X144" s="69">
        <v>0.0</v>
      </c>
      <c r="Y144" s="69">
        <v>0.0</v>
      </c>
      <c r="Z144" s="69">
        <v>0.0</v>
      </c>
      <c r="AA144" s="69">
        <v>0.0</v>
      </c>
      <c r="AB144" s="69">
        <v>0.0</v>
      </c>
      <c r="AC144" s="69">
        <v>0.0</v>
      </c>
      <c r="AD144" s="69">
        <v>0.0</v>
      </c>
      <c r="AE144" s="69">
        <v>0.0</v>
      </c>
      <c r="AF144" s="69">
        <v>0.0</v>
      </c>
      <c r="AG144" s="69">
        <v>0.0</v>
      </c>
      <c r="AH144" s="69">
        <v>0.0</v>
      </c>
      <c r="AI144" s="69">
        <v>0.0</v>
      </c>
      <c r="AJ144" s="69">
        <v>0.0</v>
      </c>
      <c r="AK144" s="13">
        <f t="shared" si="38"/>
        <v>1</v>
      </c>
      <c r="AL144" s="5"/>
      <c r="AM144" s="5"/>
    </row>
    <row r="145" ht="12.75" customHeight="1">
      <c r="A145" s="18"/>
      <c r="B145" s="49"/>
      <c r="C145" s="50" t="s">
        <v>124</v>
      </c>
      <c r="D145" s="51"/>
      <c r="E145" s="69">
        <v>0.0</v>
      </c>
      <c r="F145" s="69">
        <v>0.0</v>
      </c>
      <c r="G145" s="69">
        <v>0.0</v>
      </c>
      <c r="H145" s="69">
        <v>0.0</v>
      </c>
      <c r="I145" s="69">
        <v>0.0</v>
      </c>
      <c r="J145" s="69">
        <v>0.0</v>
      </c>
      <c r="K145" s="69">
        <v>0.0</v>
      </c>
      <c r="L145" s="69">
        <v>0.0</v>
      </c>
      <c r="M145" s="69">
        <v>0.0</v>
      </c>
      <c r="N145" s="69">
        <v>0.0</v>
      </c>
      <c r="O145" s="69">
        <v>0.0</v>
      </c>
      <c r="P145" s="69">
        <v>0.0</v>
      </c>
      <c r="Q145" s="69">
        <v>0.0</v>
      </c>
      <c r="R145" s="69">
        <v>0.0</v>
      </c>
      <c r="S145" s="69">
        <v>0.0</v>
      </c>
      <c r="T145" s="69">
        <v>0.0</v>
      </c>
      <c r="U145" s="69">
        <v>0.0</v>
      </c>
      <c r="V145" s="69">
        <v>0.0</v>
      </c>
      <c r="W145" s="69">
        <v>0.0</v>
      </c>
      <c r="X145" s="69">
        <v>0.0</v>
      </c>
      <c r="Y145" s="69">
        <v>0.0</v>
      </c>
      <c r="Z145" s="69">
        <v>0.0</v>
      </c>
      <c r="AA145" s="69">
        <v>0.0</v>
      </c>
      <c r="AB145" s="69">
        <v>0.0</v>
      </c>
      <c r="AC145" s="69">
        <v>0.0</v>
      </c>
      <c r="AD145" s="69">
        <v>0.0</v>
      </c>
      <c r="AE145" s="69">
        <v>0.0</v>
      </c>
      <c r="AF145" s="69">
        <v>0.0</v>
      </c>
      <c r="AG145" s="69">
        <v>0.0</v>
      </c>
      <c r="AH145" s="69">
        <v>0.0</v>
      </c>
      <c r="AI145" s="69">
        <v>0.0</v>
      </c>
      <c r="AJ145" s="69">
        <v>0.0</v>
      </c>
      <c r="AK145" s="13">
        <f t="shared" si="38"/>
        <v>0</v>
      </c>
      <c r="AL145" s="5"/>
      <c r="AM145" s="5"/>
    </row>
    <row r="146" ht="12.75" customHeight="1">
      <c r="A146" s="19" t="s">
        <v>15</v>
      </c>
      <c r="B146" s="47" t="s">
        <v>47</v>
      </c>
      <c r="C146" s="15"/>
      <c r="D146" s="16"/>
      <c r="E146" s="56">
        <f t="shared" ref="E146:AJ146" si="39">SUM(E138:E145)</f>
        <v>0</v>
      </c>
      <c r="F146" s="56">
        <f t="shared" si="39"/>
        <v>1</v>
      </c>
      <c r="G146" s="56">
        <f t="shared" si="39"/>
        <v>0</v>
      </c>
      <c r="H146" s="56">
        <f t="shared" si="39"/>
        <v>0</v>
      </c>
      <c r="I146" s="56">
        <f t="shared" si="39"/>
        <v>0</v>
      </c>
      <c r="J146" s="56">
        <f t="shared" si="39"/>
        <v>0</v>
      </c>
      <c r="K146" s="56">
        <f t="shared" si="39"/>
        <v>1</v>
      </c>
      <c r="L146" s="56">
        <f t="shared" si="39"/>
        <v>0</v>
      </c>
      <c r="M146" s="56">
        <f t="shared" si="39"/>
        <v>0</v>
      </c>
      <c r="N146" s="56">
        <f t="shared" si="39"/>
        <v>1</v>
      </c>
      <c r="O146" s="56">
        <f t="shared" si="39"/>
        <v>1</v>
      </c>
      <c r="P146" s="56">
        <f t="shared" si="39"/>
        <v>0</v>
      </c>
      <c r="Q146" s="56">
        <f t="shared" si="39"/>
        <v>0</v>
      </c>
      <c r="R146" s="56">
        <f t="shared" si="39"/>
        <v>0</v>
      </c>
      <c r="S146" s="56">
        <f t="shared" si="39"/>
        <v>0</v>
      </c>
      <c r="T146" s="56">
        <f t="shared" si="39"/>
        <v>0</v>
      </c>
      <c r="U146" s="56">
        <f t="shared" si="39"/>
        <v>0</v>
      </c>
      <c r="V146" s="56">
        <f t="shared" si="39"/>
        <v>0</v>
      </c>
      <c r="W146" s="56">
        <f t="shared" si="39"/>
        <v>0</v>
      </c>
      <c r="X146" s="56">
        <f t="shared" si="39"/>
        <v>0</v>
      </c>
      <c r="Y146" s="56">
        <f t="shared" si="39"/>
        <v>0</v>
      </c>
      <c r="Z146" s="56">
        <f t="shared" si="39"/>
        <v>1</v>
      </c>
      <c r="AA146" s="56">
        <f t="shared" si="39"/>
        <v>0</v>
      </c>
      <c r="AB146" s="56">
        <f t="shared" si="39"/>
        <v>0</v>
      </c>
      <c r="AC146" s="56">
        <f t="shared" si="39"/>
        <v>0</v>
      </c>
      <c r="AD146" s="56">
        <f t="shared" si="39"/>
        <v>0</v>
      </c>
      <c r="AE146" s="56">
        <f t="shared" si="39"/>
        <v>0</v>
      </c>
      <c r="AF146" s="56">
        <f t="shared" si="39"/>
        <v>0</v>
      </c>
      <c r="AG146" s="56">
        <f t="shared" si="39"/>
        <v>0</v>
      </c>
      <c r="AH146" s="56">
        <f t="shared" si="39"/>
        <v>0</v>
      </c>
      <c r="AI146" s="56">
        <f t="shared" si="39"/>
        <v>0</v>
      </c>
      <c r="AJ146" s="56">
        <f t="shared" si="39"/>
        <v>0</v>
      </c>
      <c r="AK146" s="13">
        <f t="shared" si="38"/>
        <v>5</v>
      </c>
      <c r="AL146" s="5"/>
      <c r="AM146" s="5"/>
    </row>
    <row r="147" ht="12.75" customHeight="1">
      <c r="A147" s="57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13"/>
      <c r="AL147" s="5"/>
      <c r="AM147" s="5"/>
    </row>
    <row r="148" ht="12.75" customHeight="1">
      <c r="A148" s="30" t="s">
        <v>37</v>
      </c>
      <c r="B148" s="47" t="s">
        <v>125</v>
      </c>
      <c r="C148" s="48" t="s">
        <v>126</v>
      </c>
      <c r="D148" s="16"/>
      <c r="E148" s="69">
        <v>1.0</v>
      </c>
      <c r="F148" s="69">
        <v>0.0</v>
      </c>
      <c r="G148" s="69">
        <v>2.0</v>
      </c>
      <c r="H148" s="69">
        <v>0.0</v>
      </c>
      <c r="I148" s="69">
        <v>3.0</v>
      </c>
      <c r="J148" s="69">
        <v>2.0</v>
      </c>
      <c r="K148" s="69">
        <v>1.0</v>
      </c>
      <c r="L148" s="69">
        <v>1.0</v>
      </c>
      <c r="M148" s="69">
        <v>1.0</v>
      </c>
      <c r="N148" s="69">
        <v>3.0</v>
      </c>
      <c r="O148" s="69">
        <v>2.0</v>
      </c>
      <c r="P148" s="69">
        <v>4.0</v>
      </c>
      <c r="Q148" s="69">
        <v>3.0</v>
      </c>
      <c r="R148" s="69">
        <v>1.0</v>
      </c>
      <c r="S148" s="69">
        <v>0.0</v>
      </c>
      <c r="T148" s="69">
        <v>2.0</v>
      </c>
      <c r="U148" s="69">
        <v>1.0</v>
      </c>
      <c r="V148" s="69">
        <v>1.0</v>
      </c>
      <c r="W148" s="69">
        <v>1.0</v>
      </c>
      <c r="X148" s="69">
        <v>1.0</v>
      </c>
      <c r="Y148" s="69">
        <v>3.0</v>
      </c>
      <c r="Z148" s="69">
        <v>3.0</v>
      </c>
      <c r="AA148" s="69">
        <v>3.0</v>
      </c>
      <c r="AB148" s="69">
        <v>0.0</v>
      </c>
      <c r="AC148" s="69">
        <v>2.0</v>
      </c>
      <c r="AD148" s="69">
        <v>0.0</v>
      </c>
      <c r="AE148" s="69">
        <v>0.0</v>
      </c>
      <c r="AF148" s="69">
        <v>0.0</v>
      </c>
      <c r="AG148" s="69">
        <v>2.0</v>
      </c>
      <c r="AH148" s="69">
        <v>0.0</v>
      </c>
      <c r="AI148" s="69">
        <v>0.0</v>
      </c>
      <c r="AJ148" s="69">
        <v>1.0</v>
      </c>
      <c r="AK148" s="13">
        <f t="shared" ref="AK148:AK156" si="40">SUM(E148:AJ148)</f>
        <v>44</v>
      </c>
      <c r="AL148" s="5"/>
      <c r="AM148" s="5"/>
    </row>
    <row r="149" ht="12.75" customHeight="1">
      <c r="A149" s="30" t="s">
        <v>39</v>
      </c>
      <c r="B149" s="49"/>
      <c r="C149" s="50" t="s">
        <v>127</v>
      </c>
      <c r="D149" s="51"/>
      <c r="E149" s="69">
        <v>0.0</v>
      </c>
      <c r="F149" s="69">
        <v>0.0</v>
      </c>
      <c r="G149" s="69">
        <v>0.0</v>
      </c>
      <c r="H149" s="69">
        <v>2.0</v>
      </c>
      <c r="I149" s="69">
        <v>0.0</v>
      </c>
      <c r="J149" s="69">
        <v>1.0</v>
      </c>
      <c r="K149" s="69">
        <v>0.0</v>
      </c>
      <c r="L149" s="69">
        <v>0.0</v>
      </c>
      <c r="M149" s="69">
        <v>0.0</v>
      </c>
      <c r="N149" s="69">
        <v>2.0</v>
      </c>
      <c r="O149" s="69">
        <v>5.0</v>
      </c>
      <c r="P149" s="69">
        <v>2.0</v>
      </c>
      <c r="Q149" s="69">
        <v>2.0</v>
      </c>
      <c r="R149" s="69">
        <v>1.0</v>
      </c>
      <c r="S149" s="69">
        <v>4.0</v>
      </c>
      <c r="T149" s="69">
        <v>3.0</v>
      </c>
      <c r="U149" s="69">
        <v>0.0</v>
      </c>
      <c r="V149" s="69">
        <v>1.0</v>
      </c>
      <c r="W149" s="69">
        <v>2.0</v>
      </c>
      <c r="X149" s="69">
        <v>1.0</v>
      </c>
      <c r="Y149" s="69">
        <v>0.0</v>
      </c>
      <c r="Z149" s="69">
        <v>2.0</v>
      </c>
      <c r="AA149" s="69">
        <v>1.0</v>
      </c>
      <c r="AB149" s="69">
        <v>1.0</v>
      </c>
      <c r="AC149" s="69">
        <v>0.0</v>
      </c>
      <c r="AD149" s="69">
        <v>1.0</v>
      </c>
      <c r="AE149" s="69">
        <v>0.0</v>
      </c>
      <c r="AF149" s="69">
        <v>2.0</v>
      </c>
      <c r="AG149" s="69">
        <v>1.0</v>
      </c>
      <c r="AH149" s="69">
        <v>0.0</v>
      </c>
      <c r="AI149" s="69">
        <v>0.0</v>
      </c>
      <c r="AJ149" s="69">
        <v>0.0</v>
      </c>
      <c r="AK149" s="13">
        <f t="shared" si="40"/>
        <v>34</v>
      </c>
      <c r="AL149" s="5"/>
      <c r="AM149" s="5"/>
    </row>
    <row r="150" ht="12.75" customHeight="1">
      <c r="A150" s="18"/>
      <c r="B150" s="49"/>
      <c r="C150" s="50" t="s">
        <v>128</v>
      </c>
      <c r="D150" s="51"/>
      <c r="E150" s="69">
        <v>0.0</v>
      </c>
      <c r="F150" s="69">
        <v>1.0</v>
      </c>
      <c r="G150" s="69">
        <v>0.0</v>
      </c>
      <c r="H150" s="69">
        <v>1.0</v>
      </c>
      <c r="I150" s="69">
        <v>0.0</v>
      </c>
      <c r="J150" s="69">
        <v>0.0</v>
      </c>
      <c r="K150" s="69">
        <v>0.0</v>
      </c>
      <c r="L150" s="69">
        <v>1.0</v>
      </c>
      <c r="M150" s="69">
        <v>0.0</v>
      </c>
      <c r="N150" s="69">
        <v>0.0</v>
      </c>
      <c r="O150" s="69">
        <v>0.0</v>
      </c>
      <c r="P150" s="69">
        <v>1.0</v>
      </c>
      <c r="Q150" s="69">
        <v>0.0</v>
      </c>
      <c r="R150" s="69">
        <v>0.0</v>
      </c>
      <c r="S150" s="69">
        <v>1.0</v>
      </c>
      <c r="T150" s="69">
        <v>1.0</v>
      </c>
      <c r="U150" s="69">
        <v>1.0</v>
      </c>
      <c r="V150" s="69">
        <v>0.0</v>
      </c>
      <c r="W150" s="69">
        <v>0.0</v>
      </c>
      <c r="X150" s="69">
        <v>0.0</v>
      </c>
      <c r="Y150" s="69">
        <v>0.0</v>
      </c>
      <c r="Z150" s="69">
        <v>0.0</v>
      </c>
      <c r="AA150" s="69">
        <v>0.0</v>
      </c>
      <c r="AB150" s="69">
        <v>0.0</v>
      </c>
      <c r="AC150" s="69">
        <v>0.0</v>
      </c>
      <c r="AD150" s="69">
        <v>0.0</v>
      </c>
      <c r="AE150" s="69">
        <v>0.0</v>
      </c>
      <c r="AF150" s="69">
        <v>1.0</v>
      </c>
      <c r="AG150" s="69">
        <v>1.0</v>
      </c>
      <c r="AH150" s="69">
        <v>0.0</v>
      </c>
      <c r="AI150" s="69">
        <v>0.0</v>
      </c>
      <c r="AJ150" s="69">
        <v>0.0</v>
      </c>
      <c r="AK150" s="13">
        <f t="shared" si="40"/>
        <v>9</v>
      </c>
      <c r="AL150" s="5"/>
      <c r="AM150" s="5"/>
    </row>
    <row r="151" ht="12.75" customHeight="1">
      <c r="A151" s="18"/>
      <c r="B151" s="49"/>
      <c r="C151" s="50" t="s">
        <v>129</v>
      </c>
      <c r="D151" s="51"/>
      <c r="E151" s="69">
        <v>1.0</v>
      </c>
      <c r="F151" s="69">
        <v>0.0</v>
      </c>
      <c r="G151" s="69">
        <v>0.0</v>
      </c>
      <c r="H151" s="69">
        <v>0.0</v>
      </c>
      <c r="I151" s="69">
        <v>0.0</v>
      </c>
      <c r="J151" s="69">
        <v>0.0</v>
      </c>
      <c r="K151" s="69">
        <v>0.0</v>
      </c>
      <c r="L151" s="69">
        <v>0.0</v>
      </c>
      <c r="M151" s="69">
        <v>1.0</v>
      </c>
      <c r="N151" s="69">
        <v>0.0</v>
      </c>
      <c r="O151" s="69">
        <v>0.0</v>
      </c>
      <c r="P151" s="69">
        <v>1.0</v>
      </c>
      <c r="Q151" s="69">
        <v>0.0</v>
      </c>
      <c r="R151" s="69">
        <v>0.0</v>
      </c>
      <c r="S151" s="69">
        <v>0.0</v>
      </c>
      <c r="T151" s="69">
        <v>1.0</v>
      </c>
      <c r="U151" s="69">
        <v>0.0</v>
      </c>
      <c r="V151" s="69">
        <v>0.0</v>
      </c>
      <c r="W151" s="69">
        <v>0.0</v>
      </c>
      <c r="X151" s="69">
        <v>2.0</v>
      </c>
      <c r="Y151" s="69">
        <v>2.0</v>
      </c>
      <c r="Z151" s="69">
        <v>1.0</v>
      </c>
      <c r="AA151" s="69">
        <v>2.0</v>
      </c>
      <c r="AB151" s="69">
        <v>0.0</v>
      </c>
      <c r="AC151" s="69">
        <v>1.0</v>
      </c>
      <c r="AD151" s="69">
        <v>0.0</v>
      </c>
      <c r="AE151" s="69">
        <v>0.0</v>
      </c>
      <c r="AF151" s="69">
        <v>0.0</v>
      </c>
      <c r="AG151" s="69">
        <v>0.0</v>
      </c>
      <c r="AH151" s="69">
        <v>0.0</v>
      </c>
      <c r="AI151" s="69">
        <v>0.0</v>
      </c>
      <c r="AJ151" s="69">
        <v>0.0</v>
      </c>
      <c r="AK151" s="13">
        <f t="shared" si="40"/>
        <v>12</v>
      </c>
      <c r="AL151" s="1"/>
      <c r="AM151" s="1"/>
    </row>
    <row r="152" ht="12.75" customHeight="1">
      <c r="A152" s="18"/>
      <c r="B152" s="49"/>
      <c r="C152" s="50" t="s">
        <v>130</v>
      </c>
      <c r="D152" s="51"/>
      <c r="E152" s="69">
        <v>0.0</v>
      </c>
      <c r="F152" s="69">
        <v>0.0</v>
      </c>
      <c r="G152" s="69">
        <v>0.0</v>
      </c>
      <c r="H152" s="69">
        <v>0.0</v>
      </c>
      <c r="I152" s="69">
        <v>1.0</v>
      </c>
      <c r="J152" s="69">
        <v>0.0</v>
      </c>
      <c r="K152" s="69">
        <v>0.0</v>
      </c>
      <c r="L152" s="69">
        <v>5.0</v>
      </c>
      <c r="M152" s="69">
        <v>0.0</v>
      </c>
      <c r="N152" s="69">
        <v>0.0</v>
      </c>
      <c r="O152" s="69">
        <v>0.0</v>
      </c>
      <c r="P152" s="69">
        <v>0.0</v>
      </c>
      <c r="Q152" s="69">
        <v>0.0</v>
      </c>
      <c r="R152" s="69">
        <v>0.0</v>
      </c>
      <c r="S152" s="69">
        <v>0.0</v>
      </c>
      <c r="T152" s="69">
        <v>0.0</v>
      </c>
      <c r="U152" s="69">
        <v>1.0</v>
      </c>
      <c r="V152" s="69">
        <v>0.0</v>
      </c>
      <c r="W152" s="69">
        <v>0.0</v>
      </c>
      <c r="X152" s="69">
        <v>0.0</v>
      </c>
      <c r="Y152" s="69">
        <v>3.0</v>
      </c>
      <c r="Z152" s="69">
        <v>1.0</v>
      </c>
      <c r="AA152" s="69">
        <v>0.0</v>
      </c>
      <c r="AB152" s="69">
        <v>0.0</v>
      </c>
      <c r="AC152" s="69">
        <v>0.0</v>
      </c>
      <c r="AD152" s="69">
        <v>0.0</v>
      </c>
      <c r="AE152" s="69">
        <v>1.0</v>
      </c>
      <c r="AF152" s="69">
        <v>0.0</v>
      </c>
      <c r="AG152" s="69">
        <v>1.0</v>
      </c>
      <c r="AH152" s="69">
        <v>0.0</v>
      </c>
      <c r="AI152" s="69">
        <v>0.0</v>
      </c>
      <c r="AJ152" s="69">
        <v>0.0</v>
      </c>
      <c r="AK152" s="13">
        <f t="shared" si="40"/>
        <v>13</v>
      </c>
      <c r="AL152" s="53"/>
      <c r="AM152" s="53"/>
    </row>
    <row r="153" ht="12.75" customHeight="1">
      <c r="A153" s="18"/>
      <c r="B153" s="49"/>
      <c r="C153" s="50" t="s">
        <v>131</v>
      </c>
      <c r="D153" s="51"/>
      <c r="E153" s="69">
        <v>0.0</v>
      </c>
      <c r="F153" s="69">
        <v>0.0</v>
      </c>
      <c r="G153" s="69">
        <v>0.0</v>
      </c>
      <c r="H153" s="69">
        <v>0.0</v>
      </c>
      <c r="I153" s="69">
        <v>0.0</v>
      </c>
      <c r="J153" s="69">
        <v>0.0</v>
      </c>
      <c r="K153" s="69">
        <v>0.0</v>
      </c>
      <c r="L153" s="69">
        <v>0.0</v>
      </c>
      <c r="M153" s="69">
        <v>0.0</v>
      </c>
      <c r="N153" s="69">
        <v>0.0</v>
      </c>
      <c r="O153" s="69">
        <v>0.0</v>
      </c>
      <c r="P153" s="69">
        <v>0.0</v>
      </c>
      <c r="Q153" s="69">
        <v>0.0</v>
      </c>
      <c r="R153" s="69">
        <v>0.0</v>
      </c>
      <c r="S153" s="69">
        <v>1.0</v>
      </c>
      <c r="T153" s="69">
        <v>1.0</v>
      </c>
      <c r="U153" s="69">
        <v>0.0</v>
      </c>
      <c r="V153" s="69">
        <v>0.0</v>
      </c>
      <c r="W153" s="69">
        <v>0.0</v>
      </c>
      <c r="X153" s="69">
        <v>0.0</v>
      </c>
      <c r="Y153" s="69">
        <v>0.0</v>
      </c>
      <c r="Z153" s="69">
        <v>0.0</v>
      </c>
      <c r="AA153" s="69">
        <v>1.0</v>
      </c>
      <c r="AB153" s="69">
        <v>0.0</v>
      </c>
      <c r="AC153" s="69">
        <v>1.0</v>
      </c>
      <c r="AD153" s="69">
        <v>1.0</v>
      </c>
      <c r="AE153" s="69">
        <v>0.0</v>
      </c>
      <c r="AF153" s="69">
        <v>0.0</v>
      </c>
      <c r="AG153" s="69">
        <v>0.0</v>
      </c>
      <c r="AH153" s="69">
        <v>0.0</v>
      </c>
      <c r="AI153" s="69">
        <v>0.0</v>
      </c>
      <c r="AJ153" s="69">
        <v>0.0</v>
      </c>
      <c r="AK153" s="13">
        <f t="shared" si="40"/>
        <v>5</v>
      </c>
      <c r="AL153" s="5"/>
      <c r="AM153" s="5"/>
    </row>
    <row r="154" ht="12.75" customHeight="1">
      <c r="A154" s="18"/>
      <c r="B154" s="49"/>
      <c r="C154" s="50" t="s">
        <v>132</v>
      </c>
      <c r="D154" s="51"/>
      <c r="E154" s="69">
        <v>0.0</v>
      </c>
      <c r="F154" s="69">
        <v>0.0</v>
      </c>
      <c r="G154" s="69">
        <v>0.0</v>
      </c>
      <c r="H154" s="69">
        <v>0.0</v>
      </c>
      <c r="I154" s="69">
        <v>0.0</v>
      </c>
      <c r="J154" s="69">
        <v>0.0</v>
      </c>
      <c r="K154" s="69">
        <v>0.0</v>
      </c>
      <c r="L154" s="69">
        <v>0.0</v>
      </c>
      <c r="M154" s="69">
        <v>0.0</v>
      </c>
      <c r="N154" s="69">
        <v>0.0</v>
      </c>
      <c r="O154" s="69">
        <v>1.0</v>
      </c>
      <c r="P154" s="69">
        <v>0.0</v>
      </c>
      <c r="Q154" s="69">
        <v>0.0</v>
      </c>
      <c r="R154" s="69">
        <v>0.0</v>
      </c>
      <c r="S154" s="69">
        <v>0.0</v>
      </c>
      <c r="T154" s="69">
        <v>0.0</v>
      </c>
      <c r="U154" s="69">
        <v>0.0</v>
      </c>
      <c r="V154" s="69">
        <v>0.0</v>
      </c>
      <c r="W154" s="69">
        <v>0.0</v>
      </c>
      <c r="X154" s="69">
        <v>0.0</v>
      </c>
      <c r="Y154" s="69">
        <v>0.0</v>
      </c>
      <c r="Z154" s="69">
        <v>0.0</v>
      </c>
      <c r="AA154" s="69">
        <v>0.0</v>
      </c>
      <c r="AB154" s="69">
        <v>0.0</v>
      </c>
      <c r="AC154" s="69">
        <v>0.0</v>
      </c>
      <c r="AD154" s="69">
        <v>0.0</v>
      </c>
      <c r="AE154" s="69">
        <v>0.0</v>
      </c>
      <c r="AF154" s="69">
        <v>0.0</v>
      </c>
      <c r="AG154" s="69">
        <v>0.0</v>
      </c>
      <c r="AH154" s="69">
        <v>0.0</v>
      </c>
      <c r="AI154" s="69">
        <v>0.0</v>
      </c>
      <c r="AJ154" s="69">
        <v>0.0</v>
      </c>
      <c r="AK154" s="13">
        <f t="shared" si="40"/>
        <v>1</v>
      </c>
      <c r="AL154" s="5"/>
      <c r="AM154" s="5"/>
    </row>
    <row r="155" ht="12.75" customHeight="1">
      <c r="A155" s="18"/>
      <c r="B155" s="49"/>
      <c r="C155" s="50" t="s">
        <v>133</v>
      </c>
      <c r="D155" s="51"/>
      <c r="E155" s="69">
        <v>3.0</v>
      </c>
      <c r="F155" s="69">
        <v>1.0</v>
      </c>
      <c r="G155" s="69">
        <v>3.0</v>
      </c>
      <c r="H155" s="69">
        <v>0.0</v>
      </c>
      <c r="I155" s="69">
        <v>1.0</v>
      </c>
      <c r="J155" s="69">
        <v>1.0</v>
      </c>
      <c r="K155" s="69">
        <v>0.0</v>
      </c>
      <c r="L155" s="69">
        <v>5.0</v>
      </c>
      <c r="M155" s="69">
        <v>10.0</v>
      </c>
      <c r="N155" s="69">
        <v>49.0</v>
      </c>
      <c r="O155" s="69">
        <v>7.0</v>
      </c>
      <c r="P155" s="69">
        <v>33.0</v>
      </c>
      <c r="Q155" s="69">
        <v>31.0</v>
      </c>
      <c r="R155" s="69">
        <v>1.0</v>
      </c>
      <c r="S155" s="69">
        <v>3.0</v>
      </c>
      <c r="T155" s="69">
        <v>0.0</v>
      </c>
      <c r="U155" s="69">
        <v>0.0</v>
      </c>
      <c r="V155" s="69">
        <v>0.0</v>
      </c>
      <c r="W155" s="69">
        <v>2.0</v>
      </c>
      <c r="X155" s="69">
        <v>0.0</v>
      </c>
      <c r="Y155" s="69">
        <v>6.0</v>
      </c>
      <c r="Z155" s="69">
        <v>0.0</v>
      </c>
      <c r="AA155" s="69">
        <v>1.0</v>
      </c>
      <c r="AB155" s="69">
        <v>1.0</v>
      </c>
      <c r="AC155" s="69">
        <v>0.0</v>
      </c>
      <c r="AD155" s="69">
        <v>0.0</v>
      </c>
      <c r="AE155" s="69">
        <v>2.0</v>
      </c>
      <c r="AF155" s="69">
        <v>0.0</v>
      </c>
      <c r="AG155" s="69">
        <v>1.0</v>
      </c>
      <c r="AH155" s="69">
        <v>0.0</v>
      </c>
      <c r="AI155" s="69">
        <v>1.0</v>
      </c>
      <c r="AJ155" s="69">
        <v>0.0</v>
      </c>
      <c r="AK155" s="13">
        <f t="shared" si="40"/>
        <v>162</v>
      </c>
      <c r="AL155" s="5"/>
      <c r="AM155" s="5"/>
    </row>
    <row r="156" ht="12.75" customHeight="1">
      <c r="A156" s="19" t="s">
        <v>15</v>
      </c>
      <c r="B156" s="47" t="s">
        <v>47</v>
      </c>
      <c r="C156" s="15"/>
      <c r="D156" s="16"/>
      <c r="E156" s="56">
        <f t="shared" ref="E156:AJ156" si="41">SUM(E148:E155)</f>
        <v>5</v>
      </c>
      <c r="F156" s="56">
        <f t="shared" si="41"/>
        <v>2</v>
      </c>
      <c r="G156" s="56">
        <f t="shared" si="41"/>
        <v>5</v>
      </c>
      <c r="H156" s="56">
        <f t="shared" si="41"/>
        <v>3</v>
      </c>
      <c r="I156" s="56">
        <f t="shared" si="41"/>
        <v>5</v>
      </c>
      <c r="J156" s="56">
        <f t="shared" si="41"/>
        <v>4</v>
      </c>
      <c r="K156" s="56">
        <f t="shared" si="41"/>
        <v>1</v>
      </c>
      <c r="L156" s="56">
        <f t="shared" si="41"/>
        <v>12</v>
      </c>
      <c r="M156" s="56">
        <f t="shared" si="41"/>
        <v>12</v>
      </c>
      <c r="N156" s="56">
        <f t="shared" si="41"/>
        <v>54</v>
      </c>
      <c r="O156" s="56">
        <f t="shared" si="41"/>
        <v>15</v>
      </c>
      <c r="P156" s="56">
        <f t="shared" si="41"/>
        <v>41</v>
      </c>
      <c r="Q156" s="56">
        <f t="shared" si="41"/>
        <v>36</v>
      </c>
      <c r="R156" s="56">
        <f t="shared" si="41"/>
        <v>3</v>
      </c>
      <c r="S156" s="56">
        <f t="shared" si="41"/>
        <v>9</v>
      </c>
      <c r="T156" s="56">
        <f t="shared" si="41"/>
        <v>8</v>
      </c>
      <c r="U156" s="56">
        <f t="shared" si="41"/>
        <v>3</v>
      </c>
      <c r="V156" s="56">
        <f t="shared" si="41"/>
        <v>2</v>
      </c>
      <c r="W156" s="56">
        <f t="shared" si="41"/>
        <v>5</v>
      </c>
      <c r="X156" s="56">
        <f t="shared" si="41"/>
        <v>4</v>
      </c>
      <c r="Y156" s="56">
        <f t="shared" si="41"/>
        <v>14</v>
      </c>
      <c r="Z156" s="56">
        <f t="shared" si="41"/>
        <v>7</v>
      </c>
      <c r="AA156" s="56">
        <f t="shared" si="41"/>
        <v>8</v>
      </c>
      <c r="AB156" s="56">
        <f t="shared" si="41"/>
        <v>2</v>
      </c>
      <c r="AC156" s="56">
        <f t="shared" si="41"/>
        <v>4</v>
      </c>
      <c r="AD156" s="56">
        <f t="shared" si="41"/>
        <v>2</v>
      </c>
      <c r="AE156" s="56">
        <f t="shared" si="41"/>
        <v>3</v>
      </c>
      <c r="AF156" s="56">
        <f t="shared" si="41"/>
        <v>3</v>
      </c>
      <c r="AG156" s="56">
        <f t="shared" si="41"/>
        <v>6</v>
      </c>
      <c r="AH156" s="56">
        <f t="shared" si="41"/>
        <v>0</v>
      </c>
      <c r="AI156" s="56">
        <f t="shared" si="41"/>
        <v>1</v>
      </c>
      <c r="AJ156" s="56">
        <f t="shared" si="41"/>
        <v>1</v>
      </c>
      <c r="AK156" s="13">
        <f t="shared" si="40"/>
        <v>280</v>
      </c>
      <c r="AL156" s="5"/>
      <c r="AM156" s="5"/>
    </row>
    <row r="157" ht="12.75" customHeight="1">
      <c r="A157" s="57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13"/>
      <c r="AL157" s="5"/>
      <c r="AM157" s="5"/>
    </row>
    <row r="158" ht="12.75" customHeight="1">
      <c r="A158" s="30" t="s">
        <v>37</v>
      </c>
      <c r="B158" s="47" t="s">
        <v>134</v>
      </c>
      <c r="C158" s="48" t="s">
        <v>135</v>
      </c>
      <c r="D158" s="16"/>
      <c r="E158" s="69">
        <v>0.0</v>
      </c>
      <c r="F158" s="69">
        <v>0.0</v>
      </c>
      <c r="G158" s="69">
        <v>0.0</v>
      </c>
      <c r="H158" s="69">
        <v>0.0</v>
      </c>
      <c r="I158" s="69">
        <v>1.0</v>
      </c>
      <c r="J158" s="69">
        <v>1.0</v>
      </c>
      <c r="K158" s="69">
        <v>0.0</v>
      </c>
      <c r="L158" s="69">
        <v>3.0</v>
      </c>
      <c r="M158" s="69">
        <v>0.0</v>
      </c>
      <c r="N158" s="69">
        <v>1.0</v>
      </c>
      <c r="O158" s="69">
        <v>1.0</v>
      </c>
      <c r="P158" s="69">
        <v>1.0</v>
      </c>
      <c r="Q158" s="69">
        <v>1.0</v>
      </c>
      <c r="R158" s="69">
        <v>1.0</v>
      </c>
      <c r="S158" s="69">
        <v>0.0</v>
      </c>
      <c r="T158" s="69">
        <v>0.0</v>
      </c>
      <c r="U158" s="69">
        <v>0.0</v>
      </c>
      <c r="V158" s="69">
        <v>3.0</v>
      </c>
      <c r="W158" s="69">
        <v>1.0</v>
      </c>
      <c r="X158" s="69">
        <v>1.0</v>
      </c>
      <c r="Y158" s="69">
        <v>0.0</v>
      </c>
      <c r="Z158" s="69">
        <v>0.0</v>
      </c>
      <c r="AA158" s="69">
        <v>0.0</v>
      </c>
      <c r="AB158" s="69">
        <v>2.0</v>
      </c>
      <c r="AC158" s="69">
        <v>0.0</v>
      </c>
      <c r="AD158" s="69">
        <v>0.0</v>
      </c>
      <c r="AE158" s="69">
        <v>0.0</v>
      </c>
      <c r="AF158" s="69">
        <v>0.0</v>
      </c>
      <c r="AG158" s="69">
        <v>0.0</v>
      </c>
      <c r="AH158" s="69">
        <v>1.0</v>
      </c>
      <c r="AI158" s="69">
        <v>1.0</v>
      </c>
      <c r="AJ158" s="69">
        <v>0.0</v>
      </c>
      <c r="AK158" s="13">
        <f t="shared" ref="AK158:AK161" si="42">SUM(E158:AJ158)</f>
        <v>19</v>
      </c>
      <c r="AL158" s="5"/>
      <c r="AM158" s="5"/>
    </row>
    <row r="159" ht="12.75" customHeight="1">
      <c r="A159" s="30" t="s">
        <v>39</v>
      </c>
      <c r="B159" s="49"/>
      <c r="C159" s="50" t="s">
        <v>136</v>
      </c>
      <c r="D159" s="51"/>
      <c r="E159" s="69">
        <v>0.0</v>
      </c>
      <c r="F159" s="69">
        <v>1.0</v>
      </c>
      <c r="G159" s="69">
        <v>0.0</v>
      </c>
      <c r="H159" s="69">
        <v>0.0</v>
      </c>
      <c r="I159" s="69">
        <v>0.0</v>
      </c>
      <c r="J159" s="69">
        <v>1.0</v>
      </c>
      <c r="K159" s="69">
        <v>0.0</v>
      </c>
      <c r="L159" s="69">
        <v>0.0</v>
      </c>
      <c r="M159" s="69">
        <v>0.0</v>
      </c>
      <c r="N159" s="69">
        <v>0.0</v>
      </c>
      <c r="O159" s="69">
        <v>1.0</v>
      </c>
      <c r="P159" s="69">
        <v>0.0</v>
      </c>
      <c r="Q159" s="69">
        <v>1.0</v>
      </c>
      <c r="R159" s="69">
        <v>0.0</v>
      </c>
      <c r="S159" s="69">
        <v>0.0</v>
      </c>
      <c r="T159" s="69">
        <v>1.0</v>
      </c>
      <c r="U159" s="69">
        <v>0.0</v>
      </c>
      <c r="V159" s="69">
        <v>1.0</v>
      </c>
      <c r="W159" s="69">
        <v>0.0</v>
      </c>
      <c r="X159" s="69">
        <v>1.0</v>
      </c>
      <c r="Y159" s="69">
        <v>1.0</v>
      </c>
      <c r="Z159" s="69">
        <v>0.0</v>
      </c>
      <c r="AA159" s="69">
        <v>2.0</v>
      </c>
      <c r="AB159" s="69">
        <v>1.0</v>
      </c>
      <c r="AC159" s="69">
        <v>0.0</v>
      </c>
      <c r="AD159" s="69">
        <v>0.0</v>
      </c>
      <c r="AE159" s="69">
        <v>0.0</v>
      </c>
      <c r="AF159" s="69">
        <v>0.0</v>
      </c>
      <c r="AG159" s="69">
        <v>0.0</v>
      </c>
      <c r="AH159" s="69">
        <v>0.0</v>
      </c>
      <c r="AI159" s="69">
        <v>1.0</v>
      </c>
      <c r="AJ159" s="69">
        <v>1.0</v>
      </c>
      <c r="AK159" s="13">
        <f t="shared" si="42"/>
        <v>13</v>
      </c>
      <c r="AL159" s="5"/>
      <c r="AM159" s="5"/>
    </row>
    <row r="160" ht="12.75" customHeight="1">
      <c r="A160" s="30"/>
      <c r="B160" s="49"/>
      <c r="C160" s="50" t="s">
        <v>137</v>
      </c>
      <c r="D160" s="51"/>
      <c r="E160" s="69">
        <v>0.0</v>
      </c>
      <c r="F160" s="69">
        <v>2.0</v>
      </c>
      <c r="G160" s="69">
        <v>0.0</v>
      </c>
      <c r="H160" s="69">
        <v>0.0</v>
      </c>
      <c r="I160" s="69">
        <v>0.0</v>
      </c>
      <c r="J160" s="69">
        <v>0.0</v>
      </c>
      <c r="K160" s="69">
        <v>0.0</v>
      </c>
      <c r="L160" s="69">
        <v>0.0</v>
      </c>
      <c r="M160" s="69">
        <v>1.0</v>
      </c>
      <c r="N160" s="69">
        <v>3.0</v>
      </c>
      <c r="O160" s="69">
        <v>0.0</v>
      </c>
      <c r="P160" s="69">
        <v>0.0</v>
      </c>
      <c r="Q160" s="69">
        <v>0.0</v>
      </c>
      <c r="R160" s="69">
        <v>0.0</v>
      </c>
      <c r="S160" s="69">
        <v>0.0</v>
      </c>
      <c r="T160" s="69">
        <v>0.0</v>
      </c>
      <c r="U160" s="69">
        <v>0.0</v>
      </c>
      <c r="V160" s="69">
        <v>2.0</v>
      </c>
      <c r="W160" s="69">
        <v>0.0</v>
      </c>
      <c r="X160" s="69">
        <v>0.0</v>
      </c>
      <c r="Y160" s="69">
        <v>0.0</v>
      </c>
      <c r="Z160" s="69">
        <v>0.0</v>
      </c>
      <c r="AA160" s="69">
        <v>0.0</v>
      </c>
      <c r="AB160" s="69">
        <v>0.0</v>
      </c>
      <c r="AC160" s="69">
        <v>0.0</v>
      </c>
      <c r="AD160" s="69">
        <v>0.0</v>
      </c>
      <c r="AE160" s="69">
        <v>0.0</v>
      </c>
      <c r="AF160" s="69">
        <v>0.0</v>
      </c>
      <c r="AG160" s="69">
        <v>1.0</v>
      </c>
      <c r="AH160" s="69">
        <v>0.0</v>
      </c>
      <c r="AI160" s="69">
        <v>0.0</v>
      </c>
      <c r="AJ160" s="69">
        <v>0.0</v>
      </c>
      <c r="AK160" s="13">
        <f t="shared" si="42"/>
        <v>9</v>
      </c>
      <c r="AL160" s="5"/>
      <c r="AM160" s="5"/>
    </row>
    <row r="161" ht="12.75" customHeight="1">
      <c r="A161" s="19" t="s">
        <v>15</v>
      </c>
      <c r="B161" s="47" t="s">
        <v>47</v>
      </c>
      <c r="C161" s="15"/>
      <c r="D161" s="16"/>
      <c r="E161" s="56">
        <f t="shared" ref="E161:AJ161" si="43">SUM(E158:E160)</f>
        <v>0</v>
      </c>
      <c r="F161" s="56">
        <f t="shared" si="43"/>
        <v>3</v>
      </c>
      <c r="G161" s="56">
        <f t="shared" si="43"/>
        <v>0</v>
      </c>
      <c r="H161" s="56">
        <f t="shared" si="43"/>
        <v>0</v>
      </c>
      <c r="I161" s="56">
        <f t="shared" si="43"/>
        <v>1</v>
      </c>
      <c r="J161" s="56">
        <f t="shared" si="43"/>
        <v>2</v>
      </c>
      <c r="K161" s="56">
        <f t="shared" si="43"/>
        <v>0</v>
      </c>
      <c r="L161" s="56">
        <f t="shared" si="43"/>
        <v>3</v>
      </c>
      <c r="M161" s="56">
        <f t="shared" si="43"/>
        <v>1</v>
      </c>
      <c r="N161" s="56">
        <f t="shared" si="43"/>
        <v>4</v>
      </c>
      <c r="O161" s="56">
        <f t="shared" si="43"/>
        <v>2</v>
      </c>
      <c r="P161" s="56">
        <f t="shared" si="43"/>
        <v>1</v>
      </c>
      <c r="Q161" s="56">
        <f t="shared" si="43"/>
        <v>2</v>
      </c>
      <c r="R161" s="56">
        <f t="shared" si="43"/>
        <v>1</v>
      </c>
      <c r="S161" s="56">
        <f t="shared" si="43"/>
        <v>0</v>
      </c>
      <c r="T161" s="56">
        <f t="shared" si="43"/>
        <v>1</v>
      </c>
      <c r="U161" s="56">
        <f t="shared" si="43"/>
        <v>0</v>
      </c>
      <c r="V161" s="56">
        <f t="shared" si="43"/>
        <v>6</v>
      </c>
      <c r="W161" s="56">
        <f t="shared" si="43"/>
        <v>1</v>
      </c>
      <c r="X161" s="56">
        <f t="shared" si="43"/>
        <v>2</v>
      </c>
      <c r="Y161" s="56">
        <f t="shared" si="43"/>
        <v>1</v>
      </c>
      <c r="Z161" s="56">
        <f t="shared" si="43"/>
        <v>0</v>
      </c>
      <c r="AA161" s="56">
        <f t="shared" si="43"/>
        <v>2</v>
      </c>
      <c r="AB161" s="56">
        <f t="shared" si="43"/>
        <v>3</v>
      </c>
      <c r="AC161" s="56">
        <f t="shared" si="43"/>
        <v>0</v>
      </c>
      <c r="AD161" s="56">
        <f t="shared" si="43"/>
        <v>0</v>
      </c>
      <c r="AE161" s="56">
        <f t="shared" si="43"/>
        <v>0</v>
      </c>
      <c r="AF161" s="56">
        <f t="shared" si="43"/>
        <v>0</v>
      </c>
      <c r="AG161" s="56">
        <f t="shared" si="43"/>
        <v>1</v>
      </c>
      <c r="AH161" s="56">
        <f t="shared" si="43"/>
        <v>1</v>
      </c>
      <c r="AI161" s="56">
        <f t="shared" si="43"/>
        <v>2</v>
      </c>
      <c r="AJ161" s="56">
        <f t="shared" si="43"/>
        <v>1</v>
      </c>
      <c r="AK161" s="13">
        <f t="shared" si="42"/>
        <v>41</v>
      </c>
      <c r="AL161" s="5"/>
      <c r="AM161" s="5"/>
    </row>
    <row r="162" ht="12.75" customHeight="1">
      <c r="A162" s="57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13"/>
      <c r="AL162" s="5"/>
      <c r="AM162" s="5"/>
    </row>
    <row r="163" ht="15.0" customHeight="1">
      <c r="A163" s="30" t="s">
        <v>37</v>
      </c>
      <c r="B163" s="47" t="s">
        <v>138</v>
      </c>
      <c r="C163" s="48" t="s">
        <v>139</v>
      </c>
      <c r="D163" s="16"/>
      <c r="E163" s="69">
        <v>0.0</v>
      </c>
      <c r="F163" s="69">
        <v>0.0</v>
      </c>
      <c r="G163" s="69">
        <v>1.0</v>
      </c>
      <c r="H163" s="69">
        <v>0.0</v>
      </c>
      <c r="I163" s="69">
        <v>1.0</v>
      </c>
      <c r="J163" s="69">
        <v>0.0</v>
      </c>
      <c r="K163" s="69">
        <v>0.0</v>
      </c>
      <c r="L163" s="69">
        <v>0.0</v>
      </c>
      <c r="M163" s="69">
        <v>0.0</v>
      </c>
      <c r="N163" s="69">
        <v>0.0</v>
      </c>
      <c r="O163" s="69">
        <v>0.0</v>
      </c>
      <c r="P163" s="69">
        <v>0.0</v>
      </c>
      <c r="Q163" s="69">
        <v>0.0</v>
      </c>
      <c r="R163" s="69">
        <v>0.0</v>
      </c>
      <c r="S163" s="69">
        <v>0.0</v>
      </c>
      <c r="T163" s="69">
        <v>0.0</v>
      </c>
      <c r="U163" s="69">
        <v>0.0</v>
      </c>
      <c r="V163" s="69">
        <v>0.0</v>
      </c>
      <c r="W163" s="69">
        <v>0.0</v>
      </c>
      <c r="X163" s="69">
        <v>0.0</v>
      </c>
      <c r="Y163" s="69">
        <v>0.0</v>
      </c>
      <c r="Z163" s="69">
        <v>3.0</v>
      </c>
      <c r="AA163" s="69">
        <v>0.0</v>
      </c>
      <c r="AB163" s="69">
        <v>1.0</v>
      </c>
      <c r="AC163" s="69">
        <v>0.0</v>
      </c>
      <c r="AD163" s="69">
        <v>0.0</v>
      </c>
      <c r="AE163" s="69">
        <v>0.0</v>
      </c>
      <c r="AF163" s="69">
        <v>1.0</v>
      </c>
      <c r="AG163" s="69">
        <v>0.0</v>
      </c>
      <c r="AH163" s="69">
        <v>0.0</v>
      </c>
      <c r="AI163" s="69">
        <v>0.0</v>
      </c>
      <c r="AJ163" s="69">
        <v>0.0</v>
      </c>
      <c r="AK163" s="13">
        <f t="shared" ref="AK163:AK165" si="44">SUM(E163:AJ163)</f>
        <v>7</v>
      </c>
      <c r="AL163" s="5"/>
      <c r="AM163" s="5"/>
    </row>
    <row r="164" ht="12.75" customHeight="1">
      <c r="A164" s="30" t="s">
        <v>39</v>
      </c>
      <c r="B164" s="47"/>
      <c r="C164" s="50" t="s">
        <v>140</v>
      </c>
      <c r="D164" s="62"/>
      <c r="E164" s="69">
        <v>0.0</v>
      </c>
      <c r="F164" s="69">
        <v>1.0</v>
      </c>
      <c r="G164" s="69">
        <v>0.0</v>
      </c>
      <c r="H164" s="69">
        <v>0.0</v>
      </c>
      <c r="I164" s="69">
        <v>0.0</v>
      </c>
      <c r="J164" s="69">
        <v>1.0</v>
      </c>
      <c r="K164" s="69">
        <v>1.0</v>
      </c>
      <c r="L164" s="69">
        <v>0.0</v>
      </c>
      <c r="M164" s="69">
        <v>0.0</v>
      </c>
      <c r="N164" s="69">
        <v>0.0</v>
      </c>
      <c r="O164" s="69">
        <v>0.0</v>
      </c>
      <c r="P164" s="69">
        <v>0.0</v>
      </c>
      <c r="Q164" s="69">
        <v>2.0</v>
      </c>
      <c r="R164" s="69">
        <v>0.0</v>
      </c>
      <c r="S164" s="69">
        <v>0.0</v>
      </c>
      <c r="T164" s="69">
        <v>0.0</v>
      </c>
      <c r="U164" s="69">
        <v>0.0</v>
      </c>
      <c r="V164" s="69">
        <v>1.0</v>
      </c>
      <c r="W164" s="69">
        <v>0.0</v>
      </c>
      <c r="X164" s="69">
        <v>0.0</v>
      </c>
      <c r="Y164" s="69">
        <v>0.0</v>
      </c>
      <c r="Z164" s="69">
        <v>2.0</v>
      </c>
      <c r="AA164" s="69">
        <v>0.0</v>
      </c>
      <c r="AB164" s="69">
        <v>4.0</v>
      </c>
      <c r="AC164" s="69">
        <v>0.0</v>
      </c>
      <c r="AD164" s="69">
        <v>0.0</v>
      </c>
      <c r="AE164" s="69">
        <v>0.0</v>
      </c>
      <c r="AF164" s="69">
        <v>1.0</v>
      </c>
      <c r="AG164" s="69">
        <v>0.0</v>
      </c>
      <c r="AH164" s="69">
        <v>1.0</v>
      </c>
      <c r="AI164" s="69">
        <v>0.0</v>
      </c>
      <c r="AJ164" s="69">
        <v>0.0</v>
      </c>
      <c r="AK164" s="13">
        <f t="shared" si="44"/>
        <v>14</v>
      </c>
      <c r="AL164" s="5"/>
      <c r="AM164" s="5"/>
    </row>
    <row r="165" ht="12.75" customHeight="1">
      <c r="A165" s="19" t="s">
        <v>15</v>
      </c>
      <c r="B165" s="47" t="s">
        <v>47</v>
      </c>
      <c r="C165" s="15"/>
      <c r="D165" s="16"/>
      <c r="E165" s="56">
        <f t="shared" ref="E165:AJ165" si="45">SUM(E163:E164)</f>
        <v>0</v>
      </c>
      <c r="F165" s="56">
        <f t="shared" si="45"/>
        <v>1</v>
      </c>
      <c r="G165" s="56">
        <f t="shared" si="45"/>
        <v>1</v>
      </c>
      <c r="H165" s="56">
        <f t="shared" si="45"/>
        <v>0</v>
      </c>
      <c r="I165" s="56">
        <f t="shared" si="45"/>
        <v>1</v>
      </c>
      <c r="J165" s="56">
        <f t="shared" si="45"/>
        <v>1</v>
      </c>
      <c r="K165" s="56">
        <f t="shared" si="45"/>
        <v>1</v>
      </c>
      <c r="L165" s="56">
        <f t="shared" si="45"/>
        <v>0</v>
      </c>
      <c r="M165" s="56">
        <f t="shared" si="45"/>
        <v>0</v>
      </c>
      <c r="N165" s="56">
        <f t="shared" si="45"/>
        <v>0</v>
      </c>
      <c r="O165" s="56">
        <f t="shared" si="45"/>
        <v>0</v>
      </c>
      <c r="P165" s="56">
        <f t="shared" si="45"/>
        <v>0</v>
      </c>
      <c r="Q165" s="56">
        <f t="shared" si="45"/>
        <v>2</v>
      </c>
      <c r="R165" s="56">
        <f t="shared" si="45"/>
        <v>0</v>
      </c>
      <c r="S165" s="56">
        <f t="shared" si="45"/>
        <v>0</v>
      </c>
      <c r="T165" s="56">
        <f t="shared" si="45"/>
        <v>0</v>
      </c>
      <c r="U165" s="56">
        <f t="shared" si="45"/>
        <v>0</v>
      </c>
      <c r="V165" s="56">
        <f t="shared" si="45"/>
        <v>1</v>
      </c>
      <c r="W165" s="56">
        <f t="shared" si="45"/>
        <v>0</v>
      </c>
      <c r="X165" s="56">
        <f t="shared" si="45"/>
        <v>0</v>
      </c>
      <c r="Y165" s="56">
        <f t="shared" si="45"/>
        <v>0</v>
      </c>
      <c r="Z165" s="56">
        <f t="shared" si="45"/>
        <v>5</v>
      </c>
      <c r="AA165" s="56">
        <f t="shared" si="45"/>
        <v>0</v>
      </c>
      <c r="AB165" s="56">
        <f t="shared" si="45"/>
        <v>5</v>
      </c>
      <c r="AC165" s="56">
        <f t="shared" si="45"/>
        <v>0</v>
      </c>
      <c r="AD165" s="56">
        <f t="shared" si="45"/>
        <v>0</v>
      </c>
      <c r="AE165" s="56">
        <f t="shared" si="45"/>
        <v>0</v>
      </c>
      <c r="AF165" s="56">
        <f t="shared" si="45"/>
        <v>2</v>
      </c>
      <c r="AG165" s="56">
        <f t="shared" si="45"/>
        <v>0</v>
      </c>
      <c r="AH165" s="56">
        <f t="shared" si="45"/>
        <v>1</v>
      </c>
      <c r="AI165" s="56">
        <f t="shared" si="45"/>
        <v>0</v>
      </c>
      <c r="AJ165" s="56">
        <f t="shared" si="45"/>
        <v>0</v>
      </c>
      <c r="AK165" s="13">
        <f t="shared" si="44"/>
        <v>21</v>
      </c>
      <c r="AL165" s="1"/>
      <c r="AM165" s="1"/>
    </row>
    <row r="166" ht="12.75" customHeight="1">
      <c r="A166" s="57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13"/>
      <c r="AL166" s="53"/>
      <c r="AM166" s="53"/>
    </row>
    <row r="167" ht="12.75" customHeight="1">
      <c r="A167" s="30" t="s">
        <v>37</v>
      </c>
      <c r="B167" s="47" t="s">
        <v>141</v>
      </c>
      <c r="C167" s="48" t="s">
        <v>142</v>
      </c>
      <c r="D167" s="16"/>
      <c r="E167" s="69">
        <v>1.0</v>
      </c>
      <c r="F167" s="69">
        <v>2.0</v>
      </c>
      <c r="G167" s="69">
        <v>0.0</v>
      </c>
      <c r="H167" s="69">
        <v>0.0</v>
      </c>
      <c r="I167" s="69">
        <v>0.0</v>
      </c>
      <c r="J167" s="69">
        <v>0.0</v>
      </c>
      <c r="K167" s="69">
        <v>0.0</v>
      </c>
      <c r="L167" s="69">
        <v>0.0</v>
      </c>
      <c r="M167" s="69">
        <v>0.0</v>
      </c>
      <c r="N167" s="69">
        <v>0.0</v>
      </c>
      <c r="O167" s="69">
        <v>0.0</v>
      </c>
      <c r="P167" s="69">
        <v>1.0</v>
      </c>
      <c r="Q167" s="69">
        <v>2.0</v>
      </c>
      <c r="R167" s="69">
        <v>0.0</v>
      </c>
      <c r="S167" s="69">
        <v>1.0</v>
      </c>
      <c r="T167" s="69">
        <v>1.0</v>
      </c>
      <c r="U167" s="69">
        <v>0.0</v>
      </c>
      <c r="V167" s="69">
        <v>0.0</v>
      </c>
      <c r="W167" s="69">
        <v>0.0</v>
      </c>
      <c r="X167" s="69">
        <v>0.0</v>
      </c>
      <c r="Y167" s="69">
        <v>0.0</v>
      </c>
      <c r="Z167" s="69">
        <v>1.0</v>
      </c>
      <c r="AA167" s="69">
        <v>0.0</v>
      </c>
      <c r="AB167" s="69">
        <v>0.0</v>
      </c>
      <c r="AC167" s="69">
        <v>0.0</v>
      </c>
      <c r="AD167" s="69">
        <v>0.0</v>
      </c>
      <c r="AE167" s="69">
        <v>0.0</v>
      </c>
      <c r="AF167" s="69">
        <v>0.0</v>
      </c>
      <c r="AG167" s="69">
        <v>0.0</v>
      </c>
      <c r="AH167" s="69">
        <v>3.0</v>
      </c>
      <c r="AI167" s="69">
        <v>3.0</v>
      </c>
      <c r="AJ167" s="69">
        <v>2.0</v>
      </c>
      <c r="AK167" s="13">
        <f t="shared" ref="AK167:AK175" si="46">SUM(E167:AJ167)</f>
        <v>17</v>
      </c>
      <c r="AL167" s="5"/>
      <c r="AM167" s="5"/>
    </row>
    <row r="168" ht="12.75" customHeight="1">
      <c r="A168" s="30" t="s">
        <v>39</v>
      </c>
      <c r="B168" s="49"/>
      <c r="C168" s="50" t="s">
        <v>143</v>
      </c>
      <c r="D168" s="51"/>
      <c r="E168" s="69">
        <v>13.0</v>
      </c>
      <c r="F168" s="69">
        <v>4.0</v>
      </c>
      <c r="G168" s="69">
        <v>0.0</v>
      </c>
      <c r="H168" s="69">
        <v>0.0</v>
      </c>
      <c r="I168" s="69">
        <v>0.0</v>
      </c>
      <c r="J168" s="69">
        <v>1.0</v>
      </c>
      <c r="K168" s="69">
        <v>0.0</v>
      </c>
      <c r="L168" s="69">
        <v>0.0</v>
      </c>
      <c r="M168" s="69">
        <v>0.0</v>
      </c>
      <c r="N168" s="69">
        <v>0.0</v>
      </c>
      <c r="O168" s="69">
        <v>0.0</v>
      </c>
      <c r="P168" s="69">
        <v>1.0</v>
      </c>
      <c r="Q168" s="69">
        <v>0.0</v>
      </c>
      <c r="R168" s="69">
        <v>1.0</v>
      </c>
      <c r="S168" s="69">
        <v>0.0</v>
      </c>
      <c r="T168" s="69">
        <v>0.0</v>
      </c>
      <c r="U168" s="69">
        <v>1.0</v>
      </c>
      <c r="V168" s="69">
        <v>0.0</v>
      </c>
      <c r="W168" s="69">
        <v>0.0</v>
      </c>
      <c r="X168" s="69">
        <v>0.0</v>
      </c>
      <c r="Y168" s="69">
        <v>0.0</v>
      </c>
      <c r="Z168" s="69">
        <v>0.0</v>
      </c>
      <c r="AA168" s="69">
        <v>0.0</v>
      </c>
      <c r="AB168" s="69">
        <v>0.0</v>
      </c>
      <c r="AC168" s="69">
        <v>0.0</v>
      </c>
      <c r="AD168" s="69">
        <v>0.0</v>
      </c>
      <c r="AE168" s="69">
        <v>0.0</v>
      </c>
      <c r="AF168" s="69">
        <v>3.0</v>
      </c>
      <c r="AG168" s="69">
        <v>1.0</v>
      </c>
      <c r="AH168" s="69">
        <v>24.0</v>
      </c>
      <c r="AI168" s="69">
        <v>10.0</v>
      </c>
      <c r="AJ168" s="69">
        <v>58.0</v>
      </c>
      <c r="AK168" s="13">
        <f t="shared" si="46"/>
        <v>117</v>
      </c>
      <c r="AL168" s="5"/>
      <c r="AM168" s="5"/>
    </row>
    <row r="169" ht="12.75" customHeight="1">
      <c r="A169" s="18"/>
      <c r="B169" s="49"/>
      <c r="C169" s="50" t="s">
        <v>144</v>
      </c>
      <c r="D169" s="51"/>
      <c r="E169" s="69">
        <v>1.0</v>
      </c>
      <c r="F169" s="69">
        <v>0.0</v>
      </c>
      <c r="G169" s="69">
        <v>0.0</v>
      </c>
      <c r="H169" s="69">
        <v>0.0</v>
      </c>
      <c r="I169" s="69">
        <v>0.0</v>
      </c>
      <c r="J169" s="69">
        <v>0.0</v>
      </c>
      <c r="K169" s="69">
        <v>0.0</v>
      </c>
      <c r="L169" s="69">
        <v>1.0</v>
      </c>
      <c r="M169" s="69">
        <v>0.0</v>
      </c>
      <c r="N169" s="69">
        <v>0.0</v>
      </c>
      <c r="O169" s="69">
        <v>0.0</v>
      </c>
      <c r="P169" s="69">
        <v>0.0</v>
      </c>
      <c r="Q169" s="69">
        <v>1.0</v>
      </c>
      <c r="R169" s="69">
        <v>0.0</v>
      </c>
      <c r="S169" s="69">
        <v>0.0</v>
      </c>
      <c r="T169" s="69">
        <v>0.0</v>
      </c>
      <c r="U169" s="69">
        <v>0.0</v>
      </c>
      <c r="V169" s="69">
        <v>0.0</v>
      </c>
      <c r="W169" s="69">
        <v>0.0</v>
      </c>
      <c r="X169" s="69">
        <v>0.0</v>
      </c>
      <c r="Y169" s="69">
        <v>0.0</v>
      </c>
      <c r="Z169" s="69">
        <v>0.0</v>
      </c>
      <c r="AA169" s="69">
        <v>0.0</v>
      </c>
      <c r="AB169" s="69">
        <v>0.0</v>
      </c>
      <c r="AC169" s="69">
        <v>0.0</v>
      </c>
      <c r="AD169" s="69">
        <v>0.0</v>
      </c>
      <c r="AE169" s="69">
        <v>0.0</v>
      </c>
      <c r="AF169" s="69">
        <v>0.0</v>
      </c>
      <c r="AG169" s="69">
        <v>0.0</v>
      </c>
      <c r="AH169" s="69">
        <v>0.0</v>
      </c>
      <c r="AI169" s="69">
        <v>1.0</v>
      </c>
      <c r="AJ169" s="69">
        <v>2.0</v>
      </c>
      <c r="AK169" s="13">
        <f t="shared" si="46"/>
        <v>6</v>
      </c>
      <c r="AL169" s="5"/>
      <c r="AM169" s="5"/>
    </row>
    <row r="170" ht="12.75" customHeight="1">
      <c r="A170" s="18"/>
      <c r="B170" s="49"/>
      <c r="C170" s="50" t="s">
        <v>145</v>
      </c>
      <c r="D170" s="51"/>
      <c r="E170" s="69">
        <v>0.0</v>
      </c>
      <c r="F170" s="69">
        <v>0.0</v>
      </c>
      <c r="G170" s="69">
        <v>0.0</v>
      </c>
      <c r="H170" s="69">
        <v>0.0</v>
      </c>
      <c r="I170" s="69">
        <v>0.0</v>
      </c>
      <c r="J170" s="69">
        <v>0.0</v>
      </c>
      <c r="K170" s="69">
        <v>0.0</v>
      </c>
      <c r="L170" s="69">
        <v>1.0</v>
      </c>
      <c r="M170" s="69">
        <v>0.0</v>
      </c>
      <c r="N170" s="69">
        <v>0.0</v>
      </c>
      <c r="O170" s="69">
        <v>0.0</v>
      </c>
      <c r="P170" s="69">
        <v>0.0</v>
      </c>
      <c r="Q170" s="69">
        <v>0.0</v>
      </c>
      <c r="R170" s="69">
        <v>0.0</v>
      </c>
      <c r="S170" s="69">
        <v>0.0</v>
      </c>
      <c r="T170" s="69">
        <v>0.0</v>
      </c>
      <c r="U170" s="69">
        <v>0.0</v>
      </c>
      <c r="V170" s="69">
        <v>0.0</v>
      </c>
      <c r="W170" s="69">
        <v>0.0</v>
      </c>
      <c r="X170" s="69">
        <v>0.0</v>
      </c>
      <c r="Y170" s="69">
        <v>0.0</v>
      </c>
      <c r="Z170" s="69">
        <v>0.0</v>
      </c>
      <c r="AA170" s="69">
        <v>0.0</v>
      </c>
      <c r="AB170" s="69">
        <v>0.0</v>
      </c>
      <c r="AC170" s="69">
        <v>0.0</v>
      </c>
      <c r="AD170" s="69">
        <v>0.0</v>
      </c>
      <c r="AE170" s="69">
        <v>0.0</v>
      </c>
      <c r="AF170" s="69">
        <v>0.0</v>
      </c>
      <c r="AG170" s="69">
        <v>0.0</v>
      </c>
      <c r="AH170" s="69">
        <v>0.0</v>
      </c>
      <c r="AI170" s="69">
        <v>0.0</v>
      </c>
      <c r="AJ170" s="69">
        <v>0.0</v>
      </c>
      <c r="AK170" s="13">
        <f t="shared" si="46"/>
        <v>1</v>
      </c>
      <c r="AL170" s="5"/>
      <c r="AM170" s="5"/>
    </row>
    <row r="171" ht="12.75" customHeight="1">
      <c r="A171" s="18"/>
      <c r="B171" s="49"/>
      <c r="C171" s="50" t="s">
        <v>146</v>
      </c>
      <c r="D171" s="51"/>
      <c r="E171" s="69">
        <v>0.0</v>
      </c>
      <c r="F171" s="69">
        <v>0.0</v>
      </c>
      <c r="G171" s="69">
        <v>0.0</v>
      </c>
      <c r="H171" s="69">
        <v>0.0</v>
      </c>
      <c r="I171" s="69">
        <v>0.0</v>
      </c>
      <c r="J171" s="69">
        <v>0.0</v>
      </c>
      <c r="K171" s="69">
        <v>0.0</v>
      </c>
      <c r="L171" s="69">
        <v>0.0</v>
      </c>
      <c r="M171" s="69">
        <v>0.0</v>
      </c>
      <c r="N171" s="69">
        <v>0.0</v>
      </c>
      <c r="O171" s="69">
        <v>0.0</v>
      </c>
      <c r="P171" s="69">
        <v>0.0</v>
      </c>
      <c r="Q171" s="69">
        <v>0.0</v>
      </c>
      <c r="R171" s="69">
        <v>0.0</v>
      </c>
      <c r="S171" s="69">
        <v>0.0</v>
      </c>
      <c r="T171" s="69">
        <v>1.0</v>
      </c>
      <c r="U171" s="69">
        <v>0.0</v>
      </c>
      <c r="V171" s="69">
        <v>0.0</v>
      </c>
      <c r="W171" s="69">
        <v>0.0</v>
      </c>
      <c r="X171" s="69">
        <v>0.0</v>
      </c>
      <c r="Y171" s="69">
        <v>0.0</v>
      </c>
      <c r="Z171" s="69">
        <v>0.0</v>
      </c>
      <c r="AA171" s="69">
        <v>0.0</v>
      </c>
      <c r="AB171" s="69">
        <v>0.0</v>
      </c>
      <c r="AC171" s="69">
        <v>0.0</v>
      </c>
      <c r="AD171" s="69">
        <v>0.0</v>
      </c>
      <c r="AE171" s="69">
        <v>0.0</v>
      </c>
      <c r="AF171" s="69">
        <v>0.0</v>
      </c>
      <c r="AG171" s="69">
        <v>0.0</v>
      </c>
      <c r="AH171" s="69">
        <v>0.0</v>
      </c>
      <c r="AI171" s="69">
        <v>0.0</v>
      </c>
      <c r="AJ171" s="69">
        <v>0.0</v>
      </c>
      <c r="AK171" s="13">
        <f t="shared" si="46"/>
        <v>1</v>
      </c>
      <c r="AL171" s="5"/>
      <c r="AM171" s="5"/>
    </row>
    <row r="172" ht="12.75" customHeight="1">
      <c r="A172" s="18"/>
      <c r="B172" s="49"/>
      <c r="C172" s="50" t="s">
        <v>147</v>
      </c>
      <c r="D172" s="51"/>
      <c r="E172" s="69">
        <v>0.0</v>
      </c>
      <c r="F172" s="69">
        <v>0.0</v>
      </c>
      <c r="G172" s="69">
        <v>0.0</v>
      </c>
      <c r="H172" s="69">
        <v>0.0</v>
      </c>
      <c r="I172" s="69">
        <v>0.0</v>
      </c>
      <c r="J172" s="69">
        <v>0.0</v>
      </c>
      <c r="K172" s="69">
        <v>0.0</v>
      </c>
      <c r="L172" s="69">
        <v>0.0</v>
      </c>
      <c r="M172" s="69">
        <v>0.0</v>
      </c>
      <c r="N172" s="69">
        <v>0.0</v>
      </c>
      <c r="O172" s="69">
        <v>0.0</v>
      </c>
      <c r="P172" s="69">
        <v>0.0</v>
      </c>
      <c r="Q172" s="69">
        <v>0.0</v>
      </c>
      <c r="R172" s="69">
        <v>0.0</v>
      </c>
      <c r="S172" s="69">
        <v>0.0</v>
      </c>
      <c r="T172" s="69">
        <v>1.0</v>
      </c>
      <c r="U172" s="69">
        <v>0.0</v>
      </c>
      <c r="V172" s="69">
        <v>0.0</v>
      </c>
      <c r="W172" s="69">
        <v>0.0</v>
      </c>
      <c r="X172" s="69">
        <v>0.0</v>
      </c>
      <c r="Y172" s="69">
        <v>0.0</v>
      </c>
      <c r="Z172" s="69">
        <v>0.0</v>
      </c>
      <c r="AA172" s="69">
        <v>0.0</v>
      </c>
      <c r="AB172" s="69">
        <v>0.0</v>
      </c>
      <c r="AC172" s="69">
        <v>0.0</v>
      </c>
      <c r="AD172" s="69">
        <v>0.0</v>
      </c>
      <c r="AE172" s="69">
        <v>0.0</v>
      </c>
      <c r="AF172" s="69">
        <v>0.0</v>
      </c>
      <c r="AG172" s="69">
        <v>0.0</v>
      </c>
      <c r="AH172" s="69">
        <v>0.0</v>
      </c>
      <c r="AI172" s="69">
        <v>0.0</v>
      </c>
      <c r="AJ172" s="69">
        <v>0.0</v>
      </c>
      <c r="AK172" s="13">
        <f t="shared" si="46"/>
        <v>1</v>
      </c>
      <c r="AL172" s="5"/>
      <c r="AM172" s="5"/>
    </row>
    <row r="173" ht="12.75" customHeight="1">
      <c r="A173" s="18"/>
      <c r="B173" s="49"/>
      <c r="C173" s="50" t="s">
        <v>148</v>
      </c>
      <c r="D173" s="51"/>
      <c r="E173" s="69">
        <v>0.0</v>
      </c>
      <c r="F173" s="69">
        <v>0.0</v>
      </c>
      <c r="G173" s="69">
        <v>0.0</v>
      </c>
      <c r="H173" s="69">
        <v>0.0</v>
      </c>
      <c r="I173" s="69">
        <v>0.0</v>
      </c>
      <c r="J173" s="69">
        <v>0.0</v>
      </c>
      <c r="K173" s="69">
        <v>0.0</v>
      </c>
      <c r="L173" s="69">
        <v>1.0</v>
      </c>
      <c r="M173" s="69">
        <v>0.0</v>
      </c>
      <c r="N173" s="69">
        <v>0.0</v>
      </c>
      <c r="O173" s="69">
        <v>0.0</v>
      </c>
      <c r="P173" s="69">
        <v>1.0</v>
      </c>
      <c r="Q173" s="69">
        <v>1.0</v>
      </c>
      <c r="R173" s="69">
        <v>0.0</v>
      </c>
      <c r="S173" s="69">
        <v>0.0</v>
      </c>
      <c r="T173" s="69">
        <v>1.0</v>
      </c>
      <c r="U173" s="69">
        <v>0.0</v>
      </c>
      <c r="V173" s="69">
        <v>0.0</v>
      </c>
      <c r="W173" s="69">
        <v>0.0</v>
      </c>
      <c r="X173" s="69">
        <v>0.0</v>
      </c>
      <c r="Y173" s="69">
        <v>0.0</v>
      </c>
      <c r="Z173" s="69">
        <v>0.0</v>
      </c>
      <c r="AA173" s="69">
        <v>0.0</v>
      </c>
      <c r="AB173" s="69">
        <v>0.0</v>
      </c>
      <c r="AC173" s="69">
        <v>0.0</v>
      </c>
      <c r="AD173" s="69">
        <v>0.0</v>
      </c>
      <c r="AE173" s="69">
        <v>0.0</v>
      </c>
      <c r="AF173" s="69">
        <v>0.0</v>
      </c>
      <c r="AG173" s="69">
        <v>0.0</v>
      </c>
      <c r="AH173" s="69">
        <v>0.0</v>
      </c>
      <c r="AI173" s="69">
        <v>0.0</v>
      </c>
      <c r="AJ173" s="69">
        <v>0.0</v>
      </c>
      <c r="AK173" s="13">
        <f t="shared" si="46"/>
        <v>4</v>
      </c>
      <c r="AL173" s="5"/>
      <c r="AM173" s="5"/>
    </row>
    <row r="174" ht="12.75" customHeight="1">
      <c r="A174" s="18"/>
      <c r="B174" s="49"/>
      <c r="C174" s="50" t="s">
        <v>149</v>
      </c>
      <c r="D174" s="51"/>
      <c r="E174" s="69">
        <v>0.0</v>
      </c>
      <c r="F174" s="69">
        <v>0.0</v>
      </c>
      <c r="G174" s="69">
        <v>0.0</v>
      </c>
      <c r="H174" s="69">
        <v>0.0</v>
      </c>
      <c r="I174" s="69">
        <v>0.0</v>
      </c>
      <c r="J174" s="69">
        <v>0.0</v>
      </c>
      <c r="K174" s="69">
        <v>0.0</v>
      </c>
      <c r="L174" s="69">
        <v>0.0</v>
      </c>
      <c r="M174" s="69">
        <v>0.0</v>
      </c>
      <c r="N174" s="69">
        <v>0.0</v>
      </c>
      <c r="O174" s="69">
        <v>0.0</v>
      </c>
      <c r="P174" s="69">
        <v>0.0</v>
      </c>
      <c r="Q174" s="69">
        <v>0.0</v>
      </c>
      <c r="R174" s="69">
        <v>0.0</v>
      </c>
      <c r="S174" s="69">
        <v>0.0</v>
      </c>
      <c r="T174" s="69">
        <v>0.0</v>
      </c>
      <c r="U174" s="69">
        <v>0.0</v>
      </c>
      <c r="V174" s="69">
        <v>0.0</v>
      </c>
      <c r="W174" s="69">
        <v>0.0</v>
      </c>
      <c r="X174" s="69">
        <v>0.0</v>
      </c>
      <c r="Y174" s="69">
        <v>0.0</v>
      </c>
      <c r="Z174" s="69">
        <v>0.0</v>
      </c>
      <c r="AA174" s="69">
        <v>0.0</v>
      </c>
      <c r="AB174" s="69">
        <v>0.0</v>
      </c>
      <c r="AC174" s="69">
        <v>0.0</v>
      </c>
      <c r="AD174" s="69">
        <v>0.0</v>
      </c>
      <c r="AE174" s="69">
        <v>0.0</v>
      </c>
      <c r="AF174" s="69">
        <v>0.0</v>
      </c>
      <c r="AG174" s="69">
        <v>0.0</v>
      </c>
      <c r="AH174" s="69">
        <v>0.0</v>
      </c>
      <c r="AI174" s="69">
        <v>1.0</v>
      </c>
      <c r="AJ174" s="69">
        <v>0.0</v>
      </c>
      <c r="AK174" s="13">
        <f t="shared" si="46"/>
        <v>1</v>
      </c>
      <c r="AL174" s="5"/>
      <c r="AM174" s="5"/>
    </row>
    <row r="175" ht="15.0" customHeight="1">
      <c r="A175" s="19" t="s">
        <v>15</v>
      </c>
      <c r="B175" s="47" t="s">
        <v>47</v>
      </c>
      <c r="C175" s="15"/>
      <c r="D175" s="16"/>
      <c r="E175" s="56">
        <f t="shared" ref="E175:AJ175" si="47">SUM(E167:E174)</f>
        <v>15</v>
      </c>
      <c r="F175" s="56">
        <f t="shared" si="47"/>
        <v>6</v>
      </c>
      <c r="G175" s="56">
        <f t="shared" si="47"/>
        <v>0</v>
      </c>
      <c r="H175" s="56">
        <f t="shared" si="47"/>
        <v>0</v>
      </c>
      <c r="I175" s="56">
        <f t="shared" si="47"/>
        <v>0</v>
      </c>
      <c r="J175" s="56">
        <f t="shared" si="47"/>
        <v>1</v>
      </c>
      <c r="K175" s="56">
        <f t="shared" si="47"/>
        <v>0</v>
      </c>
      <c r="L175" s="56">
        <f t="shared" si="47"/>
        <v>3</v>
      </c>
      <c r="M175" s="56">
        <f t="shared" si="47"/>
        <v>0</v>
      </c>
      <c r="N175" s="56">
        <f t="shared" si="47"/>
        <v>0</v>
      </c>
      <c r="O175" s="56">
        <f t="shared" si="47"/>
        <v>0</v>
      </c>
      <c r="P175" s="56">
        <f t="shared" si="47"/>
        <v>3</v>
      </c>
      <c r="Q175" s="56">
        <f t="shared" si="47"/>
        <v>4</v>
      </c>
      <c r="R175" s="56">
        <f t="shared" si="47"/>
        <v>1</v>
      </c>
      <c r="S175" s="56">
        <f t="shared" si="47"/>
        <v>1</v>
      </c>
      <c r="T175" s="56">
        <f t="shared" si="47"/>
        <v>4</v>
      </c>
      <c r="U175" s="56">
        <f t="shared" si="47"/>
        <v>1</v>
      </c>
      <c r="V175" s="56">
        <f t="shared" si="47"/>
        <v>0</v>
      </c>
      <c r="W175" s="56">
        <f t="shared" si="47"/>
        <v>0</v>
      </c>
      <c r="X175" s="56">
        <f t="shared" si="47"/>
        <v>0</v>
      </c>
      <c r="Y175" s="56">
        <f t="shared" si="47"/>
        <v>0</v>
      </c>
      <c r="Z175" s="56">
        <f t="shared" si="47"/>
        <v>1</v>
      </c>
      <c r="AA175" s="56">
        <f t="shared" si="47"/>
        <v>0</v>
      </c>
      <c r="AB175" s="56">
        <f t="shared" si="47"/>
        <v>0</v>
      </c>
      <c r="AC175" s="56">
        <f t="shared" si="47"/>
        <v>0</v>
      </c>
      <c r="AD175" s="56">
        <f t="shared" si="47"/>
        <v>0</v>
      </c>
      <c r="AE175" s="56">
        <f t="shared" si="47"/>
        <v>0</v>
      </c>
      <c r="AF175" s="56">
        <f t="shared" si="47"/>
        <v>3</v>
      </c>
      <c r="AG175" s="56">
        <f t="shared" si="47"/>
        <v>1</v>
      </c>
      <c r="AH175" s="56">
        <f t="shared" si="47"/>
        <v>27</v>
      </c>
      <c r="AI175" s="56">
        <f t="shared" si="47"/>
        <v>15</v>
      </c>
      <c r="AJ175" s="56">
        <f t="shared" si="47"/>
        <v>62</v>
      </c>
      <c r="AK175" s="13">
        <f t="shared" si="46"/>
        <v>148</v>
      </c>
      <c r="AL175" s="5"/>
      <c r="AM175" s="5"/>
    </row>
    <row r="176" ht="12.75" customHeight="1">
      <c r="A176" s="57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13"/>
      <c r="AL176" s="1"/>
      <c r="AM176" s="1"/>
    </row>
    <row r="177" ht="12.75" customHeight="1">
      <c r="A177" s="30" t="s">
        <v>37</v>
      </c>
      <c r="B177" s="47" t="s">
        <v>150</v>
      </c>
      <c r="C177" s="48" t="s">
        <v>151</v>
      </c>
      <c r="D177" s="16"/>
      <c r="E177" s="69">
        <v>0.0</v>
      </c>
      <c r="F177" s="69">
        <v>0.0</v>
      </c>
      <c r="G177" s="69">
        <v>1.0</v>
      </c>
      <c r="H177" s="69">
        <v>0.0</v>
      </c>
      <c r="I177" s="69">
        <v>0.0</v>
      </c>
      <c r="J177" s="69">
        <v>0.0</v>
      </c>
      <c r="K177" s="69">
        <v>0.0</v>
      </c>
      <c r="L177" s="69">
        <v>0.0</v>
      </c>
      <c r="M177" s="69">
        <v>0.0</v>
      </c>
      <c r="N177" s="69">
        <v>0.0</v>
      </c>
      <c r="O177" s="69">
        <v>0.0</v>
      </c>
      <c r="P177" s="69">
        <v>0.0</v>
      </c>
      <c r="Q177" s="69">
        <v>1.0</v>
      </c>
      <c r="R177" s="69">
        <v>0.0</v>
      </c>
      <c r="S177" s="69">
        <v>0.0</v>
      </c>
      <c r="T177" s="69">
        <v>1.0</v>
      </c>
      <c r="U177" s="69">
        <v>0.0</v>
      </c>
      <c r="V177" s="69">
        <v>1.0</v>
      </c>
      <c r="W177" s="69">
        <v>0.0</v>
      </c>
      <c r="X177" s="69">
        <v>0.0</v>
      </c>
      <c r="Y177" s="69">
        <v>0.0</v>
      </c>
      <c r="Z177" s="69">
        <v>0.0</v>
      </c>
      <c r="AA177" s="69">
        <v>0.0</v>
      </c>
      <c r="AB177" s="69">
        <v>0.0</v>
      </c>
      <c r="AC177" s="69">
        <v>0.0</v>
      </c>
      <c r="AD177" s="69">
        <v>0.0</v>
      </c>
      <c r="AE177" s="69">
        <v>0.0</v>
      </c>
      <c r="AF177" s="69">
        <v>0.0</v>
      </c>
      <c r="AG177" s="69">
        <v>0.0</v>
      </c>
      <c r="AH177" s="69">
        <v>1.0</v>
      </c>
      <c r="AI177" s="69">
        <v>0.0</v>
      </c>
      <c r="AJ177" s="69">
        <v>0.0</v>
      </c>
      <c r="AK177" s="13">
        <f t="shared" ref="AK177:AK181" si="48">SUM(E177:AJ177)</f>
        <v>5</v>
      </c>
    </row>
    <row r="178" ht="12.75" customHeight="1">
      <c r="A178" s="30"/>
      <c r="B178" s="47"/>
      <c r="C178" s="50" t="s">
        <v>152</v>
      </c>
      <c r="D178" s="62"/>
      <c r="E178" s="69">
        <v>0.0</v>
      </c>
      <c r="F178" s="69">
        <v>1.0</v>
      </c>
      <c r="G178" s="69">
        <v>1.0</v>
      </c>
      <c r="H178" s="69">
        <v>0.0</v>
      </c>
      <c r="I178" s="69">
        <v>0.0</v>
      </c>
      <c r="J178" s="69">
        <v>0.0</v>
      </c>
      <c r="K178" s="69">
        <v>1.0</v>
      </c>
      <c r="L178" s="69">
        <v>0.0</v>
      </c>
      <c r="M178" s="69">
        <v>0.0</v>
      </c>
      <c r="N178" s="69">
        <v>0.0</v>
      </c>
      <c r="O178" s="69">
        <v>0.0</v>
      </c>
      <c r="P178" s="69">
        <v>1.0</v>
      </c>
      <c r="Q178" s="69">
        <v>0.0</v>
      </c>
      <c r="R178" s="69">
        <v>0.0</v>
      </c>
      <c r="S178" s="69">
        <v>0.0</v>
      </c>
      <c r="T178" s="69">
        <v>0.0</v>
      </c>
      <c r="U178" s="69">
        <v>1.0</v>
      </c>
      <c r="V178" s="69">
        <v>0.0</v>
      </c>
      <c r="W178" s="69">
        <v>0.0</v>
      </c>
      <c r="X178" s="69">
        <v>0.0</v>
      </c>
      <c r="Y178" s="69">
        <v>0.0</v>
      </c>
      <c r="Z178" s="69">
        <v>0.0</v>
      </c>
      <c r="AA178" s="69">
        <v>0.0</v>
      </c>
      <c r="AB178" s="69">
        <v>0.0</v>
      </c>
      <c r="AC178" s="69">
        <v>0.0</v>
      </c>
      <c r="AD178" s="69">
        <v>0.0</v>
      </c>
      <c r="AE178" s="69">
        <v>0.0</v>
      </c>
      <c r="AF178" s="69">
        <v>0.0</v>
      </c>
      <c r="AG178" s="69">
        <v>0.0</v>
      </c>
      <c r="AH178" s="69">
        <v>0.0</v>
      </c>
      <c r="AI178" s="69">
        <v>0.0</v>
      </c>
      <c r="AJ178" s="69">
        <v>0.0</v>
      </c>
      <c r="AK178" s="13">
        <f t="shared" si="48"/>
        <v>5</v>
      </c>
      <c r="AL178" s="5"/>
      <c r="AM178" s="5"/>
    </row>
    <row r="179" ht="12.75" customHeight="1">
      <c r="A179" s="30"/>
      <c r="B179" s="47"/>
      <c r="C179" s="50" t="s">
        <v>153</v>
      </c>
      <c r="D179" s="62"/>
      <c r="E179" s="69">
        <v>0.0</v>
      </c>
      <c r="F179" s="69">
        <v>18.0</v>
      </c>
      <c r="G179" s="69">
        <v>4.0</v>
      </c>
      <c r="H179" s="69">
        <v>0.0</v>
      </c>
      <c r="I179" s="69">
        <v>0.0</v>
      </c>
      <c r="J179" s="69">
        <v>0.0</v>
      </c>
      <c r="K179" s="69">
        <v>1.0</v>
      </c>
      <c r="L179" s="69">
        <v>3.0</v>
      </c>
      <c r="M179" s="69">
        <v>0.0</v>
      </c>
      <c r="N179" s="69">
        <v>1.0</v>
      </c>
      <c r="O179" s="69">
        <v>1.0</v>
      </c>
      <c r="P179" s="69">
        <v>0.0</v>
      </c>
      <c r="Q179" s="69">
        <v>0.0</v>
      </c>
      <c r="R179" s="69">
        <v>0.0</v>
      </c>
      <c r="S179" s="69">
        <v>0.0</v>
      </c>
      <c r="T179" s="69">
        <v>0.0</v>
      </c>
      <c r="U179" s="69">
        <v>0.0</v>
      </c>
      <c r="V179" s="69">
        <v>0.0</v>
      </c>
      <c r="W179" s="69">
        <v>0.0</v>
      </c>
      <c r="X179" s="69">
        <v>0.0</v>
      </c>
      <c r="Y179" s="69">
        <v>0.0</v>
      </c>
      <c r="Z179" s="69">
        <v>0.0</v>
      </c>
      <c r="AA179" s="69">
        <v>0.0</v>
      </c>
      <c r="AB179" s="69">
        <v>0.0</v>
      </c>
      <c r="AC179" s="69">
        <v>0.0</v>
      </c>
      <c r="AD179" s="69">
        <v>0.0</v>
      </c>
      <c r="AE179" s="69">
        <v>0.0</v>
      </c>
      <c r="AF179" s="69">
        <v>0.0</v>
      </c>
      <c r="AG179" s="69">
        <v>0.0</v>
      </c>
      <c r="AH179" s="69">
        <v>0.0</v>
      </c>
      <c r="AI179" s="69">
        <v>0.0</v>
      </c>
      <c r="AJ179" s="69">
        <v>0.0</v>
      </c>
      <c r="AK179" s="13">
        <f t="shared" si="48"/>
        <v>28</v>
      </c>
      <c r="AL179" s="5"/>
      <c r="AM179" s="5"/>
    </row>
    <row r="180" ht="12.75" customHeight="1">
      <c r="A180" s="30" t="s">
        <v>39</v>
      </c>
      <c r="B180" s="49"/>
      <c r="C180" s="50" t="s">
        <v>154</v>
      </c>
      <c r="D180" s="51"/>
      <c r="E180" s="69">
        <v>0.0</v>
      </c>
      <c r="F180" s="69">
        <v>0.0</v>
      </c>
      <c r="G180" s="69">
        <v>0.0</v>
      </c>
      <c r="H180" s="69">
        <v>0.0</v>
      </c>
      <c r="I180" s="69">
        <v>0.0</v>
      </c>
      <c r="J180" s="69">
        <v>0.0</v>
      </c>
      <c r="K180" s="69">
        <v>0.0</v>
      </c>
      <c r="L180" s="69">
        <v>0.0</v>
      </c>
      <c r="M180" s="69">
        <v>0.0</v>
      </c>
      <c r="N180" s="69">
        <v>0.0</v>
      </c>
      <c r="O180" s="69">
        <v>0.0</v>
      </c>
      <c r="P180" s="69">
        <v>1.0</v>
      </c>
      <c r="Q180" s="69">
        <v>0.0</v>
      </c>
      <c r="R180" s="69">
        <v>0.0</v>
      </c>
      <c r="S180" s="69">
        <v>0.0</v>
      </c>
      <c r="T180" s="69">
        <v>0.0</v>
      </c>
      <c r="U180" s="69">
        <v>0.0</v>
      </c>
      <c r="V180" s="69">
        <v>0.0</v>
      </c>
      <c r="W180" s="69">
        <v>0.0</v>
      </c>
      <c r="X180" s="69">
        <v>0.0</v>
      </c>
      <c r="Y180" s="69">
        <v>0.0</v>
      </c>
      <c r="Z180" s="69">
        <v>0.0</v>
      </c>
      <c r="AA180" s="69">
        <v>0.0</v>
      </c>
      <c r="AB180" s="69">
        <v>0.0</v>
      </c>
      <c r="AC180" s="69">
        <v>0.0</v>
      </c>
      <c r="AD180" s="69">
        <v>0.0</v>
      </c>
      <c r="AE180" s="69">
        <v>0.0</v>
      </c>
      <c r="AF180" s="69">
        <v>0.0</v>
      </c>
      <c r="AG180" s="69">
        <v>0.0</v>
      </c>
      <c r="AH180" s="69">
        <v>0.0</v>
      </c>
      <c r="AI180" s="69">
        <v>0.0</v>
      </c>
      <c r="AJ180" s="69">
        <v>0.0</v>
      </c>
      <c r="AK180" s="13">
        <f t="shared" si="48"/>
        <v>1</v>
      </c>
      <c r="AL180" s="5"/>
      <c r="AM180" s="5"/>
    </row>
    <row r="181" ht="12.75" customHeight="1">
      <c r="A181" s="19" t="s">
        <v>15</v>
      </c>
      <c r="B181" s="47" t="s">
        <v>47</v>
      </c>
      <c r="C181" s="15"/>
      <c r="D181" s="16"/>
      <c r="E181" s="56">
        <f t="shared" ref="E181:AJ181" si="49">SUM(E177:E180)</f>
        <v>0</v>
      </c>
      <c r="F181" s="56">
        <f t="shared" si="49"/>
        <v>19</v>
      </c>
      <c r="G181" s="56">
        <f t="shared" si="49"/>
        <v>6</v>
      </c>
      <c r="H181" s="56">
        <f t="shared" si="49"/>
        <v>0</v>
      </c>
      <c r="I181" s="56">
        <f t="shared" si="49"/>
        <v>0</v>
      </c>
      <c r="J181" s="56">
        <f t="shared" si="49"/>
        <v>0</v>
      </c>
      <c r="K181" s="56">
        <f t="shared" si="49"/>
        <v>2</v>
      </c>
      <c r="L181" s="56">
        <f t="shared" si="49"/>
        <v>3</v>
      </c>
      <c r="M181" s="56">
        <f t="shared" si="49"/>
        <v>0</v>
      </c>
      <c r="N181" s="56">
        <f t="shared" si="49"/>
        <v>1</v>
      </c>
      <c r="O181" s="56">
        <f t="shared" si="49"/>
        <v>1</v>
      </c>
      <c r="P181" s="56">
        <f t="shared" si="49"/>
        <v>2</v>
      </c>
      <c r="Q181" s="56">
        <f t="shared" si="49"/>
        <v>1</v>
      </c>
      <c r="R181" s="56">
        <f t="shared" si="49"/>
        <v>0</v>
      </c>
      <c r="S181" s="56">
        <f t="shared" si="49"/>
        <v>0</v>
      </c>
      <c r="T181" s="56">
        <f t="shared" si="49"/>
        <v>1</v>
      </c>
      <c r="U181" s="56">
        <f t="shared" si="49"/>
        <v>1</v>
      </c>
      <c r="V181" s="56">
        <f t="shared" si="49"/>
        <v>1</v>
      </c>
      <c r="W181" s="56">
        <f t="shared" si="49"/>
        <v>0</v>
      </c>
      <c r="X181" s="56">
        <f t="shared" si="49"/>
        <v>0</v>
      </c>
      <c r="Y181" s="56">
        <f t="shared" si="49"/>
        <v>0</v>
      </c>
      <c r="Z181" s="56">
        <f t="shared" si="49"/>
        <v>0</v>
      </c>
      <c r="AA181" s="56">
        <f t="shared" si="49"/>
        <v>0</v>
      </c>
      <c r="AB181" s="56">
        <f t="shared" si="49"/>
        <v>0</v>
      </c>
      <c r="AC181" s="56">
        <f t="shared" si="49"/>
        <v>0</v>
      </c>
      <c r="AD181" s="56">
        <f t="shared" si="49"/>
        <v>0</v>
      </c>
      <c r="AE181" s="56">
        <f t="shared" si="49"/>
        <v>0</v>
      </c>
      <c r="AF181" s="56">
        <f t="shared" si="49"/>
        <v>0</v>
      </c>
      <c r="AG181" s="56">
        <f t="shared" si="49"/>
        <v>0</v>
      </c>
      <c r="AH181" s="56">
        <f t="shared" si="49"/>
        <v>1</v>
      </c>
      <c r="AI181" s="56">
        <f t="shared" si="49"/>
        <v>0</v>
      </c>
      <c r="AJ181" s="56">
        <f t="shared" si="49"/>
        <v>0</v>
      </c>
      <c r="AK181" s="13">
        <f t="shared" si="48"/>
        <v>39</v>
      </c>
      <c r="AL181" s="5"/>
      <c r="AM181" s="5"/>
    </row>
    <row r="182" ht="12.75" customHeight="1">
      <c r="A182" s="57"/>
      <c r="B182" s="58"/>
      <c r="C182" s="58"/>
      <c r="D182" s="63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13"/>
      <c r="AL182" s="5"/>
      <c r="AM182" s="5"/>
    </row>
    <row r="183" ht="12.75" customHeight="1">
      <c r="A183" s="42" t="s">
        <v>155</v>
      </c>
      <c r="B183" s="14" t="s">
        <v>156</v>
      </c>
      <c r="C183" s="15"/>
      <c r="D183" s="16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5"/>
      <c r="AM183" s="5"/>
    </row>
    <row r="184" ht="12.75" customHeight="1">
      <c r="A184" s="42"/>
      <c r="B184" s="64" t="s">
        <v>157</v>
      </c>
      <c r="C184" s="65" t="s">
        <v>158</v>
      </c>
      <c r="D184" s="16"/>
      <c r="E184" s="19">
        <f t="shared" ref="E184:AJ184" si="50">E181+E175+E165+E161+E156+E146+E136+E129+E125+E115+E111+E101+E97+E93+E83+E73+E63+E53</f>
        <v>185</v>
      </c>
      <c r="F184" s="19">
        <f t="shared" si="50"/>
        <v>205</v>
      </c>
      <c r="G184" s="19">
        <f t="shared" si="50"/>
        <v>198</v>
      </c>
      <c r="H184" s="19">
        <f t="shared" si="50"/>
        <v>235</v>
      </c>
      <c r="I184" s="19">
        <f t="shared" si="50"/>
        <v>187</v>
      </c>
      <c r="J184" s="19">
        <f t="shared" si="50"/>
        <v>211</v>
      </c>
      <c r="K184" s="19">
        <f t="shared" si="50"/>
        <v>197</v>
      </c>
      <c r="L184" s="19">
        <f t="shared" si="50"/>
        <v>188</v>
      </c>
      <c r="M184" s="19">
        <f t="shared" si="50"/>
        <v>226</v>
      </c>
      <c r="N184" s="19">
        <f t="shared" si="50"/>
        <v>196</v>
      </c>
      <c r="O184" s="19">
        <f t="shared" si="50"/>
        <v>220</v>
      </c>
      <c r="P184" s="19">
        <f t="shared" si="50"/>
        <v>227</v>
      </c>
      <c r="Q184" s="19">
        <f t="shared" si="50"/>
        <v>202</v>
      </c>
      <c r="R184" s="19">
        <f t="shared" si="50"/>
        <v>217</v>
      </c>
      <c r="S184" s="19">
        <f t="shared" si="50"/>
        <v>191</v>
      </c>
      <c r="T184" s="19">
        <f t="shared" si="50"/>
        <v>212</v>
      </c>
      <c r="U184" s="19">
        <f t="shared" si="50"/>
        <v>218</v>
      </c>
      <c r="V184" s="19">
        <f t="shared" si="50"/>
        <v>194</v>
      </c>
      <c r="W184" s="19">
        <f t="shared" si="50"/>
        <v>188</v>
      </c>
      <c r="X184" s="19">
        <f t="shared" si="50"/>
        <v>197</v>
      </c>
      <c r="Y184" s="19">
        <f t="shared" si="50"/>
        <v>181</v>
      </c>
      <c r="Z184" s="19">
        <f t="shared" si="50"/>
        <v>202</v>
      </c>
      <c r="AA184" s="19">
        <f t="shared" si="50"/>
        <v>205</v>
      </c>
      <c r="AB184" s="19">
        <f t="shared" si="50"/>
        <v>198</v>
      </c>
      <c r="AC184" s="19">
        <f t="shared" si="50"/>
        <v>174</v>
      </c>
      <c r="AD184" s="19">
        <f t="shared" si="50"/>
        <v>197</v>
      </c>
      <c r="AE184" s="19">
        <f t="shared" si="50"/>
        <v>200</v>
      </c>
      <c r="AF184" s="19">
        <f t="shared" si="50"/>
        <v>213</v>
      </c>
      <c r="AG184" s="19">
        <f t="shared" si="50"/>
        <v>213</v>
      </c>
      <c r="AH184" s="19">
        <f t="shared" si="50"/>
        <v>233</v>
      </c>
      <c r="AI184" s="19">
        <f t="shared" si="50"/>
        <v>199</v>
      </c>
      <c r="AJ184" s="19">
        <f t="shared" si="50"/>
        <v>226</v>
      </c>
      <c r="AK184" s="13">
        <f t="shared" ref="AK184:AK186" si="51">SUM(E184:AJ184)</f>
        <v>6535</v>
      </c>
      <c r="AL184" s="5"/>
      <c r="AM184" s="5"/>
    </row>
    <row r="185" ht="12.75" customHeight="1">
      <c r="A185" s="35"/>
      <c r="B185" s="64" t="s">
        <v>159</v>
      </c>
      <c r="C185" s="65" t="s">
        <v>160</v>
      </c>
      <c r="D185" s="16"/>
      <c r="E185" s="69">
        <v>11.0</v>
      </c>
      <c r="F185" s="69">
        <v>10.0</v>
      </c>
      <c r="G185" s="69">
        <v>10.0</v>
      </c>
      <c r="H185" s="69">
        <v>12.0</v>
      </c>
      <c r="I185" s="69">
        <v>19.0</v>
      </c>
      <c r="J185" s="69">
        <v>17.0</v>
      </c>
      <c r="K185" s="69">
        <v>17.0</v>
      </c>
      <c r="L185" s="69">
        <v>13.0</v>
      </c>
      <c r="M185" s="69">
        <v>10.0</v>
      </c>
      <c r="N185" s="69">
        <v>7.0</v>
      </c>
      <c r="O185" s="69">
        <v>7.0</v>
      </c>
      <c r="P185" s="69">
        <v>12.0</v>
      </c>
      <c r="Q185" s="69">
        <v>10.0</v>
      </c>
      <c r="R185" s="69">
        <v>7.0</v>
      </c>
      <c r="S185" s="69">
        <v>8.0</v>
      </c>
      <c r="T185" s="69">
        <v>9.0</v>
      </c>
      <c r="U185" s="69">
        <v>20.0</v>
      </c>
      <c r="V185" s="69">
        <v>15.0</v>
      </c>
      <c r="W185" s="69">
        <v>19.0</v>
      </c>
      <c r="X185" s="69">
        <v>4.0</v>
      </c>
      <c r="Y185" s="69">
        <v>5.0</v>
      </c>
      <c r="Z185" s="69">
        <v>11.0</v>
      </c>
      <c r="AA185" s="69">
        <v>12.0</v>
      </c>
      <c r="AB185" s="69">
        <v>11.0</v>
      </c>
      <c r="AC185" s="69">
        <v>5.0</v>
      </c>
      <c r="AD185" s="69">
        <v>7.0</v>
      </c>
      <c r="AE185" s="69">
        <v>9.0</v>
      </c>
      <c r="AF185" s="69">
        <v>13.0</v>
      </c>
      <c r="AG185" s="69">
        <v>4.0</v>
      </c>
      <c r="AH185" s="69">
        <v>9.0</v>
      </c>
      <c r="AI185" s="69">
        <v>8.0</v>
      </c>
      <c r="AJ185" s="69">
        <v>7.0</v>
      </c>
      <c r="AK185" s="13">
        <f t="shared" si="51"/>
        <v>338</v>
      </c>
      <c r="AL185" s="5"/>
      <c r="AM185" s="5"/>
    </row>
    <row r="186" ht="12.75" customHeight="1">
      <c r="A186" s="41"/>
      <c r="B186" s="64" t="s">
        <v>161</v>
      </c>
      <c r="C186" s="65" t="s">
        <v>162</v>
      </c>
      <c r="D186" s="16"/>
      <c r="E186" s="13">
        <f t="shared" ref="E186:AJ186" si="52">SUM(E184:E185)</f>
        <v>196</v>
      </c>
      <c r="F186" s="13">
        <f t="shared" si="52"/>
        <v>215</v>
      </c>
      <c r="G186" s="13">
        <f t="shared" si="52"/>
        <v>208</v>
      </c>
      <c r="H186" s="13">
        <f t="shared" si="52"/>
        <v>247</v>
      </c>
      <c r="I186" s="13">
        <f t="shared" si="52"/>
        <v>206</v>
      </c>
      <c r="J186" s="13">
        <f t="shared" si="52"/>
        <v>228</v>
      </c>
      <c r="K186" s="13">
        <f t="shared" si="52"/>
        <v>214</v>
      </c>
      <c r="L186" s="13">
        <f t="shared" si="52"/>
        <v>201</v>
      </c>
      <c r="M186" s="13">
        <f t="shared" si="52"/>
        <v>236</v>
      </c>
      <c r="N186" s="13">
        <f t="shared" si="52"/>
        <v>203</v>
      </c>
      <c r="O186" s="13">
        <f t="shared" si="52"/>
        <v>227</v>
      </c>
      <c r="P186" s="13">
        <f t="shared" si="52"/>
        <v>239</v>
      </c>
      <c r="Q186" s="13">
        <f t="shared" si="52"/>
        <v>212</v>
      </c>
      <c r="R186" s="13">
        <f t="shared" si="52"/>
        <v>224</v>
      </c>
      <c r="S186" s="13">
        <f t="shared" si="52"/>
        <v>199</v>
      </c>
      <c r="T186" s="13">
        <f t="shared" si="52"/>
        <v>221</v>
      </c>
      <c r="U186" s="13">
        <f t="shared" si="52"/>
        <v>238</v>
      </c>
      <c r="V186" s="13">
        <f t="shared" si="52"/>
        <v>209</v>
      </c>
      <c r="W186" s="13">
        <f t="shared" si="52"/>
        <v>207</v>
      </c>
      <c r="X186" s="13">
        <f t="shared" si="52"/>
        <v>201</v>
      </c>
      <c r="Y186" s="13">
        <f t="shared" si="52"/>
        <v>186</v>
      </c>
      <c r="Z186" s="13">
        <f t="shared" si="52"/>
        <v>213</v>
      </c>
      <c r="AA186" s="13">
        <f t="shared" si="52"/>
        <v>217</v>
      </c>
      <c r="AB186" s="13">
        <f t="shared" si="52"/>
        <v>209</v>
      </c>
      <c r="AC186" s="13">
        <f t="shared" si="52"/>
        <v>179</v>
      </c>
      <c r="AD186" s="13">
        <f t="shared" si="52"/>
        <v>204</v>
      </c>
      <c r="AE186" s="13">
        <f t="shared" si="52"/>
        <v>209</v>
      </c>
      <c r="AF186" s="13">
        <f t="shared" si="52"/>
        <v>226</v>
      </c>
      <c r="AG186" s="13">
        <f t="shared" si="52"/>
        <v>217</v>
      </c>
      <c r="AH186" s="13">
        <f t="shared" si="52"/>
        <v>242</v>
      </c>
      <c r="AI186" s="13">
        <f t="shared" si="52"/>
        <v>207</v>
      </c>
      <c r="AJ186" s="13">
        <f t="shared" si="52"/>
        <v>233</v>
      </c>
      <c r="AK186" s="13">
        <f t="shared" si="51"/>
        <v>6873</v>
      </c>
      <c r="AL186" s="5"/>
      <c r="AM186" s="5"/>
    </row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9">
    <mergeCell ref="B73:D73"/>
    <mergeCell ref="C75:D75"/>
    <mergeCell ref="B83:D83"/>
    <mergeCell ref="C85:D85"/>
    <mergeCell ref="B93:D93"/>
    <mergeCell ref="C95:D95"/>
    <mergeCell ref="B97:D97"/>
    <mergeCell ref="C99:D99"/>
    <mergeCell ref="B101:D101"/>
    <mergeCell ref="C103:D103"/>
    <mergeCell ref="B111:D111"/>
    <mergeCell ref="C113:D113"/>
    <mergeCell ref="B115:D115"/>
    <mergeCell ref="C117:D117"/>
    <mergeCell ref="B129:D129"/>
    <mergeCell ref="C131:D131"/>
    <mergeCell ref="B136:D136"/>
    <mergeCell ref="C138:D138"/>
    <mergeCell ref="B146:D146"/>
    <mergeCell ref="C148:D148"/>
    <mergeCell ref="B156:D156"/>
    <mergeCell ref="B181:D181"/>
    <mergeCell ref="B183:D183"/>
    <mergeCell ref="C184:D184"/>
    <mergeCell ref="C185:D185"/>
    <mergeCell ref="C186:D186"/>
    <mergeCell ref="C158:D158"/>
    <mergeCell ref="B161:D161"/>
    <mergeCell ref="C163:D163"/>
    <mergeCell ref="B165:D165"/>
    <mergeCell ref="C167:D167"/>
    <mergeCell ref="B175:D175"/>
    <mergeCell ref="C177:D177"/>
    <mergeCell ref="B12:D12"/>
    <mergeCell ref="E12:AJ12"/>
    <mergeCell ref="AK12:A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D37"/>
    <mergeCell ref="B38:D38"/>
    <mergeCell ref="B39:C41"/>
    <mergeCell ref="A42:D42"/>
    <mergeCell ref="E42:AD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B53:D53"/>
    <mergeCell ref="C55:D55"/>
    <mergeCell ref="B63:D63"/>
    <mergeCell ref="C65:D65"/>
    <mergeCell ref="B125:D125"/>
    <mergeCell ref="C127:D127"/>
  </mergeCells>
  <conditionalFormatting sqref="E14:AJ15">
    <cfRule type="containsBlanks" dxfId="3" priority="1">
      <formula>LEN(TRIM(E14))=0</formula>
    </cfRule>
  </conditionalFormatting>
  <conditionalFormatting sqref="E19:AJ20">
    <cfRule type="containsBlanks" dxfId="3" priority="2">
      <formula>LEN(TRIM(E19))=0</formula>
    </cfRule>
  </conditionalFormatting>
  <conditionalFormatting sqref="E22:AJ23 E25:AJ26 E33:AJ33 E35:AJ35 E39:AJ40">
    <cfRule type="containsBlanks" dxfId="3" priority="3">
      <formula>LEN(TRIM(E22))=0</formula>
    </cfRule>
  </conditionalFormatting>
  <conditionalFormatting sqref="E30:AJ30">
    <cfRule type="expression" dxfId="0" priority="4">
      <formula>E30&lt;&gt;E47</formula>
    </cfRule>
  </conditionalFormatting>
  <conditionalFormatting sqref="E30:AJ30">
    <cfRule type="expression" dxfId="0" priority="5">
      <formula>E30&lt;&gt;E34</formula>
    </cfRule>
  </conditionalFormatting>
  <conditionalFormatting sqref="E34:AJ34">
    <cfRule type="expression" dxfId="1" priority="6">
      <formula>E30&lt;&gt;E34</formula>
    </cfRule>
  </conditionalFormatting>
  <conditionalFormatting sqref="E34:AJ34">
    <cfRule type="expression" dxfId="2" priority="7">
      <formula>E30=E34</formula>
    </cfRule>
  </conditionalFormatting>
  <conditionalFormatting sqref="E34:AJ34">
    <cfRule type="expression" dxfId="0" priority="8">
      <formula>E34&lt;&gt;E30</formula>
    </cfRule>
  </conditionalFormatting>
  <conditionalFormatting sqref="E34:AJ34">
    <cfRule type="expression" dxfId="0" priority="9">
      <formula>E34&lt;&gt;E64</formula>
    </cfRule>
  </conditionalFormatting>
  <conditionalFormatting sqref="E45:AJ52">
    <cfRule type="containsBlanks" dxfId="3" priority="10">
      <formula>LEN(TRIM(E45))=0</formula>
    </cfRule>
  </conditionalFormatting>
  <conditionalFormatting sqref="E55:AJ62">
    <cfRule type="containsBlanks" dxfId="3" priority="11">
      <formula>LEN(TRIM(E55))=0</formula>
    </cfRule>
  </conditionalFormatting>
  <conditionalFormatting sqref="E65:AJ72">
    <cfRule type="containsBlanks" dxfId="3" priority="12">
      <formula>LEN(TRIM(E65))=0</formula>
    </cfRule>
  </conditionalFormatting>
  <conditionalFormatting sqref="E75:AJ82">
    <cfRule type="containsBlanks" dxfId="3" priority="13">
      <formula>LEN(TRIM(E75))=0</formula>
    </cfRule>
  </conditionalFormatting>
  <conditionalFormatting sqref="E85:AJ92">
    <cfRule type="containsBlanks" dxfId="3" priority="14">
      <formula>LEN(TRIM(E85))=0</formula>
    </cfRule>
  </conditionalFormatting>
  <conditionalFormatting sqref="E95:AJ96">
    <cfRule type="containsBlanks" dxfId="3" priority="15">
      <formula>LEN(TRIM(E95))=0</formula>
    </cfRule>
  </conditionalFormatting>
  <conditionalFormatting sqref="E99:AJ100">
    <cfRule type="containsBlanks" dxfId="3" priority="16">
      <formula>LEN(TRIM(E99))=0</formula>
    </cfRule>
  </conditionalFormatting>
  <conditionalFormatting sqref="E103:AJ110">
    <cfRule type="containsBlanks" dxfId="3" priority="17">
      <formula>LEN(TRIM(E103))=0</formula>
    </cfRule>
  </conditionalFormatting>
  <conditionalFormatting sqref="E113:AJ114">
    <cfRule type="containsBlanks" dxfId="3" priority="18">
      <formula>LEN(TRIM(E113))=0</formula>
    </cfRule>
  </conditionalFormatting>
  <conditionalFormatting sqref="E117:AJ124">
    <cfRule type="containsBlanks" dxfId="3" priority="19">
      <formula>LEN(TRIM(E117))=0</formula>
    </cfRule>
  </conditionalFormatting>
  <conditionalFormatting sqref="E127:AJ128">
    <cfRule type="containsBlanks" dxfId="3" priority="20">
      <formula>LEN(TRIM(E127))=0</formula>
    </cfRule>
  </conditionalFormatting>
  <conditionalFormatting sqref="E131:AJ135">
    <cfRule type="containsBlanks" dxfId="3" priority="21">
      <formula>LEN(TRIM(E131))=0</formula>
    </cfRule>
  </conditionalFormatting>
  <conditionalFormatting sqref="E138:AJ145">
    <cfRule type="containsBlanks" dxfId="3" priority="22">
      <formula>LEN(TRIM(E138))=0</formula>
    </cfRule>
  </conditionalFormatting>
  <conditionalFormatting sqref="E148:AJ155">
    <cfRule type="containsBlanks" dxfId="3" priority="23">
      <formula>LEN(TRIM(E148))=0</formula>
    </cfRule>
  </conditionalFormatting>
  <conditionalFormatting sqref="E158:AJ160">
    <cfRule type="containsBlanks" dxfId="3" priority="24">
      <formula>LEN(TRIM(E158))=0</formula>
    </cfRule>
  </conditionalFormatting>
  <conditionalFormatting sqref="E163:AJ164">
    <cfRule type="containsBlanks" dxfId="3" priority="25">
      <formula>LEN(TRIM(E163))=0</formula>
    </cfRule>
  </conditionalFormatting>
  <conditionalFormatting sqref="E167:AJ174">
    <cfRule type="containsBlanks" dxfId="3" priority="26">
      <formula>LEN(TRIM(E167))=0</formula>
    </cfRule>
  </conditionalFormatting>
  <conditionalFormatting sqref="E177:AJ180">
    <cfRule type="containsBlanks" dxfId="3" priority="27">
      <formula>LEN(TRIM(E177))=0</formula>
    </cfRule>
  </conditionalFormatting>
  <conditionalFormatting sqref="E184:AJ185">
    <cfRule type="containsBlanks" dxfId="3" priority="28">
      <formula>LEN(TRIM(E184))=0</formula>
    </cfRule>
  </conditionalFormatting>
  <conditionalFormatting sqref="E186:AJ186">
    <cfRule type="expression" dxfId="0" priority="29">
      <formula>E186&lt;&gt;#REF!</formula>
    </cfRule>
  </conditionalFormatting>
  <conditionalFormatting sqref="E186:AJ186">
    <cfRule type="expression" dxfId="1" priority="30">
      <formula>#REF!&lt;&gt;E186</formula>
    </cfRule>
  </conditionalFormatting>
  <conditionalFormatting sqref="E186:AJ186">
    <cfRule type="expression" dxfId="2" priority="31">
      <formula>#REF!=E186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3.29"/>
    <col customWidth="1" min="1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163</v>
      </c>
      <c r="D9" s="8" t="s">
        <v>213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165</v>
      </c>
      <c r="F13" s="13" t="s">
        <v>166</v>
      </c>
      <c r="G13" s="13" t="s">
        <v>167</v>
      </c>
      <c r="H13" s="13" t="s">
        <v>168</v>
      </c>
      <c r="I13" s="13" t="s">
        <v>169</v>
      </c>
      <c r="J13" s="13" t="s">
        <v>170</v>
      </c>
      <c r="K13" s="13" t="s">
        <v>171</v>
      </c>
      <c r="L13" s="13" t="s">
        <v>172</v>
      </c>
      <c r="M13" s="13" t="s">
        <v>173</v>
      </c>
      <c r="N13" s="13" t="s">
        <v>174</v>
      </c>
      <c r="O13" s="36"/>
    </row>
    <row r="14" ht="12.75" customHeight="1">
      <c r="A14" s="18"/>
      <c r="B14" s="22" t="s">
        <v>11</v>
      </c>
      <c r="C14" s="23"/>
      <c r="D14" s="19" t="s">
        <v>12</v>
      </c>
      <c r="E14" s="69">
        <v>147.0</v>
      </c>
      <c r="F14" s="69">
        <v>122.0</v>
      </c>
      <c r="G14" s="69">
        <v>126.0</v>
      </c>
      <c r="H14" s="69">
        <v>132.0</v>
      </c>
      <c r="I14" s="69">
        <v>134.0</v>
      </c>
      <c r="J14" s="69">
        <v>128.0</v>
      </c>
      <c r="K14" s="69">
        <v>123.0</v>
      </c>
      <c r="L14" s="69">
        <v>106.0</v>
      </c>
      <c r="M14" s="69">
        <v>105.0</v>
      </c>
      <c r="N14" s="69">
        <v>122.0</v>
      </c>
      <c r="O14" s="13">
        <f t="shared" ref="O14:O16" si="1">SUM(E14:N14)</f>
        <v>1245</v>
      </c>
    </row>
    <row r="15" ht="12.75" customHeight="1">
      <c r="A15" s="18"/>
      <c r="B15" s="26"/>
      <c r="C15" s="27"/>
      <c r="D15" s="19" t="s">
        <v>13</v>
      </c>
      <c r="E15" s="69">
        <v>146.0</v>
      </c>
      <c r="F15" s="69">
        <v>147.0</v>
      </c>
      <c r="G15" s="69">
        <v>135.0</v>
      </c>
      <c r="H15" s="69">
        <v>140.0</v>
      </c>
      <c r="I15" s="69">
        <v>111.0</v>
      </c>
      <c r="J15" s="69">
        <v>127.0</v>
      </c>
      <c r="K15" s="69">
        <v>140.0</v>
      </c>
      <c r="L15" s="69">
        <v>105.0</v>
      </c>
      <c r="M15" s="69">
        <v>108.0</v>
      </c>
      <c r="N15" s="69">
        <v>134.0</v>
      </c>
      <c r="O15" s="13">
        <f t="shared" si="1"/>
        <v>1293</v>
      </c>
    </row>
    <row r="16" ht="12.75" customHeight="1">
      <c r="A16" s="25"/>
      <c r="B16" s="21"/>
      <c r="C16" s="28"/>
      <c r="D16" s="13" t="s">
        <v>14</v>
      </c>
      <c r="E16" s="13">
        <f t="shared" ref="E16:N16" si="2">SUM(E14:E15)</f>
        <v>293</v>
      </c>
      <c r="F16" s="13">
        <f t="shared" si="2"/>
        <v>269</v>
      </c>
      <c r="G16" s="13">
        <f t="shared" si="2"/>
        <v>261</v>
      </c>
      <c r="H16" s="13">
        <f t="shared" si="2"/>
        <v>272</v>
      </c>
      <c r="I16" s="13">
        <f t="shared" si="2"/>
        <v>245</v>
      </c>
      <c r="J16" s="13">
        <f t="shared" si="2"/>
        <v>255</v>
      </c>
      <c r="K16" s="13">
        <f t="shared" si="2"/>
        <v>263</v>
      </c>
      <c r="L16" s="13">
        <f t="shared" si="2"/>
        <v>211</v>
      </c>
      <c r="M16" s="13">
        <f t="shared" si="2"/>
        <v>213</v>
      </c>
      <c r="N16" s="13">
        <f t="shared" si="2"/>
        <v>256</v>
      </c>
      <c r="O16" s="13">
        <f t="shared" si="1"/>
        <v>2538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0"/>
      <c r="O17" s="71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0"/>
      <c r="O18" s="71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69">
        <v>111.0</v>
      </c>
      <c r="F19" s="69">
        <v>89.0</v>
      </c>
      <c r="G19" s="69">
        <v>94.0</v>
      </c>
      <c r="H19" s="69">
        <v>89.0</v>
      </c>
      <c r="I19" s="69">
        <v>94.0</v>
      </c>
      <c r="J19" s="69">
        <v>97.0</v>
      </c>
      <c r="K19" s="69">
        <v>84.0</v>
      </c>
      <c r="L19" s="69">
        <v>71.0</v>
      </c>
      <c r="M19" s="69">
        <v>68.0</v>
      </c>
      <c r="N19" s="69">
        <v>70.0</v>
      </c>
      <c r="O19" s="13">
        <f t="shared" ref="O19:O30" si="3">SUM(E19:N19)</f>
        <v>867</v>
      </c>
    </row>
    <row r="20" ht="12.75" customHeight="1">
      <c r="A20" s="33"/>
      <c r="B20" s="27"/>
      <c r="C20" s="34"/>
      <c r="D20" s="19" t="s">
        <v>13</v>
      </c>
      <c r="E20" s="69">
        <v>118.0</v>
      </c>
      <c r="F20" s="69">
        <v>113.0</v>
      </c>
      <c r="G20" s="69">
        <v>106.0</v>
      </c>
      <c r="H20" s="69">
        <v>96.0</v>
      </c>
      <c r="I20" s="69">
        <v>80.0</v>
      </c>
      <c r="J20" s="69">
        <v>97.0</v>
      </c>
      <c r="K20" s="69">
        <v>96.0</v>
      </c>
      <c r="L20" s="69">
        <v>86.0</v>
      </c>
      <c r="M20" s="69">
        <v>71.0</v>
      </c>
      <c r="N20" s="69">
        <v>92.0</v>
      </c>
      <c r="O20" s="13">
        <f t="shared" si="3"/>
        <v>955</v>
      </c>
    </row>
    <row r="21" ht="12.75" customHeight="1">
      <c r="A21" s="35"/>
      <c r="B21" s="28"/>
      <c r="C21" s="36"/>
      <c r="D21" s="13" t="s">
        <v>14</v>
      </c>
      <c r="E21" s="13">
        <f t="shared" ref="E21:N21" si="4">SUM(E19:E20)</f>
        <v>229</v>
      </c>
      <c r="F21" s="13">
        <f t="shared" si="4"/>
        <v>202</v>
      </c>
      <c r="G21" s="13">
        <f t="shared" si="4"/>
        <v>200</v>
      </c>
      <c r="H21" s="13">
        <f t="shared" si="4"/>
        <v>185</v>
      </c>
      <c r="I21" s="13">
        <f t="shared" si="4"/>
        <v>174</v>
      </c>
      <c r="J21" s="13">
        <f t="shared" si="4"/>
        <v>194</v>
      </c>
      <c r="K21" s="13">
        <f t="shared" si="4"/>
        <v>180</v>
      </c>
      <c r="L21" s="13">
        <f t="shared" si="4"/>
        <v>157</v>
      </c>
      <c r="M21" s="13">
        <f t="shared" si="4"/>
        <v>139</v>
      </c>
      <c r="N21" s="13">
        <f t="shared" si="4"/>
        <v>162</v>
      </c>
      <c r="O21" s="13">
        <f t="shared" si="3"/>
        <v>1822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69">
        <v>0.0</v>
      </c>
      <c r="F22" s="69">
        <v>0.0</v>
      </c>
      <c r="G22" s="69">
        <v>0.0</v>
      </c>
      <c r="H22" s="69">
        <v>0.0</v>
      </c>
      <c r="I22" s="69">
        <v>0.0</v>
      </c>
      <c r="J22" s="69">
        <v>0.0</v>
      </c>
      <c r="K22" s="69">
        <v>0.0</v>
      </c>
      <c r="L22" s="69">
        <v>0.0</v>
      </c>
      <c r="M22" s="69">
        <v>0.0</v>
      </c>
      <c r="N22" s="69">
        <v>0.0</v>
      </c>
      <c r="O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69">
        <v>0.0</v>
      </c>
      <c r="F23" s="69">
        <v>0.0</v>
      </c>
      <c r="G23" s="69">
        <v>0.0</v>
      </c>
      <c r="H23" s="69">
        <v>0.0</v>
      </c>
      <c r="I23" s="69">
        <v>0.0</v>
      </c>
      <c r="J23" s="69">
        <v>0.0</v>
      </c>
      <c r="K23" s="69">
        <v>0.0</v>
      </c>
      <c r="L23" s="69">
        <v>0.0</v>
      </c>
      <c r="M23" s="69">
        <v>0.0</v>
      </c>
      <c r="N23" s="69">
        <v>0.0</v>
      </c>
      <c r="O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N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69">
        <v>1.0</v>
      </c>
      <c r="F25" s="69">
        <v>2.0</v>
      </c>
      <c r="G25" s="69">
        <v>0.0</v>
      </c>
      <c r="H25" s="69">
        <v>1.0</v>
      </c>
      <c r="I25" s="69">
        <v>4.0</v>
      </c>
      <c r="J25" s="69">
        <v>1.0</v>
      </c>
      <c r="K25" s="69">
        <v>1.0</v>
      </c>
      <c r="L25" s="69">
        <v>0.0</v>
      </c>
      <c r="M25" s="69">
        <v>0.0</v>
      </c>
      <c r="N25" s="69">
        <v>0.0</v>
      </c>
      <c r="O25" s="13">
        <f t="shared" si="3"/>
        <v>10</v>
      </c>
    </row>
    <row r="26" ht="12.75" customHeight="1">
      <c r="A26" s="33"/>
      <c r="B26" s="27"/>
      <c r="C26" s="34"/>
      <c r="D26" s="19" t="s">
        <v>13</v>
      </c>
      <c r="E26" s="69">
        <v>2.0</v>
      </c>
      <c r="F26" s="69">
        <v>0.0</v>
      </c>
      <c r="G26" s="69">
        <v>0.0</v>
      </c>
      <c r="H26" s="69">
        <v>1.0</v>
      </c>
      <c r="I26" s="69">
        <v>0.0</v>
      </c>
      <c r="J26" s="69">
        <v>0.0</v>
      </c>
      <c r="K26" s="69">
        <v>2.0</v>
      </c>
      <c r="L26" s="69">
        <v>0.0</v>
      </c>
      <c r="M26" s="69">
        <v>0.0</v>
      </c>
      <c r="N26" s="69">
        <v>0.0</v>
      </c>
      <c r="O26" s="13">
        <f t="shared" si="3"/>
        <v>5</v>
      </c>
    </row>
    <row r="27" ht="12.75" customHeight="1">
      <c r="A27" s="35"/>
      <c r="B27" s="28"/>
      <c r="C27" s="36"/>
      <c r="D27" s="13" t="s">
        <v>14</v>
      </c>
      <c r="E27" s="13">
        <f t="shared" ref="E27:N27" si="6">SUM(E25:E26)</f>
        <v>3</v>
      </c>
      <c r="F27" s="13">
        <f t="shared" si="6"/>
        <v>2</v>
      </c>
      <c r="G27" s="13">
        <f t="shared" si="6"/>
        <v>0</v>
      </c>
      <c r="H27" s="13">
        <f t="shared" si="6"/>
        <v>2</v>
      </c>
      <c r="I27" s="13">
        <f t="shared" si="6"/>
        <v>4</v>
      </c>
      <c r="J27" s="13">
        <f t="shared" si="6"/>
        <v>1</v>
      </c>
      <c r="K27" s="13">
        <f t="shared" si="6"/>
        <v>3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3"/>
        <v>15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N28" si="7">SUM(E19,E22,E25)</f>
        <v>112</v>
      </c>
      <c r="F28" s="13">
        <f t="shared" si="7"/>
        <v>91</v>
      </c>
      <c r="G28" s="13">
        <f t="shared" si="7"/>
        <v>94</v>
      </c>
      <c r="H28" s="13">
        <f t="shared" si="7"/>
        <v>90</v>
      </c>
      <c r="I28" s="13">
        <f t="shared" si="7"/>
        <v>98</v>
      </c>
      <c r="J28" s="13">
        <f t="shared" si="7"/>
        <v>98</v>
      </c>
      <c r="K28" s="13">
        <f t="shared" si="7"/>
        <v>85</v>
      </c>
      <c r="L28" s="13">
        <f t="shared" si="7"/>
        <v>71</v>
      </c>
      <c r="M28" s="13">
        <f t="shared" si="7"/>
        <v>68</v>
      </c>
      <c r="N28" s="13">
        <f t="shared" si="7"/>
        <v>70</v>
      </c>
      <c r="O28" s="13">
        <f t="shared" si="3"/>
        <v>877</v>
      </c>
    </row>
    <row r="29" ht="12.75" customHeight="1">
      <c r="A29" s="35"/>
      <c r="B29" s="27"/>
      <c r="C29" s="34"/>
      <c r="D29" s="13" t="s">
        <v>13</v>
      </c>
      <c r="E29" s="13">
        <f t="shared" ref="E29:N29" si="8">SUM(E20,E23,E26)</f>
        <v>120</v>
      </c>
      <c r="F29" s="13">
        <f t="shared" si="8"/>
        <v>113</v>
      </c>
      <c r="G29" s="13">
        <f t="shared" si="8"/>
        <v>106</v>
      </c>
      <c r="H29" s="13">
        <f t="shared" si="8"/>
        <v>97</v>
      </c>
      <c r="I29" s="13">
        <f t="shared" si="8"/>
        <v>80</v>
      </c>
      <c r="J29" s="13">
        <f t="shared" si="8"/>
        <v>97</v>
      </c>
      <c r="K29" s="13">
        <f t="shared" si="8"/>
        <v>98</v>
      </c>
      <c r="L29" s="13">
        <f t="shared" si="8"/>
        <v>86</v>
      </c>
      <c r="M29" s="13">
        <f t="shared" si="8"/>
        <v>71</v>
      </c>
      <c r="N29" s="13">
        <f t="shared" si="8"/>
        <v>92</v>
      </c>
      <c r="O29" s="13">
        <f t="shared" si="3"/>
        <v>960</v>
      </c>
    </row>
    <row r="30" ht="12.75" customHeight="1">
      <c r="A30" s="35"/>
      <c r="B30" s="28"/>
      <c r="C30" s="36"/>
      <c r="D30" s="13" t="s">
        <v>14</v>
      </c>
      <c r="E30" s="13">
        <f t="shared" ref="E30:N30" si="9">SUM(E28:E29)</f>
        <v>232</v>
      </c>
      <c r="F30" s="13">
        <f t="shared" si="9"/>
        <v>204</v>
      </c>
      <c r="G30" s="13">
        <f t="shared" si="9"/>
        <v>200</v>
      </c>
      <c r="H30" s="13">
        <f t="shared" si="9"/>
        <v>187</v>
      </c>
      <c r="I30" s="13">
        <f t="shared" si="9"/>
        <v>178</v>
      </c>
      <c r="J30" s="13">
        <f t="shared" si="9"/>
        <v>195</v>
      </c>
      <c r="K30" s="13">
        <f t="shared" si="9"/>
        <v>183</v>
      </c>
      <c r="L30" s="13">
        <f t="shared" si="9"/>
        <v>157</v>
      </c>
      <c r="M30" s="13">
        <f t="shared" si="9"/>
        <v>139</v>
      </c>
      <c r="N30" s="13">
        <f t="shared" si="9"/>
        <v>162</v>
      </c>
      <c r="O30" s="13">
        <f t="shared" si="3"/>
        <v>1837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0"/>
      <c r="O31" s="71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2"/>
      <c r="O32" s="71"/>
    </row>
    <row r="33" ht="12.75" customHeight="1">
      <c r="A33" s="19">
        <v>1.0</v>
      </c>
      <c r="B33" s="20" t="s">
        <v>27</v>
      </c>
      <c r="C33" s="15"/>
      <c r="D33" s="16"/>
      <c r="E33" s="69">
        <v>299.0</v>
      </c>
      <c r="F33" s="69">
        <v>275.0</v>
      </c>
      <c r="G33" s="69">
        <v>267.0</v>
      </c>
      <c r="H33" s="69">
        <v>278.0</v>
      </c>
      <c r="I33" s="69">
        <v>250.0</v>
      </c>
      <c r="J33" s="69">
        <v>263.0</v>
      </c>
      <c r="K33" s="69">
        <v>270.0</v>
      </c>
      <c r="L33" s="69">
        <v>216.0</v>
      </c>
      <c r="M33" s="69">
        <v>218.0</v>
      </c>
      <c r="N33" s="69">
        <v>262.0</v>
      </c>
      <c r="O33" s="13">
        <f t="shared" ref="O33:O36" si="10">SUM(E33:N33)</f>
        <v>2598</v>
      </c>
    </row>
    <row r="34" ht="12.75" customHeight="1">
      <c r="A34" s="19">
        <v>2.0</v>
      </c>
      <c r="B34" s="20" t="s">
        <v>28</v>
      </c>
      <c r="C34" s="15"/>
      <c r="D34" s="16"/>
      <c r="E34" s="73">
        <v>232.0</v>
      </c>
      <c r="F34" s="73">
        <v>204.0</v>
      </c>
      <c r="G34" s="73">
        <v>200.0</v>
      </c>
      <c r="H34" s="73">
        <v>187.0</v>
      </c>
      <c r="I34" s="73">
        <v>178.0</v>
      </c>
      <c r="J34" s="73">
        <v>195.0</v>
      </c>
      <c r="K34" s="73">
        <v>183.0</v>
      </c>
      <c r="L34" s="73">
        <v>157.0</v>
      </c>
      <c r="M34" s="73">
        <v>139.0</v>
      </c>
      <c r="N34" s="73">
        <v>162.0</v>
      </c>
      <c r="O34" s="13">
        <f t="shared" si="10"/>
        <v>1837</v>
      </c>
    </row>
    <row r="35" ht="12.75" customHeight="1">
      <c r="A35" s="19">
        <v>3.0</v>
      </c>
      <c r="B35" s="20" t="s">
        <v>29</v>
      </c>
      <c r="C35" s="15"/>
      <c r="D35" s="16"/>
      <c r="E35" s="69">
        <v>0.0</v>
      </c>
      <c r="F35" s="69">
        <v>0.0</v>
      </c>
      <c r="G35" s="69">
        <v>0.0</v>
      </c>
      <c r="H35" s="69">
        <v>0.0</v>
      </c>
      <c r="I35" s="69">
        <v>1.0</v>
      </c>
      <c r="J35" s="69">
        <v>0.0</v>
      </c>
      <c r="K35" s="69">
        <v>1.0</v>
      </c>
      <c r="L35" s="69">
        <v>1.0</v>
      </c>
      <c r="M35" s="69">
        <v>1.0</v>
      </c>
      <c r="N35" s="69">
        <v>0.0</v>
      </c>
      <c r="O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N36" si="11">E33-(E34+E35)</f>
        <v>67</v>
      </c>
      <c r="F36" s="13">
        <f t="shared" si="11"/>
        <v>71</v>
      </c>
      <c r="G36" s="13">
        <f t="shared" si="11"/>
        <v>67</v>
      </c>
      <c r="H36" s="13">
        <f t="shared" si="11"/>
        <v>91</v>
      </c>
      <c r="I36" s="13">
        <f t="shared" si="11"/>
        <v>71</v>
      </c>
      <c r="J36" s="13">
        <f t="shared" si="11"/>
        <v>68</v>
      </c>
      <c r="K36" s="13">
        <f t="shared" si="11"/>
        <v>86</v>
      </c>
      <c r="L36" s="13">
        <f t="shared" si="11"/>
        <v>58</v>
      </c>
      <c r="M36" s="13">
        <f t="shared" si="11"/>
        <v>78</v>
      </c>
      <c r="N36" s="13">
        <f t="shared" si="11"/>
        <v>100</v>
      </c>
      <c r="O36" s="13">
        <f t="shared" si="10"/>
        <v>757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0"/>
      <c r="O37" s="71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2"/>
      <c r="O38" s="71"/>
    </row>
    <row r="39" ht="12.75" customHeight="1">
      <c r="A39" s="30"/>
      <c r="B39" s="43" t="s">
        <v>33</v>
      </c>
      <c r="C39" s="23"/>
      <c r="D39" s="19" t="s">
        <v>12</v>
      </c>
      <c r="E39" s="69">
        <v>0.0</v>
      </c>
      <c r="F39" s="69">
        <v>1.0</v>
      </c>
      <c r="G39" s="69">
        <v>0.0</v>
      </c>
      <c r="H39" s="69">
        <v>0.0</v>
      </c>
      <c r="I39" s="69">
        <v>0.0</v>
      </c>
      <c r="J39" s="69">
        <v>0.0</v>
      </c>
      <c r="K39" s="69">
        <v>0.0</v>
      </c>
      <c r="L39" s="69">
        <v>0.0</v>
      </c>
      <c r="M39" s="69">
        <v>0.0</v>
      </c>
      <c r="N39" s="69">
        <v>0.0</v>
      </c>
      <c r="O39" s="13">
        <f t="shared" ref="O39:O41" si="12">SUM(E39:N39)</f>
        <v>1</v>
      </c>
    </row>
    <row r="40" ht="12.75" customHeight="1">
      <c r="A40" s="33"/>
      <c r="C40" s="27"/>
      <c r="D40" s="19" t="s">
        <v>13</v>
      </c>
      <c r="E40" s="69">
        <v>0.0</v>
      </c>
      <c r="F40" s="69">
        <v>2.0</v>
      </c>
      <c r="G40" s="69">
        <v>0.0</v>
      </c>
      <c r="H40" s="69">
        <v>0.0</v>
      </c>
      <c r="I40" s="69">
        <v>0.0</v>
      </c>
      <c r="J40" s="69">
        <v>0.0</v>
      </c>
      <c r="K40" s="69">
        <v>0.0</v>
      </c>
      <c r="L40" s="69">
        <v>0.0</v>
      </c>
      <c r="M40" s="69">
        <v>0.0</v>
      </c>
      <c r="N40" s="69">
        <v>0.0</v>
      </c>
      <c r="O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N41" si="13">SUM(E39:E40)</f>
        <v>0</v>
      </c>
      <c r="F41" s="13">
        <f t="shared" si="13"/>
        <v>3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0"/>
      <c r="O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2"/>
      <c r="O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0"/>
      <c r="O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69">
        <v>5.0</v>
      </c>
      <c r="F45" s="69">
        <v>3.0</v>
      </c>
      <c r="G45" s="69">
        <v>1.0</v>
      </c>
      <c r="H45" s="69">
        <v>5.0</v>
      </c>
      <c r="I45" s="69">
        <v>2.0</v>
      </c>
      <c r="J45" s="69">
        <v>3.0</v>
      </c>
      <c r="K45" s="69">
        <v>4.0</v>
      </c>
      <c r="L45" s="69">
        <v>3.0</v>
      </c>
      <c r="M45" s="69">
        <v>4.0</v>
      </c>
      <c r="N45" s="69">
        <v>3.0</v>
      </c>
      <c r="O45" s="13">
        <f t="shared" ref="O45:O53" si="14">SUM(E45:N45)</f>
        <v>33</v>
      </c>
    </row>
    <row r="46" ht="12.75" customHeight="1">
      <c r="A46" s="30" t="s">
        <v>39</v>
      </c>
      <c r="B46" s="49"/>
      <c r="C46" s="50" t="s">
        <v>40</v>
      </c>
      <c r="D46" s="51"/>
      <c r="E46" s="69">
        <v>5.0</v>
      </c>
      <c r="F46" s="69">
        <v>8.0</v>
      </c>
      <c r="G46" s="69">
        <v>6.0</v>
      </c>
      <c r="H46" s="69">
        <v>9.0</v>
      </c>
      <c r="I46" s="69">
        <v>17.0</v>
      </c>
      <c r="J46" s="69">
        <v>1.0</v>
      </c>
      <c r="K46" s="69">
        <v>4.0</v>
      </c>
      <c r="L46" s="69">
        <v>4.0</v>
      </c>
      <c r="M46" s="69">
        <v>0.0</v>
      </c>
      <c r="N46" s="69">
        <v>4.0</v>
      </c>
      <c r="O46" s="13">
        <f t="shared" si="14"/>
        <v>58</v>
      </c>
    </row>
    <row r="47" ht="12.75" customHeight="1">
      <c r="A47" s="18"/>
      <c r="B47" s="49"/>
      <c r="C47" s="50" t="s">
        <v>41</v>
      </c>
      <c r="D47" s="51"/>
      <c r="E47" s="69">
        <v>31.0</v>
      </c>
      <c r="F47" s="69">
        <v>42.0</v>
      </c>
      <c r="G47" s="69">
        <v>13.0</v>
      </c>
      <c r="H47" s="69">
        <v>29.0</v>
      </c>
      <c r="I47" s="69">
        <v>13.0</v>
      </c>
      <c r="J47" s="69">
        <v>13.0</v>
      </c>
      <c r="K47" s="69">
        <v>18.0</v>
      </c>
      <c r="L47" s="69">
        <v>38.0</v>
      </c>
      <c r="M47" s="69">
        <v>21.0</v>
      </c>
      <c r="N47" s="69">
        <v>5.0</v>
      </c>
      <c r="O47" s="13">
        <f t="shared" si="14"/>
        <v>223</v>
      </c>
    </row>
    <row r="48" ht="12.75" customHeight="1">
      <c r="A48" s="18"/>
      <c r="B48" s="49"/>
      <c r="C48" s="50" t="s">
        <v>42</v>
      </c>
      <c r="D48" s="51"/>
      <c r="E48" s="69">
        <v>1.0</v>
      </c>
      <c r="F48" s="69">
        <v>1.0</v>
      </c>
      <c r="G48" s="69">
        <v>2.0</v>
      </c>
      <c r="H48" s="69">
        <v>0.0</v>
      </c>
      <c r="I48" s="69">
        <v>3.0</v>
      </c>
      <c r="J48" s="69">
        <v>2.0</v>
      </c>
      <c r="K48" s="69">
        <v>2.0</v>
      </c>
      <c r="L48" s="69">
        <v>0.0</v>
      </c>
      <c r="M48" s="69">
        <v>1.0</v>
      </c>
      <c r="N48" s="69">
        <v>0.0</v>
      </c>
      <c r="O48" s="13">
        <f t="shared" si="14"/>
        <v>12</v>
      </c>
    </row>
    <row r="49" ht="12.75" customHeight="1">
      <c r="A49" s="18"/>
      <c r="B49" s="49"/>
      <c r="C49" s="50" t="s">
        <v>43</v>
      </c>
      <c r="D49" s="51"/>
      <c r="E49" s="69">
        <v>1.0</v>
      </c>
      <c r="F49" s="69">
        <v>0.0</v>
      </c>
      <c r="G49" s="69">
        <v>0.0</v>
      </c>
      <c r="H49" s="69">
        <v>0.0</v>
      </c>
      <c r="I49" s="69">
        <v>0.0</v>
      </c>
      <c r="J49" s="69">
        <v>0.0</v>
      </c>
      <c r="K49" s="69">
        <v>0.0</v>
      </c>
      <c r="L49" s="69">
        <v>0.0</v>
      </c>
      <c r="M49" s="69">
        <v>0.0</v>
      </c>
      <c r="N49" s="69">
        <v>0.0</v>
      </c>
      <c r="O49" s="13">
        <f t="shared" si="14"/>
        <v>1</v>
      </c>
    </row>
    <row r="50" ht="12.75" customHeight="1">
      <c r="A50" s="18"/>
      <c r="B50" s="49"/>
      <c r="C50" s="50" t="s">
        <v>44</v>
      </c>
      <c r="D50" s="51"/>
      <c r="E50" s="69">
        <v>0.0</v>
      </c>
      <c r="F50" s="69">
        <v>0.0</v>
      </c>
      <c r="G50" s="69">
        <v>0.0</v>
      </c>
      <c r="H50" s="69">
        <v>0.0</v>
      </c>
      <c r="I50" s="69">
        <v>1.0</v>
      </c>
      <c r="J50" s="69">
        <v>1.0</v>
      </c>
      <c r="K50" s="69">
        <v>1.0</v>
      </c>
      <c r="L50" s="69">
        <v>0.0</v>
      </c>
      <c r="M50" s="69">
        <v>0.0</v>
      </c>
      <c r="N50" s="69">
        <v>0.0</v>
      </c>
      <c r="O50" s="13">
        <f t="shared" si="14"/>
        <v>3</v>
      </c>
    </row>
    <row r="51" ht="12.75" customHeight="1">
      <c r="A51" s="18"/>
      <c r="B51" s="49"/>
      <c r="C51" s="50" t="s">
        <v>45</v>
      </c>
      <c r="D51" s="51"/>
      <c r="E51" s="69">
        <v>0.0</v>
      </c>
      <c r="F51" s="69">
        <v>0.0</v>
      </c>
      <c r="G51" s="69">
        <v>0.0</v>
      </c>
      <c r="H51" s="69">
        <v>1.0</v>
      </c>
      <c r="I51" s="69">
        <v>0.0</v>
      </c>
      <c r="J51" s="69">
        <v>0.0</v>
      </c>
      <c r="K51" s="69">
        <v>1.0</v>
      </c>
      <c r="L51" s="69">
        <v>0.0</v>
      </c>
      <c r="M51" s="69">
        <v>0.0</v>
      </c>
      <c r="N51" s="69">
        <v>0.0</v>
      </c>
      <c r="O51" s="13">
        <f t="shared" si="14"/>
        <v>2</v>
      </c>
    </row>
    <row r="52" ht="12.75" customHeight="1">
      <c r="A52" s="18"/>
      <c r="B52" s="49"/>
      <c r="C52" s="50" t="s">
        <v>46</v>
      </c>
      <c r="D52" s="51"/>
      <c r="E52" s="69">
        <v>0.0</v>
      </c>
      <c r="F52" s="69">
        <v>1.0</v>
      </c>
      <c r="G52" s="69">
        <v>2.0</v>
      </c>
      <c r="H52" s="69">
        <v>2.0</v>
      </c>
      <c r="I52" s="69">
        <v>7.0</v>
      </c>
      <c r="J52" s="69">
        <v>0.0</v>
      </c>
      <c r="K52" s="69">
        <v>0.0</v>
      </c>
      <c r="L52" s="69">
        <v>2.0</v>
      </c>
      <c r="M52" s="69">
        <v>0.0</v>
      </c>
      <c r="N52" s="69">
        <v>11.0</v>
      </c>
      <c r="O52" s="13">
        <f t="shared" si="14"/>
        <v>25</v>
      </c>
    </row>
    <row r="53" ht="12.75" customHeight="1">
      <c r="A53" s="19" t="s">
        <v>15</v>
      </c>
      <c r="B53" s="47" t="s">
        <v>47</v>
      </c>
      <c r="C53" s="15"/>
      <c r="D53" s="16"/>
      <c r="E53" s="56">
        <f t="shared" ref="E53:N53" si="15">SUM(E45:E52)</f>
        <v>43</v>
      </c>
      <c r="F53" s="56">
        <f t="shared" si="15"/>
        <v>55</v>
      </c>
      <c r="G53" s="56">
        <f t="shared" si="15"/>
        <v>24</v>
      </c>
      <c r="H53" s="56">
        <f t="shared" si="15"/>
        <v>46</v>
      </c>
      <c r="I53" s="56">
        <f t="shared" si="15"/>
        <v>43</v>
      </c>
      <c r="J53" s="56">
        <f t="shared" si="15"/>
        <v>20</v>
      </c>
      <c r="K53" s="56">
        <f t="shared" si="15"/>
        <v>30</v>
      </c>
      <c r="L53" s="56">
        <f t="shared" si="15"/>
        <v>47</v>
      </c>
      <c r="M53" s="56">
        <f t="shared" si="15"/>
        <v>26</v>
      </c>
      <c r="N53" s="56">
        <f t="shared" si="15"/>
        <v>23</v>
      </c>
      <c r="O53" s="13">
        <f t="shared" si="14"/>
        <v>357</v>
      </c>
    </row>
    <row r="54" ht="12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13"/>
    </row>
    <row r="55" ht="15.0" customHeight="1">
      <c r="A55" s="30" t="s">
        <v>37</v>
      </c>
      <c r="B55" s="47" t="s">
        <v>19</v>
      </c>
      <c r="C55" s="48" t="s">
        <v>48</v>
      </c>
      <c r="D55" s="16"/>
      <c r="E55" s="69">
        <v>10.0</v>
      </c>
      <c r="F55" s="69">
        <v>6.0</v>
      </c>
      <c r="G55" s="69">
        <v>4.0</v>
      </c>
      <c r="H55" s="69">
        <v>6.0</v>
      </c>
      <c r="I55" s="69">
        <v>11.0</v>
      </c>
      <c r="J55" s="69">
        <v>5.0</v>
      </c>
      <c r="K55" s="69">
        <v>11.0</v>
      </c>
      <c r="L55" s="69">
        <v>5.0</v>
      </c>
      <c r="M55" s="69">
        <v>12.0</v>
      </c>
      <c r="N55" s="69">
        <v>8.0</v>
      </c>
      <c r="O55" s="13">
        <f t="shared" ref="O55:O63" si="16">SUM(E55:N55)</f>
        <v>78</v>
      </c>
    </row>
    <row r="56" ht="12.75" customHeight="1">
      <c r="A56" s="30" t="s">
        <v>39</v>
      </c>
      <c r="B56" s="49"/>
      <c r="C56" s="50" t="s">
        <v>49</v>
      </c>
      <c r="D56" s="51"/>
      <c r="E56" s="69">
        <v>35.0</v>
      </c>
      <c r="F56" s="69">
        <v>14.0</v>
      </c>
      <c r="G56" s="69">
        <v>0.0</v>
      </c>
      <c r="H56" s="69">
        <v>1.0</v>
      </c>
      <c r="I56" s="69">
        <v>6.0</v>
      </c>
      <c r="J56" s="69">
        <v>14.0</v>
      </c>
      <c r="K56" s="69">
        <v>6.0</v>
      </c>
      <c r="L56" s="69">
        <v>5.0</v>
      </c>
      <c r="M56" s="69">
        <v>12.0</v>
      </c>
      <c r="N56" s="69">
        <v>1.0</v>
      </c>
      <c r="O56" s="13">
        <f t="shared" si="16"/>
        <v>94</v>
      </c>
    </row>
    <row r="57" ht="12.75" customHeight="1">
      <c r="A57" s="18"/>
      <c r="B57" s="49"/>
      <c r="C57" s="50" t="s">
        <v>50</v>
      </c>
      <c r="D57" s="51"/>
      <c r="E57" s="69">
        <v>3.0</v>
      </c>
      <c r="F57" s="69">
        <v>2.0</v>
      </c>
      <c r="G57" s="69">
        <v>0.0</v>
      </c>
      <c r="H57" s="69">
        <v>5.0</v>
      </c>
      <c r="I57" s="69">
        <v>1.0</v>
      </c>
      <c r="J57" s="69">
        <v>1.0</v>
      </c>
      <c r="K57" s="69">
        <v>1.0</v>
      </c>
      <c r="L57" s="69">
        <v>1.0</v>
      </c>
      <c r="M57" s="69">
        <v>2.0</v>
      </c>
      <c r="N57" s="69">
        <v>2.0</v>
      </c>
      <c r="O57" s="13">
        <f t="shared" si="16"/>
        <v>18</v>
      </c>
    </row>
    <row r="58" ht="12.75" customHeight="1">
      <c r="A58" s="18"/>
      <c r="B58" s="49"/>
      <c r="C58" s="50" t="s">
        <v>51</v>
      </c>
      <c r="D58" s="51"/>
      <c r="E58" s="69">
        <v>0.0</v>
      </c>
      <c r="F58" s="69">
        <v>0.0</v>
      </c>
      <c r="G58" s="69">
        <v>0.0</v>
      </c>
      <c r="H58" s="69">
        <v>0.0</v>
      </c>
      <c r="I58" s="69">
        <v>1.0</v>
      </c>
      <c r="J58" s="69">
        <v>2.0</v>
      </c>
      <c r="K58" s="69">
        <v>1.0</v>
      </c>
      <c r="L58" s="69">
        <v>0.0</v>
      </c>
      <c r="M58" s="69">
        <v>0.0</v>
      </c>
      <c r="N58" s="69">
        <v>1.0</v>
      </c>
      <c r="O58" s="13">
        <f t="shared" si="16"/>
        <v>5</v>
      </c>
    </row>
    <row r="59" ht="12.75" customHeight="1">
      <c r="A59" s="18"/>
      <c r="B59" s="49"/>
      <c r="C59" s="50" t="s">
        <v>52</v>
      </c>
      <c r="D59" s="51"/>
      <c r="E59" s="69">
        <v>0.0</v>
      </c>
      <c r="F59" s="69">
        <v>0.0</v>
      </c>
      <c r="G59" s="69">
        <v>0.0</v>
      </c>
      <c r="H59" s="69">
        <v>0.0</v>
      </c>
      <c r="I59" s="69">
        <v>0.0</v>
      </c>
      <c r="J59" s="69">
        <v>0.0</v>
      </c>
      <c r="K59" s="69">
        <v>1.0</v>
      </c>
      <c r="L59" s="69">
        <v>0.0</v>
      </c>
      <c r="M59" s="69">
        <v>1.0</v>
      </c>
      <c r="N59" s="69">
        <v>1.0</v>
      </c>
      <c r="O59" s="13">
        <f t="shared" si="16"/>
        <v>3</v>
      </c>
    </row>
    <row r="60" ht="12.75" customHeight="1">
      <c r="A60" s="18"/>
      <c r="B60" s="49"/>
      <c r="C60" s="50" t="s">
        <v>53</v>
      </c>
      <c r="D60" s="51"/>
      <c r="E60" s="69">
        <v>0.0</v>
      </c>
      <c r="F60" s="69">
        <v>0.0</v>
      </c>
      <c r="G60" s="69">
        <v>0.0</v>
      </c>
      <c r="H60" s="69">
        <v>1.0</v>
      </c>
      <c r="I60" s="69">
        <v>0.0</v>
      </c>
      <c r="J60" s="69">
        <v>0.0</v>
      </c>
      <c r="K60" s="69">
        <v>0.0</v>
      </c>
      <c r="L60" s="69">
        <v>1.0</v>
      </c>
      <c r="M60" s="69">
        <v>0.0</v>
      </c>
      <c r="N60" s="69">
        <v>0.0</v>
      </c>
      <c r="O60" s="13">
        <f t="shared" si="16"/>
        <v>2</v>
      </c>
    </row>
    <row r="61" ht="12.75" customHeight="1">
      <c r="A61" s="18"/>
      <c r="B61" s="49"/>
      <c r="C61" s="50" t="s">
        <v>54</v>
      </c>
      <c r="D61" s="51"/>
      <c r="E61" s="69">
        <v>0.0</v>
      </c>
      <c r="F61" s="69">
        <v>0.0</v>
      </c>
      <c r="G61" s="69">
        <v>0.0</v>
      </c>
      <c r="H61" s="69">
        <v>0.0</v>
      </c>
      <c r="I61" s="69">
        <v>0.0</v>
      </c>
      <c r="J61" s="69">
        <v>0.0</v>
      </c>
      <c r="K61" s="69">
        <v>0.0</v>
      </c>
      <c r="L61" s="69">
        <v>0.0</v>
      </c>
      <c r="M61" s="69">
        <v>1.0</v>
      </c>
      <c r="N61" s="69">
        <v>0.0</v>
      </c>
      <c r="O61" s="13">
        <f t="shared" si="16"/>
        <v>1</v>
      </c>
    </row>
    <row r="62" ht="12.75" customHeight="1">
      <c r="A62" s="18"/>
      <c r="B62" s="49"/>
      <c r="C62" s="50" t="s">
        <v>55</v>
      </c>
      <c r="D62" s="51"/>
      <c r="E62" s="69">
        <v>0.0</v>
      </c>
      <c r="F62" s="69">
        <v>0.0</v>
      </c>
      <c r="G62" s="69">
        <v>0.0</v>
      </c>
      <c r="H62" s="69">
        <v>1.0</v>
      </c>
      <c r="I62" s="69">
        <v>0.0</v>
      </c>
      <c r="J62" s="69">
        <v>0.0</v>
      </c>
      <c r="K62" s="69">
        <v>0.0</v>
      </c>
      <c r="L62" s="69">
        <v>0.0</v>
      </c>
      <c r="M62" s="69">
        <v>1.0</v>
      </c>
      <c r="N62" s="69">
        <v>0.0</v>
      </c>
      <c r="O62" s="13">
        <f t="shared" si="16"/>
        <v>2</v>
      </c>
    </row>
    <row r="63" ht="12.75" customHeight="1">
      <c r="A63" s="19" t="s">
        <v>15</v>
      </c>
      <c r="B63" s="47" t="s">
        <v>47</v>
      </c>
      <c r="C63" s="15"/>
      <c r="D63" s="16"/>
      <c r="E63" s="56">
        <f t="shared" ref="E63:N63" si="17">SUM(E55:E62)</f>
        <v>48</v>
      </c>
      <c r="F63" s="56">
        <f t="shared" si="17"/>
        <v>22</v>
      </c>
      <c r="G63" s="56">
        <f t="shared" si="17"/>
        <v>4</v>
      </c>
      <c r="H63" s="56">
        <f t="shared" si="17"/>
        <v>14</v>
      </c>
      <c r="I63" s="56">
        <f t="shared" si="17"/>
        <v>19</v>
      </c>
      <c r="J63" s="56">
        <f t="shared" si="17"/>
        <v>22</v>
      </c>
      <c r="K63" s="56">
        <f t="shared" si="17"/>
        <v>20</v>
      </c>
      <c r="L63" s="56">
        <f t="shared" si="17"/>
        <v>12</v>
      </c>
      <c r="M63" s="56">
        <f t="shared" si="17"/>
        <v>29</v>
      </c>
      <c r="N63" s="56">
        <f t="shared" si="17"/>
        <v>13</v>
      </c>
      <c r="O63" s="13">
        <f t="shared" si="16"/>
        <v>203</v>
      </c>
    </row>
    <row r="64" ht="12.75" customHeight="1">
      <c r="A64" s="59"/>
      <c r="B64" s="60"/>
      <c r="C64" s="60"/>
      <c r="D64" s="60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13"/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69">
        <v>8.0</v>
      </c>
      <c r="F65" s="69">
        <v>9.0</v>
      </c>
      <c r="G65" s="69">
        <v>15.0</v>
      </c>
      <c r="H65" s="69">
        <v>4.0</v>
      </c>
      <c r="I65" s="69">
        <v>4.0</v>
      </c>
      <c r="J65" s="69">
        <v>17.0</v>
      </c>
      <c r="K65" s="69">
        <v>7.0</v>
      </c>
      <c r="L65" s="69">
        <v>2.0</v>
      </c>
      <c r="M65" s="69">
        <v>6.0</v>
      </c>
      <c r="N65" s="69">
        <v>4.0</v>
      </c>
      <c r="O65" s="13">
        <f t="shared" ref="O65:O73" si="18">SUM(E65:N65)</f>
        <v>76</v>
      </c>
    </row>
    <row r="66" ht="12.75" customHeight="1">
      <c r="A66" s="30" t="s">
        <v>39</v>
      </c>
      <c r="B66" s="49"/>
      <c r="C66" s="50" t="s">
        <v>57</v>
      </c>
      <c r="D66" s="51"/>
      <c r="E66" s="69">
        <v>27.0</v>
      </c>
      <c r="F66" s="69">
        <v>12.0</v>
      </c>
      <c r="G66" s="69">
        <v>32.0</v>
      </c>
      <c r="H66" s="69">
        <v>7.0</v>
      </c>
      <c r="I66" s="69">
        <v>5.0</v>
      </c>
      <c r="J66" s="69">
        <v>8.0</v>
      </c>
      <c r="K66" s="69">
        <v>15.0</v>
      </c>
      <c r="L66" s="69">
        <v>0.0</v>
      </c>
      <c r="M66" s="69">
        <v>5.0</v>
      </c>
      <c r="N66" s="69">
        <v>8.0</v>
      </c>
      <c r="O66" s="13">
        <f t="shared" si="18"/>
        <v>119</v>
      </c>
    </row>
    <row r="67" ht="15.0" customHeight="1">
      <c r="A67" s="18"/>
      <c r="B67" s="49"/>
      <c r="C67" s="50" t="s">
        <v>58</v>
      </c>
      <c r="D67" s="51"/>
      <c r="E67" s="69">
        <v>9.0</v>
      </c>
      <c r="F67" s="69">
        <v>12.0</v>
      </c>
      <c r="G67" s="69">
        <v>83.0</v>
      </c>
      <c r="H67" s="69">
        <v>34.0</v>
      </c>
      <c r="I67" s="69">
        <v>10.0</v>
      </c>
      <c r="J67" s="69">
        <v>23.0</v>
      </c>
      <c r="K67" s="69">
        <v>9.0</v>
      </c>
      <c r="L67" s="69">
        <v>4.0</v>
      </c>
      <c r="M67" s="69">
        <v>5.0</v>
      </c>
      <c r="N67" s="69">
        <v>9.0</v>
      </c>
      <c r="O67" s="13">
        <f t="shared" si="18"/>
        <v>198</v>
      </c>
    </row>
    <row r="68" ht="12.75" customHeight="1">
      <c r="A68" s="18"/>
      <c r="B68" s="49"/>
      <c r="C68" s="50" t="s">
        <v>59</v>
      </c>
      <c r="D68" s="51"/>
      <c r="E68" s="69">
        <v>2.0</v>
      </c>
      <c r="F68" s="69">
        <v>1.0</v>
      </c>
      <c r="G68" s="69">
        <v>2.0</v>
      </c>
      <c r="H68" s="69">
        <v>0.0</v>
      </c>
      <c r="I68" s="69">
        <v>0.0</v>
      </c>
      <c r="J68" s="69">
        <v>0.0</v>
      </c>
      <c r="K68" s="69">
        <v>2.0</v>
      </c>
      <c r="L68" s="69">
        <v>0.0</v>
      </c>
      <c r="M68" s="69">
        <v>1.0</v>
      </c>
      <c r="N68" s="69">
        <v>1.0</v>
      </c>
      <c r="O68" s="13">
        <f t="shared" si="18"/>
        <v>9</v>
      </c>
    </row>
    <row r="69" ht="12.75" customHeight="1">
      <c r="A69" s="18"/>
      <c r="B69" s="49"/>
      <c r="C69" s="50" t="s">
        <v>60</v>
      </c>
      <c r="D69" s="51"/>
      <c r="E69" s="69">
        <v>0.0</v>
      </c>
      <c r="F69" s="69">
        <v>0.0</v>
      </c>
      <c r="G69" s="69">
        <v>0.0</v>
      </c>
      <c r="H69" s="69">
        <v>0.0</v>
      </c>
      <c r="I69" s="69">
        <v>0.0</v>
      </c>
      <c r="J69" s="69">
        <v>1.0</v>
      </c>
      <c r="K69" s="69">
        <v>1.0</v>
      </c>
      <c r="L69" s="69">
        <v>0.0</v>
      </c>
      <c r="M69" s="69">
        <v>0.0</v>
      </c>
      <c r="N69" s="69">
        <v>0.0</v>
      </c>
      <c r="O69" s="13">
        <f t="shared" si="18"/>
        <v>2</v>
      </c>
    </row>
    <row r="70" ht="12.75" customHeight="1">
      <c r="A70" s="18"/>
      <c r="B70" s="49"/>
      <c r="C70" s="50" t="s">
        <v>61</v>
      </c>
      <c r="D70" s="51"/>
      <c r="E70" s="69">
        <v>4.0</v>
      </c>
      <c r="F70" s="69">
        <v>6.0</v>
      </c>
      <c r="G70" s="69">
        <v>2.0</v>
      </c>
      <c r="H70" s="69">
        <v>4.0</v>
      </c>
      <c r="I70" s="69">
        <v>5.0</v>
      </c>
      <c r="J70" s="69">
        <v>1.0</v>
      </c>
      <c r="K70" s="69">
        <v>2.0</v>
      </c>
      <c r="L70" s="69">
        <v>1.0</v>
      </c>
      <c r="M70" s="69">
        <v>0.0</v>
      </c>
      <c r="N70" s="69">
        <v>9.0</v>
      </c>
      <c r="O70" s="13">
        <f t="shared" si="18"/>
        <v>34</v>
      </c>
    </row>
    <row r="71" ht="12.75" customHeight="1">
      <c r="A71" s="18"/>
      <c r="B71" s="49"/>
      <c r="C71" s="50" t="s">
        <v>62</v>
      </c>
      <c r="D71" s="51"/>
      <c r="E71" s="69">
        <v>3.0</v>
      </c>
      <c r="F71" s="69">
        <v>3.0</v>
      </c>
      <c r="G71" s="69">
        <v>2.0</v>
      </c>
      <c r="H71" s="69">
        <v>1.0</v>
      </c>
      <c r="I71" s="69">
        <v>1.0</v>
      </c>
      <c r="J71" s="69">
        <v>2.0</v>
      </c>
      <c r="K71" s="69">
        <v>2.0</v>
      </c>
      <c r="L71" s="69">
        <v>0.0</v>
      </c>
      <c r="M71" s="69">
        <v>0.0</v>
      </c>
      <c r="N71" s="69">
        <v>2.0</v>
      </c>
      <c r="O71" s="13">
        <f t="shared" si="18"/>
        <v>16</v>
      </c>
    </row>
    <row r="72" ht="12.75" customHeight="1">
      <c r="A72" s="18"/>
      <c r="B72" s="49"/>
      <c r="C72" s="50" t="s">
        <v>63</v>
      </c>
      <c r="D72" s="51"/>
      <c r="E72" s="69">
        <v>43.0</v>
      </c>
      <c r="F72" s="69">
        <v>9.0</v>
      </c>
      <c r="G72" s="69">
        <v>4.0</v>
      </c>
      <c r="H72" s="69">
        <v>2.0</v>
      </c>
      <c r="I72" s="69">
        <v>1.0</v>
      </c>
      <c r="J72" s="69">
        <v>6.0</v>
      </c>
      <c r="K72" s="69">
        <v>32.0</v>
      </c>
      <c r="L72" s="69">
        <v>26.0</v>
      </c>
      <c r="M72" s="69">
        <v>10.0</v>
      </c>
      <c r="N72" s="69">
        <v>0.0</v>
      </c>
      <c r="O72" s="13">
        <f t="shared" si="18"/>
        <v>133</v>
      </c>
    </row>
    <row r="73" ht="12.75" customHeight="1">
      <c r="A73" s="19" t="s">
        <v>15</v>
      </c>
      <c r="B73" s="47" t="s">
        <v>47</v>
      </c>
      <c r="C73" s="15"/>
      <c r="D73" s="16"/>
      <c r="E73" s="56">
        <f t="shared" ref="E73:N73" si="19">SUM(E65:E72)</f>
        <v>96</v>
      </c>
      <c r="F73" s="56">
        <f t="shared" si="19"/>
        <v>52</v>
      </c>
      <c r="G73" s="56">
        <f t="shared" si="19"/>
        <v>140</v>
      </c>
      <c r="H73" s="56">
        <f t="shared" si="19"/>
        <v>52</v>
      </c>
      <c r="I73" s="56">
        <f t="shared" si="19"/>
        <v>26</v>
      </c>
      <c r="J73" s="56">
        <f t="shared" si="19"/>
        <v>58</v>
      </c>
      <c r="K73" s="56">
        <f t="shared" si="19"/>
        <v>70</v>
      </c>
      <c r="L73" s="56">
        <f t="shared" si="19"/>
        <v>33</v>
      </c>
      <c r="M73" s="56">
        <f t="shared" si="19"/>
        <v>27</v>
      </c>
      <c r="N73" s="56">
        <f t="shared" si="19"/>
        <v>33</v>
      </c>
      <c r="O73" s="13">
        <f t="shared" si="18"/>
        <v>587</v>
      </c>
    </row>
    <row r="74" ht="12.75" customHeight="1">
      <c r="A74" s="57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13"/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69">
        <v>1.0</v>
      </c>
      <c r="F75" s="69">
        <v>0.0</v>
      </c>
      <c r="G75" s="69">
        <v>2.0</v>
      </c>
      <c r="H75" s="69">
        <v>2.0</v>
      </c>
      <c r="I75" s="69">
        <v>4.0</v>
      </c>
      <c r="J75" s="69">
        <v>6.0</v>
      </c>
      <c r="K75" s="69">
        <v>2.0</v>
      </c>
      <c r="L75" s="69">
        <v>2.0</v>
      </c>
      <c r="M75" s="69">
        <v>2.0</v>
      </c>
      <c r="N75" s="69">
        <v>7.0</v>
      </c>
      <c r="O75" s="13">
        <f t="shared" ref="O75:O83" si="20">SUM(E75:N75)</f>
        <v>28</v>
      </c>
    </row>
    <row r="76" ht="12.75" customHeight="1">
      <c r="A76" s="30" t="s">
        <v>39</v>
      </c>
      <c r="B76" s="49"/>
      <c r="C76" s="50" t="s">
        <v>65</v>
      </c>
      <c r="D76" s="51"/>
      <c r="E76" s="69">
        <v>2.0</v>
      </c>
      <c r="F76" s="69">
        <v>4.0</v>
      </c>
      <c r="G76" s="69">
        <v>1.0</v>
      </c>
      <c r="H76" s="69">
        <v>9.0</v>
      </c>
      <c r="I76" s="69">
        <v>1.0</v>
      </c>
      <c r="J76" s="69">
        <v>4.0</v>
      </c>
      <c r="K76" s="69">
        <v>1.0</v>
      </c>
      <c r="L76" s="69">
        <v>1.0</v>
      </c>
      <c r="M76" s="69">
        <v>1.0</v>
      </c>
      <c r="N76" s="69">
        <v>2.0</v>
      </c>
      <c r="O76" s="13">
        <f t="shared" si="20"/>
        <v>26</v>
      </c>
    </row>
    <row r="77" ht="12.75" customHeight="1">
      <c r="A77" s="18"/>
      <c r="B77" s="49"/>
      <c r="C77" s="50" t="s">
        <v>66</v>
      </c>
      <c r="D77" s="51"/>
      <c r="E77" s="69">
        <v>0.0</v>
      </c>
      <c r="F77" s="69">
        <v>0.0</v>
      </c>
      <c r="G77" s="69">
        <v>2.0</v>
      </c>
      <c r="H77" s="69">
        <v>1.0</v>
      </c>
      <c r="I77" s="69">
        <v>2.0</v>
      </c>
      <c r="J77" s="69">
        <v>9.0</v>
      </c>
      <c r="K77" s="69">
        <v>2.0</v>
      </c>
      <c r="L77" s="69">
        <v>0.0</v>
      </c>
      <c r="M77" s="69">
        <v>2.0</v>
      </c>
      <c r="N77" s="69">
        <v>1.0</v>
      </c>
      <c r="O77" s="13">
        <f t="shared" si="20"/>
        <v>19</v>
      </c>
    </row>
    <row r="78" ht="12.75" customHeight="1">
      <c r="A78" s="18"/>
      <c r="B78" s="49"/>
      <c r="C78" s="50" t="s">
        <v>67</v>
      </c>
      <c r="D78" s="51"/>
      <c r="E78" s="69">
        <v>0.0</v>
      </c>
      <c r="F78" s="69">
        <v>0.0</v>
      </c>
      <c r="G78" s="69">
        <v>0.0</v>
      </c>
      <c r="H78" s="69">
        <v>0.0</v>
      </c>
      <c r="I78" s="69">
        <v>1.0</v>
      </c>
      <c r="J78" s="69">
        <v>1.0</v>
      </c>
      <c r="K78" s="69">
        <v>0.0</v>
      </c>
      <c r="L78" s="69">
        <v>0.0</v>
      </c>
      <c r="M78" s="69">
        <v>0.0</v>
      </c>
      <c r="N78" s="69">
        <v>1.0</v>
      </c>
      <c r="O78" s="13">
        <f t="shared" si="20"/>
        <v>3</v>
      </c>
    </row>
    <row r="79" ht="15.0" customHeight="1">
      <c r="A79" s="18"/>
      <c r="B79" s="49"/>
      <c r="C79" s="50" t="s">
        <v>68</v>
      </c>
      <c r="D79" s="51"/>
      <c r="E79" s="69">
        <v>0.0</v>
      </c>
      <c r="F79" s="69">
        <v>2.0</v>
      </c>
      <c r="G79" s="69">
        <v>0.0</v>
      </c>
      <c r="H79" s="69">
        <v>0.0</v>
      </c>
      <c r="I79" s="69">
        <v>2.0</v>
      </c>
      <c r="J79" s="69">
        <v>5.0</v>
      </c>
      <c r="K79" s="69">
        <v>0.0</v>
      </c>
      <c r="L79" s="69">
        <v>1.0</v>
      </c>
      <c r="M79" s="69">
        <v>0.0</v>
      </c>
      <c r="N79" s="69">
        <v>7.0</v>
      </c>
      <c r="O79" s="13">
        <f t="shared" si="20"/>
        <v>17</v>
      </c>
    </row>
    <row r="80" ht="12.75" customHeight="1">
      <c r="A80" s="18"/>
      <c r="B80" s="49"/>
      <c r="C80" s="50" t="s">
        <v>69</v>
      </c>
      <c r="D80" s="51"/>
      <c r="E80" s="69">
        <v>0.0</v>
      </c>
      <c r="F80" s="69">
        <v>0.0</v>
      </c>
      <c r="G80" s="69">
        <v>0.0</v>
      </c>
      <c r="H80" s="69">
        <v>0.0</v>
      </c>
      <c r="I80" s="69">
        <v>0.0</v>
      </c>
      <c r="J80" s="69">
        <v>0.0</v>
      </c>
      <c r="K80" s="69">
        <v>0.0</v>
      </c>
      <c r="L80" s="69">
        <v>0.0</v>
      </c>
      <c r="M80" s="69">
        <v>0.0</v>
      </c>
      <c r="N80" s="69">
        <v>0.0</v>
      </c>
      <c r="O80" s="13">
        <f t="shared" si="20"/>
        <v>0</v>
      </c>
    </row>
    <row r="81" ht="12.75" customHeight="1">
      <c r="A81" s="18"/>
      <c r="B81" s="49"/>
      <c r="C81" s="50" t="s">
        <v>70</v>
      </c>
      <c r="D81" s="51"/>
      <c r="E81" s="69">
        <v>0.0</v>
      </c>
      <c r="F81" s="69">
        <v>0.0</v>
      </c>
      <c r="G81" s="69">
        <v>0.0</v>
      </c>
      <c r="H81" s="69">
        <v>0.0</v>
      </c>
      <c r="I81" s="69">
        <v>0.0</v>
      </c>
      <c r="J81" s="69">
        <v>0.0</v>
      </c>
      <c r="K81" s="69">
        <v>0.0</v>
      </c>
      <c r="L81" s="69">
        <v>0.0</v>
      </c>
      <c r="M81" s="69">
        <v>0.0</v>
      </c>
      <c r="N81" s="69">
        <v>0.0</v>
      </c>
      <c r="O81" s="13">
        <f t="shared" si="20"/>
        <v>0</v>
      </c>
    </row>
    <row r="82" ht="12.75" customHeight="1">
      <c r="A82" s="18"/>
      <c r="B82" s="49"/>
      <c r="C82" s="50" t="s">
        <v>71</v>
      </c>
      <c r="D82" s="51"/>
      <c r="E82" s="69">
        <v>3.0</v>
      </c>
      <c r="F82" s="69">
        <v>1.0</v>
      </c>
      <c r="G82" s="69">
        <v>1.0</v>
      </c>
      <c r="H82" s="69">
        <v>0.0</v>
      </c>
      <c r="I82" s="69">
        <v>1.0</v>
      </c>
      <c r="J82" s="69">
        <v>1.0</v>
      </c>
      <c r="K82" s="69">
        <v>1.0</v>
      </c>
      <c r="L82" s="69">
        <v>0.0</v>
      </c>
      <c r="M82" s="69">
        <v>0.0</v>
      </c>
      <c r="N82" s="69">
        <v>0.0</v>
      </c>
      <c r="O82" s="13">
        <f t="shared" si="20"/>
        <v>8</v>
      </c>
    </row>
    <row r="83" ht="12.75" customHeight="1">
      <c r="A83" s="19" t="s">
        <v>15</v>
      </c>
      <c r="B83" s="47" t="s">
        <v>47</v>
      </c>
      <c r="C83" s="15"/>
      <c r="D83" s="16"/>
      <c r="E83" s="56">
        <f t="shared" ref="E83:N83" si="21">SUM(E75:E82)</f>
        <v>6</v>
      </c>
      <c r="F83" s="56">
        <f t="shared" si="21"/>
        <v>7</v>
      </c>
      <c r="G83" s="56">
        <f t="shared" si="21"/>
        <v>6</v>
      </c>
      <c r="H83" s="56">
        <f t="shared" si="21"/>
        <v>12</v>
      </c>
      <c r="I83" s="56">
        <f t="shared" si="21"/>
        <v>11</v>
      </c>
      <c r="J83" s="56">
        <f t="shared" si="21"/>
        <v>26</v>
      </c>
      <c r="K83" s="56">
        <f t="shared" si="21"/>
        <v>6</v>
      </c>
      <c r="L83" s="56">
        <f t="shared" si="21"/>
        <v>4</v>
      </c>
      <c r="M83" s="56">
        <f t="shared" si="21"/>
        <v>5</v>
      </c>
      <c r="N83" s="56">
        <f t="shared" si="21"/>
        <v>18</v>
      </c>
      <c r="O83" s="13">
        <f t="shared" si="20"/>
        <v>101</v>
      </c>
    </row>
    <row r="84" ht="12.75" customHeight="1">
      <c r="A84" s="57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13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69">
        <v>1.0</v>
      </c>
      <c r="F85" s="69">
        <v>3.0</v>
      </c>
      <c r="G85" s="69">
        <v>1.0</v>
      </c>
      <c r="H85" s="69">
        <v>2.0</v>
      </c>
      <c r="I85" s="69">
        <v>5.0</v>
      </c>
      <c r="J85" s="69">
        <v>2.0</v>
      </c>
      <c r="K85" s="69">
        <v>3.0</v>
      </c>
      <c r="L85" s="69">
        <v>1.0</v>
      </c>
      <c r="M85" s="69">
        <v>3.0</v>
      </c>
      <c r="N85" s="69">
        <v>7.0</v>
      </c>
      <c r="O85" s="13">
        <f t="shared" ref="O85:O93" si="22">SUM(E85:N85)</f>
        <v>28</v>
      </c>
    </row>
    <row r="86" ht="12.75" customHeight="1">
      <c r="A86" s="30" t="s">
        <v>39</v>
      </c>
      <c r="B86" s="49"/>
      <c r="C86" s="50" t="s">
        <v>74</v>
      </c>
      <c r="D86" s="51"/>
      <c r="E86" s="69">
        <v>3.0</v>
      </c>
      <c r="F86" s="69">
        <v>0.0</v>
      </c>
      <c r="G86" s="69">
        <v>0.0</v>
      </c>
      <c r="H86" s="69">
        <v>2.0</v>
      </c>
      <c r="I86" s="69">
        <v>3.0</v>
      </c>
      <c r="J86" s="69">
        <v>1.0</v>
      </c>
      <c r="K86" s="69">
        <v>13.0</v>
      </c>
      <c r="L86" s="69">
        <v>4.0</v>
      </c>
      <c r="M86" s="69">
        <v>2.0</v>
      </c>
      <c r="N86" s="69">
        <v>0.0</v>
      </c>
      <c r="O86" s="13">
        <f t="shared" si="22"/>
        <v>28</v>
      </c>
    </row>
    <row r="87" ht="12.75" customHeight="1">
      <c r="A87" s="18"/>
      <c r="B87" s="49"/>
      <c r="C87" s="50" t="s">
        <v>75</v>
      </c>
      <c r="D87" s="51"/>
      <c r="E87" s="69">
        <v>3.0</v>
      </c>
      <c r="F87" s="69">
        <v>37.0</v>
      </c>
      <c r="G87" s="69">
        <v>6.0</v>
      </c>
      <c r="H87" s="69">
        <v>38.0</v>
      </c>
      <c r="I87" s="69">
        <v>39.0</v>
      </c>
      <c r="J87" s="69">
        <v>8.0</v>
      </c>
      <c r="K87" s="69">
        <v>11.0</v>
      </c>
      <c r="L87" s="69">
        <v>43.0</v>
      </c>
      <c r="M87" s="69">
        <v>34.0</v>
      </c>
      <c r="N87" s="69">
        <v>22.0</v>
      </c>
      <c r="O87" s="13">
        <f t="shared" si="22"/>
        <v>241</v>
      </c>
    </row>
    <row r="88" ht="12.75" customHeight="1">
      <c r="A88" s="18"/>
      <c r="B88" s="49"/>
      <c r="C88" s="50" t="s">
        <v>76</v>
      </c>
      <c r="D88" s="51"/>
      <c r="E88" s="69">
        <v>0.0</v>
      </c>
      <c r="F88" s="69">
        <v>0.0</v>
      </c>
      <c r="G88" s="69">
        <v>0.0</v>
      </c>
      <c r="H88" s="69">
        <v>1.0</v>
      </c>
      <c r="I88" s="69">
        <v>0.0</v>
      </c>
      <c r="J88" s="69">
        <v>0.0</v>
      </c>
      <c r="K88" s="69">
        <v>0.0</v>
      </c>
      <c r="L88" s="69">
        <v>0.0</v>
      </c>
      <c r="M88" s="69">
        <v>1.0</v>
      </c>
      <c r="N88" s="69">
        <v>0.0</v>
      </c>
      <c r="O88" s="13">
        <f t="shared" si="22"/>
        <v>2</v>
      </c>
    </row>
    <row r="89" ht="12.75" customHeight="1">
      <c r="A89" s="18"/>
      <c r="B89" s="49"/>
      <c r="C89" s="50" t="s">
        <v>77</v>
      </c>
      <c r="D89" s="51"/>
      <c r="E89" s="69">
        <v>0.0</v>
      </c>
      <c r="F89" s="69">
        <v>1.0</v>
      </c>
      <c r="G89" s="69">
        <v>0.0</v>
      </c>
      <c r="H89" s="69">
        <v>0.0</v>
      </c>
      <c r="I89" s="69">
        <v>0.0</v>
      </c>
      <c r="J89" s="69">
        <v>0.0</v>
      </c>
      <c r="K89" s="69">
        <v>0.0</v>
      </c>
      <c r="L89" s="69">
        <v>0.0</v>
      </c>
      <c r="M89" s="69">
        <v>1.0</v>
      </c>
      <c r="N89" s="69">
        <v>0.0</v>
      </c>
      <c r="O89" s="13">
        <f t="shared" si="22"/>
        <v>2</v>
      </c>
    </row>
    <row r="90" ht="12.75" customHeight="1">
      <c r="A90" s="18"/>
      <c r="B90" s="49"/>
      <c r="C90" s="50" t="s">
        <v>78</v>
      </c>
      <c r="D90" s="51"/>
      <c r="E90" s="69">
        <v>6.0</v>
      </c>
      <c r="F90" s="69">
        <v>1.0</v>
      </c>
      <c r="G90" s="69">
        <v>1.0</v>
      </c>
      <c r="H90" s="69">
        <v>3.0</v>
      </c>
      <c r="I90" s="69">
        <v>2.0</v>
      </c>
      <c r="J90" s="69">
        <v>7.0</v>
      </c>
      <c r="K90" s="69">
        <v>3.0</v>
      </c>
      <c r="L90" s="69">
        <v>0.0</v>
      </c>
      <c r="M90" s="69">
        <v>0.0</v>
      </c>
      <c r="N90" s="69">
        <v>2.0</v>
      </c>
      <c r="O90" s="13">
        <f t="shared" si="22"/>
        <v>25</v>
      </c>
    </row>
    <row r="91" ht="15.0" customHeight="1">
      <c r="A91" s="18"/>
      <c r="B91" s="49"/>
      <c r="C91" s="50" t="s">
        <v>79</v>
      </c>
      <c r="D91" s="51"/>
      <c r="E91" s="69">
        <v>0.0</v>
      </c>
      <c r="F91" s="69">
        <v>0.0</v>
      </c>
      <c r="G91" s="69">
        <v>0.0</v>
      </c>
      <c r="H91" s="69">
        <v>0.0</v>
      </c>
      <c r="I91" s="69">
        <v>0.0</v>
      </c>
      <c r="J91" s="69">
        <v>0.0</v>
      </c>
      <c r="K91" s="69">
        <v>0.0</v>
      </c>
      <c r="L91" s="69">
        <v>0.0</v>
      </c>
      <c r="M91" s="69">
        <v>0.0</v>
      </c>
      <c r="N91" s="69">
        <v>1.0</v>
      </c>
      <c r="O91" s="13">
        <f t="shared" si="22"/>
        <v>1</v>
      </c>
    </row>
    <row r="92" ht="12.75" customHeight="1">
      <c r="A92" s="18"/>
      <c r="B92" s="49"/>
      <c r="C92" s="50" t="s">
        <v>80</v>
      </c>
      <c r="D92" s="51"/>
      <c r="E92" s="69">
        <v>2.0</v>
      </c>
      <c r="F92" s="69">
        <v>3.0</v>
      </c>
      <c r="G92" s="69">
        <v>0.0</v>
      </c>
      <c r="H92" s="69">
        <v>2.0</v>
      </c>
      <c r="I92" s="69">
        <v>2.0</v>
      </c>
      <c r="J92" s="69">
        <v>1.0</v>
      </c>
      <c r="K92" s="69">
        <v>0.0</v>
      </c>
      <c r="L92" s="69">
        <v>0.0</v>
      </c>
      <c r="M92" s="69">
        <v>0.0</v>
      </c>
      <c r="N92" s="69">
        <v>6.0</v>
      </c>
      <c r="O92" s="13">
        <f t="shared" si="22"/>
        <v>16</v>
      </c>
    </row>
    <row r="93" ht="12.75" customHeight="1">
      <c r="A93" s="19" t="s">
        <v>15</v>
      </c>
      <c r="B93" s="47" t="s">
        <v>47</v>
      </c>
      <c r="C93" s="15"/>
      <c r="D93" s="16"/>
      <c r="E93" s="56">
        <f t="shared" ref="E93:N93" si="23">SUM(E85:E92)</f>
        <v>15</v>
      </c>
      <c r="F93" s="56">
        <f t="shared" si="23"/>
        <v>45</v>
      </c>
      <c r="G93" s="56">
        <f t="shared" si="23"/>
        <v>8</v>
      </c>
      <c r="H93" s="56">
        <f t="shared" si="23"/>
        <v>48</v>
      </c>
      <c r="I93" s="56">
        <f t="shared" si="23"/>
        <v>51</v>
      </c>
      <c r="J93" s="56">
        <f t="shared" si="23"/>
        <v>19</v>
      </c>
      <c r="K93" s="56">
        <f t="shared" si="23"/>
        <v>30</v>
      </c>
      <c r="L93" s="56">
        <f t="shared" si="23"/>
        <v>48</v>
      </c>
      <c r="M93" s="56">
        <f t="shared" si="23"/>
        <v>41</v>
      </c>
      <c r="N93" s="56">
        <f t="shared" si="23"/>
        <v>38</v>
      </c>
      <c r="O93" s="13">
        <f t="shared" si="22"/>
        <v>343</v>
      </c>
    </row>
    <row r="94" ht="12.75" customHeight="1">
      <c r="A94" s="57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13"/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69">
        <v>0.0</v>
      </c>
      <c r="F95" s="69">
        <v>0.0</v>
      </c>
      <c r="G95" s="69">
        <v>0.0</v>
      </c>
      <c r="H95" s="69">
        <v>0.0</v>
      </c>
      <c r="I95" s="69">
        <v>0.0</v>
      </c>
      <c r="J95" s="69">
        <v>1.0</v>
      </c>
      <c r="K95" s="69">
        <v>0.0</v>
      </c>
      <c r="L95" s="69">
        <v>0.0</v>
      </c>
      <c r="M95" s="69">
        <v>0.0</v>
      </c>
      <c r="N95" s="69">
        <v>1.0</v>
      </c>
      <c r="O95" s="13">
        <f t="shared" ref="O95:O97" si="24">SUM(E95:N95)</f>
        <v>2</v>
      </c>
    </row>
    <row r="96" ht="12.75" customHeight="1">
      <c r="A96" s="30" t="s">
        <v>39</v>
      </c>
      <c r="B96" s="49"/>
      <c r="C96" s="50" t="s">
        <v>83</v>
      </c>
      <c r="D96" s="62"/>
      <c r="E96" s="69">
        <v>0.0</v>
      </c>
      <c r="F96" s="69">
        <v>0.0</v>
      </c>
      <c r="G96" s="69">
        <v>0.0</v>
      </c>
      <c r="H96" s="69">
        <v>0.0</v>
      </c>
      <c r="I96" s="69">
        <v>0.0</v>
      </c>
      <c r="J96" s="69">
        <v>1.0</v>
      </c>
      <c r="K96" s="69">
        <v>0.0</v>
      </c>
      <c r="L96" s="69">
        <v>0.0</v>
      </c>
      <c r="M96" s="69">
        <v>0.0</v>
      </c>
      <c r="N96" s="69">
        <v>0.0</v>
      </c>
      <c r="O96" s="13">
        <f t="shared" si="24"/>
        <v>1</v>
      </c>
    </row>
    <row r="97" ht="12.75" customHeight="1">
      <c r="A97" s="19" t="s">
        <v>15</v>
      </c>
      <c r="B97" s="47" t="s">
        <v>47</v>
      </c>
      <c r="C97" s="15"/>
      <c r="D97" s="16"/>
      <c r="E97" s="56">
        <f t="shared" ref="E97:N97" si="25">SUM(E95:E96)</f>
        <v>0</v>
      </c>
      <c r="F97" s="56">
        <f t="shared" si="25"/>
        <v>0</v>
      </c>
      <c r="G97" s="56">
        <f t="shared" si="25"/>
        <v>0</v>
      </c>
      <c r="H97" s="56">
        <f t="shared" si="25"/>
        <v>0</v>
      </c>
      <c r="I97" s="56">
        <f t="shared" si="25"/>
        <v>0</v>
      </c>
      <c r="J97" s="56">
        <f t="shared" si="25"/>
        <v>2</v>
      </c>
      <c r="K97" s="56">
        <f t="shared" si="25"/>
        <v>0</v>
      </c>
      <c r="L97" s="56">
        <f t="shared" si="25"/>
        <v>0</v>
      </c>
      <c r="M97" s="56">
        <f t="shared" si="25"/>
        <v>0</v>
      </c>
      <c r="N97" s="56">
        <f t="shared" si="25"/>
        <v>1</v>
      </c>
      <c r="O97" s="13">
        <f t="shared" si="24"/>
        <v>3</v>
      </c>
    </row>
    <row r="98" ht="12.75" customHeight="1">
      <c r="A98" s="57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3"/>
    </row>
    <row r="99" ht="12.75" customHeight="1">
      <c r="A99" s="30" t="s">
        <v>37</v>
      </c>
      <c r="B99" s="47" t="s">
        <v>84</v>
      </c>
      <c r="C99" s="48" t="s">
        <v>85</v>
      </c>
      <c r="D99" s="16"/>
      <c r="E99" s="69">
        <v>2.0</v>
      </c>
      <c r="F99" s="69">
        <v>0.0</v>
      </c>
      <c r="G99" s="69">
        <v>1.0</v>
      </c>
      <c r="H99" s="69">
        <v>1.0</v>
      </c>
      <c r="I99" s="69">
        <v>0.0</v>
      </c>
      <c r="J99" s="69">
        <v>0.0</v>
      </c>
      <c r="K99" s="69">
        <v>1.0</v>
      </c>
      <c r="L99" s="69">
        <v>2.0</v>
      </c>
      <c r="M99" s="69">
        <v>2.0</v>
      </c>
      <c r="N99" s="69">
        <v>3.0</v>
      </c>
      <c r="O99" s="13">
        <f t="shared" ref="O99:O101" si="26">SUM(E99:N99)</f>
        <v>12</v>
      </c>
    </row>
    <row r="100" ht="12.75" customHeight="1">
      <c r="A100" s="30" t="s">
        <v>39</v>
      </c>
      <c r="B100" s="49"/>
      <c r="C100" s="50" t="s">
        <v>86</v>
      </c>
      <c r="D100" s="51"/>
      <c r="E100" s="69">
        <v>1.0</v>
      </c>
      <c r="F100" s="69">
        <v>0.0</v>
      </c>
      <c r="G100" s="69">
        <v>0.0</v>
      </c>
      <c r="H100" s="69">
        <v>0.0</v>
      </c>
      <c r="I100" s="69">
        <v>0.0</v>
      </c>
      <c r="J100" s="69">
        <v>0.0</v>
      </c>
      <c r="K100" s="69">
        <v>1.0</v>
      </c>
      <c r="L100" s="69">
        <v>0.0</v>
      </c>
      <c r="M100" s="69">
        <v>0.0</v>
      </c>
      <c r="N100" s="69">
        <v>0.0</v>
      </c>
      <c r="O100" s="13">
        <f t="shared" si="26"/>
        <v>2</v>
      </c>
    </row>
    <row r="101" ht="12.75" customHeight="1">
      <c r="A101" s="19" t="s">
        <v>15</v>
      </c>
      <c r="B101" s="47" t="s">
        <v>47</v>
      </c>
      <c r="C101" s="15"/>
      <c r="D101" s="16"/>
      <c r="E101" s="56">
        <f t="shared" ref="E101:N101" si="27">SUM(E99:E100)</f>
        <v>3</v>
      </c>
      <c r="F101" s="56">
        <f t="shared" si="27"/>
        <v>0</v>
      </c>
      <c r="G101" s="56">
        <f t="shared" si="27"/>
        <v>1</v>
      </c>
      <c r="H101" s="56">
        <f t="shared" si="27"/>
        <v>1</v>
      </c>
      <c r="I101" s="56">
        <f t="shared" si="27"/>
        <v>0</v>
      </c>
      <c r="J101" s="56">
        <f t="shared" si="27"/>
        <v>0</v>
      </c>
      <c r="K101" s="56">
        <f t="shared" si="27"/>
        <v>2</v>
      </c>
      <c r="L101" s="56">
        <f t="shared" si="27"/>
        <v>2</v>
      </c>
      <c r="M101" s="56">
        <f t="shared" si="27"/>
        <v>2</v>
      </c>
      <c r="N101" s="56">
        <f t="shared" si="27"/>
        <v>3</v>
      </c>
      <c r="O101" s="13">
        <f t="shared" si="26"/>
        <v>14</v>
      </c>
    </row>
    <row r="102" ht="12.75" customHeight="1">
      <c r="A102" s="57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13"/>
    </row>
    <row r="103" ht="15.0" customHeight="1">
      <c r="A103" s="30" t="s">
        <v>37</v>
      </c>
      <c r="B103" s="47" t="s">
        <v>87</v>
      </c>
      <c r="C103" s="48" t="s">
        <v>88</v>
      </c>
      <c r="D103" s="16"/>
      <c r="E103" s="69">
        <v>0.0</v>
      </c>
      <c r="F103" s="69">
        <v>0.0</v>
      </c>
      <c r="G103" s="69">
        <v>0.0</v>
      </c>
      <c r="H103" s="69">
        <v>0.0</v>
      </c>
      <c r="I103" s="69">
        <v>0.0</v>
      </c>
      <c r="J103" s="69">
        <v>0.0</v>
      </c>
      <c r="K103" s="69">
        <v>0.0</v>
      </c>
      <c r="L103" s="69">
        <v>0.0</v>
      </c>
      <c r="M103" s="69">
        <v>0.0</v>
      </c>
      <c r="N103" s="69">
        <v>1.0</v>
      </c>
      <c r="O103" s="13">
        <f t="shared" ref="O103:O111" si="28">SUM(E103:N103)</f>
        <v>1</v>
      </c>
    </row>
    <row r="104" ht="12.75" customHeight="1">
      <c r="A104" s="30" t="s">
        <v>39</v>
      </c>
      <c r="B104" s="49"/>
      <c r="C104" s="50" t="s">
        <v>89</v>
      </c>
      <c r="D104" s="51"/>
      <c r="E104" s="69">
        <v>2.0</v>
      </c>
      <c r="F104" s="69">
        <v>0.0</v>
      </c>
      <c r="G104" s="69">
        <v>0.0</v>
      </c>
      <c r="H104" s="69">
        <v>0.0</v>
      </c>
      <c r="I104" s="69">
        <v>0.0</v>
      </c>
      <c r="J104" s="69">
        <v>0.0</v>
      </c>
      <c r="K104" s="69">
        <v>0.0</v>
      </c>
      <c r="L104" s="69">
        <v>0.0</v>
      </c>
      <c r="M104" s="69">
        <v>0.0</v>
      </c>
      <c r="N104" s="69">
        <v>4.0</v>
      </c>
      <c r="O104" s="13">
        <f t="shared" si="28"/>
        <v>6</v>
      </c>
    </row>
    <row r="105" ht="12.75" customHeight="1">
      <c r="A105" s="18"/>
      <c r="B105" s="49"/>
      <c r="C105" s="50" t="s">
        <v>90</v>
      </c>
      <c r="D105" s="51"/>
      <c r="E105" s="69">
        <v>0.0</v>
      </c>
      <c r="F105" s="69">
        <v>0.0</v>
      </c>
      <c r="G105" s="69">
        <v>0.0</v>
      </c>
      <c r="H105" s="69">
        <v>0.0</v>
      </c>
      <c r="I105" s="69">
        <v>0.0</v>
      </c>
      <c r="J105" s="69">
        <v>0.0</v>
      </c>
      <c r="K105" s="69">
        <v>0.0</v>
      </c>
      <c r="L105" s="69">
        <v>0.0</v>
      </c>
      <c r="M105" s="69">
        <v>0.0</v>
      </c>
      <c r="N105" s="69">
        <v>0.0</v>
      </c>
      <c r="O105" s="13">
        <f t="shared" si="28"/>
        <v>0</v>
      </c>
    </row>
    <row r="106" ht="12.75" customHeight="1">
      <c r="A106" s="18"/>
      <c r="B106" s="49"/>
      <c r="C106" s="50" t="s">
        <v>91</v>
      </c>
      <c r="D106" s="51"/>
      <c r="E106" s="69">
        <v>0.0</v>
      </c>
      <c r="F106" s="69">
        <v>0.0</v>
      </c>
      <c r="G106" s="69">
        <v>0.0</v>
      </c>
      <c r="H106" s="69">
        <v>0.0</v>
      </c>
      <c r="I106" s="69">
        <v>0.0</v>
      </c>
      <c r="J106" s="69">
        <v>0.0</v>
      </c>
      <c r="K106" s="69">
        <v>0.0</v>
      </c>
      <c r="L106" s="69">
        <v>0.0</v>
      </c>
      <c r="M106" s="69">
        <v>0.0</v>
      </c>
      <c r="N106" s="69">
        <v>0.0</v>
      </c>
      <c r="O106" s="13">
        <f t="shared" si="28"/>
        <v>0</v>
      </c>
    </row>
    <row r="107" ht="12.75" customHeight="1">
      <c r="A107" s="18"/>
      <c r="B107" s="49"/>
      <c r="C107" s="50" t="s">
        <v>92</v>
      </c>
      <c r="D107" s="51"/>
      <c r="E107" s="69">
        <v>1.0</v>
      </c>
      <c r="F107" s="69">
        <v>0.0</v>
      </c>
      <c r="G107" s="69">
        <v>0.0</v>
      </c>
      <c r="H107" s="69">
        <v>0.0</v>
      </c>
      <c r="I107" s="69">
        <v>0.0</v>
      </c>
      <c r="J107" s="69">
        <v>0.0</v>
      </c>
      <c r="K107" s="69">
        <v>0.0</v>
      </c>
      <c r="L107" s="69">
        <v>0.0</v>
      </c>
      <c r="M107" s="69">
        <v>0.0</v>
      </c>
      <c r="N107" s="69">
        <v>0.0</v>
      </c>
      <c r="O107" s="13">
        <f t="shared" si="28"/>
        <v>1</v>
      </c>
    </row>
    <row r="108" ht="12.75" customHeight="1">
      <c r="A108" s="18"/>
      <c r="B108" s="49"/>
      <c r="C108" s="50" t="s">
        <v>93</v>
      </c>
      <c r="D108" s="51"/>
      <c r="E108" s="69">
        <v>0.0</v>
      </c>
      <c r="F108" s="69">
        <v>0.0</v>
      </c>
      <c r="G108" s="69">
        <v>0.0</v>
      </c>
      <c r="H108" s="69">
        <v>0.0</v>
      </c>
      <c r="I108" s="69">
        <v>0.0</v>
      </c>
      <c r="J108" s="69">
        <v>0.0</v>
      </c>
      <c r="K108" s="69">
        <v>0.0</v>
      </c>
      <c r="L108" s="69">
        <v>0.0</v>
      </c>
      <c r="M108" s="69">
        <v>0.0</v>
      </c>
      <c r="N108" s="69">
        <v>0.0</v>
      </c>
      <c r="O108" s="13">
        <f t="shared" si="28"/>
        <v>0</v>
      </c>
    </row>
    <row r="109" ht="12.75" customHeight="1">
      <c r="A109" s="18"/>
      <c r="B109" s="49"/>
      <c r="C109" s="50" t="s">
        <v>94</v>
      </c>
      <c r="D109" s="51"/>
      <c r="E109" s="69">
        <v>0.0</v>
      </c>
      <c r="F109" s="69">
        <v>0.0</v>
      </c>
      <c r="G109" s="69">
        <v>0.0</v>
      </c>
      <c r="H109" s="69">
        <v>0.0</v>
      </c>
      <c r="I109" s="69">
        <v>0.0</v>
      </c>
      <c r="J109" s="69">
        <v>0.0</v>
      </c>
      <c r="K109" s="69">
        <v>0.0</v>
      </c>
      <c r="L109" s="69">
        <v>0.0</v>
      </c>
      <c r="M109" s="69">
        <v>0.0</v>
      </c>
      <c r="N109" s="69">
        <v>0.0</v>
      </c>
      <c r="O109" s="13">
        <f t="shared" si="28"/>
        <v>0</v>
      </c>
    </row>
    <row r="110" ht="12.75" customHeight="1">
      <c r="A110" s="18"/>
      <c r="B110" s="49"/>
      <c r="C110" s="50" t="s">
        <v>95</v>
      </c>
      <c r="D110" s="51"/>
      <c r="E110" s="69">
        <v>0.0</v>
      </c>
      <c r="F110" s="69">
        <v>0.0</v>
      </c>
      <c r="G110" s="69">
        <v>0.0</v>
      </c>
      <c r="H110" s="69">
        <v>0.0</v>
      </c>
      <c r="I110" s="69">
        <v>0.0</v>
      </c>
      <c r="J110" s="69">
        <v>0.0</v>
      </c>
      <c r="K110" s="69">
        <v>0.0</v>
      </c>
      <c r="L110" s="69">
        <v>0.0</v>
      </c>
      <c r="M110" s="69">
        <v>0.0</v>
      </c>
      <c r="N110" s="69">
        <v>0.0</v>
      </c>
      <c r="O110" s="13">
        <f t="shared" si="28"/>
        <v>0</v>
      </c>
    </row>
    <row r="111" ht="12.75" customHeight="1">
      <c r="A111" s="19" t="s">
        <v>15</v>
      </c>
      <c r="B111" s="47" t="s">
        <v>47</v>
      </c>
      <c r="C111" s="15"/>
      <c r="D111" s="16"/>
      <c r="E111" s="56">
        <f t="shared" ref="E111:N111" si="29">SUM(E103:E110)</f>
        <v>3</v>
      </c>
      <c r="F111" s="56">
        <f t="shared" si="29"/>
        <v>0</v>
      </c>
      <c r="G111" s="56">
        <f t="shared" si="29"/>
        <v>0</v>
      </c>
      <c r="H111" s="56">
        <f t="shared" si="29"/>
        <v>0</v>
      </c>
      <c r="I111" s="56">
        <f t="shared" si="29"/>
        <v>0</v>
      </c>
      <c r="J111" s="56">
        <f t="shared" si="29"/>
        <v>0</v>
      </c>
      <c r="K111" s="56">
        <f t="shared" si="29"/>
        <v>0</v>
      </c>
      <c r="L111" s="56">
        <f t="shared" si="29"/>
        <v>0</v>
      </c>
      <c r="M111" s="56">
        <f t="shared" si="29"/>
        <v>0</v>
      </c>
      <c r="N111" s="56">
        <f t="shared" si="29"/>
        <v>5</v>
      </c>
      <c r="O111" s="13">
        <f t="shared" si="28"/>
        <v>8</v>
      </c>
    </row>
    <row r="112" ht="12.75" customHeight="1">
      <c r="A112" s="57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13"/>
    </row>
    <row r="113" ht="12.75" customHeight="1">
      <c r="A113" s="30" t="s">
        <v>37</v>
      </c>
      <c r="B113" s="47" t="s">
        <v>96</v>
      </c>
      <c r="C113" s="48" t="s">
        <v>97</v>
      </c>
      <c r="D113" s="16"/>
      <c r="E113" s="69">
        <v>0.0</v>
      </c>
      <c r="F113" s="69">
        <v>0.0</v>
      </c>
      <c r="G113" s="69">
        <v>0.0</v>
      </c>
      <c r="H113" s="69">
        <v>0.0</v>
      </c>
      <c r="I113" s="69">
        <v>0.0</v>
      </c>
      <c r="J113" s="69">
        <v>1.0</v>
      </c>
      <c r="K113" s="69">
        <v>0.0</v>
      </c>
      <c r="L113" s="69">
        <v>0.0</v>
      </c>
      <c r="M113" s="69">
        <v>0.0</v>
      </c>
      <c r="N113" s="69">
        <v>0.0</v>
      </c>
      <c r="O113" s="13">
        <f t="shared" ref="O113:O115" si="30">SUM(E113:N113)</f>
        <v>1</v>
      </c>
    </row>
    <row r="114" ht="12.75" customHeight="1">
      <c r="A114" s="30" t="s">
        <v>39</v>
      </c>
      <c r="B114" s="47"/>
      <c r="C114" s="50" t="s">
        <v>98</v>
      </c>
      <c r="D114" s="62"/>
      <c r="E114" s="69">
        <v>0.0</v>
      </c>
      <c r="F114" s="69">
        <v>0.0</v>
      </c>
      <c r="G114" s="69">
        <v>0.0</v>
      </c>
      <c r="H114" s="69">
        <v>0.0</v>
      </c>
      <c r="I114" s="69">
        <v>0.0</v>
      </c>
      <c r="J114" s="69">
        <v>0.0</v>
      </c>
      <c r="K114" s="69">
        <v>0.0</v>
      </c>
      <c r="L114" s="69">
        <v>0.0</v>
      </c>
      <c r="M114" s="69">
        <v>0.0</v>
      </c>
      <c r="N114" s="69">
        <v>0.0</v>
      </c>
      <c r="O114" s="13">
        <f t="shared" si="30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56">
        <f t="shared" ref="E115:N115" si="31">SUM(E113:E114)</f>
        <v>0</v>
      </c>
      <c r="F115" s="56">
        <f t="shared" si="31"/>
        <v>0</v>
      </c>
      <c r="G115" s="56">
        <f t="shared" si="31"/>
        <v>0</v>
      </c>
      <c r="H115" s="56">
        <f t="shared" si="31"/>
        <v>0</v>
      </c>
      <c r="I115" s="56">
        <f t="shared" si="31"/>
        <v>0</v>
      </c>
      <c r="J115" s="56">
        <f t="shared" si="31"/>
        <v>1</v>
      </c>
      <c r="K115" s="56">
        <f t="shared" si="31"/>
        <v>0</v>
      </c>
      <c r="L115" s="56">
        <f t="shared" si="31"/>
        <v>0</v>
      </c>
      <c r="M115" s="56">
        <f t="shared" si="31"/>
        <v>0</v>
      </c>
      <c r="N115" s="56">
        <f t="shared" si="31"/>
        <v>0</v>
      </c>
      <c r="O115" s="13">
        <f t="shared" si="30"/>
        <v>1</v>
      </c>
    </row>
    <row r="116" ht="12.75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13"/>
    </row>
    <row r="117" ht="12.75" customHeight="1">
      <c r="A117" s="30" t="s">
        <v>37</v>
      </c>
      <c r="B117" s="47" t="s">
        <v>99</v>
      </c>
      <c r="C117" s="48" t="s">
        <v>100</v>
      </c>
      <c r="D117" s="16"/>
      <c r="E117" s="69">
        <v>0.0</v>
      </c>
      <c r="F117" s="69">
        <v>0.0</v>
      </c>
      <c r="G117" s="69">
        <v>0.0</v>
      </c>
      <c r="H117" s="69">
        <v>0.0</v>
      </c>
      <c r="I117" s="69">
        <v>0.0</v>
      </c>
      <c r="J117" s="69">
        <v>0.0</v>
      </c>
      <c r="K117" s="69">
        <v>0.0</v>
      </c>
      <c r="L117" s="69">
        <v>0.0</v>
      </c>
      <c r="M117" s="69">
        <v>0.0</v>
      </c>
      <c r="N117" s="69">
        <v>0.0</v>
      </c>
      <c r="O117" s="13">
        <f t="shared" ref="O117:O125" si="32">SUM(E117:N117)</f>
        <v>0</v>
      </c>
      <c r="P117" s="5"/>
      <c r="Q117" s="5"/>
    </row>
    <row r="118" ht="12.75" customHeight="1">
      <c r="A118" s="30" t="s">
        <v>39</v>
      </c>
      <c r="B118" s="49" t="s">
        <v>39</v>
      </c>
      <c r="C118" s="50" t="s">
        <v>101</v>
      </c>
      <c r="D118" s="51"/>
      <c r="E118" s="69">
        <v>0.0</v>
      </c>
      <c r="F118" s="69">
        <v>0.0</v>
      </c>
      <c r="G118" s="69">
        <v>0.0</v>
      </c>
      <c r="H118" s="69">
        <v>0.0</v>
      </c>
      <c r="I118" s="69">
        <v>0.0</v>
      </c>
      <c r="J118" s="69">
        <v>0.0</v>
      </c>
      <c r="K118" s="69">
        <v>0.0</v>
      </c>
      <c r="L118" s="69">
        <v>0.0</v>
      </c>
      <c r="M118" s="69">
        <v>0.0</v>
      </c>
      <c r="N118" s="69">
        <v>0.0</v>
      </c>
      <c r="O118" s="13">
        <f t="shared" si="32"/>
        <v>0</v>
      </c>
      <c r="P118" s="5"/>
      <c r="Q118" s="5"/>
    </row>
    <row r="119" ht="12.75" customHeight="1">
      <c r="A119" s="18"/>
      <c r="B119" s="49"/>
      <c r="C119" s="50" t="s">
        <v>102</v>
      </c>
      <c r="D119" s="51"/>
      <c r="E119" s="69">
        <v>0.0</v>
      </c>
      <c r="F119" s="69">
        <v>0.0</v>
      </c>
      <c r="G119" s="69">
        <v>0.0</v>
      </c>
      <c r="H119" s="69">
        <v>0.0</v>
      </c>
      <c r="I119" s="69">
        <v>0.0</v>
      </c>
      <c r="J119" s="69">
        <v>0.0</v>
      </c>
      <c r="K119" s="69">
        <v>0.0</v>
      </c>
      <c r="L119" s="69">
        <v>0.0</v>
      </c>
      <c r="M119" s="69">
        <v>0.0</v>
      </c>
      <c r="N119" s="69">
        <v>0.0</v>
      </c>
      <c r="O119" s="13">
        <f t="shared" si="32"/>
        <v>0</v>
      </c>
      <c r="P119" s="5"/>
      <c r="Q119" s="5"/>
    </row>
    <row r="120" ht="12.75" customHeight="1">
      <c r="A120" s="18"/>
      <c r="B120" s="49"/>
      <c r="C120" s="50" t="s">
        <v>103</v>
      </c>
      <c r="D120" s="51"/>
      <c r="E120" s="69">
        <v>0.0</v>
      </c>
      <c r="F120" s="69">
        <v>0.0</v>
      </c>
      <c r="G120" s="69">
        <v>0.0</v>
      </c>
      <c r="H120" s="69">
        <v>0.0</v>
      </c>
      <c r="I120" s="69">
        <v>0.0</v>
      </c>
      <c r="J120" s="69">
        <v>0.0</v>
      </c>
      <c r="K120" s="69">
        <v>0.0</v>
      </c>
      <c r="L120" s="69">
        <v>0.0</v>
      </c>
      <c r="M120" s="69">
        <v>0.0</v>
      </c>
      <c r="N120" s="69">
        <v>0.0</v>
      </c>
      <c r="O120" s="13">
        <f t="shared" si="32"/>
        <v>0</v>
      </c>
      <c r="P120" s="5"/>
      <c r="Q120" s="5"/>
    </row>
    <row r="121" ht="12.75" customHeight="1">
      <c r="A121" s="18"/>
      <c r="B121" s="49"/>
      <c r="C121" s="50" t="s">
        <v>104</v>
      </c>
      <c r="D121" s="51"/>
      <c r="E121" s="69">
        <v>0.0</v>
      </c>
      <c r="F121" s="69">
        <v>6.0</v>
      </c>
      <c r="G121" s="69">
        <v>1.0</v>
      </c>
      <c r="H121" s="69">
        <v>1.0</v>
      </c>
      <c r="I121" s="69">
        <v>2.0</v>
      </c>
      <c r="J121" s="69">
        <v>3.0</v>
      </c>
      <c r="K121" s="69">
        <v>0.0</v>
      </c>
      <c r="L121" s="69">
        <v>0.0</v>
      </c>
      <c r="M121" s="69">
        <v>0.0</v>
      </c>
      <c r="N121" s="69">
        <v>2.0</v>
      </c>
      <c r="O121" s="13">
        <f t="shared" si="32"/>
        <v>15</v>
      </c>
      <c r="P121" s="5"/>
      <c r="Q121" s="5"/>
    </row>
    <row r="122" ht="12.75" customHeight="1">
      <c r="A122" s="18"/>
      <c r="B122" s="49"/>
      <c r="C122" s="50" t="s">
        <v>105</v>
      </c>
      <c r="D122" s="51"/>
      <c r="E122" s="69">
        <v>0.0</v>
      </c>
      <c r="F122" s="69">
        <v>0.0</v>
      </c>
      <c r="G122" s="69">
        <v>0.0</v>
      </c>
      <c r="H122" s="69">
        <v>0.0</v>
      </c>
      <c r="I122" s="69">
        <v>0.0</v>
      </c>
      <c r="J122" s="69">
        <v>0.0</v>
      </c>
      <c r="K122" s="69">
        <v>0.0</v>
      </c>
      <c r="L122" s="69">
        <v>0.0</v>
      </c>
      <c r="M122" s="69">
        <v>0.0</v>
      </c>
      <c r="N122" s="69">
        <v>0.0</v>
      </c>
      <c r="O122" s="13">
        <f t="shared" si="32"/>
        <v>0</v>
      </c>
      <c r="P122" s="5"/>
      <c r="Q122" s="5"/>
    </row>
    <row r="123" ht="12.75" customHeight="1">
      <c r="A123" s="18"/>
      <c r="B123" s="49"/>
      <c r="C123" s="50" t="s">
        <v>106</v>
      </c>
      <c r="D123" s="51"/>
      <c r="E123" s="69">
        <v>0.0</v>
      </c>
      <c r="F123" s="69">
        <v>0.0</v>
      </c>
      <c r="G123" s="69">
        <v>0.0</v>
      </c>
      <c r="H123" s="69">
        <v>0.0</v>
      </c>
      <c r="I123" s="69">
        <v>0.0</v>
      </c>
      <c r="J123" s="69">
        <v>0.0</v>
      </c>
      <c r="K123" s="69">
        <v>0.0</v>
      </c>
      <c r="L123" s="69">
        <v>0.0</v>
      </c>
      <c r="M123" s="69">
        <v>0.0</v>
      </c>
      <c r="N123" s="69">
        <v>0.0</v>
      </c>
      <c r="O123" s="13">
        <f t="shared" si="32"/>
        <v>0</v>
      </c>
      <c r="P123" s="5"/>
      <c r="Q123" s="5"/>
    </row>
    <row r="124" ht="12.75" customHeight="1">
      <c r="A124" s="18"/>
      <c r="B124" s="49"/>
      <c r="C124" s="50" t="s">
        <v>107</v>
      </c>
      <c r="D124" s="51"/>
      <c r="E124" s="69">
        <v>0.0</v>
      </c>
      <c r="F124" s="69">
        <v>0.0</v>
      </c>
      <c r="G124" s="69">
        <v>0.0</v>
      </c>
      <c r="H124" s="69">
        <v>0.0</v>
      </c>
      <c r="I124" s="69">
        <v>0.0</v>
      </c>
      <c r="J124" s="69">
        <v>0.0</v>
      </c>
      <c r="K124" s="69">
        <v>0.0</v>
      </c>
      <c r="L124" s="69">
        <v>0.0</v>
      </c>
      <c r="M124" s="69">
        <v>0.0</v>
      </c>
      <c r="N124" s="69">
        <v>0.0</v>
      </c>
      <c r="O124" s="13">
        <f t="shared" si="32"/>
        <v>0</v>
      </c>
      <c r="P124" s="5"/>
      <c r="Q124" s="5"/>
    </row>
    <row r="125" ht="12.75" customHeight="1">
      <c r="A125" s="19" t="s">
        <v>15</v>
      </c>
      <c r="B125" s="47" t="s">
        <v>47</v>
      </c>
      <c r="C125" s="15"/>
      <c r="D125" s="16"/>
      <c r="E125" s="56">
        <f t="shared" ref="E125:N125" si="33">SUM(E117:E124)</f>
        <v>0</v>
      </c>
      <c r="F125" s="56">
        <f t="shared" si="33"/>
        <v>6</v>
      </c>
      <c r="G125" s="56">
        <f t="shared" si="33"/>
        <v>1</v>
      </c>
      <c r="H125" s="56">
        <f t="shared" si="33"/>
        <v>1</v>
      </c>
      <c r="I125" s="56">
        <f t="shared" si="33"/>
        <v>2</v>
      </c>
      <c r="J125" s="56">
        <f t="shared" si="33"/>
        <v>3</v>
      </c>
      <c r="K125" s="56">
        <f t="shared" si="33"/>
        <v>0</v>
      </c>
      <c r="L125" s="56">
        <f t="shared" si="33"/>
        <v>0</v>
      </c>
      <c r="M125" s="56">
        <f t="shared" si="33"/>
        <v>0</v>
      </c>
      <c r="N125" s="56">
        <f t="shared" si="33"/>
        <v>2</v>
      </c>
      <c r="O125" s="13">
        <f t="shared" si="32"/>
        <v>15</v>
      </c>
      <c r="P125" s="5"/>
      <c r="Q125" s="5"/>
    </row>
    <row r="126" ht="12.75" customHeight="1">
      <c r="A126" s="57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13"/>
      <c r="P126" s="5"/>
      <c r="Q126" s="5"/>
    </row>
    <row r="127" ht="15.0" customHeight="1">
      <c r="A127" s="30" t="s">
        <v>37</v>
      </c>
      <c r="B127" s="47" t="s">
        <v>108</v>
      </c>
      <c r="C127" s="48" t="s">
        <v>109</v>
      </c>
      <c r="D127" s="16"/>
      <c r="E127" s="69">
        <v>0.0</v>
      </c>
      <c r="F127" s="69">
        <v>0.0</v>
      </c>
      <c r="G127" s="69">
        <v>0.0</v>
      </c>
      <c r="H127" s="69">
        <v>0.0</v>
      </c>
      <c r="I127" s="69">
        <v>1.0</v>
      </c>
      <c r="J127" s="69">
        <v>0.0</v>
      </c>
      <c r="K127" s="69">
        <v>0.0</v>
      </c>
      <c r="L127" s="69">
        <v>0.0</v>
      </c>
      <c r="M127" s="69">
        <v>0.0</v>
      </c>
      <c r="N127" s="69">
        <v>0.0</v>
      </c>
      <c r="O127" s="13">
        <f t="shared" ref="O127:O129" si="34">SUM(E127:N127)</f>
        <v>1</v>
      </c>
      <c r="P127" s="5"/>
      <c r="Q127" s="5"/>
    </row>
    <row r="128" ht="12.75" customHeight="1">
      <c r="A128" s="30" t="s">
        <v>39</v>
      </c>
      <c r="B128" s="49"/>
      <c r="C128" s="50"/>
      <c r="D128" s="51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3">
        <f t="shared" si="34"/>
        <v>0</v>
      </c>
      <c r="P128" s="5"/>
      <c r="Q128" s="5"/>
    </row>
    <row r="129" ht="12.75" customHeight="1">
      <c r="A129" s="19" t="s">
        <v>15</v>
      </c>
      <c r="B129" s="47" t="s">
        <v>47</v>
      </c>
      <c r="C129" s="15"/>
      <c r="D129" s="16"/>
      <c r="E129" s="56">
        <f t="shared" ref="E129:N129" si="35">SUM(E127:E128)</f>
        <v>0</v>
      </c>
      <c r="F129" s="56">
        <f t="shared" si="35"/>
        <v>0</v>
      </c>
      <c r="G129" s="56">
        <f t="shared" si="35"/>
        <v>0</v>
      </c>
      <c r="H129" s="56">
        <f t="shared" si="35"/>
        <v>0</v>
      </c>
      <c r="I129" s="56">
        <f t="shared" si="35"/>
        <v>1</v>
      </c>
      <c r="J129" s="56">
        <f t="shared" si="35"/>
        <v>0</v>
      </c>
      <c r="K129" s="56">
        <f t="shared" si="35"/>
        <v>0</v>
      </c>
      <c r="L129" s="56">
        <f t="shared" si="35"/>
        <v>0</v>
      </c>
      <c r="M129" s="56">
        <f t="shared" si="35"/>
        <v>0</v>
      </c>
      <c r="N129" s="56">
        <f t="shared" si="35"/>
        <v>0</v>
      </c>
      <c r="O129" s="13">
        <f t="shared" si="34"/>
        <v>1</v>
      </c>
      <c r="P129" s="5"/>
      <c r="Q129" s="5"/>
    </row>
    <row r="130" ht="12.75" customHeight="1">
      <c r="A130" s="57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13"/>
      <c r="P130" s="1"/>
      <c r="Q130" s="1"/>
    </row>
    <row r="131" ht="12.75" customHeight="1">
      <c r="A131" s="30" t="s">
        <v>37</v>
      </c>
      <c r="B131" s="47" t="s">
        <v>110</v>
      </c>
      <c r="C131" s="48" t="s">
        <v>111</v>
      </c>
      <c r="D131" s="16"/>
      <c r="E131" s="69">
        <v>0.0</v>
      </c>
      <c r="F131" s="69">
        <v>1.0</v>
      </c>
      <c r="G131" s="69">
        <v>0.0</v>
      </c>
      <c r="H131" s="69">
        <v>0.0</v>
      </c>
      <c r="I131" s="69">
        <v>1.0</v>
      </c>
      <c r="J131" s="69">
        <v>0.0</v>
      </c>
      <c r="K131" s="69">
        <v>0.0</v>
      </c>
      <c r="L131" s="69">
        <v>0.0</v>
      </c>
      <c r="M131" s="69">
        <v>1.0</v>
      </c>
      <c r="N131" s="69">
        <v>2.0</v>
      </c>
      <c r="O131" s="13">
        <f t="shared" ref="O131:O136" si="36">SUM(E131:N131)</f>
        <v>5</v>
      </c>
      <c r="P131" s="53"/>
      <c r="Q131" s="53"/>
    </row>
    <row r="132" ht="12.75" customHeight="1">
      <c r="A132" s="30" t="s">
        <v>39</v>
      </c>
      <c r="B132" s="49"/>
      <c r="C132" s="50" t="s">
        <v>112</v>
      </c>
      <c r="D132" s="51"/>
      <c r="E132" s="69">
        <v>0.0</v>
      </c>
      <c r="F132" s="69">
        <v>0.0</v>
      </c>
      <c r="G132" s="69">
        <v>0.0</v>
      </c>
      <c r="H132" s="69">
        <v>0.0</v>
      </c>
      <c r="I132" s="69">
        <v>0.0</v>
      </c>
      <c r="J132" s="69">
        <v>0.0</v>
      </c>
      <c r="K132" s="69">
        <v>0.0</v>
      </c>
      <c r="L132" s="69">
        <v>0.0</v>
      </c>
      <c r="M132" s="69">
        <v>0.0</v>
      </c>
      <c r="N132" s="69">
        <v>0.0</v>
      </c>
      <c r="O132" s="13">
        <f t="shared" si="36"/>
        <v>0</v>
      </c>
      <c r="P132" s="5"/>
      <c r="Q132" s="5"/>
    </row>
    <row r="133" ht="12.75" customHeight="1">
      <c r="A133" s="18"/>
      <c r="B133" s="49"/>
      <c r="C133" s="50" t="s">
        <v>113</v>
      </c>
      <c r="D133" s="51"/>
      <c r="E133" s="69">
        <v>0.0</v>
      </c>
      <c r="F133" s="69">
        <v>0.0</v>
      </c>
      <c r="G133" s="69">
        <v>0.0</v>
      </c>
      <c r="H133" s="69">
        <v>0.0</v>
      </c>
      <c r="I133" s="69">
        <v>0.0</v>
      </c>
      <c r="J133" s="69">
        <v>1.0</v>
      </c>
      <c r="K133" s="69">
        <v>0.0</v>
      </c>
      <c r="L133" s="69">
        <v>0.0</v>
      </c>
      <c r="M133" s="69">
        <v>0.0</v>
      </c>
      <c r="N133" s="69">
        <v>0.0</v>
      </c>
      <c r="O133" s="13">
        <f t="shared" si="36"/>
        <v>1</v>
      </c>
      <c r="P133" s="5"/>
      <c r="Q133" s="5"/>
    </row>
    <row r="134" ht="12.75" customHeight="1">
      <c r="A134" s="18"/>
      <c r="B134" s="49"/>
      <c r="C134" s="50" t="s">
        <v>114</v>
      </c>
      <c r="D134" s="51"/>
      <c r="E134" s="69">
        <v>0.0</v>
      </c>
      <c r="F134" s="69">
        <v>0.0</v>
      </c>
      <c r="G134" s="69">
        <v>0.0</v>
      </c>
      <c r="H134" s="69">
        <v>0.0</v>
      </c>
      <c r="I134" s="69">
        <v>0.0</v>
      </c>
      <c r="J134" s="69">
        <v>0.0</v>
      </c>
      <c r="K134" s="69">
        <v>0.0</v>
      </c>
      <c r="L134" s="69">
        <v>0.0</v>
      </c>
      <c r="M134" s="69">
        <v>0.0</v>
      </c>
      <c r="N134" s="69">
        <v>0.0</v>
      </c>
      <c r="O134" s="13">
        <f t="shared" si="36"/>
        <v>0</v>
      </c>
      <c r="P134" s="5"/>
      <c r="Q134" s="5"/>
    </row>
    <row r="135" ht="12.75" customHeight="1">
      <c r="A135" s="18"/>
      <c r="B135" s="49"/>
      <c r="C135" s="50" t="s">
        <v>115</v>
      </c>
      <c r="D135" s="51"/>
      <c r="E135" s="69">
        <v>0.0</v>
      </c>
      <c r="F135" s="69">
        <v>0.0</v>
      </c>
      <c r="G135" s="69">
        <v>0.0</v>
      </c>
      <c r="H135" s="69">
        <v>0.0</v>
      </c>
      <c r="I135" s="69">
        <v>0.0</v>
      </c>
      <c r="J135" s="69">
        <v>0.0</v>
      </c>
      <c r="K135" s="69">
        <v>0.0</v>
      </c>
      <c r="L135" s="69">
        <v>0.0</v>
      </c>
      <c r="M135" s="69">
        <v>0.0</v>
      </c>
      <c r="N135" s="69">
        <v>0.0</v>
      </c>
      <c r="O135" s="13">
        <f t="shared" si="36"/>
        <v>0</v>
      </c>
      <c r="P135" s="5"/>
      <c r="Q135" s="5"/>
    </row>
    <row r="136" ht="12.75" customHeight="1">
      <c r="A136" s="19" t="s">
        <v>15</v>
      </c>
      <c r="B136" s="47" t="s">
        <v>47</v>
      </c>
      <c r="C136" s="15"/>
      <c r="D136" s="16"/>
      <c r="E136" s="56">
        <f t="shared" ref="E136:N136" si="37">SUM(E131:E135)</f>
        <v>0</v>
      </c>
      <c r="F136" s="56">
        <f t="shared" si="37"/>
        <v>1</v>
      </c>
      <c r="G136" s="56">
        <f t="shared" si="37"/>
        <v>0</v>
      </c>
      <c r="H136" s="56">
        <f t="shared" si="37"/>
        <v>0</v>
      </c>
      <c r="I136" s="56">
        <f t="shared" si="37"/>
        <v>1</v>
      </c>
      <c r="J136" s="56">
        <f t="shared" si="37"/>
        <v>1</v>
      </c>
      <c r="K136" s="56">
        <f t="shared" si="37"/>
        <v>0</v>
      </c>
      <c r="L136" s="56">
        <f t="shared" si="37"/>
        <v>0</v>
      </c>
      <c r="M136" s="56">
        <f t="shared" si="37"/>
        <v>1</v>
      </c>
      <c r="N136" s="56">
        <f t="shared" si="37"/>
        <v>2</v>
      </c>
      <c r="O136" s="13">
        <f t="shared" si="36"/>
        <v>6</v>
      </c>
      <c r="P136" s="5"/>
      <c r="Q136" s="5"/>
    </row>
    <row r="137" ht="12.75" customHeight="1">
      <c r="A137" s="57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13"/>
      <c r="P137" s="5"/>
      <c r="Q137" s="5"/>
    </row>
    <row r="138" ht="12.75" customHeight="1">
      <c r="A138" s="30" t="s">
        <v>37</v>
      </c>
      <c r="B138" s="47" t="s">
        <v>116</v>
      </c>
      <c r="C138" s="48" t="s">
        <v>117</v>
      </c>
      <c r="D138" s="16"/>
      <c r="E138" s="69">
        <v>0.0</v>
      </c>
      <c r="F138" s="69">
        <v>0.0</v>
      </c>
      <c r="G138" s="69">
        <v>0.0</v>
      </c>
      <c r="H138" s="69">
        <v>0.0</v>
      </c>
      <c r="I138" s="69">
        <v>0.0</v>
      </c>
      <c r="J138" s="69">
        <v>0.0</v>
      </c>
      <c r="K138" s="69">
        <v>1.0</v>
      </c>
      <c r="L138" s="69">
        <v>0.0</v>
      </c>
      <c r="M138" s="69">
        <v>0.0</v>
      </c>
      <c r="N138" s="69">
        <v>0.0</v>
      </c>
      <c r="O138" s="13">
        <f t="shared" ref="O138:O146" si="38">SUM(E138:N138)</f>
        <v>1</v>
      </c>
      <c r="P138" s="5"/>
      <c r="Q138" s="5"/>
    </row>
    <row r="139" ht="15.0" customHeight="1">
      <c r="A139" s="30" t="s">
        <v>39</v>
      </c>
      <c r="B139" s="49"/>
      <c r="C139" s="50" t="s">
        <v>118</v>
      </c>
      <c r="D139" s="51"/>
      <c r="E139" s="69">
        <v>0.0</v>
      </c>
      <c r="F139" s="69">
        <v>0.0</v>
      </c>
      <c r="G139" s="69">
        <v>0.0</v>
      </c>
      <c r="H139" s="69">
        <v>0.0</v>
      </c>
      <c r="I139" s="69">
        <v>0.0</v>
      </c>
      <c r="J139" s="69">
        <v>0.0</v>
      </c>
      <c r="K139" s="69">
        <v>0.0</v>
      </c>
      <c r="L139" s="69">
        <v>0.0</v>
      </c>
      <c r="M139" s="69">
        <v>0.0</v>
      </c>
      <c r="N139" s="69">
        <v>0.0</v>
      </c>
      <c r="O139" s="13">
        <f t="shared" si="38"/>
        <v>0</v>
      </c>
      <c r="P139" s="5"/>
      <c r="Q139" s="5"/>
    </row>
    <row r="140" ht="12.75" customHeight="1">
      <c r="A140" s="18"/>
      <c r="B140" s="49"/>
      <c r="C140" s="50" t="s">
        <v>119</v>
      </c>
      <c r="D140" s="51"/>
      <c r="E140" s="69">
        <v>0.0</v>
      </c>
      <c r="F140" s="69">
        <v>0.0</v>
      </c>
      <c r="G140" s="69">
        <v>0.0</v>
      </c>
      <c r="H140" s="69">
        <v>0.0</v>
      </c>
      <c r="I140" s="69">
        <v>0.0</v>
      </c>
      <c r="J140" s="69">
        <v>2.0</v>
      </c>
      <c r="K140" s="69">
        <v>0.0</v>
      </c>
      <c r="L140" s="69">
        <v>0.0</v>
      </c>
      <c r="M140" s="69">
        <v>0.0</v>
      </c>
      <c r="N140" s="69">
        <v>0.0</v>
      </c>
      <c r="O140" s="13">
        <f t="shared" si="38"/>
        <v>2</v>
      </c>
      <c r="P140" s="5"/>
      <c r="Q140" s="5"/>
    </row>
    <row r="141" ht="12.75" customHeight="1">
      <c r="A141" s="18"/>
      <c r="B141" s="49"/>
      <c r="C141" s="50" t="s">
        <v>120</v>
      </c>
      <c r="D141" s="51"/>
      <c r="E141" s="69">
        <v>0.0</v>
      </c>
      <c r="F141" s="69">
        <v>0.0</v>
      </c>
      <c r="G141" s="69">
        <v>0.0</v>
      </c>
      <c r="H141" s="69">
        <v>0.0</v>
      </c>
      <c r="I141" s="69">
        <v>0.0</v>
      </c>
      <c r="J141" s="69">
        <v>0.0</v>
      </c>
      <c r="K141" s="69">
        <v>0.0</v>
      </c>
      <c r="L141" s="69">
        <v>0.0</v>
      </c>
      <c r="M141" s="69">
        <v>0.0</v>
      </c>
      <c r="N141" s="69">
        <v>0.0</v>
      </c>
      <c r="O141" s="13">
        <f t="shared" si="38"/>
        <v>0</v>
      </c>
      <c r="P141" s="1"/>
      <c r="Q141" s="1"/>
    </row>
    <row r="142" ht="12.75" customHeight="1">
      <c r="A142" s="18"/>
      <c r="B142" s="49"/>
      <c r="C142" s="50" t="s">
        <v>121</v>
      </c>
      <c r="D142" s="51"/>
      <c r="E142" s="69">
        <v>0.0</v>
      </c>
      <c r="F142" s="69">
        <v>0.0</v>
      </c>
      <c r="G142" s="69">
        <v>0.0</v>
      </c>
      <c r="H142" s="69">
        <v>0.0</v>
      </c>
      <c r="I142" s="69">
        <v>0.0</v>
      </c>
      <c r="J142" s="69">
        <v>0.0</v>
      </c>
      <c r="K142" s="69">
        <v>0.0</v>
      </c>
      <c r="L142" s="69">
        <v>0.0</v>
      </c>
      <c r="M142" s="69">
        <v>0.0</v>
      </c>
      <c r="N142" s="69">
        <v>0.0</v>
      </c>
      <c r="O142" s="13">
        <f t="shared" si="38"/>
        <v>0</v>
      </c>
      <c r="P142" s="53"/>
      <c r="Q142" s="53"/>
    </row>
    <row r="143" ht="12.75" customHeight="1">
      <c r="A143" s="18"/>
      <c r="B143" s="49"/>
      <c r="C143" s="50" t="s">
        <v>122</v>
      </c>
      <c r="D143" s="51"/>
      <c r="E143" s="69">
        <v>0.0</v>
      </c>
      <c r="F143" s="69">
        <v>0.0</v>
      </c>
      <c r="G143" s="69">
        <v>0.0</v>
      </c>
      <c r="H143" s="69">
        <v>0.0</v>
      </c>
      <c r="I143" s="69">
        <v>0.0</v>
      </c>
      <c r="J143" s="69">
        <v>0.0</v>
      </c>
      <c r="K143" s="69">
        <v>0.0</v>
      </c>
      <c r="L143" s="69">
        <v>0.0</v>
      </c>
      <c r="M143" s="69">
        <v>0.0</v>
      </c>
      <c r="N143" s="69">
        <v>0.0</v>
      </c>
      <c r="O143" s="13">
        <f t="shared" si="38"/>
        <v>0</v>
      </c>
      <c r="P143" s="5"/>
      <c r="Q143" s="5"/>
    </row>
    <row r="144" ht="12.75" customHeight="1">
      <c r="A144" s="18"/>
      <c r="B144" s="49"/>
      <c r="C144" s="50" t="s">
        <v>123</v>
      </c>
      <c r="D144" s="51"/>
      <c r="E144" s="69">
        <v>0.0</v>
      </c>
      <c r="F144" s="69">
        <v>0.0</v>
      </c>
      <c r="G144" s="69">
        <v>0.0</v>
      </c>
      <c r="H144" s="69">
        <v>0.0</v>
      </c>
      <c r="I144" s="69">
        <v>0.0</v>
      </c>
      <c r="J144" s="69">
        <v>0.0</v>
      </c>
      <c r="K144" s="69">
        <v>0.0</v>
      </c>
      <c r="L144" s="69">
        <v>0.0</v>
      </c>
      <c r="M144" s="69">
        <v>0.0</v>
      </c>
      <c r="N144" s="69">
        <v>0.0</v>
      </c>
      <c r="O144" s="13">
        <f t="shared" si="38"/>
        <v>0</v>
      </c>
      <c r="P144" s="5"/>
      <c r="Q144" s="5"/>
    </row>
    <row r="145" ht="12.75" customHeight="1">
      <c r="A145" s="18"/>
      <c r="B145" s="49"/>
      <c r="C145" s="50" t="s">
        <v>124</v>
      </c>
      <c r="D145" s="51"/>
      <c r="E145" s="69">
        <v>0.0</v>
      </c>
      <c r="F145" s="69">
        <v>0.0</v>
      </c>
      <c r="G145" s="69">
        <v>0.0</v>
      </c>
      <c r="H145" s="69">
        <v>0.0</v>
      </c>
      <c r="I145" s="69">
        <v>0.0</v>
      </c>
      <c r="J145" s="69">
        <v>0.0</v>
      </c>
      <c r="K145" s="69">
        <v>0.0</v>
      </c>
      <c r="L145" s="69">
        <v>0.0</v>
      </c>
      <c r="M145" s="69">
        <v>0.0</v>
      </c>
      <c r="N145" s="69">
        <v>0.0</v>
      </c>
      <c r="O145" s="13">
        <f t="shared" si="38"/>
        <v>0</v>
      </c>
      <c r="P145" s="5"/>
      <c r="Q145" s="5"/>
    </row>
    <row r="146" ht="12.75" customHeight="1">
      <c r="A146" s="19" t="s">
        <v>15</v>
      </c>
      <c r="B146" s="47" t="s">
        <v>47</v>
      </c>
      <c r="C146" s="15"/>
      <c r="D146" s="16"/>
      <c r="E146" s="56">
        <f t="shared" ref="E146:N146" si="39">SUM(E138:E145)</f>
        <v>0</v>
      </c>
      <c r="F146" s="56">
        <f t="shared" si="39"/>
        <v>0</v>
      </c>
      <c r="G146" s="56">
        <f t="shared" si="39"/>
        <v>0</v>
      </c>
      <c r="H146" s="56">
        <f t="shared" si="39"/>
        <v>0</v>
      </c>
      <c r="I146" s="56">
        <f t="shared" si="39"/>
        <v>0</v>
      </c>
      <c r="J146" s="56">
        <f t="shared" si="39"/>
        <v>2</v>
      </c>
      <c r="K146" s="56">
        <f t="shared" si="39"/>
        <v>1</v>
      </c>
      <c r="L146" s="56">
        <f t="shared" si="39"/>
        <v>0</v>
      </c>
      <c r="M146" s="56">
        <f t="shared" si="39"/>
        <v>0</v>
      </c>
      <c r="N146" s="56">
        <f t="shared" si="39"/>
        <v>0</v>
      </c>
      <c r="O146" s="13">
        <f t="shared" si="38"/>
        <v>3</v>
      </c>
      <c r="P146" s="5"/>
      <c r="Q146" s="5"/>
    </row>
    <row r="147" ht="12.75" customHeight="1">
      <c r="A147" s="57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13"/>
      <c r="P147" s="5"/>
      <c r="Q147" s="5"/>
    </row>
    <row r="148" ht="12.75" customHeight="1">
      <c r="A148" s="30" t="s">
        <v>37</v>
      </c>
      <c r="B148" s="47" t="s">
        <v>125</v>
      </c>
      <c r="C148" s="48" t="s">
        <v>126</v>
      </c>
      <c r="D148" s="16"/>
      <c r="E148" s="69">
        <v>0.0</v>
      </c>
      <c r="F148" s="69">
        <v>0.0</v>
      </c>
      <c r="G148" s="69">
        <v>0.0</v>
      </c>
      <c r="H148" s="69">
        <v>0.0</v>
      </c>
      <c r="I148" s="69">
        <v>4.0</v>
      </c>
      <c r="J148" s="69">
        <v>2.0</v>
      </c>
      <c r="K148" s="69">
        <v>0.0</v>
      </c>
      <c r="L148" s="69">
        <v>0.0</v>
      </c>
      <c r="M148" s="69">
        <v>0.0</v>
      </c>
      <c r="N148" s="69">
        <v>3.0</v>
      </c>
      <c r="O148" s="13">
        <f t="shared" ref="O148:O156" si="40">SUM(E148:N148)</f>
        <v>9</v>
      </c>
      <c r="P148" s="5"/>
      <c r="Q148" s="5"/>
    </row>
    <row r="149" ht="12.75" customHeight="1">
      <c r="A149" s="30" t="s">
        <v>39</v>
      </c>
      <c r="B149" s="49"/>
      <c r="C149" s="50" t="s">
        <v>127</v>
      </c>
      <c r="D149" s="51"/>
      <c r="E149" s="69">
        <v>0.0</v>
      </c>
      <c r="F149" s="69">
        <v>1.0</v>
      </c>
      <c r="G149" s="69">
        <v>0.0</v>
      </c>
      <c r="H149" s="69">
        <v>0.0</v>
      </c>
      <c r="I149" s="69">
        <v>0.0</v>
      </c>
      <c r="J149" s="69">
        <v>2.0</v>
      </c>
      <c r="K149" s="69">
        <v>0.0</v>
      </c>
      <c r="L149" s="69">
        <v>0.0</v>
      </c>
      <c r="M149" s="69">
        <v>0.0</v>
      </c>
      <c r="N149" s="69">
        <v>2.0</v>
      </c>
      <c r="O149" s="13">
        <f t="shared" si="40"/>
        <v>5</v>
      </c>
      <c r="P149" s="5"/>
      <c r="Q149" s="5"/>
    </row>
    <row r="150" ht="12.75" customHeight="1">
      <c r="A150" s="18"/>
      <c r="B150" s="49"/>
      <c r="C150" s="50" t="s">
        <v>128</v>
      </c>
      <c r="D150" s="51"/>
      <c r="E150" s="69">
        <v>0.0</v>
      </c>
      <c r="F150" s="69">
        <v>0.0</v>
      </c>
      <c r="G150" s="69">
        <v>0.0</v>
      </c>
      <c r="H150" s="69">
        <v>0.0</v>
      </c>
      <c r="I150" s="69">
        <v>1.0</v>
      </c>
      <c r="J150" s="69">
        <v>0.0</v>
      </c>
      <c r="K150" s="69">
        <v>1.0</v>
      </c>
      <c r="L150" s="69">
        <v>2.0</v>
      </c>
      <c r="M150" s="69">
        <v>0.0</v>
      </c>
      <c r="N150" s="69">
        <v>0.0</v>
      </c>
      <c r="O150" s="13">
        <f t="shared" si="40"/>
        <v>4</v>
      </c>
      <c r="P150" s="5"/>
      <c r="Q150" s="5"/>
    </row>
    <row r="151" ht="12.75" customHeight="1">
      <c r="A151" s="18"/>
      <c r="B151" s="49"/>
      <c r="C151" s="50" t="s">
        <v>129</v>
      </c>
      <c r="D151" s="51"/>
      <c r="E151" s="69">
        <v>0.0</v>
      </c>
      <c r="F151" s="69">
        <v>0.0</v>
      </c>
      <c r="G151" s="69">
        <v>0.0</v>
      </c>
      <c r="H151" s="69">
        <v>0.0</v>
      </c>
      <c r="I151" s="69">
        <v>0.0</v>
      </c>
      <c r="J151" s="69">
        <v>1.0</v>
      </c>
      <c r="K151" s="69">
        <v>0.0</v>
      </c>
      <c r="L151" s="69">
        <v>0.0</v>
      </c>
      <c r="M151" s="69">
        <v>0.0</v>
      </c>
      <c r="N151" s="69">
        <v>0.0</v>
      </c>
      <c r="O151" s="13">
        <f t="shared" si="40"/>
        <v>1</v>
      </c>
      <c r="P151" s="1"/>
      <c r="Q151" s="1"/>
    </row>
    <row r="152" ht="12.75" customHeight="1">
      <c r="A152" s="18"/>
      <c r="B152" s="49"/>
      <c r="C152" s="50" t="s">
        <v>130</v>
      </c>
      <c r="D152" s="51"/>
      <c r="E152" s="69">
        <v>3.0</v>
      </c>
      <c r="F152" s="69">
        <v>4.0</v>
      </c>
      <c r="G152" s="69">
        <v>1.0</v>
      </c>
      <c r="H152" s="69">
        <v>0.0</v>
      </c>
      <c r="I152" s="69">
        <v>0.0</v>
      </c>
      <c r="J152" s="69">
        <v>3.0</v>
      </c>
      <c r="K152" s="69">
        <v>4.0</v>
      </c>
      <c r="L152" s="69">
        <v>0.0</v>
      </c>
      <c r="M152" s="69">
        <v>0.0</v>
      </c>
      <c r="N152" s="69">
        <v>2.0</v>
      </c>
      <c r="O152" s="13">
        <f t="shared" si="40"/>
        <v>17</v>
      </c>
      <c r="P152" s="53"/>
      <c r="Q152" s="53"/>
    </row>
    <row r="153" ht="12.75" customHeight="1">
      <c r="A153" s="18"/>
      <c r="B153" s="49"/>
      <c r="C153" s="50" t="s">
        <v>131</v>
      </c>
      <c r="D153" s="51"/>
      <c r="E153" s="69">
        <v>0.0</v>
      </c>
      <c r="F153" s="69">
        <v>0.0</v>
      </c>
      <c r="G153" s="69">
        <v>0.0</v>
      </c>
      <c r="H153" s="69">
        <v>0.0</v>
      </c>
      <c r="I153" s="69">
        <v>0.0</v>
      </c>
      <c r="J153" s="69">
        <v>0.0</v>
      </c>
      <c r="K153" s="69">
        <v>0.0</v>
      </c>
      <c r="L153" s="69">
        <v>0.0</v>
      </c>
      <c r="M153" s="69">
        <v>1.0</v>
      </c>
      <c r="N153" s="69">
        <v>0.0</v>
      </c>
      <c r="O153" s="13">
        <f t="shared" si="40"/>
        <v>1</v>
      </c>
      <c r="P153" s="5"/>
      <c r="Q153" s="5"/>
    </row>
    <row r="154" ht="12.75" customHeight="1">
      <c r="A154" s="18"/>
      <c r="B154" s="49"/>
      <c r="C154" s="50" t="s">
        <v>132</v>
      </c>
      <c r="D154" s="51"/>
      <c r="E154" s="69">
        <v>0.0</v>
      </c>
      <c r="F154" s="69">
        <v>0.0</v>
      </c>
      <c r="G154" s="69">
        <v>0.0</v>
      </c>
      <c r="H154" s="69">
        <v>0.0</v>
      </c>
      <c r="I154" s="69">
        <v>0.0</v>
      </c>
      <c r="J154" s="69">
        <v>0.0</v>
      </c>
      <c r="K154" s="69">
        <v>0.0</v>
      </c>
      <c r="L154" s="69">
        <v>0.0</v>
      </c>
      <c r="M154" s="69">
        <v>0.0</v>
      </c>
      <c r="N154" s="69">
        <v>0.0</v>
      </c>
      <c r="O154" s="13">
        <f t="shared" si="40"/>
        <v>0</v>
      </c>
      <c r="P154" s="5"/>
      <c r="Q154" s="5"/>
    </row>
    <row r="155" ht="12.75" customHeight="1">
      <c r="A155" s="18"/>
      <c r="B155" s="49"/>
      <c r="C155" s="50" t="s">
        <v>133</v>
      </c>
      <c r="D155" s="51"/>
      <c r="E155" s="69">
        <v>2.0</v>
      </c>
      <c r="F155" s="69">
        <v>0.0</v>
      </c>
      <c r="G155" s="69">
        <v>2.0</v>
      </c>
      <c r="H155" s="69">
        <v>2.0</v>
      </c>
      <c r="I155" s="69">
        <v>2.0</v>
      </c>
      <c r="J155" s="69">
        <v>3.0</v>
      </c>
      <c r="K155" s="69">
        <v>2.0</v>
      </c>
      <c r="L155" s="69">
        <v>2.0</v>
      </c>
      <c r="M155" s="69">
        <v>2.0</v>
      </c>
      <c r="N155" s="69">
        <v>2.0</v>
      </c>
      <c r="O155" s="13">
        <f t="shared" si="40"/>
        <v>19</v>
      </c>
      <c r="P155" s="5"/>
      <c r="Q155" s="5"/>
    </row>
    <row r="156" ht="12.75" customHeight="1">
      <c r="A156" s="19" t="s">
        <v>15</v>
      </c>
      <c r="B156" s="47" t="s">
        <v>47</v>
      </c>
      <c r="C156" s="15"/>
      <c r="D156" s="16"/>
      <c r="E156" s="56">
        <f t="shared" ref="E156:N156" si="41">SUM(E148:E155)</f>
        <v>5</v>
      </c>
      <c r="F156" s="56">
        <f t="shared" si="41"/>
        <v>5</v>
      </c>
      <c r="G156" s="56">
        <f t="shared" si="41"/>
        <v>3</v>
      </c>
      <c r="H156" s="56">
        <f t="shared" si="41"/>
        <v>2</v>
      </c>
      <c r="I156" s="56">
        <f t="shared" si="41"/>
        <v>7</v>
      </c>
      <c r="J156" s="56">
        <f t="shared" si="41"/>
        <v>11</v>
      </c>
      <c r="K156" s="56">
        <f t="shared" si="41"/>
        <v>7</v>
      </c>
      <c r="L156" s="56">
        <f t="shared" si="41"/>
        <v>4</v>
      </c>
      <c r="M156" s="56">
        <f t="shared" si="41"/>
        <v>3</v>
      </c>
      <c r="N156" s="56">
        <f t="shared" si="41"/>
        <v>9</v>
      </c>
      <c r="O156" s="13">
        <f t="shared" si="40"/>
        <v>56</v>
      </c>
      <c r="P156" s="5"/>
      <c r="Q156" s="5"/>
    </row>
    <row r="157" ht="12.75" customHeight="1">
      <c r="A157" s="57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13"/>
      <c r="P157" s="5"/>
      <c r="Q157" s="5"/>
    </row>
    <row r="158" ht="12.75" customHeight="1">
      <c r="A158" s="30" t="s">
        <v>37</v>
      </c>
      <c r="B158" s="47" t="s">
        <v>134</v>
      </c>
      <c r="C158" s="48" t="s">
        <v>135</v>
      </c>
      <c r="D158" s="16"/>
      <c r="E158" s="69">
        <v>1.0</v>
      </c>
      <c r="F158" s="69">
        <v>1.0</v>
      </c>
      <c r="G158" s="69">
        <v>0.0</v>
      </c>
      <c r="H158" s="69">
        <v>0.0</v>
      </c>
      <c r="I158" s="69">
        <v>0.0</v>
      </c>
      <c r="J158" s="69">
        <v>5.0</v>
      </c>
      <c r="K158" s="69">
        <v>1.0</v>
      </c>
      <c r="L158" s="69">
        <v>2.0</v>
      </c>
      <c r="M158" s="69">
        <v>0.0</v>
      </c>
      <c r="N158" s="69">
        <v>1.0</v>
      </c>
      <c r="O158" s="13">
        <f t="shared" ref="O158:O161" si="42">SUM(E158:N158)</f>
        <v>11</v>
      </c>
      <c r="P158" s="5"/>
      <c r="Q158" s="5"/>
    </row>
    <row r="159" ht="12.75" customHeight="1">
      <c r="A159" s="30" t="s">
        <v>39</v>
      </c>
      <c r="B159" s="49"/>
      <c r="C159" s="50" t="s">
        <v>136</v>
      </c>
      <c r="D159" s="51"/>
      <c r="E159" s="69">
        <v>1.0</v>
      </c>
      <c r="F159" s="69">
        <v>0.0</v>
      </c>
      <c r="G159" s="69">
        <v>5.0</v>
      </c>
      <c r="H159" s="69">
        <v>0.0</v>
      </c>
      <c r="I159" s="69">
        <v>1.0</v>
      </c>
      <c r="J159" s="69">
        <v>1.0</v>
      </c>
      <c r="K159" s="69">
        <v>2.0</v>
      </c>
      <c r="L159" s="69">
        <v>0.0</v>
      </c>
      <c r="M159" s="69">
        <v>0.0</v>
      </c>
      <c r="N159" s="69">
        <v>1.0</v>
      </c>
      <c r="O159" s="13">
        <f t="shared" si="42"/>
        <v>11</v>
      </c>
      <c r="P159" s="5"/>
      <c r="Q159" s="5"/>
    </row>
    <row r="160" ht="12.75" customHeight="1">
      <c r="A160" s="30"/>
      <c r="B160" s="49"/>
      <c r="C160" s="50" t="s">
        <v>137</v>
      </c>
      <c r="D160" s="51"/>
      <c r="E160" s="69">
        <v>1.0</v>
      </c>
      <c r="F160" s="69">
        <v>0.0</v>
      </c>
      <c r="G160" s="69">
        <v>1.0</v>
      </c>
      <c r="H160" s="69">
        <v>0.0</v>
      </c>
      <c r="I160" s="69">
        <v>1.0</v>
      </c>
      <c r="J160" s="69">
        <v>0.0</v>
      </c>
      <c r="K160" s="69">
        <v>2.0</v>
      </c>
      <c r="L160" s="69">
        <v>0.0</v>
      </c>
      <c r="M160" s="69">
        <v>0.0</v>
      </c>
      <c r="N160" s="69">
        <v>0.0</v>
      </c>
      <c r="O160" s="13">
        <f t="shared" si="42"/>
        <v>5</v>
      </c>
      <c r="P160" s="5"/>
      <c r="Q160" s="5"/>
    </row>
    <row r="161" ht="12.75" customHeight="1">
      <c r="A161" s="19" t="s">
        <v>15</v>
      </c>
      <c r="B161" s="47" t="s">
        <v>47</v>
      </c>
      <c r="C161" s="15"/>
      <c r="D161" s="16"/>
      <c r="E161" s="56">
        <f t="shared" ref="E161:N161" si="43">SUM(E158:E160)</f>
        <v>3</v>
      </c>
      <c r="F161" s="56">
        <f t="shared" si="43"/>
        <v>1</v>
      </c>
      <c r="G161" s="56">
        <f t="shared" si="43"/>
        <v>6</v>
      </c>
      <c r="H161" s="56">
        <f t="shared" si="43"/>
        <v>0</v>
      </c>
      <c r="I161" s="56">
        <f t="shared" si="43"/>
        <v>2</v>
      </c>
      <c r="J161" s="56">
        <f t="shared" si="43"/>
        <v>6</v>
      </c>
      <c r="K161" s="56">
        <f t="shared" si="43"/>
        <v>5</v>
      </c>
      <c r="L161" s="56">
        <f t="shared" si="43"/>
        <v>2</v>
      </c>
      <c r="M161" s="56">
        <f t="shared" si="43"/>
        <v>0</v>
      </c>
      <c r="N161" s="56">
        <f t="shared" si="43"/>
        <v>2</v>
      </c>
      <c r="O161" s="13">
        <f t="shared" si="42"/>
        <v>27</v>
      </c>
      <c r="P161" s="5"/>
      <c r="Q161" s="5"/>
    </row>
    <row r="162" ht="12.75" customHeight="1">
      <c r="A162" s="57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13"/>
      <c r="P162" s="5"/>
      <c r="Q162" s="5"/>
    </row>
    <row r="163" ht="15.0" customHeight="1">
      <c r="A163" s="30" t="s">
        <v>37</v>
      </c>
      <c r="B163" s="47" t="s">
        <v>138</v>
      </c>
      <c r="C163" s="48" t="s">
        <v>139</v>
      </c>
      <c r="D163" s="16"/>
      <c r="E163" s="69">
        <v>0.0</v>
      </c>
      <c r="F163" s="69">
        <v>0.0</v>
      </c>
      <c r="G163" s="69">
        <v>0.0</v>
      </c>
      <c r="H163" s="69">
        <v>0.0</v>
      </c>
      <c r="I163" s="69">
        <v>0.0</v>
      </c>
      <c r="J163" s="69">
        <v>0.0</v>
      </c>
      <c r="K163" s="69">
        <v>0.0</v>
      </c>
      <c r="L163" s="69">
        <v>0.0</v>
      </c>
      <c r="M163" s="69">
        <v>0.0</v>
      </c>
      <c r="N163" s="69">
        <v>0.0</v>
      </c>
      <c r="O163" s="13">
        <f t="shared" ref="O163:O165" si="44">SUM(E163:N163)</f>
        <v>0</v>
      </c>
      <c r="P163" s="5"/>
      <c r="Q163" s="5"/>
    </row>
    <row r="164" ht="12.75" customHeight="1">
      <c r="A164" s="30" t="s">
        <v>39</v>
      </c>
      <c r="B164" s="47"/>
      <c r="C164" s="50" t="s">
        <v>140</v>
      </c>
      <c r="D164" s="62"/>
      <c r="E164" s="69">
        <v>1.0</v>
      </c>
      <c r="F164" s="69">
        <v>0.0</v>
      </c>
      <c r="G164" s="69">
        <v>0.0</v>
      </c>
      <c r="H164" s="69">
        <v>1.0</v>
      </c>
      <c r="I164" s="69">
        <v>2.0</v>
      </c>
      <c r="J164" s="69">
        <v>0.0</v>
      </c>
      <c r="K164" s="69">
        <v>0.0</v>
      </c>
      <c r="L164" s="69">
        <v>0.0</v>
      </c>
      <c r="M164" s="69">
        <v>0.0</v>
      </c>
      <c r="N164" s="69">
        <v>0.0</v>
      </c>
      <c r="O164" s="13">
        <f t="shared" si="44"/>
        <v>4</v>
      </c>
      <c r="P164" s="5"/>
      <c r="Q164" s="5"/>
    </row>
    <row r="165" ht="12.75" customHeight="1">
      <c r="A165" s="19" t="s">
        <v>15</v>
      </c>
      <c r="B165" s="47" t="s">
        <v>47</v>
      </c>
      <c r="C165" s="15"/>
      <c r="D165" s="16"/>
      <c r="E165" s="56">
        <f t="shared" ref="E165:N165" si="45">SUM(E163:E164)</f>
        <v>1</v>
      </c>
      <c r="F165" s="56">
        <f t="shared" si="45"/>
        <v>0</v>
      </c>
      <c r="G165" s="56">
        <f t="shared" si="45"/>
        <v>0</v>
      </c>
      <c r="H165" s="56">
        <f t="shared" si="45"/>
        <v>1</v>
      </c>
      <c r="I165" s="56">
        <f t="shared" si="45"/>
        <v>2</v>
      </c>
      <c r="J165" s="56">
        <f t="shared" si="45"/>
        <v>0</v>
      </c>
      <c r="K165" s="56">
        <f t="shared" si="45"/>
        <v>0</v>
      </c>
      <c r="L165" s="56">
        <f t="shared" si="45"/>
        <v>0</v>
      </c>
      <c r="M165" s="56">
        <f t="shared" si="45"/>
        <v>0</v>
      </c>
      <c r="N165" s="56">
        <f t="shared" si="45"/>
        <v>0</v>
      </c>
      <c r="O165" s="13">
        <f t="shared" si="44"/>
        <v>4</v>
      </c>
      <c r="P165" s="1"/>
      <c r="Q165" s="1"/>
    </row>
    <row r="166" ht="12.75" customHeight="1">
      <c r="A166" s="57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13"/>
      <c r="P166" s="53"/>
      <c r="Q166" s="53"/>
    </row>
    <row r="167" ht="12.75" customHeight="1">
      <c r="A167" s="30" t="s">
        <v>37</v>
      </c>
      <c r="B167" s="47" t="s">
        <v>141</v>
      </c>
      <c r="C167" s="48" t="s">
        <v>142</v>
      </c>
      <c r="D167" s="16"/>
      <c r="E167" s="69">
        <v>0.0</v>
      </c>
      <c r="F167" s="69">
        <v>1.0</v>
      </c>
      <c r="G167" s="69">
        <v>0.0</v>
      </c>
      <c r="H167" s="69">
        <v>0.0</v>
      </c>
      <c r="I167" s="69">
        <v>0.0</v>
      </c>
      <c r="J167" s="69">
        <v>1.0</v>
      </c>
      <c r="K167" s="69">
        <v>1.0</v>
      </c>
      <c r="L167" s="69">
        <v>0.0</v>
      </c>
      <c r="M167" s="69">
        <v>0.0</v>
      </c>
      <c r="N167" s="69">
        <v>0.0</v>
      </c>
      <c r="O167" s="13">
        <f t="shared" ref="O167:O175" si="46">SUM(E167:N167)</f>
        <v>3</v>
      </c>
      <c r="P167" s="5"/>
      <c r="Q167" s="5"/>
    </row>
    <row r="168" ht="12.75" customHeight="1">
      <c r="A168" s="30" t="s">
        <v>39</v>
      </c>
      <c r="B168" s="49"/>
      <c r="C168" s="50" t="s">
        <v>143</v>
      </c>
      <c r="D168" s="51"/>
      <c r="E168" s="69">
        <v>0.0</v>
      </c>
      <c r="F168" s="69">
        <v>0.0</v>
      </c>
      <c r="G168" s="69">
        <v>0.0</v>
      </c>
      <c r="H168" s="69">
        <v>0.0</v>
      </c>
      <c r="I168" s="69">
        <v>0.0</v>
      </c>
      <c r="J168" s="69">
        <v>0.0</v>
      </c>
      <c r="K168" s="69">
        <v>1.0</v>
      </c>
      <c r="L168" s="69">
        <v>0.0</v>
      </c>
      <c r="M168" s="69">
        <v>0.0</v>
      </c>
      <c r="N168" s="69">
        <v>0.0</v>
      </c>
      <c r="O168" s="13">
        <f t="shared" si="46"/>
        <v>1</v>
      </c>
      <c r="P168" s="5"/>
      <c r="Q168" s="5"/>
    </row>
    <row r="169" ht="12.75" customHeight="1">
      <c r="A169" s="18"/>
      <c r="B169" s="49"/>
      <c r="C169" s="50" t="s">
        <v>144</v>
      </c>
      <c r="D169" s="51"/>
      <c r="E169" s="69">
        <v>0.0</v>
      </c>
      <c r="F169" s="69">
        <v>1.0</v>
      </c>
      <c r="G169" s="69">
        <v>0.0</v>
      </c>
      <c r="H169" s="69">
        <v>0.0</v>
      </c>
      <c r="I169" s="69">
        <v>0.0</v>
      </c>
      <c r="J169" s="69">
        <v>0.0</v>
      </c>
      <c r="K169" s="69">
        <v>0.0</v>
      </c>
      <c r="L169" s="69">
        <v>0.0</v>
      </c>
      <c r="M169" s="69">
        <v>0.0</v>
      </c>
      <c r="N169" s="69">
        <v>0.0</v>
      </c>
      <c r="O169" s="13">
        <f t="shared" si="46"/>
        <v>1</v>
      </c>
      <c r="P169" s="5"/>
      <c r="Q169" s="5"/>
    </row>
    <row r="170" ht="12.75" customHeight="1">
      <c r="A170" s="18"/>
      <c r="B170" s="49"/>
      <c r="C170" s="50" t="s">
        <v>145</v>
      </c>
      <c r="D170" s="51"/>
      <c r="E170" s="69">
        <v>0.0</v>
      </c>
      <c r="F170" s="69">
        <v>0.0</v>
      </c>
      <c r="G170" s="69">
        <v>0.0</v>
      </c>
      <c r="H170" s="69">
        <v>0.0</v>
      </c>
      <c r="I170" s="69">
        <v>0.0</v>
      </c>
      <c r="J170" s="69">
        <v>0.0</v>
      </c>
      <c r="K170" s="69">
        <v>0.0</v>
      </c>
      <c r="L170" s="69">
        <v>0.0</v>
      </c>
      <c r="M170" s="69">
        <v>0.0</v>
      </c>
      <c r="N170" s="69">
        <v>0.0</v>
      </c>
      <c r="O170" s="13">
        <f t="shared" si="46"/>
        <v>0</v>
      </c>
      <c r="P170" s="5"/>
      <c r="Q170" s="5"/>
    </row>
    <row r="171" ht="12.75" customHeight="1">
      <c r="A171" s="18"/>
      <c r="B171" s="49"/>
      <c r="C171" s="50" t="s">
        <v>146</v>
      </c>
      <c r="D171" s="51"/>
      <c r="E171" s="69">
        <v>0.0</v>
      </c>
      <c r="F171" s="69">
        <v>0.0</v>
      </c>
      <c r="G171" s="69">
        <v>0.0</v>
      </c>
      <c r="H171" s="69">
        <v>0.0</v>
      </c>
      <c r="I171" s="69">
        <v>0.0</v>
      </c>
      <c r="J171" s="69">
        <v>0.0</v>
      </c>
      <c r="K171" s="69">
        <v>0.0</v>
      </c>
      <c r="L171" s="69">
        <v>0.0</v>
      </c>
      <c r="M171" s="69">
        <v>0.0</v>
      </c>
      <c r="N171" s="69">
        <v>0.0</v>
      </c>
      <c r="O171" s="13">
        <f t="shared" si="46"/>
        <v>0</v>
      </c>
      <c r="P171" s="5"/>
      <c r="Q171" s="5"/>
    </row>
    <row r="172" ht="12.75" customHeight="1">
      <c r="A172" s="18"/>
      <c r="B172" s="49"/>
      <c r="C172" s="50" t="s">
        <v>147</v>
      </c>
      <c r="D172" s="51"/>
      <c r="E172" s="69">
        <v>0.0</v>
      </c>
      <c r="F172" s="69">
        <v>0.0</v>
      </c>
      <c r="G172" s="69">
        <v>0.0</v>
      </c>
      <c r="H172" s="69">
        <v>0.0</v>
      </c>
      <c r="I172" s="69">
        <v>0.0</v>
      </c>
      <c r="J172" s="69">
        <v>0.0</v>
      </c>
      <c r="K172" s="69">
        <v>0.0</v>
      </c>
      <c r="L172" s="69">
        <v>0.0</v>
      </c>
      <c r="M172" s="69">
        <v>0.0</v>
      </c>
      <c r="N172" s="69">
        <v>0.0</v>
      </c>
      <c r="O172" s="13">
        <f t="shared" si="46"/>
        <v>0</v>
      </c>
      <c r="P172" s="5"/>
      <c r="Q172" s="5"/>
    </row>
    <row r="173" ht="12.75" customHeight="1">
      <c r="A173" s="18"/>
      <c r="B173" s="49"/>
      <c r="C173" s="50" t="s">
        <v>148</v>
      </c>
      <c r="D173" s="51"/>
      <c r="E173" s="69">
        <v>0.0</v>
      </c>
      <c r="F173" s="69">
        <v>0.0</v>
      </c>
      <c r="G173" s="69">
        <v>0.0</v>
      </c>
      <c r="H173" s="69">
        <v>0.0</v>
      </c>
      <c r="I173" s="69">
        <v>0.0</v>
      </c>
      <c r="J173" s="69">
        <v>2.0</v>
      </c>
      <c r="K173" s="69">
        <v>0.0</v>
      </c>
      <c r="L173" s="69">
        <v>0.0</v>
      </c>
      <c r="M173" s="69">
        <v>0.0</v>
      </c>
      <c r="N173" s="69">
        <v>0.0</v>
      </c>
      <c r="O173" s="13">
        <f t="shared" si="46"/>
        <v>2</v>
      </c>
      <c r="P173" s="5"/>
      <c r="Q173" s="5"/>
    </row>
    <row r="174" ht="12.75" customHeight="1">
      <c r="A174" s="18"/>
      <c r="B174" s="49"/>
      <c r="C174" s="50" t="s">
        <v>149</v>
      </c>
      <c r="D174" s="51"/>
      <c r="E174" s="69">
        <v>0.0</v>
      </c>
      <c r="F174" s="69">
        <v>0.0</v>
      </c>
      <c r="G174" s="69">
        <v>0.0</v>
      </c>
      <c r="H174" s="69">
        <v>0.0</v>
      </c>
      <c r="I174" s="69">
        <v>0.0</v>
      </c>
      <c r="J174" s="69">
        <v>0.0</v>
      </c>
      <c r="K174" s="69">
        <v>0.0</v>
      </c>
      <c r="L174" s="69">
        <v>0.0</v>
      </c>
      <c r="M174" s="69">
        <v>0.0</v>
      </c>
      <c r="N174" s="69">
        <v>0.0</v>
      </c>
      <c r="O174" s="13">
        <f t="shared" si="46"/>
        <v>0</v>
      </c>
      <c r="P174" s="5"/>
      <c r="Q174" s="5"/>
    </row>
    <row r="175" ht="15.0" customHeight="1">
      <c r="A175" s="19" t="s">
        <v>15</v>
      </c>
      <c r="B175" s="47" t="s">
        <v>47</v>
      </c>
      <c r="C175" s="15"/>
      <c r="D175" s="16"/>
      <c r="E175" s="56">
        <f t="shared" ref="E175:N175" si="47">SUM(E167:E174)</f>
        <v>0</v>
      </c>
      <c r="F175" s="56">
        <f t="shared" si="47"/>
        <v>2</v>
      </c>
      <c r="G175" s="56">
        <f t="shared" si="47"/>
        <v>0</v>
      </c>
      <c r="H175" s="56">
        <f t="shared" si="47"/>
        <v>0</v>
      </c>
      <c r="I175" s="56">
        <f t="shared" si="47"/>
        <v>0</v>
      </c>
      <c r="J175" s="56">
        <f t="shared" si="47"/>
        <v>3</v>
      </c>
      <c r="K175" s="56">
        <f t="shared" si="47"/>
        <v>2</v>
      </c>
      <c r="L175" s="56">
        <f t="shared" si="47"/>
        <v>0</v>
      </c>
      <c r="M175" s="56">
        <f t="shared" si="47"/>
        <v>0</v>
      </c>
      <c r="N175" s="56">
        <f t="shared" si="47"/>
        <v>0</v>
      </c>
      <c r="O175" s="13">
        <f t="shared" si="46"/>
        <v>7</v>
      </c>
      <c r="P175" s="5"/>
      <c r="Q175" s="5"/>
    </row>
    <row r="176" ht="12.75" customHeight="1">
      <c r="A176" s="57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13"/>
      <c r="P176" s="1"/>
      <c r="Q176" s="1"/>
    </row>
    <row r="177" ht="12.75" customHeight="1">
      <c r="A177" s="30" t="s">
        <v>37</v>
      </c>
      <c r="B177" s="47" t="s">
        <v>150</v>
      </c>
      <c r="C177" s="48" t="s">
        <v>151</v>
      </c>
      <c r="D177" s="16"/>
      <c r="E177" s="69">
        <v>1.0</v>
      </c>
      <c r="F177" s="69">
        <v>0.0</v>
      </c>
      <c r="G177" s="69">
        <v>0.0</v>
      </c>
      <c r="H177" s="69">
        <v>0.0</v>
      </c>
      <c r="I177" s="69">
        <v>0.0</v>
      </c>
      <c r="J177" s="69">
        <v>0.0</v>
      </c>
      <c r="K177" s="69">
        <v>0.0</v>
      </c>
      <c r="L177" s="69">
        <v>0.0</v>
      </c>
      <c r="M177" s="69">
        <v>0.0</v>
      </c>
      <c r="N177" s="69">
        <v>0.0</v>
      </c>
      <c r="O177" s="13">
        <f t="shared" ref="O177:O181" si="48">SUM(E177:N177)</f>
        <v>1</v>
      </c>
    </row>
    <row r="178" ht="12.75" customHeight="1">
      <c r="A178" s="30"/>
      <c r="B178" s="47"/>
      <c r="C178" s="50" t="s">
        <v>152</v>
      </c>
      <c r="D178" s="62"/>
      <c r="E178" s="69">
        <v>0.0</v>
      </c>
      <c r="F178" s="69">
        <v>0.0</v>
      </c>
      <c r="G178" s="69">
        <v>0.0</v>
      </c>
      <c r="H178" s="69">
        <v>0.0</v>
      </c>
      <c r="I178" s="69">
        <v>0.0</v>
      </c>
      <c r="J178" s="69">
        <v>0.0</v>
      </c>
      <c r="K178" s="69">
        <v>0.0</v>
      </c>
      <c r="L178" s="69">
        <v>0.0</v>
      </c>
      <c r="M178" s="69">
        <v>0.0</v>
      </c>
      <c r="N178" s="69">
        <v>0.0</v>
      </c>
      <c r="O178" s="13">
        <f t="shared" si="48"/>
        <v>0</v>
      </c>
      <c r="P178" s="5"/>
      <c r="Q178" s="5"/>
    </row>
    <row r="179" ht="12.75" customHeight="1">
      <c r="A179" s="30"/>
      <c r="B179" s="47"/>
      <c r="C179" s="50" t="s">
        <v>153</v>
      </c>
      <c r="D179" s="62"/>
      <c r="E179" s="69">
        <v>0.0</v>
      </c>
      <c r="F179" s="69">
        <v>0.0</v>
      </c>
      <c r="G179" s="69">
        <v>0.0</v>
      </c>
      <c r="H179" s="69">
        <v>0.0</v>
      </c>
      <c r="I179" s="69">
        <v>0.0</v>
      </c>
      <c r="J179" s="69">
        <v>0.0</v>
      </c>
      <c r="K179" s="69">
        <v>0.0</v>
      </c>
      <c r="L179" s="69">
        <v>0.0</v>
      </c>
      <c r="M179" s="69">
        <v>0.0</v>
      </c>
      <c r="N179" s="69">
        <v>0.0</v>
      </c>
      <c r="O179" s="13">
        <f t="shared" si="48"/>
        <v>0</v>
      </c>
      <c r="P179" s="5"/>
      <c r="Q179" s="5"/>
    </row>
    <row r="180" ht="12.75" customHeight="1">
      <c r="A180" s="30" t="s">
        <v>39</v>
      </c>
      <c r="B180" s="49"/>
      <c r="C180" s="50" t="s">
        <v>154</v>
      </c>
      <c r="D180" s="51"/>
      <c r="E180" s="69">
        <v>0.0</v>
      </c>
      <c r="F180" s="69">
        <v>0.0</v>
      </c>
      <c r="G180" s="69">
        <v>0.0</v>
      </c>
      <c r="H180" s="69">
        <v>0.0</v>
      </c>
      <c r="I180" s="69">
        <v>0.0</v>
      </c>
      <c r="J180" s="69">
        <v>0.0</v>
      </c>
      <c r="K180" s="69">
        <v>0.0</v>
      </c>
      <c r="L180" s="69">
        <v>0.0</v>
      </c>
      <c r="M180" s="69">
        <v>0.0</v>
      </c>
      <c r="N180" s="69">
        <v>1.0</v>
      </c>
      <c r="O180" s="13">
        <f t="shared" si="48"/>
        <v>1</v>
      </c>
      <c r="P180" s="5"/>
      <c r="Q180" s="5"/>
    </row>
    <row r="181" ht="12.75" customHeight="1">
      <c r="A181" s="19" t="s">
        <v>15</v>
      </c>
      <c r="B181" s="47" t="s">
        <v>47</v>
      </c>
      <c r="C181" s="15"/>
      <c r="D181" s="16"/>
      <c r="E181" s="56">
        <f t="shared" ref="E181:N181" si="49">SUM(E177:E180)</f>
        <v>1</v>
      </c>
      <c r="F181" s="56">
        <f t="shared" si="49"/>
        <v>0</v>
      </c>
      <c r="G181" s="56">
        <f t="shared" si="49"/>
        <v>0</v>
      </c>
      <c r="H181" s="56">
        <f t="shared" si="49"/>
        <v>0</v>
      </c>
      <c r="I181" s="56">
        <f t="shared" si="49"/>
        <v>0</v>
      </c>
      <c r="J181" s="56">
        <f t="shared" si="49"/>
        <v>0</v>
      </c>
      <c r="K181" s="56">
        <f t="shared" si="49"/>
        <v>0</v>
      </c>
      <c r="L181" s="56">
        <f t="shared" si="49"/>
        <v>0</v>
      </c>
      <c r="M181" s="56">
        <f t="shared" si="49"/>
        <v>0</v>
      </c>
      <c r="N181" s="56">
        <f t="shared" si="49"/>
        <v>1</v>
      </c>
      <c r="O181" s="13">
        <f t="shared" si="48"/>
        <v>2</v>
      </c>
      <c r="P181" s="5"/>
      <c r="Q181" s="5"/>
    </row>
    <row r="182" ht="12.75" customHeight="1">
      <c r="A182" s="57"/>
      <c r="B182" s="58"/>
      <c r="C182" s="58"/>
      <c r="D182" s="63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13"/>
      <c r="P182" s="5"/>
      <c r="Q182" s="5"/>
    </row>
    <row r="183" ht="12.75" customHeight="1">
      <c r="A183" s="42" t="s">
        <v>155</v>
      </c>
      <c r="B183" s="14" t="s">
        <v>156</v>
      </c>
      <c r="C183" s="15"/>
      <c r="D183" s="16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5"/>
      <c r="Q183" s="5"/>
    </row>
    <row r="184" ht="12.75" customHeight="1">
      <c r="A184" s="42"/>
      <c r="B184" s="64" t="s">
        <v>157</v>
      </c>
      <c r="C184" s="65" t="s">
        <v>158</v>
      </c>
      <c r="D184" s="16"/>
      <c r="E184" s="19">
        <f t="shared" ref="E184:N184" si="50">E181+E175+E165+E161+E156+E146+E136+E129+E125+E115+E111+E101+E97+E93+E83+E73+E63+E53</f>
        <v>224</v>
      </c>
      <c r="F184" s="19">
        <f t="shared" si="50"/>
        <v>196</v>
      </c>
      <c r="G184" s="19">
        <f t="shared" si="50"/>
        <v>193</v>
      </c>
      <c r="H184" s="19">
        <f t="shared" si="50"/>
        <v>177</v>
      </c>
      <c r="I184" s="19">
        <f t="shared" si="50"/>
        <v>165</v>
      </c>
      <c r="J184" s="19">
        <f t="shared" si="50"/>
        <v>174</v>
      </c>
      <c r="K184" s="19">
        <f t="shared" si="50"/>
        <v>173</v>
      </c>
      <c r="L184" s="19">
        <f t="shared" si="50"/>
        <v>152</v>
      </c>
      <c r="M184" s="19">
        <f t="shared" si="50"/>
        <v>134</v>
      </c>
      <c r="N184" s="19">
        <f t="shared" si="50"/>
        <v>150</v>
      </c>
      <c r="O184" s="13">
        <f t="shared" ref="O184:O186" si="51">SUM(E184:N184)</f>
        <v>1738</v>
      </c>
      <c r="P184" s="5"/>
      <c r="Q184" s="5"/>
    </row>
    <row r="185" ht="12.75" customHeight="1">
      <c r="A185" s="35"/>
      <c r="B185" s="64" t="s">
        <v>159</v>
      </c>
      <c r="C185" s="65" t="s">
        <v>160</v>
      </c>
      <c r="D185" s="16"/>
      <c r="E185" s="69">
        <v>8.0</v>
      </c>
      <c r="F185" s="69">
        <v>8.0</v>
      </c>
      <c r="G185" s="69">
        <v>7.0</v>
      </c>
      <c r="H185" s="69">
        <v>10.0</v>
      </c>
      <c r="I185" s="69">
        <v>13.0</v>
      </c>
      <c r="J185" s="69">
        <v>21.0</v>
      </c>
      <c r="K185" s="69">
        <v>10.0</v>
      </c>
      <c r="L185" s="69">
        <v>5.0</v>
      </c>
      <c r="M185" s="69">
        <v>5.0</v>
      </c>
      <c r="N185" s="69">
        <v>12.0</v>
      </c>
      <c r="O185" s="13">
        <f t="shared" si="51"/>
        <v>99</v>
      </c>
      <c r="P185" s="5"/>
      <c r="Q185" s="5"/>
    </row>
    <row r="186" ht="12.75" customHeight="1">
      <c r="A186" s="41"/>
      <c r="B186" s="64" t="s">
        <v>161</v>
      </c>
      <c r="C186" s="65" t="s">
        <v>162</v>
      </c>
      <c r="D186" s="16"/>
      <c r="E186" s="13">
        <f t="shared" ref="E186:N186" si="52">SUM(E184:E185)</f>
        <v>232</v>
      </c>
      <c r="F186" s="13">
        <f t="shared" si="52"/>
        <v>204</v>
      </c>
      <c r="G186" s="13">
        <f t="shared" si="52"/>
        <v>200</v>
      </c>
      <c r="H186" s="13">
        <f t="shared" si="52"/>
        <v>187</v>
      </c>
      <c r="I186" s="13">
        <f t="shared" si="52"/>
        <v>178</v>
      </c>
      <c r="J186" s="13">
        <f t="shared" si="52"/>
        <v>195</v>
      </c>
      <c r="K186" s="13">
        <f t="shared" si="52"/>
        <v>183</v>
      </c>
      <c r="L186" s="13">
        <f t="shared" si="52"/>
        <v>157</v>
      </c>
      <c r="M186" s="13">
        <f t="shared" si="52"/>
        <v>139</v>
      </c>
      <c r="N186" s="13">
        <f t="shared" si="52"/>
        <v>162</v>
      </c>
      <c r="O186" s="13">
        <f t="shared" si="51"/>
        <v>1837</v>
      </c>
      <c r="P186" s="5"/>
      <c r="Q186" s="5"/>
    </row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9">
    <mergeCell ref="B111:D111"/>
    <mergeCell ref="C113:D113"/>
    <mergeCell ref="B115:D115"/>
    <mergeCell ref="C117:D117"/>
    <mergeCell ref="B125:D125"/>
    <mergeCell ref="C127:D127"/>
    <mergeCell ref="B129:D129"/>
    <mergeCell ref="C131:D131"/>
    <mergeCell ref="B136:D136"/>
    <mergeCell ref="C138:D138"/>
    <mergeCell ref="B146:D146"/>
    <mergeCell ref="C148:D148"/>
    <mergeCell ref="B156:D156"/>
    <mergeCell ref="C158:D158"/>
    <mergeCell ref="B183:D183"/>
    <mergeCell ref="C184:D184"/>
    <mergeCell ref="C185:D185"/>
    <mergeCell ref="C186:D186"/>
    <mergeCell ref="B161:D161"/>
    <mergeCell ref="C163:D163"/>
    <mergeCell ref="B165:D165"/>
    <mergeCell ref="C167:D167"/>
    <mergeCell ref="B175:D175"/>
    <mergeCell ref="C177:D177"/>
    <mergeCell ref="B181:D181"/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3:D53"/>
    <mergeCell ref="C55:D55"/>
    <mergeCell ref="B63:D63"/>
    <mergeCell ref="C65:D65"/>
    <mergeCell ref="B73:D73"/>
    <mergeCell ref="C75:D75"/>
    <mergeCell ref="B83:D83"/>
    <mergeCell ref="C85:D85"/>
    <mergeCell ref="B93:D93"/>
    <mergeCell ref="C95:D95"/>
    <mergeCell ref="B97:D97"/>
    <mergeCell ref="C99:D99"/>
    <mergeCell ref="B101:D101"/>
    <mergeCell ref="C103:D103"/>
  </mergeCells>
  <conditionalFormatting sqref="E14:N15">
    <cfRule type="containsBlanks" dxfId="3" priority="1">
      <formula>LEN(TRIM(E14))=0</formula>
    </cfRule>
  </conditionalFormatting>
  <conditionalFormatting sqref="E19:N20">
    <cfRule type="containsBlanks" dxfId="3" priority="2">
      <formula>LEN(TRIM(E19))=0</formula>
    </cfRule>
  </conditionalFormatting>
  <conditionalFormatting sqref="E22:N23 E25:N26 E33:N33 E35:N35 E39:N40">
    <cfRule type="containsBlanks" dxfId="3" priority="3">
      <formula>LEN(TRIM(E22))=0</formula>
    </cfRule>
  </conditionalFormatting>
  <conditionalFormatting sqref="E30:N30">
    <cfRule type="expression" dxfId="0" priority="4">
      <formula>E30&lt;&gt;E47</formula>
    </cfRule>
  </conditionalFormatting>
  <conditionalFormatting sqref="E30:N30">
    <cfRule type="expression" dxfId="0" priority="5">
      <formula>E30&lt;&gt;E34</formula>
    </cfRule>
  </conditionalFormatting>
  <conditionalFormatting sqref="E34:N34">
    <cfRule type="expression" dxfId="1" priority="6">
      <formula>E30&lt;&gt;E34</formula>
    </cfRule>
  </conditionalFormatting>
  <conditionalFormatting sqref="E34:N34">
    <cfRule type="expression" dxfId="2" priority="7">
      <formula>E30=E34</formula>
    </cfRule>
  </conditionalFormatting>
  <conditionalFormatting sqref="E34:N34">
    <cfRule type="expression" dxfId="0" priority="8">
      <formula>E34&lt;&gt;E30</formula>
    </cfRule>
  </conditionalFormatting>
  <conditionalFormatting sqref="E34:N34">
    <cfRule type="expression" dxfId="0" priority="9">
      <formula>E34&lt;&gt;E64</formula>
    </cfRule>
  </conditionalFormatting>
  <conditionalFormatting sqref="E45:N52">
    <cfRule type="containsBlanks" dxfId="3" priority="10">
      <formula>LEN(TRIM(E45))=0</formula>
    </cfRule>
  </conditionalFormatting>
  <conditionalFormatting sqref="E55:N62">
    <cfRule type="containsBlanks" dxfId="3" priority="11">
      <formula>LEN(TRIM(E55))=0</formula>
    </cfRule>
  </conditionalFormatting>
  <conditionalFormatting sqref="E65:N72">
    <cfRule type="containsBlanks" dxfId="3" priority="12">
      <formula>LEN(TRIM(E65))=0</formula>
    </cfRule>
  </conditionalFormatting>
  <conditionalFormatting sqref="E75:N82">
    <cfRule type="containsBlanks" dxfId="3" priority="13">
      <formula>LEN(TRIM(E75))=0</formula>
    </cfRule>
  </conditionalFormatting>
  <conditionalFormatting sqref="E85:N92">
    <cfRule type="containsBlanks" dxfId="3" priority="14">
      <formula>LEN(TRIM(E85))=0</formula>
    </cfRule>
  </conditionalFormatting>
  <conditionalFormatting sqref="E95:N96">
    <cfRule type="containsBlanks" dxfId="3" priority="15">
      <formula>LEN(TRIM(E95))=0</formula>
    </cfRule>
  </conditionalFormatting>
  <conditionalFormatting sqref="E99:N100">
    <cfRule type="containsBlanks" dxfId="3" priority="16">
      <formula>LEN(TRIM(E99))=0</formula>
    </cfRule>
  </conditionalFormatting>
  <conditionalFormatting sqref="E103:N110">
    <cfRule type="containsBlanks" dxfId="3" priority="17">
      <formula>LEN(TRIM(E103))=0</formula>
    </cfRule>
  </conditionalFormatting>
  <conditionalFormatting sqref="E113:N114">
    <cfRule type="containsBlanks" dxfId="3" priority="18">
      <formula>LEN(TRIM(E113))=0</formula>
    </cfRule>
  </conditionalFormatting>
  <conditionalFormatting sqref="E117:N124">
    <cfRule type="containsBlanks" dxfId="3" priority="19">
      <formula>LEN(TRIM(E117))=0</formula>
    </cfRule>
  </conditionalFormatting>
  <conditionalFormatting sqref="E127:N128">
    <cfRule type="containsBlanks" dxfId="3" priority="20">
      <formula>LEN(TRIM(E127))=0</formula>
    </cfRule>
  </conditionalFormatting>
  <conditionalFormatting sqref="E131:N135">
    <cfRule type="containsBlanks" dxfId="3" priority="21">
      <formula>LEN(TRIM(E131))=0</formula>
    </cfRule>
  </conditionalFormatting>
  <conditionalFormatting sqref="E138:N145">
    <cfRule type="containsBlanks" dxfId="3" priority="22">
      <formula>LEN(TRIM(E138))=0</formula>
    </cfRule>
  </conditionalFormatting>
  <conditionalFormatting sqref="E148:N155">
    <cfRule type="containsBlanks" dxfId="3" priority="23">
      <formula>LEN(TRIM(E148))=0</formula>
    </cfRule>
  </conditionalFormatting>
  <conditionalFormatting sqref="E158:N160">
    <cfRule type="containsBlanks" dxfId="3" priority="24">
      <formula>LEN(TRIM(E158))=0</formula>
    </cfRule>
  </conditionalFormatting>
  <conditionalFormatting sqref="E163:N164">
    <cfRule type="containsBlanks" dxfId="3" priority="25">
      <formula>LEN(TRIM(E163))=0</formula>
    </cfRule>
  </conditionalFormatting>
  <conditionalFormatting sqref="E167:N174">
    <cfRule type="containsBlanks" dxfId="3" priority="26">
      <formula>LEN(TRIM(E167))=0</formula>
    </cfRule>
  </conditionalFormatting>
  <conditionalFormatting sqref="E177:N180">
    <cfRule type="containsBlanks" dxfId="3" priority="27">
      <formula>LEN(TRIM(E177))=0</formula>
    </cfRule>
  </conditionalFormatting>
  <conditionalFormatting sqref="E184:N185">
    <cfRule type="containsBlanks" dxfId="3" priority="28">
      <formula>LEN(TRIM(E184))=0</formula>
    </cfRule>
  </conditionalFormatting>
  <conditionalFormatting sqref="E186:N186">
    <cfRule type="expression" dxfId="0" priority="29">
      <formula>E186&lt;&gt;#REF!</formula>
    </cfRule>
  </conditionalFormatting>
  <conditionalFormatting sqref="E186:N186">
    <cfRule type="expression" dxfId="1" priority="30">
      <formula>#REF!&lt;&gt;E186</formula>
    </cfRule>
  </conditionalFormatting>
  <conditionalFormatting sqref="E186:N186">
    <cfRule type="expression" dxfId="2" priority="31">
      <formula>#REF!=E186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